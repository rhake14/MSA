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ke Home PC\Dropbox\Uni Oldenburg\#3 - RStudio dateien\#4 - MSAT - main test R script\MSA\data_raw\"/>
    </mc:Choice>
  </mc:AlternateContent>
  <xr:revisionPtr revIDLastSave="0" documentId="13_ncr:1_{5010302D-9FFF-4834-A126-02E67F4146CC}" xr6:coauthVersionLast="47" xr6:coauthVersionMax="47" xr10:uidLastSave="{00000000-0000-0000-0000-000000000000}"/>
  <bookViews>
    <workbookView xWindow="-120" yWindow="285" windowWidth="29040" windowHeight="15465" xr2:uid="{CAEB5215-30CC-4910-90CE-57B28DB15753}"/>
  </bookViews>
  <sheets>
    <sheet name="Sheet1" sheetId="25" r:id="rId1"/>
    <sheet name="StimSetAll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44" i="5" l="1" a="1"/>
  <c r="L1144" i="5" s="1"/>
  <c r="L79" i="5" a="1"/>
  <c r="L79" i="5" s="1"/>
  <c r="L1145" i="5" a="1"/>
  <c r="L1145" i="5" s="1"/>
  <c r="L1146" i="5" a="1"/>
  <c r="L1146" i="5" s="1"/>
  <c r="L2775" i="5" a="1"/>
  <c r="L2775" i="5" s="1"/>
  <c r="L2776" i="5" a="1"/>
  <c r="L2776" i="5" s="1"/>
  <c r="L2777" i="5" a="1"/>
  <c r="L2777" i="5" s="1"/>
  <c r="L80" i="5" a="1"/>
  <c r="L80" i="5" s="1"/>
  <c r="L1147" i="5" a="1"/>
  <c r="L1147" i="5" s="1"/>
  <c r="L81" i="5" a="1"/>
  <c r="L81" i="5" s="1"/>
  <c r="L82" i="5" a="1"/>
  <c r="L82" i="5" s="1"/>
  <c r="L2778" i="5" a="1"/>
  <c r="L2778" i="5" s="1"/>
  <c r="L1148" i="5" a="1"/>
  <c r="L1148" i="5" s="1"/>
  <c r="L83" i="5" a="1"/>
  <c r="L83" i="5" s="1"/>
  <c r="L84" i="5" a="1"/>
  <c r="L84" i="5" s="1"/>
  <c r="L85" i="5" a="1"/>
  <c r="L85" i="5" s="1"/>
  <c r="L86" i="5" a="1"/>
  <c r="L86" i="5" s="1"/>
  <c r="L87" i="5" a="1"/>
  <c r="L87" i="5" s="1"/>
  <c r="L88" i="5" a="1"/>
  <c r="L88" i="5" s="1"/>
  <c r="L1149" i="5" a="1"/>
  <c r="L1149" i="5" s="1"/>
  <c r="L89" i="5" a="1"/>
  <c r="L89" i="5" s="1"/>
  <c r="L2779" i="5" a="1"/>
  <c r="L2779" i="5" s="1"/>
  <c r="L2780" i="5" a="1"/>
  <c r="L2780" i="5" s="1"/>
  <c r="L2781" i="5" a="1"/>
  <c r="L2781" i="5" s="1"/>
  <c r="L1150" i="5" a="1"/>
  <c r="L1150" i="5" s="1"/>
  <c r="L1151" i="5" a="1"/>
  <c r="L1151" i="5" s="1"/>
  <c r="L90" i="5" a="1"/>
  <c r="L90" i="5" s="1"/>
  <c r="L2782" i="5" a="1"/>
  <c r="L2782" i="5" s="1"/>
  <c r="L1152" i="5" a="1"/>
  <c r="L1152" i="5" s="1"/>
  <c r="L91" i="5" a="1"/>
  <c r="L91" i="5" s="1"/>
  <c r="L1153" i="5" a="1"/>
  <c r="L1153" i="5" s="1"/>
  <c r="L2783" i="5" a="1"/>
  <c r="L2783" i="5" s="1"/>
  <c r="L92" i="5" a="1"/>
  <c r="L92" i="5" s="1"/>
  <c r="L2784" i="5" a="1"/>
  <c r="L2784" i="5" s="1"/>
  <c r="L2785" i="5" a="1"/>
  <c r="L2785" i="5" s="1"/>
  <c r="L93" i="5" a="1"/>
  <c r="L93" i="5" s="1"/>
  <c r="L94" i="5" a="1"/>
  <c r="L94" i="5" s="1"/>
  <c r="L1154" i="5" a="1"/>
  <c r="L1154" i="5" s="1"/>
  <c r="L1155" i="5" a="1"/>
  <c r="L1155" i="5" s="1"/>
  <c r="L1156" i="5" a="1"/>
  <c r="L1156" i="5" s="1"/>
  <c r="L2786" i="5" a="1"/>
  <c r="L2786" i="5" s="1"/>
  <c r="L2787" i="5" a="1"/>
  <c r="L2787" i="5" s="1"/>
  <c r="L95" i="5" a="1"/>
  <c r="L95" i="5" s="1"/>
  <c r="L96" i="5" a="1"/>
  <c r="L96" i="5" s="1"/>
  <c r="L97" i="5" a="1"/>
  <c r="L97" i="5" s="1"/>
  <c r="L2788" i="5" a="1"/>
  <c r="L2788" i="5" s="1"/>
  <c r="L98" i="5" a="1"/>
  <c r="L98" i="5" s="1"/>
  <c r="L2789" i="5" a="1"/>
  <c r="L2789" i="5" s="1"/>
  <c r="L2790" i="5" a="1"/>
  <c r="L2790" i="5" s="1"/>
  <c r="L1157" i="5" a="1"/>
  <c r="L1157" i="5" s="1"/>
  <c r="L2791" i="5" a="1"/>
  <c r="L2791" i="5" s="1"/>
  <c r="L99" i="5" a="1"/>
  <c r="L99" i="5" s="1"/>
  <c r="L1158" i="5" a="1"/>
  <c r="L1158" i="5" s="1"/>
  <c r="L1159" i="5" a="1"/>
  <c r="L1159" i="5" s="1"/>
  <c r="L1160" i="5" a="1"/>
  <c r="L1160" i="5" s="1"/>
  <c r="L1161" i="5" a="1"/>
  <c r="L1161" i="5" s="1"/>
  <c r="L100" i="5" a="1"/>
  <c r="L100" i="5" s="1"/>
  <c r="L2792" i="5" a="1"/>
  <c r="L2792" i="5" s="1"/>
  <c r="L3072" i="5" a="1"/>
  <c r="L3072" i="5" s="1"/>
  <c r="L1355" i="5" a="1"/>
  <c r="L1355" i="5" s="1"/>
  <c r="L1356" i="5" a="1"/>
  <c r="L1356" i="5" s="1"/>
  <c r="L3073" i="5" a="1"/>
  <c r="L3073" i="5" s="1"/>
  <c r="L1357" i="5" a="1"/>
  <c r="L1357" i="5" s="1"/>
  <c r="L1358" i="5" a="1"/>
  <c r="L1358" i="5" s="1"/>
  <c r="L1359" i="5" a="1"/>
  <c r="L1359" i="5" s="1"/>
  <c r="L1360" i="5" a="1"/>
  <c r="L1360" i="5" s="1"/>
  <c r="L1361" i="5" a="1"/>
  <c r="L1361" i="5" s="1"/>
  <c r="L1362" i="5" a="1"/>
  <c r="L1362" i="5" s="1"/>
  <c r="L1363" i="5" a="1"/>
  <c r="L1363" i="5" s="1"/>
  <c r="L101" i="5" a="1"/>
  <c r="L101" i="5" s="1"/>
  <c r="L102" i="5" a="1"/>
  <c r="L102" i="5" s="1"/>
  <c r="L2793" i="5" a="1"/>
  <c r="L2793" i="5" s="1"/>
  <c r="L1162" i="5" a="1"/>
  <c r="L1162" i="5" s="1"/>
  <c r="L2198" i="5" a="1"/>
  <c r="L2198" i="5" s="1"/>
  <c r="L1163" i="5" a="1"/>
  <c r="L1163" i="5" s="1"/>
  <c r="L2794" i="5" a="1"/>
  <c r="L2794" i="5" s="1"/>
  <c r="L103" i="5" a="1"/>
  <c r="L103" i="5" s="1"/>
  <c r="L2199" i="5" a="1"/>
  <c r="L2199" i="5" s="1"/>
  <c r="L2795" i="5" a="1"/>
  <c r="L2795" i="5" s="1"/>
  <c r="L3074" i="5" a="1"/>
  <c r="L3074" i="5" s="1"/>
  <c r="L334" i="5" a="1"/>
  <c r="L334" i="5" s="1"/>
  <c r="L1364" i="5" a="1"/>
  <c r="L1364" i="5" s="1"/>
  <c r="L1365" i="5" a="1"/>
  <c r="L1365" i="5" s="1"/>
  <c r="L335" i="5" a="1"/>
  <c r="L335" i="5" s="1"/>
  <c r="L336" i="5" a="1"/>
  <c r="L336" i="5" s="1"/>
  <c r="L337" i="5" a="1"/>
  <c r="L337" i="5" s="1"/>
  <c r="L338" i="5" a="1"/>
  <c r="L338" i="5" s="1"/>
  <c r="L339" i="5" a="1"/>
  <c r="L339" i="5" s="1"/>
  <c r="L3075" i="5" a="1"/>
  <c r="L3075" i="5" s="1"/>
  <c r="L340" i="5" a="1"/>
  <c r="L340" i="5" s="1"/>
  <c r="L341" i="5" a="1"/>
  <c r="L341" i="5" s="1"/>
  <c r="L342" i="5" a="1"/>
  <c r="L342" i="5" s="1"/>
  <c r="L3076" i="5" a="1"/>
  <c r="L3076" i="5" s="1"/>
  <c r="L1366" i="5" a="1"/>
  <c r="L1366" i="5" s="1"/>
  <c r="L3077" i="5" a="1"/>
  <c r="L3077" i="5" s="1"/>
  <c r="L343" i="5" a="1"/>
  <c r="L343" i="5" s="1"/>
  <c r="L344" i="5" a="1"/>
  <c r="L344" i="5" s="1"/>
  <c r="L2320" i="5" a="1"/>
  <c r="L2320" i="5" s="1"/>
  <c r="L2321" i="5" a="1"/>
  <c r="L2321" i="5" s="1"/>
  <c r="L2322" i="5" a="1"/>
  <c r="L2322" i="5" s="1"/>
  <c r="L1367" i="5" a="1"/>
  <c r="L1367" i="5" s="1"/>
  <c r="L2323" i="5" a="1"/>
  <c r="L2323" i="5" s="1"/>
  <c r="L1368" i="5" a="1"/>
  <c r="L1368" i="5" s="1"/>
  <c r="L2324" i="5" a="1"/>
  <c r="L2324" i="5" s="1"/>
  <c r="L2325" i="5" a="1"/>
  <c r="L2325" i="5" s="1"/>
  <c r="L1369" i="5" a="1"/>
  <c r="L1369" i="5" s="1"/>
  <c r="L1755" i="5" a="1"/>
  <c r="L1755" i="5" s="1"/>
  <c r="L1756" i="5" a="1"/>
  <c r="L1756" i="5" s="1"/>
  <c r="L2500" i="5" a="1"/>
  <c r="L2500" i="5" s="1"/>
  <c r="L3472" i="5" a="1"/>
  <c r="L3472" i="5" s="1"/>
  <c r="L2200" i="5" a="1"/>
  <c r="L2200" i="5" s="1"/>
  <c r="L2796" i="5" a="1"/>
  <c r="L2796" i="5" s="1"/>
  <c r="L1164" i="5" a="1"/>
  <c r="L1164" i="5" s="1"/>
  <c r="L1165" i="5" a="1"/>
  <c r="L1165" i="5" s="1"/>
  <c r="L2797" i="5" a="1"/>
  <c r="L2797" i="5" s="1"/>
  <c r="L2201" i="5" a="1"/>
  <c r="L2201" i="5" s="1"/>
  <c r="L2798" i="5" a="1"/>
  <c r="L2798" i="5" s="1"/>
  <c r="L2799" i="5" a="1"/>
  <c r="L2799" i="5" s="1"/>
  <c r="L1166" i="5" a="1"/>
  <c r="L1166" i="5" s="1"/>
  <c r="L2202" i="5" a="1"/>
  <c r="L2202" i="5" s="1"/>
  <c r="L2800" i="5" a="1"/>
  <c r="L2800" i="5" s="1"/>
  <c r="L2203" i="5" a="1"/>
  <c r="L2203" i="5" s="1"/>
  <c r="L1167" i="5" a="1"/>
  <c r="L1167" i="5" s="1"/>
  <c r="L2204" i="5" a="1"/>
  <c r="L2204" i="5" s="1"/>
  <c r="L2205" i="5" a="1"/>
  <c r="L2205" i="5" s="1"/>
  <c r="L2801" i="5" a="1"/>
  <c r="L2801" i="5" s="1"/>
  <c r="L2206" i="5" a="1"/>
  <c r="L2206" i="5" s="1"/>
  <c r="L2802" i="5" a="1"/>
  <c r="L2802" i="5" s="1"/>
  <c r="L2803" i="5" a="1"/>
  <c r="L2803" i="5" s="1"/>
  <c r="L2804" i="5" a="1"/>
  <c r="L2804" i="5" s="1"/>
  <c r="L1168" i="5" a="1"/>
  <c r="L1168" i="5" s="1"/>
  <c r="L1169" i="5" a="1"/>
  <c r="L1169" i="5" s="1"/>
  <c r="L2207" i="5" a="1"/>
  <c r="L2207" i="5" s="1"/>
  <c r="L2208" i="5" a="1"/>
  <c r="L2208" i="5" s="1"/>
  <c r="L2209" i="5" a="1"/>
  <c r="L2209" i="5" s="1"/>
  <c r="L1170" i="5" a="1"/>
  <c r="L1170" i="5" s="1"/>
  <c r="L3078" i="5" a="1"/>
  <c r="L3078" i="5" s="1"/>
  <c r="L3079" i="5" a="1"/>
  <c r="L3079" i="5" s="1"/>
  <c r="L1757" i="5" a="1"/>
  <c r="L1757" i="5" s="1"/>
  <c r="L3473" i="5" a="1"/>
  <c r="L3473" i="5" s="1"/>
  <c r="L1758" i="5" a="1"/>
  <c r="L1758" i="5" s="1"/>
  <c r="L1759" i="5" a="1"/>
  <c r="L1759" i="5" s="1"/>
  <c r="L3474" i="5" a="1"/>
  <c r="L3474" i="5" s="1"/>
  <c r="L1760" i="5" a="1"/>
  <c r="L1760" i="5" s="1"/>
  <c r="L3475" i="5" a="1"/>
  <c r="L3475" i="5" s="1"/>
  <c r="L3476" i="5" a="1"/>
  <c r="L3476" i="5" s="1"/>
  <c r="L3477" i="5" a="1"/>
  <c r="L3477" i="5" s="1"/>
  <c r="L3478" i="5" a="1"/>
  <c r="L3478" i="5" s="1"/>
  <c r="L1761" i="5" a="1"/>
  <c r="L1761" i="5"/>
  <c r="L3479" i="5" a="1"/>
  <c r="L3479" i="5" s="1"/>
  <c r="L1762" i="5" a="1"/>
  <c r="L1762" i="5" s="1"/>
  <c r="L3480" i="5" a="1"/>
  <c r="L3480" i="5" s="1"/>
  <c r="L1763" i="5" a="1"/>
  <c r="L1763" i="5" s="1"/>
  <c r="L1059" i="5" a="1"/>
  <c r="L1059" i="5" s="1"/>
  <c r="L2646" i="5" a="1"/>
  <c r="L2646" i="5" s="1"/>
  <c r="L1060" i="5" a="1"/>
  <c r="L1060" i="5" s="1"/>
  <c r="L2647" i="5" a="1"/>
  <c r="L2647" i="5" s="1"/>
  <c r="L2648" i="5" a="1"/>
  <c r="L2648" i="5" s="1"/>
  <c r="L2" i="5" a="1"/>
  <c r="L2" i="5" s="1"/>
  <c r="L3" i="5" a="1"/>
  <c r="L3" i="5" s="1"/>
  <c r="L4" i="5" a="1"/>
  <c r="L4" i="5" s="1"/>
  <c r="L5" i="5" a="1"/>
  <c r="L5" i="5" s="1"/>
  <c r="L1061" i="5" a="1"/>
  <c r="L1061" i="5" s="1"/>
  <c r="L1062" i="5" a="1"/>
  <c r="L1062" i="5" s="1"/>
  <c r="L2649" i="5" a="1"/>
  <c r="L2649" i="5" s="1"/>
  <c r="L104" i="5" a="1"/>
  <c r="L104" i="5" s="1"/>
  <c r="L2805" i="5" a="1"/>
  <c r="L2805" i="5" s="1"/>
  <c r="L1171" i="5" a="1"/>
  <c r="L1171" i="5" s="1"/>
  <c r="L105" i="5" a="1"/>
  <c r="L105" i="5" s="1"/>
  <c r="L2806" i="5" a="1"/>
  <c r="L2806" i="5" s="1"/>
  <c r="L1172" i="5" a="1"/>
  <c r="L1172" i="5" s="1"/>
  <c r="L106" i="5" a="1"/>
  <c r="L106" i="5" s="1"/>
  <c r="L107" i="5" a="1"/>
  <c r="L107" i="5" s="1"/>
  <c r="L2807" i="5" a="1"/>
  <c r="L2807" i="5" s="1"/>
  <c r="L2808" i="5" a="1"/>
  <c r="L2808" i="5" s="1"/>
  <c r="L108" i="5" a="1"/>
  <c r="L108" i="5" s="1"/>
  <c r="L2809" i="5" a="1"/>
  <c r="L2809" i="5" s="1"/>
  <c r="L2810" i="5" a="1"/>
  <c r="L2810" i="5" s="1"/>
  <c r="L2811" i="5" a="1"/>
  <c r="L2811" i="5" s="1"/>
  <c r="L2812" i="5" a="1"/>
  <c r="L2812" i="5" s="1"/>
  <c r="L1173" i="5" a="1"/>
  <c r="L1173" i="5" s="1"/>
  <c r="L109" i="5" a="1"/>
  <c r="L109" i="5" s="1"/>
  <c r="L1174" i="5" a="1"/>
  <c r="L1174" i="5" s="1"/>
  <c r="L2813" i="5" a="1"/>
  <c r="L2813" i="5" s="1"/>
  <c r="L1175" i="5" a="1"/>
  <c r="L1175" i="5" s="1"/>
  <c r="L2814" i="5" a="1"/>
  <c r="L2814" i="5" s="1"/>
  <c r="L1176" i="5" a="1"/>
  <c r="L1176" i="5" s="1"/>
  <c r="L2815" i="5" a="1"/>
  <c r="L2815" i="5" s="1"/>
  <c r="L2816" i="5" a="1"/>
  <c r="L2816" i="5" s="1"/>
  <c r="L110" i="5" a="1"/>
  <c r="L110" i="5" s="1"/>
  <c r="L1177" i="5" a="1"/>
  <c r="L1177" i="5" s="1"/>
  <c r="L111" i="5" a="1"/>
  <c r="L111" i="5" s="1"/>
  <c r="L2817" i="5" a="1"/>
  <c r="L2817" i="5" s="1"/>
  <c r="L1178" i="5" a="1"/>
  <c r="L1178" i="5" s="1"/>
  <c r="L345" i="5" a="1"/>
  <c r="L345" i="5" s="1"/>
  <c r="L346" i="5" a="1"/>
  <c r="L346" i="5" s="1"/>
  <c r="L347" i="5" a="1"/>
  <c r="L347" i="5" s="1"/>
  <c r="L1370" i="5" a="1"/>
  <c r="L1370" i="5" s="1"/>
  <c r="L348" i="5" a="1"/>
  <c r="L348" i="5" s="1"/>
  <c r="L3080" i="5" a="1"/>
  <c r="L3080" i="5" s="1"/>
  <c r="L3081" i="5" a="1"/>
  <c r="L3081" i="5" s="1"/>
  <c r="L3082" i="5" a="1"/>
  <c r="L3082" i="5" s="1"/>
  <c r="L3083" i="5" a="1"/>
  <c r="L3083" i="5" s="1"/>
  <c r="L349" i="5" a="1"/>
  <c r="L349" i="5" s="1"/>
  <c r="L1371" i="5" a="1"/>
  <c r="L1371" i="5" s="1"/>
  <c r="L350" i="5" a="1"/>
  <c r="L350" i="5" s="1"/>
  <c r="L351" i="5" a="1"/>
  <c r="L351" i="5" s="1"/>
  <c r="L352" i="5" a="1"/>
  <c r="L352" i="5" s="1"/>
  <c r="L1372" i="5" a="1"/>
  <c r="L1372" i="5" s="1"/>
  <c r="L3084" i="5" a="1"/>
  <c r="L3084" i="5" s="1"/>
  <c r="L353" i="5" a="1"/>
  <c r="L353" i="5" s="1"/>
  <c r="L3085" i="5" a="1"/>
  <c r="L3085" i="5" s="1"/>
  <c r="L1373" i="5" a="1"/>
  <c r="L1373" i="5" s="1"/>
  <c r="L3481" i="5" a="1"/>
  <c r="L3481" i="5" s="1"/>
  <c r="L3482" i="5" a="1"/>
  <c r="L3482" i="5" s="1"/>
  <c r="L1764" i="5" a="1"/>
  <c r="L1764" i="5" s="1"/>
  <c r="L1765" i="5" a="1"/>
  <c r="L1765" i="5" s="1"/>
  <c r="L1063" i="5" a="1"/>
  <c r="L1063" i="5" s="1"/>
  <c r="L2650" i="5" a="1"/>
  <c r="L2650" i="5" s="1"/>
  <c r="L1064" i="5" a="1"/>
  <c r="L1064" i="5" s="1"/>
  <c r="L1065" i="5" a="1"/>
  <c r="L1065" i="5"/>
  <c r="L2651" i="5" a="1"/>
  <c r="L2651" i="5" s="1"/>
  <c r="L2652" i="5" a="1"/>
  <c r="L2652" i="5" s="1"/>
  <c r="L2653" i="5" a="1"/>
  <c r="L2653" i="5" s="1"/>
  <c r="L2654" i="5" a="1"/>
  <c r="L2654" i="5" s="1"/>
  <c r="L1066" i="5" a="1"/>
  <c r="L1066" i="5" s="1"/>
  <c r="L1067" i="5" a="1"/>
  <c r="L1067" i="5" s="1"/>
  <c r="L1068" i="5" a="1"/>
  <c r="L1068" i="5" s="1"/>
  <c r="L1069" i="5" a="1"/>
  <c r="L1069" i="5" s="1"/>
  <c r="L2655" i="5" a="1"/>
  <c r="L2655" i="5" s="1"/>
  <c r="L2656" i="5" a="1"/>
  <c r="L2656" i="5" s="1"/>
  <c r="L1070" i="5" a="1"/>
  <c r="L1070" i="5" s="1"/>
  <c r="L6" i="5" a="1"/>
  <c r="L6" i="5" s="1"/>
  <c r="L1071" i="5" a="1"/>
  <c r="L1071" i="5" s="1"/>
  <c r="L7" i="5" a="1"/>
  <c r="L7" i="5" s="1"/>
  <c r="L8" i="5" a="1"/>
  <c r="L8" i="5" s="1"/>
  <c r="L1072" i="5" a="1"/>
  <c r="L1072" i="5" s="1"/>
  <c r="L2657" i="5" a="1"/>
  <c r="L2657" i="5" s="1"/>
  <c r="L2658" i="5" a="1"/>
  <c r="L2658" i="5" s="1"/>
  <c r="L2659" i="5" a="1"/>
  <c r="L2659" i="5" s="1"/>
  <c r="L1073" i="5" a="1"/>
  <c r="L1073" i="5" s="1"/>
  <c r="L2660" i="5" a="1"/>
  <c r="L2660" i="5" s="1"/>
  <c r="L2818" i="5" a="1"/>
  <c r="L2818" i="5" s="1"/>
  <c r="L2819" i="5" a="1"/>
  <c r="L2819" i="5" s="1"/>
  <c r="L1179" i="5" a="1"/>
  <c r="L1179" i="5" s="1"/>
  <c r="L2820" i="5" a="1"/>
  <c r="L2820" i="5" s="1"/>
  <c r="L2821" i="5" a="1"/>
  <c r="L2821" i="5" s="1"/>
  <c r="L112" i="5" a="1"/>
  <c r="L112" i="5" s="1"/>
  <c r="L2822" i="5" a="1"/>
  <c r="L2822" i="5" s="1"/>
  <c r="L2823" i="5" a="1"/>
  <c r="L2823" i="5" s="1"/>
  <c r="L1180" i="5" a="1"/>
  <c r="L1180" i="5" s="1"/>
  <c r="L1181" i="5" a="1"/>
  <c r="L1181" i="5" s="1"/>
  <c r="L113" i="5" a="1"/>
  <c r="L113" i="5" s="1"/>
  <c r="L114" i="5" a="1"/>
  <c r="L114" i="5" s="1"/>
  <c r="L115" i="5" a="1"/>
  <c r="L115" i="5" s="1"/>
  <c r="L1182" i="5" a="1"/>
  <c r="L1182" i="5" s="1"/>
  <c r="L116" i="5" a="1"/>
  <c r="L116" i="5" s="1"/>
  <c r="L1183" i="5" a="1"/>
  <c r="L1183" i="5" s="1"/>
  <c r="L1184" i="5" a="1"/>
  <c r="L1184" i="5" s="1"/>
  <c r="L117" i="5" a="1"/>
  <c r="L117" i="5" s="1"/>
  <c r="L1374" i="5" a="1"/>
  <c r="L1374" i="5" s="1"/>
  <c r="L354" i="5" a="1"/>
  <c r="L354" i="5" s="1"/>
  <c r="L355" i="5" a="1"/>
  <c r="L355" i="5" s="1"/>
  <c r="L3086" i="5" a="1"/>
  <c r="L3086" i="5" s="1"/>
  <c r="L1375" i="5" a="1"/>
  <c r="L1375" i="5" s="1"/>
  <c r="L356" i="5" a="1"/>
  <c r="L356" i="5" s="1"/>
  <c r="L3087" i="5" a="1"/>
  <c r="L3087" i="5" s="1"/>
  <c r="L3088" i="5" a="1"/>
  <c r="L3088" i="5" s="1"/>
  <c r="L1766" i="5" a="1"/>
  <c r="L1766" i="5" s="1"/>
  <c r="L1767" i="5" a="1"/>
  <c r="L1767" i="5" s="1"/>
  <c r="L1768" i="5" a="1"/>
  <c r="L1768" i="5" s="1"/>
  <c r="L734" i="5" a="1"/>
  <c r="L734" i="5" s="1"/>
  <c r="L735" i="5" a="1"/>
  <c r="L735" i="5"/>
  <c r="L736" i="5" a="1"/>
  <c r="L736" i="5" s="1"/>
  <c r="L737" i="5" a="1"/>
  <c r="L737" i="5" s="1"/>
  <c r="L738" i="5" a="1"/>
  <c r="L738" i="5" s="1"/>
  <c r="L739" i="5" a="1"/>
  <c r="L739" i="5" s="1"/>
  <c r="L2155" i="5" a="1"/>
  <c r="L2155" i="5" s="1"/>
  <c r="L2661" i="5" a="1"/>
  <c r="L2661" i="5" s="1"/>
  <c r="L2662" i="5" a="1"/>
  <c r="L2662" i="5" s="1"/>
  <c r="L2663" i="5" a="1"/>
  <c r="L2663" i="5" s="1"/>
  <c r="L2156" i="5" a="1"/>
  <c r="L2156" i="5" s="1"/>
  <c r="L1074" i="5" a="1"/>
  <c r="L1074" i="5" s="1"/>
  <c r="L1075" i="5" a="1"/>
  <c r="L1075" i="5" s="1"/>
  <c r="L2664" i="5" a="1"/>
  <c r="L2664" i="5" s="1"/>
  <c r="L1076" i="5" a="1"/>
  <c r="L1076" i="5" s="1"/>
  <c r="L2665" i="5" a="1"/>
  <c r="L2665" i="5" s="1"/>
  <c r="L2157" i="5" a="1"/>
  <c r="L2157" i="5" s="1"/>
  <c r="L2158" i="5" a="1"/>
  <c r="L2158" i="5" s="1"/>
  <c r="L2666" i="5" a="1"/>
  <c r="L2666" i="5" s="1"/>
  <c r="L2159" i="5" a="1"/>
  <c r="L2159" i="5" s="1"/>
  <c r="L9" i="5" a="1"/>
  <c r="L9" i="5" s="1"/>
  <c r="L2210" i="5" a="1"/>
  <c r="L2210" i="5" s="1"/>
  <c r="L2824" i="5" a="1"/>
  <c r="L2824" i="5" s="1"/>
  <c r="L2825" i="5" a="1"/>
  <c r="L2825" i="5" s="1"/>
  <c r="L2211" i="5" a="1"/>
  <c r="L2211" i="5" s="1"/>
  <c r="L2212" i="5" a="1"/>
  <c r="L2212" i="5" s="1"/>
  <c r="L2826" i="5" a="1"/>
  <c r="L2826" i="5" s="1"/>
  <c r="L2827" i="5" a="1"/>
  <c r="L2827" i="5" s="1"/>
  <c r="L2213" i="5" a="1"/>
  <c r="L2213" i="5" s="1"/>
  <c r="L1185" i="5" a="1"/>
  <c r="L1185" i="5" s="1"/>
  <c r="L118" i="5" a="1"/>
  <c r="L118" i="5" s="1"/>
  <c r="L2828" i="5" a="1"/>
  <c r="L2828" i="5" s="1"/>
  <c r="L119" i="5" a="1"/>
  <c r="L119" i="5" s="1"/>
  <c r="L1186" i="5" a="1"/>
  <c r="L1186" i="5" s="1"/>
  <c r="L2829" i="5" a="1"/>
  <c r="L2829" i="5" s="1"/>
  <c r="L120" i="5" a="1"/>
  <c r="L120" i="5" s="1"/>
  <c r="L2830" i="5" a="1"/>
  <c r="L2830" i="5" s="1"/>
  <c r="L2214" i="5" a="1"/>
  <c r="L2214" i="5" s="1"/>
  <c r="L357" i="5" a="1"/>
  <c r="L357" i="5" s="1"/>
  <c r="L1376" i="5" a="1"/>
  <c r="L1376" i="5" s="1"/>
  <c r="L1377" i="5" a="1"/>
  <c r="L1377" i="5" s="1"/>
  <c r="L1378" i="5" a="1"/>
  <c r="L1378" i="5" s="1"/>
  <c r="L3089" i="5" a="1"/>
  <c r="L3089" i="5" s="1"/>
  <c r="L1769" i="5" a="1"/>
  <c r="L1769" i="5" s="1"/>
  <c r="L1770" i="5" a="1"/>
  <c r="L1770" i="5" s="1"/>
  <c r="L740" i="5" a="1"/>
  <c r="L740" i="5" s="1"/>
  <c r="L2667" i="5" a="1"/>
  <c r="L2667" i="5" s="1"/>
  <c r="L1077" i="5" a="1"/>
  <c r="L1077" i="5" s="1"/>
  <c r="L10" i="5" a="1"/>
  <c r="L10" i="5" s="1"/>
  <c r="L1078" i="5" a="1"/>
  <c r="L1078" i="5" s="1"/>
  <c r="L1187" i="5" a="1"/>
  <c r="L1187" i="5" s="1"/>
  <c r="L1188" i="5" a="1"/>
  <c r="L1188" i="5" s="1"/>
  <c r="L1189" i="5" a="1"/>
  <c r="L1189" i="5" s="1"/>
  <c r="L1190" i="5" a="1"/>
  <c r="L1190" i="5" s="1"/>
  <c r="L121" i="5" a="1"/>
  <c r="L121" i="5" s="1"/>
  <c r="L2831" i="5" a="1"/>
  <c r="L2831" i="5" s="1"/>
  <c r="L122" i="5" a="1"/>
  <c r="L122" i="5" s="1"/>
  <c r="L123" i="5" a="1"/>
  <c r="L123" i="5" s="1"/>
  <c r="L2832" i="5" a="1"/>
  <c r="L2832" i="5" s="1"/>
  <c r="L124" i="5" a="1"/>
  <c r="L124" i="5" s="1"/>
  <c r="L2833" i="5" a="1"/>
  <c r="L2833" i="5" s="1"/>
  <c r="L125" i="5" a="1"/>
  <c r="L125" i="5" s="1"/>
  <c r="L1191" i="5" a="1"/>
  <c r="L1191" i="5" s="1"/>
  <c r="L126" i="5" a="1"/>
  <c r="L126" i="5" s="1"/>
  <c r="L1192" i="5" a="1"/>
  <c r="L1192" i="5" s="1"/>
  <c r="L2834" i="5" a="1"/>
  <c r="L2834" i="5" s="1"/>
  <c r="L1193" i="5" a="1"/>
  <c r="L1193" i="5" s="1"/>
  <c r="L358" i="5" a="1"/>
  <c r="L358" i="5" s="1"/>
  <c r="L359" i="5" a="1"/>
  <c r="L359" i="5" s="1"/>
  <c r="L3090" i="5" a="1"/>
  <c r="L3090" i="5" s="1"/>
  <c r="L1379" i="5" a="1"/>
  <c r="L1379" i="5" s="1"/>
  <c r="L1380" i="5" a="1"/>
  <c r="L1380" i="5" s="1"/>
  <c r="L3091" i="5" a="1"/>
  <c r="L3091" i="5" s="1"/>
  <c r="L360" i="5" a="1"/>
  <c r="L360" i="5" s="1"/>
  <c r="L1381" i="5" a="1"/>
  <c r="L1381" i="5" s="1"/>
  <c r="L1382" i="5" a="1"/>
  <c r="L1382" i="5" s="1"/>
  <c r="L1383" i="5" a="1"/>
  <c r="L1383" i="5" s="1"/>
  <c r="L361" i="5" a="1"/>
  <c r="L361" i="5" s="1"/>
  <c r="L3092" i="5" a="1"/>
  <c r="L3092" i="5" s="1"/>
  <c r="L3093" i="5" a="1"/>
  <c r="L3093" i="5" s="1"/>
  <c r="L1771" i="5" a="1"/>
  <c r="L1771" i="5" s="1"/>
  <c r="L741" i="5" a="1"/>
  <c r="L741" i="5" s="1"/>
  <c r="L742" i="5" a="1"/>
  <c r="L742" i="5" s="1"/>
  <c r="L743" i="5" a="1"/>
  <c r="L743" i="5" s="1"/>
  <c r="L744" i="5" a="1"/>
  <c r="L744" i="5" s="1"/>
  <c r="L745" i="5" a="1"/>
  <c r="L745" i="5" s="1"/>
  <c r="L3483" i="5" a="1"/>
  <c r="L3483" i="5" s="1"/>
  <c r="L3484" i="5" a="1"/>
  <c r="L3484" i="5" s="1"/>
  <c r="L1772" i="5" a="1"/>
  <c r="L1772" i="5" s="1"/>
  <c r="L746" i="5" a="1"/>
  <c r="L746" i="5" s="1"/>
  <c r="L1773" i="5" a="1"/>
  <c r="L1773" i="5" s="1"/>
  <c r="L747" i="5" a="1"/>
  <c r="L747" i="5" s="1"/>
  <c r="L1774" i="5" a="1"/>
  <c r="L1774" i="5" s="1"/>
  <c r="L3094" i="5" a="1"/>
  <c r="L3094" i="5" s="1"/>
  <c r="L362" i="5" a="1"/>
  <c r="L362" i="5" s="1"/>
  <c r="L363" i="5" a="1"/>
  <c r="L363" i="5" s="1"/>
  <c r="L364" i="5" a="1"/>
  <c r="L364" i="5" s="1"/>
  <c r="L365" i="5" a="1"/>
  <c r="L365" i="5" s="1"/>
  <c r="L366" i="5" a="1"/>
  <c r="L366" i="5" s="1"/>
  <c r="L1384" i="5" a="1"/>
  <c r="L1384" i="5" s="1"/>
  <c r="L367" i="5" a="1"/>
  <c r="L367" i="5" s="1"/>
  <c r="L1385" i="5" a="1"/>
  <c r="L1385" i="5" s="1"/>
  <c r="L1386" i="5" a="1"/>
  <c r="L1386" i="5" s="1"/>
  <c r="L1387" i="5" a="1"/>
  <c r="L1387" i="5" s="1"/>
  <c r="L3095" i="5" a="1"/>
  <c r="L3095" i="5" s="1"/>
  <c r="L368" i="5" a="1"/>
  <c r="L368" i="5" s="1"/>
  <c r="L3096" i="5" a="1"/>
  <c r="L3096" i="5" s="1"/>
  <c r="L369" i="5" a="1"/>
  <c r="L369" i="5" s="1"/>
  <c r="L3097" i="5" a="1"/>
  <c r="L3097" i="5" s="1"/>
  <c r="L370" i="5" a="1"/>
  <c r="L370" i="5" s="1"/>
  <c r="L1388" i="5" a="1"/>
  <c r="L1388" i="5" s="1"/>
  <c r="L3485" i="5" a="1"/>
  <c r="L3485" i="5" s="1"/>
  <c r="L3486" i="5" a="1"/>
  <c r="L3486" i="5" s="1"/>
  <c r="L1775" i="5" a="1"/>
  <c r="L1775" i="5" s="1"/>
  <c r="L3487" i="5" a="1"/>
  <c r="L3487" i="5" s="1"/>
  <c r="L1776" i="5" a="1"/>
  <c r="L1776" i="5" s="1"/>
  <c r="L1777" i="5" a="1"/>
  <c r="L1777" i="5" s="1"/>
  <c r="L3488" i="5" a="1"/>
  <c r="L3488" i="5" s="1"/>
  <c r="L1778" i="5" a="1"/>
  <c r="L1778" i="5" s="1"/>
  <c r="L1779" i="5" a="1"/>
  <c r="L1779" i="5" s="1"/>
  <c r="L1780" i="5" a="1"/>
  <c r="L1780" i="5" s="1"/>
  <c r="L1781" i="5" a="1"/>
  <c r="L1781" i="5" s="1"/>
  <c r="L3489" i="5" a="1"/>
  <c r="L3489" i="5" s="1"/>
  <c r="L1782" i="5" a="1"/>
  <c r="L1782" i="5" s="1"/>
  <c r="L748" i="5" a="1"/>
  <c r="L748" i="5" s="1"/>
  <c r="L2501" i="5" a="1"/>
  <c r="L2501" i="5" s="1"/>
  <c r="L749" i="5" a="1"/>
  <c r="L749" i="5" s="1"/>
  <c r="L2502" i="5" a="1"/>
  <c r="L2502" i="5" s="1"/>
  <c r="L2503" i="5" a="1"/>
  <c r="L2503" i="5" s="1"/>
  <c r="L1079" i="5" a="1"/>
  <c r="L1079" i="5" s="1"/>
  <c r="L2668" i="5" a="1"/>
  <c r="L2668" i="5" s="1"/>
  <c r="L2160" i="5" a="1"/>
  <c r="L2160" i="5" s="1"/>
  <c r="L2669" i="5" a="1"/>
  <c r="L2669" i="5" s="1"/>
  <c r="L2161" i="5" a="1"/>
  <c r="L2161" i="5" s="1"/>
  <c r="L2670" i="5" a="1"/>
  <c r="L2670" i="5" s="1"/>
  <c r="L11" i="5" a="1"/>
  <c r="L11" i="5" s="1"/>
  <c r="L12" i="5" a="1"/>
  <c r="L12" i="5" s="1"/>
  <c r="L2162" i="5" a="1"/>
  <c r="L2162" i="5" s="1"/>
  <c r="L13" i="5" a="1"/>
  <c r="L13" i="5" s="1"/>
  <c r="L2163" i="5" a="1"/>
  <c r="L2163" i="5" s="1"/>
  <c r="L14" i="5" a="1"/>
  <c r="L14" i="5" s="1"/>
  <c r="L1080" i="5" a="1"/>
  <c r="L1080" i="5" s="1"/>
  <c r="L15" i="5" a="1"/>
  <c r="L15" i="5" s="1"/>
  <c r="L2671" i="5" a="1"/>
  <c r="L2671" i="5" s="1"/>
  <c r="L2164" i="5" a="1"/>
  <c r="L2164" i="5" s="1"/>
  <c r="L16" i="5" a="1"/>
  <c r="L16" i="5" s="1"/>
  <c r="L2672" i="5" a="1"/>
  <c r="L2672" i="5" s="1"/>
  <c r="L1081" i="5" a="1"/>
  <c r="L1081" i="5" s="1"/>
  <c r="L1082" i="5" a="1"/>
  <c r="L1082" i="5" s="1"/>
  <c r="L2673" i="5" a="1"/>
  <c r="L2673" i="5" s="1"/>
  <c r="L2165" i="5" a="1"/>
  <c r="L2165" i="5" s="1"/>
  <c r="L2166" i="5" a="1"/>
  <c r="L2166" i="5" s="1"/>
  <c r="L17" i="5" a="1"/>
  <c r="L17" i="5" s="1"/>
  <c r="L1083" i="5" a="1"/>
  <c r="L1083" i="5" s="1"/>
  <c r="L1084" i="5" a="1"/>
  <c r="L1084" i="5"/>
  <c r="L2835" i="5" a="1"/>
  <c r="L2835" i="5" s="1"/>
  <c r="L1194" i="5" a="1"/>
  <c r="L1194" i="5" s="1"/>
  <c r="L2836" i="5" a="1"/>
  <c r="L2836" i="5" s="1"/>
  <c r="L2215" i="5" a="1"/>
  <c r="L2215" i="5" s="1"/>
  <c r="L127" i="5" a="1"/>
  <c r="L127" i="5" s="1"/>
  <c r="L1195" i="5" a="1"/>
  <c r="L1195" i="5" s="1"/>
  <c r="L2216" i="5" a="1"/>
  <c r="L2216" i="5" s="1"/>
  <c r="L128" i="5" a="1"/>
  <c r="L128" i="5" s="1"/>
  <c r="L1196" i="5" a="1"/>
  <c r="L1196" i="5" s="1"/>
  <c r="L129" i="5" a="1"/>
  <c r="L129" i="5" s="1"/>
  <c r="L1197" i="5" a="1"/>
  <c r="L1197" i="5" s="1"/>
  <c r="L1198" i="5" a="1"/>
  <c r="L1198" i="5" s="1"/>
  <c r="L130" i="5" a="1"/>
  <c r="L130" i="5" s="1"/>
  <c r="L2217" i="5" a="1"/>
  <c r="L2217" i="5" s="1"/>
  <c r="L2218" i="5" a="1"/>
  <c r="L2218" i="5" s="1"/>
  <c r="L2837" i="5" a="1"/>
  <c r="L2837" i="5" s="1"/>
  <c r="L2219" i="5" a="1"/>
  <c r="L2219" i="5" s="1"/>
  <c r="L1199" i="5" a="1"/>
  <c r="L1199" i="5" s="1"/>
  <c r="L2220" i="5" a="1"/>
  <c r="L2220" i="5" s="1"/>
  <c r="L131" i="5" a="1"/>
  <c r="L131" i="5" s="1"/>
  <c r="L2326" i="5" a="1"/>
  <c r="L2326" i="5" s="1"/>
  <c r="L371" i="5" a="1"/>
  <c r="L371" i="5" s="1"/>
  <c r="L3098" i="5" a="1"/>
  <c r="L3098" i="5" s="1"/>
  <c r="L2327" i="5" a="1"/>
  <c r="L2327" i="5" s="1"/>
  <c r="L750" i="5" a="1"/>
  <c r="L750" i="5" s="1"/>
  <c r="L1783" i="5" a="1"/>
  <c r="L1783" i="5" s="1"/>
  <c r="L3490" i="5" a="1"/>
  <c r="L3490" i="5" s="1"/>
  <c r="L751" i="5" a="1"/>
  <c r="L751" i="5" s="1"/>
  <c r="L3491" i="5" a="1"/>
  <c r="L3491" i="5" s="1"/>
  <c r="L2504" i="5" a="1"/>
  <c r="L2504" i="5" s="1"/>
  <c r="L752" i="5" a="1"/>
  <c r="L752" i="5" s="1"/>
  <c r="L1085" i="5" a="1"/>
  <c r="L1085" i="5" s="1"/>
  <c r="L2674" i="5" a="1"/>
  <c r="L2674" i="5" s="1"/>
  <c r="L2675" i="5" a="1"/>
  <c r="L2675" i="5" s="1"/>
  <c r="L1086" i="5" a="1"/>
  <c r="L1086" i="5" s="1"/>
  <c r="L1087" i="5" a="1"/>
  <c r="L1087" i="5" s="1"/>
  <c r="L1088" i="5" a="1"/>
  <c r="L1088" i="5" s="1"/>
  <c r="L1089" i="5" a="1"/>
  <c r="L1089" i="5" s="1"/>
  <c r="L2676" i="5" a="1"/>
  <c r="L2676" i="5" s="1"/>
  <c r="L1090" i="5" a="1"/>
  <c r="L1090" i="5" s="1"/>
  <c r="L18" i="5" a="1"/>
  <c r="L18" i="5" s="1"/>
  <c r="L19" i="5" a="1"/>
  <c r="L19" i="5" s="1"/>
  <c r="L20" i="5" a="1"/>
  <c r="L20" i="5" s="1"/>
  <c r="L1091" i="5" a="1"/>
  <c r="L1091" i="5" s="1"/>
  <c r="L2677" i="5" a="1"/>
  <c r="L2677" i="5" s="1"/>
  <c r="L21" i="5" a="1"/>
  <c r="L21" i="5" s="1"/>
  <c r="L2678" i="5" a="1"/>
  <c r="L2678" i="5" s="1"/>
  <c r="L2679" i="5" a="1"/>
  <c r="L2679" i="5" s="1"/>
  <c r="L22" i="5" a="1"/>
  <c r="L22" i="5" s="1"/>
  <c r="L23" i="5" a="1"/>
  <c r="L23" i="5" s="1"/>
  <c r="L24" i="5" a="1"/>
  <c r="L24" i="5" s="1"/>
  <c r="L2680" i="5" a="1"/>
  <c r="L2680" i="5" s="1"/>
  <c r="L25" i="5" a="1"/>
  <c r="L25" i="5" s="1"/>
  <c r="L2838" i="5" a="1"/>
  <c r="L2838" i="5" s="1"/>
  <c r="L2839" i="5" a="1"/>
  <c r="L2839" i="5" s="1"/>
  <c r="L2840" i="5" a="1"/>
  <c r="L2840" i="5" s="1"/>
  <c r="L2841" i="5" a="1"/>
  <c r="L2841" i="5" s="1"/>
  <c r="L2842" i="5" a="1"/>
  <c r="L2842" i="5" s="1"/>
  <c r="L1200" i="5" a="1"/>
  <c r="L1200" i="5" s="1"/>
  <c r="L1201" i="5" a="1"/>
  <c r="L1201" i="5" s="1"/>
  <c r="L2843" i="5" a="1"/>
  <c r="L2843" i="5" s="1"/>
  <c r="L2844" i="5" a="1"/>
  <c r="L2844" i="5" s="1"/>
  <c r="L1202" i="5" a="1"/>
  <c r="L1202" i="5" s="1"/>
  <c r="L2845" i="5" a="1"/>
  <c r="L2845" i="5" s="1"/>
  <c r="L2846" i="5" a="1"/>
  <c r="L2846" i="5" s="1"/>
  <c r="L1203" i="5" a="1"/>
  <c r="L1203" i="5" s="1"/>
  <c r="L1204" i="5" a="1"/>
  <c r="L1204" i="5" s="1"/>
  <c r="L132" i="5" a="1"/>
  <c r="L132" i="5" s="1"/>
  <c r="L1205" i="5" a="1"/>
  <c r="L1205" i="5" s="1"/>
  <c r="L2847" i="5" a="1"/>
  <c r="L2847" i="5" s="1"/>
  <c r="L133" i="5" a="1"/>
  <c r="L133" i="5" s="1"/>
  <c r="L2848" i="5" a="1"/>
  <c r="L2848" i="5" s="1"/>
  <c r="L1206" i="5" a="1"/>
  <c r="L1206" i="5" s="1"/>
  <c r="L2849" i="5" a="1"/>
  <c r="L2849" i="5" s="1"/>
  <c r="L1207" i="5" a="1"/>
  <c r="L1207" i="5" s="1"/>
  <c r="L1208" i="5" a="1"/>
  <c r="L1208" i="5" s="1"/>
  <c r="L134" i="5" a="1"/>
  <c r="L134" i="5" s="1"/>
  <c r="L135" i="5" a="1"/>
  <c r="L135" i="5"/>
  <c r="L1209" i="5" a="1"/>
  <c r="L1209" i="5" s="1"/>
  <c r="L1210" i="5" a="1"/>
  <c r="L1210" i="5" s="1"/>
  <c r="L2850" i="5" a="1"/>
  <c r="L2850" i="5" s="1"/>
  <c r="L136" i="5" a="1"/>
  <c r="L136" i="5" s="1"/>
  <c r="L137" i="5" a="1"/>
  <c r="L137" i="5" s="1"/>
  <c r="L1211" i="5" a="1"/>
  <c r="L1211" i="5" s="1"/>
  <c r="L2851" i="5" a="1"/>
  <c r="L2851" i="5" s="1"/>
  <c r="L1212" i="5" a="1"/>
  <c r="L1212" i="5" s="1"/>
  <c r="L1213" i="5" a="1"/>
  <c r="L1213" i="5" s="1"/>
  <c r="L1214" i="5" a="1"/>
  <c r="L1214" i="5" s="1"/>
  <c r="L138" i="5" a="1"/>
  <c r="L138" i="5" s="1"/>
  <c r="L139" i="5" a="1"/>
  <c r="L139" i="5" s="1"/>
  <c r="L1215" i="5" a="1"/>
  <c r="L1215" i="5" s="1"/>
  <c r="L140" i="5" a="1"/>
  <c r="L140" i="5" s="1"/>
  <c r="L1216" i="5" a="1"/>
  <c r="L1216" i="5" s="1"/>
  <c r="L2852" i="5" a="1"/>
  <c r="L2852" i="5" s="1"/>
  <c r="L141" i="5" a="1"/>
  <c r="L141" i="5" s="1"/>
  <c r="L142" i="5" a="1"/>
  <c r="L142" i="5" s="1"/>
  <c r="L2853" i="5" a="1"/>
  <c r="L2853" i="5" s="1"/>
  <c r="L143" i="5" a="1"/>
  <c r="L143" i="5" s="1"/>
  <c r="L144" i="5" a="1"/>
  <c r="L144" i="5" s="1"/>
  <c r="L145" i="5" a="1"/>
  <c r="L145" i="5" s="1"/>
  <c r="L2854" i="5" a="1"/>
  <c r="L2854" i="5" s="1"/>
  <c r="L2855" i="5" a="1"/>
  <c r="L2855" i="5" s="1"/>
  <c r="L1217" i="5" a="1"/>
  <c r="L1217" i="5" s="1"/>
  <c r="L1218" i="5" a="1"/>
  <c r="L1218" i="5" s="1"/>
  <c r="L146" i="5" a="1"/>
  <c r="L146" i="5" s="1"/>
  <c r="L2856" i="5" a="1"/>
  <c r="L2856" i="5" s="1"/>
  <c r="L147" i="5" a="1"/>
  <c r="L147" i="5" s="1"/>
  <c r="L1219" i="5" a="1"/>
  <c r="L1219" i="5" s="1"/>
  <c r="L148" i="5" a="1"/>
  <c r="L148" i="5" s="1"/>
  <c r="L1220" i="5" a="1"/>
  <c r="L1220" i="5" s="1"/>
  <c r="L2857" i="5" a="1"/>
  <c r="L2857" i="5" s="1"/>
  <c r="L149" i="5" a="1"/>
  <c r="L149" i="5" s="1"/>
  <c r="L1221" i="5" a="1"/>
  <c r="L1221" i="5" s="1"/>
  <c r="L150" i="5" a="1"/>
  <c r="L150" i="5" s="1"/>
  <c r="L151" i="5" a="1"/>
  <c r="L151" i="5" s="1"/>
  <c r="L1222" i="5" a="1"/>
  <c r="L1222" i="5" s="1"/>
  <c r="L1223" i="5" a="1"/>
  <c r="L1223" i="5" s="1"/>
  <c r="L2858" i="5" a="1"/>
  <c r="L2858" i="5" s="1"/>
  <c r="L152" i="5" a="1"/>
  <c r="L152" i="5" s="1"/>
  <c r="L2859" i="5" a="1"/>
  <c r="L2859" i="5" s="1"/>
  <c r="L153" i="5" a="1"/>
  <c r="L153" i="5" s="1"/>
  <c r="L154" i="5" a="1"/>
  <c r="L154" i="5" s="1"/>
  <c r="L372" i="5" a="1"/>
  <c r="L372" i="5" s="1"/>
  <c r="L1389" i="5" a="1"/>
  <c r="L1389" i="5" s="1"/>
  <c r="L373" i="5" a="1"/>
  <c r="L373" i="5" s="1"/>
  <c r="L1784" i="5" a="1"/>
  <c r="L1784" i="5" s="1"/>
  <c r="L1785" i="5" a="1"/>
  <c r="L1785" i="5" s="1"/>
  <c r="L3492" i="5" a="1"/>
  <c r="L3492" i="5" s="1"/>
  <c r="L374" i="5" a="1"/>
  <c r="L374" i="5" s="1"/>
  <c r="L1390" i="5" a="1"/>
  <c r="L1390" i="5" s="1"/>
  <c r="L375" i="5" a="1"/>
  <c r="L375" i="5" s="1"/>
  <c r="L3099" i="5" a="1"/>
  <c r="L3099" i="5" s="1"/>
  <c r="L3100" i="5" a="1"/>
  <c r="L3100" i="5" s="1"/>
  <c r="L376" i="5" a="1"/>
  <c r="L376" i="5" s="1"/>
  <c r="L1391" i="5" a="1"/>
  <c r="L1391" i="5" s="1"/>
  <c r="L1392" i="5" a="1"/>
  <c r="L1392" i="5" s="1"/>
  <c r="L377" i="5" a="1"/>
  <c r="L377" i="5" s="1"/>
  <c r="L378" i="5" a="1"/>
  <c r="L378" i="5" s="1"/>
  <c r="L3101" i="5" a="1"/>
  <c r="L3101" i="5" s="1"/>
  <c r="L3102" i="5" a="1"/>
  <c r="L3102" i="5" s="1"/>
  <c r="L1393" i="5" a="1"/>
  <c r="L1393" i="5" s="1"/>
  <c r="L379" i="5" a="1"/>
  <c r="L379" i="5" s="1"/>
  <c r="L1394" i="5" a="1"/>
  <c r="L1394" i="5" s="1"/>
  <c r="L380" i="5" a="1"/>
  <c r="L380" i="5" s="1"/>
  <c r="L1395" i="5" a="1"/>
  <c r="L1395" i="5" s="1"/>
  <c r="L1396" i="5" a="1"/>
  <c r="L1396" i="5" s="1"/>
  <c r="L1397" i="5" a="1"/>
  <c r="L1397" i="5" s="1"/>
  <c r="L1398" i="5" a="1"/>
  <c r="L1398" i="5" s="1"/>
  <c r="L3493" i="5" a="1"/>
  <c r="L3493" i="5" s="1"/>
  <c r="L1786" i="5" a="1"/>
  <c r="L1786" i="5" s="1"/>
  <c r="L3494" i="5" a="1"/>
  <c r="L3494" i="5" s="1"/>
  <c r="L3495" i="5" a="1"/>
  <c r="L3495" i="5" s="1"/>
  <c r="L1787" i="5" a="1"/>
  <c r="L1787" i="5" s="1"/>
  <c r="L3496" i="5" a="1"/>
  <c r="L3496" i="5" s="1"/>
  <c r="L1788" i="5" a="1"/>
  <c r="L1788" i="5" s="1"/>
  <c r="L1789" i="5" a="1"/>
  <c r="L1789" i="5" s="1"/>
  <c r="L1790" i="5" a="1"/>
  <c r="L1790" i="5" s="1"/>
  <c r="L753" i="5" a="1"/>
  <c r="L753" i="5" s="1"/>
  <c r="L3497" i="5" a="1"/>
  <c r="L3497" i="5" s="1"/>
  <c r="L754" i="5" a="1"/>
  <c r="L754" i="5" s="1"/>
  <c r="L381" i="5" a="1"/>
  <c r="L381" i="5" s="1"/>
  <c r="L1399" i="5" a="1"/>
  <c r="L1399" i="5" s="1"/>
  <c r="L382" i="5" a="1"/>
  <c r="L382" i="5" s="1"/>
  <c r="L383" i="5" a="1"/>
  <c r="L383" i="5" s="1"/>
  <c r="L1400" i="5" a="1"/>
  <c r="L1400" i="5" s="1"/>
  <c r="L3498" i="5" a="1"/>
  <c r="L3498" i="5" s="1"/>
  <c r="L1791" i="5" a="1"/>
  <c r="L1791" i="5" s="1"/>
  <c r="L3499" i="5" a="1"/>
  <c r="L3499" i="5" s="1"/>
  <c r="L1792" i="5" a="1"/>
  <c r="L1792" i="5" s="1"/>
  <c r="L1793" i="5" a="1"/>
  <c r="L1793" i="5" s="1"/>
  <c r="L1794" i="5" a="1"/>
  <c r="L1794" i="5" s="1"/>
  <c r="L1795" i="5" a="1"/>
  <c r="L1795" i="5" s="1"/>
  <c r="L1796" i="5" a="1"/>
  <c r="L1796" i="5" s="1"/>
  <c r="L1797" i="5" a="1"/>
  <c r="L1797" i="5" s="1"/>
  <c r="L1798" i="5" a="1"/>
  <c r="L1798" i="5" s="1"/>
  <c r="L1799" i="5" a="1"/>
  <c r="L1799" i="5" s="1"/>
  <c r="L3500" i="5" a="1"/>
  <c r="L3500" i="5" s="1"/>
  <c r="L1800" i="5" a="1"/>
  <c r="L1800" i="5" s="1"/>
  <c r="L1801" i="5" a="1"/>
  <c r="L1801" i="5" s="1"/>
  <c r="L3501" i="5" a="1"/>
  <c r="L3501" i="5" s="1"/>
  <c r="L1802" i="5" a="1"/>
  <c r="L1802" i="5" s="1"/>
  <c r="L3502" i="5" a="1"/>
  <c r="L3502" i="5" s="1"/>
  <c r="L3503" i="5" a="1"/>
  <c r="L3503" i="5" s="1"/>
  <c r="L3504" i="5" a="1"/>
  <c r="L3504" i="5" s="1"/>
  <c r="L3505" i="5" a="1"/>
  <c r="L3505" i="5" s="1"/>
  <c r="L1803" i="5" a="1"/>
  <c r="L1803" i="5" s="1"/>
  <c r="L3506" i="5" a="1"/>
  <c r="L3506" i="5" s="1"/>
  <c r="L1804" i="5" a="1"/>
  <c r="L1804" i="5" s="1"/>
  <c r="L3507" i="5" a="1"/>
  <c r="L3507" i="5" s="1"/>
  <c r="L1805" i="5" a="1"/>
  <c r="L1805" i="5" s="1"/>
  <c r="L1806" i="5" a="1"/>
  <c r="L1806" i="5" s="1"/>
  <c r="L3508" i="5" a="1"/>
  <c r="L3508" i="5" s="1"/>
  <c r="L3509" i="5" a="1"/>
  <c r="L3509" i="5" s="1"/>
  <c r="L3103" i="5" a="1"/>
  <c r="L3103" i="5" s="1"/>
  <c r="L3104" i="5" a="1"/>
  <c r="L3104" i="5" s="1"/>
  <c r="L3105" i="5" a="1"/>
  <c r="L3105" i="5" s="1"/>
  <c r="L3106" i="5" a="1"/>
  <c r="L3106" i="5" s="1"/>
  <c r="L3107" i="5" a="1"/>
  <c r="L3107" i="5" s="1"/>
  <c r="L3108" i="5" a="1"/>
  <c r="L3108" i="5" s="1"/>
  <c r="L3109" i="5" a="1"/>
  <c r="L3109" i="5" s="1"/>
  <c r="L3110" i="5" a="1"/>
  <c r="L3110" i="5" s="1"/>
  <c r="L3111" i="5" a="1"/>
  <c r="L3111" i="5" s="1"/>
  <c r="L3112" i="5" a="1"/>
  <c r="L3112" i="5" s="1"/>
  <c r="L3113" i="5" a="1"/>
  <c r="L3113" i="5" s="1"/>
  <c r="L3114" i="5" a="1"/>
  <c r="L3114" i="5" s="1"/>
  <c r="L3115" i="5" a="1"/>
  <c r="L3115" i="5" s="1"/>
  <c r="L3116" i="5" a="1"/>
  <c r="L3116" i="5" s="1"/>
  <c r="L3117" i="5" a="1"/>
  <c r="L3117" i="5" s="1"/>
  <c r="L3118" i="5" a="1"/>
  <c r="L3118" i="5" s="1"/>
  <c r="L3119" i="5" a="1"/>
  <c r="L3119" i="5" s="1"/>
  <c r="L3510" i="5" a="1"/>
  <c r="L3510" i="5" s="1"/>
  <c r="L3511" i="5" a="1"/>
  <c r="L3511" i="5" s="1"/>
  <c r="L3120" i="5" a="1"/>
  <c r="L3120" i="5" s="1"/>
  <c r="L3121" i="5" a="1"/>
  <c r="L3121" i="5" s="1"/>
  <c r="L3122" i="5" a="1"/>
  <c r="L3122" i="5" s="1"/>
  <c r="L3123" i="5" a="1"/>
  <c r="L3123" i="5" s="1"/>
  <c r="L3124" i="5" a="1"/>
  <c r="L3124" i="5" s="1"/>
  <c r="L3125" i="5" a="1"/>
  <c r="L3125" i="5" s="1"/>
  <c r="L3126" i="5" a="1"/>
  <c r="L3126" i="5" s="1"/>
  <c r="L3127" i="5" a="1"/>
  <c r="L3127" i="5" s="1"/>
  <c r="L3128" i="5" a="1"/>
  <c r="L3128" i="5" s="1"/>
  <c r="L3512" i="5" a="1"/>
  <c r="L3512" i="5" s="1"/>
  <c r="L3513" i="5" a="1"/>
  <c r="L3513" i="5" s="1"/>
  <c r="L3514" i="5" a="1"/>
  <c r="L3514" i="5" s="1"/>
  <c r="L3515" i="5" a="1"/>
  <c r="L3515" i="5" s="1"/>
  <c r="L3516" i="5" a="1"/>
  <c r="L3516" i="5" s="1"/>
  <c r="L3517" i="5" a="1"/>
  <c r="L3517" i="5" s="1"/>
  <c r="L3518" i="5" a="1"/>
  <c r="L3518" i="5" s="1"/>
  <c r="L3519" i="5" a="1"/>
  <c r="L3519" i="5" s="1"/>
  <c r="L3520" i="5" a="1"/>
  <c r="L3520" i="5" s="1"/>
  <c r="L3521" i="5" a="1"/>
  <c r="L3521" i="5" s="1"/>
  <c r="L26" i="5" a="1"/>
  <c r="L26" i="5" s="1"/>
  <c r="L27" i="5" a="1"/>
  <c r="L27" i="5" s="1"/>
  <c r="L2167" i="5" a="1"/>
  <c r="L2167" i="5" s="1"/>
  <c r="L28" i="5" a="1"/>
  <c r="L28" i="5" s="1"/>
  <c r="L2860" i="5" a="1"/>
  <c r="L2860" i="5" s="1"/>
  <c r="L2221" i="5" a="1"/>
  <c r="L2221" i="5" s="1"/>
  <c r="L155" i="5" a="1"/>
  <c r="L155" i="5" s="1"/>
  <c r="L2222" i="5" a="1"/>
  <c r="L2222" i="5" s="1"/>
  <c r="L156" i="5" a="1"/>
  <c r="L156" i="5" s="1"/>
  <c r="L157" i="5" a="1"/>
  <c r="L157" i="5" s="1"/>
  <c r="L2223" i="5" a="1"/>
  <c r="L2223" i="5" s="1"/>
  <c r="L1224" i="5" a="1"/>
  <c r="L1224" i="5" s="1"/>
  <c r="L1225" i="5" a="1"/>
  <c r="L1225" i="5" s="1"/>
  <c r="L2224" i="5" a="1"/>
  <c r="L2224" i="5" s="1"/>
  <c r="L158" i="5" a="1"/>
  <c r="L158" i="5" s="1"/>
  <c r="L2861" i="5" a="1"/>
  <c r="L2861" i="5" s="1"/>
  <c r="L159" i="5" a="1"/>
  <c r="L159" i="5" s="1"/>
  <c r="L2862" i="5" a="1"/>
  <c r="L2862" i="5" s="1"/>
  <c r="L1226" i="5" a="1"/>
  <c r="L1226" i="5" s="1"/>
  <c r="L1227" i="5" a="1"/>
  <c r="L1227" i="5" s="1"/>
  <c r="L160" i="5" a="1"/>
  <c r="L160" i="5" s="1"/>
  <c r="L161" i="5" a="1"/>
  <c r="L161" i="5" s="1"/>
  <c r="L2863" i="5" a="1"/>
  <c r="L2863" i="5" s="1"/>
  <c r="L1228" i="5" a="1"/>
  <c r="L1228" i="5" s="1"/>
  <c r="L1229" i="5" a="1"/>
  <c r="L1229" i="5" s="1"/>
  <c r="L2225" i="5" a="1"/>
  <c r="L2225" i="5" s="1"/>
  <c r="L2226" i="5" a="1"/>
  <c r="L2226" i="5" s="1"/>
  <c r="L1230" i="5" a="1"/>
  <c r="L1230" i="5" s="1"/>
  <c r="L1401" i="5" a="1"/>
  <c r="L1401" i="5" s="1"/>
  <c r="L2328" i="5" a="1"/>
  <c r="L2328" i="5" s="1"/>
  <c r="L1402" i="5" a="1"/>
  <c r="L1402" i="5" s="1"/>
  <c r="L1403" i="5" a="1"/>
  <c r="L1403" i="5" s="1"/>
  <c r="L3129" i="5" a="1"/>
  <c r="L3129" i="5" s="1"/>
  <c r="L3522" i="5" a="1"/>
  <c r="L3522" i="5" s="1"/>
  <c r="L755" i="5" a="1"/>
  <c r="L755" i="5" s="1"/>
  <c r="L2227" i="5" a="1"/>
  <c r="L2227" i="5" s="1"/>
  <c r="L2228" i="5" a="1"/>
  <c r="L2228" i="5" s="1"/>
  <c r="L162" i="5" a="1"/>
  <c r="L162" i="5" s="1"/>
  <c r="L2229" i="5" a="1"/>
  <c r="L2229" i="5" s="1"/>
  <c r="L163" i="5" a="1"/>
  <c r="L163" i="5" s="1"/>
  <c r="L164" i="5" a="1"/>
  <c r="L164" i="5" s="1"/>
  <c r="L165" i="5" a="1"/>
  <c r="L165" i="5" s="1"/>
  <c r="L166" i="5" a="1"/>
  <c r="L166" i="5" s="1"/>
  <c r="L2230" i="5" a="1"/>
  <c r="L2230" i="5" s="1"/>
  <c r="L167" i="5" a="1"/>
  <c r="L167" i="5" s="1"/>
  <c r="L2231" i="5" a="1"/>
  <c r="L2231" i="5" s="1"/>
  <c r="L168" i="5" a="1"/>
  <c r="L168" i="5" s="1"/>
  <c r="L2232" i="5" a="1"/>
  <c r="L2232" i="5" s="1"/>
  <c r="L2233" i="5" a="1"/>
  <c r="L2233" i="5" s="1"/>
  <c r="L2234" i="5" a="1"/>
  <c r="L2234" i="5" s="1"/>
  <c r="L169" i="5" a="1"/>
  <c r="L169" i="5" s="1"/>
  <c r="L2235" i="5" a="1"/>
  <c r="L2235" i="5" s="1"/>
  <c r="L2329" i="5" a="1"/>
  <c r="L2329" i="5" s="1"/>
  <c r="L2330" i="5" a="1"/>
  <c r="L2330" i="5" s="1"/>
  <c r="L2331" i="5" a="1"/>
  <c r="L2331" i="5" s="1"/>
  <c r="L2332" i="5" a="1"/>
  <c r="L2332" i="5" s="1"/>
  <c r="L2333" i="5" a="1"/>
  <c r="L2333" i="5" s="1"/>
  <c r="L2334" i="5" a="1"/>
  <c r="L2334" i="5" s="1"/>
  <c r="L2335" i="5" a="1"/>
  <c r="L2335" i="5" s="1"/>
  <c r="L384" i="5" a="1"/>
  <c r="L384" i="5" s="1"/>
  <c r="L385" i="5" a="1"/>
  <c r="L385" i="5" s="1"/>
  <c r="L386" i="5" a="1"/>
  <c r="L386" i="5" s="1"/>
  <c r="L2336" i="5" a="1"/>
  <c r="L2336" i="5" s="1"/>
  <c r="L2337" i="5" a="1"/>
  <c r="L2337" i="5" s="1"/>
  <c r="L2338" i="5" a="1"/>
  <c r="L2338" i="5" s="1"/>
  <c r="L387" i="5" a="1"/>
  <c r="L387" i="5" s="1"/>
  <c r="L756" i="5" a="1"/>
  <c r="L756" i="5" s="1"/>
  <c r="L2505" i="5" a="1"/>
  <c r="L2505" i="5" s="1"/>
  <c r="L757" i="5" a="1"/>
  <c r="L757" i="5" s="1"/>
  <c r="L2506" i="5" a="1"/>
  <c r="L2506" i="5" s="1"/>
  <c r="L758" i="5" a="1"/>
  <c r="L758" i="5" s="1"/>
  <c r="L2507" i="5" a="1"/>
  <c r="L2507" i="5" s="1"/>
  <c r="L2864" i="5" a="1"/>
  <c r="L2864" i="5" s="1"/>
  <c r="L2236" i="5" a="1"/>
  <c r="L2236" i="5" s="1"/>
  <c r="L170" i="5" a="1"/>
  <c r="L170" i="5" s="1"/>
  <c r="L2865" i="5" a="1"/>
  <c r="L2865" i="5"/>
  <c r="L2866" i="5" a="1"/>
  <c r="L2866" i="5" s="1"/>
  <c r="L171" i="5" a="1"/>
  <c r="L171" i="5" s="1"/>
  <c r="L172" i="5" a="1"/>
  <c r="L172" i="5" s="1"/>
  <c r="L2867" i="5" a="1"/>
  <c r="L2867" i="5" s="1"/>
  <c r="L2237" i="5" a="1"/>
  <c r="L2237" i="5" s="1"/>
  <c r="L2868" i="5" a="1"/>
  <c r="L2868" i="5" s="1"/>
  <c r="L173" i="5" a="1"/>
  <c r="L173" i="5" s="1"/>
  <c r="L174" i="5" a="1"/>
  <c r="L174" i="5" s="1"/>
  <c r="L175" i="5" a="1"/>
  <c r="L175" i="5" s="1"/>
  <c r="L2869" i="5" a="1"/>
  <c r="L2869" i="5" s="1"/>
  <c r="L2870" i="5" a="1"/>
  <c r="L2870" i="5" s="1"/>
  <c r="L2238" i="5" a="1"/>
  <c r="L2238" i="5" s="1"/>
  <c r="L2339" i="5" a="1"/>
  <c r="L2339" i="5" s="1"/>
  <c r="L2340" i="5" a="1"/>
  <c r="L2340" i="5" s="1"/>
  <c r="L3130" i="5" a="1"/>
  <c r="L3130" i="5" s="1"/>
  <c r="L2341" i="5" a="1"/>
  <c r="L2341" i="5" s="1"/>
  <c r="L2342" i="5" a="1"/>
  <c r="L2342" i="5" s="1"/>
  <c r="L3131" i="5" a="1"/>
  <c r="L3131" i="5" s="1"/>
  <c r="L388" i="5" a="1"/>
  <c r="L388" i="5" s="1"/>
  <c r="L3132" i="5" a="1"/>
  <c r="L3132" i="5" s="1"/>
  <c r="L2343" i="5" a="1"/>
  <c r="L2343" i="5" s="1"/>
  <c r="L3133" i="5" a="1"/>
  <c r="L3133" i="5" s="1"/>
  <c r="L2344" i="5" a="1"/>
  <c r="L2344" i="5" s="1"/>
  <c r="L2345" i="5" a="1"/>
  <c r="L2345" i="5" s="1"/>
  <c r="L389" i="5" a="1"/>
  <c r="L389" i="5" s="1"/>
  <c r="L2346" i="5" a="1"/>
  <c r="L2346" i="5" s="1"/>
  <c r="L2347" i="5" a="1"/>
  <c r="L2347" i="5" s="1"/>
  <c r="L2508" i="5" a="1"/>
  <c r="L2508" i="5" s="1"/>
  <c r="L759" i="5" a="1"/>
  <c r="L759" i="5" s="1"/>
  <c r="L760" i="5" a="1"/>
  <c r="L760" i="5" s="1"/>
  <c r="L2509" i="5" a="1"/>
  <c r="L2509" i="5" s="1"/>
  <c r="L3523" i="5" a="1"/>
  <c r="L3523" i="5" s="1"/>
  <c r="L390" i="5" a="1"/>
  <c r="L390" i="5" s="1"/>
  <c r="L2348" i="5" a="1"/>
  <c r="L2348" i="5" s="1"/>
  <c r="L3134" i="5" a="1"/>
  <c r="L3134" i="5" s="1"/>
  <c r="L2349" i="5" a="1"/>
  <c r="L2349" i="5" s="1"/>
  <c r="L2350" i="5" a="1"/>
  <c r="L2350" i="5" s="1"/>
  <c r="L2351" i="5" a="1"/>
  <c r="L2351" i="5" s="1"/>
  <c r="L391" i="5" a="1"/>
  <c r="L391" i="5" s="1"/>
  <c r="L2352" i="5" a="1"/>
  <c r="L2352" i="5" s="1"/>
  <c r="L392" i="5" a="1"/>
  <c r="L392" i="5" s="1"/>
  <c r="L2353" i="5" a="1"/>
  <c r="L2353" i="5" s="1"/>
  <c r="L2354" i="5" a="1"/>
  <c r="L2354" i="5" s="1"/>
  <c r="L393" i="5" a="1"/>
  <c r="L393" i="5" s="1"/>
  <c r="L394" i="5" a="1"/>
  <c r="L394" i="5" s="1"/>
  <c r="L2355" i="5" a="1"/>
  <c r="L2355" i="5" s="1"/>
  <c r="L2356" i="5" a="1"/>
  <c r="L2356" i="5" s="1"/>
  <c r="L395" i="5" a="1"/>
  <c r="L395" i="5" s="1"/>
  <c r="L3135" i="5" a="1"/>
  <c r="L3135" i="5" s="1"/>
  <c r="L2357" i="5" a="1"/>
  <c r="L2357" i="5" s="1"/>
  <c r="L2358" i="5" a="1"/>
  <c r="L2358" i="5" s="1"/>
  <c r="L2359" i="5" a="1"/>
  <c r="L2359" i="5" s="1"/>
  <c r="L2360" i="5" a="1"/>
  <c r="L2360" i="5" s="1"/>
  <c r="L396" i="5" a="1"/>
  <c r="L396" i="5" s="1"/>
  <c r="L3136" i="5" a="1"/>
  <c r="L3136" i="5" s="1"/>
  <c r="L2361" i="5" a="1"/>
  <c r="L2361" i="5" s="1"/>
  <c r="L397" i="5" a="1"/>
  <c r="L397" i="5" s="1"/>
  <c r="L2362" i="5" a="1"/>
  <c r="L2362" i="5" s="1"/>
  <c r="L2510" i="5" a="1"/>
  <c r="L2510" i="5" s="1"/>
  <c r="L2511" i="5" a="1"/>
  <c r="L2511" i="5" s="1"/>
  <c r="L3524" i="5" a="1"/>
  <c r="L3524" i="5" s="1"/>
  <c r="L3525" i="5" a="1"/>
  <c r="L3525" i="5" s="1"/>
  <c r="L2512" i="5" a="1"/>
  <c r="L2512" i="5" s="1"/>
  <c r="L2513" i="5" a="1"/>
  <c r="L2513" i="5" s="1"/>
  <c r="L3526" i="5" a="1"/>
  <c r="L3526" i="5" s="1"/>
  <c r="L2514" i="5" a="1"/>
  <c r="L2514" i="5" s="1"/>
  <c r="L2515" i="5" a="1"/>
  <c r="L2515" i="5" s="1"/>
  <c r="L2516" i="5" a="1"/>
  <c r="L2516" i="5" s="1"/>
  <c r="L2517" i="5" a="1"/>
  <c r="L2517" i="5" s="1"/>
  <c r="L2518" i="5" a="1"/>
  <c r="L2518" i="5" s="1"/>
  <c r="L3527" i="5" a="1"/>
  <c r="L3527" i="5" s="1"/>
  <c r="L2519" i="5" a="1"/>
  <c r="L2519" i="5" s="1"/>
  <c r="L2520" i="5" a="1"/>
  <c r="L2520" i="5" s="1"/>
  <c r="L2521" i="5" a="1"/>
  <c r="L2521" i="5" s="1"/>
  <c r="L2522" i="5" a="1"/>
  <c r="L2522" i="5" s="1"/>
  <c r="L2523" i="5" a="1"/>
  <c r="L2523" i="5" s="1"/>
  <c r="L3528" i="5" a="1"/>
  <c r="L3528" i="5" s="1"/>
  <c r="L3529" i="5" a="1"/>
  <c r="L3529" i="5" s="1"/>
  <c r="L761" i="5" a="1"/>
  <c r="L761" i="5" s="1"/>
  <c r="L3530" i="5" a="1"/>
  <c r="L3530" i="5" s="1"/>
  <c r="L1404" i="5" a="1"/>
  <c r="L1404" i="5" s="1"/>
  <c r="L1405" i="5" a="1"/>
  <c r="L1405" i="5" s="1"/>
  <c r="L1406" i="5" a="1"/>
  <c r="L1406" i="5" s="1"/>
  <c r="L1407" i="5" a="1"/>
  <c r="L1407" i="5" s="1"/>
  <c r="L1408" i="5" a="1"/>
  <c r="L1408" i="5" s="1"/>
  <c r="L1409" i="5" a="1"/>
  <c r="L1409" i="5" s="1"/>
  <c r="L1410" i="5" a="1"/>
  <c r="L1410" i="5" s="1"/>
  <c r="L398" i="5" a="1"/>
  <c r="L398" i="5" s="1"/>
  <c r="L399" i="5" a="1"/>
  <c r="L399" i="5" s="1"/>
  <c r="L762" i="5" a="1"/>
  <c r="L762" i="5" s="1"/>
  <c r="L763" i="5" a="1"/>
  <c r="L763" i="5" s="1"/>
  <c r="L764" i="5" a="1"/>
  <c r="L764" i="5" s="1"/>
  <c r="L1807" i="5" a="1"/>
  <c r="L1807" i="5" s="1"/>
  <c r="L1808" i="5" a="1"/>
  <c r="L1808" i="5" s="1"/>
  <c r="L1809" i="5" a="1"/>
  <c r="L1809" i="5" s="1"/>
  <c r="L1810" i="5" a="1"/>
  <c r="L1810" i="5" s="1"/>
  <c r="L1811" i="5" a="1"/>
  <c r="L1811" i="5" s="1"/>
  <c r="L1812" i="5" a="1"/>
  <c r="L1812" i="5" s="1"/>
  <c r="L1813" i="5" a="1"/>
  <c r="L1813" i="5" s="1"/>
  <c r="L1814" i="5" a="1"/>
  <c r="L1814" i="5" s="1"/>
  <c r="L1815" i="5" a="1"/>
  <c r="L1815" i="5" s="1"/>
  <c r="L1816" i="5" a="1"/>
  <c r="L1816" i="5" s="1"/>
  <c r="L1817" i="5" a="1"/>
  <c r="L1817" i="5" s="1"/>
  <c r="L1818" i="5" a="1"/>
  <c r="L1818" i="5" s="1"/>
  <c r="L1819" i="5" a="1"/>
  <c r="L1819" i="5" s="1"/>
  <c r="L1820" i="5" a="1"/>
  <c r="L1820" i="5" s="1"/>
  <c r="L1821" i="5" a="1"/>
  <c r="L1821" i="5" s="1"/>
  <c r="L1822" i="5" a="1"/>
  <c r="L1822" i="5" s="1"/>
  <c r="L1823" i="5" a="1"/>
  <c r="L1823" i="5" s="1"/>
  <c r="L1824" i="5" a="1"/>
  <c r="L1824" i="5" s="1"/>
  <c r="L1825" i="5" a="1"/>
  <c r="L1825" i="5" s="1"/>
  <c r="L1826" i="5" a="1"/>
  <c r="L1826" i="5" s="1"/>
  <c r="L765" i="5" a="1"/>
  <c r="L765" i="5" s="1"/>
  <c r="L766" i="5" a="1"/>
  <c r="L766" i="5" s="1"/>
  <c r="L1411" i="5" a="1"/>
  <c r="L1411" i="5" s="1"/>
  <c r="L400" i="5" a="1"/>
  <c r="L400" i="5" s="1"/>
  <c r="L3137" i="5" a="1"/>
  <c r="L3137" i="5" s="1"/>
  <c r="L401" i="5" a="1"/>
  <c r="L401" i="5" s="1"/>
  <c r="L402" i="5" a="1"/>
  <c r="L402" i="5" s="1"/>
  <c r="L403" i="5" a="1"/>
  <c r="L403" i="5" s="1"/>
  <c r="L1412" i="5" a="1"/>
  <c r="L1412" i="5" s="1"/>
  <c r="L1413" i="5" a="1"/>
  <c r="L1413" i="5" s="1"/>
  <c r="L3138" i="5" a="1"/>
  <c r="L3138" i="5" s="1"/>
  <c r="L1414" i="5" a="1"/>
  <c r="L1414" i="5" s="1"/>
  <c r="L1415" i="5" a="1"/>
  <c r="L1415" i="5" s="1"/>
  <c r="L404" i="5" a="1"/>
  <c r="L404" i="5" s="1"/>
  <c r="L405" i="5" a="1"/>
  <c r="L405" i="5" s="1"/>
  <c r="L406" i="5" a="1"/>
  <c r="L406" i="5" s="1"/>
  <c r="L3139" i="5" a="1"/>
  <c r="L3139" i="5" s="1"/>
  <c r="L407" i="5" a="1"/>
  <c r="L407" i="5" s="1"/>
  <c r="L3140" i="5" a="1"/>
  <c r="L3140" i="5" s="1"/>
  <c r="L408" i="5" a="1"/>
  <c r="L408" i="5" s="1"/>
  <c r="L1416" i="5" a="1"/>
  <c r="L1416" i="5" s="1"/>
  <c r="L1417" i="5" a="1"/>
  <c r="L1417" i="5" s="1"/>
  <c r="L3141" i="5" a="1"/>
  <c r="L3141" i="5" s="1"/>
  <c r="L3142" i="5" a="1"/>
  <c r="L3142" i="5" s="1"/>
  <c r="L1418" i="5" a="1"/>
  <c r="L1418" i="5" s="1"/>
  <c r="L1419" i="5" a="1"/>
  <c r="L1419" i="5" s="1"/>
  <c r="L409" i="5" a="1"/>
  <c r="L409" i="5" s="1"/>
  <c r="L3143" i="5" a="1"/>
  <c r="L3143" i="5" s="1"/>
  <c r="L1420" i="5" a="1"/>
  <c r="L1420" i="5" s="1"/>
  <c r="L410" i="5" a="1"/>
  <c r="L410" i="5" s="1"/>
  <c r="L411" i="5" a="1"/>
  <c r="L411" i="5" s="1"/>
  <c r="L412" i="5" a="1"/>
  <c r="L412" i="5" s="1"/>
  <c r="L413" i="5" a="1"/>
  <c r="L413" i="5" s="1"/>
  <c r="L1827" i="5" a="1"/>
  <c r="L1827" i="5" s="1"/>
  <c r="L767" i="5" a="1"/>
  <c r="L767" i="5" s="1"/>
  <c r="L768" i="5" a="1"/>
  <c r="L768" i="5" s="1"/>
  <c r="L1092" i="5" a="1"/>
  <c r="L1092" i="5" s="1"/>
  <c r="L2871" i="5" a="1"/>
  <c r="L2871" i="5" s="1"/>
  <c r="L176" i="5" a="1"/>
  <c r="L176" i="5" s="1"/>
  <c r="L177" i="5" a="1"/>
  <c r="L177" i="5" s="1"/>
  <c r="L2872" i="5" a="1"/>
  <c r="L2872" i="5" s="1"/>
  <c r="L178" i="5" a="1"/>
  <c r="L178" i="5" s="1"/>
  <c r="L179" i="5" a="1"/>
  <c r="L179" i="5" s="1"/>
  <c r="L1231" i="5" a="1"/>
  <c r="L1231" i="5" s="1"/>
  <c r="L180" i="5" a="1"/>
  <c r="L180" i="5" s="1"/>
  <c r="L414" i="5" a="1"/>
  <c r="L414" i="5" s="1"/>
  <c r="L415" i="5" a="1"/>
  <c r="L415" i="5" s="1"/>
  <c r="L416" i="5" a="1"/>
  <c r="L416" i="5" s="1"/>
  <c r="L3144" i="5" a="1"/>
  <c r="L3144" i="5" s="1"/>
  <c r="L3145" i="5" a="1"/>
  <c r="L3145" i="5" s="1"/>
  <c r="L3146" i="5" a="1"/>
  <c r="L3146" i="5" s="1"/>
  <c r="L417" i="5" a="1"/>
  <c r="L417" i="5" s="1"/>
  <c r="L418" i="5" a="1"/>
  <c r="L418" i="5" s="1"/>
  <c r="L419" i="5" a="1"/>
  <c r="L419" i="5" s="1"/>
  <c r="L3147" i="5" a="1"/>
  <c r="L3147" i="5" s="1"/>
  <c r="L3148" i="5" a="1"/>
  <c r="L3148" i="5" s="1"/>
  <c r="L420" i="5" a="1"/>
  <c r="L420" i="5" s="1"/>
  <c r="L421" i="5" a="1"/>
  <c r="L421" i="5" s="1"/>
  <c r="L422" i="5" a="1"/>
  <c r="L422" i="5" s="1"/>
  <c r="L423" i="5" a="1"/>
  <c r="L423" i="5" s="1"/>
  <c r="L424" i="5" a="1"/>
  <c r="L424" i="5" s="1"/>
  <c r="L3149" i="5" a="1"/>
  <c r="L3149" i="5" s="1"/>
  <c r="L425" i="5" a="1"/>
  <c r="L425" i="5" s="1"/>
  <c r="L3531" i="5" a="1"/>
  <c r="L3531" i="5" s="1"/>
  <c r="L3532" i="5" a="1"/>
  <c r="L3532" i="5" s="1"/>
  <c r="L3533" i="5" a="1"/>
  <c r="L3533" i="5" s="1"/>
  <c r="L1828" i="5" a="1"/>
  <c r="L1828" i="5" s="1"/>
  <c r="L1829" i="5" a="1"/>
  <c r="L1829" i="5" s="1"/>
  <c r="L1830" i="5" a="1"/>
  <c r="L1830" i="5" s="1"/>
  <c r="L1831" i="5" a="1"/>
  <c r="L1831" i="5" s="1"/>
  <c r="L2681" i="5" a="1"/>
  <c r="L2681" i="5" s="1"/>
  <c r="L1093" i="5" a="1"/>
  <c r="L1093" i="5" s="1"/>
  <c r="L29" i="5" a="1"/>
  <c r="L29" i="5" s="1"/>
  <c r="L30" i="5" a="1"/>
  <c r="L30" i="5" s="1"/>
  <c r="L2682" i="5" a="1"/>
  <c r="L2682" i="5" s="1"/>
  <c r="L2683" i="5" a="1"/>
  <c r="L2683" i="5" s="1"/>
  <c r="L2684" i="5" a="1"/>
  <c r="L2684" i="5" s="1"/>
  <c r="L31" i="5" a="1"/>
  <c r="L31" i="5" s="1"/>
  <c r="L2685" i="5" a="1"/>
  <c r="L2685" i="5" s="1"/>
  <c r="L1094" i="5" a="1"/>
  <c r="L1094" i="5" s="1"/>
  <c r="L2686" i="5" a="1"/>
  <c r="L2686" i="5" s="1"/>
  <c r="L1095" i="5" a="1"/>
  <c r="L1095" i="5" s="1"/>
  <c r="L1096" i="5" a="1"/>
  <c r="L1096" i="5" s="1"/>
  <c r="L1097" i="5" a="1"/>
  <c r="L1097" i="5" s="1"/>
  <c r="L32" i="5" a="1"/>
  <c r="L32" i="5" s="1"/>
  <c r="L1098" i="5" a="1"/>
  <c r="L1098" i="5" s="1"/>
  <c r="L2687" i="5" a="1"/>
  <c r="L2687" i="5" s="1"/>
  <c r="L33" i="5" a="1"/>
  <c r="L33" i="5" s="1"/>
  <c r="L1099" i="5" a="1"/>
  <c r="L1099" i="5" s="1"/>
  <c r="L2688" i="5" a="1"/>
  <c r="L2688" i="5" s="1"/>
  <c r="L34" i="5" a="1"/>
  <c r="L34" i="5" s="1"/>
  <c r="L1100" i="5" a="1"/>
  <c r="L1100" i="5" s="1"/>
  <c r="L1101" i="5" a="1"/>
  <c r="L1101" i="5" s="1"/>
  <c r="L2689" i="5" a="1"/>
  <c r="L2689" i="5" s="1"/>
  <c r="L2690" i="5" a="1"/>
  <c r="L2690" i="5" s="1"/>
  <c r="L2691" i="5" a="1"/>
  <c r="L2691" i="5"/>
  <c r="L1102" i="5" a="1"/>
  <c r="L1102" i="5" s="1"/>
  <c r="L35" i="5" a="1"/>
  <c r="L35" i="5" s="1"/>
  <c r="L2692" i="5" a="1"/>
  <c r="L2692" i="5" s="1"/>
  <c r="L2693" i="5" a="1"/>
  <c r="L2693" i="5" s="1"/>
  <c r="L1103" i="5" a="1"/>
  <c r="L1103" i="5" s="1"/>
  <c r="L1104" i="5" a="1"/>
  <c r="L1104" i="5" s="1"/>
  <c r="L2694" i="5" a="1"/>
  <c r="L2694" i="5" s="1"/>
  <c r="L2695" i="5" a="1"/>
  <c r="L2695" i="5" s="1"/>
  <c r="L36" i="5" a="1"/>
  <c r="L36" i="5" s="1"/>
  <c r="L2696" i="5" a="1"/>
  <c r="L2696" i="5" s="1"/>
  <c r="L37" i="5" a="1"/>
  <c r="L37" i="5" s="1"/>
  <c r="L2697" i="5" a="1"/>
  <c r="L2697" i="5" s="1"/>
  <c r="L1105" i="5" a="1"/>
  <c r="L1105" i="5" s="1"/>
  <c r="L38" i="5" a="1"/>
  <c r="L38" i="5" s="1"/>
  <c r="L2698" i="5" a="1"/>
  <c r="L2698" i="5" s="1"/>
  <c r="L39" i="5" a="1"/>
  <c r="L39" i="5" s="1"/>
  <c r="L1106" i="5" a="1"/>
  <c r="L1106" i="5" s="1"/>
  <c r="L1107" i="5" a="1"/>
  <c r="L1107" i="5" s="1"/>
  <c r="L1108" i="5" a="1"/>
  <c r="L1108" i="5" s="1"/>
  <c r="L1109" i="5" a="1"/>
  <c r="L1109" i="5" s="1"/>
  <c r="L2699" i="5" a="1"/>
  <c r="L2699" i="5" s="1"/>
  <c r="L1110" i="5" a="1"/>
  <c r="L1110" i="5"/>
  <c r="L1111" i="5" a="1"/>
  <c r="L1111" i="5" s="1"/>
  <c r="L2700" i="5" a="1"/>
  <c r="L2700" i="5" s="1"/>
  <c r="L2873" i="5" a="1"/>
  <c r="L2873" i="5" s="1"/>
  <c r="L1232" i="5" a="1"/>
  <c r="L1232" i="5" s="1"/>
  <c r="L181" i="5" a="1"/>
  <c r="L181" i="5" s="1"/>
  <c r="L182" i="5" a="1"/>
  <c r="L182" i="5" s="1"/>
  <c r="L1233" i="5" a="1"/>
  <c r="L1233" i="5" s="1"/>
  <c r="L183" i="5" a="1"/>
  <c r="L183" i="5" s="1"/>
  <c r="L184" i="5" a="1"/>
  <c r="L184" i="5" s="1"/>
  <c r="L2874" i="5" a="1"/>
  <c r="L2874" i="5" s="1"/>
  <c r="L2875" i="5" a="1"/>
  <c r="L2875" i="5" s="1"/>
  <c r="L185" i="5" a="1"/>
  <c r="L185" i="5" s="1"/>
  <c r="L1234" i="5" a="1"/>
  <c r="L1234" i="5" s="1"/>
  <c r="L2876" i="5" a="1"/>
  <c r="L2876" i="5" s="1"/>
  <c r="L426" i="5" a="1"/>
  <c r="L426" i="5" s="1"/>
  <c r="L769" i="5" a="1"/>
  <c r="L769" i="5" s="1"/>
  <c r="L770" i="5" a="1"/>
  <c r="L770" i="5" s="1"/>
  <c r="L771" i="5" a="1"/>
  <c r="L771" i="5" s="1"/>
  <c r="L772" i="5" a="1"/>
  <c r="L772" i="5" s="1"/>
  <c r="L773" i="5" a="1"/>
  <c r="L773" i="5" s="1"/>
  <c r="L774" i="5" a="1"/>
  <c r="L774" i="5" s="1"/>
  <c r="L775" i="5" a="1"/>
  <c r="L775" i="5" s="1"/>
  <c r="L776" i="5" a="1"/>
  <c r="L776" i="5" s="1"/>
  <c r="L777" i="5" a="1"/>
  <c r="L777" i="5" s="1"/>
  <c r="L778" i="5" a="1"/>
  <c r="L778" i="5" s="1"/>
  <c r="L779" i="5" a="1"/>
  <c r="L779" i="5" s="1"/>
  <c r="L780" i="5" a="1"/>
  <c r="L780" i="5" s="1"/>
  <c r="L781" i="5" a="1"/>
  <c r="L781" i="5" s="1"/>
  <c r="L782" i="5" a="1"/>
  <c r="L782" i="5" s="1"/>
  <c r="L783" i="5" a="1"/>
  <c r="L783" i="5" s="1"/>
  <c r="L784" i="5" a="1"/>
  <c r="L784" i="5" s="1"/>
  <c r="L785" i="5" a="1"/>
  <c r="L785" i="5" s="1"/>
  <c r="L786" i="5" a="1"/>
  <c r="L786" i="5" s="1"/>
  <c r="L787" i="5" a="1"/>
  <c r="L787" i="5" s="1"/>
  <c r="L788" i="5" a="1"/>
  <c r="L788" i="5" s="1"/>
  <c r="L2524" i="5" a="1"/>
  <c r="L2524" i="5" s="1"/>
  <c r="L2525" i="5" a="1"/>
  <c r="L2525" i="5" s="1"/>
  <c r="L2526" i="5" a="1"/>
  <c r="L2526" i="5" s="1"/>
  <c r="L2527" i="5" a="1"/>
  <c r="L2527" i="5" s="1"/>
  <c r="L2528" i="5" a="1"/>
  <c r="L2528" i="5" s="1"/>
  <c r="L2529" i="5" a="1"/>
  <c r="L2529" i="5" s="1"/>
  <c r="L2530" i="5" a="1"/>
  <c r="L2530" i="5" s="1"/>
  <c r="L2531" i="5" a="1"/>
  <c r="L2531" i="5" s="1"/>
  <c r="L2532" i="5" a="1"/>
  <c r="L2532" i="5" s="1"/>
  <c r="L2533" i="5" a="1"/>
  <c r="L2533" i="5" s="1"/>
  <c r="L2534" i="5" a="1"/>
  <c r="L2534" i="5" s="1"/>
  <c r="L2535" i="5" a="1"/>
  <c r="L2535" i="5" s="1"/>
  <c r="L2536" i="5" a="1"/>
  <c r="L2536" i="5" s="1"/>
  <c r="L2537" i="5" a="1"/>
  <c r="L2537" i="5" s="1"/>
  <c r="L2538" i="5" a="1"/>
  <c r="L2538" i="5" s="1"/>
  <c r="L2539" i="5" a="1"/>
  <c r="L2539" i="5" s="1"/>
  <c r="L2540" i="5" a="1"/>
  <c r="L2540" i="5" s="1"/>
  <c r="L2541" i="5" a="1"/>
  <c r="L2541" i="5" s="1"/>
  <c r="L2542" i="5" a="1"/>
  <c r="L2542" i="5" s="1"/>
  <c r="L2543" i="5" a="1"/>
  <c r="L2543" i="5" s="1"/>
  <c r="L2544" i="5" a="1"/>
  <c r="L2544" i="5" s="1"/>
  <c r="L2545" i="5" a="1"/>
  <c r="L2545" i="5" s="1"/>
  <c r="L2546" i="5" a="1"/>
  <c r="L2546" i="5" s="1"/>
  <c r="L2547" i="5" a="1"/>
  <c r="L2547" i="5" s="1"/>
  <c r="L2548" i="5" a="1"/>
  <c r="L2548" i="5" s="1"/>
  <c r="L2549" i="5" a="1"/>
  <c r="L2549" i="5" s="1"/>
  <c r="L2550" i="5" a="1"/>
  <c r="L2550" i="5" s="1"/>
  <c r="L2551" i="5" a="1"/>
  <c r="L2551" i="5" s="1"/>
  <c r="L2552" i="5" a="1"/>
  <c r="L2552" i="5" s="1"/>
  <c r="L2553" i="5" a="1"/>
  <c r="L2553" i="5" s="1"/>
  <c r="L2554" i="5" a="1"/>
  <c r="L2554" i="5" s="1"/>
  <c r="L2555" i="5" a="1"/>
  <c r="L2555" i="5" s="1"/>
  <c r="L2556" i="5" a="1"/>
  <c r="L2556" i="5" s="1"/>
  <c r="L2557" i="5" a="1"/>
  <c r="L2557" i="5" s="1"/>
  <c r="L2558" i="5" a="1"/>
  <c r="L2558" i="5" s="1"/>
  <c r="L2559" i="5" a="1"/>
  <c r="L2559" i="5" s="1"/>
  <c r="L2560" i="5" a="1"/>
  <c r="L2560" i="5" s="1"/>
  <c r="L2561" i="5" a="1"/>
  <c r="L2561" i="5" s="1"/>
  <c r="L2562" i="5" a="1"/>
  <c r="L2562" i="5" s="1"/>
  <c r="L2563" i="5" a="1"/>
  <c r="L2563" i="5" s="1"/>
  <c r="L2564" i="5" a="1"/>
  <c r="L2564" i="5" s="1"/>
  <c r="L2565" i="5" a="1"/>
  <c r="L2565" i="5" s="1"/>
  <c r="L2566" i="5" a="1"/>
  <c r="L2566" i="5" s="1"/>
  <c r="L2567" i="5" a="1"/>
  <c r="L2567" i="5" s="1"/>
  <c r="L2568" i="5" a="1"/>
  <c r="L2568" i="5" s="1"/>
  <c r="L3150" i="5" a="1"/>
  <c r="L3150" i="5" s="1"/>
  <c r="L3151" i="5" a="1"/>
  <c r="L3151" i="5" s="1"/>
  <c r="L3152" i="5" a="1"/>
  <c r="L3152" i="5" s="1"/>
  <c r="L3153" i="5" a="1"/>
  <c r="L3153" i="5" s="1"/>
  <c r="L3154" i="5" a="1"/>
  <c r="L3154" i="5" s="1"/>
  <c r="L3155" i="5" a="1"/>
  <c r="L3155" i="5" s="1"/>
  <c r="L3156" i="5" a="1"/>
  <c r="L3156" i="5" s="1"/>
  <c r="L3157" i="5" a="1"/>
  <c r="L3157" i="5" s="1"/>
  <c r="L3158" i="5" a="1"/>
  <c r="L3158" i="5" s="1"/>
  <c r="L3159" i="5" a="1"/>
  <c r="L3159" i="5" s="1"/>
  <c r="L3160" i="5" a="1"/>
  <c r="L3160" i="5" s="1"/>
  <c r="L3161" i="5" a="1"/>
  <c r="L3161" i="5" s="1"/>
  <c r="L3162" i="5" a="1"/>
  <c r="L3162" i="5" s="1"/>
  <c r="L3534" i="5" a="1"/>
  <c r="L3534" i="5" s="1"/>
  <c r="L3535" i="5" a="1"/>
  <c r="L3535" i="5" s="1"/>
  <c r="L3536" i="5" a="1"/>
  <c r="L3536" i="5" s="1"/>
  <c r="L3537" i="5" a="1"/>
  <c r="L3537" i="5" s="1"/>
  <c r="L3538" i="5" a="1"/>
  <c r="L3538" i="5" s="1"/>
  <c r="L3539" i="5" a="1"/>
  <c r="L3539" i="5" s="1"/>
  <c r="L3540" i="5" a="1"/>
  <c r="L3540" i="5" s="1"/>
  <c r="L3541" i="5" a="1"/>
  <c r="L3541" i="5" s="1"/>
  <c r="L1112" i="5" a="1"/>
  <c r="L1112" i="5" s="1"/>
  <c r="L1113" i="5" a="1"/>
  <c r="L1113" i="5" s="1"/>
  <c r="L1114" i="5" a="1"/>
  <c r="L1114" i="5" s="1"/>
  <c r="L1115" i="5" a="1"/>
  <c r="L1115" i="5" s="1"/>
  <c r="L1116" i="5" a="1"/>
  <c r="L1116" i="5" s="1"/>
  <c r="L2701" i="5" a="1"/>
  <c r="L2701" i="5" s="1"/>
  <c r="L2702" i="5" a="1"/>
  <c r="L2702" i="5"/>
  <c r="L1117" i="5" a="1"/>
  <c r="L1117" i="5" s="1"/>
  <c r="L2703" i="5" a="1"/>
  <c r="L2703" i="5" s="1"/>
  <c r="L2704" i="5" a="1"/>
  <c r="L2704" i="5" s="1"/>
  <c r="L2705" i="5" a="1"/>
  <c r="L2705" i="5" s="1"/>
  <c r="L2706" i="5" a="1"/>
  <c r="L2706" i="5" s="1"/>
  <c r="L1118" i="5" a="1"/>
  <c r="L1118" i="5" s="1"/>
  <c r="L2707" i="5" a="1"/>
  <c r="L2707" i="5" s="1"/>
  <c r="L2708" i="5" a="1"/>
  <c r="L2708" i="5" s="1"/>
  <c r="L2709" i="5" a="1"/>
  <c r="L2709" i="5" s="1"/>
  <c r="L2710" i="5" a="1"/>
  <c r="L2710" i="5" s="1"/>
  <c r="L40" i="5" a="1"/>
  <c r="L40" i="5" s="1"/>
  <c r="L41" i="5" a="1"/>
  <c r="L41" i="5" s="1"/>
  <c r="L1119" i="5" a="1"/>
  <c r="L1119" i="5" s="1"/>
  <c r="L42" i="5" a="1"/>
  <c r="L42" i="5" s="1"/>
  <c r="L43" i="5" a="1"/>
  <c r="L43" i="5" s="1"/>
  <c r="L1120" i="5" a="1"/>
  <c r="L1120" i="5" s="1"/>
  <c r="L2711" i="5" a="1"/>
  <c r="L2711" i="5" s="1"/>
  <c r="L2712" i="5" a="1"/>
  <c r="L2712" i="5" s="1"/>
  <c r="L1121" i="5" a="1"/>
  <c r="L1121" i="5" s="1"/>
  <c r="L1122" i="5" a="1"/>
  <c r="L1122" i="5" s="1"/>
  <c r="L1123" i="5" a="1"/>
  <c r="L1123" i="5" s="1"/>
  <c r="L1124" i="5" a="1"/>
  <c r="L1124" i="5" s="1"/>
  <c r="L1125" i="5" a="1"/>
  <c r="L1125" i="5" s="1"/>
  <c r="L1126" i="5" a="1"/>
  <c r="L1126" i="5" s="1"/>
  <c r="L2713" i="5" a="1"/>
  <c r="L2713" i="5" s="1"/>
  <c r="L1127" i="5" a="1"/>
  <c r="L1127" i="5" s="1"/>
  <c r="L2714" i="5" a="1"/>
  <c r="L2714" i="5" s="1"/>
  <c r="L2715" i="5" a="1"/>
  <c r="L2715" i="5" s="1"/>
  <c r="L1128" i="5" a="1"/>
  <c r="L1128" i="5" s="1"/>
  <c r="L2716" i="5" a="1"/>
  <c r="L2716" i="5" s="1"/>
  <c r="L1129" i="5" a="1"/>
  <c r="L1129" i="5" s="1"/>
  <c r="L2717" i="5" a="1"/>
  <c r="L2717" i="5" s="1"/>
  <c r="L2718" i="5" a="1"/>
  <c r="L2718" i="5" s="1"/>
  <c r="L1235" i="5" a="1"/>
  <c r="L1235" i="5" s="1"/>
  <c r="L2877" i="5" a="1"/>
  <c r="L2877" i="5" s="1"/>
  <c r="L1236" i="5" a="1"/>
  <c r="L1236" i="5" s="1"/>
  <c r="L1237" i="5" a="1"/>
  <c r="L1237" i="5" s="1"/>
  <c r="L2878" i="5" a="1"/>
  <c r="L2878" i="5" s="1"/>
  <c r="L1238" i="5" a="1"/>
  <c r="L1238" i="5" s="1"/>
  <c r="L1239" i="5" a="1"/>
  <c r="L1239" i="5" s="1"/>
  <c r="L2879" i="5" a="1"/>
  <c r="L2879" i="5" s="1"/>
  <c r="L1240" i="5" a="1"/>
  <c r="L1240" i="5" s="1"/>
  <c r="L1241" i="5" a="1"/>
  <c r="L1241" i="5" s="1"/>
  <c r="L2880" i="5" a="1"/>
  <c r="L2880" i="5" s="1"/>
  <c r="L2881" i="5" a="1"/>
  <c r="L2881" i="5" s="1"/>
  <c r="L2882" i="5" a="1"/>
  <c r="L2882" i="5" s="1"/>
  <c r="L2883" i="5" a="1"/>
  <c r="L2883" i="5" s="1"/>
  <c r="L2884" i="5" a="1"/>
  <c r="L2884" i="5" s="1"/>
  <c r="L2885" i="5" a="1"/>
  <c r="L2885" i="5" s="1"/>
  <c r="L1242" i="5" a="1"/>
  <c r="L1242" i="5" s="1"/>
  <c r="L2886" i="5" a="1"/>
  <c r="L2886" i="5" s="1"/>
  <c r="L2887" i="5" a="1"/>
  <c r="L2887" i="5" s="1"/>
  <c r="L2888" i="5" a="1"/>
  <c r="L2888" i="5" s="1"/>
  <c r="L1243" i="5" a="1"/>
  <c r="L1243" i="5" s="1"/>
  <c r="L1244" i="5" a="1"/>
  <c r="L1244" i="5" s="1"/>
  <c r="L2889" i="5" a="1"/>
  <c r="L2889" i="5" s="1"/>
  <c r="L2890" i="5" a="1"/>
  <c r="L2890" i="5" s="1"/>
  <c r="L1245" i="5" a="1"/>
  <c r="L1245" i="5" s="1"/>
  <c r="L1246" i="5" a="1"/>
  <c r="L1246" i="5" s="1"/>
  <c r="L2891" i="5" a="1"/>
  <c r="L2891" i="5" s="1"/>
  <c r="L1247" i="5" a="1"/>
  <c r="L1247" i="5" s="1"/>
  <c r="L2892" i="5" a="1"/>
  <c r="L2892" i="5" s="1"/>
  <c r="L427" i="5" a="1"/>
  <c r="L427" i="5" s="1"/>
  <c r="L1421" i="5" a="1"/>
  <c r="L1421" i="5" s="1"/>
  <c r="L428" i="5" a="1"/>
  <c r="L428" i="5" s="1"/>
  <c r="L429" i="5" a="1"/>
  <c r="L429" i="5" s="1"/>
  <c r="L1422" i="5" a="1"/>
  <c r="L1422" i="5" s="1"/>
  <c r="L1832" i="5" a="1"/>
  <c r="L1832" i="5" s="1"/>
  <c r="L789" i="5" a="1"/>
  <c r="L789" i="5" s="1"/>
  <c r="L1833" i="5" a="1"/>
  <c r="L1833" i="5" s="1"/>
  <c r="L790" i="5" a="1"/>
  <c r="L790" i="5" s="1"/>
  <c r="L791" i="5" a="1"/>
  <c r="L791" i="5" s="1"/>
  <c r="L792" i="5" a="1"/>
  <c r="L792" i="5" s="1"/>
  <c r="L1834" i="5" a="1"/>
  <c r="L1834" i="5" s="1"/>
  <c r="L1835" i="5" a="1"/>
  <c r="L1835" i="5" s="1"/>
  <c r="L1836" i="5" a="1"/>
  <c r="L1836" i="5" s="1"/>
  <c r="L1837" i="5" a="1"/>
  <c r="L1837" i="5" s="1"/>
  <c r="L2719" i="5" a="1"/>
  <c r="L2719" i="5" s="1"/>
  <c r="L44" i="5" a="1"/>
  <c r="L44" i="5" s="1"/>
  <c r="L2720" i="5" a="1"/>
  <c r="L2720" i="5" s="1"/>
  <c r="L2721" i="5" a="1"/>
  <c r="L2721" i="5" s="1"/>
  <c r="L2722" i="5" a="1"/>
  <c r="L2722" i="5" s="1"/>
  <c r="L1130" i="5" a="1"/>
  <c r="L1130" i="5" s="1"/>
  <c r="L1131" i="5" a="1"/>
  <c r="L1131" i="5" s="1"/>
  <c r="L1248" i="5" a="1"/>
  <c r="L1248" i="5" s="1"/>
  <c r="L1249" i="5" a="1"/>
  <c r="L1249" i="5" s="1"/>
  <c r="L1250" i="5" a="1"/>
  <c r="L1250" i="5" s="1"/>
  <c r="L1251" i="5" a="1"/>
  <c r="L1251" i="5" s="1"/>
  <c r="L2893" i="5" a="1"/>
  <c r="L2893" i="5" s="1"/>
  <c r="L1252" i="5" a="1"/>
  <c r="L1252" i="5" s="1"/>
  <c r="L1253" i="5" a="1"/>
  <c r="L1253" i="5" s="1"/>
  <c r="L2894" i="5" a="1"/>
  <c r="L2894" i="5" s="1"/>
  <c r="L2895" i="5" a="1"/>
  <c r="L2895" i="5" s="1"/>
  <c r="L1254" i="5" a="1"/>
  <c r="L1254" i="5" s="1"/>
  <c r="L186" i="5" a="1"/>
  <c r="L186" i="5" s="1"/>
  <c r="L187" i="5" a="1"/>
  <c r="L187" i="5" s="1"/>
  <c r="L188" i="5" a="1"/>
  <c r="L188" i="5" s="1"/>
  <c r="L189" i="5" a="1"/>
  <c r="L189" i="5" s="1"/>
  <c r="L190" i="5" a="1"/>
  <c r="L190" i="5" s="1"/>
  <c r="L2896" i="5" a="1"/>
  <c r="L2896" i="5" s="1"/>
  <c r="L191" i="5" a="1"/>
  <c r="L191" i="5" s="1"/>
  <c r="L1255" i="5" a="1"/>
  <c r="L1255" i="5" s="1"/>
  <c r="L192" i="5" a="1"/>
  <c r="L192" i="5" s="1"/>
  <c r="L430" i="5" a="1"/>
  <c r="L430" i="5" s="1"/>
  <c r="L431" i="5" a="1"/>
  <c r="L431" i="5" s="1"/>
  <c r="L3163" i="5" a="1"/>
  <c r="L3163" i="5" s="1"/>
  <c r="L432" i="5" a="1"/>
  <c r="L432" i="5" s="1"/>
  <c r="L433" i="5" a="1"/>
  <c r="L433" i="5" s="1"/>
  <c r="L3164" i="5" a="1"/>
  <c r="L3164" i="5" s="1"/>
  <c r="L3165" i="5" a="1"/>
  <c r="L3165" i="5" s="1"/>
  <c r="L434" i="5" a="1"/>
  <c r="L434" i="5" s="1"/>
  <c r="L435" i="5" a="1"/>
  <c r="L435" i="5" s="1"/>
  <c r="L436" i="5" a="1"/>
  <c r="L436" i="5" s="1"/>
  <c r="L1838" i="5" a="1"/>
  <c r="L1838" i="5" s="1"/>
  <c r="L1839" i="5" a="1"/>
  <c r="L1839" i="5" s="1"/>
  <c r="L1840" i="5" a="1"/>
  <c r="L1840" i="5" s="1"/>
  <c r="L3542" i="5" a="1"/>
  <c r="L3542" i="5" s="1"/>
  <c r="L1841" i="5" a="1"/>
  <c r="L1841" i="5" s="1"/>
  <c r="L793" i="5" a="1"/>
  <c r="L793" i="5" s="1"/>
  <c r="L794" i="5" a="1"/>
  <c r="L794" i="5" s="1"/>
  <c r="L795" i="5" a="1"/>
  <c r="L795" i="5" s="1"/>
  <c r="L3543" i="5" a="1"/>
  <c r="L3543" i="5" s="1"/>
  <c r="L1842" i="5" a="1"/>
  <c r="L1842" i="5" s="1"/>
  <c r="L796" i="5" a="1"/>
  <c r="L796" i="5"/>
  <c r="L797" i="5" a="1"/>
  <c r="L797" i="5" s="1"/>
  <c r="L1256" i="5" a="1"/>
  <c r="L1256" i="5" s="1"/>
  <c r="L1257" i="5" a="1"/>
  <c r="L1257" i="5" s="1"/>
  <c r="L1258" i="5" a="1"/>
  <c r="L1258" i="5" s="1"/>
  <c r="L193" i="5" a="1"/>
  <c r="L193" i="5" s="1"/>
  <c r="L2897" i="5" a="1"/>
  <c r="L2897" i="5" s="1"/>
  <c r="L1259" i="5" a="1"/>
  <c r="L1259" i="5" s="1"/>
  <c r="L1260" i="5" a="1"/>
  <c r="L1260" i="5" s="1"/>
  <c r="L2898" i="5" a="1"/>
  <c r="L2898" i="5" s="1"/>
  <c r="L2899" i="5" a="1"/>
  <c r="L2899" i="5" s="1"/>
  <c r="L2900" i="5" a="1"/>
  <c r="L2900" i="5" s="1"/>
  <c r="L2901" i="5" a="1"/>
  <c r="L2901" i="5" s="1"/>
  <c r="L1261" i="5" a="1"/>
  <c r="L1261" i="5" s="1"/>
  <c r="L2902" i="5" a="1"/>
  <c r="L2902" i="5" s="1"/>
  <c r="L2903" i="5" a="1"/>
  <c r="L2903" i="5" s="1"/>
  <c r="L2904" i="5" a="1"/>
  <c r="L2904" i="5" s="1"/>
  <c r="L194" i="5" a="1"/>
  <c r="L194" i="5" s="1"/>
  <c r="L195" i="5" a="1"/>
  <c r="L195" i="5" s="1"/>
  <c r="L1262" i="5" a="1"/>
  <c r="L1262" i="5" s="1"/>
  <c r="L1423" i="5" a="1"/>
  <c r="L1423" i="5" s="1"/>
  <c r="L437" i="5" a="1"/>
  <c r="L437" i="5" s="1"/>
  <c r="L1424" i="5" a="1"/>
  <c r="L1424" i="5" s="1"/>
  <c r="L1425" i="5" a="1"/>
  <c r="L1425" i="5" s="1"/>
  <c r="L1426" i="5" a="1"/>
  <c r="L1426" i="5" s="1"/>
  <c r="L438" i="5" a="1"/>
  <c r="L438" i="5" s="1"/>
  <c r="L3166" i="5" a="1"/>
  <c r="L3166" i="5" s="1"/>
  <c r="L1427" i="5" a="1"/>
  <c r="L1427" i="5" s="1"/>
  <c r="L1428" i="5" a="1"/>
  <c r="L1428" i="5" s="1"/>
  <c r="L439" i="5" a="1"/>
  <c r="L439" i="5" s="1"/>
  <c r="L440" i="5" a="1"/>
  <c r="L440" i="5" s="1"/>
  <c r="L441" i="5" a="1"/>
  <c r="L441" i="5" s="1"/>
  <c r="L442" i="5" a="1"/>
  <c r="L442" i="5" s="1"/>
  <c r="L443" i="5" a="1"/>
  <c r="L443" i="5" s="1"/>
  <c r="L1429" i="5" a="1"/>
  <c r="L1429" i="5" s="1"/>
  <c r="L3167" i="5" a="1"/>
  <c r="L3167" i="5" s="1"/>
  <c r="L3168" i="5" a="1"/>
  <c r="L3168" i="5" s="1"/>
  <c r="L444" i="5" a="1"/>
  <c r="L444" i="5" s="1"/>
  <c r="L1430" i="5" a="1"/>
  <c r="L1430" i="5" s="1"/>
  <c r="L1431" i="5" a="1"/>
  <c r="L1431" i="5" s="1"/>
  <c r="L445" i="5" a="1"/>
  <c r="L445" i="5" s="1"/>
  <c r="L1432" i="5" a="1"/>
  <c r="L1432" i="5" s="1"/>
  <c r="L1433" i="5" a="1"/>
  <c r="L1433" i="5" s="1"/>
  <c r="L1843" i="5" a="1"/>
  <c r="L1843" i="5" s="1"/>
  <c r="L3544" i="5" a="1"/>
  <c r="L3544" i="5" s="1"/>
  <c r="L1844" i="5" a="1"/>
  <c r="L1844" i="5" s="1"/>
  <c r="L1845" i="5" a="1"/>
  <c r="L1845" i="5" s="1"/>
  <c r="L2905" i="5" a="1"/>
  <c r="L2905" i="5" s="1"/>
  <c r="L196" i="5" a="1"/>
  <c r="L196" i="5" s="1"/>
  <c r="L1263" i="5" a="1"/>
  <c r="L1263" i="5" s="1"/>
  <c r="L2906" i="5" a="1"/>
  <c r="L2906" i="5" s="1"/>
  <c r="L1264" i="5" a="1"/>
  <c r="L1264" i="5" s="1"/>
  <c r="L197" i="5" a="1"/>
  <c r="L197" i="5" s="1"/>
  <c r="L2907" i="5" a="1"/>
  <c r="L2907" i="5" s="1"/>
  <c r="L198" i="5" a="1"/>
  <c r="L198" i="5" s="1"/>
  <c r="L2908" i="5" a="1"/>
  <c r="L2908" i="5" s="1"/>
  <c r="L1265" i="5" a="1"/>
  <c r="L1265" i="5" s="1"/>
  <c r="L199" i="5" a="1"/>
  <c r="L199" i="5" s="1"/>
  <c r="L200" i="5" a="1"/>
  <c r="L200" i="5" s="1"/>
  <c r="L1266" i="5" a="1"/>
  <c r="L1266" i="5" s="1"/>
  <c r="L2909" i="5" a="1"/>
  <c r="L2909" i="5" s="1"/>
  <c r="L1267" i="5" a="1"/>
  <c r="L1267" i="5" s="1"/>
  <c r="L1268" i="5" a="1"/>
  <c r="L1268" i="5" s="1"/>
  <c r="L1269" i="5" a="1"/>
  <c r="L1269" i="5" s="1"/>
  <c r="L2910" i="5" a="1"/>
  <c r="L2910" i="5" s="1"/>
  <c r="L1270" i="5" a="1"/>
  <c r="L1270" i="5" s="1"/>
  <c r="L1271" i="5" a="1"/>
  <c r="L1271" i="5" s="1"/>
  <c r="L1272" i="5" a="1"/>
  <c r="L1272" i="5" s="1"/>
  <c r="L2911" i="5" a="1"/>
  <c r="L2911" i="5" s="1"/>
  <c r="L201" i="5" a="1"/>
  <c r="L201" i="5" s="1"/>
  <c r="L1273" i="5" a="1"/>
  <c r="L1273" i="5" s="1"/>
  <c r="L1274" i="5" a="1"/>
  <c r="L1274" i="5" s="1"/>
  <c r="L446" i="5" a="1"/>
  <c r="L446" i="5" s="1"/>
  <c r="L1434" i="5" a="1"/>
  <c r="L1434" i="5" s="1"/>
  <c r="L447" i="5" a="1"/>
  <c r="L447" i="5" s="1"/>
  <c r="L448" i="5" a="1"/>
  <c r="L448" i="5"/>
  <c r="L3169" i="5" a="1"/>
  <c r="L3169" i="5" s="1"/>
  <c r="L3170" i="5" a="1"/>
  <c r="L3170" i="5" s="1"/>
  <c r="L449" i="5" a="1"/>
  <c r="L449" i="5" s="1"/>
  <c r="L1435" i="5" a="1"/>
  <c r="L1435" i="5" s="1"/>
  <c r="L450" i="5" a="1"/>
  <c r="L450" i="5" s="1"/>
  <c r="L451" i="5" a="1"/>
  <c r="L451" i="5" s="1"/>
  <c r="L3171" i="5" a="1"/>
  <c r="L3171" i="5" s="1"/>
  <c r="L1436" i="5" a="1"/>
  <c r="L1436" i="5" s="1"/>
  <c r="L1437" i="5" a="1"/>
  <c r="L1437" i="5" s="1"/>
  <c r="L798" i="5" a="1"/>
  <c r="L798" i="5" s="1"/>
  <c r="L799" i="5" a="1"/>
  <c r="L799" i="5" s="1"/>
  <c r="L1846" i="5" a="1"/>
  <c r="L1846" i="5" s="1"/>
  <c r="L800" i="5" a="1"/>
  <c r="L800" i="5" s="1"/>
  <c r="L801" i="5" a="1"/>
  <c r="L801" i="5" s="1"/>
  <c r="L802" i="5" a="1"/>
  <c r="L802" i="5" s="1"/>
  <c r="L803" i="5" a="1"/>
  <c r="L803" i="5" s="1"/>
  <c r="L804" i="5" a="1"/>
  <c r="L804" i="5" s="1"/>
  <c r="L805" i="5" a="1"/>
  <c r="L805" i="5" s="1"/>
  <c r="L806" i="5" a="1"/>
  <c r="L806" i="5" s="1"/>
  <c r="L807" i="5" a="1"/>
  <c r="L807" i="5" s="1"/>
  <c r="L1847" i="5" a="1"/>
  <c r="L1847" i="5" s="1"/>
  <c r="L3545" i="5" a="1"/>
  <c r="L3545" i="5" s="1"/>
  <c r="L3546" i="5" a="1"/>
  <c r="L3546" i="5" s="1"/>
  <c r="L3547" i="5" a="1"/>
  <c r="L3547" i="5" s="1"/>
  <c r="L808" i="5" a="1"/>
  <c r="L808" i="5" s="1"/>
  <c r="L809" i="5" a="1"/>
  <c r="L809" i="5" s="1"/>
  <c r="L2912" i="5" a="1"/>
  <c r="L2912" i="5" s="1"/>
  <c r="L452" i="5" a="1"/>
  <c r="L452" i="5" s="1"/>
  <c r="L453" i="5" a="1"/>
  <c r="L453" i="5" s="1"/>
  <c r="L454" i="5" a="1"/>
  <c r="L454" i="5" s="1"/>
  <c r="L455" i="5" a="1"/>
  <c r="L455" i="5" s="1"/>
  <c r="L456" i="5" a="1"/>
  <c r="L456" i="5" s="1"/>
  <c r="L457" i="5" a="1"/>
  <c r="L457" i="5" s="1"/>
  <c r="L3172" i="5" a="1"/>
  <c r="L3172" i="5" s="1"/>
  <c r="L458" i="5" a="1"/>
  <c r="L458" i="5" s="1"/>
  <c r="L2363" i="5" a="1"/>
  <c r="L2363" i="5" s="1"/>
  <c r="L2364" i="5" a="1"/>
  <c r="L2364" i="5" s="1"/>
  <c r="L2365" i="5" a="1"/>
  <c r="L2365" i="5" s="1"/>
  <c r="L459" i="5" a="1"/>
  <c r="L459" i="5" s="1"/>
  <c r="L2366" i="5" a="1"/>
  <c r="L2366" i="5" s="1"/>
  <c r="L2367" i="5" a="1"/>
  <c r="L2367" i="5" s="1"/>
  <c r="L460" i="5" a="1"/>
  <c r="L460" i="5" s="1"/>
  <c r="L461" i="5" a="1"/>
  <c r="L461" i="5" s="1"/>
  <c r="L2368" i="5" a="1"/>
  <c r="L2368" i="5" s="1"/>
  <c r="L2369" i="5" a="1"/>
  <c r="L2369" i="5" s="1"/>
  <c r="L2370" i="5" a="1"/>
  <c r="L2370" i="5" s="1"/>
  <c r="L2371" i="5" a="1"/>
  <c r="L2371" i="5" s="1"/>
  <c r="L2372" i="5" a="1"/>
  <c r="L2372" i="5" s="1"/>
  <c r="L3173" i="5" a="1"/>
  <c r="L3173" i="5" s="1"/>
  <c r="L3174" i="5" a="1"/>
  <c r="L3174" i="5" s="1"/>
  <c r="L3175" i="5" a="1"/>
  <c r="L3175" i="5" s="1"/>
  <c r="L462" i="5" a="1"/>
  <c r="L462" i="5" s="1"/>
  <c r="L463" i="5" a="1"/>
  <c r="L463" i="5" s="1"/>
  <c r="L810" i="5" a="1"/>
  <c r="L810" i="5" s="1"/>
  <c r="L811" i="5" a="1"/>
  <c r="L811" i="5" s="1"/>
  <c r="L812" i="5" a="1"/>
  <c r="L812" i="5" s="1"/>
  <c r="L813" i="5" a="1"/>
  <c r="L813" i="5" s="1"/>
  <c r="L814" i="5" a="1"/>
  <c r="L814" i="5" s="1"/>
  <c r="L815" i="5" a="1"/>
  <c r="L815" i="5" s="1"/>
  <c r="L816" i="5" a="1"/>
  <c r="L816" i="5" s="1"/>
  <c r="L817" i="5" a="1"/>
  <c r="L817" i="5" s="1"/>
  <c r="L818" i="5" a="1"/>
  <c r="L818" i="5" s="1"/>
  <c r="L3548" i="5" a="1"/>
  <c r="L3548" i="5" s="1"/>
  <c r="L3549" i="5" a="1"/>
  <c r="L3549" i="5" s="1"/>
  <c r="L819" i="5" a="1"/>
  <c r="L819" i="5" s="1"/>
  <c r="L820" i="5" a="1"/>
  <c r="L820" i="5" s="1"/>
  <c r="L2569" i="5" a="1"/>
  <c r="L2569" i="5" s="1"/>
  <c r="L3550" i="5" a="1"/>
  <c r="L3550" i="5" s="1"/>
  <c r="L821" i="5" a="1"/>
  <c r="L821" i="5" s="1"/>
  <c r="L3551" i="5" a="1"/>
  <c r="L3551" i="5" s="1"/>
  <c r="L3552" i="5" a="1"/>
  <c r="L3552" i="5" s="1"/>
  <c r="L464" i="5" a="1"/>
  <c r="L464" i="5" s="1"/>
  <c r="L465" i="5" a="1"/>
  <c r="L465" i="5" s="1"/>
  <c r="L466" i="5" a="1"/>
  <c r="L466" i="5" s="1"/>
  <c r="L467" i="5" a="1"/>
  <c r="L467" i="5" s="1"/>
  <c r="L468" i="5" a="1"/>
  <c r="L468" i="5" s="1"/>
  <c r="L469" i="5" a="1"/>
  <c r="L469" i="5" s="1"/>
  <c r="L470" i="5" a="1"/>
  <c r="L470" i="5" s="1"/>
  <c r="L471" i="5" a="1"/>
  <c r="L471" i="5" s="1"/>
  <c r="L472" i="5" a="1"/>
  <c r="L472" i="5" s="1"/>
  <c r="L473" i="5" a="1"/>
  <c r="L473" i="5" s="1"/>
  <c r="L474" i="5" a="1"/>
  <c r="L474" i="5" s="1"/>
  <c r="L475" i="5" a="1"/>
  <c r="L475" i="5" s="1"/>
  <c r="L476" i="5" a="1"/>
  <c r="L476" i="5" s="1"/>
  <c r="L477" i="5" a="1"/>
  <c r="L477" i="5" s="1"/>
  <c r="L478" i="5" a="1"/>
  <c r="L478" i="5" s="1"/>
  <c r="L479" i="5" a="1"/>
  <c r="L479" i="5" s="1"/>
  <c r="L480" i="5" a="1"/>
  <c r="L480" i="5" s="1"/>
  <c r="L481" i="5" a="1"/>
  <c r="L481" i="5" s="1"/>
  <c r="L482" i="5" a="1"/>
  <c r="L482" i="5" s="1"/>
  <c r="L483" i="5" a="1"/>
  <c r="L483" i="5" s="1"/>
  <c r="L822" i="5" a="1"/>
  <c r="L822" i="5" s="1"/>
  <c r="L823" i="5" a="1"/>
  <c r="L823" i="5" s="1"/>
  <c r="L824" i="5" a="1"/>
  <c r="L824" i="5" s="1"/>
  <c r="L825" i="5" a="1"/>
  <c r="L825" i="5" s="1"/>
  <c r="L826" i="5" a="1"/>
  <c r="L826" i="5" s="1"/>
  <c r="L827" i="5" a="1"/>
  <c r="L827" i="5" s="1"/>
  <c r="L828" i="5" a="1"/>
  <c r="L828" i="5" s="1"/>
  <c r="L829" i="5" a="1"/>
  <c r="L829" i="5" s="1"/>
  <c r="L830" i="5" a="1"/>
  <c r="L830" i="5" s="1"/>
  <c r="L831" i="5" a="1"/>
  <c r="L831" i="5" s="1"/>
  <c r="L832" i="5" a="1"/>
  <c r="L832" i="5" s="1"/>
  <c r="L833" i="5" a="1"/>
  <c r="L833" i="5" s="1"/>
  <c r="L834" i="5" a="1"/>
  <c r="L834" i="5" s="1"/>
  <c r="L835" i="5" a="1"/>
  <c r="L835" i="5" s="1"/>
  <c r="L836" i="5" a="1"/>
  <c r="L836" i="5" s="1"/>
  <c r="L837" i="5" a="1"/>
  <c r="L837" i="5" s="1"/>
  <c r="L838" i="5" a="1"/>
  <c r="L838" i="5" s="1"/>
  <c r="L839" i="5" a="1"/>
  <c r="L839" i="5" s="1"/>
  <c r="L840" i="5" a="1"/>
  <c r="L840" i="5" s="1"/>
  <c r="L841" i="5" a="1"/>
  <c r="L841" i="5" s="1"/>
  <c r="L842" i="5" a="1"/>
  <c r="L842" i="5" s="1"/>
  <c r="L843" i="5" a="1"/>
  <c r="L843" i="5" s="1"/>
  <c r="L844" i="5" a="1"/>
  <c r="L844" i="5" s="1"/>
  <c r="L845" i="5" a="1"/>
  <c r="L845" i="5" s="1"/>
  <c r="L846" i="5" a="1"/>
  <c r="L846" i="5" s="1"/>
  <c r="L847" i="5" a="1"/>
  <c r="L847" i="5" s="1"/>
  <c r="L848" i="5" a="1"/>
  <c r="L848" i="5" s="1"/>
  <c r="L849" i="5" a="1"/>
  <c r="L849" i="5" s="1"/>
  <c r="L850" i="5" a="1"/>
  <c r="L850" i="5" s="1"/>
  <c r="L851" i="5" a="1"/>
  <c r="L851" i="5" s="1"/>
  <c r="L852" i="5" a="1"/>
  <c r="L852" i="5" s="1"/>
  <c r="L853" i="5" a="1"/>
  <c r="L853" i="5" s="1"/>
  <c r="L854" i="5" a="1"/>
  <c r="L854" i="5" s="1"/>
  <c r="L855" i="5" a="1"/>
  <c r="L855" i="5" s="1"/>
  <c r="L856" i="5" a="1"/>
  <c r="L856" i="5" s="1"/>
  <c r="L857" i="5" a="1"/>
  <c r="L857" i="5" s="1"/>
  <c r="L858" i="5" a="1"/>
  <c r="L858" i="5" s="1"/>
  <c r="L859" i="5" a="1"/>
  <c r="L859" i="5" s="1"/>
  <c r="L860" i="5" a="1"/>
  <c r="L860" i="5" s="1"/>
  <c r="L861" i="5" a="1"/>
  <c r="L861" i="5" s="1"/>
  <c r="L2723" i="5" a="1"/>
  <c r="L2723" i="5" s="1"/>
  <c r="L45" i="5" a="1"/>
  <c r="L45" i="5" s="1"/>
  <c r="L46" i="5" a="1"/>
  <c r="L46" i="5" s="1"/>
  <c r="L2913" i="5" a="1"/>
  <c r="L2913" i="5" s="1"/>
  <c r="L1275" i="5" a="1"/>
  <c r="L1275" i="5" s="1"/>
  <c r="L2914" i="5" a="1"/>
  <c r="L2914" i="5" s="1"/>
  <c r="L1276" i="5" a="1"/>
  <c r="L1276" i="5" s="1"/>
  <c r="L2915" i="5" a="1"/>
  <c r="L2915" i="5" s="1"/>
  <c r="L202" i="5" a="1"/>
  <c r="L202" i="5" s="1"/>
  <c r="L203" i="5" a="1"/>
  <c r="L203" i="5"/>
  <c r="L2916" i="5" a="1"/>
  <c r="L2916" i="5" s="1"/>
  <c r="L1277" i="5" a="1"/>
  <c r="L1277" i="5" s="1"/>
  <c r="L1278" i="5" a="1"/>
  <c r="L1278" i="5" s="1"/>
  <c r="L2917" i="5" a="1"/>
  <c r="L2917" i="5" s="1"/>
  <c r="L1279" i="5" a="1"/>
  <c r="L1279" i="5" s="1"/>
  <c r="L1280" i="5" a="1"/>
  <c r="L1280" i="5" s="1"/>
  <c r="L2918" i="5" a="1"/>
  <c r="L2918" i="5" s="1"/>
  <c r="L1281" i="5" a="1"/>
  <c r="L1281" i="5" s="1"/>
  <c r="L204" i="5" a="1"/>
  <c r="L204" i="5" s="1"/>
  <c r="L2919" i="5" a="1"/>
  <c r="L2919" i="5" s="1"/>
  <c r="L1282" i="5" a="1"/>
  <c r="L1282" i="5" s="1"/>
  <c r="L2920" i="5" a="1"/>
  <c r="L2920" i="5" s="1"/>
  <c r="L205" i="5" a="1"/>
  <c r="L205" i="5" s="1"/>
  <c r="L1283" i="5" a="1"/>
  <c r="L1283" i="5" s="1"/>
  <c r="L3176" i="5" a="1"/>
  <c r="L3176" i="5" s="1"/>
  <c r="L1438" i="5" a="1"/>
  <c r="L1438" i="5" s="1"/>
  <c r="L1439" i="5" a="1"/>
  <c r="L1439" i="5" s="1"/>
  <c r="L1440" i="5" a="1"/>
  <c r="L1440" i="5" s="1"/>
  <c r="L1441" i="5" a="1"/>
  <c r="L1441" i="5" s="1"/>
  <c r="L3177" i="5" a="1"/>
  <c r="L3177" i="5" s="1"/>
  <c r="L1442" i="5" a="1"/>
  <c r="L1442" i="5" s="1"/>
  <c r="L1443" i="5" a="1"/>
  <c r="L1443" i="5" s="1"/>
  <c r="L1444" i="5" a="1"/>
  <c r="L1444" i="5" s="1"/>
  <c r="L1445" i="5" a="1"/>
  <c r="L1445" i="5" s="1"/>
  <c r="L1446" i="5" a="1"/>
  <c r="L1446" i="5" s="1"/>
  <c r="L1447" i="5" a="1"/>
  <c r="L1447" i="5" s="1"/>
  <c r="L1448" i="5" a="1"/>
  <c r="L1448" i="5" s="1"/>
  <c r="L862" i="5" a="1"/>
  <c r="L862" i="5" s="1"/>
  <c r="L863" i="5" a="1"/>
  <c r="L863" i="5" s="1"/>
  <c r="L864" i="5" a="1"/>
  <c r="L864" i="5" s="1"/>
  <c r="L865" i="5" a="1"/>
  <c r="L865" i="5" s="1"/>
  <c r="L866" i="5" a="1"/>
  <c r="L866" i="5" s="1"/>
  <c r="L1848" i="5" a="1"/>
  <c r="L1848" i="5" s="1"/>
  <c r="L1284" i="5" a="1"/>
  <c r="L1284" i="5" s="1"/>
  <c r="L2921" i="5" a="1"/>
  <c r="L2921" i="5" s="1"/>
  <c r="L2922" i="5" a="1"/>
  <c r="L2922" i="5" s="1"/>
  <c r="L1285" i="5" a="1"/>
  <c r="L1285" i="5" s="1"/>
  <c r="L2923" i="5" a="1"/>
  <c r="L2923" i="5" s="1"/>
  <c r="L206" i="5" a="1"/>
  <c r="L206" i="5" s="1"/>
  <c r="L207" i="5" a="1"/>
  <c r="L207" i="5"/>
  <c r="L1286" i="5" a="1"/>
  <c r="L1286" i="5" s="1"/>
  <c r="L208" i="5" a="1"/>
  <c r="L208" i="5" s="1"/>
  <c r="L2924" i="5" a="1"/>
  <c r="L2924" i="5" s="1"/>
  <c r="L209" i="5" a="1"/>
  <c r="L209" i="5" s="1"/>
  <c r="L2925" i="5" a="1"/>
  <c r="L2925" i="5" s="1"/>
  <c r="L2926" i="5" a="1"/>
  <c r="L2926" i="5" s="1"/>
  <c r="L484" i="5" a="1"/>
  <c r="L484" i="5" s="1"/>
  <c r="L485" i="5" a="1"/>
  <c r="L485" i="5" s="1"/>
  <c r="L1449" i="5" a="1"/>
  <c r="L1449" i="5" s="1"/>
  <c r="L1450" i="5" a="1"/>
  <c r="L1450" i="5" s="1"/>
  <c r="L3178" i="5" a="1"/>
  <c r="L3178" i="5" s="1"/>
  <c r="L3179" i="5" a="1"/>
  <c r="L3179" i="5" s="1"/>
  <c r="L3180" i="5" a="1"/>
  <c r="L3180" i="5" s="1"/>
  <c r="L1451" i="5" a="1"/>
  <c r="L1451" i="5"/>
  <c r="L3181" i="5" a="1"/>
  <c r="L3181" i="5" s="1"/>
  <c r="L1452" i="5" a="1"/>
  <c r="L1452" i="5" s="1"/>
  <c r="L1453" i="5" a="1"/>
  <c r="L1453" i="5" s="1"/>
  <c r="L486" i="5" a="1"/>
  <c r="L486" i="5" s="1"/>
  <c r="L487" i="5" a="1"/>
  <c r="L487" i="5" s="1"/>
  <c r="L3182" i="5" a="1"/>
  <c r="L3182" i="5" s="1"/>
  <c r="L1454" i="5" a="1"/>
  <c r="L1454" i="5" s="1"/>
  <c r="L1849" i="5" a="1"/>
  <c r="L1849" i="5" s="1"/>
  <c r="L3553" i="5" a="1"/>
  <c r="L3553" i="5" s="1"/>
  <c r="L1850" i="5" a="1"/>
  <c r="L1850" i="5" s="1"/>
  <c r="L1851" i="5" a="1"/>
  <c r="L1851" i="5" s="1"/>
  <c r="L1852" i="5" a="1"/>
  <c r="L1852" i="5" s="1"/>
  <c r="L3554" i="5" a="1"/>
  <c r="L3554" i="5" s="1"/>
  <c r="L1853" i="5" a="1"/>
  <c r="L1853" i="5" s="1"/>
  <c r="L1854" i="5" a="1"/>
  <c r="L1854" i="5" s="1"/>
  <c r="L1855" i="5" a="1"/>
  <c r="L1855" i="5" s="1"/>
  <c r="L2724" i="5" a="1"/>
  <c r="L2724" i="5" s="1"/>
  <c r="L2725" i="5" a="1"/>
  <c r="L2725" i="5" s="1"/>
  <c r="L2239" i="5" a="1"/>
  <c r="L2239" i="5" s="1"/>
  <c r="L2240" i="5" a="1"/>
  <c r="L2240" i="5" s="1"/>
  <c r="L1287" i="5" a="1"/>
  <c r="L1287" i="5" s="1"/>
  <c r="L2241" i="5" a="1"/>
  <c r="L2241" i="5" s="1"/>
  <c r="L2242" i="5" a="1"/>
  <c r="L2242" i="5" s="1"/>
  <c r="L1288" i="5" a="1"/>
  <c r="L1288" i="5" s="1"/>
  <c r="L210" i="5" a="1"/>
  <c r="L210" i="5" s="1"/>
  <c r="L211" i="5" a="1"/>
  <c r="L211" i="5" s="1"/>
  <c r="L2927" i="5" a="1"/>
  <c r="L2927" i="5" s="1"/>
  <c r="L212" i="5" a="1"/>
  <c r="L212" i="5" s="1"/>
  <c r="L2928" i="5" a="1"/>
  <c r="L2928" i="5" s="1"/>
  <c r="L2929" i="5" a="1"/>
  <c r="L2929" i="5" s="1"/>
  <c r="L2930" i="5" a="1"/>
  <c r="L2930" i="5" s="1"/>
  <c r="L213" i="5" a="1"/>
  <c r="L213" i="5" s="1"/>
  <c r="L214" i="5" a="1"/>
  <c r="L214" i="5" s="1"/>
  <c r="L215" i="5" a="1"/>
  <c r="L215" i="5" s="1"/>
  <c r="L216" i="5" a="1"/>
  <c r="L216" i="5" s="1"/>
  <c r="L2931" i="5" a="1"/>
  <c r="L2931" i="5" s="1"/>
  <c r="L2932" i="5" a="1"/>
  <c r="L2932" i="5" s="1"/>
  <c r="L217" i="5" a="1"/>
  <c r="L217" i="5" s="1"/>
  <c r="L1289" i="5" a="1"/>
  <c r="L1289" i="5" s="1"/>
  <c r="L2933" i="5" a="1"/>
  <c r="L2933" i="5" s="1"/>
  <c r="L1290" i="5" a="1"/>
  <c r="L1290" i="5" s="1"/>
  <c r="L218" i="5" a="1"/>
  <c r="L218" i="5" s="1"/>
  <c r="L219" i="5" a="1"/>
  <c r="L219" i="5" s="1"/>
  <c r="L2243" i="5" a="1"/>
  <c r="L2243" i="5" s="1"/>
  <c r="L2934" i="5" a="1"/>
  <c r="L2934" i="5" s="1"/>
  <c r="L1291" i="5" a="1"/>
  <c r="L1291" i="5" s="1"/>
  <c r="L2244" i="5" a="1"/>
  <c r="L2244" i="5" s="1"/>
  <c r="L1292" i="5" a="1"/>
  <c r="L1292" i="5" s="1"/>
  <c r="L1455" i="5" a="1"/>
  <c r="L1455" i="5" s="1"/>
  <c r="L1456" i="5" a="1"/>
  <c r="L1456" i="5" s="1"/>
  <c r="L488" i="5" a="1"/>
  <c r="L488" i="5" s="1"/>
  <c r="L489" i="5" a="1"/>
  <c r="L489" i="5" s="1"/>
  <c r="L490" i="5" a="1"/>
  <c r="L490" i="5" s="1"/>
  <c r="L3183" i="5" a="1"/>
  <c r="L3183" i="5" s="1"/>
  <c r="L1457" i="5" a="1"/>
  <c r="L1457" i="5" s="1"/>
  <c r="L491" i="5" a="1"/>
  <c r="L491" i="5" s="1"/>
  <c r="L492" i="5" a="1"/>
  <c r="L492" i="5" s="1"/>
  <c r="L2373" i="5" a="1"/>
  <c r="L2373" i="5" s="1"/>
  <c r="L2374" i="5" a="1"/>
  <c r="L2374" i="5" s="1"/>
  <c r="L1458" i="5" a="1"/>
  <c r="L1458" i="5" s="1"/>
  <c r="L3184" i="5" a="1"/>
  <c r="L3184" i="5" s="1"/>
  <c r="L493" i="5" a="1"/>
  <c r="L493" i="5" s="1"/>
  <c r="L1856" i="5" a="1"/>
  <c r="L1856" i="5" s="1"/>
  <c r="L867" i="5" a="1"/>
  <c r="L867" i="5" s="1"/>
  <c r="L3555" i="5" a="1"/>
  <c r="L3555" i="5" s="1"/>
  <c r="L868" i="5" a="1"/>
  <c r="L868" i="5" s="1"/>
  <c r="L869" i="5" a="1"/>
  <c r="L869" i="5" s="1"/>
  <c r="L870" i="5" a="1"/>
  <c r="L870" i="5" s="1"/>
  <c r="L2570" i="5" a="1"/>
  <c r="L2570" i="5" s="1"/>
  <c r="L2571" i="5" a="1"/>
  <c r="L2571" i="5" s="1"/>
  <c r="L871" i="5" a="1"/>
  <c r="L871" i="5" s="1"/>
  <c r="L2726" i="5" a="1"/>
  <c r="L2726" i="5" s="1"/>
  <c r="L2935" i="5" a="1"/>
  <c r="L2935" i="5" s="1"/>
  <c r="L494" i="5" a="1"/>
  <c r="L494" i="5" s="1"/>
  <c r="L2375" i="5" a="1"/>
  <c r="L2375" i="5" s="1"/>
  <c r="L2376" i="5" a="1"/>
  <c r="L2376" i="5" s="1"/>
  <c r="L2377" i="5" a="1"/>
  <c r="L2377" i="5" s="1"/>
  <c r="L2378" i="5" a="1"/>
  <c r="L2378" i="5" s="1"/>
  <c r="L495" i="5" a="1"/>
  <c r="L495" i="5" s="1"/>
  <c r="L496" i="5" a="1"/>
  <c r="L496" i="5" s="1"/>
  <c r="L497" i="5" a="1"/>
  <c r="L497" i="5" s="1"/>
  <c r="L498" i="5" a="1"/>
  <c r="L498" i="5" s="1"/>
  <c r="L2379" i="5" a="1"/>
  <c r="L2379" i="5" s="1"/>
  <c r="L499" i="5" a="1"/>
  <c r="L499" i="5" s="1"/>
  <c r="L2380" i="5" a="1"/>
  <c r="L2380" i="5" s="1"/>
  <c r="L2381" i="5" a="1"/>
  <c r="L2381" i="5" s="1"/>
  <c r="L500" i="5" a="1"/>
  <c r="L500" i="5" s="1"/>
  <c r="L501" i="5" a="1"/>
  <c r="L501" i="5" s="1"/>
  <c r="L2382" i="5" a="1"/>
  <c r="L2382" i="5" s="1"/>
  <c r="L502" i="5" a="1"/>
  <c r="L502" i="5"/>
  <c r="L2383" i="5" a="1"/>
  <c r="L2383" i="5" s="1"/>
  <c r="L503" i="5" a="1"/>
  <c r="L503" i="5" s="1"/>
  <c r="L504" i="5" a="1"/>
  <c r="L504" i="5" s="1"/>
  <c r="L2384" i="5" a="1"/>
  <c r="L2384" i="5" s="1"/>
  <c r="L2385" i="5" a="1"/>
  <c r="L2385" i="5" s="1"/>
  <c r="L505" i="5" a="1"/>
  <c r="L505" i="5" s="1"/>
  <c r="L2386" i="5" a="1"/>
  <c r="L2386" i="5" s="1"/>
  <c r="L2387" i="5" a="1"/>
  <c r="L2387" i="5"/>
  <c r="L2572" i="5" a="1"/>
  <c r="L2572" i="5" s="1"/>
  <c r="L872" i="5" a="1"/>
  <c r="L872" i="5" s="1"/>
  <c r="L2573" i="5" a="1"/>
  <c r="L2573" i="5" s="1"/>
  <c r="L2574" i="5" a="1"/>
  <c r="L2574" i="5" s="1"/>
  <c r="L2575" i="5" a="1"/>
  <c r="L2575" i="5" s="1"/>
  <c r="L873" i="5" a="1"/>
  <c r="L873" i="5" s="1"/>
  <c r="L874" i="5" a="1"/>
  <c r="L874" i="5" s="1"/>
  <c r="L2576" i="5" a="1"/>
  <c r="L2576" i="5" s="1"/>
  <c r="L2577" i="5" a="1"/>
  <c r="L2577" i="5" s="1"/>
  <c r="L875" i="5" a="1"/>
  <c r="L875" i="5" s="1"/>
  <c r="L876" i="5" a="1"/>
  <c r="L876" i="5" s="1"/>
  <c r="L2578" i="5" a="1"/>
  <c r="L2578" i="5" s="1"/>
  <c r="L2579" i="5" a="1"/>
  <c r="L2579" i="5" s="1"/>
  <c r="L2580" i="5" a="1"/>
  <c r="L2580" i="5" s="1"/>
  <c r="L877" i="5" a="1"/>
  <c r="L877" i="5" s="1"/>
  <c r="L2581" i="5" a="1"/>
  <c r="L2581" i="5" s="1"/>
  <c r="L878" i="5" a="1"/>
  <c r="L878" i="5" s="1"/>
  <c r="L879" i="5" a="1"/>
  <c r="L879" i="5" s="1"/>
  <c r="L880" i="5" a="1"/>
  <c r="L880" i="5" s="1"/>
  <c r="L881" i="5" a="1"/>
  <c r="L881" i="5" s="1"/>
  <c r="L882" i="5" a="1"/>
  <c r="L882" i="5" s="1"/>
  <c r="L883" i="5" a="1"/>
  <c r="L883" i="5" s="1"/>
  <c r="L884" i="5" a="1"/>
  <c r="L884" i="5" s="1"/>
  <c r="L885" i="5" a="1"/>
  <c r="L885" i="5" s="1"/>
  <c r="L886" i="5" a="1"/>
  <c r="L886" i="5" s="1"/>
  <c r="L887" i="5" a="1"/>
  <c r="L887" i="5" s="1"/>
  <c r="L888" i="5" a="1"/>
  <c r="L888" i="5" s="1"/>
  <c r="L889" i="5" a="1"/>
  <c r="L889" i="5" s="1"/>
  <c r="L890" i="5" a="1"/>
  <c r="L890" i="5" s="1"/>
  <c r="L891" i="5" a="1"/>
  <c r="L891" i="5" s="1"/>
  <c r="L892" i="5" a="1"/>
  <c r="L892" i="5" s="1"/>
  <c r="L893" i="5" a="1"/>
  <c r="L893" i="5" s="1"/>
  <c r="L894" i="5" a="1"/>
  <c r="L894" i="5" s="1"/>
  <c r="L895" i="5" a="1"/>
  <c r="L895" i="5" s="1"/>
  <c r="L896" i="5" a="1"/>
  <c r="L896" i="5" s="1"/>
  <c r="L897" i="5" a="1"/>
  <c r="L897" i="5" s="1"/>
  <c r="L2582" i="5" a="1"/>
  <c r="L2582" i="5" s="1"/>
  <c r="L1857" i="5" a="1"/>
  <c r="L1857" i="5" s="1"/>
  <c r="L1858" i="5" a="1"/>
  <c r="L1858" i="5" s="1"/>
  <c r="L1859" i="5" a="1"/>
  <c r="L1859" i="5" s="1"/>
  <c r="L1860" i="5" a="1"/>
  <c r="L1860" i="5" s="1"/>
  <c r="L1861" i="5" a="1"/>
  <c r="L1861" i="5"/>
  <c r="L1862" i="5" a="1"/>
  <c r="L1862" i="5" s="1"/>
  <c r="L1863" i="5" a="1"/>
  <c r="L1863" i="5" s="1"/>
  <c r="L1864" i="5" a="1"/>
  <c r="L1864" i="5" s="1"/>
  <c r="L2583" i="5" a="1"/>
  <c r="L2583" i="5" s="1"/>
  <c r="L2584" i="5" a="1"/>
  <c r="L2584" i="5" s="1"/>
  <c r="L506" i="5" a="1"/>
  <c r="L506" i="5" s="1"/>
  <c r="L1459" i="5" a="1"/>
  <c r="L1459" i="5" s="1"/>
  <c r="L507" i="5" a="1"/>
  <c r="L507" i="5" s="1"/>
  <c r="L1460" i="5" a="1"/>
  <c r="L1460" i="5" s="1"/>
  <c r="L1461" i="5" a="1"/>
  <c r="L1461" i="5"/>
  <c r="L1462" i="5" a="1"/>
  <c r="L1462" i="5" s="1"/>
  <c r="L508" i="5" a="1"/>
  <c r="L508" i="5" s="1"/>
  <c r="L3185" i="5" a="1"/>
  <c r="L3185" i="5" s="1"/>
  <c r="L3186" i="5" a="1"/>
  <c r="L3186" i="5" s="1"/>
  <c r="L3187" i="5" a="1"/>
  <c r="L3187" i="5" s="1"/>
  <c r="L3188" i="5" a="1"/>
  <c r="L3188" i="5" s="1"/>
  <c r="L509" i="5" a="1"/>
  <c r="L509" i="5" s="1"/>
  <c r="L1463" i="5" a="1"/>
  <c r="L1463" i="5"/>
  <c r="L3189" i="5" a="1"/>
  <c r="L3189" i="5" s="1"/>
  <c r="L1464" i="5" a="1"/>
  <c r="L1464" i="5" s="1"/>
  <c r="L1465" i="5" a="1"/>
  <c r="L1465" i="5" s="1"/>
  <c r="L510" i="5" a="1"/>
  <c r="L510" i="5" s="1"/>
  <c r="L511" i="5" a="1"/>
  <c r="L511" i="5" s="1"/>
  <c r="L3190" i="5" a="1"/>
  <c r="L3190" i="5" s="1"/>
  <c r="L1865" i="5" a="1"/>
  <c r="L1865" i="5" s="1"/>
  <c r="L1866" i="5" a="1"/>
  <c r="L1866" i="5" s="1"/>
  <c r="L1867" i="5" a="1"/>
  <c r="L1867" i="5" s="1"/>
  <c r="L3556" i="5" a="1"/>
  <c r="L3556" i="5" s="1"/>
  <c r="L1868" i="5" a="1"/>
  <c r="L1868" i="5" s="1"/>
  <c r="L1869" i="5" a="1"/>
  <c r="L1869" i="5" s="1"/>
  <c r="L1870" i="5" a="1"/>
  <c r="L1870" i="5" s="1"/>
  <c r="L3557" i="5" a="1"/>
  <c r="L3557" i="5" s="1"/>
  <c r="L3558" i="5" a="1"/>
  <c r="L3558" i="5" s="1"/>
  <c r="L1871" i="5" a="1"/>
  <c r="L1871" i="5" s="1"/>
  <c r="L1872" i="5" a="1"/>
  <c r="L1872" i="5" s="1"/>
  <c r="L2585" i="5" a="1"/>
  <c r="L2585" i="5" s="1"/>
  <c r="L2586" i="5" a="1"/>
  <c r="L2586" i="5" s="1"/>
  <c r="L2587" i="5" a="1"/>
  <c r="L2587" i="5" s="1"/>
  <c r="L2588" i="5" a="1"/>
  <c r="L2588" i="5" s="1"/>
  <c r="L2589" i="5" a="1"/>
  <c r="L2589" i="5" s="1"/>
  <c r="L2590" i="5" a="1"/>
  <c r="L2590" i="5" s="1"/>
  <c r="L2591" i="5" a="1"/>
  <c r="L2591" i="5" s="1"/>
  <c r="L2592" i="5" a="1"/>
  <c r="L2592" i="5" s="1"/>
  <c r="L2593" i="5" a="1"/>
  <c r="L2593" i="5" s="1"/>
  <c r="L2594" i="5" a="1"/>
  <c r="L2594" i="5" s="1"/>
  <c r="L2595" i="5" a="1"/>
  <c r="L2595" i="5" s="1"/>
  <c r="L2596" i="5" a="1"/>
  <c r="L2596" i="5" s="1"/>
  <c r="L2597" i="5" a="1"/>
  <c r="L2597" i="5" s="1"/>
  <c r="L2598" i="5" a="1"/>
  <c r="L2598" i="5" s="1"/>
  <c r="L2599" i="5" a="1"/>
  <c r="L2599" i="5" s="1"/>
  <c r="L2600" i="5" a="1"/>
  <c r="L2600" i="5" s="1"/>
  <c r="L2601" i="5" a="1"/>
  <c r="L2601" i="5" s="1"/>
  <c r="L2602" i="5" a="1"/>
  <c r="L2602" i="5" s="1"/>
  <c r="L2603" i="5" a="1"/>
  <c r="L2603" i="5" s="1"/>
  <c r="L2604" i="5" a="1"/>
  <c r="L2604" i="5" s="1"/>
  <c r="L2605" i="5" a="1"/>
  <c r="L2605" i="5" s="1"/>
  <c r="L2606" i="5" a="1"/>
  <c r="L2606" i="5" s="1"/>
  <c r="L3191" i="5" a="1"/>
  <c r="L3191" i="5" s="1"/>
  <c r="L1466" i="5" a="1"/>
  <c r="L1466" i="5" s="1"/>
  <c r="L3192" i="5" a="1"/>
  <c r="L3192" i="5" s="1"/>
  <c r="L3193" i="5" a="1"/>
  <c r="L3193" i="5" s="1"/>
  <c r="L1467" i="5" a="1"/>
  <c r="L1467" i="5" s="1"/>
  <c r="L1468" i="5" a="1"/>
  <c r="L1468" i="5" s="1"/>
  <c r="L3194" i="5" a="1"/>
  <c r="L3194" i="5" s="1"/>
  <c r="L1469" i="5" a="1"/>
  <c r="L1469" i="5" s="1"/>
  <c r="L1470" i="5" a="1"/>
  <c r="L1470" i="5" s="1"/>
  <c r="L3195" i="5" a="1"/>
  <c r="L3195" i="5" s="1"/>
  <c r="L1471" i="5" a="1"/>
  <c r="L1471" i="5" s="1"/>
  <c r="L3196" i="5" a="1"/>
  <c r="L3196" i="5" s="1"/>
  <c r="L3197" i="5" a="1"/>
  <c r="L3197" i="5" s="1"/>
  <c r="L3198" i="5" a="1"/>
  <c r="L3198" i="5" s="1"/>
  <c r="L1472" i="5" a="1"/>
  <c r="L1472" i="5" s="1"/>
  <c r="L3199" i="5" a="1"/>
  <c r="L3199" i="5" s="1"/>
  <c r="L1473" i="5" a="1"/>
  <c r="L1473" i="5" s="1"/>
  <c r="L3200" i="5" a="1"/>
  <c r="L3200" i="5" s="1"/>
  <c r="L3559" i="5" a="1"/>
  <c r="L3559" i="5" s="1"/>
  <c r="L1873" i="5" a="1"/>
  <c r="L1873" i="5" s="1"/>
  <c r="L1874" i="5" a="1"/>
  <c r="L1874" i="5" s="1"/>
  <c r="L1875" i="5" a="1"/>
  <c r="L1875" i="5" s="1"/>
  <c r="L1876" i="5" a="1"/>
  <c r="L1876" i="5" s="1"/>
  <c r="L1877" i="5" a="1"/>
  <c r="L1877" i="5" s="1"/>
  <c r="L3560" i="5" a="1"/>
  <c r="L3560" i="5" s="1"/>
  <c r="L3561" i="5" a="1"/>
  <c r="L3561" i="5" s="1"/>
  <c r="L3562" i="5" a="1"/>
  <c r="L3562" i="5" s="1"/>
  <c r="L1878" i="5" a="1"/>
  <c r="L1878" i="5" s="1"/>
  <c r="L1879" i="5" a="1"/>
  <c r="L1879" i="5" s="1"/>
  <c r="L1474" i="5" a="1"/>
  <c r="L1474" i="5" s="1"/>
  <c r="L1475" i="5" a="1"/>
  <c r="L1475" i="5" s="1"/>
  <c r="L1476" i="5" a="1"/>
  <c r="L1476" i="5" s="1"/>
  <c r="L1477" i="5" a="1"/>
  <c r="L1477" i="5" s="1"/>
  <c r="L1478" i="5" a="1"/>
  <c r="L1478" i="5" s="1"/>
  <c r="L1479" i="5" a="1"/>
  <c r="L1479" i="5" s="1"/>
  <c r="L3201" i="5" a="1"/>
  <c r="L3201" i="5" s="1"/>
  <c r="L3202" i="5" a="1"/>
  <c r="L3202" i="5" s="1"/>
  <c r="L3203" i="5" a="1"/>
  <c r="L3203" i="5" s="1"/>
  <c r="L1480" i="5" a="1"/>
  <c r="L1480" i="5" s="1"/>
  <c r="L3204" i="5" a="1"/>
  <c r="L3204" i="5" s="1"/>
  <c r="L1481" i="5" a="1"/>
  <c r="L1481" i="5" s="1"/>
  <c r="L1482" i="5" a="1"/>
  <c r="L1482" i="5" s="1"/>
  <c r="L1483" i="5" a="1"/>
  <c r="L1483" i="5" s="1"/>
  <c r="L3563" i="5" a="1"/>
  <c r="L3563" i="5" s="1"/>
  <c r="L3564" i="5" a="1"/>
  <c r="L3564" i="5" s="1"/>
  <c r="L3565" i="5" a="1"/>
  <c r="L3565" i="5" s="1"/>
  <c r="L3566" i="5" a="1"/>
  <c r="L3566" i="5" s="1"/>
  <c r="L1880" i="5" a="1"/>
  <c r="L1880" i="5" s="1"/>
  <c r="L3567" i="5" a="1"/>
  <c r="L3567" i="5" s="1"/>
  <c r="L1881" i="5" a="1"/>
  <c r="L1881" i="5" s="1"/>
  <c r="L1882" i="5" a="1"/>
  <c r="L1882" i="5" s="1"/>
  <c r="L3568" i="5" a="1"/>
  <c r="L3568" i="5" s="1"/>
  <c r="L1883" i="5" a="1"/>
  <c r="L1883" i="5" s="1"/>
  <c r="L1884" i="5" a="1"/>
  <c r="L1884" i="5" s="1"/>
  <c r="L3205" i="5" a="1"/>
  <c r="L3205" i="5" s="1"/>
  <c r="L1484" i="5" a="1"/>
  <c r="L1484" i="5" s="1"/>
  <c r="L1485" i="5" a="1"/>
  <c r="L1485" i="5" s="1"/>
  <c r="L1486" i="5" a="1"/>
  <c r="L1486" i="5" s="1"/>
  <c r="L1487" i="5" a="1"/>
  <c r="L1487" i="5" s="1"/>
  <c r="L1488" i="5" a="1"/>
  <c r="L1488" i="5" s="1"/>
  <c r="L1489" i="5" a="1"/>
  <c r="L1489" i="5" s="1"/>
  <c r="L1490" i="5" a="1"/>
  <c r="L1490" i="5" s="1"/>
  <c r="L3206" i="5" a="1"/>
  <c r="L3206" i="5" s="1"/>
  <c r="L1491" i="5" a="1"/>
  <c r="L1491" i="5" s="1"/>
  <c r="L1492" i="5" a="1"/>
  <c r="L1492" i="5" s="1"/>
  <c r="L1493" i="5" a="1"/>
  <c r="L1493" i="5" s="1"/>
  <c r="L1494" i="5" a="1"/>
  <c r="L1494" i="5" s="1"/>
  <c r="L3207" i="5" a="1"/>
  <c r="L3207" i="5" s="1"/>
  <c r="L3208" i="5" a="1"/>
  <c r="L3208" i="5" s="1"/>
  <c r="L1495" i="5" a="1"/>
  <c r="L1495" i="5" s="1"/>
  <c r="L3569" i="5" a="1"/>
  <c r="L3569" i="5" s="1"/>
  <c r="L3570" i="5" a="1"/>
  <c r="L3570" i="5" s="1"/>
  <c r="L3571" i="5" a="1"/>
  <c r="L3571" i="5" s="1"/>
  <c r="L1885" i="5" a="1"/>
  <c r="L1885" i="5" s="1"/>
  <c r="L1886" i="5" a="1"/>
  <c r="L1886" i="5" s="1"/>
  <c r="L3572" i="5" a="1"/>
  <c r="L3572" i="5" s="1"/>
  <c r="L3573" i="5" a="1"/>
  <c r="L3573" i="5" s="1"/>
  <c r="L1887" i="5" a="1"/>
  <c r="L1887" i="5" s="1"/>
  <c r="L3574" i="5" a="1"/>
  <c r="L3574" i="5" s="1"/>
  <c r="L3575" i="5" a="1"/>
  <c r="L3575" i="5" s="1"/>
  <c r="L3209" i="5" a="1"/>
  <c r="L3209" i="5" s="1"/>
  <c r="L1496" i="5" a="1"/>
  <c r="L1496" i="5" s="1"/>
  <c r="L1497" i="5" a="1"/>
  <c r="L1497" i="5" s="1"/>
  <c r="L3210" i="5" a="1"/>
  <c r="L3210" i="5" s="1"/>
  <c r="L1498" i="5" a="1"/>
  <c r="L1498" i="5" s="1"/>
  <c r="L1499" i="5" a="1"/>
  <c r="L1499" i="5" s="1"/>
  <c r="L3211" i="5" a="1"/>
  <c r="L3211" i="5" s="1"/>
  <c r="L1500" i="5" a="1"/>
  <c r="L1500" i="5" s="1"/>
  <c r="L3212" i="5" a="1"/>
  <c r="L3212" i="5" s="1"/>
  <c r="L3576" i="5" a="1"/>
  <c r="L3576" i="5" s="1"/>
  <c r="L1888" i="5" a="1"/>
  <c r="L1888" i="5" s="1"/>
  <c r="L1889" i="5" a="1"/>
  <c r="L1889" i="5" s="1"/>
  <c r="L1293" i="5" a="1"/>
  <c r="L1293" i="5" s="1"/>
  <c r="L220" i="5" a="1"/>
  <c r="L220" i="5" s="1"/>
  <c r="L221" i="5" a="1"/>
  <c r="L221" i="5" s="1"/>
  <c r="L1294" i="5" a="1"/>
  <c r="L1294" i="5" s="1"/>
  <c r="L1295" i="5" a="1"/>
  <c r="L1295" i="5" s="1"/>
  <c r="L222" i="5" a="1"/>
  <c r="L222" i="5" s="1"/>
  <c r="L1296" i="5" a="1"/>
  <c r="L1296" i="5" s="1"/>
  <c r="L512" i="5" a="1"/>
  <c r="L512" i="5" s="1"/>
  <c r="L513" i="5" a="1"/>
  <c r="L513" i="5" s="1"/>
  <c r="L1501" i="5" a="1"/>
  <c r="L1501" i="5" s="1"/>
  <c r="L1502" i="5" a="1"/>
  <c r="L1502" i="5" s="1"/>
  <c r="L1503" i="5" a="1"/>
  <c r="L1503" i="5"/>
  <c r="L1504" i="5" a="1"/>
  <c r="L1504" i="5" s="1"/>
  <c r="L1505" i="5" a="1"/>
  <c r="L1505" i="5" s="1"/>
  <c r="L1506" i="5" a="1"/>
  <c r="L1506" i="5" s="1"/>
  <c r="L1507" i="5" a="1"/>
  <c r="L1507" i="5" s="1"/>
  <c r="L1508" i="5" a="1"/>
  <c r="L1508" i="5" s="1"/>
  <c r="L1509" i="5" a="1"/>
  <c r="L1509" i="5" s="1"/>
  <c r="L1510" i="5" a="1"/>
  <c r="L1510" i="5" s="1"/>
  <c r="L1511" i="5" a="1"/>
  <c r="L1511" i="5" s="1"/>
  <c r="L514" i="5" a="1"/>
  <c r="L514" i="5" s="1"/>
  <c r="L515" i="5" a="1"/>
  <c r="L515" i="5" s="1"/>
  <c r="L1512" i="5" a="1"/>
  <c r="L1512" i="5" s="1"/>
  <c r="L1513" i="5" a="1"/>
  <c r="L1513" i="5" s="1"/>
  <c r="L1514" i="5" a="1"/>
  <c r="L1514" i="5" s="1"/>
  <c r="L1515" i="5" a="1"/>
  <c r="L1515" i="5" s="1"/>
  <c r="L1516" i="5" a="1"/>
  <c r="L1516" i="5" s="1"/>
  <c r="L1517" i="5" a="1"/>
  <c r="L1517" i="5" s="1"/>
  <c r="L1518" i="5" a="1"/>
  <c r="L1518" i="5" s="1"/>
  <c r="L1519" i="5" a="1"/>
  <c r="L1519" i="5" s="1"/>
  <c r="L516" i="5" a="1"/>
  <c r="L516" i="5" s="1"/>
  <c r="L1520" i="5" a="1"/>
  <c r="L1520" i="5" s="1"/>
  <c r="L517" i="5" a="1"/>
  <c r="L517" i="5" s="1"/>
  <c r="L1521" i="5" a="1"/>
  <c r="L1521" i="5" s="1"/>
  <c r="L1522" i="5" a="1"/>
  <c r="L1522" i="5" s="1"/>
  <c r="L1523" i="5" a="1"/>
  <c r="L1523" i="5" s="1"/>
  <c r="L1524" i="5" a="1"/>
  <c r="L1524" i="5" s="1"/>
  <c r="L898" i="5" a="1"/>
  <c r="L898" i="5" s="1"/>
  <c r="L899" i="5" a="1"/>
  <c r="L899" i="5" s="1"/>
  <c r="L900" i="5" a="1"/>
  <c r="L900" i="5" s="1"/>
  <c r="L223" i="5" a="1"/>
  <c r="L223" i="5" s="1"/>
  <c r="L1297" i="5" a="1"/>
  <c r="L1297" i="5" s="1"/>
  <c r="L1298" i="5" a="1"/>
  <c r="L1298" i="5" s="1"/>
  <c r="L2936" i="5" a="1"/>
  <c r="L2936" i="5" s="1"/>
  <c r="L224" i="5" a="1"/>
  <c r="L224" i="5" s="1"/>
  <c r="L1299" i="5" a="1"/>
  <c r="L1299" i="5" s="1"/>
  <c r="L2937" i="5" a="1"/>
  <c r="L2937" i="5" s="1"/>
  <c r="L1300" i="5" a="1"/>
  <c r="L1300" i="5" s="1"/>
  <c r="L2938" i="5" a="1"/>
  <c r="L2938" i="5" s="1"/>
  <c r="L1301" i="5" a="1"/>
  <c r="L1301" i="5" s="1"/>
  <c r="L2939" i="5" a="1"/>
  <c r="L2939" i="5" s="1"/>
  <c r="L2940" i="5" a="1"/>
  <c r="L2940" i="5" s="1"/>
  <c r="L1302" i="5" a="1"/>
  <c r="L1302" i="5" s="1"/>
  <c r="L225" i="5" a="1"/>
  <c r="L225" i="5" s="1"/>
  <c r="L226" i="5" a="1"/>
  <c r="L226" i="5" s="1"/>
  <c r="L227" i="5" a="1"/>
  <c r="L227" i="5" s="1"/>
  <c r="L2941" i="5" a="1"/>
  <c r="L2941" i="5" s="1"/>
  <c r="L1303" i="5" a="1"/>
  <c r="L1303" i="5" s="1"/>
  <c r="L2942" i="5" a="1"/>
  <c r="L2942" i="5" s="1"/>
  <c r="L1304" i="5" a="1"/>
  <c r="L1304" i="5" s="1"/>
  <c r="L2943" i="5" a="1"/>
  <c r="L2943" i="5" s="1"/>
  <c r="L1305" i="5" a="1"/>
  <c r="L1305" i="5" s="1"/>
  <c r="L1306" i="5" a="1"/>
  <c r="L1306" i="5" s="1"/>
  <c r="L2944" i="5" a="1"/>
  <c r="L2944" i="5" s="1"/>
  <c r="L1307" i="5" a="1"/>
  <c r="L1307" i="5" s="1"/>
  <c r="L2945" i="5" a="1"/>
  <c r="L2945" i="5" s="1"/>
  <c r="L1308" i="5" a="1"/>
  <c r="L1308" i="5"/>
  <c r="L1309" i="5" a="1"/>
  <c r="L1309" i="5" s="1"/>
  <c r="L2946" i="5" a="1"/>
  <c r="L2946" i="5" s="1"/>
  <c r="L2947" i="5" a="1"/>
  <c r="L2947" i="5"/>
  <c r="L228" i="5" a="1"/>
  <c r="L228" i="5" s="1"/>
  <c r="L229" i="5" a="1"/>
  <c r="L229" i="5" s="1"/>
  <c r="L2948" i="5" a="1"/>
  <c r="L2948" i="5" s="1"/>
  <c r="L518" i="5" a="1"/>
  <c r="L518" i="5" s="1"/>
  <c r="L3213" i="5" a="1"/>
  <c r="L3213" i="5" s="1"/>
  <c r="L519" i="5" a="1"/>
  <c r="L519" i="5" s="1"/>
  <c r="L520" i="5" a="1"/>
  <c r="L520" i="5"/>
  <c r="L1525" i="5" a="1"/>
  <c r="L1525" i="5" s="1"/>
  <c r="L3214" i="5" a="1"/>
  <c r="L3214" i="5" s="1"/>
  <c r="L3215" i="5" a="1"/>
  <c r="L3215" i="5" s="1"/>
  <c r="L1526" i="5" a="1"/>
  <c r="L1526" i="5" s="1"/>
  <c r="L1527" i="5" a="1"/>
  <c r="L1527" i="5" s="1"/>
  <c r="L3216" i="5" a="1"/>
  <c r="L3216" i="5" s="1"/>
  <c r="L3217" i="5" a="1"/>
  <c r="L3217" i="5" s="1"/>
  <c r="L901" i="5" a="1"/>
  <c r="L901" i="5" s="1"/>
  <c r="L902" i="5" a="1"/>
  <c r="L902" i="5" s="1"/>
  <c r="L1890" i="5" a="1"/>
  <c r="L1890" i="5" s="1"/>
  <c r="L1891" i="5" a="1"/>
  <c r="L1891" i="5" s="1"/>
  <c r="L1892" i="5" a="1"/>
  <c r="L1892" i="5" s="1"/>
  <c r="L903" i="5" a="1"/>
  <c r="L903" i="5" s="1"/>
  <c r="L904" i="5" a="1"/>
  <c r="L904" i="5" s="1"/>
  <c r="L1893" i="5" a="1"/>
  <c r="L1893" i="5" s="1"/>
  <c r="L1894" i="5" a="1"/>
  <c r="L1894" i="5" s="1"/>
  <c r="L905" i="5" a="1"/>
  <c r="L905" i="5" s="1"/>
  <c r="L906" i="5" a="1"/>
  <c r="L906" i="5" s="1"/>
  <c r="L907" i="5" a="1"/>
  <c r="L907" i="5" s="1"/>
  <c r="L908" i="5" a="1"/>
  <c r="L908" i="5" s="1"/>
  <c r="L909" i="5" a="1"/>
  <c r="L909" i="5" s="1"/>
  <c r="L910" i="5" a="1"/>
  <c r="L910" i="5" s="1"/>
  <c r="L911" i="5" a="1"/>
  <c r="L911" i="5" s="1"/>
  <c r="L912" i="5" a="1"/>
  <c r="L912" i="5" s="1"/>
  <c r="L913" i="5" a="1"/>
  <c r="L913" i="5" s="1"/>
  <c r="L1895" i="5" a="1"/>
  <c r="L1895" i="5" s="1"/>
  <c r="L914" i="5" a="1"/>
  <c r="L914" i="5" s="1"/>
  <c r="L915" i="5" a="1"/>
  <c r="L915" i="5" s="1"/>
  <c r="L916" i="5" a="1"/>
  <c r="L916" i="5" s="1"/>
  <c r="L917" i="5" a="1"/>
  <c r="L917" i="5" s="1"/>
  <c r="L1896" i="5" a="1"/>
  <c r="L1896" i="5" s="1"/>
  <c r="L918" i="5" a="1"/>
  <c r="L918" i="5" s="1"/>
  <c r="L919" i="5" a="1"/>
  <c r="L919" i="5" s="1"/>
  <c r="L920" i="5" a="1"/>
  <c r="L920" i="5" s="1"/>
  <c r="L1897" i="5" a="1"/>
  <c r="L1897" i="5" s="1"/>
  <c r="L1898" i="5" a="1"/>
  <c r="L1898" i="5" s="1"/>
  <c r="L921" i="5" a="1"/>
  <c r="L921" i="5" s="1"/>
  <c r="L922" i="5" a="1"/>
  <c r="L922" i="5" s="1"/>
  <c r="L1899" i="5" a="1"/>
  <c r="L1899" i="5" s="1"/>
  <c r="L923" i="5" a="1"/>
  <c r="L923" i="5" s="1"/>
  <c r="L924" i="5" a="1"/>
  <c r="L924" i="5" s="1"/>
  <c r="L1900" i="5" a="1"/>
  <c r="L1900" i="5" s="1"/>
  <c r="L925" i="5" a="1"/>
  <c r="L925" i="5" s="1"/>
  <c r="L1901" i="5" a="1"/>
  <c r="L1901" i="5" s="1"/>
  <c r="L926" i="5" a="1"/>
  <c r="L926" i="5" s="1"/>
  <c r="L927" i="5" a="1"/>
  <c r="L927" i="5" s="1"/>
  <c r="L1902" i="5" a="1"/>
  <c r="L1902" i="5" s="1"/>
  <c r="L928" i="5" a="1"/>
  <c r="L928" i="5" s="1"/>
  <c r="L929" i="5" a="1"/>
  <c r="L929" i="5" s="1"/>
  <c r="L930" i="5" a="1"/>
  <c r="L930" i="5" s="1"/>
  <c r="L931" i="5" a="1"/>
  <c r="L931" i="5" s="1"/>
  <c r="L932" i="5" a="1"/>
  <c r="L932" i="5" s="1"/>
  <c r="L933" i="5" a="1"/>
  <c r="L933" i="5" s="1"/>
  <c r="L934" i="5" a="1"/>
  <c r="L934" i="5" s="1"/>
  <c r="L1903" i="5" a="1"/>
  <c r="L1903" i="5" s="1"/>
  <c r="L1904" i="5" a="1"/>
  <c r="L1904" i="5" s="1"/>
  <c r="L935" i="5" a="1"/>
  <c r="L935" i="5" s="1"/>
  <c r="L936" i="5" a="1"/>
  <c r="L936" i="5" s="1"/>
  <c r="L937" i="5" a="1"/>
  <c r="L937" i="5" s="1"/>
  <c r="L938" i="5" a="1"/>
  <c r="L938" i="5" s="1"/>
  <c r="L939" i="5" a="1"/>
  <c r="L939" i="5" s="1"/>
  <c r="L1905" i="5" a="1"/>
  <c r="L1905" i="5" s="1"/>
  <c r="L940" i="5" a="1"/>
  <c r="L940" i="5" s="1"/>
  <c r="L1906" i="5" a="1"/>
  <c r="L1906" i="5" s="1"/>
  <c r="L1132" i="5" a="1"/>
  <c r="L1132" i="5" s="1"/>
  <c r="L2727" i="5" a="1"/>
  <c r="L2727" i="5" s="1"/>
  <c r="L1133" i="5" a="1"/>
  <c r="L1133" i="5" s="1"/>
  <c r="L2728" i="5" a="1"/>
  <c r="L2728" i="5" s="1"/>
  <c r="L1134" i="5" a="1"/>
  <c r="L1134" i="5" s="1"/>
  <c r="L230" i="5" a="1"/>
  <c r="L230" i="5" s="1"/>
  <c r="L231" i="5" a="1"/>
  <c r="L231" i="5" s="1"/>
  <c r="L2949" i="5" a="1"/>
  <c r="L2949" i="5" s="1"/>
  <c r="L2950" i="5" a="1"/>
  <c r="L2950" i="5"/>
  <c r="L232" i="5" a="1"/>
  <c r="L232" i="5" s="1"/>
  <c r="L1310" i="5" a="1"/>
  <c r="L1310" i="5" s="1"/>
  <c r="L2951" i="5" a="1"/>
  <c r="L2951" i="5" s="1"/>
  <c r="L2952" i="5" a="1"/>
  <c r="L2952" i="5" s="1"/>
  <c r="L2953" i="5" a="1"/>
  <c r="L2953" i="5" s="1"/>
  <c r="L2954" i="5" a="1"/>
  <c r="L2954" i="5" s="1"/>
  <c r="L2955" i="5" a="1"/>
  <c r="L2955" i="5" s="1"/>
  <c r="L2956" i="5" a="1"/>
  <c r="L2956" i="5" s="1"/>
  <c r="L1311" i="5" a="1"/>
  <c r="L1311" i="5" s="1"/>
  <c r="L2957" i="5" a="1"/>
  <c r="L2957" i="5"/>
  <c r="L1312" i="5" a="1"/>
  <c r="L1312" i="5" s="1"/>
  <c r="L1313" i="5" a="1"/>
  <c r="L1313" i="5" s="1"/>
  <c r="L1528" i="5" a="1"/>
  <c r="L1528" i="5" s="1"/>
  <c r="L3218" i="5" a="1"/>
  <c r="L3218" i="5" s="1"/>
  <c r="L1529" i="5" a="1"/>
  <c r="L1529" i="5" s="1"/>
  <c r="L3219" i="5" a="1"/>
  <c r="L3219" i="5" s="1"/>
  <c r="L3220" i="5" a="1"/>
  <c r="L3220" i="5" s="1"/>
  <c r="L3221" i="5" a="1"/>
  <c r="L3221" i="5" s="1"/>
  <c r="L3222" i="5" a="1"/>
  <c r="L3222" i="5" s="1"/>
  <c r="L521" i="5" a="1"/>
  <c r="L521" i="5" s="1"/>
  <c r="L1530" i="5" a="1"/>
  <c r="L1530" i="5" s="1"/>
  <c r="L1531" i="5" a="1"/>
  <c r="L1531" i="5" s="1"/>
  <c r="L522" i="5" a="1"/>
  <c r="L522" i="5" s="1"/>
  <c r="L523" i="5" a="1"/>
  <c r="L523" i="5" s="1"/>
  <c r="L524" i="5" a="1"/>
  <c r="L524" i="5" s="1"/>
  <c r="L525" i="5" a="1"/>
  <c r="L525" i="5" s="1"/>
  <c r="L941" i="5" a="1"/>
  <c r="L941" i="5" s="1"/>
  <c r="L942" i="5" a="1"/>
  <c r="L942" i="5" s="1"/>
  <c r="L943" i="5" a="1"/>
  <c r="L943" i="5" s="1"/>
  <c r="L944" i="5" a="1"/>
  <c r="L944" i="5" s="1"/>
  <c r="L945" i="5" a="1"/>
  <c r="L945" i="5" s="1"/>
  <c r="L946" i="5" a="1"/>
  <c r="L946" i="5" s="1"/>
  <c r="L947" i="5" a="1"/>
  <c r="L947" i="5" s="1"/>
  <c r="L948" i="5" a="1"/>
  <c r="L948" i="5" s="1"/>
  <c r="L949" i="5" a="1"/>
  <c r="L949" i="5" s="1"/>
  <c r="L950" i="5" a="1"/>
  <c r="L950" i="5" s="1"/>
  <c r="L951" i="5" a="1"/>
  <c r="L951" i="5" s="1"/>
  <c r="L3577" i="5" a="1"/>
  <c r="L3577" i="5" s="1"/>
  <c r="L1907" i="5" a="1"/>
  <c r="L1907" i="5" s="1"/>
  <c r="L952" i="5" a="1"/>
  <c r="L952" i="5" s="1"/>
  <c r="L2958" i="5" a="1"/>
  <c r="L2958" i="5" s="1"/>
  <c r="L2959" i="5" a="1"/>
  <c r="L2959" i="5" s="1"/>
  <c r="L2245" i="5" a="1"/>
  <c r="L2245" i="5" s="1"/>
  <c r="L2960" i="5" a="1"/>
  <c r="L2960" i="5" s="1"/>
  <c r="L2246" i="5" a="1"/>
  <c r="L2246" i="5" s="1"/>
  <c r="L2247" i="5" a="1"/>
  <c r="L2247" i="5" s="1"/>
  <c r="L2248" i="5" a="1"/>
  <c r="L2248" i="5" s="1"/>
  <c r="L2961" i="5" a="1"/>
  <c r="L2961" i="5" s="1"/>
  <c r="L2962" i="5" a="1"/>
  <c r="L2962" i="5" s="1"/>
  <c r="L2249" i="5" a="1"/>
  <c r="L2249" i="5" s="1"/>
  <c r="L233" i="5" a="1"/>
  <c r="L233" i="5" s="1"/>
  <c r="L2963" i="5" a="1"/>
  <c r="L2963" i="5" s="1"/>
  <c r="L3223" i="5" a="1"/>
  <c r="L3223" i="5" s="1"/>
  <c r="L953" i="5" a="1"/>
  <c r="L953" i="5" s="1"/>
  <c r="L954" i="5" a="1"/>
  <c r="L954" i="5" s="1"/>
  <c r="L2607" i="5" a="1"/>
  <c r="L2607" i="5" s="1"/>
  <c r="L2608" i="5" a="1"/>
  <c r="L2608" i="5" s="1"/>
  <c r="L2609" i="5" a="1"/>
  <c r="L2609" i="5" s="1"/>
  <c r="L955" i="5" a="1"/>
  <c r="L955" i="5" s="1"/>
  <c r="L2610" i="5" a="1"/>
  <c r="L2610" i="5" s="1"/>
  <c r="L2611" i="5" a="1"/>
  <c r="L2611" i="5" s="1"/>
  <c r="L2612" i="5" a="1"/>
  <c r="L2612" i="5"/>
  <c r="L2613" i="5" a="1"/>
  <c r="L2613" i="5" s="1"/>
  <c r="L2614" i="5" a="1"/>
  <c r="L2614" i="5" s="1"/>
  <c r="L3578" i="5" a="1"/>
  <c r="L3578" i="5" s="1"/>
  <c r="L3224" i="5" a="1"/>
  <c r="L3224" i="5" s="1"/>
  <c r="L3225" i="5" a="1"/>
  <c r="L3225" i="5" s="1"/>
  <c r="L3226" i="5" a="1"/>
  <c r="L3226" i="5" s="1"/>
  <c r="L3227" i="5" a="1"/>
  <c r="L3227" i="5" s="1"/>
  <c r="L3228" i="5" a="1"/>
  <c r="L3228" i="5" s="1"/>
  <c r="L3229" i="5" a="1"/>
  <c r="L3229" i="5" s="1"/>
  <c r="L3230" i="5" a="1"/>
  <c r="L3230" i="5" s="1"/>
  <c r="L3579" i="5" a="1"/>
  <c r="L3579" i="5" s="1"/>
  <c r="L3580" i="5" a="1"/>
  <c r="L3580" i="5" s="1"/>
  <c r="L3581" i="5" a="1"/>
  <c r="L3581" i="5" s="1"/>
  <c r="L3582" i="5" a="1"/>
  <c r="L3582" i="5" s="1"/>
  <c r="L3583" i="5" a="1"/>
  <c r="L3583" i="5" s="1"/>
  <c r="L3584" i="5" a="1"/>
  <c r="L3584" i="5" s="1"/>
  <c r="L3585" i="5" a="1"/>
  <c r="L3585" i="5" s="1"/>
  <c r="L3586" i="5" a="1"/>
  <c r="L3586" i="5" s="1"/>
  <c r="L3587" i="5" a="1"/>
  <c r="L3587" i="5" s="1"/>
  <c r="L3588" i="5" a="1"/>
  <c r="L3588" i="5" s="1"/>
  <c r="L3589" i="5" a="1"/>
  <c r="L3589" i="5" s="1"/>
  <c r="L3590" i="5" a="1"/>
  <c r="L3590" i="5" s="1"/>
  <c r="L3591" i="5" a="1"/>
  <c r="L3591" i="5" s="1"/>
  <c r="L3592" i="5" a="1"/>
  <c r="L3592" i="5" s="1"/>
  <c r="L3593" i="5" a="1"/>
  <c r="L3593" i="5" s="1"/>
  <c r="L3594" i="5" a="1"/>
  <c r="L3594" i="5" s="1"/>
  <c r="L3231" i="5" a="1"/>
  <c r="L3231" i="5" s="1"/>
  <c r="L526" i="5" a="1"/>
  <c r="L526" i="5"/>
  <c r="L527" i="5" a="1"/>
  <c r="L527" i="5" s="1"/>
  <c r="L3232" i="5" a="1"/>
  <c r="L3232" i="5" s="1"/>
  <c r="L528" i="5" a="1"/>
  <c r="L528" i="5" s="1"/>
  <c r="L529" i="5" a="1"/>
  <c r="L529" i="5" s="1"/>
  <c r="L530" i="5" a="1"/>
  <c r="L530" i="5" s="1"/>
  <c r="L531" i="5" a="1"/>
  <c r="L531" i="5" s="1"/>
  <c r="L532" i="5" a="1"/>
  <c r="L532" i="5" s="1"/>
  <c r="L533" i="5" a="1"/>
  <c r="L533" i="5" s="1"/>
  <c r="L1532" i="5" a="1"/>
  <c r="L1532" i="5" s="1"/>
  <c r="L534" i="5" a="1"/>
  <c r="L534" i="5" s="1"/>
  <c r="L1533" i="5" a="1"/>
  <c r="L1533" i="5" s="1"/>
  <c r="L535" i="5" a="1"/>
  <c r="L535" i="5" s="1"/>
  <c r="L3233" i="5" a="1"/>
  <c r="L3233" i="5" s="1"/>
  <c r="L1534" i="5" a="1"/>
  <c r="L1534" i="5" s="1"/>
  <c r="L3234" i="5" a="1"/>
  <c r="L3234" i="5" s="1"/>
  <c r="L536" i="5" a="1"/>
  <c r="L536" i="5" s="1"/>
  <c r="L537" i="5" a="1"/>
  <c r="L537" i="5"/>
  <c r="L3235" i="5" a="1"/>
  <c r="L3235" i="5" s="1"/>
  <c r="L1908" i="5" a="1"/>
  <c r="L1908" i="5" s="1"/>
  <c r="L1909" i="5" a="1"/>
  <c r="L1909" i="5" s="1"/>
  <c r="L3595" i="5" a="1"/>
  <c r="L3595" i="5" s="1"/>
  <c r="L956" i="5" a="1"/>
  <c r="L956" i="5" s="1"/>
  <c r="L957" i="5" a="1"/>
  <c r="L957" i="5" s="1"/>
  <c r="L3596" i="5" a="1"/>
  <c r="L3596" i="5" s="1"/>
  <c r="L3597" i="5" a="1"/>
  <c r="L3597" i="5" s="1"/>
  <c r="L1910" i="5" a="1"/>
  <c r="L1910" i="5" s="1"/>
  <c r="L3598" i="5" a="1"/>
  <c r="L3598" i="5" s="1"/>
  <c r="L1911" i="5" a="1"/>
  <c r="L1911" i="5" s="1"/>
  <c r="L3599" i="5" a="1"/>
  <c r="L3599" i="5" s="1"/>
  <c r="L1912" i="5" a="1"/>
  <c r="L1912" i="5" s="1"/>
  <c r="L538" i="5" a="1"/>
  <c r="L538" i="5" s="1"/>
  <c r="L1535" i="5" a="1"/>
  <c r="L1535" i="5" s="1"/>
  <c r="L3236" i="5" a="1"/>
  <c r="L3236" i="5" s="1"/>
  <c r="L3237" i="5" a="1"/>
  <c r="L3237" i="5" s="1"/>
  <c r="L539" i="5" a="1"/>
  <c r="L539" i="5" s="1"/>
  <c r="L3238" i="5" a="1"/>
  <c r="L3238" i="5" s="1"/>
  <c r="L3239" i="5" a="1"/>
  <c r="L3239" i="5" s="1"/>
  <c r="L540" i="5" a="1"/>
  <c r="L540" i="5" s="1"/>
  <c r="L1536" i="5" a="1"/>
  <c r="L1536" i="5" s="1"/>
  <c r="L3600" i="5" a="1"/>
  <c r="L3600" i="5" s="1"/>
  <c r="L958" i="5" a="1"/>
  <c r="L958" i="5" s="1"/>
  <c r="L3601" i="5" a="1"/>
  <c r="L3601" i="5" s="1"/>
  <c r="L1913" i="5" a="1"/>
  <c r="L1913" i="5" s="1"/>
  <c r="L3602" i="5" a="1"/>
  <c r="L3602" i="5" s="1"/>
  <c r="L1914" i="5" a="1"/>
  <c r="L1914" i="5" s="1"/>
  <c r="L3603" i="5" a="1"/>
  <c r="L3603" i="5" s="1"/>
  <c r="L1915" i="5" a="1"/>
  <c r="L1915" i="5" s="1"/>
  <c r="L3604" i="5" a="1"/>
  <c r="L3604" i="5" s="1"/>
  <c r="L1916" i="5" a="1"/>
  <c r="L1916" i="5" s="1"/>
  <c r="L1917" i="5" a="1"/>
  <c r="L1917" i="5" s="1"/>
  <c r="L3605" i="5" a="1"/>
  <c r="L3605" i="5" s="1"/>
  <c r="L3606" i="5" a="1"/>
  <c r="L3606" i="5" s="1"/>
  <c r="L3607" i="5" a="1"/>
  <c r="L3607" i="5" s="1"/>
  <c r="L3608" i="5" a="1"/>
  <c r="L3608" i="5" s="1"/>
  <c r="L1918" i="5" a="1"/>
  <c r="L1918" i="5" s="1"/>
  <c r="L3609" i="5" a="1"/>
  <c r="L3609" i="5" s="1"/>
  <c r="L3610" i="5" a="1"/>
  <c r="L3610" i="5" s="1"/>
  <c r="L959" i="5" a="1"/>
  <c r="L959" i="5" s="1"/>
  <c r="L960" i="5" a="1"/>
  <c r="L960" i="5" s="1"/>
  <c r="L961" i="5" a="1"/>
  <c r="L961" i="5" s="1"/>
  <c r="L962" i="5" a="1"/>
  <c r="L962" i="5" s="1"/>
  <c r="L963" i="5" a="1"/>
  <c r="L963" i="5" s="1"/>
  <c r="L964" i="5" a="1"/>
  <c r="L964" i="5" s="1"/>
  <c r="L965" i="5" a="1"/>
  <c r="L965" i="5" s="1"/>
  <c r="L1919" i="5" a="1"/>
  <c r="L1919" i="5" s="1"/>
  <c r="L1920" i="5" a="1"/>
  <c r="L1920" i="5" s="1"/>
  <c r="L966" i="5" a="1"/>
  <c r="L966" i="5" s="1"/>
  <c r="L967" i="5" a="1"/>
  <c r="L967" i="5" s="1"/>
  <c r="L968" i="5" a="1"/>
  <c r="L968" i="5" s="1"/>
  <c r="L969" i="5" a="1"/>
  <c r="L969" i="5" s="1"/>
  <c r="L2388" i="5" a="1"/>
  <c r="L2388" i="5" s="1"/>
  <c r="L2389" i="5" a="1"/>
  <c r="L2389" i="5" s="1"/>
  <c r="L541" i="5" a="1"/>
  <c r="L541" i="5" s="1"/>
  <c r="L542" i="5" a="1"/>
  <c r="L542" i="5" s="1"/>
  <c r="L543" i="5" a="1"/>
  <c r="L543" i="5" s="1"/>
  <c r="L3240" i="5" a="1"/>
  <c r="L3240" i="5" s="1"/>
  <c r="L1537" i="5" a="1"/>
  <c r="L1537" i="5" s="1"/>
  <c r="L544" i="5" a="1"/>
  <c r="L544" i="5" s="1"/>
  <c r="L1538" i="5" a="1"/>
  <c r="L1538" i="5" s="1"/>
  <c r="L545" i="5" a="1"/>
  <c r="L545" i="5" s="1"/>
  <c r="L3241" i="5" a="1"/>
  <c r="L3241" i="5" s="1"/>
  <c r="L3242" i="5" a="1"/>
  <c r="L3242" i="5" s="1"/>
  <c r="L546" i="5" a="1"/>
  <c r="L546" i="5" s="1"/>
  <c r="L547" i="5" a="1"/>
  <c r="L547" i="5" s="1"/>
  <c r="L548" i="5" a="1"/>
  <c r="L548" i="5" s="1"/>
  <c r="L549" i="5" a="1"/>
  <c r="L549" i="5" s="1"/>
  <c r="L550" i="5" a="1"/>
  <c r="L550" i="5" s="1"/>
  <c r="L551" i="5" a="1"/>
  <c r="L551" i="5" s="1"/>
  <c r="L552" i="5" a="1"/>
  <c r="L552" i="5" s="1"/>
  <c r="L1539" i="5" a="1"/>
  <c r="L1539" i="5" s="1"/>
  <c r="L3243" i="5" a="1"/>
  <c r="L3243" i="5" s="1"/>
  <c r="L2390" i="5" a="1"/>
  <c r="L2390" i="5" s="1"/>
  <c r="L2391" i="5" a="1"/>
  <c r="L2391" i="5" s="1"/>
  <c r="L2392" i="5" a="1"/>
  <c r="L2392" i="5" s="1"/>
  <c r="L2393" i="5" a="1"/>
  <c r="L2393" i="5" s="1"/>
  <c r="L2394" i="5" a="1"/>
  <c r="L2394" i="5" s="1"/>
  <c r="L2395" i="5" a="1"/>
  <c r="L2395" i="5" s="1"/>
  <c r="L2396" i="5" a="1"/>
  <c r="L2396" i="5" s="1"/>
  <c r="L2397" i="5" a="1"/>
  <c r="L2397" i="5" s="1"/>
  <c r="L2398" i="5" a="1"/>
  <c r="L2398" i="5" s="1"/>
  <c r="L2399" i="5" a="1"/>
  <c r="L2399" i="5" s="1"/>
  <c r="L3611" i="5" a="1"/>
  <c r="L3611" i="5" s="1"/>
  <c r="L3612" i="5" a="1"/>
  <c r="L3612" i="5" s="1"/>
  <c r="L1921" i="5" a="1"/>
  <c r="L1921" i="5" s="1"/>
  <c r="L3613" i="5" a="1"/>
  <c r="L3613" i="5" s="1"/>
  <c r="L1922" i="5" a="1"/>
  <c r="L1922" i="5" s="1"/>
  <c r="L1923" i="5" a="1"/>
  <c r="L1923" i="5" s="1"/>
  <c r="L1924" i="5" a="1"/>
  <c r="L1924" i="5" s="1"/>
  <c r="L3614" i="5" a="1"/>
  <c r="L3614" i="5" s="1"/>
  <c r="L1925" i="5" a="1"/>
  <c r="L1925" i="5" s="1"/>
  <c r="L1926" i="5" a="1"/>
  <c r="L1926" i="5" s="1"/>
  <c r="L1540" i="5" a="1"/>
  <c r="L1540" i="5" s="1"/>
  <c r="L553" i="5" a="1"/>
  <c r="L553" i="5" s="1"/>
  <c r="L3244" i="5" a="1"/>
  <c r="L3244" i="5" s="1"/>
  <c r="L1541" i="5" a="1"/>
  <c r="L1541" i="5" s="1"/>
  <c r="L3245" i="5" a="1"/>
  <c r="L3245" i="5" s="1"/>
  <c r="L1542" i="5" a="1"/>
  <c r="L1542" i="5" s="1"/>
  <c r="L1543" i="5" a="1"/>
  <c r="L1543" i="5" s="1"/>
  <c r="L1544" i="5" a="1"/>
  <c r="L1544" i="5" s="1"/>
  <c r="L3246" i="5" a="1"/>
  <c r="L3246" i="5" s="1"/>
  <c r="L3247" i="5" a="1"/>
  <c r="L3247" i="5" s="1"/>
  <c r="L1545" i="5" a="1"/>
  <c r="L1545" i="5" s="1"/>
  <c r="L554" i="5" a="1"/>
  <c r="L554" i="5" s="1"/>
  <c r="L555" i="5" a="1"/>
  <c r="L555" i="5" s="1"/>
  <c r="L1927" i="5" a="1"/>
  <c r="L1927" i="5" s="1"/>
  <c r="L970" i="5" a="1"/>
  <c r="L970" i="5" s="1"/>
  <c r="L971" i="5" a="1"/>
  <c r="L971" i="5" s="1"/>
  <c r="L972" i="5" a="1"/>
  <c r="L972" i="5" s="1"/>
  <c r="L1928" i="5" a="1"/>
  <c r="L1928" i="5" s="1"/>
  <c r="L3615" i="5" a="1"/>
  <c r="L3615" i="5" s="1"/>
  <c r="L1929" i="5" a="1"/>
  <c r="L1929" i="5" s="1"/>
  <c r="L1930" i="5" a="1"/>
  <c r="L1930" i="5" s="1"/>
  <c r="L3616" i="5" a="1"/>
  <c r="L3616" i="5" s="1"/>
  <c r="L3617" i="5" a="1"/>
  <c r="L3617" i="5" s="1"/>
  <c r="L3618" i="5" a="1"/>
  <c r="L3618" i="5" s="1"/>
  <c r="L1931" i="5" a="1"/>
  <c r="L1931" i="5" s="1"/>
  <c r="L973" i="5" a="1"/>
  <c r="L973" i="5" s="1"/>
  <c r="L3619" i="5" a="1"/>
  <c r="L3619" i="5" s="1"/>
  <c r="L1932" i="5" a="1"/>
  <c r="L1932" i="5" s="1"/>
  <c r="L3620" i="5" a="1"/>
  <c r="L3620" i="5" s="1"/>
  <c r="L3621" i="5" a="1"/>
  <c r="L3621" i="5" s="1"/>
  <c r="L3622" i="5" a="1"/>
  <c r="L3622" i="5" s="1"/>
  <c r="L1933" i="5" a="1"/>
  <c r="L1933" i="5" s="1"/>
  <c r="L1546" i="5" a="1"/>
  <c r="L1546" i="5" s="1"/>
  <c r="L556" i="5" a="1"/>
  <c r="L556" i="5" s="1"/>
  <c r="L557" i="5" a="1"/>
  <c r="L557" i="5" s="1"/>
  <c r="L558" i="5" a="1"/>
  <c r="L558" i="5" s="1"/>
  <c r="L559" i="5" a="1"/>
  <c r="L559" i="5" s="1"/>
  <c r="L1547" i="5" a="1"/>
  <c r="L1547" i="5" s="1"/>
  <c r="L1548" i="5" a="1"/>
  <c r="L1548" i="5" s="1"/>
  <c r="L560" i="5" a="1"/>
  <c r="L560" i="5" s="1"/>
  <c r="L561" i="5" a="1"/>
  <c r="L561" i="5" s="1"/>
  <c r="L3248" i="5" a="1"/>
  <c r="L3248" i="5" s="1"/>
  <c r="L1549" i="5" a="1"/>
  <c r="L1549" i="5" s="1"/>
  <c r="L562" i="5" a="1"/>
  <c r="L562" i="5" s="1"/>
  <c r="L1550" i="5" a="1"/>
  <c r="L1550" i="5" s="1"/>
  <c r="L1551" i="5" a="1"/>
  <c r="L1551" i="5" s="1"/>
  <c r="L3249" i="5" a="1"/>
  <c r="L3249" i="5" s="1"/>
  <c r="L563" i="5" a="1"/>
  <c r="L563" i="5" s="1"/>
  <c r="L3250" i="5" a="1"/>
  <c r="L3250" i="5" s="1"/>
  <c r="L3251" i="5" a="1"/>
  <c r="L3251" i="5" s="1"/>
  <c r="L3252" i="5" a="1"/>
  <c r="L3252" i="5" s="1"/>
  <c r="L564" i="5" a="1"/>
  <c r="L564" i="5" s="1"/>
  <c r="L3253" i="5" a="1"/>
  <c r="L3253" i="5" s="1"/>
  <c r="L1552" i="5" a="1"/>
  <c r="L1552" i="5" s="1"/>
  <c r="L565" i="5" a="1"/>
  <c r="L565" i="5" s="1"/>
  <c r="L1553" i="5" a="1"/>
  <c r="L1553" i="5" s="1"/>
  <c r="L3254" i="5" a="1"/>
  <c r="L3254" i="5" s="1"/>
  <c r="L1554" i="5" a="1"/>
  <c r="L1554" i="5" s="1"/>
  <c r="L3255" i="5" a="1"/>
  <c r="L3255" i="5" s="1"/>
  <c r="L3256" i="5" a="1"/>
  <c r="L3256" i="5" s="1"/>
  <c r="L1555" i="5" a="1"/>
  <c r="L1555" i="5" s="1"/>
  <c r="L3257" i="5" a="1"/>
  <c r="L3257" i="5" s="1"/>
  <c r="L3258" i="5" a="1"/>
  <c r="L3258" i="5" s="1"/>
  <c r="L3259" i="5" a="1"/>
  <c r="L3259" i="5" s="1"/>
  <c r="L3260" i="5" a="1"/>
  <c r="L3260" i="5" s="1"/>
  <c r="L3261" i="5" a="1"/>
  <c r="L3261" i="5" s="1"/>
  <c r="L566" i="5" a="1"/>
  <c r="L566" i="5" s="1"/>
  <c r="L3262" i="5" a="1"/>
  <c r="L3262" i="5" s="1"/>
  <c r="L567" i="5" a="1"/>
  <c r="L567" i="5" s="1"/>
  <c r="L1556" i="5" a="1"/>
  <c r="L1556" i="5" s="1"/>
  <c r="L1934" i="5" a="1"/>
  <c r="L1934" i="5" s="1"/>
  <c r="L3263" i="5" a="1"/>
  <c r="L3263" i="5" s="1"/>
  <c r="L2400" i="5" a="1"/>
  <c r="L2400" i="5" s="1"/>
  <c r="L2401" i="5" a="1"/>
  <c r="L2401" i="5" s="1"/>
  <c r="L2402" i="5" a="1"/>
  <c r="L2402" i="5" s="1"/>
  <c r="L3264" i="5" a="1"/>
  <c r="L3264" i="5" s="1"/>
  <c r="L2403" i="5" a="1"/>
  <c r="L2403" i="5" s="1"/>
  <c r="L2404" i="5" a="1"/>
  <c r="L2404" i="5" s="1"/>
  <c r="L2405" i="5" a="1"/>
  <c r="L2405" i="5" s="1"/>
  <c r="L2406" i="5" a="1"/>
  <c r="L2406" i="5" s="1"/>
  <c r="L2407" i="5" a="1"/>
  <c r="L2407" i="5" s="1"/>
  <c r="L2408" i="5" a="1"/>
  <c r="L2408" i="5" s="1"/>
  <c r="L3265" i="5" a="1"/>
  <c r="L3265" i="5" s="1"/>
  <c r="L3266" i="5" a="1"/>
  <c r="L3266" i="5" s="1"/>
  <c r="L2409" i="5" a="1"/>
  <c r="L2409" i="5" s="1"/>
  <c r="L2410" i="5" a="1"/>
  <c r="L2410" i="5" s="1"/>
  <c r="L2411" i="5" a="1"/>
  <c r="L2411" i="5" s="1"/>
  <c r="L3267" i="5" a="1"/>
  <c r="L3267" i="5" s="1"/>
  <c r="L2412" i="5" a="1"/>
  <c r="L2412" i="5" s="1"/>
  <c r="L2413" i="5" a="1"/>
  <c r="L2413" i="5" s="1"/>
  <c r="L3268" i="5" a="1"/>
  <c r="L3268" i="5" s="1"/>
  <c r="L2414" i="5" a="1"/>
  <c r="L2414" i="5" s="1"/>
  <c r="L2415" i="5" a="1"/>
  <c r="L2415" i="5" s="1"/>
  <c r="L2416" i="5" a="1"/>
  <c r="L2416" i="5" s="1"/>
  <c r="L2417" i="5" a="1"/>
  <c r="L2417" i="5" s="1"/>
  <c r="L3269" i="5" a="1"/>
  <c r="L3269" i="5" s="1"/>
  <c r="L2418" i="5" a="1"/>
  <c r="L2418" i="5"/>
  <c r="L2419" i="5" a="1"/>
  <c r="L2419" i="5" s="1"/>
  <c r="L2420" i="5" a="1"/>
  <c r="L2420" i="5" s="1"/>
  <c r="L2421" i="5" a="1"/>
  <c r="L2421" i="5" s="1"/>
  <c r="L2422" i="5" a="1"/>
  <c r="L2422" i="5" s="1"/>
  <c r="L3270" i="5" a="1"/>
  <c r="L3270" i="5" s="1"/>
  <c r="L3623" i="5" a="1"/>
  <c r="L3623" i="5" s="1"/>
  <c r="L568" i="5" a="1"/>
  <c r="L568" i="5" s="1"/>
  <c r="L569" i="5" a="1"/>
  <c r="L569" i="5" s="1"/>
  <c r="L3271" i="5" a="1"/>
  <c r="L3271" i="5" s="1"/>
  <c r="L2423" i="5" a="1"/>
  <c r="L2423" i="5" s="1"/>
  <c r="L2424" i="5" a="1"/>
  <c r="L2424" i="5" s="1"/>
  <c r="L3272" i="5" a="1"/>
  <c r="L3272" i="5" s="1"/>
  <c r="L2425" i="5" a="1"/>
  <c r="L2425" i="5" s="1"/>
  <c r="L2426" i="5" a="1"/>
  <c r="L2426" i="5" s="1"/>
  <c r="L2427" i="5" a="1"/>
  <c r="L2427" i="5" s="1"/>
  <c r="L2428" i="5" a="1"/>
  <c r="L2428" i="5" s="1"/>
  <c r="L2429" i="5" a="1"/>
  <c r="L2429" i="5" s="1"/>
  <c r="L2430" i="5" a="1"/>
  <c r="L2430" i="5" s="1"/>
  <c r="L2431" i="5" a="1"/>
  <c r="L2431" i="5" s="1"/>
  <c r="L3273" i="5" a="1"/>
  <c r="L3273" i="5" s="1"/>
  <c r="L3274" i="5" a="1"/>
  <c r="L3274" i="5" s="1"/>
  <c r="L2432" i="5" a="1"/>
  <c r="L2432" i="5" s="1"/>
  <c r="L3275" i="5" a="1"/>
  <c r="L3275" i="5" s="1"/>
  <c r="L2433" i="5" a="1"/>
  <c r="L2433" i="5" s="1"/>
  <c r="L2434" i="5" a="1"/>
  <c r="L2434" i="5" s="1"/>
  <c r="L2435" i="5" a="1"/>
  <c r="L2435" i="5" s="1"/>
  <c r="L3276" i="5" a="1"/>
  <c r="L3276" i="5" s="1"/>
  <c r="L2436" i="5" a="1"/>
  <c r="L2436" i="5" s="1"/>
  <c r="L3277" i="5" a="1"/>
  <c r="L3277" i="5" s="1"/>
  <c r="L2437" i="5" a="1"/>
  <c r="L2437" i="5" s="1"/>
  <c r="L2438" i="5" a="1"/>
  <c r="L2438" i="5" s="1"/>
  <c r="L2439" i="5" a="1"/>
  <c r="L2439" i="5" s="1"/>
  <c r="L2440" i="5" a="1"/>
  <c r="L2440" i="5" s="1"/>
  <c r="L2441" i="5" a="1"/>
  <c r="L2441" i="5" s="1"/>
  <c r="L3278" i="5" a="1"/>
  <c r="L3278" i="5" s="1"/>
  <c r="L3279" i="5" a="1"/>
  <c r="L3279" i="5" s="1"/>
  <c r="L3280" i="5" a="1"/>
  <c r="L3280" i="5" s="1"/>
  <c r="L2442" i="5" a="1"/>
  <c r="L2442" i="5" s="1"/>
  <c r="L2443" i="5" a="1"/>
  <c r="L2443" i="5" s="1"/>
  <c r="L2444" i="5" a="1"/>
  <c r="L2444" i="5" s="1"/>
  <c r="L2445" i="5" a="1"/>
  <c r="L2445" i="5" s="1"/>
  <c r="L2446" i="5" a="1"/>
  <c r="L2446" i="5" s="1"/>
  <c r="L2615" i="5" a="1"/>
  <c r="L2615" i="5" s="1"/>
  <c r="L2616" i="5" a="1"/>
  <c r="L2616" i="5" s="1"/>
  <c r="L2617" i="5" a="1"/>
  <c r="L2617" i="5" s="1"/>
  <c r="L570" i="5" a="1"/>
  <c r="L570" i="5" s="1"/>
  <c r="L571" i="5" a="1"/>
  <c r="L571" i="5" s="1"/>
  <c r="L572" i="5" a="1"/>
  <c r="L572" i="5" s="1"/>
  <c r="L3281" i="5" a="1"/>
  <c r="L3281" i="5" s="1"/>
  <c r="L3282" i="5" a="1"/>
  <c r="L3282" i="5" s="1"/>
  <c r="L1557" i="5" a="1"/>
  <c r="L1557" i="5" s="1"/>
  <c r="L1558" i="5" a="1"/>
  <c r="L1558" i="5" s="1"/>
  <c r="L1559" i="5" a="1"/>
  <c r="L1559" i="5" s="1"/>
  <c r="L573" i="5" a="1"/>
  <c r="L573" i="5" s="1"/>
  <c r="L1560" i="5" a="1"/>
  <c r="L1560" i="5" s="1"/>
  <c r="L1561" i="5" a="1"/>
  <c r="L1561" i="5" s="1"/>
  <c r="L1562" i="5" a="1"/>
  <c r="L1562" i="5" s="1"/>
  <c r="L1563" i="5" a="1"/>
  <c r="L1563" i="5" s="1"/>
  <c r="L574" i="5" a="1"/>
  <c r="L574" i="5" s="1"/>
  <c r="L1935" i="5" a="1"/>
  <c r="L1935" i="5" s="1"/>
  <c r="L1936" i="5" a="1"/>
  <c r="L1936" i="5" s="1"/>
  <c r="L1937" i="5" a="1"/>
  <c r="L1937" i="5" s="1"/>
  <c r="L3283" i="5" a="1"/>
  <c r="L3283" i="5" s="1"/>
  <c r="L575" i="5" a="1"/>
  <c r="L575" i="5" s="1"/>
  <c r="L576" i="5" a="1"/>
  <c r="L576" i="5" s="1"/>
  <c r="L1564" i="5" a="1"/>
  <c r="L1564" i="5" s="1"/>
  <c r="L577" i="5" a="1"/>
  <c r="L577" i="5" s="1"/>
  <c r="L578" i="5" a="1"/>
  <c r="L578" i="5" s="1"/>
  <c r="L3284" i="5" a="1"/>
  <c r="L3284" i="5" s="1"/>
  <c r="L3285" i="5" a="1"/>
  <c r="L3285" i="5" s="1"/>
  <c r="L579" i="5" a="1"/>
  <c r="L579" i="5" s="1"/>
  <c r="L580" i="5" a="1"/>
  <c r="L580" i="5" s="1"/>
  <c r="L581" i="5" a="1"/>
  <c r="L581" i="5" s="1"/>
  <c r="L3286" i="5" a="1"/>
  <c r="L3286" i="5" s="1"/>
  <c r="L582" i="5" a="1"/>
  <c r="L582" i="5"/>
  <c r="L583" i="5" a="1"/>
  <c r="L583" i="5" s="1"/>
  <c r="L584" i="5" a="1"/>
  <c r="L584" i="5" s="1"/>
  <c r="L1565" i="5" a="1"/>
  <c r="L1565" i="5" s="1"/>
  <c r="L1566" i="5" a="1"/>
  <c r="L1566" i="5" s="1"/>
  <c r="L1567" i="5" a="1"/>
  <c r="L1567" i="5" s="1"/>
  <c r="L585" i="5" a="1"/>
  <c r="L585" i="5" s="1"/>
  <c r="L3287" i="5" a="1"/>
  <c r="L3287" i="5" s="1"/>
  <c r="L3288" i="5" a="1"/>
  <c r="L3288" i="5" s="1"/>
  <c r="L3289" i="5" a="1"/>
  <c r="L3289" i="5" s="1"/>
  <c r="L586" i="5" a="1"/>
  <c r="L586" i="5" s="1"/>
  <c r="L587" i="5" a="1"/>
  <c r="L587" i="5" s="1"/>
  <c r="L3290" i="5" a="1"/>
  <c r="L3290" i="5" s="1"/>
  <c r="L588" i="5" a="1"/>
  <c r="L588" i="5" s="1"/>
  <c r="L1568" i="5" a="1"/>
  <c r="L1568" i="5" s="1"/>
  <c r="L3291" i="5" a="1"/>
  <c r="L3291" i="5" s="1"/>
  <c r="L3292" i="5" a="1"/>
  <c r="L3292" i="5" s="1"/>
  <c r="L589" i="5" a="1"/>
  <c r="L589" i="5" s="1"/>
  <c r="L590" i="5" a="1"/>
  <c r="L590" i="5" s="1"/>
  <c r="L3293" i="5" a="1"/>
  <c r="L3293" i="5" s="1"/>
  <c r="L591" i="5" a="1"/>
  <c r="L591" i="5" s="1"/>
  <c r="L1569" i="5" a="1"/>
  <c r="L1569" i="5" s="1"/>
  <c r="L592" i="5" a="1"/>
  <c r="L592" i="5" s="1"/>
  <c r="L1570" i="5" a="1"/>
  <c r="L1570" i="5" s="1"/>
  <c r="L593" i="5" a="1"/>
  <c r="L593" i="5" s="1"/>
  <c r="L594" i="5" a="1"/>
  <c r="L594" i="5" s="1"/>
  <c r="L595" i="5" a="1"/>
  <c r="L595" i="5" s="1"/>
  <c r="L596" i="5" a="1"/>
  <c r="L596" i="5" s="1"/>
  <c r="L597" i="5" a="1"/>
  <c r="L597" i="5" s="1"/>
  <c r="L598" i="5" a="1"/>
  <c r="L598" i="5" s="1"/>
  <c r="L1571" i="5" a="1"/>
  <c r="L1571" i="5" s="1"/>
  <c r="L1938" i="5" a="1"/>
  <c r="L1938" i="5" s="1"/>
  <c r="L1939" i="5" a="1"/>
  <c r="L1939" i="5" s="1"/>
  <c r="L3624" i="5" a="1"/>
  <c r="L3624" i="5" s="1"/>
  <c r="L1940" i="5" a="1"/>
  <c r="L1940" i="5" s="1"/>
  <c r="L3625" i="5" a="1"/>
  <c r="L3625" i="5" s="1"/>
  <c r="L3626" i="5" a="1"/>
  <c r="L3626" i="5" s="1"/>
  <c r="L3627" i="5" a="1"/>
  <c r="L3627" i="5" s="1"/>
  <c r="L3628" i="5" a="1"/>
  <c r="L3628" i="5" s="1"/>
  <c r="L3629" i="5" a="1"/>
  <c r="L3629" i="5" s="1"/>
  <c r="L3630" i="5" a="1"/>
  <c r="L3630" i="5" s="1"/>
  <c r="L3631" i="5" a="1"/>
  <c r="L3631" i="5" s="1"/>
  <c r="L3632" i="5" a="1"/>
  <c r="L3632" i="5" s="1"/>
  <c r="L3633" i="5" a="1"/>
  <c r="L3633" i="5" s="1"/>
  <c r="L3634" i="5" a="1"/>
  <c r="L3634" i="5" s="1"/>
  <c r="L3635" i="5" a="1"/>
  <c r="L3635" i="5" s="1"/>
  <c r="L3636" i="5" a="1"/>
  <c r="L3636" i="5" s="1"/>
  <c r="L3637" i="5" a="1"/>
  <c r="L3637" i="5" s="1"/>
  <c r="L3638" i="5" a="1"/>
  <c r="L3638" i="5" s="1"/>
  <c r="L3639" i="5" a="1"/>
  <c r="L3639" i="5" s="1"/>
  <c r="L3640" i="5" a="1"/>
  <c r="L3640" i="5" s="1"/>
  <c r="L3641" i="5" a="1"/>
  <c r="L3641" i="5" s="1"/>
  <c r="L3642" i="5" a="1"/>
  <c r="L3642" i="5" s="1"/>
  <c r="L3643" i="5" a="1"/>
  <c r="L3643" i="5" s="1"/>
  <c r="L3644" i="5" a="1"/>
  <c r="L3644" i="5" s="1"/>
  <c r="L3645" i="5" a="1"/>
  <c r="L3645" i="5" s="1"/>
  <c r="L3646" i="5" a="1"/>
  <c r="L3646" i="5" s="1"/>
  <c r="L3647" i="5" a="1"/>
  <c r="L3647" i="5" s="1"/>
  <c r="L3648" i="5" a="1"/>
  <c r="L3648" i="5" s="1"/>
  <c r="L3649" i="5" a="1"/>
  <c r="L3649" i="5" s="1"/>
  <c r="L3294" i="5" a="1"/>
  <c r="L3294" i="5" s="1"/>
  <c r="L3295" i="5" a="1"/>
  <c r="L3295" i="5" s="1"/>
  <c r="L3296" i="5" a="1"/>
  <c r="L3296" i="5" s="1"/>
  <c r="L3297" i="5" a="1"/>
  <c r="L3297" i="5" s="1"/>
  <c r="L3298" i="5" a="1"/>
  <c r="L3298" i="5" s="1"/>
  <c r="L3299" i="5" a="1"/>
  <c r="L3299" i="5" s="1"/>
  <c r="L3300" i="5" a="1"/>
  <c r="L3300" i="5" s="1"/>
  <c r="L3301" i="5" a="1"/>
  <c r="L3301" i="5" s="1"/>
  <c r="L3302" i="5" a="1"/>
  <c r="L3302" i="5" s="1"/>
  <c r="L3303" i="5" a="1"/>
  <c r="L3303" i="5"/>
  <c r="L3304" i="5" a="1"/>
  <c r="L3304" i="5" s="1"/>
  <c r="L3305" i="5" a="1"/>
  <c r="L3305" i="5" s="1"/>
  <c r="L3306" i="5" a="1"/>
  <c r="L3306" i="5" s="1"/>
  <c r="L3307" i="5" a="1"/>
  <c r="L3307" i="5" s="1"/>
  <c r="L3650" i="5" a="1"/>
  <c r="L3650" i="5" s="1"/>
  <c r="L3651" i="5" a="1"/>
  <c r="L3651" i="5" s="1"/>
  <c r="L3652" i="5" a="1"/>
  <c r="L3652" i="5" s="1"/>
  <c r="L3653" i="5" a="1"/>
  <c r="L3653" i="5" s="1"/>
  <c r="L3654" i="5" a="1"/>
  <c r="L3654" i="5" s="1"/>
  <c r="L3655" i="5" a="1"/>
  <c r="L3655" i="5" s="1"/>
  <c r="L3656" i="5" a="1"/>
  <c r="L3656" i="5" s="1"/>
  <c r="L3657" i="5" a="1"/>
  <c r="L3657" i="5" s="1"/>
  <c r="L3308" i="5" a="1"/>
  <c r="L3308" i="5" s="1"/>
  <c r="L3309" i="5" a="1"/>
  <c r="L3309" i="5" s="1"/>
  <c r="L3310" i="5" a="1"/>
  <c r="L3310" i="5" s="1"/>
  <c r="L3311" i="5" a="1"/>
  <c r="L3311" i="5" s="1"/>
  <c r="L3312" i="5" a="1"/>
  <c r="L3312" i="5" s="1"/>
  <c r="L3313" i="5" a="1"/>
  <c r="L3313" i="5" s="1"/>
  <c r="L3314" i="5" a="1"/>
  <c r="L3314" i="5" s="1"/>
  <c r="L3315" i="5" a="1"/>
  <c r="L3315" i="5" s="1"/>
  <c r="L3316" i="5" a="1"/>
  <c r="L3316" i="5" s="1"/>
  <c r="L3317" i="5" a="1"/>
  <c r="L3317" i="5" s="1"/>
  <c r="L3318" i="5" a="1"/>
  <c r="L3318" i="5" s="1"/>
  <c r="L3319" i="5" a="1"/>
  <c r="L3319" i="5" s="1"/>
  <c r="L3320" i="5" a="1"/>
  <c r="L3320" i="5" s="1"/>
  <c r="L3321" i="5" a="1"/>
  <c r="L3321" i="5" s="1"/>
  <c r="L3658" i="5" a="1"/>
  <c r="L3658" i="5" s="1"/>
  <c r="L3659" i="5" a="1"/>
  <c r="L3659" i="5" s="1"/>
  <c r="L3660" i="5" a="1"/>
  <c r="L3660" i="5" s="1"/>
  <c r="L3661" i="5" a="1"/>
  <c r="L3661" i="5" s="1"/>
  <c r="L3662" i="5" a="1"/>
  <c r="L3662" i="5" s="1"/>
  <c r="L3663" i="5" a="1"/>
  <c r="L3663" i="5" s="1"/>
  <c r="L3664" i="5" a="1"/>
  <c r="L3664" i="5" s="1"/>
  <c r="L3665" i="5" a="1"/>
  <c r="L3665" i="5" s="1"/>
  <c r="L3322" i="5" a="1"/>
  <c r="L3322" i="5" s="1"/>
  <c r="L1572" i="5" a="1"/>
  <c r="L1572" i="5" s="1"/>
  <c r="L3323" i="5" a="1"/>
  <c r="L3323" i="5" s="1"/>
  <c r="L3324" i="5" a="1"/>
  <c r="L3324" i="5" s="1"/>
  <c r="L3325" i="5" a="1"/>
  <c r="L3325" i="5" s="1"/>
  <c r="L1573" i="5" a="1"/>
  <c r="L1573" i="5" s="1"/>
  <c r="L599" i="5" a="1"/>
  <c r="L599" i="5" s="1"/>
  <c r="L1574" i="5" a="1"/>
  <c r="L1574" i="5" s="1"/>
  <c r="L600" i="5" a="1"/>
  <c r="L600" i="5" s="1"/>
  <c r="L1575" i="5" a="1"/>
  <c r="L1575" i="5" s="1"/>
  <c r="L1576" i="5" a="1"/>
  <c r="L1576" i="5" s="1"/>
  <c r="L1577" i="5" a="1"/>
  <c r="L1577" i="5" s="1"/>
  <c r="L3326" i="5" a="1"/>
  <c r="L3326" i="5" s="1"/>
  <c r="L601" i="5" a="1"/>
  <c r="L601" i="5" s="1"/>
  <c r="L602" i="5" a="1"/>
  <c r="L602" i="5" s="1"/>
  <c r="L1578" i="5" a="1"/>
  <c r="L1578" i="5" s="1"/>
  <c r="L3327" i="5" a="1"/>
  <c r="L3327" i="5" s="1"/>
  <c r="L3328" i="5" a="1"/>
  <c r="L3328" i="5" s="1"/>
  <c r="L974" i="5" a="1"/>
  <c r="L974" i="5" s="1"/>
  <c r="L1941" i="5" a="1"/>
  <c r="L1941" i="5" s="1"/>
  <c r="L603" i="5" a="1"/>
  <c r="L603" i="5" s="1"/>
  <c r="L1579" i="5" a="1"/>
  <c r="L1579" i="5" s="1"/>
  <c r="L1580" i="5" a="1"/>
  <c r="L1580" i="5" s="1"/>
  <c r="L1581" i="5" a="1"/>
  <c r="L1581" i="5" s="1"/>
  <c r="L604" i="5" a="1"/>
  <c r="L604" i="5" s="1"/>
  <c r="L3329" i="5" a="1"/>
  <c r="L3329" i="5" s="1"/>
  <c r="L1582" i="5" a="1"/>
  <c r="L1582" i="5" s="1"/>
  <c r="L1583" i="5" a="1"/>
  <c r="L1583" i="5" s="1"/>
  <c r="L3330" i="5" a="1"/>
  <c r="L3330" i="5" s="1"/>
  <c r="L3331" i="5" a="1"/>
  <c r="L3331" i="5" s="1"/>
  <c r="L3332" i="5" a="1"/>
  <c r="L3332" i="5" s="1"/>
  <c r="L3333" i="5" a="1"/>
  <c r="L3333" i="5" s="1"/>
  <c r="L3334" i="5" a="1"/>
  <c r="L3334" i="5" s="1"/>
  <c r="L3335" i="5" a="1"/>
  <c r="L3335" i="5" s="1"/>
  <c r="L3336" i="5" a="1"/>
  <c r="L3336" i="5" s="1"/>
  <c r="L3337" i="5" a="1"/>
  <c r="L3337" i="5" s="1"/>
  <c r="L3338" i="5" a="1"/>
  <c r="L3338" i="5" s="1"/>
  <c r="L3339" i="5" a="1"/>
  <c r="L3339" i="5" s="1"/>
  <c r="L3340" i="5" a="1"/>
  <c r="L3340" i="5" s="1"/>
  <c r="L3341" i="5" a="1"/>
  <c r="L3341" i="5" s="1"/>
  <c r="L3342" i="5" a="1"/>
  <c r="L3342" i="5" s="1"/>
  <c r="L3343" i="5" a="1"/>
  <c r="L3343" i="5" s="1"/>
  <c r="L3344" i="5" a="1"/>
  <c r="L3344" i="5" s="1"/>
  <c r="L3345" i="5" a="1"/>
  <c r="L3345" i="5" s="1"/>
  <c r="L3346" i="5" a="1"/>
  <c r="L3346" i="5" s="1"/>
  <c r="L3347" i="5" a="1"/>
  <c r="L3347" i="5" s="1"/>
  <c r="L3348" i="5" a="1"/>
  <c r="L3348" i="5" s="1"/>
  <c r="L3349" i="5" a="1"/>
  <c r="L3349" i="5" s="1"/>
  <c r="L3666" i="5" a="1"/>
  <c r="L3666" i="5" s="1"/>
  <c r="L3350" i="5" a="1"/>
  <c r="L3350" i="5" s="1"/>
  <c r="L3351" i="5" a="1"/>
  <c r="L3351" i="5" s="1"/>
  <c r="L3352" i="5" a="1"/>
  <c r="L3352" i="5" s="1"/>
  <c r="L3353" i="5" a="1"/>
  <c r="L3353" i="5" s="1"/>
  <c r="L3354" i="5" a="1"/>
  <c r="L3354" i="5" s="1"/>
  <c r="L3355" i="5" a="1"/>
  <c r="L3355" i="5" s="1"/>
  <c r="L3356" i="5" a="1"/>
  <c r="L3356" i="5" s="1"/>
  <c r="L3357" i="5" a="1"/>
  <c r="L3357" i="5" s="1"/>
  <c r="L3358" i="5" a="1"/>
  <c r="L3358" i="5" s="1"/>
  <c r="L3359" i="5" a="1"/>
  <c r="L3359" i="5" s="1"/>
  <c r="L3360" i="5" a="1"/>
  <c r="L3360" i="5" s="1"/>
  <c r="L3361" i="5" a="1"/>
  <c r="L3361" i="5" s="1"/>
  <c r="L3362" i="5" a="1"/>
  <c r="L3362" i="5" s="1"/>
  <c r="L3363" i="5" a="1"/>
  <c r="L3363" i="5" s="1"/>
  <c r="L3364" i="5" a="1"/>
  <c r="L3364" i="5" s="1"/>
  <c r="L3365" i="5" a="1"/>
  <c r="L3365" i="5" s="1"/>
  <c r="L3366" i="5" a="1"/>
  <c r="L3366" i="5" s="1"/>
  <c r="L3667" i="5" a="1"/>
  <c r="L3667" i="5" s="1"/>
  <c r="L3668" i="5" a="1"/>
  <c r="L3668" i="5" s="1"/>
  <c r="L3669" i="5" a="1"/>
  <c r="L3669" i="5" s="1"/>
  <c r="L3367" i="5" a="1"/>
  <c r="L3367" i="5" s="1"/>
  <c r="L605" i="5" a="1"/>
  <c r="L605" i="5" s="1"/>
  <c r="L3368" i="5" a="1"/>
  <c r="L3368" i="5" s="1"/>
  <c r="L1584" i="5" a="1"/>
  <c r="L1584" i="5" s="1"/>
  <c r="L3369" i="5" a="1"/>
  <c r="L3369" i="5" s="1"/>
  <c r="L3370" i="5" a="1"/>
  <c r="L3370" i="5" s="1"/>
  <c r="L3371" i="5" a="1"/>
  <c r="L3371" i="5" s="1"/>
  <c r="L606" i="5" a="1"/>
  <c r="L606" i="5" s="1"/>
  <c r="L607" i="5" a="1"/>
  <c r="L607" i="5" s="1"/>
  <c r="L3372" i="5" a="1"/>
  <c r="L3372" i="5" s="1"/>
  <c r="L3373" i="5" a="1"/>
  <c r="L3373" i="5" s="1"/>
  <c r="L3374" i="5" a="1"/>
  <c r="L3374" i="5" s="1"/>
  <c r="L3670" i="5" a="1"/>
  <c r="L3670" i="5" s="1"/>
  <c r="L3671" i="5" a="1"/>
  <c r="L3671" i="5" s="1"/>
  <c r="L1942" i="5" a="1"/>
  <c r="L1942" i="5" s="1"/>
  <c r="L608" i="5" a="1"/>
  <c r="L608" i="5" s="1"/>
  <c r="L1585" i="5" a="1"/>
  <c r="L1585" i="5" s="1"/>
  <c r="L1586" i="5" a="1"/>
  <c r="L1586" i="5" s="1"/>
  <c r="L3375" i="5" a="1"/>
  <c r="L3375" i="5" s="1"/>
  <c r="L609" i="5" a="1"/>
  <c r="L609" i="5" s="1"/>
  <c r="L3376" i="5" a="1"/>
  <c r="L3376" i="5" s="1"/>
  <c r="L1587" i="5" a="1"/>
  <c r="L1587" i="5" s="1"/>
  <c r="L1943" i="5" a="1"/>
  <c r="L1943" i="5" s="1"/>
  <c r="L1944" i="5" a="1"/>
  <c r="L1944" i="5" s="1"/>
  <c r="L3377" i="5" a="1"/>
  <c r="L3377" i="5" s="1"/>
  <c r="L1588" i="5" a="1"/>
  <c r="L1588" i="5" s="1"/>
  <c r="L1589" i="5" a="1"/>
  <c r="L1589" i="5" s="1"/>
  <c r="L3378" i="5" a="1"/>
  <c r="L3378" i="5" s="1"/>
  <c r="L1590" i="5" a="1"/>
  <c r="L1590" i="5" s="1"/>
  <c r="L610" i="5" a="1"/>
  <c r="L610" i="5" s="1"/>
  <c r="L1591" i="5" a="1"/>
  <c r="L1591" i="5" s="1"/>
  <c r="L1592" i="5" a="1"/>
  <c r="L1592" i="5" s="1"/>
  <c r="L1593" i="5" a="1"/>
  <c r="L1593" i="5" s="1"/>
  <c r="L611" i="5" a="1"/>
  <c r="L611" i="5" s="1"/>
  <c r="L3379" i="5" a="1"/>
  <c r="L3379" i="5" s="1"/>
  <c r="L1594" i="5" a="1"/>
  <c r="L1594" i="5" s="1"/>
  <c r="L1595" i="5" a="1"/>
  <c r="L1595" i="5" s="1"/>
  <c r="L1596" i="5" a="1"/>
  <c r="L1596" i="5" s="1"/>
  <c r="L3380" i="5" a="1"/>
  <c r="L3380" i="5" s="1"/>
  <c r="L3381" i="5" a="1"/>
  <c r="L3381" i="5" s="1"/>
  <c r="L1597" i="5" a="1"/>
  <c r="L1597" i="5" s="1"/>
  <c r="L1598" i="5" a="1"/>
  <c r="L1598" i="5" s="1"/>
  <c r="L1945" i="5" a="1"/>
  <c r="L1945" i="5" s="1"/>
  <c r="L3672" i="5" a="1"/>
  <c r="L3672" i="5" s="1"/>
  <c r="L1946" i="5" a="1"/>
  <c r="L1946" i="5" s="1"/>
  <c r="L3673" i="5" a="1"/>
  <c r="L3673" i="5" s="1"/>
  <c r="L3674" i="5" a="1"/>
  <c r="L3674" i="5" s="1"/>
  <c r="L3675" i="5" a="1"/>
  <c r="L3675" i="5" s="1"/>
  <c r="L1947" i="5" a="1"/>
  <c r="L1947" i="5" s="1"/>
  <c r="L1948" i="5" a="1"/>
  <c r="L1948" i="5" s="1"/>
  <c r="L1949" i="5" a="1"/>
  <c r="L1949" i="5" s="1"/>
  <c r="L3676" i="5" a="1"/>
  <c r="L3676" i="5" s="1"/>
  <c r="L3677" i="5" a="1"/>
  <c r="L3677" i="5" s="1"/>
  <c r="L1950" i="5" a="1"/>
  <c r="L1950" i="5" s="1"/>
  <c r="L1951" i="5" a="1"/>
  <c r="L1951" i="5" s="1"/>
  <c r="L3678" i="5" a="1"/>
  <c r="L3678" i="5" s="1"/>
  <c r="L3679" i="5" a="1"/>
  <c r="L3679" i="5" s="1"/>
  <c r="L1952" i="5" a="1"/>
  <c r="L1952" i="5" s="1"/>
  <c r="L1953" i="5" a="1"/>
  <c r="L1953" i="5" s="1"/>
  <c r="L3680" i="5" a="1"/>
  <c r="L3680" i="5" s="1"/>
  <c r="L3681" i="5" a="1"/>
  <c r="L3681" i="5" s="1"/>
  <c r="L3682" i="5" a="1"/>
  <c r="L3682" i="5" s="1"/>
  <c r="L1954" i="5" a="1"/>
  <c r="L1954" i="5" s="1"/>
  <c r="L3683" i="5" a="1"/>
  <c r="L3683" i="5" s="1"/>
  <c r="L3684" i="5" a="1"/>
  <c r="L3684" i="5" s="1"/>
  <c r="L3685" i="5" a="1"/>
  <c r="L3685" i="5" s="1"/>
  <c r="L1955" i="5" a="1"/>
  <c r="L1955" i="5" s="1"/>
  <c r="L3686" i="5" a="1"/>
  <c r="L3686" i="5" s="1"/>
  <c r="L1956" i="5" a="1"/>
  <c r="L1956" i="5" s="1"/>
  <c r="L1957" i="5" a="1"/>
  <c r="L1957" i="5" s="1"/>
  <c r="L3687" i="5" a="1"/>
  <c r="L3687" i="5" s="1"/>
  <c r="L1958" i="5" a="1"/>
  <c r="L1958" i="5" s="1"/>
  <c r="L3688" i="5" a="1"/>
  <c r="L3688" i="5" s="1"/>
  <c r="L1959" i="5" a="1"/>
  <c r="L1959" i="5" s="1"/>
  <c r="L1960" i="5" a="1"/>
  <c r="L1960" i="5" s="1"/>
  <c r="L3689" i="5" a="1"/>
  <c r="L3689" i="5"/>
  <c r="L3382" i="5" a="1"/>
  <c r="L3382" i="5" s="1"/>
  <c r="L3383" i="5" a="1"/>
  <c r="L3383" i="5" s="1"/>
  <c r="L2447" i="5" a="1"/>
  <c r="L2447" i="5" s="1"/>
  <c r="L3384" i="5" a="1"/>
  <c r="L3384" i="5" s="1"/>
  <c r="L2448" i="5" a="1"/>
  <c r="L2448" i="5" s="1"/>
  <c r="L2449" i="5" a="1"/>
  <c r="L2449" i="5" s="1"/>
  <c r="L3385" i="5" a="1"/>
  <c r="L3385" i="5" s="1"/>
  <c r="L2450" i="5" a="1"/>
  <c r="L2450" i="5" s="1"/>
  <c r="L3386" i="5" a="1"/>
  <c r="L3386" i="5" s="1"/>
  <c r="L2451" i="5" a="1"/>
  <c r="L2451" i="5" s="1"/>
  <c r="L2452" i="5" a="1"/>
  <c r="L2452" i="5" s="1"/>
  <c r="L2453" i="5" a="1"/>
  <c r="L2453" i="5" s="1"/>
  <c r="L2454" i="5" a="1"/>
  <c r="L2454" i="5" s="1"/>
  <c r="L2455" i="5" a="1"/>
  <c r="L2455" i="5" s="1"/>
  <c r="L2456" i="5" a="1"/>
  <c r="L2456" i="5" s="1"/>
  <c r="L3387" i="5" a="1"/>
  <c r="L3387" i="5" s="1"/>
  <c r="L3388" i="5" a="1"/>
  <c r="L3388" i="5" s="1"/>
  <c r="L2457" i="5" a="1"/>
  <c r="L2457" i="5" s="1"/>
  <c r="L2458" i="5" a="1"/>
  <c r="L2458" i="5" s="1"/>
  <c r="L2459" i="5" a="1"/>
  <c r="L2459" i="5" s="1"/>
  <c r="L2460" i="5" a="1"/>
  <c r="L2460" i="5" s="1"/>
  <c r="L2461" i="5" a="1"/>
  <c r="L2461" i="5" s="1"/>
  <c r="L2462" i="5" a="1"/>
  <c r="L2462" i="5" s="1"/>
  <c r="L2463" i="5" a="1"/>
  <c r="L2463" i="5" s="1"/>
  <c r="L3690" i="5" a="1"/>
  <c r="L3690" i="5" s="1"/>
  <c r="L3691" i="5" a="1"/>
  <c r="L3691" i="5" s="1"/>
  <c r="L3692" i="5" a="1"/>
  <c r="L3692" i="5" s="1"/>
  <c r="L2618" i="5" a="1"/>
  <c r="L2618" i="5" s="1"/>
  <c r="L2619" i="5" a="1"/>
  <c r="L2619" i="5" s="1"/>
  <c r="L3693" i="5" a="1"/>
  <c r="L3693" i="5" s="1"/>
  <c r="L2620" i="5" a="1"/>
  <c r="L2620" i="5" s="1"/>
  <c r="L3694" i="5" a="1"/>
  <c r="L3694" i="5" s="1"/>
  <c r="L1961" i="5" a="1"/>
  <c r="L1961" i="5" s="1"/>
  <c r="L1962" i="5" a="1"/>
  <c r="L1962" i="5" s="1"/>
  <c r="L3695" i="5" a="1"/>
  <c r="L3695" i="5" s="1"/>
  <c r="L3696" i="5" a="1"/>
  <c r="L3696" i="5" s="1"/>
  <c r="L3697" i="5" a="1"/>
  <c r="L3697" i="5" s="1"/>
  <c r="L3698" i="5" a="1"/>
  <c r="L3698" i="5" s="1"/>
  <c r="L3699" i="5" a="1"/>
  <c r="L3699" i="5" s="1"/>
  <c r="L2729" i="5" a="1"/>
  <c r="L2729" i="5" s="1"/>
  <c r="L2168" i="5" a="1"/>
  <c r="L2168" i="5" s="1"/>
  <c r="L2169" i="5" a="1"/>
  <c r="L2169" i="5" s="1"/>
  <c r="L2170" i="5" a="1"/>
  <c r="L2170" i="5" s="1"/>
  <c r="L2730" i="5" a="1"/>
  <c r="L2730" i="5" s="1"/>
  <c r="L1314" i="5" a="1"/>
  <c r="L1314" i="5" s="1"/>
  <c r="L234" i="5" a="1"/>
  <c r="L234" i="5" s="1"/>
  <c r="L2250" i="5" a="1"/>
  <c r="L2250" i="5" s="1"/>
  <c r="L235" i="5" a="1"/>
  <c r="L235" i="5" s="1"/>
  <c r="L2251" i="5" a="1"/>
  <c r="L2251" i="5" s="1"/>
  <c r="L236" i="5" a="1"/>
  <c r="L236" i="5" s="1"/>
  <c r="L2964" i="5" a="1"/>
  <c r="L2964" i="5" s="1"/>
  <c r="L2252" i="5" a="1"/>
  <c r="L2252" i="5" s="1"/>
  <c r="L1315" i="5" a="1"/>
  <c r="L1315" i="5" s="1"/>
  <c r="L2253" i="5" a="1"/>
  <c r="L2253" i="5" s="1"/>
  <c r="L2965" i="5" a="1"/>
  <c r="L2965" i="5" s="1"/>
  <c r="L2966" i="5" a="1"/>
  <c r="L2966" i="5" s="1"/>
  <c r="L2967" i="5" a="1"/>
  <c r="L2967" i="5" s="1"/>
  <c r="L2254" i="5" a="1"/>
  <c r="L2254" i="5"/>
  <c r="L2255" i="5" a="1"/>
  <c r="L2255" i="5" s="1"/>
  <c r="L1316" i="5" a="1"/>
  <c r="L1316" i="5" s="1"/>
  <c r="L612" i="5" a="1"/>
  <c r="L612" i="5" s="1"/>
  <c r="L2464" i="5" a="1"/>
  <c r="L2464" i="5" s="1"/>
  <c r="L613" i="5" a="1"/>
  <c r="L613" i="5" s="1"/>
  <c r="L614" i="5" a="1"/>
  <c r="L614" i="5"/>
  <c r="L1599" i="5" a="1"/>
  <c r="L1599" i="5" s="1"/>
  <c r="L1600" i="5" a="1"/>
  <c r="L1600" i="5" s="1"/>
  <c r="L1601" i="5" a="1"/>
  <c r="L1601" i="5" s="1"/>
  <c r="L2465" i="5" a="1"/>
  <c r="L2465" i="5" s="1"/>
  <c r="L615" i="5" a="1"/>
  <c r="L615" i="5" s="1"/>
  <c r="L2621" i="5" a="1"/>
  <c r="L2621" i="5" s="1"/>
  <c r="L2622" i="5" a="1"/>
  <c r="L2622" i="5" s="1"/>
  <c r="L975" i="5" a="1"/>
  <c r="L975" i="5" s="1"/>
  <c r="L1963" i="5" a="1"/>
  <c r="L1963" i="5" s="1"/>
  <c r="L976" i="5" a="1"/>
  <c r="L976" i="5" s="1"/>
  <c r="L2731" i="5" a="1"/>
  <c r="L2731" i="5" s="1"/>
  <c r="L237" i="5" a="1"/>
  <c r="L237" i="5" s="1"/>
  <c r="L238" i="5" a="1"/>
  <c r="L238" i="5" s="1"/>
  <c r="L2968" i="5" a="1"/>
  <c r="L2968" i="5" s="1"/>
  <c r="L239" i="5" a="1"/>
  <c r="L239" i="5" s="1"/>
  <c r="L2969" i="5" a="1"/>
  <c r="L2969" i="5" s="1"/>
  <c r="L2970" i="5" a="1"/>
  <c r="L2970" i="5" s="1"/>
  <c r="L240" i="5" a="1"/>
  <c r="L240" i="5" s="1"/>
  <c r="L241" i="5" a="1"/>
  <c r="L241" i="5" s="1"/>
  <c r="L242" i="5" a="1"/>
  <c r="L242" i="5" s="1"/>
  <c r="L2971" i="5" a="1"/>
  <c r="L2971" i="5"/>
  <c r="L2972" i="5" a="1"/>
  <c r="L2972" i="5" s="1"/>
  <c r="L243" i="5" a="1"/>
  <c r="L243" i="5" s="1"/>
  <c r="L2973" i="5" a="1"/>
  <c r="L2973" i="5" s="1"/>
  <c r="L2974" i="5" a="1"/>
  <c r="L2974" i="5" s="1"/>
  <c r="L244" i="5" a="1"/>
  <c r="L244" i="5" s="1"/>
  <c r="L245" i="5" a="1"/>
  <c r="L245" i="5" s="1"/>
  <c r="L2975" i="5" a="1"/>
  <c r="L2975" i="5" s="1"/>
  <c r="L2976" i="5" a="1"/>
  <c r="L2976" i="5" s="1"/>
  <c r="L2977" i="5" a="1"/>
  <c r="L2977" i="5" s="1"/>
  <c r="L246" i="5" a="1"/>
  <c r="L246" i="5" s="1"/>
  <c r="L247" i="5" a="1"/>
  <c r="L247" i="5"/>
  <c r="L2978" i="5" a="1"/>
  <c r="L2978" i="5" s="1"/>
  <c r="L2979" i="5" a="1"/>
  <c r="L2979" i="5" s="1"/>
  <c r="L248" i="5" a="1"/>
  <c r="L248" i="5" s="1"/>
  <c r="L2980" i="5" a="1"/>
  <c r="L2980" i="5" s="1"/>
  <c r="L249" i="5" a="1"/>
  <c r="L249" i="5" s="1"/>
  <c r="L2981" i="5" a="1"/>
  <c r="L2981" i="5" s="1"/>
  <c r="L2982" i="5" a="1"/>
  <c r="L2982" i="5" s="1"/>
  <c r="L2983" i="5" a="1"/>
  <c r="L2983" i="5" s="1"/>
  <c r="L2984" i="5" a="1"/>
  <c r="L2984" i="5" s="1"/>
  <c r="L2985" i="5" a="1"/>
  <c r="L2985" i="5" s="1"/>
  <c r="L250" i="5" a="1"/>
  <c r="L250" i="5" s="1"/>
  <c r="L2986" i="5" a="1"/>
  <c r="L2986" i="5" s="1"/>
  <c r="L251" i="5" a="1"/>
  <c r="L251" i="5" s="1"/>
  <c r="L252" i="5" a="1"/>
  <c r="L252" i="5" s="1"/>
  <c r="L2987" i="5" a="1"/>
  <c r="L2987" i="5" s="1"/>
  <c r="L2988" i="5" a="1"/>
  <c r="L2988" i="5" s="1"/>
  <c r="L253" i="5" a="1"/>
  <c r="L253" i="5" s="1"/>
  <c r="L254" i="5" a="1"/>
  <c r="L254" i="5" s="1"/>
  <c r="L2989" i="5" a="1"/>
  <c r="L2989" i="5" s="1"/>
  <c r="L255" i="5" a="1"/>
  <c r="L255" i="5" s="1"/>
  <c r="L2990" i="5" a="1"/>
  <c r="L2990" i="5" s="1"/>
  <c r="L256" i="5" a="1"/>
  <c r="L256" i="5" s="1"/>
  <c r="L2991" i="5" a="1"/>
  <c r="L2991" i="5" s="1"/>
  <c r="L257" i="5" a="1"/>
  <c r="L257" i="5" s="1"/>
  <c r="L258" i="5" a="1"/>
  <c r="L258" i="5" s="1"/>
  <c r="L2992" i="5" a="1"/>
  <c r="L2992" i="5" s="1"/>
  <c r="L3389" i="5" a="1"/>
  <c r="L3389" i="5" s="1"/>
  <c r="L3390" i="5" a="1"/>
  <c r="L3390" i="5" s="1"/>
  <c r="L616" i="5" a="1"/>
  <c r="L616" i="5" s="1"/>
  <c r="L3391" i="5" a="1"/>
  <c r="L3391" i="5" s="1"/>
  <c r="L3392" i="5" a="1"/>
  <c r="L3392" i="5" s="1"/>
  <c r="L977" i="5" a="1"/>
  <c r="L977" i="5" s="1"/>
  <c r="L978" i="5" a="1"/>
  <c r="L978" i="5" s="1"/>
  <c r="L979" i="5" a="1"/>
  <c r="L979" i="5" s="1"/>
  <c r="L980" i="5" a="1"/>
  <c r="L980" i="5" s="1"/>
  <c r="L981" i="5" a="1"/>
  <c r="L981" i="5" s="1"/>
  <c r="L982" i="5" a="1"/>
  <c r="L982" i="5" s="1"/>
  <c r="L983" i="5" a="1"/>
  <c r="L983" i="5" s="1"/>
  <c r="L984" i="5" a="1"/>
  <c r="L984" i="5" s="1"/>
  <c r="L3700" i="5" a="1"/>
  <c r="L3700" i="5" s="1"/>
  <c r="L3701" i="5" a="1"/>
  <c r="L3701" i="5" s="1"/>
  <c r="L3702" i="5" a="1"/>
  <c r="L3702" i="5" s="1"/>
  <c r="L3703" i="5" a="1"/>
  <c r="L3703" i="5" s="1"/>
  <c r="L985" i="5" a="1"/>
  <c r="L985" i="5" s="1"/>
  <c r="L3393" i="5" a="1"/>
  <c r="L3393" i="5" s="1"/>
  <c r="L617" i="5" a="1"/>
  <c r="L617" i="5" s="1"/>
  <c r="L618" i="5" a="1"/>
  <c r="L618" i="5" s="1"/>
  <c r="L3394" i="5" a="1"/>
  <c r="L3394" i="5" s="1"/>
  <c r="L1602" i="5" a="1"/>
  <c r="L1602" i="5" s="1"/>
  <c r="L1603" i="5" a="1"/>
  <c r="L1603" i="5" s="1"/>
  <c r="L619" i="5" a="1"/>
  <c r="L619" i="5" s="1"/>
  <c r="L620" i="5" a="1"/>
  <c r="L620" i="5" s="1"/>
  <c r="L621" i="5" a="1"/>
  <c r="L621" i="5" s="1"/>
  <c r="L3395" i="5" a="1"/>
  <c r="L3395" i="5" s="1"/>
  <c r="L1604" i="5" a="1"/>
  <c r="L1604" i="5" s="1"/>
  <c r="L622" i="5" a="1"/>
  <c r="L622" i="5" s="1"/>
  <c r="L623" i="5" a="1"/>
  <c r="L623" i="5" s="1"/>
  <c r="L3396" i="5" a="1"/>
  <c r="L3396" i="5" s="1"/>
  <c r="L624" i="5" a="1"/>
  <c r="L624" i="5" s="1"/>
  <c r="L625" i="5" a="1"/>
  <c r="L625" i="5" s="1"/>
  <c r="L1605" i="5" a="1"/>
  <c r="L1605" i="5" s="1"/>
  <c r="L1606" i="5" a="1"/>
  <c r="L1606" i="5" s="1"/>
  <c r="L626" i="5" a="1"/>
  <c r="L626" i="5" s="1"/>
  <c r="L3397" i="5" a="1"/>
  <c r="L3397" i="5" s="1"/>
  <c r="L627" i="5" a="1"/>
  <c r="L627" i="5" s="1"/>
  <c r="L1607" i="5" a="1"/>
  <c r="L1607" i="5" s="1"/>
  <c r="L628" i="5" a="1"/>
  <c r="L628" i="5" s="1"/>
  <c r="L629" i="5" a="1"/>
  <c r="L629" i="5" s="1"/>
  <c r="L630" i="5" a="1"/>
  <c r="L630" i="5" s="1"/>
  <c r="L3398" i="5" a="1"/>
  <c r="L3398" i="5" s="1"/>
  <c r="L1608" i="5" a="1"/>
  <c r="L1608" i="5" s="1"/>
  <c r="L1609" i="5" a="1"/>
  <c r="L1609" i="5" s="1"/>
  <c r="L3704" i="5" a="1"/>
  <c r="L3704" i="5" s="1"/>
  <c r="L3705" i="5" a="1"/>
  <c r="L3705" i="5" s="1"/>
  <c r="L3706" i="5" a="1"/>
  <c r="L3706" i="5" s="1"/>
  <c r="L631" i="5" a="1"/>
  <c r="L631" i="5" s="1"/>
  <c r="L632" i="5" a="1"/>
  <c r="L632" i="5" s="1"/>
  <c r="L633" i="5" a="1"/>
  <c r="L633" i="5" s="1"/>
  <c r="L634" i="5" a="1"/>
  <c r="L634" i="5" s="1"/>
  <c r="L635" i="5" a="1"/>
  <c r="L635" i="5" s="1"/>
  <c r="L636" i="5" a="1"/>
  <c r="L636" i="5" s="1"/>
  <c r="L637" i="5" a="1"/>
  <c r="L637" i="5" s="1"/>
  <c r="L638" i="5" a="1"/>
  <c r="L638" i="5" s="1"/>
  <c r="L639" i="5" a="1"/>
  <c r="L639" i="5" s="1"/>
  <c r="L640" i="5" a="1"/>
  <c r="L640" i="5" s="1"/>
  <c r="L641" i="5" a="1"/>
  <c r="L641" i="5" s="1"/>
  <c r="L642" i="5" a="1"/>
  <c r="L642" i="5" s="1"/>
  <c r="L643" i="5" a="1"/>
  <c r="L643" i="5" s="1"/>
  <c r="L644" i="5" a="1"/>
  <c r="L644" i="5" s="1"/>
  <c r="L645" i="5" a="1"/>
  <c r="L645" i="5" s="1"/>
  <c r="L646" i="5" a="1"/>
  <c r="L646" i="5" s="1"/>
  <c r="L647" i="5" a="1"/>
  <c r="L647" i="5" s="1"/>
  <c r="L648" i="5" a="1"/>
  <c r="L648" i="5" s="1"/>
  <c r="L649" i="5" a="1"/>
  <c r="L649" i="5" s="1"/>
  <c r="L650" i="5" a="1"/>
  <c r="L650" i="5"/>
  <c r="L651" i="5" a="1"/>
  <c r="L651" i="5" s="1"/>
  <c r="L652" i="5" a="1"/>
  <c r="L652" i="5" s="1"/>
  <c r="L653" i="5" a="1"/>
  <c r="L653" i="5" s="1"/>
  <c r="L654" i="5" a="1"/>
  <c r="L654" i="5" s="1"/>
  <c r="L986" i="5" a="1"/>
  <c r="L986" i="5" s="1"/>
  <c r="L987" i="5" a="1"/>
  <c r="L987" i="5" s="1"/>
  <c r="L988" i="5" a="1"/>
  <c r="L988" i="5" s="1"/>
  <c r="L989" i="5" a="1"/>
  <c r="L989" i="5" s="1"/>
  <c r="L990" i="5" a="1"/>
  <c r="L990" i="5" s="1"/>
  <c r="L991" i="5" a="1"/>
  <c r="L991" i="5" s="1"/>
  <c r="L992" i="5" a="1"/>
  <c r="L992" i="5" s="1"/>
  <c r="L993" i="5" a="1"/>
  <c r="L993" i="5" s="1"/>
  <c r="L994" i="5" a="1"/>
  <c r="L994" i="5" s="1"/>
  <c r="L995" i="5" a="1"/>
  <c r="L995" i="5" s="1"/>
  <c r="L996" i="5" a="1"/>
  <c r="L996" i="5" s="1"/>
  <c r="L997" i="5" a="1"/>
  <c r="L997" i="5" s="1"/>
  <c r="L998" i="5" a="1"/>
  <c r="L998" i="5" s="1"/>
  <c r="L999" i="5" a="1"/>
  <c r="L999" i="5" s="1"/>
  <c r="L259" i="5" a="1"/>
  <c r="L259" i="5" s="1"/>
  <c r="L1317" i="5" a="1"/>
  <c r="L1317" i="5" s="1"/>
  <c r="L2993" i="5" a="1"/>
  <c r="L2993" i="5" s="1"/>
  <c r="L2994" i="5" a="1"/>
  <c r="L2994" i="5" s="1"/>
  <c r="L260" i="5" a="1"/>
  <c r="L260" i="5" s="1"/>
  <c r="L1318" i="5" a="1"/>
  <c r="L1318" i="5" s="1"/>
  <c r="L1319" i="5" a="1"/>
  <c r="L1319" i="5"/>
  <c r="L1320" i="5" a="1"/>
  <c r="L1320" i="5" s="1"/>
  <c r="L1321" i="5" a="1"/>
  <c r="L1321" i="5" s="1"/>
  <c r="L2995" i="5" a="1"/>
  <c r="L2995" i="5" s="1"/>
  <c r="L2996" i="5" a="1"/>
  <c r="L2996" i="5" s="1"/>
  <c r="L261" i="5" a="1"/>
  <c r="L261" i="5" s="1"/>
  <c r="L1322" i="5" a="1"/>
  <c r="L1322" i="5" s="1"/>
  <c r="L262" i="5" a="1"/>
  <c r="L262" i="5" s="1"/>
  <c r="L1323" i="5" a="1"/>
  <c r="L1323" i="5" s="1"/>
  <c r="L263" i="5" a="1"/>
  <c r="L263" i="5" s="1"/>
  <c r="L2997" i="5" a="1"/>
  <c r="L2997" i="5" s="1"/>
  <c r="L264" i="5" a="1"/>
  <c r="L264" i="5"/>
  <c r="L2998" i="5" a="1"/>
  <c r="L2998" i="5" s="1"/>
  <c r="L1324" i="5" a="1"/>
  <c r="L1324" i="5" s="1"/>
  <c r="L265" i="5" a="1"/>
  <c r="L265" i="5" s="1"/>
  <c r="L266" i="5" a="1"/>
  <c r="L266" i="5" s="1"/>
  <c r="L1325" i="5" a="1"/>
  <c r="L1325" i="5" s="1"/>
  <c r="L267" i="5" a="1"/>
  <c r="L267" i="5" s="1"/>
  <c r="L3399" i="5" a="1"/>
  <c r="L3399" i="5" s="1"/>
  <c r="L1610" i="5" a="1"/>
  <c r="L1610" i="5" s="1"/>
  <c r="L1611" i="5" a="1"/>
  <c r="L1611" i="5" s="1"/>
  <c r="L655" i="5" a="1"/>
  <c r="L655" i="5"/>
  <c r="L1612" i="5" a="1"/>
  <c r="L1612" i="5" s="1"/>
  <c r="L3400" i="5" a="1"/>
  <c r="L3400" i="5" s="1"/>
  <c r="L656" i="5" a="1"/>
  <c r="L656" i="5" s="1"/>
  <c r="L657" i="5" a="1"/>
  <c r="L657" i="5" s="1"/>
  <c r="L1000" i="5" a="1"/>
  <c r="L1000" i="5" s="1"/>
  <c r="L1964" i="5" a="1"/>
  <c r="L1964" i="5" s="1"/>
  <c r="L1001" i="5" a="1"/>
  <c r="L1001" i="5" s="1"/>
  <c r="L1002" i="5" a="1"/>
  <c r="L1002" i="5" s="1"/>
  <c r="L3707" i="5" a="1"/>
  <c r="L3707" i="5" s="1"/>
  <c r="L1965" i="5" a="1"/>
  <c r="L1965" i="5" s="1"/>
  <c r="L1966" i="5" a="1"/>
  <c r="L1966" i="5" s="1"/>
  <c r="L1967" i="5" a="1"/>
  <c r="L1967" i="5" s="1"/>
  <c r="L3708" i="5" a="1"/>
  <c r="L3708" i="5" s="1"/>
  <c r="L1968" i="5" a="1"/>
  <c r="L1968" i="5" s="1"/>
  <c r="L1003" i="5" a="1"/>
  <c r="L1003" i="5" s="1"/>
  <c r="L1004" i="5" a="1"/>
  <c r="L1004" i="5" s="1"/>
  <c r="L1005" i="5" a="1"/>
  <c r="L1005" i="5" s="1"/>
  <c r="L1006" i="5" a="1"/>
  <c r="L1006" i="5" s="1"/>
  <c r="L1969" i="5" a="1"/>
  <c r="L1969" i="5" s="1"/>
  <c r="L1970" i="5" a="1"/>
  <c r="L1970" i="5" s="1"/>
  <c r="L1971" i="5" a="1"/>
  <c r="L1971" i="5" s="1"/>
  <c r="L1972" i="5" a="1"/>
  <c r="L1972" i="5" s="1"/>
  <c r="L1973" i="5" a="1"/>
  <c r="L1973" i="5" s="1"/>
  <c r="L1974" i="5" a="1"/>
  <c r="L1974" i="5"/>
  <c r="L1975" i="5" a="1"/>
  <c r="L1975" i="5" s="1"/>
  <c r="L1976" i="5" a="1"/>
  <c r="L1976" i="5" s="1"/>
  <c r="L1977" i="5" a="1"/>
  <c r="L1977" i="5" s="1"/>
  <c r="L1978" i="5" a="1"/>
  <c r="L1978" i="5" s="1"/>
  <c r="L1979" i="5" a="1"/>
  <c r="L1979" i="5" s="1"/>
  <c r="L1980" i="5" a="1"/>
  <c r="L1980" i="5" s="1"/>
  <c r="L1981" i="5" a="1"/>
  <c r="L1981" i="5" s="1"/>
  <c r="L1982" i="5" a="1"/>
  <c r="L1982" i="5" s="1"/>
  <c r="L1983" i="5" a="1"/>
  <c r="L1983" i="5" s="1"/>
  <c r="L1984" i="5" a="1"/>
  <c r="L1984" i="5" s="1"/>
  <c r="L1985" i="5" a="1"/>
  <c r="L1985" i="5" s="1"/>
  <c r="L1986" i="5" a="1"/>
  <c r="L1986" i="5" s="1"/>
  <c r="L1987" i="5" a="1"/>
  <c r="L1987" i="5" s="1"/>
  <c r="L1988" i="5" a="1"/>
  <c r="L1988" i="5" s="1"/>
  <c r="L1989" i="5" a="1"/>
  <c r="L1989" i="5" s="1"/>
  <c r="L1990" i="5" a="1"/>
  <c r="L1990" i="5" s="1"/>
  <c r="L1991" i="5" a="1"/>
  <c r="L1991" i="5" s="1"/>
  <c r="L1992" i="5" a="1"/>
  <c r="L1992" i="5" s="1"/>
  <c r="L1993" i="5" a="1"/>
  <c r="L1993" i="5" s="1"/>
  <c r="L1994" i="5" a="1"/>
  <c r="L1994" i="5" s="1"/>
  <c r="L1995" i="5" a="1"/>
  <c r="L1995" i="5" s="1"/>
  <c r="L1996" i="5" a="1"/>
  <c r="L1996" i="5" s="1"/>
  <c r="L1997" i="5" a="1"/>
  <c r="L1997" i="5" s="1"/>
  <c r="L1998" i="5" a="1"/>
  <c r="L1998" i="5"/>
  <c r="L1999" i="5" a="1"/>
  <c r="L1999" i="5" s="1"/>
  <c r="L2000" i="5" a="1"/>
  <c r="L2000" i="5" s="1"/>
  <c r="L2001" i="5" a="1"/>
  <c r="L2001" i="5" s="1"/>
  <c r="L2002" i="5" a="1"/>
  <c r="L2002" i="5" s="1"/>
  <c r="L2003" i="5" a="1"/>
  <c r="L2003" i="5" s="1"/>
  <c r="L3401" i="5" a="1"/>
  <c r="L3401" i="5" s="1"/>
  <c r="L3402" i="5" a="1"/>
  <c r="L3402" i="5" s="1"/>
  <c r="L1613" i="5" a="1"/>
  <c r="L1613" i="5" s="1"/>
  <c r="L3403" i="5" a="1"/>
  <c r="L3403" i="5" s="1"/>
  <c r="L3404" i="5" a="1"/>
  <c r="L3404" i="5" s="1"/>
  <c r="L3405" i="5" a="1"/>
  <c r="L3405" i="5" s="1"/>
  <c r="L3406" i="5" a="1"/>
  <c r="L3406" i="5" s="1"/>
  <c r="L1614" i="5" a="1"/>
  <c r="L1614" i="5" s="1"/>
  <c r="L1615" i="5" a="1"/>
  <c r="L1615" i="5" s="1"/>
  <c r="L1616" i="5" a="1"/>
  <c r="L1616" i="5"/>
  <c r="L3407" i="5" a="1"/>
  <c r="L3407" i="5" s="1"/>
  <c r="L3408" i="5" a="1"/>
  <c r="L3408" i="5" s="1"/>
  <c r="L3409" i="5" a="1"/>
  <c r="L3409" i="5" s="1"/>
  <c r="L1617" i="5" a="1"/>
  <c r="L1617" i="5" s="1"/>
  <c r="L1618" i="5" a="1"/>
  <c r="L1618" i="5" s="1"/>
  <c r="L3410" i="5" a="1"/>
  <c r="L3410" i="5" s="1"/>
  <c r="L3411" i="5" a="1"/>
  <c r="L3411" i="5" s="1"/>
  <c r="L3412" i="5" a="1"/>
  <c r="L3412" i="5" s="1"/>
  <c r="L1619" i="5" a="1"/>
  <c r="L1619" i="5" s="1"/>
  <c r="L3413" i="5" a="1"/>
  <c r="L3413" i="5" s="1"/>
  <c r="L2004" i="5" a="1"/>
  <c r="L2004" i="5" s="1"/>
  <c r="L3709" i="5" a="1"/>
  <c r="L3709" i="5" s="1"/>
  <c r="L2005" i="5" a="1"/>
  <c r="L2005" i="5" s="1"/>
  <c r="L2006" i="5" a="1"/>
  <c r="L2006" i="5" s="1"/>
  <c r="L2007" i="5" a="1"/>
  <c r="L2007" i="5" s="1"/>
  <c r="L2008" i="5" a="1"/>
  <c r="L2008" i="5" s="1"/>
  <c r="L3710" i="5" a="1"/>
  <c r="L3710" i="5" s="1"/>
  <c r="L2009" i="5" a="1"/>
  <c r="L2009" i="5"/>
  <c r="L2010" i="5" a="1"/>
  <c r="L2010" i="5" s="1"/>
  <c r="L2011" i="5" a="1"/>
  <c r="L2011" i="5" s="1"/>
  <c r="L2012" i="5" a="1"/>
  <c r="L2012" i="5" s="1"/>
  <c r="L2013" i="5" a="1"/>
  <c r="L2013" i="5" s="1"/>
  <c r="L2014" i="5" a="1"/>
  <c r="L2014" i="5" s="1"/>
  <c r="L2015" i="5" a="1"/>
  <c r="L2015" i="5" s="1"/>
  <c r="L2016" i="5" a="1"/>
  <c r="L2016" i="5" s="1"/>
  <c r="L2017" i="5" a="1"/>
  <c r="L2017" i="5" s="1"/>
  <c r="L2018" i="5" a="1"/>
  <c r="L2018" i="5" s="1"/>
  <c r="L2019" i="5" a="1"/>
  <c r="L2019" i="5" s="1"/>
  <c r="L2020" i="5" a="1"/>
  <c r="L2020" i="5" s="1"/>
  <c r="L2021" i="5" a="1"/>
  <c r="L2021" i="5" s="1"/>
  <c r="L2022" i="5" a="1"/>
  <c r="L2022" i="5" s="1"/>
  <c r="L2023" i="5" a="1"/>
  <c r="L2023" i="5" s="1"/>
  <c r="L2024" i="5" a="1"/>
  <c r="L2024" i="5" s="1"/>
  <c r="L2025" i="5" a="1"/>
  <c r="L2025" i="5" s="1"/>
  <c r="L2026" i="5" a="1"/>
  <c r="L2026" i="5" s="1"/>
  <c r="L2027" i="5" a="1"/>
  <c r="L2027" i="5" s="1"/>
  <c r="L2028" i="5" a="1"/>
  <c r="L2028" i="5" s="1"/>
  <c r="L2029" i="5" a="1"/>
  <c r="L2029" i="5" s="1"/>
  <c r="L2030" i="5" a="1"/>
  <c r="L2030" i="5" s="1"/>
  <c r="L2031" i="5" a="1"/>
  <c r="L2031" i="5" s="1"/>
  <c r="L2032" i="5" a="1"/>
  <c r="L2032" i="5" s="1"/>
  <c r="L2033" i="5" a="1"/>
  <c r="L2033" i="5" s="1"/>
  <c r="L2034" i="5" a="1"/>
  <c r="L2034" i="5" s="1"/>
  <c r="L2035" i="5" a="1"/>
  <c r="L2035" i="5" s="1"/>
  <c r="L2036" i="5" a="1"/>
  <c r="L2036" i="5" s="1"/>
  <c r="L2037" i="5" a="1"/>
  <c r="L2037" i="5"/>
  <c r="L2038" i="5" a="1"/>
  <c r="L2038" i="5" s="1"/>
  <c r="L2039" i="5" a="1"/>
  <c r="L2039" i="5" s="1"/>
  <c r="L2040" i="5" a="1"/>
  <c r="L2040" i="5" s="1"/>
  <c r="L2041" i="5" a="1"/>
  <c r="L2041" i="5" s="1"/>
  <c r="L2042" i="5" a="1"/>
  <c r="L2042" i="5" s="1"/>
  <c r="L2043" i="5" a="1"/>
  <c r="L2043" i="5" s="1"/>
  <c r="L3711" i="5" a="1"/>
  <c r="L3711" i="5" s="1"/>
  <c r="L2044" i="5" a="1"/>
  <c r="L2044" i="5" s="1"/>
  <c r="L2045" i="5" a="1"/>
  <c r="L2045" i="5"/>
  <c r="L3712" i="5" a="1"/>
  <c r="L3712" i="5" s="1"/>
  <c r="L2046" i="5" a="1"/>
  <c r="L2046" i="5" s="1"/>
  <c r="L2047" i="5" a="1"/>
  <c r="L2047" i="5" s="1"/>
  <c r="L2048" i="5" a="1"/>
  <c r="L2048" i="5" s="1"/>
  <c r="L2049" i="5" a="1"/>
  <c r="L2049" i="5" s="1"/>
  <c r="L3713" i="5" a="1"/>
  <c r="L3713" i="5" s="1"/>
  <c r="L2050" i="5" a="1"/>
  <c r="L2050" i="5" s="1"/>
  <c r="L2051" i="5" a="1"/>
  <c r="L2051" i="5" s="1"/>
  <c r="L2052" i="5" a="1"/>
  <c r="L2052" i="5" s="1"/>
  <c r="L3714" i="5" a="1"/>
  <c r="L3714" i="5" s="1"/>
  <c r="L2053" i="5" a="1"/>
  <c r="L2053" i="5" s="1"/>
  <c r="L3715" i="5" a="1"/>
  <c r="L3715" i="5" s="1"/>
  <c r="L3716" i="5" a="1"/>
  <c r="L3716" i="5" s="1"/>
  <c r="L2054" i="5" a="1"/>
  <c r="L2054" i="5" s="1"/>
  <c r="L2055" i="5" a="1"/>
  <c r="L2055" i="5" s="1"/>
  <c r="L3717" i="5" a="1"/>
  <c r="L3717" i="5" s="1"/>
  <c r="L3718" i="5" a="1"/>
  <c r="L3718" i="5" s="1"/>
  <c r="L2056" i="5" a="1"/>
  <c r="L2056" i="5" s="1"/>
  <c r="L2057" i="5" a="1"/>
  <c r="L2057" i="5" s="1"/>
  <c r="L2058" i="5" a="1"/>
  <c r="L2058" i="5" s="1"/>
  <c r="L3719" i="5" a="1"/>
  <c r="L3719" i="5" s="1"/>
  <c r="L3720" i="5" a="1"/>
  <c r="L3720" i="5" s="1"/>
  <c r="L2059" i="5" a="1"/>
  <c r="L2059" i="5" s="1"/>
  <c r="L3721" i="5" a="1"/>
  <c r="L3721" i="5" s="1"/>
  <c r="L3722" i="5" a="1"/>
  <c r="L3722" i="5" s="1"/>
  <c r="L2060" i="5" a="1"/>
  <c r="L2060" i="5" s="1"/>
  <c r="L2061" i="5" a="1"/>
  <c r="L2061" i="5" s="1"/>
  <c r="L1620" i="5" a="1"/>
  <c r="L1620" i="5" s="1"/>
  <c r="L658" i="5" a="1"/>
  <c r="L658" i="5" s="1"/>
  <c r="L2466" i="5" a="1"/>
  <c r="L2466" i="5" s="1"/>
  <c r="L2467" i="5" a="1"/>
  <c r="L2467" i="5" s="1"/>
  <c r="L659" i="5" a="1"/>
  <c r="L659" i="5" s="1"/>
  <c r="L1621" i="5" a="1"/>
  <c r="L1621" i="5" s="1"/>
  <c r="L1622" i="5" a="1"/>
  <c r="L1622" i="5" s="1"/>
  <c r="L660" i="5" a="1"/>
  <c r="L660" i="5"/>
  <c r="L1623" i="5" a="1"/>
  <c r="L1623" i="5" s="1"/>
  <c r="L661" i="5" a="1"/>
  <c r="L661" i="5" s="1"/>
  <c r="L1624" i="5" a="1"/>
  <c r="L1624" i="5" s="1"/>
  <c r="L2468" i="5" a="1"/>
  <c r="L2468" i="5" s="1"/>
  <c r="L2062" i="5" a="1"/>
  <c r="L2062" i="5" s="1"/>
  <c r="L2063" i="5" a="1"/>
  <c r="L2063" i="5" s="1"/>
  <c r="L2623" i="5" a="1"/>
  <c r="L2623" i="5" s="1"/>
  <c r="L2064" i="5" a="1"/>
  <c r="L2064" i="5" s="1"/>
  <c r="L2624" i="5" a="1"/>
  <c r="L2624" i="5" s="1"/>
  <c r="L2625" i="5" a="1"/>
  <c r="L2625" i="5" s="1"/>
  <c r="L2626" i="5" a="1"/>
  <c r="L2626" i="5" s="1"/>
  <c r="L2627" i="5" a="1"/>
  <c r="L2627" i="5" s="1"/>
  <c r="L2628" i="5" a="1"/>
  <c r="L2628" i="5" s="1"/>
  <c r="L2629" i="5" a="1"/>
  <c r="L2629" i="5" s="1"/>
  <c r="L1007" i="5" a="1"/>
  <c r="L1007" i="5" s="1"/>
  <c r="L1008" i="5" a="1"/>
  <c r="L1008" i="5" s="1"/>
  <c r="L1009" i="5" a="1"/>
  <c r="L1009" i="5" s="1"/>
  <c r="L2065" i="5" a="1"/>
  <c r="L2065" i="5" s="1"/>
  <c r="L1010" i="5" a="1"/>
  <c r="L1010" i="5" s="1"/>
  <c r="L2066" i="5" a="1"/>
  <c r="L2066" i="5" s="1"/>
  <c r="L1011" i="5" a="1"/>
  <c r="L1011" i="5" s="1"/>
  <c r="L1012" i="5" a="1"/>
  <c r="L1012" i="5" s="1"/>
  <c r="L1013" i="5" a="1"/>
  <c r="L1013" i="5" s="1"/>
  <c r="L1014" i="5" a="1"/>
  <c r="L1014" i="5" s="1"/>
  <c r="L1015" i="5" a="1"/>
  <c r="L1015" i="5" s="1"/>
  <c r="L2067" i="5" a="1"/>
  <c r="L2067" i="5" s="1"/>
  <c r="L2068" i="5" a="1"/>
  <c r="L2068" i="5" s="1"/>
  <c r="L1016" i="5" a="1"/>
  <c r="L1016" i="5" s="1"/>
  <c r="L1017" i="5" a="1"/>
  <c r="L1017" i="5" s="1"/>
  <c r="L3723" i="5" a="1"/>
  <c r="L3723" i="5" s="1"/>
  <c r="L1018" i="5" a="1"/>
  <c r="L1018" i="5" s="1"/>
  <c r="L2069" i="5" a="1"/>
  <c r="L2069" i="5" s="1"/>
  <c r="L1019" i="5" a="1"/>
  <c r="L1019" i="5"/>
  <c r="L2070" i="5" a="1"/>
  <c r="L2070" i="5" s="1"/>
  <c r="L1020" i="5" a="1"/>
  <c r="L1020" i="5" s="1"/>
  <c r="L1625" i="5" a="1"/>
  <c r="L1625" i="5" s="1"/>
  <c r="L662" i="5" a="1"/>
  <c r="L662" i="5" s="1"/>
  <c r="L1626" i="5" a="1"/>
  <c r="L1626" i="5" s="1"/>
  <c r="L663" i="5" a="1"/>
  <c r="L663" i="5" s="1"/>
  <c r="L1627" i="5" a="1"/>
  <c r="L1627" i="5" s="1"/>
  <c r="L3414" i="5" a="1"/>
  <c r="L3414" i="5"/>
  <c r="L664" i="5" a="1"/>
  <c r="L664" i="5" s="1"/>
  <c r="L1628" i="5" a="1"/>
  <c r="L1628" i="5" s="1"/>
  <c r="L1629" i="5" a="1"/>
  <c r="L1629" i="5" s="1"/>
  <c r="L665" i="5" a="1"/>
  <c r="L665" i="5" s="1"/>
  <c r="L1630" i="5" a="1"/>
  <c r="L1630" i="5" s="1"/>
  <c r="L3415" i="5" a="1"/>
  <c r="L3415" i="5" s="1"/>
  <c r="L666" i="5" a="1"/>
  <c r="L666" i="5" s="1"/>
  <c r="L1631" i="5" a="1"/>
  <c r="L1631" i="5" s="1"/>
  <c r="L667" i="5" a="1"/>
  <c r="L667" i="5" s="1"/>
  <c r="L3416" i="5" a="1"/>
  <c r="L3416" i="5" s="1"/>
  <c r="L1632" i="5" a="1"/>
  <c r="L1632" i="5"/>
  <c r="L3417" i="5" a="1"/>
  <c r="L3417" i="5" s="1"/>
  <c r="L2071" i="5" a="1"/>
  <c r="L2071" i="5" s="1"/>
  <c r="L3724" i="5" a="1"/>
  <c r="L3724" i="5" s="1"/>
  <c r="L2072" i="5" a="1"/>
  <c r="L2072" i="5" s="1"/>
  <c r="L2073" i="5" a="1"/>
  <c r="L2073" i="5" s="1"/>
  <c r="L3725" i="5" a="1"/>
  <c r="L3725" i="5" s="1"/>
  <c r="L3726" i="5" a="1"/>
  <c r="L3726" i="5" s="1"/>
  <c r="L3727" i="5" a="1"/>
  <c r="L3727" i="5" s="1"/>
  <c r="L2074" i="5" a="1"/>
  <c r="L2074" i="5" s="1"/>
  <c r="L3728" i="5" a="1"/>
  <c r="L3728" i="5" s="1"/>
  <c r="L2075" i="5" a="1"/>
  <c r="L2075" i="5" s="1"/>
  <c r="L3729" i="5" a="1"/>
  <c r="L3729" i="5" s="1"/>
  <c r="L2076" i="5" a="1"/>
  <c r="L2076" i="5" s="1"/>
  <c r="L2077" i="5" a="1"/>
  <c r="L2077" i="5" s="1"/>
  <c r="L2078" i="5" a="1"/>
  <c r="L2078" i="5" s="1"/>
  <c r="L2079" i="5" a="1"/>
  <c r="L2079" i="5" s="1"/>
  <c r="L668" i="5" a="1"/>
  <c r="L668" i="5" s="1"/>
  <c r="L669" i="5" a="1"/>
  <c r="L669" i="5" s="1"/>
  <c r="L670" i="5" a="1"/>
  <c r="L670" i="5" s="1"/>
  <c r="L1633" i="5" a="1"/>
  <c r="L1633" i="5" s="1"/>
  <c r="L3418" i="5" a="1"/>
  <c r="L3418" i="5" s="1"/>
  <c r="L1634" i="5" a="1"/>
  <c r="L1634" i="5" s="1"/>
  <c r="L671" i="5" a="1"/>
  <c r="L671" i="5" s="1"/>
  <c r="L672" i="5" a="1"/>
  <c r="L672" i="5" s="1"/>
  <c r="L673" i="5" a="1"/>
  <c r="L673" i="5" s="1"/>
  <c r="L1635" i="5" a="1"/>
  <c r="L1635" i="5"/>
  <c r="L1636" i="5" a="1"/>
  <c r="L1636" i="5" s="1"/>
  <c r="L1637" i="5" a="1"/>
  <c r="L1637" i="5" s="1"/>
  <c r="L1638" i="5" a="1"/>
  <c r="L1638" i="5" s="1"/>
  <c r="L1639" i="5" a="1"/>
  <c r="L1639" i="5" s="1"/>
  <c r="L1640" i="5" a="1"/>
  <c r="L1640" i="5" s="1"/>
  <c r="L3419" i="5" a="1"/>
  <c r="L3419" i="5" s="1"/>
  <c r="L674" i="5" a="1"/>
  <c r="L674" i="5" s="1"/>
  <c r="L3420" i="5" a="1"/>
  <c r="L3420" i="5" s="1"/>
  <c r="L675" i="5" a="1"/>
  <c r="L675" i="5"/>
  <c r="L676" i="5" a="1"/>
  <c r="L676" i="5"/>
  <c r="L677" i="5" a="1"/>
  <c r="L677" i="5" s="1"/>
  <c r="L678" i="5" a="1"/>
  <c r="L678" i="5" s="1"/>
  <c r="L679" i="5" a="1"/>
  <c r="L679" i="5" s="1"/>
  <c r="L3421" i="5" a="1"/>
  <c r="L3421" i="5" s="1"/>
  <c r="L680" i="5" a="1"/>
  <c r="L680" i="5" s="1"/>
  <c r="L681" i="5" a="1"/>
  <c r="L681" i="5"/>
  <c r="L682" i="5" a="1"/>
  <c r="L682" i="5" s="1"/>
  <c r="L2080" i="5" a="1"/>
  <c r="L2080" i="5" s="1"/>
  <c r="L3730" i="5" a="1"/>
  <c r="L3730" i="5" s="1"/>
  <c r="L2081" i="5" a="1"/>
  <c r="L2081" i="5" s="1"/>
  <c r="L1021" i="5" a="1"/>
  <c r="L1021" i="5" s="1"/>
  <c r="L1022" i="5" a="1"/>
  <c r="L1022" i="5" s="1"/>
  <c r="L1023" i="5" a="1"/>
  <c r="L1023" i="5" s="1"/>
  <c r="L3731" i="5" a="1"/>
  <c r="L3731" i="5" s="1"/>
  <c r="L1024" i="5" a="1"/>
  <c r="L1024" i="5" s="1"/>
  <c r="L3732" i="5" a="1"/>
  <c r="L3732" i="5" s="1"/>
  <c r="L1641" i="5" a="1"/>
  <c r="L1641" i="5" s="1"/>
  <c r="L2082" i="5" a="1"/>
  <c r="L2082" i="5" s="1"/>
  <c r="L2083" i="5" a="1"/>
  <c r="L2083" i="5" s="1"/>
  <c r="L2084" i="5" a="1"/>
  <c r="L2084" i="5" s="1"/>
  <c r="L2732" i="5" a="1"/>
  <c r="L2732" i="5" s="1"/>
  <c r="L1135" i="5" a="1"/>
  <c r="L1135" i="5" s="1"/>
  <c r="L1136" i="5" a="1"/>
  <c r="L1136" i="5" s="1"/>
  <c r="L2733" i="5" a="1"/>
  <c r="L2733" i="5" s="1"/>
  <c r="L2171" i="5" a="1"/>
  <c r="L2171" i="5" s="1"/>
  <c r="L47" i="5" a="1"/>
  <c r="L47" i="5" s="1"/>
  <c r="L2734" i="5" a="1"/>
  <c r="L2734" i="5" s="1"/>
  <c r="L48" i="5" a="1"/>
  <c r="L48" i="5"/>
  <c r="L2735" i="5" a="1"/>
  <c r="L2735" i="5" s="1"/>
  <c r="L2736" i="5" a="1"/>
  <c r="L2736" i="5" s="1"/>
  <c r="L2737" i="5" a="1"/>
  <c r="L2737" i="5" s="1"/>
  <c r="L2172" i="5" a="1"/>
  <c r="L2172" i="5" s="1"/>
  <c r="L2173" i="5" a="1"/>
  <c r="L2173" i="5" s="1"/>
  <c r="L2738" i="5" a="1"/>
  <c r="L2738" i="5" s="1"/>
  <c r="L49" i="5" a="1"/>
  <c r="L49" i="5" s="1"/>
  <c r="L268" i="5" a="1"/>
  <c r="L268" i="5" s="1"/>
  <c r="L1326" i="5" a="1"/>
  <c r="L1326" i="5" s="1"/>
  <c r="L2256" i="5" a="1"/>
  <c r="L2256" i="5" s="1"/>
  <c r="L269" i="5" a="1"/>
  <c r="L269" i="5" s="1"/>
  <c r="L2257" i="5" a="1"/>
  <c r="L2257" i="5" s="1"/>
  <c r="L2258" i="5" a="1"/>
  <c r="L2258" i="5" s="1"/>
  <c r="L2259" i="5" a="1"/>
  <c r="L2259" i="5" s="1"/>
  <c r="L2260" i="5" a="1"/>
  <c r="L2260" i="5" s="1"/>
  <c r="L270" i="5" a="1"/>
  <c r="L270" i="5" s="1"/>
  <c r="L2261" i="5" a="1"/>
  <c r="L2261" i="5" s="1"/>
  <c r="L2262" i="5" a="1"/>
  <c r="L2262" i="5" s="1"/>
  <c r="L2263" i="5" a="1"/>
  <c r="L2263" i="5" s="1"/>
  <c r="L271" i="5" a="1"/>
  <c r="L271" i="5" s="1"/>
  <c r="L272" i="5" a="1"/>
  <c r="L272" i="5" s="1"/>
  <c r="L2999" i="5" a="1"/>
  <c r="L2999" i="5" s="1"/>
  <c r="L2264" i="5" a="1"/>
  <c r="L2264" i="5" s="1"/>
  <c r="L1327" i="5" a="1"/>
  <c r="L1327" i="5" s="1"/>
  <c r="L1328" i="5" a="1"/>
  <c r="L1328" i="5" s="1"/>
  <c r="L273" i="5" a="1"/>
  <c r="L273" i="5" s="1"/>
  <c r="L3000" i="5" a="1"/>
  <c r="L3000" i="5" s="1"/>
  <c r="L2265" i="5" a="1"/>
  <c r="L2265" i="5" s="1"/>
  <c r="L2266" i="5" a="1"/>
  <c r="L2266" i="5" s="1"/>
  <c r="L1329" i="5" a="1"/>
  <c r="L1329" i="5" s="1"/>
  <c r="L2267" i="5" a="1"/>
  <c r="L2267" i="5" s="1"/>
  <c r="L2469" i="5" a="1"/>
  <c r="L2469" i="5" s="1"/>
  <c r="L683" i="5" a="1"/>
  <c r="L683" i="5" s="1"/>
  <c r="L3422" i="5" a="1"/>
  <c r="L3422" i="5" s="1"/>
  <c r="L684" i="5" a="1"/>
  <c r="L684" i="5" s="1"/>
  <c r="L2470" i="5" a="1"/>
  <c r="L2470" i="5" s="1"/>
  <c r="L2471" i="5" a="1"/>
  <c r="L2471" i="5" s="1"/>
  <c r="L2472" i="5" a="1"/>
  <c r="L2472" i="5" s="1"/>
  <c r="L1642" i="5" a="1"/>
  <c r="L1642" i="5" s="1"/>
  <c r="L2473" i="5" a="1"/>
  <c r="L2473" i="5" s="1"/>
  <c r="L1643" i="5" a="1"/>
  <c r="L1643" i="5" s="1"/>
  <c r="L2474" i="5" a="1"/>
  <c r="L2474" i="5" s="1"/>
  <c r="L2630" i="5" a="1"/>
  <c r="L2630" i="5" s="1"/>
  <c r="L2631" i="5" a="1"/>
  <c r="L2631" i="5" s="1"/>
  <c r="L2632" i="5" a="1"/>
  <c r="L2632" i="5" s="1"/>
  <c r="L2633" i="5" a="1"/>
  <c r="L2633" i="5" s="1"/>
  <c r="L2634" i="5" a="1"/>
  <c r="L2634" i="5" s="1"/>
  <c r="L2085" i="5" a="1"/>
  <c r="L2085" i="5" s="1"/>
  <c r="L1025" i="5" a="1"/>
  <c r="L1025" i="5" s="1"/>
  <c r="L1026" i="5" a="1"/>
  <c r="L1026" i="5" s="1"/>
  <c r="L3733" i="5" a="1"/>
  <c r="L3733" i="5" s="1"/>
  <c r="L2635" i="5" a="1"/>
  <c r="L2635" i="5" s="1"/>
  <c r="L3734" i="5" a="1"/>
  <c r="L3734" i="5" s="1"/>
  <c r="L3735" i="5" a="1"/>
  <c r="L3735" i="5" s="1"/>
  <c r="L3736" i="5" a="1"/>
  <c r="L3736" i="5" s="1"/>
  <c r="L3737" i="5" a="1"/>
  <c r="L3737" i="5" s="1"/>
  <c r="L3738" i="5" a="1"/>
  <c r="L3738" i="5" s="1"/>
  <c r="L3739" i="5" a="1"/>
  <c r="L3739" i="5" s="1"/>
  <c r="L3740" i="5" a="1"/>
  <c r="L3740" i="5" s="1"/>
  <c r="L3741" i="5" a="1"/>
  <c r="L3741" i="5" s="1"/>
  <c r="L3742" i="5" a="1"/>
  <c r="L3742" i="5" s="1"/>
  <c r="L3743" i="5" a="1"/>
  <c r="L3743" i="5" s="1"/>
  <c r="L3744" i="5" a="1"/>
  <c r="L3744" i="5" s="1"/>
  <c r="L3745" i="5" a="1"/>
  <c r="L3745" i="5" s="1"/>
  <c r="L3746" i="5" a="1"/>
  <c r="L3746" i="5" s="1"/>
  <c r="L3747" i="5" a="1"/>
  <c r="L3747" i="5" s="1"/>
  <c r="L3748" i="5" a="1"/>
  <c r="L3748" i="5" s="1"/>
  <c r="L3749" i="5" a="1"/>
  <c r="L3749" i="5" s="1"/>
  <c r="L3750" i="5" a="1"/>
  <c r="L3750" i="5" s="1"/>
  <c r="L3751" i="5" a="1"/>
  <c r="L3751" i="5" s="1"/>
  <c r="L3752" i="5" a="1"/>
  <c r="L3752" i="5" s="1"/>
  <c r="L3753" i="5" a="1"/>
  <c r="L3753" i="5" s="1"/>
  <c r="L3754" i="5" a="1"/>
  <c r="L3754" i="5" s="1"/>
  <c r="L3755" i="5" a="1"/>
  <c r="L3755" i="5" s="1"/>
  <c r="L3756" i="5" a="1"/>
  <c r="L3756" i="5" s="1"/>
  <c r="L3757" i="5" a="1"/>
  <c r="L3757" i="5" s="1"/>
  <c r="L3758" i="5" a="1"/>
  <c r="L3758" i="5" s="1"/>
  <c r="L3759" i="5" a="1"/>
  <c r="L3759" i="5" s="1"/>
  <c r="L3760" i="5" a="1"/>
  <c r="L3760" i="5" s="1"/>
  <c r="L3761" i="5" a="1"/>
  <c r="L3761" i="5" s="1"/>
  <c r="L3762" i="5" a="1"/>
  <c r="L3762" i="5" s="1"/>
  <c r="L3763" i="5" a="1"/>
  <c r="L3763" i="5" s="1"/>
  <c r="L3764" i="5" a="1"/>
  <c r="L3764" i="5" s="1"/>
  <c r="L3765" i="5" a="1"/>
  <c r="L3765" i="5" s="1"/>
  <c r="L3766" i="5" a="1"/>
  <c r="L3766" i="5" s="1"/>
  <c r="L3767" i="5" a="1"/>
  <c r="L3767" i="5" s="1"/>
  <c r="L3768" i="5" a="1"/>
  <c r="L3768" i="5" s="1"/>
  <c r="L3769" i="5" a="1"/>
  <c r="L3769" i="5" s="1"/>
  <c r="L3770" i="5" a="1"/>
  <c r="L3770" i="5" s="1"/>
  <c r="L3771" i="5" a="1"/>
  <c r="L3771" i="5" s="1"/>
  <c r="L3772" i="5" a="1"/>
  <c r="L3772" i="5" s="1"/>
  <c r="L3773" i="5" a="1"/>
  <c r="L3773" i="5" s="1"/>
  <c r="L3774" i="5" a="1"/>
  <c r="L3774" i="5" s="1"/>
  <c r="L3775" i="5" a="1"/>
  <c r="L3775" i="5" s="1"/>
  <c r="L3776" i="5" a="1"/>
  <c r="L3776" i="5" s="1"/>
  <c r="L3777" i="5" a="1"/>
  <c r="L3777" i="5" s="1"/>
  <c r="L3778" i="5" a="1"/>
  <c r="L3778" i="5" s="1"/>
  <c r="L3779" i="5" a="1"/>
  <c r="L3779" i="5" s="1"/>
  <c r="L3780" i="5" a="1"/>
  <c r="L3780" i="5" s="1"/>
  <c r="L3781" i="5" a="1"/>
  <c r="L3781" i="5" s="1"/>
  <c r="L3782" i="5" a="1"/>
  <c r="L3782" i="5" s="1"/>
  <c r="L3783" i="5" a="1"/>
  <c r="L3783" i="5" s="1"/>
  <c r="L3784" i="5" a="1"/>
  <c r="L3784" i="5"/>
  <c r="L3785" i="5" a="1"/>
  <c r="L3785" i="5" s="1"/>
  <c r="L3786" i="5" a="1"/>
  <c r="L3786" i="5" s="1"/>
  <c r="L3787" i="5" a="1"/>
  <c r="L3787" i="5" s="1"/>
  <c r="L3788" i="5" a="1"/>
  <c r="L3788" i="5"/>
  <c r="L3789" i="5" a="1"/>
  <c r="L3789" i="5" s="1"/>
  <c r="L3790" i="5" a="1"/>
  <c r="L3790" i="5" s="1"/>
  <c r="L3791" i="5" a="1"/>
  <c r="L3791" i="5" s="1"/>
  <c r="L3792" i="5" a="1"/>
  <c r="L3792" i="5" s="1"/>
  <c r="L3793" i="5" a="1"/>
  <c r="L3793" i="5" s="1"/>
  <c r="L3794" i="5" a="1"/>
  <c r="L3794" i="5" s="1"/>
  <c r="L3795" i="5" a="1"/>
  <c r="L3795" i="5" s="1"/>
  <c r="L3796" i="5" a="1"/>
  <c r="L3796" i="5" s="1"/>
  <c r="L3797" i="5" a="1"/>
  <c r="L3797" i="5" s="1"/>
  <c r="L3798" i="5" a="1"/>
  <c r="L3798" i="5" s="1"/>
  <c r="L3799" i="5" a="1"/>
  <c r="L3799" i="5" s="1"/>
  <c r="L3800" i="5" a="1"/>
  <c r="L3800" i="5" s="1"/>
  <c r="L3801" i="5" a="1"/>
  <c r="L3801" i="5" s="1"/>
  <c r="L3802" i="5" a="1"/>
  <c r="L3802" i="5" s="1"/>
  <c r="L3803" i="5" a="1"/>
  <c r="L3803" i="5" s="1"/>
  <c r="L3804" i="5" a="1"/>
  <c r="L3804" i="5" s="1"/>
  <c r="L3805" i="5" a="1"/>
  <c r="L3805" i="5" s="1"/>
  <c r="L2739" i="5" a="1"/>
  <c r="L2739" i="5"/>
  <c r="L2740" i="5" a="1"/>
  <c r="L2740" i="5" s="1"/>
  <c r="L50" i="5" a="1"/>
  <c r="L50" i="5" s="1"/>
  <c r="L51" i="5" a="1"/>
  <c r="L51" i="5" s="1"/>
  <c r="L1137" i="5" a="1"/>
  <c r="L1137" i="5" s="1"/>
  <c r="L1330" i="5" a="1"/>
  <c r="L1330" i="5" s="1"/>
  <c r="L3001" i="5" a="1"/>
  <c r="L3001" i="5" s="1"/>
  <c r="L1331" i="5" a="1"/>
  <c r="L1331" i="5" s="1"/>
  <c r="L3002" i="5" a="1"/>
  <c r="L3002" i="5" s="1"/>
  <c r="L274" i="5" a="1"/>
  <c r="L274" i="5" s="1"/>
  <c r="L1332" i="5" a="1"/>
  <c r="L1332" i="5" s="1"/>
  <c r="L1333" i="5" a="1"/>
  <c r="L1333" i="5" s="1"/>
  <c r="L1334" i="5" a="1"/>
  <c r="L1334" i="5"/>
  <c r="L1335" i="5" a="1"/>
  <c r="L1335" i="5" s="1"/>
  <c r="L275" i="5" a="1"/>
  <c r="L275" i="5" s="1"/>
  <c r="L276" i="5" a="1"/>
  <c r="L276" i="5" s="1"/>
  <c r="L1336" i="5" a="1"/>
  <c r="L1336" i="5" s="1"/>
  <c r="L3003" i="5" a="1"/>
  <c r="L3003" i="5" s="1"/>
  <c r="L277" i="5" a="1"/>
  <c r="L277" i="5" s="1"/>
  <c r="L278" i="5" a="1"/>
  <c r="L278" i="5" s="1"/>
  <c r="L1337" i="5" a="1"/>
  <c r="L1337" i="5" s="1"/>
  <c r="L279" i="5" a="1"/>
  <c r="L279" i="5" s="1"/>
  <c r="L280" i="5" a="1"/>
  <c r="L280" i="5" s="1"/>
  <c r="L281" i="5" a="1"/>
  <c r="L281" i="5" s="1"/>
  <c r="L3004" i="5" a="1"/>
  <c r="L3004" i="5" s="1"/>
  <c r="L282" i="5" a="1"/>
  <c r="L282" i="5" s="1"/>
  <c r="L3005" i="5" a="1"/>
  <c r="L3005" i="5" s="1"/>
  <c r="L1338" i="5" a="1"/>
  <c r="L1338" i="5" s="1"/>
  <c r="L1339" i="5" a="1"/>
  <c r="L1339" i="5" s="1"/>
  <c r="L3006" i="5" a="1"/>
  <c r="L3006" i="5" s="1"/>
  <c r="L3007" i="5" a="1"/>
  <c r="L3007" i="5" s="1"/>
  <c r="L283" i="5" a="1"/>
  <c r="L283" i="5" s="1"/>
  <c r="L1340" i="5" a="1"/>
  <c r="L1340" i="5" s="1"/>
  <c r="L284" i="5" a="1"/>
  <c r="L284" i="5" s="1"/>
  <c r="L3008" i="5" a="1"/>
  <c r="L3008" i="5" s="1"/>
  <c r="L285" i="5" a="1"/>
  <c r="L285" i="5" s="1"/>
  <c r="L3009" i="5" a="1"/>
  <c r="L3009" i="5" s="1"/>
  <c r="L1341" i="5" a="1"/>
  <c r="L1341" i="5" s="1"/>
  <c r="L286" i="5" a="1"/>
  <c r="L286" i="5" s="1"/>
  <c r="L287" i="5" a="1"/>
  <c r="L287" i="5" s="1"/>
  <c r="L288" i="5" a="1"/>
  <c r="L288" i="5" s="1"/>
  <c r="L1644" i="5" a="1"/>
  <c r="L1644" i="5" s="1"/>
  <c r="L1645" i="5" a="1"/>
  <c r="L1645" i="5" s="1"/>
  <c r="L3423" i="5" a="1"/>
  <c r="L3423" i="5" s="1"/>
  <c r="L2086" i="5" a="1"/>
  <c r="L2086" i="5" s="1"/>
  <c r="L2087" i="5" a="1"/>
  <c r="L2087" i="5" s="1"/>
  <c r="L2088" i="5" a="1"/>
  <c r="L2088" i="5" s="1"/>
  <c r="L1027" i="5" a="1"/>
  <c r="L1027" i="5" s="1"/>
  <c r="L2089" i="5" a="1"/>
  <c r="L2089" i="5" s="1"/>
  <c r="L2090" i="5" a="1"/>
  <c r="L2090" i="5" s="1"/>
  <c r="L2091" i="5" a="1"/>
  <c r="L2091" i="5" s="1"/>
  <c r="L2741" i="5" a="1"/>
  <c r="L2741" i="5" s="1"/>
  <c r="L52" i="5" a="1"/>
  <c r="L52" i="5" s="1"/>
  <c r="L2174" i="5" a="1"/>
  <c r="L2174" i="5" s="1"/>
  <c r="L2175" i="5" a="1"/>
  <c r="L2175" i="5" s="1"/>
  <c r="L2742" i="5" a="1"/>
  <c r="L2742" i="5" s="1"/>
  <c r="L2176" i="5" a="1"/>
  <c r="L2176" i="5"/>
  <c r="L2743" i="5" a="1"/>
  <c r="L2743" i="5" s="1"/>
  <c r="L2177" i="5" a="1"/>
  <c r="L2177" i="5" s="1"/>
  <c r="L53" i="5" a="1"/>
  <c r="L53" i="5" s="1"/>
  <c r="L2744" i="5" a="1"/>
  <c r="L2744" i="5" s="1"/>
  <c r="L2745" i="5" a="1"/>
  <c r="L2745" i="5" s="1"/>
  <c r="L2746" i="5" a="1"/>
  <c r="L2746" i="5" s="1"/>
  <c r="L2178" i="5" a="1"/>
  <c r="L2178" i="5" s="1"/>
  <c r="L2179" i="5" a="1"/>
  <c r="L2179" i="5" s="1"/>
  <c r="L54" i="5" a="1"/>
  <c r="L54" i="5" s="1"/>
  <c r="L55" i="5" a="1"/>
  <c r="L55" i="5" s="1"/>
  <c r="L2747" i="5" a="1"/>
  <c r="L2747" i="5" s="1"/>
  <c r="L56" i="5" a="1"/>
  <c r="L56" i="5" s="1"/>
  <c r="L2748" i="5" a="1"/>
  <c r="L2748" i="5" s="1"/>
  <c r="L2749" i="5" a="1"/>
  <c r="L2749" i="5" s="1"/>
  <c r="L57" i="5" a="1"/>
  <c r="L57" i="5" s="1"/>
  <c r="L58" i="5" a="1"/>
  <c r="L58" i="5" s="1"/>
  <c r="L59" i="5" a="1"/>
  <c r="L59" i="5" s="1"/>
  <c r="L2180" i="5" a="1"/>
  <c r="L2180" i="5" s="1"/>
  <c r="L2750" i="5" a="1"/>
  <c r="L2750" i="5" s="1"/>
  <c r="L2751" i="5" a="1"/>
  <c r="L2751" i="5" s="1"/>
  <c r="L60" i="5" a="1"/>
  <c r="L60" i="5" s="1"/>
  <c r="L2752" i="5" a="1"/>
  <c r="L2752" i="5" s="1"/>
  <c r="L2753" i="5" a="1"/>
  <c r="L2753" i="5" s="1"/>
  <c r="L2754" i="5" a="1"/>
  <c r="L2754" i="5" s="1"/>
  <c r="L2181" i="5" a="1"/>
  <c r="L2181" i="5" s="1"/>
  <c r="L2182" i="5" a="1"/>
  <c r="L2182" i="5" s="1"/>
  <c r="L2183" i="5" a="1"/>
  <c r="L2183" i="5" s="1"/>
  <c r="L2184" i="5" a="1"/>
  <c r="L2184" i="5" s="1"/>
  <c r="L2185" i="5" a="1"/>
  <c r="L2185" i="5" s="1"/>
  <c r="L2186" i="5" a="1"/>
  <c r="L2186" i="5"/>
  <c r="L61" i="5" a="1"/>
  <c r="L61" i="5" s="1"/>
  <c r="L2755" i="5" a="1"/>
  <c r="L2755" i="5" s="1"/>
  <c r="L2756" i="5" a="1"/>
  <c r="L2756" i="5" s="1"/>
  <c r="L2757" i="5" a="1"/>
  <c r="L2757" i="5" s="1"/>
  <c r="L62" i="5" a="1"/>
  <c r="L62" i="5" s="1"/>
  <c r="L2187" i="5" a="1"/>
  <c r="L2187" i="5" s="1"/>
  <c r="L63" i="5" a="1"/>
  <c r="L63" i="5" s="1"/>
  <c r="L2758" i="5" a="1"/>
  <c r="L2758" i="5" s="1"/>
  <c r="L2759" i="5" a="1"/>
  <c r="L2759" i="5" s="1"/>
  <c r="L2760" i="5" a="1"/>
  <c r="L2760" i="5"/>
  <c r="L64" i="5" a="1"/>
  <c r="L64" i="5" s="1"/>
  <c r="L65" i="5" a="1"/>
  <c r="L65" i="5" s="1"/>
  <c r="L289" i="5" a="1"/>
  <c r="L289" i="5" s="1"/>
  <c r="L2268" i="5" a="1"/>
  <c r="L2268" i="5" s="1"/>
  <c r="L3010" i="5" a="1"/>
  <c r="L3010" i="5" s="1"/>
  <c r="L2269" i="5" a="1"/>
  <c r="L2269" i="5" s="1"/>
  <c r="L290" i="5" a="1"/>
  <c r="L290" i="5" s="1"/>
  <c r="L291" i="5" a="1"/>
  <c r="L291" i="5" s="1"/>
  <c r="L3011" i="5" a="1"/>
  <c r="L3011" i="5" s="1"/>
  <c r="L3012" i="5" a="1"/>
  <c r="L3012" i="5" s="1"/>
  <c r="L292" i="5" a="1"/>
  <c r="L292" i="5" s="1"/>
  <c r="L293" i="5" a="1"/>
  <c r="L293" i="5" s="1"/>
  <c r="L294" i="5" a="1"/>
  <c r="L294" i="5" s="1"/>
  <c r="L3013" i="5" a="1"/>
  <c r="L3013" i="5" s="1"/>
  <c r="L3014" i="5" a="1"/>
  <c r="L3014" i="5" s="1"/>
  <c r="L295" i="5" a="1"/>
  <c r="L295" i="5" s="1"/>
  <c r="L2270" i="5" a="1"/>
  <c r="L2270" i="5" s="1"/>
  <c r="L3015" i="5" a="1"/>
  <c r="L3015" i="5" s="1"/>
  <c r="L296" i="5" a="1"/>
  <c r="L296" i="5" s="1"/>
  <c r="L3016" i="5" a="1"/>
  <c r="L3016" i="5" s="1"/>
  <c r="L297" i="5" a="1"/>
  <c r="L297" i="5" s="1"/>
  <c r="L298" i="5" a="1"/>
  <c r="L298" i="5" s="1"/>
  <c r="L2271" i="5" a="1"/>
  <c r="L2271" i="5" s="1"/>
  <c r="L2272" i="5" a="1"/>
  <c r="L2272" i="5" s="1"/>
  <c r="L299" i="5" a="1"/>
  <c r="L299" i="5" s="1"/>
  <c r="L3017" i="5" a="1"/>
  <c r="L3017" i="5" s="1"/>
  <c r="L3018" i="5" a="1"/>
  <c r="L3018" i="5" s="1"/>
  <c r="L2273" i="5" a="1"/>
  <c r="L2273" i="5" s="1"/>
  <c r="L2274" i="5" a="1"/>
  <c r="L2274" i="5" s="1"/>
  <c r="L300" i="5" a="1"/>
  <c r="L300" i="5" s="1"/>
  <c r="L2275" i="5" a="1"/>
  <c r="L2275" i="5"/>
  <c r="L3019" i="5" a="1"/>
  <c r="L3019" i="5" s="1"/>
  <c r="L301" i="5" a="1"/>
  <c r="L301" i="5" s="1"/>
  <c r="L2276" i="5" a="1"/>
  <c r="L2276" i="5" s="1"/>
  <c r="L2277" i="5" a="1"/>
  <c r="L2277" i="5" s="1"/>
  <c r="L2278" i="5" a="1"/>
  <c r="L2278" i="5" s="1"/>
  <c r="L3020" i="5" a="1"/>
  <c r="L3020" i="5" s="1"/>
  <c r="L3021" i="5" a="1"/>
  <c r="L3021" i="5" s="1"/>
  <c r="L3022" i="5" a="1"/>
  <c r="L3022" i="5" s="1"/>
  <c r="L3023" i="5" a="1"/>
  <c r="L3023" i="5" s="1"/>
  <c r="L2279" i="5" a="1"/>
  <c r="L2279" i="5" s="1"/>
  <c r="L302" i="5" a="1"/>
  <c r="L302" i="5" s="1"/>
  <c r="L2475" i="5" a="1"/>
  <c r="L2475" i="5" s="1"/>
  <c r="L685" i="5" a="1"/>
  <c r="L685" i="5" s="1"/>
  <c r="L2476" i="5" a="1"/>
  <c r="L2476" i="5" s="1"/>
  <c r="L2636" i="5" a="1"/>
  <c r="L2636" i="5" s="1"/>
  <c r="L3806" i="5" a="1"/>
  <c r="L3806" i="5" s="1"/>
  <c r="L2637" i="5" a="1"/>
  <c r="L2637" i="5" s="1"/>
  <c r="L2188" i="5" a="1"/>
  <c r="L2188" i="5" s="1"/>
  <c r="L2189" i="5" a="1"/>
  <c r="L2189" i="5" s="1"/>
  <c r="L2761" i="5" a="1"/>
  <c r="L2761" i="5" s="1"/>
  <c r="L66" i="5" a="1"/>
  <c r="L66" i="5" s="1"/>
  <c r="L67" i="5" a="1"/>
  <c r="L67" i="5" s="1"/>
  <c r="L68" i="5" a="1"/>
  <c r="L68" i="5" s="1"/>
  <c r="L69" i="5" a="1"/>
  <c r="L69" i="5" s="1"/>
  <c r="L3024" i="5" a="1"/>
  <c r="L3024" i="5" s="1"/>
  <c r="L303" i="5" a="1"/>
  <c r="L303" i="5" s="1"/>
  <c r="L304" i="5" a="1"/>
  <c r="L304" i="5" s="1"/>
  <c r="L3025" i="5" a="1"/>
  <c r="L3025" i="5" s="1"/>
  <c r="L2280" i="5" a="1"/>
  <c r="L2280" i="5" s="1"/>
  <c r="L2281" i="5" a="1"/>
  <c r="L2281" i="5" s="1"/>
  <c r="L2282" i="5" a="1"/>
  <c r="L2282" i="5"/>
  <c r="L2283" i="5" a="1"/>
  <c r="L2283" i="5" s="1"/>
  <c r="L3026" i="5" a="1"/>
  <c r="L3026" i="5" s="1"/>
  <c r="L305" i="5" a="1"/>
  <c r="L305" i="5" s="1"/>
  <c r="L3027" i="5" a="1"/>
  <c r="L3027" i="5" s="1"/>
  <c r="L3028" i="5" a="1"/>
  <c r="L3028" i="5" s="1"/>
  <c r="L3029" i="5" a="1"/>
  <c r="L3029" i="5" s="1"/>
  <c r="L3030" i="5" a="1"/>
  <c r="L3030" i="5" s="1"/>
  <c r="L306" i="5" a="1"/>
  <c r="L306" i="5" s="1"/>
  <c r="L3031" i="5" a="1"/>
  <c r="L3031" i="5" s="1"/>
  <c r="L2284" i="5" a="1"/>
  <c r="L2284" i="5"/>
  <c r="L307" i="5" a="1"/>
  <c r="L307" i="5" s="1"/>
  <c r="L308" i="5" a="1"/>
  <c r="L308" i="5" s="1"/>
  <c r="L3032" i="5" a="1"/>
  <c r="L3032" i="5" s="1"/>
  <c r="L2285" i="5" a="1"/>
  <c r="L2285" i="5" s="1"/>
  <c r="L3033" i="5" a="1"/>
  <c r="L3033" i="5" s="1"/>
  <c r="L3034" i="5" a="1"/>
  <c r="L3034" i="5" s="1"/>
  <c r="L3035" i="5" a="1"/>
  <c r="L3035" i="5" s="1"/>
  <c r="L2477" i="5" a="1"/>
  <c r="L2477" i="5" s="1"/>
  <c r="L3424" i="5" a="1"/>
  <c r="L3424" i="5" s="1"/>
  <c r="L2478" i="5" a="1"/>
  <c r="L2478" i="5" s="1"/>
  <c r="L2479" i="5" a="1"/>
  <c r="L2479" i="5" s="1"/>
  <c r="L686" i="5" a="1"/>
  <c r="L686" i="5" s="1"/>
  <c r="L2480" i="5" a="1"/>
  <c r="L2480" i="5" s="1"/>
  <c r="L3425" i="5" a="1"/>
  <c r="L3425" i="5"/>
  <c r="L3426" i="5" a="1"/>
  <c r="L3426" i="5" s="1"/>
  <c r="L3427" i="5" a="1"/>
  <c r="L3427" i="5" s="1"/>
  <c r="L2481" i="5" a="1"/>
  <c r="L2481" i="5" s="1"/>
  <c r="L2482" i="5" a="1"/>
  <c r="L2482" i="5" s="1"/>
  <c r="L3807" i="5" a="1"/>
  <c r="L3807" i="5" s="1"/>
  <c r="L1028" i="5" a="1"/>
  <c r="L1028" i="5" s="1"/>
  <c r="L1029" i="5" a="1"/>
  <c r="L1029" i="5" s="1"/>
  <c r="L1030" i="5" a="1"/>
  <c r="L1030" i="5" s="1"/>
  <c r="L1031" i="5" a="1"/>
  <c r="L1031" i="5" s="1"/>
  <c r="L1032" i="5" a="1"/>
  <c r="L1032" i="5"/>
  <c r="L1033" i="5" a="1"/>
  <c r="L1033" i="5" s="1"/>
  <c r="L1034" i="5" a="1"/>
  <c r="L1034" i="5" s="1"/>
  <c r="L2638" i="5" a="1"/>
  <c r="L2638" i="5" s="1"/>
  <c r="L2639" i="5" a="1"/>
  <c r="L2639" i="5" s="1"/>
  <c r="L1035" i="5" a="1"/>
  <c r="L1035" i="5" s="1"/>
  <c r="L3808" i="5" a="1"/>
  <c r="L3808" i="5" s="1"/>
  <c r="L3809" i="5" a="1"/>
  <c r="L3809" i="5" s="1"/>
  <c r="L2762" i="5" a="1"/>
  <c r="L2762" i="5" s="1"/>
  <c r="L2190" i="5" a="1"/>
  <c r="L2190" i="5" s="1"/>
  <c r="L2191" i="5" a="1"/>
  <c r="L2191" i="5" s="1"/>
  <c r="L2763" i="5" a="1"/>
  <c r="L2763" i="5" s="1"/>
  <c r="L2764" i="5" a="1"/>
  <c r="L2764" i="5" s="1"/>
  <c r="L70" i="5" a="1"/>
  <c r="L70" i="5" s="1"/>
  <c r="L2192" i="5" a="1"/>
  <c r="L2192" i="5" s="1"/>
  <c r="L2765" i="5" a="1"/>
  <c r="L2765" i="5" s="1"/>
  <c r="L71" i="5" a="1"/>
  <c r="L71" i="5" s="1"/>
  <c r="L72" i="5" a="1"/>
  <c r="L72" i="5" s="1"/>
  <c r="L73" i="5" a="1"/>
  <c r="L73" i="5" s="1"/>
  <c r="L1138" i="5" a="1"/>
  <c r="L1138" i="5" s="1"/>
  <c r="L1139" i="5" a="1"/>
  <c r="L1139" i="5" s="1"/>
  <c r="L1140" i="5" a="1"/>
  <c r="L1140" i="5" s="1"/>
  <c r="L74" i="5" a="1"/>
  <c r="L74" i="5" s="1"/>
  <c r="L1141" i="5" a="1"/>
  <c r="L1141" i="5" s="1"/>
  <c r="L2766" i="5" a="1"/>
  <c r="L2766" i="5" s="1"/>
  <c r="L1142" i="5" a="1"/>
  <c r="L1142" i="5" s="1"/>
  <c r="L2193" i="5" a="1"/>
  <c r="L2193" i="5" s="1"/>
  <c r="L2767" i="5" a="1"/>
  <c r="L2767" i="5" s="1"/>
  <c r="L1143" i="5" a="1"/>
  <c r="L1143" i="5" s="1"/>
  <c r="L2194" i="5" a="1"/>
  <c r="L2194" i="5" s="1"/>
  <c r="L2768" i="5" a="1"/>
  <c r="L2768" i="5" s="1"/>
  <c r="L2195" i="5" a="1"/>
  <c r="L2195" i="5" s="1"/>
  <c r="L2769" i="5" a="1"/>
  <c r="L2769" i="5"/>
  <c r="L2196" i="5" a="1"/>
  <c r="L2196" i="5" s="1"/>
  <c r="L2770" i="5" a="1"/>
  <c r="L2770" i="5" s="1"/>
  <c r="L75" i="5" a="1"/>
  <c r="L75" i="5" s="1"/>
  <c r="L2771" i="5" a="1"/>
  <c r="L2771" i="5" s="1"/>
  <c r="L76" i="5" a="1"/>
  <c r="L76" i="5"/>
  <c r="L2197" i="5" a="1"/>
  <c r="L2197" i="5"/>
  <c r="L3036" i="5" a="1"/>
  <c r="L3036" i="5" s="1"/>
  <c r="L2286" i="5" a="1"/>
  <c r="L2286" i="5" s="1"/>
  <c r="L2287" i="5" a="1"/>
  <c r="L2287" i="5" s="1"/>
  <c r="L3037" i="5" a="1"/>
  <c r="L3037" i="5" s="1"/>
  <c r="L309" i="5" a="1"/>
  <c r="L309" i="5" s="1"/>
  <c r="L310" i="5" a="1"/>
  <c r="L310" i="5" s="1"/>
  <c r="L3038" i="5" a="1"/>
  <c r="L3038" i="5" s="1"/>
  <c r="L311" i="5" a="1"/>
  <c r="L311" i="5" s="1"/>
  <c r="L312" i="5" a="1"/>
  <c r="L312" i="5" s="1"/>
  <c r="L3039" i="5" a="1"/>
  <c r="L3039" i="5" s="1"/>
  <c r="L313" i="5" a="1"/>
  <c r="L313" i="5" s="1"/>
  <c r="L2288" i="5" a="1"/>
  <c r="L2288" i="5" s="1"/>
  <c r="L3040" i="5" a="1"/>
  <c r="L3040" i="5" s="1"/>
  <c r="L2289" i="5" a="1"/>
  <c r="L2289" i="5" s="1"/>
  <c r="L3041" i="5" a="1"/>
  <c r="L3041" i="5" s="1"/>
  <c r="L2290" i="5" a="1"/>
  <c r="L2290" i="5" s="1"/>
  <c r="L3042" i="5" a="1"/>
  <c r="L3042" i="5" s="1"/>
  <c r="L3043" i="5" a="1"/>
  <c r="L3043" i="5" s="1"/>
  <c r="L3044" i="5" a="1"/>
  <c r="L3044" i="5" s="1"/>
  <c r="L3045" i="5" a="1"/>
  <c r="L3045" i="5" s="1"/>
  <c r="L314" i="5" a="1"/>
  <c r="L314" i="5" s="1"/>
  <c r="L2291" i="5" a="1"/>
  <c r="L2291" i="5" s="1"/>
  <c r="L2292" i="5" a="1"/>
  <c r="L2292" i="5" s="1"/>
  <c r="L2293" i="5" a="1"/>
  <c r="L2293" i="5" s="1"/>
  <c r="L2294" i="5" a="1"/>
  <c r="L2294" i="5" s="1"/>
  <c r="L315" i="5" a="1"/>
  <c r="L315" i="5" s="1"/>
  <c r="L316" i="5" a="1"/>
  <c r="L316" i="5" s="1"/>
  <c r="L317" i="5" a="1"/>
  <c r="L317" i="5" s="1"/>
  <c r="L3046" i="5" a="1"/>
  <c r="L3046" i="5" s="1"/>
  <c r="L2295" i="5" a="1"/>
  <c r="L2295" i="5" s="1"/>
  <c r="L2296" i="5" a="1"/>
  <c r="L2296" i="5" s="1"/>
  <c r="L3047" i="5" a="1"/>
  <c r="L3047" i="5" s="1"/>
  <c r="L2297" i="5" a="1"/>
  <c r="L2297" i="5" s="1"/>
  <c r="L3048" i="5" a="1"/>
  <c r="L3048" i="5" s="1"/>
  <c r="L3049" i="5" a="1"/>
  <c r="L3049" i="5" s="1"/>
  <c r="L318" i="5" a="1"/>
  <c r="L318" i="5" s="1"/>
  <c r="L319" i="5" a="1"/>
  <c r="L319" i="5" s="1"/>
  <c r="L320" i="5" a="1"/>
  <c r="L320" i="5" s="1"/>
  <c r="L321" i="5" a="1"/>
  <c r="L321" i="5" s="1"/>
  <c r="L2298" i="5" a="1"/>
  <c r="L2298" i="5" s="1"/>
  <c r="L3050" i="5" a="1"/>
  <c r="L3050" i="5" s="1"/>
  <c r="L1342" i="5" a="1"/>
  <c r="L1342" i="5" s="1"/>
  <c r="L322" i="5" a="1"/>
  <c r="L322" i="5" s="1"/>
  <c r="L323" i="5" a="1"/>
  <c r="L323" i="5" s="1"/>
  <c r="L1343" i="5" a="1"/>
  <c r="L1343" i="5" s="1"/>
  <c r="L2299" i="5" a="1"/>
  <c r="L2299" i="5" s="1"/>
  <c r="L324" i="5" a="1"/>
  <c r="L324" i="5" s="1"/>
  <c r="L2300" i="5" a="1"/>
  <c r="L2300" i="5" s="1"/>
  <c r="L325" i="5" a="1"/>
  <c r="L325" i="5" s="1"/>
  <c r="L3051" i="5" a="1"/>
  <c r="L3051" i="5" s="1"/>
  <c r="L1344" i="5" a="1"/>
  <c r="L1344" i="5" s="1"/>
  <c r="L3052" i="5" a="1"/>
  <c r="L3052" i="5" s="1"/>
  <c r="L3053" i="5" a="1"/>
  <c r="L3053" i="5" s="1"/>
  <c r="L3054" i="5" a="1"/>
  <c r="L3054" i="5" s="1"/>
  <c r="L2301" i="5" a="1"/>
  <c r="L2301" i="5" s="1"/>
  <c r="L2302" i="5" a="1"/>
  <c r="L2302" i="5" s="1"/>
  <c r="L2483" i="5" a="1"/>
  <c r="L2483" i="5" s="1"/>
  <c r="L2484" i="5" a="1"/>
  <c r="L2484" i="5" s="1"/>
  <c r="L1646" i="5" a="1"/>
  <c r="L1646" i="5" s="1"/>
  <c r="L2485" i="5" a="1"/>
  <c r="L2485" i="5" s="1"/>
  <c r="L3428" i="5" a="1"/>
  <c r="L3428" i="5" s="1"/>
  <c r="L2486" i="5" a="1"/>
  <c r="L2486" i="5" s="1"/>
  <c r="L2487" i="5" a="1"/>
  <c r="L2487" i="5" s="1"/>
  <c r="L2488" i="5" a="1"/>
  <c r="L2488" i="5" s="1"/>
  <c r="L2489" i="5" a="1"/>
  <c r="L2489" i="5" s="1"/>
  <c r="L3429" i="5" a="1"/>
  <c r="L3429" i="5" s="1"/>
  <c r="L2490" i="5" a="1"/>
  <c r="L2490" i="5" s="1"/>
  <c r="L2640" i="5" a="1"/>
  <c r="L2640" i="5" s="1"/>
  <c r="L2641" i="5" a="1"/>
  <c r="L2641" i="5" s="1"/>
  <c r="L1647" i="5" a="1"/>
  <c r="L1647" i="5" s="1"/>
  <c r="L1648" i="5" a="1"/>
  <c r="L1648" i="5" s="1"/>
  <c r="L1649" i="5" a="1"/>
  <c r="L1649" i="5" s="1"/>
  <c r="L1650" i="5" a="1"/>
  <c r="L1650" i="5" s="1"/>
  <c r="L1651" i="5" a="1"/>
  <c r="L1651" i="5" s="1"/>
  <c r="L1652" i="5" a="1"/>
  <c r="L1652" i="5" s="1"/>
  <c r="L1653" i="5" a="1"/>
  <c r="L1653" i="5" s="1"/>
  <c r="L1654" i="5" a="1"/>
  <c r="L1654" i="5" s="1"/>
  <c r="L1655" i="5" a="1"/>
  <c r="L1655" i="5" s="1"/>
  <c r="L1656" i="5" a="1"/>
  <c r="L1656" i="5" s="1"/>
  <c r="L1657" i="5" a="1"/>
  <c r="L1657" i="5" s="1"/>
  <c r="L1658" i="5" a="1"/>
  <c r="L1658" i="5" s="1"/>
  <c r="L1659" i="5" a="1"/>
  <c r="L1659" i="5"/>
  <c r="L1660" i="5" a="1"/>
  <c r="L1660" i="5" s="1"/>
  <c r="L1661" i="5" a="1"/>
  <c r="L1661" i="5" s="1"/>
  <c r="L2092" i="5" a="1"/>
  <c r="L2092" i="5" s="1"/>
  <c r="L2093" i="5" a="1"/>
  <c r="L2093" i="5" s="1"/>
  <c r="L2094" i="5" a="1"/>
  <c r="L2094" i="5" s="1"/>
  <c r="L2095" i="5" a="1"/>
  <c r="L2095" i="5" s="1"/>
  <c r="L2096" i="5" a="1"/>
  <c r="L2096" i="5" s="1"/>
  <c r="L2097" i="5" a="1"/>
  <c r="L2097" i="5" s="1"/>
  <c r="L2098" i="5" a="1"/>
  <c r="L2098" i="5" s="1"/>
  <c r="L2099" i="5" a="1"/>
  <c r="L2099" i="5" s="1"/>
  <c r="L2100" i="5" a="1"/>
  <c r="L2100" i="5" s="1"/>
  <c r="L2101" i="5" a="1"/>
  <c r="L2101" i="5" s="1"/>
  <c r="L2102" i="5" a="1"/>
  <c r="L2102" i="5" s="1"/>
  <c r="L2103" i="5" a="1"/>
  <c r="L2103" i="5" s="1"/>
  <c r="L2104" i="5" a="1"/>
  <c r="L2104" i="5" s="1"/>
  <c r="L2105" i="5" a="1"/>
  <c r="L2105" i="5" s="1"/>
  <c r="L2106" i="5" a="1"/>
  <c r="L2106" i="5" s="1"/>
  <c r="L2107" i="5" a="1"/>
  <c r="L2107" i="5"/>
  <c r="L2108" i="5" a="1"/>
  <c r="L2108" i="5" s="1"/>
  <c r="L2109" i="5" a="1"/>
  <c r="L2109" i="5" s="1"/>
  <c r="L3810" i="5" a="1"/>
  <c r="L3810" i="5" s="1"/>
  <c r="L3811" i="5" a="1"/>
  <c r="L3811" i="5" s="1"/>
  <c r="L3812" i="5" a="1"/>
  <c r="L3812" i="5" s="1"/>
  <c r="L3813" i="5" a="1"/>
  <c r="L3813" i="5" s="1"/>
  <c r="L3814" i="5" a="1"/>
  <c r="L3814" i="5" s="1"/>
  <c r="L3815" i="5" a="1"/>
  <c r="L3815" i="5" s="1"/>
  <c r="L3816" i="5" a="1"/>
  <c r="L3816" i="5" s="1"/>
  <c r="L3817" i="5" a="1"/>
  <c r="L3817" i="5" s="1"/>
  <c r="L3818" i="5" a="1"/>
  <c r="L3818" i="5" s="1"/>
  <c r="L3819" i="5" a="1"/>
  <c r="L3819" i="5" s="1"/>
  <c r="L3820" i="5" a="1"/>
  <c r="L3820" i="5" s="1"/>
  <c r="L3821" i="5" a="1"/>
  <c r="L3821" i="5" s="1"/>
  <c r="L3822" i="5" a="1"/>
  <c r="L3822" i="5" s="1"/>
  <c r="L3823" i="5" a="1"/>
  <c r="L3823" i="5" s="1"/>
  <c r="L3824" i="5" a="1"/>
  <c r="L3824" i="5" s="1"/>
  <c r="L3825" i="5" a="1"/>
  <c r="L3825" i="5" s="1"/>
  <c r="L3826" i="5" a="1"/>
  <c r="L3826" i="5" s="1"/>
  <c r="L3827" i="5" a="1"/>
  <c r="L3827" i="5"/>
  <c r="L3828" i="5" a="1"/>
  <c r="L3828" i="5" s="1"/>
  <c r="L3829" i="5" a="1"/>
  <c r="L3829" i="5" s="1"/>
  <c r="L3830" i="5" a="1"/>
  <c r="L3830" i="5" s="1"/>
  <c r="L3831" i="5" a="1"/>
  <c r="L3831" i="5" s="1"/>
  <c r="L3832" i="5" a="1"/>
  <c r="L3832" i="5" s="1"/>
  <c r="L3833" i="5" a="1"/>
  <c r="L3833" i="5" s="1"/>
  <c r="L1662" i="5" a="1"/>
  <c r="L1662" i="5" s="1"/>
  <c r="L1663" i="5" a="1"/>
  <c r="L1663" i="5" s="1"/>
  <c r="L1664" i="5" a="1"/>
  <c r="L1664" i="5" s="1"/>
  <c r="L1665" i="5" a="1"/>
  <c r="L1665" i="5" s="1"/>
  <c r="L1666" i="5" a="1"/>
  <c r="L1666" i="5" s="1"/>
  <c r="L1667" i="5" a="1"/>
  <c r="L1667" i="5" s="1"/>
  <c r="L1668" i="5" a="1"/>
  <c r="L1668" i="5" s="1"/>
  <c r="L1669" i="5" a="1"/>
  <c r="L1669" i="5" s="1"/>
  <c r="L1670" i="5" a="1"/>
  <c r="L1670" i="5" s="1"/>
  <c r="L1671" i="5" a="1"/>
  <c r="L1671" i="5"/>
  <c r="L1672" i="5" a="1"/>
  <c r="L1672" i="5" s="1"/>
  <c r="L1673" i="5" a="1"/>
  <c r="L1673" i="5" s="1"/>
  <c r="L1674" i="5" a="1"/>
  <c r="L1674" i="5" s="1"/>
  <c r="L1675" i="5" a="1"/>
  <c r="L1675" i="5" s="1"/>
  <c r="L1676" i="5" a="1"/>
  <c r="L1676" i="5" s="1"/>
  <c r="L1677" i="5" a="1"/>
  <c r="L1677" i="5"/>
  <c r="L1678" i="5" a="1"/>
  <c r="L1678" i="5" s="1"/>
  <c r="L1679" i="5" a="1"/>
  <c r="L1679" i="5" s="1"/>
  <c r="L1680" i="5" a="1"/>
  <c r="L1680" i="5" s="1"/>
  <c r="L1681" i="5" a="1"/>
  <c r="L1681" i="5" s="1"/>
  <c r="L2110" i="5" a="1"/>
  <c r="L2110" i="5" s="1"/>
  <c r="L2111" i="5" a="1"/>
  <c r="L2111" i="5" s="1"/>
  <c r="L2112" i="5" a="1"/>
  <c r="L2112" i="5" s="1"/>
  <c r="L2113" i="5" a="1"/>
  <c r="L2113" i="5" s="1"/>
  <c r="L2114" i="5" a="1"/>
  <c r="L2114" i="5" s="1"/>
  <c r="L2115" i="5" a="1"/>
  <c r="L2115" i="5" s="1"/>
  <c r="L2116" i="5" a="1"/>
  <c r="L2116" i="5" s="1"/>
  <c r="L2117" i="5" a="1"/>
  <c r="L2117" i="5" s="1"/>
  <c r="L2118" i="5" a="1"/>
  <c r="L2118" i="5" s="1"/>
  <c r="L2119" i="5" a="1"/>
  <c r="L2119" i="5"/>
  <c r="L1682" i="5" a="1"/>
  <c r="L1682" i="5" s="1"/>
  <c r="L1683" i="5" a="1"/>
  <c r="L1683" i="5" s="1"/>
  <c r="L1684" i="5" a="1"/>
  <c r="L1684" i="5" s="1"/>
  <c r="L1685" i="5" a="1"/>
  <c r="L1685" i="5" s="1"/>
  <c r="L1686" i="5" a="1"/>
  <c r="L1686" i="5" s="1"/>
  <c r="L1687" i="5" a="1"/>
  <c r="L1687" i="5" s="1"/>
  <c r="L1688" i="5" a="1"/>
  <c r="L1688" i="5" s="1"/>
  <c r="L1689" i="5" a="1"/>
  <c r="L1689" i="5" s="1"/>
  <c r="L1690" i="5" a="1"/>
  <c r="L1690" i="5" s="1"/>
  <c r="L1691" i="5" a="1"/>
  <c r="L1691" i="5" s="1"/>
  <c r="L1692" i="5" a="1"/>
  <c r="L1692" i="5" s="1"/>
  <c r="L1693" i="5" a="1"/>
  <c r="L1693" i="5" s="1"/>
  <c r="L1694" i="5" a="1"/>
  <c r="L1694" i="5" s="1"/>
  <c r="L1695" i="5" a="1"/>
  <c r="L1695" i="5" s="1"/>
  <c r="L1696" i="5" a="1"/>
  <c r="L1696" i="5" s="1"/>
  <c r="L1697" i="5" a="1"/>
  <c r="L1697" i="5"/>
  <c r="L1698" i="5" a="1"/>
  <c r="L1698" i="5" s="1"/>
  <c r="L1699" i="5" a="1"/>
  <c r="L1699" i="5" s="1"/>
  <c r="L1700" i="5" a="1"/>
  <c r="L1700" i="5" s="1"/>
  <c r="L1701" i="5" a="1"/>
  <c r="L1701" i="5" s="1"/>
  <c r="L1702" i="5" a="1"/>
  <c r="L1702" i="5" s="1"/>
  <c r="L1703" i="5" a="1"/>
  <c r="L1703" i="5" s="1"/>
  <c r="L1704" i="5" a="1"/>
  <c r="L1704" i="5" s="1"/>
  <c r="L1705" i="5" a="1"/>
  <c r="L1705" i="5" s="1"/>
  <c r="L1706" i="5" a="1"/>
  <c r="L1706" i="5" s="1"/>
  <c r="L1707" i="5" a="1"/>
  <c r="L1707" i="5" s="1"/>
  <c r="L1708" i="5" a="1"/>
  <c r="L1708" i="5" s="1"/>
  <c r="L1709" i="5" a="1"/>
  <c r="L1709" i="5" s="1"/>
  <c r="L1710" i="5" a="1"/>
  <c r="L1710" i="5" s="1"/>
  <c r="L2120" i="5" a="1"/>
  <c r="L2120" i="5" s="1"/>
  <c r="L2121" i="5" a="1"/>
  <c r="L2121" i="5" s="1"/>
  <c r="L1711" i="5" a="1"/>
  <c r="L1711" i="5" s="1"/>
  <c r="L1712" i="5" a="1"/>
  <c r="L1712" i="5" s="1"/>
  <c r="L3430" i="5" a="1"/>
  <c r="L3430" i="5" s="1"/>
  <c r="L3431" i="5" a="1"/>
  <c r="L3431" i="5" s="1"/>
  <c r="L1713" i="5" a="1"/>
  <c r="L1713" i="5" s="1"/>
  <c r="L1714" i="5" a="1"/>
  <c r="L1714" i="5" s="1"/>
  <c r="L3432" i="5" a="1"/>
  <c r="L3432" i="5" s="1"/>
  <c r="L3433" i="5" a="1"/>
  <c r="L3433" i="5" s="1"/>
  <c r="L3434" i="5" a="1"/>
  <c r="L3434" i="5" s="1"/>
  <c r="L1715" i="5" a="1"/>
  <c r="L1715" i="5" s="1"/>
  <c r="L1716" i="5" a="1"/>
  <c r="L1716" i="5" s="1"/>
  <c r="L1717" i="5" a="1"/>
  <c r="L1717" i="5" s="1"/>
  <c r="L1718" i="5" a="1"/>
  <c r="L1718" i="5" s="1"/>
  <c r="L2122" i="5" a="1"/>
  <c r="L2122" i="5" s="1"/>
  <c r="L3834" i="5" a="1"/>
  <c r="L3834" i="5" s="1"/>
  <c r="L3835" i="5" a="1"/>
  <c r="L3835" i="5" s="1"/>
  <c r="L3836" i="5" a="1"/>
  <c r="L3836" i="5" s="1"/>
  <c r="L3837" i="5" a="1"/>
  <c r="L3837" i="5" s="1"/>
  <c r="L3838" i="5" a="1"/>
  <c r="L3838" i="5" s="1"/>
  <c r="L3839" i="5" a="1"/>
  <c r="L3839" i="5" s="1"/>
  <c r="L3840" i="5" a="1"/>
  <c r="L3840" i="5" s="1"/>
  <c r="L3841" i="5" a="1"/>
  <c r="L3841" i="5" s="1"/>
  <c r="L3842" i="5" a="1"/>
  <c r="L3842" i="5" s="1"/>
  <c r="L3843" i="5" a="1"/>
  <c r="L3843" i="5" s="1"/>
  <c r="L3844" i="5" a="1"/>
  <c r="L3844" i="5" s="1"/>
  <c r="L1345" i="5" a="1"/>
  <c r="L1345" i="5" s="1"/>
  <c r="L3055" i="5" a="1"/>
  <c r="L3055" i="5" s="1"/>
  <c r="L3056" i="5" a="1"/>
  <c r="L3056" i="5" s="1"/>
  <c r="L3057" i="5" a="1"/>
  <c r="L3057" i="5" s="1"/>
  <c r="L1346" i="5" a="1"/>
  <c r="L1346" i="5" s="1"/>
  <c r="L687" i="5" a="1"/>
  <c r="L687" i="5" s="1"/>
  <c r="L688" i="5" a="1"/>
  <c r="L688" i="5" s="1"/>
  <c r="L689" i="5" a="1"/>
  <c r="L689" i="5" s="1"/>
  <c r="L1719" i="5" a="1"/>
  <c r="L1719" i="5" s="1"/>
  <c r="L3435" i="5" a="1"/>
  <c r="L3435" i="5" s="1"/>
  <c r="L690" i="5" a="1"/>
  <c r="L690" i="5" s="1"/>
  <c r="L691" i="5" a="1"/>
  <c r="L691" i="5" s="1"/>
  <c r="L1720" i="5" a="1"/>
  <c r="L1720" i="5" s="1"/>
  <c r="L692" i="5" a="1"/>
  <c r="L692" i="5" s="1"/>
  <c r="L693" i="5" a="1"/>
  <c r="L693" i="5" s="1"/>
  <c r="L694" i="5" a="1"/>
  <c r="L694" i="5" s="1"/>
  <c r="L1721" i="5" a="1"/>
  <c r="L1721" i="5" s="1"/>
  <c r="L695" i="5" a="1"/>
  <c r="L695" i="5" s="1"/>
  <c r="L3436" i="5" a="1"/>
  <c r="L3436" i="5" s="1"/>
  <c r="L1722" i="5" a="1"/>
  <c r="L1722" i="5" s="1"/>
  <c r="L1723" i="5" a="1"/>
  <c r="L1723" i="5" s="1"/>
  <c r="L696" i="5" a="1"/>
  <c r="L696" i="5" s="1"/>
  <c r="L697" i="5" a="1"/>
  <c r="L697" i="5" s="1"/>
  <c r="L3437" i="5" a="1"/>
  <c r="L3437" i="5" s="1"/>
  <c r="L1724" i="5" a="1"/>
  <c r="L1724" i="5" s="1"/>
  <c r="L3438" i="5" a="1"/>
  <c r="L3438" i="5" s="1"/>
  <c r="L698" i="5" a="1"/>
  <c r="L698" i="5" s="1"/>
  <c r="L3845" i="5" a="1"/>
  <c r="L3845" i="5" s="1"/>
  <c r="L2123" i="5" a="1"/>
  <c r="L2123" i="5" s="1"/>
  <c r="L1036" i="5" a="1"/>
  <c r="L1036" i="5" s="1"/>
  <c r="L2124" i="5" a="1"/>
  <c r="L2124" i="5" s="1"/>
  <c r="L2125" i="5" a="1"/>
  <c r="L2125" i="5" s="1"/>
  <c r="L3846" i="5" a="1"/>
  <c r="L3846" i="5" s="1"/>
  <c r="L2126" i="5" a="1"/>
  <c r="L2126" i="5" s="1"/>
  <c r="L3847" i="5" a="1"/>
  <c r="L3847" i="5" s="1"/>
  <c r="L3848" i="5" a="1"/>
  <c r="L3848" i="5" s="1"/>
  <c r="L2127" i="5" a="1"/>
  <c r="L2127" i="5" s="1"/>
  <c r="L1347" i="5" a="1"/>
  <c r="L1347" i="5" s="1"/>
  <c r="L3058" i="5" a="1"/>
  <c r="L3058" i="5"/>
  <c r="L326" i="5" a="1"/>
  <c r="L326" i="5" s="1"/>
  <c r="L3059" i="5" a="1"/>
  <c r="L3059" i="5" s="1"/>
  <c r="L3060" i="5" a="1"/>
  <c r="L3060" i="5" s="1"/>
  <c r="L1348" i="5" a="1"/>
  <c r="L1348" i="5" s="1"/>
  <c r="L3061" i="5" a="1"/>
  <c r="L3061" i="5" s="1"/>
  <c r="L327" i="5" a="1"/>
  <c r="L327" i="5" s="1"/>
  <c r="L328" i="5" a="1"/>
  <c r="L328" i="5" s="1"/>
  <c r="L3062" i="5" a="1"/>
  <c r="L3062" i="5" s="1"/>
  <c r="L1349" i="5" a="1"/>
  <c r="L1349" i="5" s="1"/>
  <c r="L2303" i="5" a="1"/>
  <c r="L2303" i="5" s="1"/>
  <c r="L2304" i="5" a="1"/>
  <c r="L2304" i="5" s="1"/>
  <c r="L3063" i="5" a="1"/>
  <c r="L3063" i="5" s="1"/>
  <c r="L329" i="5" a="1"/>
  <c r="L329" i="5" s="1"/>
  <c r="L3064" i="5" a="1"/>
  <c r="L3064" i="5" s="1"/>
  <c r="L2305" i="5" a="1"/>
  <c r="L2305" i="5" s="1"/>
  <c r="L3065" i="5" a="1"/>
  <c r="L3065" i="5" s="1"/>
  <c r="L2306" i="5" a="1"/>
  <c r="L2306" i="5" s="1"/>
  <c r="L330" i="5" a="1"/>
  <c r="L330" i="5" s="1"/>
  <c r="L3066" i="5" a="1"/>
  <c r="L3066" i="5"/>
  <c r="L3067" i="5" a="1"/>
  <c r="L3067" i="5" s="1"/>
  <c r="L2307" i="5" a="1"/>
  <c r="L2307" i="5" s="1"/>
  <c r="L1350" i="5" a="1"/>
  <c r="L1350" i="5" s="1"/>
  <c r="L2308" i="5" a="1"/>
  <c r="L2308" i="5" s="1"/>
  <c r="L1351" i="5" a="1"/>
  <c r="L1351" i="5" s="1"/>
  <c r="L2309" i="5" a="1"/>
  <c r="L2309" i="5" s="1"/>
  <c r="L1352" i="5" a="1"/>
  <c r="L1352" i="5" s="1"/>
  <c r="L2310" i="5" a="1"/>
  <c r="L2310" i="5" s="1"/>
  <c r="L1353" i="5" a="1"/>
  <c r="L1353" i="5" s="1"/>
  <c r="L2311" i="5" a="1"/>
  <c r="L2311" i="5"/>
  <c r="L1354" i="5" a="1"/>
  <c r="L1354" i="5" s="1"/>
  <c r="L2312" i="5" a="1"/>
  <c r="L2312" i="5" s="1"/>
  <c r="L3068" i="5" a="1"/>
  <c r="L3068" i="5" s="1"/>
  <c r="L3069" i="5" a="1"/>
  <c r="L3069" i="5" s="1"/>
  <c r="L2313" i="5" a="1"/>
  <c r="L2313" i="5" s="1"/>
  <c r="L3070" i="5" a="1"/>
  <c r="L3070" i="5" s="1"/>
  <c r="L699" i="5" a="1"/>
  <c r="L699" i="5" s="1"/>
  <c r="L2491" i="5" a="1"/>
  <c r="L2491" i="5" s="1"/>
  <c r="L3439" i="5" a="1"/>
  <c r="L3439" i="5" s="1"/>
  <c r="L700" i="5" a="1"/>
  <c r="L700" i="5" s="1"/>
  <c r="L2492" i="5" a="1"/>
  <c r="L2492" i="5" s="1"/>
  <c r="L1725" i="5" a="1"/>
  <c r="L1725" i="5" s="1"/>
  <c r="L3440" i="5" a="1"/>
  <c r="L3440" i="5"/>
  <c r="L2493" i="5" a="1"/>
  <c r="L2493" i="5"/>
  <c r="L701" i="5" a="1"/>
  <c r="L701" i="5" s="1"/>
  <c r="L2128" i="5" a="1"/>
  <c r="L2128" i="5" s="1"/>
  <c r="L2642" i="5" a="1"/>
  <c r="L2642" i="5" s="1"/>
  <c r="L3849" i="5" a="1"/>
  <c r="L3849" i="5" s="1"/>
  <c r="L1037" i="5" a="1"/>
  <c r="L1037" i="5"/>
  <c r="L1038" i="5" a="1"/>
  <c r="L1038" i="5" s="1"/>
  <c r="L702" i="5" a="1"/>
  <c r="L702" i="5" s="1"/>
  <c r="L1726" i="5" a="1"/>
  <c r="L1726" i="5" s="1"/>
  <c r="L1727" i="5" a="1"/>
  <c r="L1727" i="5" s="1"/>
  <c r="L3441" i="5" a="1"/>
  <c r="L3441" i="5"/>
  <c r="L1728" i="5" a="1"/>
  <c r="L1728" i="5" s="1"/>
  <c r="L3442" i="5" a="1"/>
  <c r="L3442" i="5" s="1"/>
  <c r="L1729" i="5" a="1"/>
  <c r="L1729" i="5" s="1"/>
  <c r="L703" i="5" a="1"/>
  <c r="L703" i="5" s="1"/>
  <c r="L704" i="5" a="1"/>
  <c r="L704" i="5" s="1"/>
  <c r="L3443" i="5" a="1"/>
  <c r="L3443" i="5" s="1"/>
  <c r="L705" i="5" a="1"/>
  <c r="L705" i="5" s="1"/>
  <c r="L1730" i="5" a="1"/>
  <c r="L1730" i="5" s="1"/>
  <c r="L1039" i="5" a="1"/>
  <c r="L1039" i="5" s="1"/>
  <c r="L1040" i="5" a="1"/>
  <c r="L1040" i="5" s="1"/>
  <c r="L1041" i="5" a="1"/>
  <c r="L1041" i="5" s="1"/>
  <c r="L1042" i="5" a="1"/>
  <c r="L1042" i="5" s="1"/>
  <c r="L1043" i="5" a="1"/>
  <c r="L1043" i="5" s="1"/>
  <c r="L1044" i="5" a="1"/>
  <c r="L1044" i="5" s="1"/>
  <c r="L1045" i="5" a="1"/>
  <c r="L1045" i="5" s="1"/>
  <c r="L3850" i="5" a="1"/>
  <c r="L3850" i="5" s="1"/>
  <c r="L2129" i="5" a="1"/>
  <c r="L2129" i="5" s="1"/>
  <c r="L3851" i="5" a="1"/>
  <c r="L3851" i="5" s="1"/>
  <c r="L3852" i="5" a="1"/>
  <c r="L3852" i="5" s="1"/>
  <c r="L2130" i="5" a="1"/>
  <c r="L2130" i="5"/>
  <c r="L3853" i="5" a="1"/>
  <c r="L3853" i="5" s="1"/>
  <c r="L3854" i="5" a="1"/>
  <c r="L3854" i="5" s="1"/>
  <c r="L1046" i="5" a="1"/>
  <c r="L1046" i="5" s="1"/>
  <c r="L2131" i="5" a="1"/>
  <c r="L2131" i="5" s="1"/>
  <c r="L2132" i="5" a="1"/>
  <c r="L2132" i="5" s="1"/>
  <c r="L3855" i="5" a="1"/>
  <c r="L3855" i="5" s="1"/>
  <c r="L1047" i="5" a="1"/>
  <c r="L1047" i="5" s="1"/>
  <c r="L2133" i="5" a="1"/>
  <c r="L2133" i="5" s="1"/>
  <c r="L2134" i="5" a="1"/>
  <c r="L2134" i="5" s="1"/>
  <c r="L2135" i="5" a="1"/>
  <c r="L2135" i="5" s="1"/>
  <c r="L2136" i="5" a="1"/>
  <c r="L2136" i="5" s="1"/>
  <c r="L706" i="5" a="1"/>
  <c r="L706" i="5" s="1"/>
  <c r="L707" i="5" a="1"/>
  <c r="L707" i="5" s="1"/>
  <c r="L708" i="5" a="1"/>
  <c r="L708" i="5" s="1"/>
  <c r="L709" i="5" a="1"/>
  <c r="L709" i="5" s="1"/>
  <c r="L3444" i="5" a="1"/>
  <c r="L3444" i="5" s="1"/>
  <c r="L710" i="5" a="1"/>
  <c r="L710" i="5" s="1"/>
  <c r="L3445" i="5" a="1"/>
  <c r="L3445" i="5"/>
  <c r="L1731" i="5" a="1"/>
  <c r="L1731" i="5" s="1"/>
  <c r="L1732" i="5" a="1"/>
  <c r="L1732" i="5" s="1"/>
  <c r="L711" i="5" a="1"/>
  <c r="L711" i="5" s="1"/>
  <c r="L1733" i="5" a="1"/>
  <c r="L1733" i="5" s="1"/>
  <c r="L1734" i="5" a="1"/>
  <c r="L1734" i="5" s="1"/>
  <c r="L1735" i="5" a="1"/>
  <c r="L1735" i="5" s="1"/>
  <c r="L1736" i="5" a="1"/>
  <c r="L1736" i="5" s="1"/>
  <c r="L3446" i="5" a="1"/>
  <c r="L3446" i="5" s="1"/>
  <c r="L712" i="5" a="1"/>
  <c r="L712" i="5" s="1"/>
  <c r="L1737" i="5" a="1"/>
  <c r="L1737" i="5" s="1"/>
  <c r="L3447" i="5" a="1"/>
  <c r="L3447" i="5" s="1"/>
  <c r="L3448" i="5" a="1"/>
  <c r="L3448" i="5" s="1"/>
  <c r="L713" i="5" a="1"/>
  <c r="L713" i="5" s="1"/>
  <c r="L1738" i="5" a="1"/>
  <c r="L1738" i="5" s="1"/>
  <c r="L714" i="5" a="1"/>
  <c r="L714" i="5" s="1"/>
  <c r="L1739" i="5" a="1"/>
  <c r="L1739" i="5" s="1"/>
  <c r="L715" i="5" a="1"/>
  <c r="L715" i="5" s="1"/>
  <c r="L716" i="5" a="1"/>
  <c r="L716" i="5" s="1"/>
  <c r="L2137" i="5" a="1"/>
  <c r="L2137" i="5" s="1"/>
  <c r="L1048" i="5" a="1"/>
  <c r="L1048" i="5" s="1"/>
  <c r="L3856" i="5" a="1"/>
  <c r="L3856" i="5" s="1"/>
  <c r="L2138" i="5" a="1"/>
  <c r="L2138" i="5" s="1"/>
  <c r="L2139" i="5" a="1"/>
  <c r="L2139" i="5" s="1"/>
  <c r="L2140" i="5" a="1"/>
  <c r="L2140" i="5" s="1"/>
  <c r="L3857" i="5" a="1"/>
  <c r="L3857" i="5" s="1"/>
  <c r="L2141" i="5" a="1"/>
  <c r="L2141" i="5" s="1"/>
  <c r="L3449" i="5" a="1"/>
  <c r="L3449" i="5" s="1"/>
  <c r="L1740" i="5" a="1"/>
  <c r="L1740" i="5" s="1"/>
  <c r="L1741" i="5" a="1"/>
  <c r="L1741" i="5" s="1"/>
  <c r="L3450" i="5" a="1"/>
  <c r="L3450" i="5" s="1"/>
  <c r="L3451" i="5" a="1"/>
  <c r="L3451" i="5" s="1"/>
  <c r="L3452" i="5" a="1"/>
  <c r="L3452" i="5" s="1"/>
  <c r="L1742" i="5" a="1"/>
  <c r="L1742" i="5" s="1"/>
  <c r="L1743" i="5" a="1"/>
  <c r="L1743" i="5" s="1"/>
  <c r="L1744" i="5" a="1"/>
  <c r="L1744" i="5" s="1"/>
  <c r="L1745" i="5" a="1"/>
  <c r="L1745" i="5" s="1"/>
  <c r="L1746" i="5" a="1"/>
  <c r="L1746" i="5" s="1"/>
  <c r="L1747" i="5" a="1"/>
  <c r="L1747" i="5" s="1"/>
  <c r="L3453" i="5" a="1"/>
  <c r="L3453" i="5" s="1"/>
  <c r="L1748" i="5" a="1"/>
  <c r="L1748" i="5"/>
  <c r="L1749" i="5" a="1"/>
  <c r="L1749" i="5" s="1"/>
  <c r="L3454" i="5" a="1"/>
  <c r="L3454" i="5" s="1"/>
  <c r="L3455" i="5" a="1"/>
  <c r="L3455" i="5" s="1"/>
  <c r="L3858" i="5" a="1"/>
  <c r="L3858" i="5" s="1"/>
  <c r="L2142" i="5" a="1"/>
  <c r="L2142" i="5" s="1"/>
  <c r="L3859" i="5" a="1"/>
  <c r="L3859" i="5" s="1"/>
  <c r="L3860" i="5" a="1"/>
  <c r="L3860" i="5" s="1"/>
  <c r="L2143" i="5" a="1"/>
  <c r="L2143" i="5"/>
  <c r="L2144" i="5" a="1"/>
  <c r="L2144" i="5" s="1"/>
  <c r="L2145" i="5" a="1"/>
  <c r="L2145" i="5" s="1"/>
  <c r="L2146" i="5" a="1"/>
  <c r="L2146" i="5" s="1"/>
  <c r="L2147" i="5" a="1"/>
  <c r="L2147" i="5" s="1"/>
  <c r="L2148" i="5" a="1"/>
  <c r="L2148" i="5" s="1"/>
  <c r="L2149" i="5" a="1"/>
  <c r="L2149" i="5" s="1"/>
  <c r="L2772" i="5" a="1"/>
  <c r="L2772" i="5" s="1"/>
  <c r="L2773" i="5" a="1"/>
  <c r="L2773" i="5" s="1"/>
  <c r="L2774" i="5" a="1"/>
  <c r="L2774" i="5" s="1"/>
  <c r="L77" i="5" a="1"/>
  <c r="L77" i="5"/>
  <c r="L2314" i="5" a="1"/>
  <c r="L2314" i="5" s="1"/>
  <c r="L331" i="5" a="1"/>
  <c r="L331" i="5" s="1"/>
  <c r="L2315" i="5" a="1"/>
  <c r="L2315" i="5" s="1"/>
  <c r="L332" i="5" a="1"/>
  <c r="L332" i="5" s="1"/>
  <c r="L2316" i="5" a="1"/>
  <c r="L2316" i="5" s="1"/>
  <c r="L2317" i="5" a="1"/>
  <c r="L2317" i="5" s="1"/>
  <c r="L333" i="5" a="1"/>
  <c r="L333" i="5" s="1"/>
  <c r="L2318" i="5" a="1"/>
  <c r="L2318" i="5" s="1"/>
  <c r="L2319" i="5" a="1"/>
  <c r="L2319" i="5" s="1"/>
  <c r="L3071" i="5" a="1"/>
  <c r="L3071" i="5" s="1"/>
  <c r="L2494" i="5" a="1"/>
  <c r="L2494" i="5" s="1"/>
  <c r="L2495" i="5" a="1"/>
  <c r="L2495" i="5" s="1"/>
  <c r="L2496" i="5" a="1"/>
  <c r="L2496" i="5" s="1"/>
  <c r="L2497" i="5" a="1"/>
  <c r="L2497" i="5"/>
  <c r="L3456" i="5" a="1"/>
  <c r="L3456" i="5" s="1"/>
  <c r="L2498" i="5" a="1"/>
  <c r="L2498" i="5" s="1"/>
  <c r="L717" i="5" a="1"/>
  <c r="L717" i="5" s="1"/>
  <c r="L2499" i="5" a="1"/>
  <c r="L2499" i="5" s="1"/>
  <c r="L3457" i="5" a="1"/>
  <c r="L3457" i="5" s="1"/>
  <c r="L718" i="5" a="1"/>
  <c r="L718" i="5"/>
  <c r="L3458" i="5" a="1"/>
  <c r="L3458" i="5" s="1"/>
  <c r="L3459" i="5" a="1"/>
  <c r="L3459" i="5" s="1"/>
  <c r="L3460" i="5" a="1"/>
  <c r="L3460" i="5" s="1"/>
  <c r="L3861" i="5" a="1"/>
  <c r="L3861" i="5" s="1"/>
  <c r="L2643" i="5" a="1"/>
  <c r="L2643" i="5" s="1"/>
  <c r="L1049" i="5" a="1"/>
  <c r="L1049" i="5" s="1"/>
  <c r="L2644" i="5" a="1"/>
  <c r="L2644" i="5" s="1"/>
  <c r="L2645" i="5" a="1"/>
  <c r="L2645" i="5" s="1"/>
  <c r="L1050" i="5" a="1"/>
  <c r="L1050" i="5" s="1"/>
  <c r="L1051" i="5" a="1"/>
  <c r="L1051" i="5" s="1"/>
  <c r="L1052" i="5" a="1"/>
  <c r="L1052" i="5" s="1"/>
  <c r="L1053" i="5" a="1"/>
  <c r="L1053" i="5" s="1"/>
  <c r="L3862" i="5" a="1"/>
  <c r="L3862" i="5" s="1"/>
  <c r="L3863" i="5" a="1"/>
  <c r="L3863" i="5" s="1"/>
  <c r="L3864" i="5" a="1"/>
  <c r="L3864" i="5" s="1"/>
  <c r="L1054" i="5" a="1"/>
  <c r="L1054" i="5" s="1"/>
  <c r="L1055" i="5" a="1"/>
  <c r="L1055" i="5"/>
  <c r="L719" i="5" a="1"/>
  <c r="L719" i="5" s="1"/>
  <c r="L720" i="5" a="1"/>
  <c r="L720" i="5" s="1"/>
  <c r="L1750" i="5" a="1"/>
  <c r="L1750" i="5" s="1"/>
  <c r="L721" i="5" a="1"/>
  <c r="L721" i="5" s="1"/>
  <c r="L722" i="5" a="1"/>
  <c r="L722" i="5" s="1"/>
  <c r="L3461" i="5" a="1"/>
  <c r="L3461" i="5" s="1"/>
  <c r="L723" i="5" a="1"/>
  <c r="L723" i="5" s="1"/>
  <c r="L724" i="5" a="1"/>
  <c r="L724" i="5" s="1"/>
  <c r="L1751" i="5" a="1"/>
  <c r="L1751" i="5" s="1"/>
  <c r="L725" i="5" a="1"/>
  <c r="L725" i="5" s="1"/>
  <c r="L1752" i="5" a="1"/>
  <c r="L1752" i="5" s="1"/>
  <c r="L1753" i="5" a="1"/>
  <c r="L1753" i="5" s="1"/>
  <c r="L726" i="5" a="1"/>
  <c r="L726" i="5" s="1"/>
  <c r="L3462" i="5" a="1"/>
  <c r="L3462" i="5" s="1"/>
  <c r="L3463" i="5" a="1"/>
  <c r="L3463" i="5" s="1"/>
  <c r="L727" i="5" a="1"/>
  <c r="L727" i="5" s="1"/>
  <c r="L3464" i="5" a="1"/>
  <c r="L3464" i="5" s="1"/>
  <c r="L3465" i="5" a="1"/>
  <c r="L3465" i="5"/>
  <c r="L3466" i="5" a="1"/>
  <c r="L3466" i="5" s="1"/>
  <c r="L728" i="5" a="1"/>
  <c r="L728" i="5" s="1"/>
  <c r="L729" i="5" a="1"/>
  <c r="L729" i="5" s="1"/>
  <c r="L730" i="5" a="1"/>
  <c r="L730" i="5" s="1"/>
  <c r="L2150" i="5" a="1"/>
  <c r="L2150" i="5" s="1"/>
  <c r="L3865" i="5" a="1"/>
  <c r="L3865" i="5" s="1"/>
  <c r="L3866" i="5" a="1"/>
  <c r="L3866" i="5" s="1"/>
  <c r="L2151" i="5" a="1"/>
  <c r="L2151" i="5" s="1"/>
  <c r="L3867" i="5" a="1"/>
  <c r="L3867" i="5" s="1"/>
  <c r="L1056" i="5" a="1"/>
  <c r="L1056" i="5" s="1"/>
  <c r="L1057" i="5" a="1"/>
  <c r="L1057" i="5" s="1"/>
  <c r="L2152" i="5" a="1"/>
  <c r="L2152" i="5" s="1"/>
  <c r="L3868" i="5" a="1"/>
  <c r="L3868" i="5" s="1"/>
  <c r="L1058" i="5" a="1"/>
  <c r="L1058" i="5" s="1"/>
  <c r="L2153" i="5" a="1"/>
  <c r="L2153" i="5" s="1"/>
  <c r="L3869" i="5" a="1"/>
  <c r="L3869" i="5" s="1"/>
  <c r="L2154" i="5" a="1"/>
  <c r="L2154" i="5" s="1"/>
  <c r="L3870" i="5" a="1"/>
  <c r="L3870" i="5"/>
  <c r="L731" i="5" a="1"/>
  <c r="L731" i="5" s="1"/>
  <c r="L3467" i="5" a="1"/>
  <c r="L3467" i="5" s="1"/>
  <c r="L732" i="5" a="1"/>
  <c r="L732" i="5" s="1"/>
  <c r="L1754" i="5" a="1"/>
  <c r="L1754" i="5" s="1"/>
  <c r="L3468" i="5" a="1"/>
  <c r="L3468" i="5" s="1"/>
  <c r="L733" i="5" a="1"/>
  <c r="L733" i="5" s="1"/>
  <c r="L3469" i="5" a="1"/>
  <c r="L3469" i="5" s="1"/>
  <c r="L3470" i="5" a="1"/>
  <c r="L3470" i="5" s="1"/>
  <c r="L3471" i="5" a="1"/>
  <c r="L3471" i="5" s="1"/>
  <c r="L3871" i="5" a="1"/>
  <c r="L3871" i="5" s="1"/>
  <c r="H1144" i="5"/>
  <c r="I1144" i="5"/>
  <c r="H79" i="5"/>
  <c r="I79" i="5"/>
  <c r="H1145" i="5"/>
  <c r="I1145" i="5"/>
  <c r="H1146" i="5"/>
  <c r="I1146" i="5"/>
  <c r="H2775" i="5"/>
  <c r="I2775" i="5"/>
  <c r="H2776" i="5"/>
  <c r="I2776" i="5"/>
  <c r="H2777" i="5"/>
  <c r="I2777" i="5"/>
  <c r="H80" i="5"/>
  <c r="I80" i="5"/>
  <c r="H1147" i="5"/>
  <c r="I1147" i="5"/>
  <c r="H81" i="5"/>
  <c r="I81" i="5"/>
  <c r="H82" i="5"/>
  <c r="I82" i="5"/>
  <c r="H2778" i="5"/>
  <c r="I2778" i="5"/>
  <c r="H1148" i="5"/>
  <c r="I1148" i="5"/>
  <c r="H83" i="5"/>
  <c r="I83" i="5"/>
  <c r="H84" i="5"/>
  <c r="I84" i="5"/>
  <c r="H85" i="5"/>
  <c r="I85" i="5"/>
  <c r="H86" i="5"/>
  <c r="I86" i="5"/>
  <c r="H87" i="5"/>
  <c r="I87" i="5"/>
  <c r="H88" i="5"/>
  <c r="I88" i="5"/>
  <c r="H1149" i="5"/>
  <c r="I1149" i="5"/>
  <c r="H89" i="5"/>
  <c r="I89" i="5"/>
  <c r="H2779" i="5"/>
  <c r="I2779" i="5"/>
  <c r="H2780" i="5"/>
  <c r="I2780" i="5"/>
  <c r="H2781" i="5"/>
  <c r="I2781" i="5"/>
  <c r="H1150" i="5"/>
  <c r="I1150" i="5"/>
  <c r="H1151" i="5"/>
  <c r="I1151" i="5"/>
  <c r="H90" i="5"/>
  <c r="I90" i="5"/>
  <c r="H2782" i="5"/>
  <c r="I2782" i="5"/>
  <c r="H1152" i="5"/>
  <c r="I1152" i="5"/>
  <c r="H91" i="5"/>
  <c r="I91" i="5"/>
  <c r="H1153" i="5"/>
  <c r="I1153" i="5"/>
  <c r="H2783" i="5"/>
  <c r="I2783" i="5"/>
  <c r="H92" i="5"/>
  <c r="I92" i="5"/>
  <c r="H2784" i="5"/>
  <c r="I2784" i="5"/>
  <c r="H2785" i="5"/>
  <c r="I2785" i="5"/>
  <c r="H93" i="5"/>
  <c r="I93" i="5"/>
  <c r="H94" i="5"/>
  <c r="I94" i="5"/>
  <c r="H1154" i="5"/>
  <c r="I1154" i="5"/>
  <c r="H1155" i="5"/>
  <c r="I1155" i="5"/>
  <c r="H1156" i="5"/>
  <c r="I1156" i="5"/>
  <c r="H2786" i="5"/>
  <c r="I2786" i="5"/>
  <c r="H2787" i="5"/>
  <c r="I2787" i="5"/>
  <c r="H95" i="5"/>
  <c r="I95" i="5"/>
  <c r="H96" i="5"/>
  <c r="I96" i="5"/>
  <c r="H97" i="5"/>
  <c r="I97" i="5"/>
  <c r="H2788" i="5"/>
  <c r="I2788" i="5"/>
  <c r="H98" i="5"/>
  <c r="I98" i="5"/>
  <c r="H2789" i="5"/>
  <c r="I2789" i="5"/>
  <c r="H2790" i="5"/>
  <c r="I2790" i="5"/>
  <c r="H1157" i="5"/>
  <c r="I1157" i="5"/>
  <c r="H2791" i="5"/>
  <c r="I2791" i="5"/>
  <c r="H99" i="5"/>
  <c r="I99" i="5"/>
  <c r="H1158" i="5"/>
  <c r="I1158" i="5"/>
  <c r="H1159" i="5"/>
  <c r="I1159" i="5"/>
  <c r="H1160" i="5"/>
  <c r="I1160" i="5"/>
  <c r="H1161" i="5"/>
  <c r="I1161" i="5"/>
  <c r="H100" i="5"/>
  <c r="I100" i="5"/>
  <c r="H2792" i="5"/>
  <c r="I2792" i="5"/>
  <c r="H3072" i="5"/>
  <c r="I3072" i="5"/>
  <c r="H1355" i="5"/>
  <c r="I1355" i="5"/>
  <c r="H1356" i="5"/>
  <c r="I1356" i="5"/>
  <c r="H3073" i="5"/>
  <c r="I3073" i="5"/>
  <c r="H1357" i="5"/>
  <c r="I1357" i="5"/>
  <c r="H1358" i="5"/>
  <c r="I1358" i="5"/>
  <c r="H1359" i="5"/>
  <c r="I1359" i="5"/>
  <c r="H1360" i="5"/>
  <c r="I1360" i="5"/>
  <c r="H1361" i="5"/>
  <c r="I1361" i="5"/>
  <c r="H1362" i="5"/>
  <c r="I1362" i="5"/>
  <c r="H1363" i="5"/>
  <c r="I1363" i="5"/>
  <c r="H101" i="5"/>
  <c r="I101" i="5"/>
  <c r="H102" i="5"/>
  <c r="I102" i="5"/>
  <c r="H2793" i="5"/>
  <c r="I2793" i="5"/>
  <c r="H1162" i="5"/>
  <c r="I1162" i="5"/>
  <c r="H2198" i="5"/>
  <c r="I2198" i="5"/>
  <c r="H1163" i="5"/>
  <c r="I1163" i="5"/>
  <c r="H2794" i="5"/>
  <c r="I2794" i="5"/>
  <c r="H103" i="5"/>
  <c r="I103" i="5"/>
  <c r="H2199" i="5"/>
  <c r="I2199" i="5"/>
  <c r="H2795" i="5"/>
  <c r="I2795" i="5"/>
  <c r="H3074" i="5"/>
  <c r="I3074" i="5"/>
  <c r="H334" i="5"/>
  <c r="I334" i="5"/>
  <c r="H1364" i="5"/>
  <c r="I1364" i="5"/>
  <c r="H1365" i="5"/>
  <c r="I1365" i="5"/>
  <c r="H335" i="5"/>
  <c r="I335" i="5"/>
  <c r="H336" i="5"/>
  <c r="I336" i="5"/>
  <c r="H337" i="5"/>
  <c r="I337" i="5"/>
  <c r="H338" i="5"/>
  <c r="I338" i="5"/>
  <c r="H339" i="5"/>
  <c r="I339" i="5"/>
  <c r="H3075" i="5"/>
  <c r="I3075" i="5"/>
  <c r="H340" i="5"/>
  <c r="I340" i="5"/>
  <c r="H341" i="5"/>
  <c r="I341" i="5"/>
  <c r="H342" i="5"/>
  <c r="I342" i="5"/>
  <c r="H3076" i="5"/>
  <c r="I3076" i="5"/>
  <c r="H1366" i="5"/>
  <c r="I1366" i="5"/>
  <c r="H3077" i="5"/>
  <c r="I3077" i="5"/>
  <c r="H343" i="5"/>
  <c r="I343" i="5"/>
  <c r="H344" i="5"/>
  <c r="I344" i="5"/>
  <c r="H2320" i="5"/>
  <c r="I2320" i="5"/>
  <c r="H2321" i="5"/>
  <c r="I2321" i="5"/>
  <c r="H2322" i="5"/>
  <c r="I2322" i="5"/>
  <c r="H1367" i="5"/>
  <c r="I1367" i="5"/>
  <c r="H2323" i="5"/>
  <c r="I2323" i="5"/>
  <c r="H1368" i="5"/>
  <c r="I1368" i="5"/>
  <c r="H2324" i="5"/>
  <c r="I2324" i="5"/>
  <c r="H2325" i="5"/>
  <c r="I2325" i="5"/>
  <c r="H1369" i="5"/>
  <c r="I1369" i="5"/>
  <c r="H1755" i="5"/>
  <c r="I1755" i="5"/>
  <c r="H1756" i="5"/>
  <c r="I1756" i="5"/>
  <c r="H2500" i="5"/>
  <c r="I2500" i="5"/>
  <c r="H3472" i="5"/>
  <c r="I3472" i="5"/>
  <c r="H2200" i="5"/>
  <c r="I2200" i="5"/>
  <c r="H2796" i="5"/>
  <c r="I2796" i="5"/>
  <c r="H1164" i="5"/>
  <c r="I1164" i="5"/>
  <c r="H1165" i="5"/>
  <c r="I1165" i="5"/>
  <c r="H2797" i="5"/>
  <c r="I2797" i="5"/>
  <c r="H2201" i="5"/>
  <c r="I2201" i="5"/>
  <c r="H2798" i="5"/>
  <c r="I2798" i="5"/>
  <c r="H2799" i="5"/>
  <c r="I2799" i="5"/>
  <c r="H1166" i="5"/>
  <c r="I1166" i="5"/>
  <c r="H2202" i="5"/>
  <c r="I2202" i="5"/>
  <c r="H2800" i="5"/>
  <c r="I2800" i="5"/>
  <c r="H2203" i="5"/>
  <c r="I2203" i="5"/>
  <c r="H1167" i="5"/>
  <c r="I1167" i="5"/>
  <c r="H2204" i="5"/>
  <c r="I2204" i="5"/>
  <c r="H2205" i="5"/>
  <c r="I2205" i="5"/>
  <c r="H2801" i="5"/>
  <c r="I2801" i="5"/>
  <c r="H2206" i="5"/>
  <c r="I2206" i="5"/>
  <c r="H2802" i="5"/>
  <c r="I2802" i="5"/>
  <c r="H2803" i="5"/>
  <c r="I2803" i="5"/>
  <c r="H2804" i="5"/>
  <c r="I2804" i="5"/>
  <c r="H1168" i="5"/>
  <c r="I1168" i="5"/>
  <c r="H1169" i="5"/>
  <c r="I1169" i="5"/>
  <c r="H2207" i="5"/>
  <c r="I2207" i="5"/>
  <c r="H2208" i="5"/>
  <c r="I2208" i="5"/>
  <c r="H2209" i="5"/>
  <c r="I2209" i="5"/>
  <c r="H1170" i="5"/>
  <c r="I1170" i="5"/>
  <c r="H3078" i="5"/>
  <c r="I3078" i="5"/>
  <c r="H3079" i="5"/>
  <c r="I3079" i="5"/>
  <c r="H1757" i="5"/>
  <c r="I1757" i="5"/>
  <c r="H3473" i="5"/>
  <c r="I3473" i="5"/>
  <c r="H1758" i="5"/>
  <c r="I1758" i="5"/>
  <c r="H1759" i="5"/>
  <c r="I1759" i="5"/>
  <c r="H3474" i="5"/>
  <c r="I3474" i="5"/>
  <c r="H1760" i="5"/>
  <c r="I1760" i="5"/>
  <c r="H3475" i="5"/>
  <c r="I3475" i="5"/>
  <c r="H3476" i="5"/>
  <c r="I3476" i="5"/>
  <c r="H3477" i="5"/>
  <c r="I3477" i="5"/>
  <c r="H3478" i="5"/>
  <c r="I3478" i="5"/>
  <c r="H1761" i="5"/>
  <c r="I1761" i="5"/>
  <c r="H3479" i="5"/>
  <c r="I3479" i="5"/>
  <c r="H1762" i="5"/>
  <c r="I1762" i="5"/>
  <c r="H3480" i="5"/>
  <c r="I3480" i="5"/>
  <c r="H1763" i="5"/>
  <c r="I1763" i="5"/>
  <c r="H1059" i="5"/>
  <c r="I1059" i="5"/>
  <c r="H2646" i="5"/>
  <c r="I2646" i="5"/>
  <c r="H1060" i="5"/>
  <c r="I1060" i="5"/>
  <c r="H2647" i="5"/>
  <c r="I2647" i="5"/>
  <c r="H2648" i="5"/>
  <c r="I2648" i="5"/>
  <c r="H2" i="5"/>
  <c r="I2" i="5"/>
  <c r="H3" i="5"/>
  <c r="I3" i="5"/>
  <c r="H4" i="5"/>
  <c r="I4" i="5"/>
  <c r="H5" i="5"/>
  <c r="I5" i="5"/>
  <c r="H1061" i="5"/>
  <c r="I1061" i="5"/>
  <c r="H1062" i="5"/>
  <c r="I1062" i="5"/>
  <c r="H2649" i="5"/>
  <c r="I2649" i="5"/>
  <c r="H104" i="5"/>
  <c r="I104" i="5"/>
  <c r="H2805" i="5"/>
  <c r="I2805" i="5"/>
  <c r="H1171" i="5"/>
  <c r="I1171" i="5"/>
  <c r="H105" i="5"/>
  <c r="I105" i="5"/>
  <c r="H2806" i="5"/>
  <c r="I2806" i="5"/>
  <c r="H1172" i="5"/>
  <c r="I1172" i="5"/>
  <c r="H106" i="5"/>
  <c r="I106" i="5"/>
  <c r="H107" i="5"/>
  <c r="I107" i="5"/>
  <c r="H2807" i="5"/>
  <c r="I2807" i="5"/>
  <c r="H2808" i="5"/>
  <c r="I2808" i="5"/>
  <c r="H108" i="5"/>
  <c r="I108" i="5"/>
  <c r="H2809" i="5"/>
  <c r="I2809" i="5"/>
  <c r="H2810" i="5"/>
  <c r="I2810" i="5"/>
  <c r="H2811" i="5"/>
  <c r="I2811" i="5"/>
  <c r="H2812" i="5"/>
  <c r="I2812" i="5"/>
  <c r="H1173" i="5"/>
  <c r="I1173" i="5"/>
  <c r="H109" i="5"/>
  <c r="I109" i="5"/>
  <c r="H1174" i="5"/>
  <c r="I1174" i="5"/>
  <c r="H2813" i="5"/>
  <c r="I2813" i="5"/>
  <c r="H1175" i="5"/>
  <c r="I1175" i="5"/>
  <c r="H2814" i="5"/>
  <c r="I2814" i="5"/>
  <c r="H1176" i="5"/>
  <c r="I1176" i="5"/>
  <c r="H2815" i="5"/>
  <c r="I2815" i="5"/>
  <c r="H2816" i="5"/>
  <c r="I2816" i="5"/>
  <c r="H110" i="5"/>
  <c r="I110" i="5"/>
  <c r="H1177" i="5"/>
  <c r="I1177" i="5"/>
  <c r="H111" i="5"/>
  <c r="I111" i="5"/>
  <c r="H2817" i="5"/>
  <c r="I2817" i="5"/>
  <c r="H1178" i="5"/>
  <c r="I1178" i="5"/>
  <c r="H345" i="5"/>
  <c r="I345" i="5"/>
  <c r="H346" i="5"/>
  <c r="I346" i="5"/>
  <c r="H347" i="5"/>
  <c r="I347" i="5"/>
  <c r="H1370" i="5"/>
  <c r="I1370" i="5"/>
  <c r="H348" i="5"/>
  <c r="I348" i="5"/>
  <c r="H3080" i="5"/>
  <c r="I3080" i="5"/>
  <c r="H3081" i="5"/>
  <c r="I3081" i="5"/>
  <c r="H3082" i="5"/>
  <c r="I3082" i="5"/>
  <c r="H3083" i="5"/>
  <c r="I3083" i="5"/>
  <c r="H349" i="5"/>
  <c r="I349" i="5"/>
  <c r="H1371" i="5"/>
  <c r="I1371" i="5"/>
  <c r="H350" i="5"/>
  <c r="I350" i="5"/>
  <c r="H351" i="5"/>
  <c r="I351" i="5"/>
  <c r="H352" i="5"/>
  <c r="I352" i="5"/>
  <c r="H1372" i="5"/>
  <c r="I1372" i="5"/>
  <c r="H3084" i="5"/>
  <c r="I3084" i="5"/>
  <c r="H353" i="5"/>
  <c r="I353" i="5"/>
  <c r="H3085" i="5"/>
  <c r="I3085" i="5"/>
  <c r="H1373" i="5"/>
  <c r="I1373" i="5"/>
  <c r="H3481" i="5"/>
  <c r="I3481" i="5"/>
  <c r="H3482" i="5"/>
  <c r="I3482" i="5"/>
  <c r="H1764" i="5"/>
  <c r="I1764" i="5"/>
  <c r="H1765" i="5"/>
  <c r="I1765" i="5"/>
  <c r="H1063" i="5"/>
  <c r="I1063" i="5"/>
  <c r="H2650" i="5"/>
  <c r="I2650" i="5"/>
  <c r="H1064" i="5"/>
  <c r="I1064" i="5"/>
  <c r="H1065" i="5"/>
  <c r="I1065" i="5"/>
  <c r="H2651" i="5"/>
  <c r="I2651" i="5"/>
  <c r="H2652" i="5"/>
  <c r="I2652" i="5"/>
  <c r="H2653" i="5"/>
  <c r="I2653" i="5"/>
  <c r="H2654" i="5"/>
  <c r="I2654" i="5"/>
  <c r="H1066" i="5"/>
  <c r="I1066" i="5"/>
  <c r="H1067" i="5"/>
  <c r="I1067" i="5"/>
  <c r="H1068" i="5"/>
  <c r="I1068" i="5"/>
  <c r="H1069" i="5"/>
  <c r="I1069" i="5"/>
  <c r="H2655" i="5"/>
  <c r="I2655" i="5"/>
  <c r="H2656" i="5"/>
  <c r="I2656" i="5"/>
  <c r="H1070" i="5"/>
  <c r="I1070" i="5"/>
  <c r="H6" i="5"/>
  <c r="I6" i="5"/>
  <c r="H1071" i="5"/>
  <c r="I1071" i="5"/>
  <c r="H7" i="5"/>
  <c r="I7" i="5"/>
  <c r="H8" i="5"/>
  <c r="I8" i="5"/>
  <c r="H1072" i="5"/>
  <c r="I1072" i="5"/>
  <c r="H2657" i="5"/>
  <c r="I2657" i="5"/>
  <c r="H2658" i="5"/>
  <c r="I2658" i="5"/>
  <c r="H2659" i="5"/>
  <c r="I2659" i="5"/>
  <c r="H1073" i="5"/>
  <c r="I1073" i="5"/>
  <c r="H2660" i="5"/>
  <c r="I2660" i="5"/>
  <c r="H2818" i="5"/>
  <c r="I2818" i="5"/>
  <c r="H2819" i="5"/>
  <c r="I2819" i="5"/>
  <c r="H1179" i="5"/>
  <c r="I1179" i="5"/>
  <c r="H2820" i="5"/>
  <c r="I2820" i="5"/>
  <c r="H2821" i="5"/>
  <c r="I2821" i="5"/>
  <c r="H112" i="5"/>
  <c r="I112" i="5"/>
  <c r="H2822" i="5"/>
  <c r="I2822" i="5"/>
  <c r="H2823" i="5"/>
  <c r="I2823" i="5"/>
  <c r="H1180" i="5"/>
  <c r="I1180" i="5"/>
  <c r="H1181" i="5"/>
  <c r="I1181" i="5"/>
  <c r="H113" i="5"/>
  <c r="I113" i="5"/>
  <c r="H114" i="5"/>
  <c r="I114" i="5"/>
  <c r="H115" i="5"/>
  <c r="I115" i="5"/>
  <c r="H1182" i="5"/>
  <c r="I1182" i="5"/>
  <c r="H116" i="5"/>
  <c r="I116" i="5"/>
  <c r="H1183" i="5"/>
  <c r="I1183" i="5"/>
  <c r="H1184" i="5"/>
  <c r="I1184" i="5"/>
  <c r="H117" i="5"/>
  <c r="I117" i="5"/>
  <c r="H1374" i="5"/>
  <c r="I1374" i="5"/>
  <c r="H354" i="5"/>
  <c r="I354" i="5"/>
  <c r="H355" i="5"/>
  <c r="I355" i="5"/>
  <c r="H3086" i="5"/>
  <c r="I3086" i="5"/>
  <c r="H1375" i="5"/>
  <c r="I1375" i="5"/>
  <c r="H356" i="5"/>
  <c r="I356" i="5"/>
  <c r="H3087" i="5"/>
  <c r="I3087" i="5"/>
  <c r="H3088" i="5"/>
  <c r="I3088" i="5"/>
  <c r="H1766" i="5"/>
  <c r="I1766" i="5"/>
  <c r="H1767" i="5"/>
  <c r="I1767" i="5"/>
  <c r="H1768" i="5"/>
  <c r="I1768" i="5"/>
  <c r="H734" i="5"/>
  <c r="I734" i="5"/>
  <c r="H735" i="5"/>
  <c r="I735" i="5"/>
  <c r="H736" i="5"/>
  <c r="I736" i="5"/>
  <c r="H737" i="5"/>
  <c r="I737" i="5"/>
  <c r="H738" i="5"/>
  <c r="I738" i="5"/>
  <c r="H739" i="5"/>
  <c r="I739" i="5"/>
  <c r="H2155" i="5"/>
  <c r="I2155" i="5"/>
  <c r="H2661" i="5"/>
  <c r="I2661" i="5"/>
  <c r="H2662" i="5"/>
  <c r="I2662" i="5"/>
  <c r="H2663" i="5"/>
  <c r="I2663" i="5"/>
  <c r="H2156" i="5"/>
  <c r="I2156" i="5"/>
  <c r="H1074" i="5"/>
  <c r="I1074" i="5"/>
  <c r="H1075" i="5"/>
  <c r="I1075" i="5"/>
  <c r="H2664" i="5"/>
  <c r="I2664" i="5"/>
  <c r="H1076" i="5"/>
  <c r="I1076" i="5"/>
  <c r="H2665" i="5"/>
  <c r="I2665" i="5"/>
  <c r="H2157" i="5"/>
  <c r="I2157" i="5"/>
  <c r="H2158" i="5"/>
  <c r="I2158" i="5"/>
  <c r="H2666" i="5"/>
  <c r="I2666" i="5"/>
  <c r="H2159" i="5"/>
  <c r="I2159" i="5"/>
  <c r="H9" i="5"/>
  <c r="I9" i="5"/>
  <c r="H2210" i="5"/>
  <c r="I2210" i="5"/>
  <c r="H2824" i="5"/>
  <c r="I2824" i="5"/>
  <c r="H2825" i="5"/>
  <c r="I2825" i="5"/>
  <c r="H2211" i="5"/>
  <c r="I2211" i="5"/>
  <c r="H2212" i="5"/>
  <c r="I2212" i="5"/>
  <c r="H2826" i="5"/>
  <c r="I2826" i="5"/>
  <c r="H2827" i="5"/>
  <c r="I2827" i="5"/>
  <c r="H2213" i="5"/>
  <c r="I2213" i="5"/>
  <c r="H1185" i="5"/>
  <c r="I1185" i="5"/>
  <c r="H118" i="5"/>
  <c r="I118" i="5"/>
  <c r="H2828" i="5"/>
  <c r="I2828" i="5"/>
  <c r="H119" i="5"/>
  <c r="I119" i="5"/>
  <c r="H1186" i="5"/>
  <c r="I1186" i="5"/>
  <c r="H2829" i="5"/>
  <c r="I2829" i="5"/>
  <c r="H120" i="5"/>
  <c r="I120" i="5"/>
  <c r="H2830" i="5"/>
  <c r="I2830" i="5"/>
  <c r="H2214" i="5"/>
  <c r="I2214" i="5"/>
  <c r="H357" i="5"/>
  <c r="I357" i="5"/>
  <c r="H1376" i="5"/>
  <c r="I1376" i="5"/>
  <c r="H1377" i="5"/>
  <c r="I1377" i="5"/>
  <c r="H1378" i="5"/>
  <c r="I1378" i="5"/>
  <c r="H3089" i="5"/>
  <c r="I3089" i="5"/>
  <c r="H1769" i="5"/>
  <c r="I1769" i="5"/>
  <c r="H1770" i="5"/>
  <c r="I1770" i="5"/>
  <c r="H740" i="5"/>
  <c r="I740" i="5"/>
  <c r="H2667" i="5"/>
  <c r="I2667" i="5"/>
  <c r="H1077" i="5"/>
  <c r="I1077" i="5"/>
  <c r="H10" i="5"/>
  <c r="I10" i="5"/>
  <c r="H1078" i="5"/>
  <c r="I1078" i="5"/>
  <c r="H1187" i="5"/>
  <c r="I1187" i="5"/>
  <c r="H1188" i="5"/>
  <c r="I1188" i="5"/>
  <c r="H1189" i="5"/>
  <c r="I1189" i="5"/>
  <c r="H1190" i="5"/>
  <c r="I1190" i="5"/>
  <c r="H121" i="5"/>
  <c r="I121" i="5"/>
  <c r="H2831" i="5"/>
  <c r="I2831" i="5"/>
  <c r="H122" i="5"/>
  <c r="I122" i="5"/>
  <c r="H123" i="5"/>
  <c r="I123" i="5"/>
  <c r="H2832" i="5"/>
  <c r="I2832" i="5"/>
  <c r="H124" i="5"/>
  <c r="I124" i="5"/>
  <c r="H2833" i="5"/>
  <c r="I2833" i="5"/>
  <c r="H125" i="5"/>
  <c r="I125" i="5"/>
  <c r="H1191" i="5"/>
  <c r="I1191" i="5"/>
  <c r="H126" i="5"/>
  <c r="I126" i="5"/>
  <c r="H1192" i="5"/>
  <c r="I1192" i="5"/>
  <c r="H2834" i="5"/>
  <c r="I2834" i="5"/>
  <c r="H1193" i="5"/>
  <c r="I1193" i="5"/>
  <c r="H358" i="5"/>
  <c r="I358" i="5"/>
  <c r="H359" i="5"/>
  <c r="I359" i="5"/>
  <c r="H3090" i="5"/>
  <c r="I3090" i="5"/>
  <c r="H1379" i="5"/>
  <c r="I1379" i="5"/>
  <c r="H1380" i="5"/>
  <c r="I1380" i="5"/>
  <c r="H3091" i="5"/>
  <c r="I3091" i="5"/>
  <c r="H360" i="5"/>
  <c r="I360" i="5"/>
  <c r="H1381" i="5"/>
  <c r="I1381" i="5"/>
  <c r="H1382" i="5"/>
  <c r="I1382" i="5"/>
  <c r="H1383" i="5"/>
  <c r="I1383" i="5"/>
  <c r="H361" i="5"/>
  <c r="I361" i="5"/>
  <c r="H3092" i="5"/>
  <c r="I3092" i="5"/>
  <c r="H3093" i="5"/>
  <c r="I3093" i="5"/>
  <c r="H1771" i="5"/>
  <c r="I1771" i="5"/>
  <c r="H741" i="5"/>
  <c r="I741" i="5"/>
  <c r="H742" i="5"/>
  <c r="I742" i="5"/>
  <c r="H743" i="5"/>
  <c r="I743" i="5"/>
  <c r="H744" i="5"/>
  <c r="I744" i="5"/>
  <c r="H745" i="5"/>
  <c r="I745" i="5"/>
  <c r="H3483" i="5"/>
  <c r="I3483" i="5"/>
  <c r="H3484" i="5"/>
  <c r="I3484" i="5"/>
  <c r="H1772" i="5"/>
  <c r="I1772" i="5"/>
  <c r="H746" i="5"/>
  <c r="I746" i="5"/>
  <c r="H1773" i="5"/>
  <c r="I1773" i="5"/>
  <c r="H747" i="5"/>
  <c r="I747" i="5"/>
  <c r="H1774" i="5"/>
  <c r="I1774" i="5"/>
  <c r="H3094" i="5"/>
  <c r="I3094" i="5"/>
  <c r="H362" i="5"/>
  <c r="I362" i="5"/>
  <c r="H363" i="5"/>
  <c r="I363" i="5"/>
  <c r="H364" i="5"/>
  <c r="I364" i="5"/>
  <c r="H365" i="5"/>
  <c r="I365" i="5"/>
  <c r="H366" i="5"/>
  <c r="I366" i="5"/>
  <c r="H1384" i="5"/>
  <c r="I1384" i="5"/>
  <c r="H367" i="5"/>
  <c r="I367" i="5"/>
  <c r="H1385" i="5"/>
  <c r="I1385" i="5"/>
  <c r="H1386" i="5"/>
  <c r="I1386" i="5"/>
  <c r="H1387" i="5"/>
  <c r="I1387" i="5"/>
  <c r="H3095" i="5"/>
  <c r="I3095" i="5"/>
  <c r="H368" i="5"/>
  <c r="I368" i="5"/>
  <c r="H3096" i="5"/>
  <c r="I3096" i="5"/>
  <c r="H369" i="5"/>
  <c r="I369" i="5"/>
  <c r="H3097" i="5"/>
  <c r="I3097" i="5"/>
  <c r="H370" i="5"/>
  <c r="I370" i="5"/>
  <c r="H1388" i="5"/>
  <c r="I1388" i="5"/>
  <c r="H3485" i="5"/>
  <c r="I3485" i="5"/>
  <c r="H3486" i="5"/>
  <c r="I3486" i="5"/>
  <c r="H1775" i="5"/>
  <c r="I1775" i="5"/>
  <c r="H3487" i="5"/>
  <c r="I3487" i="5"/>
  <c r="H1776" i="5"/>
  <c r="I1776" i="5"/>
  <c r="H1777" i="5"/>
  <c r="I1777" i="5"/>
  <c r="H3488" i="5"/>
  <c r="I3488" i="5"/>
  <c r="H1778" i="5"/>
  <c r="I1778" i="5"/>
  <c r="H1779" i="5"/>
  <c r="I1779" i="5"/>
  <c r="H1780" i="5"/>
  <c r="I1780" i="5"/>
  <c r="H1781" i="5"/>
  <c r="I1781" i="5"/>
  <c r="H3489" i="5"/>
  <c r="I3489" i="5"/>
  <c r="H1782" i="5"/>
  <c r="I1782" i="5"/>
  <c r="H748" i="5"/>
  <c r="I748" i="5"/>
  <c r="H2501" i="5"/>
  <c r="I2501" i="5"/>
  <c r="H749" i="5"/>
  <c r="I749" i="5"/>
  <c r="H2502" i="5"/>
  <c r="I2502" i="5"/>
  <c r="H2503" i="5"/>
  <c r="I2503" i="5"/>
  <c r="H1079" i="5"/>
  <c r="I1079" i="5"/>
  <c r="H2668" i="5"/>
  <c r="I2668" i="5"/>
  <c r="H2160" i="5"/>
  <c r="I2160" i="5"/>
  <c r="H2669" i="5"/>
  <c r="I2669" i="5"/>
  <c r="H2161" i="5"/>
  <c r="I2161" i="5"/>
  <c r="H2670" i="5"/>
  <c r="I2670" i="5"/>
  <c r="H11" i="5"/>
  <c r="I11" i="5"/>
  <c r="H12" i="5"/>
  <c r="I12" i="5"/>
  <c r="H2162" i="5"/>
  <c r="I2162" i="5"/>
  <c r="H13" i="5"/>
  <c r="I13" i="5"/>
  <c r="H2163" i="5"/>
  <c r="I2163" i="5"/>
  <c r="H14" i="5"/>
  <c r="I14" i="5"/>
  <c r="H1080" i="5"/>
  <c r="I1080" i="5"/>
  <c r="H15" i="5"/>
  <c r="I15" i="5"/>
  <c r="H2671" i="5"/>
  <c r="I2671" i="5"/>
  <c r="H2164" i="5"/>
  <c r="I2164" i="5"/>
  <c r="H16" i="5"/>
  <c r="I16" i="5"/>
  <c r="H2672" i="5"/>
  <c r="I2672" i="5"/>
  <c r="H1081" i="5"/>
  <c r="I1081" i="5"/>
  <c r="H1082" i="5"/>
  <c r="I1082" i="5"/>
  <c r="H2673" i="5"/>
  <c r="I2673" i="5"/>
  <c r="H2165" i="5"/>
  <c r="I2165" i="5"/>
  <c r="H2166" i="5"/>
  <c r="I2166" i="5"/>
  <c r="H17" i="5"/>
  <c r="I17" i="5"/>
  <c r="H1083" i="5"/>
  <c r="I1083" i="5"/>
  <c r="H1084" i="5"/>
  <c r="I1084" i="5"/>
  <c r="H2835" i="5"/>
  <c r="I2835" i="5"/>
  <c r="H1194" i="5"/>
  <c r="I1194" i="5"/>
  <c r="H2836" i="5"/>
  <c r="I2836" i="5"/>
  <c r="H2215" i="5"/>
  <c r="I2215" i="5"/>
  <c r="H127" i="5"/>
  <c r="I127" i="5"/>
  <c r="H1195" i="5"/>
  <c r="I1195" i="5"/>
  <c r="H2216" i="5"/>
  <c r="I2216" i="5"/>
  <c r="H128" i="5"/>
  <c r="I128" i="5"/>
  <c r="H1196" i="5"/>
  <c r="I1196" i="5"/>
  <c r="H129" i="5"/>
  <c r="I129" i="5"/>
  <c r="H1197" i="5"/>
  <c r="I1197" i="5"/>
  <c r="H1198" i="5"/>
  <c r="I1198" i="5"/>
  <c r="H130" i="5"/>
  <c r="I130" i="5"/>
  <c r="H2217" i="5"/>
  <c r="I2217" i="5"/>
  <c r="H2218" i="5"/>
  <c r="I2218" i="5"/>
  <c r="H2837" i="5"/>
  <c r="I2837" i="5"/>
  <c r="H2219" i="5"/>
  <c r="I2219" i="5"/>
  <c r="H1199" i="5"/>
  <c r="I1199" i="5"/>
  <c r="H2220" i="5"/>
  <c r="I2220" i="5"/>
  <c r="H131" i="5"/>
  <c r="I131" i="5"/>
  <c r="H2326" i="5"/>
  <c r="I2326" i="5"/>
  <c r="H371" i="5"/>
  <c r="I371" i="5"/>
  <c r="H3098" i="5"/>
  <c r="I3098" i="5"/>
  <c r="H2327" i="5"/>
  <c r="I2327" i="5"/>
  <c r="H750" i="5"/>
  <c r="I750" i="5"/>
  <c r="H1783" i="5"/>
  <c r="I1783" i="5"/>
  <c r="H3490" i="5"/>
  <c r="I3490" i="5"/>
  <c r="H751" i="5"/>
  <c r="I751" i="5"/>
  <c r="H3491" i="5"/>
  <c r="I3491" i="5"/>
  <c r="H2504" i="5"/>
  <c r="I2504" i="5"/>
  <c r="H752" i="5"/>
  <c r="I752" i="5"/>
  <c r="H1085" i="5"/>
  <c r="I1085" i="5"/>
  <c r="H2674" i="5"/>
  <c r="I2674" i="5"/>
  <c r="H2675" i="5"/>
  <c r="I2675" i="5"/>
  <c r="H1086" i="5"/>
  <c r="I1086" i="5"/>
  <c r="H1087" i="5"/>
  <c r="I1087" i="5"/>
  <c r="H1088" i="5"/>
  <c r="I1088" i="5"/>
  <c r="H1089" i="5"/>
  <c r="I1089" i="5"/>
  <c r="H2676" i="5"/>
  <c r="I2676" i="5"/>
  <c r="H1090" i="5"/>
  <c r="I1090" i="5"/>
  <c r="H18" i="5"/>
  <c r="I18" i="5"/>
  <c r="H19" i="5"/>
  <c r="I19" i="5"/>
  <c r="H20" i="5"/>
  <c r="I20" i="5"/>
  <c r="H1091" i="5"/>
  <c r="I1091" i="5"/>
  <c r="H2677" i="5"/>
  <c r="I2677" i="5"/>
  <c r="H21" i="5"/>
  <c r="I21" i="5"/>
  <c r="H2678" i="5"/>
  <c r="I2678" i="5"/>
  <c r="H2679" i="5"/>
  <c r="I2679" i="5"/>
  <c r="H22" i="5"/>
  <c r="I22" i="5"/>
  <c r="H23" i="5"/>
  <c r="I23" i="5"/>
  <c r="H24" i="5"/>
  <c r="I24" i="5"/>
  <c r="H2680" i="5"/>
  <c r="I2680" i="5"/>
  <c r="H25" i="5"/>
  <c r="I25" i="5"/>
  <c r="H2838" i="5"/>
  <c r="I2838" i="5"/>
  <c r="H2839" i="5"/>
  <c r="I2839" i="5"/>
  <c r="H2840" i="5"/>
  <c r="I2840" i="5"/>
  <c r="H2841" i="5"/>
  <c r="I2841" i="5"/>
  <c r="H2842" i="5"/>
  <c r="I2842" i="5"/>
  <c r="H1200" i="5"/>
  <c r="I1200" i="5"/>
  <c r="H1201" i="5"/>
  <c r="I1201" i="5"/>
  <c r="H2843" i="5"/>
  <c r="I2843" i="5"/>
  <c r="H2844" i="5"/>
  <c r="I2844" i="5"/>
  <c r="H1202" i="5"/>
  <c r="I1202" i="5"/>
  <c r="H2845" i="5"/>
  <c r="I2845" i="5"/>
  <c r="H2846" i="5"/>
  <c r="I2846" i="5"/>
  <c r="H1203" i="5"/>
  <c r="I1203" i="5"/>
  <c r="H1204" i="5"/>
  <c r="I1204" i="5"/>
  <c r="H132" i="5"/>
  <c r="I132" i="5"/>
  <c r="H1205" i="5"/>
  <c r="I1205" i="5"/>
  <c r="H2847" i="5"/>
  <c r="I2847" i="5"/>
  <c r="H133" i="5"/>
  <c r="I133" i="5"/>
  <c r="H2848" i="5"/>
  <c r="I2848" i="5"/>
  <c r="H1206" i="5"/>
  <c r="I1206" i="5"/>
  <c r="H2849" i="5"/>
  <c r="I2849" i="5"/>
  <c r="H1207" i="5"/>
  <c r="I1207" i="5"/>
  <c r="H1208" i="5"/>
  <c r="I1208" i="5"/>
  <c r="H134" i="5"/>
  <c r="I134" i="5"/>
  <c r="H135" i="5"/>
  <c r="I135" i="5"/>
  <c r="H1209" i="5"/>
  <c r="I1209" i="5"/>
  <c r="H1210" i="5"/>
  <c r="I1210" i="5"/>
  <c r="H2850" i="5"/>
  <c r="I2850" i="5"/>
  <c r="H136" i="5"/>
  <c r="I136" i="5"/>
  <c r="H137" i="5"/>
  <c r="I137" i="5"/>
  <c r="H1211" i="5"/>
  <c r="I1211" i="5"/>
  <c r="H2851" i="5"/>
  <c r="I2851" i="5"/>
  <c r="H1212" i="5"/>
  <c r="I1212" i="5"/>
  <c r="H1213" i="5"/>
  <c r="I1213" i="5"/>
  <c r="H1214" i="5"/>
  <c r="I1214" i="5"/>
  <c r="H138" i="5"/>
  <c r="I138" i="5"/>
  <c r="H139" i="5"/>
  <c r="I139" i="5"/>
  <c r="H1215" i="5"/>
  <c r="I1215" i="5"/>
  <c r="H140" i="5"/>
  <c r="I140" i="5"/>
  <c r="H1216" i="5"/>
  <c r="I1216" i="5"/>
  <c r="H2852" i="5"/>
  <c r="I2852" i="5"/>
  <c r="H141" i="5"/>
  <c r="I141" i="5"/>
  <c r="H142" i="5"/>
  <c r="I142" i="5"/>
  <c r="H2853" i="5"/>
  <c r="I2853" i="5"/>
  <c r="H143" i="5"/>
  <c r="I143" i="5"/>
  <c r="H144" i="5"/>
  <c r="I144" i="5"/>
  <c r="H145" i="5"/>
  <c r="I145" i="5"/>
  <c r="H2854" i="5"/>
  <c r="I2854" i="5"/>
  <c r="H2855" i="5"/>
  <c r="I2855" i="5"/>
  <c r="H1217" i="5"/>
  <c r="I1217" i="5"/>
  <c r="H1218" i="5"/>
  <c r="I1218" i="5"/>
  <c r="H146" i="5"/>
  <c r="I146" i="5"/>
  <c r="H2856" i="5"/>
  <c r="I2856" i="5"/>
  <c r="H147" i="5"/>
  <c r="I147" i="5"/>
  <c r="H1219" i="5"/>
  <c r="I1219" i="5"/>
  <c r="H148" i="5"/>
  <c r="I148" i="5"/>
  <c r="H1220" i="5"/>
  <c r="I1220" i="5"/>
  <c r="H2857" i="5"/>
  <c r="I2857" i="5"/>
  <c r="H149" i="5"/>
  <c r="I149" i="5"/>
  <c r="H1221" i="5"/>
  <c r="I1221" i="5"/>
  <c r="H150" i="5"/>
  <c r="I150" i="5"/>
  <c r="H151" i="5"/>
  <c r="I151" i="5"/>
  <c r="H1222" i="5"/>
  <c r="I1222" i="5"/>
  <c r="H1223" i="5"/>
  <c r="I1223" i="5"/>
  <c r="H2858" i="5"/>
  <c r="I2858" i="5"/>
  <c r="H152" i="5"/>
  <c r="I152" i="5"/>
  <c r="H2859" i="5"/>
  <c r="I2859" i="5"/>
  <c r="H153" i="5"/>
  <c r="I153" i="5"/>
  <c r="H154" i="5"/>
  <c r="I154" i="5"/>
  <c r="H372" i="5"/>
  <c r="I372" i="5"/>
  <c r="H1389" i="5"/>
  <c r="I1389" i="5"/>
  <c r="H373" i="5"/>
  <c r="I373" i="5"/>
  <c r="H1784" i="5"/>
  <c r="I1784" i="5"/>
  <c r="H1785" i="5"/>
  <c r="I1785" i="5"/>
  <c r="H3492" i="5"/>
  <c r="I3492" i="5"/>
  <c r="H374" i="5"/>
  <c r="I374" i="5"/>
  <c r="H1390" i="5"/>
  <c r="I1390" i="5"/>
  <c r="H375" i="5"/>
  <c r="I375" i="5"/>
  <c r="H3099" i="5"/>
  <c r="I3099" i="5"/>
  <c r="H3100" i="5"/>
  <c r="I3100" i="5"/>
  <c r="H376" i="5"/>
  <c r="I376" i="5"/>
  <c r="H1391" i="5"/>
  <c r="I1391" i="5"/>
  <c r="H1392" i="5"/>
  <c r="I1392" i="5"/>
  <c r="H377" i="5"/>
  <c r="I377" i="5"/>
  <c r="H378" i="5"/>
  <c r="I378" i="5"/>
  <c r="H3101" i="5"/>
  <c r="I3101" i="5"/>
  <c r="H3102" i="5"/>
  <c r="I3102" i="5"/>
  <c r="H1393" i="5"/>
  <c r="I1393" i="5"/>
  <c r="H379" i="5"/>
  <c r="I379" i="5"/>
  <c r="H1394" i="5"/>
  <c r="I1394" i="5"/>
  <c r="H380" i="5"/>
  <c r="I380" i="5"/>
  <c r="H1395" i="5"/>
  <c r="I1395" i="5"/>
  <c r="H1396" i="5"/>
  <c r="I1396" i="5"/>
  <c r="H1397" i="5"/>
  <c r="I1397" i="5"/>
  <c r="H1398" i="5"/>
  <c r="I1398" i="5"/>
  <c r="H3493" i="5"/>
  <c r="I3493" i="5"/>
  <c r="H1786" i="5"/>
  <c r="I1786" i="5"/>
  <c r="H3494" i="5"/>
  <c r="I3494" i="5"/>
  <c r="H3495" i="5"/>
  <c r="I3495" i="5"/>
  <c r="H1787" i="5"/>
  <c r="I1787" i="5"/>
  <c r="H3496" i="5"/>
  <c r="I3496" i="5"/>
  <c r="H1788" i="5"/>
  <c r="I1788" i="5"/>
  <c r="H1789" i="5"/>
  <c r="I1789" i="5"/>
  <c r="H1790" i="5"/>
  <c r="I1790" i="5"/>
  <c r="H753" i="5"/>
  <c r="I753" i="5"/>
  <c r="H3497" i="5"/>
  <c r="I3497" i="5"/>
  <c r="H754" i="5"/>
  <c r="I754" i="5"/>
  <c r="H381" i="5"/>
  <c r="I381" i="5"/>
  <c r="H1399" i="5"/>
  <c r="I1399" i="5"/>
  <c r="H382" i="5"/>
  <c r="I382" i="5"/>
  <c r="H383" i="5"/>
  <c r="I383" i="5"/>
  <c r="H1400" i="5"/>
  <c r="I1400" i="5"/>
  <c r="H3498" i="5"/>
  <c r="I3498" i="5"/>
  <c r="H1791" i="5"/>
  <c r="I1791" i="5"/>
  <c r="H3499" i="5"/>
  <c r="I3499" i="5"/>
  <c r="H1792" i="5"/>
  <c r="I1792" i="5"/>
  <c r="H1793" i="5"/>
  <c r="I1793" i="5"/>
  <c r="H1794" i="5"/>
  <c r="I1794" i="5"/>
  <c r="H1795" i="5"/>
  <c r="I1795" i="5"/>
  <c r="H1796" i="5"/>
  <c r="I1796" i="5"/>
  <c r="H1797" i="5"/>
  <c r="I1797" i="5"/>
  <c r="H1798" i="5"/>
  <c r="I1798" i="5"/>
  <c r="H1799" i="5"/>
  <c r="I1799" i="5"/>
  <c r="H3500" i="5"/>
  <c r="I3500" i="5"/>
  <c r="H1800" i="5"/>
  <c r="I1800" i="5"/>
  <c r="H1801" i="5"/>
  <c r="I1801" i="5"/>
  <c r="H3501" i="5"/>
  <c r="I3501" i="5"/>
  <c r="H1802" i="5"/>
  <c r="I1802" i="5"/>
  <c r="H3502" i="5"/>
  <c r="I3502" i="5"/>
  <c r="H3503" i="5"/>
  <c r="I3503" i="5"/>
  <c r="H3504" i="5"/>
  <c r="I3504" i="5"/>
  <c r="H3505" i="5"/>
  <c r="I3505" i="5"/>
  <c r="H1803" i="5"/>
  <c r="I1803" i="5"/>
  <c r="H3506" i="5"/>
  <c r="I3506" i="5"/>
  <c r="H1804" i="5"/>
  <c r="I1804" i="5"/>
  <c r="H3507" i="5"/>
  <c r="I3507" i="5"/>
  <c r="H1805" i="5"/>
  <c r="I1805" i="5"/>
  <c r="H1806" i="5"/>
  <c r="I1806" i="5"/>
  <c r="H3508" i="5"/>
  <c r="I3508" i="5"/>
  <c r="H3509" i="5"/>
  <c r="I3509" i="5"/>
  <c r="H3103" i="5"/>
  <c r="I3103" i="5"/>
  <c r="H3104" i="5"/>
  <c r="I3104" i="5"/>
  <c r="H3105" i="5"/>
  <c r="I3105" i="5"/>
  <c r="H3106" i="5"/>
  <c r="I3106" i="5"/>
  <c r="H3107" i="5"/>
  <c r="I3107" i="5"/>
  <c r="H3108" i="5"/>
  <c r="I3108" i="5"/>
  <c r="H3109" i="5"/>
  <c r="I3109" i="5"/>
  <c r="H3110" i="5"/>
  <c r="I3110" i="5"/>
  <c r="H3111" i="5"/>
  <c r="I3111" i="5"/>
  <c r="H3112" i="5"/>
  <c r="I3112" i="5"/>
  <c r="H3113" i="5"/>
  <c r="I3113" i="5"/>
  <c r="H3114" i="5"/>
  <c r="I3114" i="5"/>
  <c r="H3115" i="5"/>
  <c r="I3115" i="5"/>
  <c r="H3116" i="5"/>
  <c r="I3116" i="5"/>
  <c r="H3117" i="5"/>
  <c r="I3117" i="5"/>
  <c r="H3118" i="5"/>
  <c r="I3118" i="5"/>
  <c r="H3119" i="5"/>
  <c r="I3119" i="5"/>
  <c r="H3510" i="5"/>
  <c r="I3510" i="5"/>
  <c r="H3511" i="5"/>
  <c r="I3511" i="5"/>
  <c r="H3120" i="5"/>
  <c r="I3120" i="5"/>
  <c r="H3121" i="5"/>
  <c r="I3121" i="5"/>
  <c r="H3122" i="5"/>
  <c r="I3122" i="5"/>
  <c r="H3123" i="5"/>
  <c r="I3123" i="5"/>
  <c r="H3124" i="5"/>
  <c r="I3124" i="5"/>
  <c r="H3125" i="5"/>
  <c r="I3125" i="5"/>
  <c r="H3126" i="5"/>
  <c r="I3126" i="5"/>
  <c r="H3127" i="5"/>
  <c r="I3127" i="5"/>
  <c r="H3128" i="5"/>
  <c r="I3128" i="5"/>
  <c r="H3512" i="5"/>
  <c r="I3512" i="5"/>
  <c r="H3513" i="5"/>
  <c r="I3513" i="5"/>
  <c r="H3514" i="5"/>
  <c r="I3514" i="5"/>
  <c r="H3515" i="5"/>
  <c r="I3515" i="5"/>
  <c r="H3516" i="5"/>
  <c r="I3516" i="5"/>
  <c r="H3517" i="5"/>
  <c r="I3517" i="5"/>
  <c r="H3518" i="5"/>
  <c r="I3518" i="5"/>
  <c r="H3519" i="5"/>
  <c r="I3519" i="5"/>
  <c r="H3520" i="5"/>
  <c r="I3520" i="5"/>
  <c r="H3521" i="5"/>
  <c r="I3521" i="5"/>
  <c r="H26" i="5"/>
  <c r="I26" i="5"/>
  <c r="H27" i="5"/>
  <c r="I27" i="5"/>
  <c r="H2167" i="5"/>
  <c r="I2167" i="5"/>
  <c r="H28" i="5"/>
  <c r="I28" i="5"/>
  <c r="H2860" i="5"/>
  <c r="I2860" i="5"/>
  <c r="H2221" i="5"/>
  <c r="I2221" i="5"/>
  <c r="H155" i="5"/>
  <c r="I155" i="5"/>
  <c r="H2222" i="5"/>
  <c r="I2222" i="5"/>
  <c r="H156" i="5"/>
  <c r="I156" i="5"/>
  <c r="H157" i="5"/>
  <c r="I157" i="5"/>
  <c r="H2223" i="5"/>
  <c r="I2223" i="5"/>
  <c r="H1224" i="5"/>
  <c r="I1224" i="5"/>
  <c r="H1225" i="5"/>
  <c r="I1225" i="5"/>
  <c r="H2224" i="5"/>
  <c r="I2224" i="5"/>
  <c r="H158" i="5"/>
  <c r="I158" i="5"/>
  <c r="H2861" i="5"/>
  <c r="I2861" i="5"/>
  <c r="H159" i="5"/>
  <c r="I159" i="5"/>
  <c r="H2862" i="5"/>
  <c r="I2862" i="5"/>
  <c r="H1226" i="5"/>
  <c r="I1226" i="5"/>
  <c r="H1227" i="5"/>
  <c r="I1227" i="5"/>
  <c r="H160" i="5"/>
  <c r="I160" i="5"/>
  <c r="H161" i="5"/>
  <c r="I161" i="5"/>
  <c r="H2863" i="5"/>
  <c r="I2863" i="5"/>
  <c r="H1228" i="5"/>
  <c r="I1228" i="5"/>
  <c r="H1229" i="5"/>
  <c r="I1229" i="5"/>
  <c r="H2225" i="5"/>
  <c r="I2225" i="5"/>
  <c r="H2226" i="5"/>
  <c r="I2226" i="5"/>
  <c r="H1230" i="5"/>
  <c r="I1230" i="5"/>
  <c r="H1401" i="5"/>
  <c r="I1401" i="5"/>
  <c r="H2328" i="5"/>
  <c r="I2328" i="5"/>
  <c r="H1402" i="5"/>
  <c r="I1402" i="5"/>
  <c r="H1403" i="5"/>
  <c r="I1403" i="5"/>
  <c r="H3129" i="5"/>
  <c r="I3129" i="5"/>
  <c r="H3522" i="5"/>
  <c r="I3522" i="5"/>
  <c r="H755" i="5"/>
  <c r="I755" i="5"/>
  <c r="H2227" i="5"/>
  <c r="I2227" i="5"/>
  <c r="H2228" i="5"/>
  <c r="I2228" i="5"/>
  <c r="H162" i="5"/>
  <c r="I162" i="5"/>
  <c r="H2229" i="5"/>
  <c r="I2229" i="5"/>
  <c r="H163" i="5"/>
  <c r="I163" i="5"/>
  <c r="H164" i="5"/>
  <c r="I164" i="5"/>
  <c r="H165" i="5"/>
  <c r="I165" i="5"/>
  <c r="H166" i="5"/>
  <c r="I166" i="5"/>
  <c r="H2230" i="5"/>
  <c r="I2230" i="5"/>
  <c r="H167" i="5"/>
  <c r="I167" i="5"/>
  <c r="H2231" i="5"/>
  <c r="I2231" i="5"/>
  <c r="H168" i="5"/>
  <c r="I168" i="5"/>
  <c r="H2232" i="5"/>
  <c r="I2232" i="5"/>
  <c r="H2233" i="5"/>
  <c r="I2233" i="5"/>
  <c r="H2234" i="5"/>
  <c r="I2234" i="5"/>
  <c r="H169" i="5"/>
  <c r="I169" i="5"/>
  <c r="H2235" i="5"/>
  <c r="I2235" i="5"/>
  <c r="H2329" i="5"/>
  <c r="I2329" i="5"/>
  <c r="H2330" i="5"/>
  <c r="I2330" i="5"/>
  <c r="H2331" i="5"/>
  <c r="I2331" i="5"/>
  <c r="H2332" i="5"/>
  <c r="I2332" i="5"/>
  <c r="H2333" i="5"/>
  <c r="I2333" i="5"/>
  <c r="H2334" i="5"/>
  <c r="I2334" i="5"/>
  <c r="H2335" i="5"/>
  <c r="I2335" i="5"/>
  <c r="H384" i="5"/>
  <c r="I384" i="5"/>
  <c r="H385" i="5"/>
  <c r="I385" i="5"/>
  <c r="H386" i="5"/>
  <c r="I386" i="5"/>
  <c r="H2336" i="5"/>
  <c r="I2336" i="5"/>
  <c r="H2337" i="5"/>
  <c r="I2337" i="5"/>
  <c r="H2338" i="5"/>
  <c r="I2338" i="5"/>
  <c r="H387" i="5"/>
  <c r="I387" i="5"/>
  <c r="H756" i="5"/>
  <c r="I756" i="5"/>
  <c r="H2505" i="5"/>
  <c r="I2505" i="5"/>
  <c r="H757" i="5"/>
  <c r="I757" i="5"/>
  <c r="H2506" i="5"/>
  <c r="I2506" i="5"/>
  <c r="H758" i="5"/>
  <c r="I758" i="5"/>
  <c r="H2507" i="5"/>
  <c r="I2507" i="5"/>
  <c r="H2864" i="5"/>
  <c r="I2864" i="5"/>
  <c r="H2236" i="5"/>
  <c r="I2236" i="5"/>
  <c r="H170" i="5"/>
  <c r="I170" i="5"/>
  <c r="H2865" i="5"/>
  <c r="I2865" i="5"/>
  <c r="H2866" i="5"/>
  <c r="I2866" i="5"/>
  <c r="H171" i="5"/>
  <c r="I171" i="5"/>
  <c r="H172" i="5"/>
  <c r="I172" i="5"/>
  <c r="H2867" i="5"/>
  <c r="I2867" i="5"/>
  <c r="H2237" i="5"/>
  <c r="I2237" i="5"/>
  <c r="H2868" i="5"/>
  <c r="I2868" i="5"/>
  <c r="H173" i="5"/>
  <c r="I173" i="5"/>
  <c r="H174" i="5"/>
  <c r="I174" i="5"/>
  <c r="H175" i="5"/>
  <c r="I175" i="5"/>
  <c r="H2869" i="5"/>
  <c r="I2869" i="5"/>
  <c r="H2870" i="5"/>
  <c r="I2870" i="5"/>
  <c r="H2238" i="5"/>
  <c r="I2238" i="5"/>
  <c r="H2339" i="5"/>
  <c r="I2339" i="5"/>
  <c r="H2340" i="5"/>
  <c r="I2340" i="5"/>
  <c r="H3130" i="5"/>
  <c r="I3130" i="5"/>
  <c r="H2341" i="5"/>
  <c r="I2341" i="5"/>
  <c r="H2342" i="5"/>
  <c r="I2342" i="5"/>
  <c r="H3131" i="5"/>
  <c r="I3131" i="5"/>
  <c r="H388" i="5"/>
  <c r="I388" i="5"/>
  <c r="H3132" i="5"/>
  <c r="I3132" i="5"/>
  <c r="H2343" i="5"/>
  <c r="I2343" i="5"/>
  <c r="H3133" i="5"/>
  <c r="I3133" i="5"/>
  <c r="H2344" i="5"/>
  <c r="I2344" i="5"/>
  <c r="H2345" i="5"/>
  <c r="I2345" i="5"/>
  <c r="H389" i="5"/>
  <c r="I389" i="5"/>
  <c r="H2346" i="5"/>
  <c r="I2346" i="5"/>
  <c r="H2347" i="5"/>
  <c r="I2347" i="5"/>
  <c r="H2508" i="5"/>
  <c r="I2508" i="5"/>
  <c r="H759" i="5"/>
  <c r="I759" i="5"/>
  <c r="H760" i="5"/>
  <c r="I760" i="5"/>
  <c r="H2509" i="5"/>
  <c r="I2509" i="5"/>
  <c r="H3523" i="5"/>
  <c r="I3523" i="5"/>
  <c r="H390" i="5"/>
  <c r="I390" i="5"/>
  <c r="H2348" i="5"/>
  <c r="I2348" i="5"/>
  <c r="H3134" i="5"/>
  <c r="I3134" i="5"/>
  <c r="H2349" i="5"/>
  <c r="I2349" i="5"/>
  <c r="H2350" i="5"/>
  <c r="I2350" i="5"/>
  <c r="H2351" i="5"/>
  <c r="I2351" i="5"/>
  <c r="H391" i="5"/>
  <c r="I391" i="5"/>
  <c r="H2352" i="5"/>
  <c r="I2352" i="5"/>
  <c r="H392" i="5"/>
  <c r="I392" i="5"/>
  <c r="H2353" i="5"/>
  <c r="I2353" i="5"/>
  <c r="H2354" i="5"/>
  <c r="I2354" i="5"/>
  <c r="H393" i="5"/>
  <c r="I393" i="5"/>
  <c r="H394" i="5"/>
  <c r="I394" i="5"/>
  <c r="H2355" i="5"/>
  <c r="I2355" i="5"/>
  <c r="H2356" i="5"/>
  <c r="I2356" i="5"/>
  <c r="H395" i="5"/>
  <c r="I395" i="5"/>
  <c r="H3135" i="5"/>
  <c r="I3135" i="5"/>
  <c r="H2357" i="5"/>
  <c r="I2357" i="5"/>
  <c r="H2358" i="5"/>
  <c r="I2358" i="5"/>
  <c r="H2359" i="5"/>
  <c r="I2359" i="5"/>
  <c r="H2360" i="5"/>
  <c r="I2360" i="5"/>
  <c r="H396" i="5"/>
  <c r="I396" i="5"/>
  <c r="H3136" i="5"/>
  <c r="I3136" i="5"/>
  <c r="H2361" i="5"/>
  <c r="I2361" i="5"/>
  <c r="H397" i="5"/>
  <c r="I397" i="5"/>
  <c r="H2362" i="5"/>
  <c r="I2362" i="5"/>
  <c r="H2510" i="5"/>
  <c r="I2510" i="5"/>
  <c r="H2511" i="5"/>
  <c r="I2511" i="5"/>
  <c r="H3524" i="5"/>
  <c r="I3524" i="5"/>
  <c r="H3525" i="5"/>
  <c r="I3525" i="5"/>
  <c r="H2512" i="5"/>
  <c r="I2512" i="5"/>
  <c r="H2513" i="5"/>
  <c r="I2513" i="5"/>
  <c r="H3526" i="5"/>
  <c r="I3526" i="5"/>
  <c r="H2514" i="5"/>
  <c r="I2514" i="5"/>
  <c r="H2515" i="5"/>
  <c r="I2515" i="5"/>
  <c r="H2516" i="5"/>
  <c r="I2516" i="5"/>
  <c r="H2517" i="5"/>
  <c r="I2517" i="5"/>
  <c r="H2518" i="5"/>
  <c r="I2518" i="5"/>
  <c r="H3527" i="5"/>
  <c r="I3527" i="5"/>
  <c r="H2519" i="5"/>
  <c r="I2519" i="5"/>
  <c r="H2520" i="5"/>
  <c r="I2520" i="5"/>
  <c r="H2521" i="5"/>
  <c r="I2521" i="5"/>
  <c r="H2522" i="5"/>
  <c r="I2522" i="5"/>
  <c r="H2523" i="5"/>
  <c r="I2523" i="5"/>
  <c r="H3528" i="5"/>
  <c r="I3528" i="5"/>
  <c r="H3529" i="5"/>
  <c r="I3529" i="5"/>
  <c r="H761" i="5"/>
  <c r="I761" i="5"/>
  <c r="H3530" i="5"/>
  <c r="I3530" i="5"/>
  <c r="H1404" i="5"/>
  <c r="I1404" i="5"/>
  <c r="H1405" i="5"/>
  <c r="I1405" i="5"/>
  <c r="H1406" i="5"/>
  <c r="I1406" i="5"/>
  <c r="H1407" i="5"/>
  <c r="I1407" i="5"/>
  <c r="H1408" i="5"/>
  <c r="I1408" i="5"/>
  <c r="H1409" i="5"/>
  <c r="I1409" i="5"/>
  <c r="H1410" i="5"/>
  <c r="I1410" i="5"/>
  <c r="H398" i="5"/>
  <c r="I398" i="5"/>
  <c r="H399" i="5"/>
  <c r="I399" i="5"/>
  <c r="H762" i="5"/>
  <c r="I762" i="5"/>
  <c r="H763" i="5"/>
  <c r="I763" i="5"/>
  <c r="H764" i="5"/>
  <c r="I764" i="5"/>
  <c r="H1807" i="5"/>
  <c r="I1807" i="5"/>
  <c r="H1808" i="5"/>
  <c r="I1808" i="5"/>
  <c r="H1809" i="5"/>
  <c r="I1809" i="5"/>
  <c r="H1810" i="5"/>
  <c r="I1810" i="5"/>
  <c r="H1811" i="5"/>
  <c r="I1811" i="5"/>
  <c r="H1812" i="5"/>
  <c r="I1812" i="5"/>
  <c r="H1813" i="5"/>
  <c r="I1813" i="5"/>
  <c r="H1814" i="5"/>
  <c r="I1814" i="5"/>
  <c r="H1815" i="5"/>
  <c r="I1815" i="5"/>
  <c r="H1816" i="5"/>
  <c r="I1816" i="5"/>
  <c r="H1817" i="5"/>
  <c r="I1817" i="5"/>
  <c r="H1818" i="5"/>
  <c r="I1818" i="5"/>
  <c r="H1819" i="5"/>
  <c r="I1819" i="5"/>
  <c r="H1820" i="5"/>
  <c r="I1820" i="5"/>
  <c r="H1821" i="5"/>
  <c r="I1821" i="5"/>
  <c r="H1822" i="5"/>
  <c r="I1822" i="5"/>
  <c r="H1823" i="5"/>
  <c r="I1823" i="5"/>
  <c r="H1824" i="5"/>
  <c r="I1824" i="5"/>
  <c r="H1825" i="5"/>
  <c r="I1825" i="5"/>
  <c r="H1826" i="5"/>
  <c r="I1826" i="5"/>
  <c r="H765" i="5"/>
  <c r="I765" i="5"/>
  <c r="H766" i="5"/>
  <c r="I766" i="5"/>
  <c r="H1411" i="5"/>
  <c r="I1411" i="5"/>
  <c r="H400" i="5"/>
  <c r="I400" i="5"/>
  <c r="H3137" i="5"/>
  <c r="I3137" i="5"/>
  <c r="H401" i="5"/>
  <c r="I401" i="5"/>
  <c r="H402" i="5"/>
  <c r="I402" i="5"/>
  <c r="H403" i="5"/>
  <c r="I403" i="5"/>
  <c r="H1412" i="5"/>
  <c r="I1412" i="5"/>
  <c r="H1413" i="5"/>
  <c r="I1413" i="5"/>
  <c r="H3138" i="5"/>
  <c r="I3138" i="5"/>
  <c r="H1414" i="5"/>
  <c r="I1414" i="5"/>
  <c r="H1415" i="5"/>
  <c r="I1415" i="5"/>
  <c r="H404" i="5"/>
  <c r="I404" i="5"/>
  <c r="H405" i="5"/>
  <c r="I405" i="5"/>
  <c r="H406" i="5"/>
  <c r="I406" i="5"/>
  <c r="H3139" i="5"/>
  <c r="I3139" i="5"/>
  <c r="H407" i="5"/>
  <c r="I407" i="5"/>
  <c r="H3140" i="5"/>
  <c r="I3140" i="5"/>
  <c r="H408" i="5"/>
  <c r="I408" i="5"/>
  <c r="H1416" i="5"/>
  <c r="I1416" i="5"/>
  <c r="H1417" i="5"/>
  <c r="I1417" i="5"/>
  <c r="H3141" i="5"/>
  <c r="I3141" i="5"/>
  <c r="H3142" i="5"/>
  <c r="I3142" i="5"/>
  <c r="H1418" i="5"/>
  <c r="I1418" i="5"/>
  <c r="H1419" i="5"/>
  <c r="I1419" i="5"/>
  <c r="H409" i="5"/>
  <c r="I409" i="5"/>
  <c r="H3143" i="5"/>
  <c r="I3143" i="5"/>
  <c r="H1420" i="5"/>
  <c r="I1420" i="5"/>
  <c r="H410" i="5"/>
  <c r="I410" i="5"/>
  <c r="H411" i="5"/>
  <c r="I411" i="5"/>
  <c r="H412" i="5"/>
  <c r="I412" i="5"/>
  <c r="H413" i="5"/>
  <c r="I413" i="5"/>
  <c r="H1827" i="5"/>
  <c r="I1827" i="5"/>
  <c r="H767" i="5"/>
  <c r="I767" i="5"/>
  <c r="H768" i="5"/>
  <c r="I768" i="5"/>
  <c r="H1092" i="5"/>
  <c r="I1092" i="5"/>
  <c r="H2871" i="5"/>
  <c r="I2871" i="5"/>
  <c r="H176" i="5"/>
  <c r="I176" i="5"/>
  <c r="H177" i="5"/>
  <c r="I177" i="5"/>
  <c r="H2872" i="5"/>
  <c r="I2872" i="5"/>
  <c r="H178" i="5"/>
  <c r="I178" i="5"/>
  <c r="H179" i="5"/>
  <c r="I179" i="5"/>
  <c r="H1231" i="5"/>
  <c r="I1231" i="5"/>
  <c r="H180" i="5"/>
  <c r="I180" i="5"/>
  <c r="H414" i="5"/>
  <c r="I414" i="5"/>
  <c r="H415" i="5"/>
  <c r="I415" i="5"/>
  <c r="H416" i="5"/>
  <c r="I416" i="5"/>
  <c r="H3144" i="5"/>
  <c r="I3144" i="5"/>
  <c r="H3145" i="5"/>
  <c r="I3145" i="5"/>
  <c r="H3146" i="5"/>
  <c r="I3146" i="5"/>
  <c r="H417" i="5"/>
  <c r="I417" i="5"/>
  <c r="H418" i="5"/>
  <c r="I418" i="5"/>
  <c r="H419" i="5"/>
  <c r="I419" i="5"/>
  <c r="H3147" i="5"/>
  <c r="I3147" i="5"/>
  <c r="H3148" i="5"/>
  <c r="I3148" i="5"/>
  <c r="H420" i="5"/>
  <c r="I420" i="5"/>
  <c r="H421" i="5"/>
  <c r="I421" i="5"/>
  <c r="H422" i="5"/>
  <c r="I422" i="5"/>
  <c r="H423" i="5"/>
  <c r="I423" i="5"/>
  <c r="H424" i="5"/>
  <c r="I424" i="5"/>
  <c r="H3149" i="5"/>
  <c r="I3149" i="5"/>
  <c r="H425" i="5"/>
  <c r="I425" i="5"/>
  <c r="H3531" i="5"/>
  <c r="I3531" i="5"/>
  <c r="H3532" i="5"/>
  <c r="I3532" i="5"/>
  <c r="H3533" i="5"/>
  <c r="I3533" i="5"/>
  <c r="H1828" i="5"/>
  <c r="I1828" i="5"/>
  <c r="H1829" i="5"/>
  <c r="I1829" i="5"/>
  <c r="H1830" i="5"/>
  <c r="I1830" i="5"/>
  <c r="H1831" i="5"/>
  <c r="I1831" i="5"/>
  <c r="H2681" i="5"/>
  <c r="I2681" i="5"/>
  <c r="H1093" i="5"/>
  <c r="I1093" i="5"/>
  <c r="H29" i="5"/>
  <c r="I29" i="5"/>
  <c r="H30" i="5"/>
  <c r="I30" i="5"/>
  <c r="H2682" i="5"/>
  <c r="I2682" i="5"/>
  <c r="H2683" i="5"/>
  <c r="I2683" i="5"/>
  <c r="H2684" i="5"/>
  <c r="I2684" i="5"/>
  <c r="H31" i="5"/>
  <c r="I31" i="5"/>
  <c r="H2685" i="5"/>
  <c r="I2685" i="5"/>
  <c r="H1094" i="5"/>
  <c r="I1094" i="5"/>
  <c r="H2686" i="5"/>
  <c r="I2686" i="5"/>
  <c r="H1095" i="5"/>
  <c r="I1095" i="5"/>
  <c r="H1096" i="5"/>
  <c r="I1096" i="5"/>
  <c r="H1097" i="5"/>
  <c r="I1097" i="5"/>
  <c r="H32" i="5"/>
  <c r="I32" i="5"/>
  <c r="H1098" i="5"/>
  <c r="I1098" i="5"/>
  <c r="H2687" i="5"/>
  <c r="I2687" i="5"/>
  <c r="H33" i="5"/>
  <c r="I33" i="5"/>
  <c r="H1099" i="5"/>
  <c r="I1099" i="5"/>
  <c r="H2688" i="5"/>
  <c r="I2688" i="5"/>
  <c r="H34" i="5"/>
  <c r="I34" i="5"/>
  <c r="H1100" i="5"/>
  <c r="I1100" i="5"/>
  <c r="H1101" i="5"/>
  <c r="I1101" i="5"/>
  <c r="H2689" i="5"/>
  <c r="I2689" i="5"/>
  <c r="H2690" i="5"/>
  <c r="I2690" i="5"/>
  <c r="H2691" i="5"/>
  <c r="I2691" i="5"/>
  <c r="H1102" i="5"/>
  <c r="I1102" i="5"/>
  <c r="H35" i="5"/>
  <c r="I35" i="5"/>
  <c r="H2692" i="5"/>
  <c r="I2692" i="5"/>
  <c r="H2693" i="5"/>
  <c r="I2693" i="5"/>
  <c r="H1103" i="5"/>
  <c r="I1103" i="5"/>
  <c r="H1104" i="5"/>
  <c r="I1104" i="5"/>
  <c r="H2694" i="5"/>
  <c r="I2694" i="5"/>
  <c r="H2695" i="5"/>
  <c r="I2695" i="5"/>
  <c r="H36" i="5"/>
  <c r="I36" i="5"/>
  <c r="H2696" i="5"/>
  <c r="I2696" i="5"/>
  <c r="H37" i="5"/>
  <c r="I37" i="5"/>
  <c r="H2697" i="5"/>
  <c r="I2697" i="5"/>
  <c r="H1105" i="5"/>
  <c r="I1105" i="5"/>
  <c r="H38" i="5"/>
  <c r="I38" i="5"/>
  <c r="H2698" i="5"/>
  <c r="I2698" i="5"/>
  <c r="H39" i="5"/>
  <c r="I39" i="5"/>
  <c r="H1106" i="5"/>
  <c r="I1106" i="5"/>
  <c r="H1107" i="5"/>
  <c r="I1107" i="5"/>
  <c r="H1108" i="5"/>
  <c r="I1108" i="5"/>
  <c r="H1109" i="5"/>
  <c r="I1109" i="5"/>
  <c r="H2699" i="5"/>
  <c r="I2699" i="5"/>
  <c r="H1110" i="5"/>
  <c r="I1110" i="5"/>
  <c r="H1111" i="5"/>
  <c r="I1111" i="5"/>
  <c r="H2700" i="5"/>
  <c r="I2700" i="5"/>
  <c r="H2873" i="5"/>
  <c r="I2873" i="5"/>
  <c r="H1232" i="5"/>
  <c r="I1232" i="5"/>
  <c r="H181" i="5"/>
  <c r="I181" i="5"/>
  <c r="H182" i="5"/>
  <c r="I182" i="5"/>
  <c r="H1233" i="5"/>
  <c r="I1233" i="5"/>
  <c r="H183" i="5"/>
  <c r="I183" i="5"/>
  <c r="H184" i="5"/>
  <c r="I184" i="5"/>
  <c r="H2874" i="5"/>
  <c r="I2874" i="5"/>
  <c r="H2875" i="5"/>
  <c r="I2875" i="5"/>
  <c r="H185" i="5"/>
  <c r="I185" i="5"/>
  <c r="H1234" i="5"/>
  <c r="I1234" i="5"/>
  <c r="H2876" i="5"/>
  <c r="I2876" i="5"/>
  <c r="H426" i="5"/>
  <c r="I426" i="5"/>
  <c r="H769" i="5"/>
  <c r="I769" i="5"/>
  <c r="H770" i="5"/>
  <c r="I770" i="5"/>
  <c r="H771" i="5"/>
  <c r="I771" i="5"/>
  <c r="H772" i="5"/>
  <c r="I772" i="5"/>
  <c r="H773" i="5"/>
  <c r="I773" i="5"/>
  <c r="H774" i="5"/>
  <c r="I774" i="5"/>
  <c r="H775" i="5"/>
  <c r="I775" i="5"/>
  <c r="H776" i="5"/>
  <c r="I776" i="5"/>
  <c r="H777" i="5"/>
  <c r="I777" i="5"/>
  <c r="H778" i="5"/>
  <c r="I778" i="5"/>
  <c r="H779" i="5"/>
  <c r="I779" i="5"/>
  <c r="H780" i="5"/>
  <c r="I780" i="5"/>
  <c r="H781" i="5"/>
  <c r="I781" i="5"/>
  <c r="H782" i="5"/>
  <c r="I782" i="5"/>
  <c r="H783" i="5"/>
  <c r="I783" i="5"/>
  <c r="H784" i="5"/>
  <c r="I784" i="5"/>
  <c r="H785" i="5"/>
  <c r="I785" i="5"/>
  <c r="H786" i="5"/>
  <c r="I786" i="5"/>
  <c r="H787" i="5"/>
  <c r="I787" i="5"/>
  <c r="H788" i="5"/>
  <c r="I788" i="5"/>
  <c r="H2524" i="5"/>
  <c r="I2524" i="5"/>
  <c r="H2525" i="5"/>
  <c r="I2525" i="5"/>
  <c r="H2526" i="5"/>
  <c r="I2526" i="5"/>
  <c r="H2527" i="5"/>
  <c r="I2527" i="5"/>
  <c r="H2528" i="5"/>
  <c r="I2528" i="5"/>
  <c r="H2529" i="5"/>
  <c r="I2529" i="5"/>
  <c r="H2530" i="5"/>
  <c r="I2530" i="5"/>
  <c r="H2531" i="5"/>
  <c r="I2531" i="5"/>
  <c r="H2532" i="5"/>
  <c r="I2532" i="5"/>
  <c r="H2533" i="5"/>
  <c r="I2533" i="5"/>
  <c r="H2534" i="5"/>
  <c r="I2534" i="5"/>
  <c r="H2535" i="5"/>
  <c r="I2535" i="5"/>
  <c r="H2536" i="5"/>
  <c r="I2536" i="5"/>
  <c r="H2537" i="5"/>
  <c r="I2537" i="5"/>
  <c r="H2538" i="5"/>
  <c r="I2538" i="5"/>
  <c r="H2539" i="5"/>
  <c r="I2539" i="5"/>
  <c r="H2540" i="5"/>
  <c r="I2540" i="5"/>
  <c r="H2541" i="5"/>
  <c r="I2541" i="5"/>
  <c r="H2542" i="5"/>
  <c r="I2542" i="5"/>
  <c r="H2543" i="5"/>
  <c r="I2543" i="5"/>
  <c r="H2544" i="5"/>
  <c r="I2544" i="5"/>
  <c r="H2545" i="5"/>
  <c r="I2545" i="5"/>
  <c r="H2546" i="5"/>
  <c r="I2546" i="5"/>
  <c r="H2547" i="5"/>
  <c r="I2547" i="5"/>
  <c r="H2548" i="5"/>
  <c r="I2548" i="5"/>
  <c r="H2549" i="5"/>
  <c r="I2549" i="5"/>
  <c r="H2550" i="5"/>
  <c r="I2550" i="5"/>
  <c r="H2551" i="5"/>
  <c r="I2551" i="5"/>
  <c r="H2552" i="5"/>
  <c r="I2552" i="5"/>
  <c r="H2553" i="5"/>
  <c r="I2553" i="5"/>
  <c r="H2554" i="5"/>
  <c r="I2554" i="5"/>
  <c r="H2555" i="5"/>
  <c r="I2555" i="5"/>
  <c r="H2556" i="5"/>
  <c r="I2556" i="5"/>
  <c r="H2557" i="5"/>
  <c r="I2557" i="5"/>
  <c r="H2558" i="5"/>
  <c r="I2558" i="5"/>
  <c r="H2559" i="5"/>
  <c r="I2559" i="5"/>
  <c r="H2560" i="5"/>
  <c r="I2560" i="5"/>
  <c r="H2561" i="5"/>
  <c r="I2561" i="5"/>
  <c r="H2562" i="5"/>
  <c r="I2562" i="5"/>
  <c r="H2563" i="5"/>
  <c r="I2563" i="5"/>
  <c r="H2564" i="5"/>
  <c r="I2564" i="5"/>
  <c r="H2565" i="5"/>
  <c r="I2565" i="5"/>
  <c r="H2566" i="5"/>
  <c r="I2566" i="5"/>
  <c r="H2567" i="5"/>
  <c r="I2567" i="5"/>
  <c r="H2568" i="5"/>
  <c r="I2568" i="5"/>
  <c r="H3150" i="5"/>
  <c r="I3150" i="5"/>
  <c r="H3151" i="5"/>
  <c r="I3151" i="5"/>
  <c r="H3152" i="5"/>
  <c r="I3152" i="5"/>
  <c r="H3153" i="5"/>
  <c r="I3153" i="5"/>
  <c r="H3154" i="5"/>
  <c r="I3154" i="5"/>
  <c r="H3155" i="5"/>
  <c r="I3155" i="5"/>
  <c r="H3156" i="5"/>
  <c r="I3156" i="5"/>
  <c r="H3157" i="5"/>
  <c r="I3157" i="5"/>
  <c r="H3158" i="5"/>
  <c r="I3158" i="5"/>
  <c r="H3159" i="5"/>
  <c r="I3159" i="5"/>
  <c r="H3160" i="5"/>
  <c r="I3160" i="5"/>
  <c r="H3161" i="5"/>
  <c r="I3161" i="5"/>
  <c r="H3162" i="5"/>
  <c r="I3162" i="5"/>
  <c r="H3534" i="5"/>
  <c r="I3534" i="5"/>
  <c r="H3535" i="5"/>
  <c r="I3535" i="5"/>
  <c r="H3536" i="5"/>
  <c r="I3536" i="5"/>
  <c r="H3537" i="5"/>
  <c r="I3537" i="5"/>
  <c r="H3538" i="5"/>
  <c r="I3538" i="5"/>
  <c r="H3539" i="5"/>
  <c r="I3539" i="5"/>
  <c r="H3540" i="5"/>
  <c r="I3540" i="5"/>
  <c r="H3541" i="5"/>
  <c r="I3541" i="5"/>
  <c r="H1112" i="5"/>
  <c r="I1112" i="5"/>
  <c r="H1113" i="5"/>
  <c r="I1113" i="5"/>
  <c r="H1114" i="5"/>
  <c r="I1114" i="5"/>
  <c r="H1115" i="5"/>
  <c r="I1115" i="5"/>
  <c r="H1116" i="5"/>
  <c r="I1116" i="5"/>
  <c r="H2701" i="5"/>
  <c r="I2701" i="5"/>
  <c r="H2702" i="5"/>
  <c r="I2702" i="5"/>
  <c r="H1117" i="5"/>
  <c r="I1117" i="5"/>
  <c r="H2703" i="5"/>
  <c r="I2703" i="5"/>
  <c r="H2704" i="5"/>
  <c r="I2704" i="5"/>
  <c r="H2705" i="5"/>
  <c r="I2705" i="5"/>
  <c r="H2706" i="5"/>
  <c r="I2706" i="5"/>
  <c r="H1118" i="5"/>
  <c r="I1118" i="5"/>
  <c r="H2707" i="5"/>
  <c r="I2707" i="5"/>
  <c r="H2708" i="5"/>
  <c r="I2708" i="5"/>
  <c r="H2709" i="5"/>
  <c r="I2709" i="5"/>
  <c r="H2710" i="5"/>
  <c r="I2710" i="5"/>
  <c r="H40" i="5"/>
  <c r="I40" i="5"/>
  <c r="H41" i="5"/>
  <c r="I41" i="5"/>
  <c r="H1119" i="5"/>
  <c r="I1119" i="5"/>
  <c r="H42" i="5"/>
  <c r="I42" i="5"/>
  <c r="H43" i="5"/>
  <c r="I43" i="5"/>
  <c r="H1120" i="5"/>
  <c r="I1120" i="5"/>
  <c r="H2711" i="5"/>
  <c r="I2711" i="5"/>
  <c r="H2712" i="5"/>
  <c r="I2712" i="5"/>
  <c r="H1121" i="5"/>
  <c r="I1121" i="5"/>
  <c r="H1122" i="5"/>
  <c r="I1122" i="5"/>
  <c r="H1123" i="5"/>
  <c r="I1123" i="5"/>
  <c r="H1124" i="5"/>
  <c r="I1124" i="5"/>
  <c r="H1125" i="5"/>
  <c r="I1125" i="5"/>
  <c r="H1126" i="5"/>
  <c r="I1126" i="5"/>
  <c r="H2713" i="5"/>
  <c r="I2713" i="5"/>
  <c r="H1127" i="5"/>
  <c r="I1127" i="5"/>
  <c r="H2714" i="5"/>
  <c r="I2714" i="5"/>
  <c r="H2715" i="5"/>
  <c r="I2715" i="5"/>
  <c r="H1128" i="5"/>
  <c r="I1128" i="5"/>
  <c r="H2716" i="5"/>
  <c r="I2716" i="5"/>
  <c r="H1129" i="5"/>
  <c r="I1129" i="5"/>
  <c r="H2717" i="5"/>
  <c r="I2717" i="5"/>
  <c r="H2718" i="5"/>
  <c r="I2718" i="5"/>
  <c r="H1235" i="5"/>
  <c r="I1235" i="5"/>
  <c r="H2877" i="5"/>
  <c r="I2877" i="5"/>
  <c r="H1236" i="5"/>
  <c r="I1236" i="5"/>
  <c r="H1237" i="5"/>
  <c r="I1237" i="5"/>
  <c r="H2878" i="5"/>
  <c r="I2878" i="5"/>
  <c r="H1238" i="5"/>
  <c r="I1238" i="5"/>
  <c r="H1239" i="5"/>
  <c r="I1239" i="5"/>
  <c r="H2879" i="5"/>
  <c r="I2879" i="5"/>
  <c r="H1240" i="5"/>
  <c r="I1240" i="5"/>
  <c r="H1241" i="5"/>
  <c r="I1241" i="5"/>
  <c r="H2880" i="5"/>
  <c r="I2880" i="5"/>
  <c r="H2881" i="5"/>
  <c r="I2881" i="5"/>
  <c r="H2882" i="5"/>
  <c r="I2882" i="5"/>
  <c r="H2883" i="5"/>
  <c r="I2883" i="5"/>
  <c r="H2884" i="5"/>
  <c r="I2884" i="5"/>
  <c r="H2885" i="5"/>
  <c r="I2885" i="5"/>
  <c r="H1242" i="5"/>
  <c r="I1242" i="5"/>
  <c r="H2886" i="5"/>
  <c r="I2886" i="5"/>
  <c r="H2887" i="5"/>
  <c r="I2887" i="5"/>
  <c r="H2888" i="5"/>
  <c r="I2888" i="5"/>
  <c r="H1243" i="5"/>
  <c r="I1243" i="5"/>
  <c r="H1244" i="5"/>
  <c r="I1244" i="5"/>
  <c r="H2889" i="5"/>
  <c r="I2889" i="5"/>
  <c r="H2890" i="5"/>
  <c r="I2890" i="5"/>
  <c r="H1245" i="5"/>
  <c r="I1245" i="5"/>
  <c r="H1246" i="5"/>
  <c r="I1246" i="5"/>
  <c r="H2891" i="5"/>
  <c r="I2891" i="5"/>
  <c r="H1247" i="5"/>
  <c r="I1247" i="5"/>
  <c r="H2892" i="5"/>
  <c r="I2892" i="5"/>
  <c r="H427" i="5"/>
  <c r="I427" i="5"/>
  <c r="H1421" i="5"/>
  <c r="I1421" i="5"/>
  <c r="H428" i="5"/>
  <c r="I428" i="5"/>
  <c r="H429" i="5"/>
  <c r="I429" i="5"/>
  <c r="H1422" i="5"/>
  <c r="I1422" i="5"/>
  <c r="H1832" i="5"/>
  <c r="I1832" i="5"/>
  <c r="H789" i="5"/>
  <c r="I789" i="5"/>
  <c r="H1833" i="5"/>
  <c r="I1833" i="5"/>
  <c r="H790" i="5"/>
  <c r="I790" i="5"/>
  <c r="H791" i="5"/>
  <c r="I791" i="5"/>
  <c r="H792" i="5"/>
  <c r="I792" i="5"/>
  <c r="H1834" i="5"/>
  <c r="I1834" i="5"/>
  <c r="H1835" i="5"/>
  <c r="I1835" i="5"/>
  <c r="H1836" i="5"/>
  <c r="I1836" i="5"/>
  <c r="H1837" i="5"/>
  <c r="I1837" i="5"/>
  <c r="H2719" i="5"/>
  <c r="I2719" i="5"/>
  <c r="H44" i="5"/>
  <c r="I44" i="5"/>
  <c r="H2720" i="5"/>
  <c r="I2720" i="5"/>
  <c r="H2721" i="5"/>
  <c r="I2721" i="5"/>
  <c r="H2722" i="5"/>
  <c r="I2722" i="5"/>
  <c r="H1130" i="5"/>
  <c r="I1130" i="5"/>
  <c r="H1131" i="5"/>
  <c r="I1131" i="5"/>
  <c r="H1248" i="5"/>
  <c r="I1248" i="5"/>
  <c r="H1249" i="5"/>
  <c r="I1249" i="5"/>
  <c r="H1250" i="5"/>
  <c r="I1250" i="5"/>
  <c r="H1251" i="5"/>
  <c r="I1251" i="5"/>
  <c r="H2893" i="5"/>
  <c r="I2893" i="5"/>
  <c r="H1252" i="5"/>
  <c r="I1252" i="5"/>
  <c r="H1253" i="5"/>
  <c r="I1253" i="5"/>
  <c r="H2894" i="5"/>
  <c r="I2894" i="5"/>
  <c r="H2895" i="5"/>
  <c r="I2895" i="5"/>
  <c r="H1254" i="5"/>
  <c r="I1254" i="5"/>
  <c r="H186" i="5"/>
  <c r="I186" i="5"/>
  <c r="H187" i="5"/>
  <c r="I187" i="5"/>
  <c r="H188" i="5"/>
  <c r="I188" i="5"/>
  <c r="H189" i="5"/>
  <c r="I189" i="5"/>
  <c r="H190" i="5"/>
  <c r="I190" i="5"/>
  <c r="H2896" i="5"/>
  <c r="I2896" i="5"/>
  <c r="H191" i="5"/>
  <c r="I191" i="5"/>
  <c r="H1255" i="5"/>
  <c r="I1255" i="5"/>
  <c r="H192" i="5"/>
  <c r="I192" i="5"/>
  <c r="H430" i="5"/>
  <c r="I430" i="5"/>
  <c r="H431" i="5"/>
  <c r="I431" i="5"/>
  <c r="H3163" i="5"/>
  <c r="I3163" i="5"/>
  <c r="H432" i="5"/>
  <c r="I432" i="5"/>
  <c r="H433" i="5"/>
  <c r="I433" i="5"/>
  <c r="H3164" i="5"/>
  <c r="I3164" i="5"/>
  <c r="H3165" i="5"/>
  <c r="I3165" i="5"/>
  <c r="H434" i="5"/>
  <c r="I434" i="5"/>
  <c r="H435" i="5"/>
  <c r="I435" i="5"/>
  <c r="H436" i="5"/>
  <c r="I436" i="5"/>
  <c r="H1838" i="5"/>
  <c r="I1838" i="5"/>
  <c r="H1839" i="5"/>
  <c r="I1839" i="5"/>
  <c r="H1840" i="5"/>
  <c r="I1840" i="5"/>
  <c r="H3542" i="5"/>
  <c r="I3542" i="5"/>
  <c r="H1841" i="5"/>
  <c r="I1841" i="5"/>
  <c r="H793" i="5"/>
  <c r="I793" i="5"/>
  <c r="H794" i="5"/>
  <c r="I794" i="5"/>
  <c r="H795" i="5"/>
  <c r="I795" i="5"/>
  <c r="H3543" i="5"/>
  <c r="I3543" i="5"/>
  <c r="H1842" i="5"/>
  <c r="I1842" i="5"/>
  <c r="H796" i="5"/>
  <c r="I796" i="5"/>
  <c r="H797" i="5"/>
  <c r="I797" i="5"/>
  <c r="H1256" i="5"/>
  <c r="I1256" i="5"/>
  <c r="H1257" i="5"/>
  <c r="I1257" i="5"/>
  <c r="H1258" i="5"/>
  <c r="I1258" i="5"/>
  <c r="H193" i="5"/>
  <c r="I193" i="5"/>
  <c r="H2897" i="5"/>
  <c r="I2897" i="5"/>
  <c r="H1259" i="5"/>
  <c r="I1259" i="5"/>
  <c r="H1260" i="5"/>
  <c r="I1260" i="5"/>
  <c r="H2898" i="5"/>
  <c r="I2898" i="5"/>
  <c r="H2899" i="5"/>
  <c r="I2899" i="5"/>
  <c r="H2900" i="5"/>
  <c r="I2900" i="5"/>
  <c r="H2901" i="5"/>
  <c r="I2901" i="5"/>
  <c r="H1261" i="5"/>
  <c r="I1261" i="5"/>
  <c r="H2902" i="5"/>
  <c r="I2902" i="5"/>
  <c r="H2903" i="5"/>
  <c r="I2903" i="5"/>
  <c r="H2904" i="5"/>
  <c r="I2904" i="5"/>
  <c r="H194" i="5"/>
  <c r="I194" i="5"/>
  <c r="H195" i="5"/>
  <c r="I195" i="5"/>
  <c r="H1262" i="5"/>
  <c r="I1262" i="5"/>
  <c r="H1423" i="5"/>
  <c r="I1423" i="5"/>
  <c r="H437" i="5"/>
  <c r="I437" i="5"/>
  <c r="H1424" i="5"/>
  <c r="I1424" i="5"/>
  <c r="H1425" i="5"/>
  <c r="I1425" i="5"/>
  <c r="H1426" i="5"/>
  <c r="I1426" i="5"/>
  <c r="H438" i="5"/>
  <c r="I438" i="5"/>
  <c r="H3166" i="5"/>
  <c r="I3166" i="5"/>
  <c r="H1427" i="5"/>
  <c r="I1427" i="5"/>
  <c r="H1428" i="5"/>
  <c r="I1428" i="5"/>
  <c r="H439" i="5"/>
  <c r="I439" i="5"/>
  <c r="H440" i="5"/>
  <c r="I440" i="5"/>
  <c r="H441" i="5"/>
  <c r="I441" i="5"/>
  <c r="H442" i="5"/>
  <c r="I442" i="5"/>
  <c r="H443" i="5"/>
  <c r="I443" i="5"/>
  <c r="H1429" i="5"/>
  <c r="I1429" i="5"/>
  <c r="H3167" i="5"/>
  <c r="I3167" i="5"/>
  <c r="H3168" i="5"/>
  <c r="I3168" i="5"/>
  <c r="H444" i="5"/>
  <c r="I444" i="5"/>
  <c r="H1430" i="5"/>
  <c r="I1430" i="5"/>
  <c r="H1431" i="5"/>
  <c r="I1431" i="5"/>
  <c r="H445" i="5"/>
  <c r="I445" i="5"/>
  <c r="H1432" i="5"/>
  <c r="I1432" i="5"/>
  <c r="H1433" i="5"/>
  <c r="I1433" i="5"/>
  <c r="H1843" i="5"/>
  <c r="I1843" i="5"/>
  <c r="H3544" i="5"/>
  <c r="I3544" i="5"/>
  <c r="H1844" i="5"/>
  <c r="I1844" i="5"/>
  <c r="H1845" i="5"/>
  <c r="I1845" i="5"/>
  <c r="H2905" i="5"/>
  <c r="I2905" i="5"/>
  <c r="H196" i="5"/>
  <c r="I196" i="5"/>
  <c r="H1263" i="5"/>
  <c r="I1263" i="5"/>
  <c r="H2906" i="5"/>
  <c r="I2906" i="5"/>
  <c r="H1264" i="5"/>
  <c r="I1264" i="5"/>
  <c r="H197" i="5"/>
  <c r="I197" i="5"/>
  <c r="H2907" i="5"/>
  <c r="I2907" i="5"/>
  <c r="H198" i="5"/>
  <c r="I198" i="5"/>
  <c r="H2908" i="5"/>
  <c r="I2908" i="5"/>
  <c r="H1265" i="5"/>
  <c r="I1265" i="5"/>
  <c r="H199" i="5"/>
  <c r="I199" i="5"/>
  <c r="H200" i="5"/>
  <c r="I200" i="5"/>
  <c r="H1266" i="5"/>
  <c r="I1266" i="5"/>
  <c r="H2909" i="5"/>
  <c r="I2909" i="5"/>
  <c r="H1267" i="5"/>
  <c r="I1267" i="5"/>
  <c r="H1268" i="5"/>
  <c r="I1268" i="5"/>
  <c r="H1269" i="5"/>
  <c r="I1269" i="5"/>
  <c r="H2910" i="5"/>
  <c r="I2910" i="5"/>
  <c r="H1270" i="5"/>
  <c r="I1270" i="5"/>
  <c r="H1271" i="5"/>
  <c r="I1271" i="5"/>
  <c r="H1272" i="5"/>
  <c r="I1272" i="5"/>
  <c r="H2911" i="5"/>
  <c r="I2911" i="5"/>
  <c r="H201" i="5"/>
  <c r="I201" i="5"/>
  <c r="H1273" i="5"/>
  <c r="I1273" i="5"/>
  <c r="H1274" i="5"/>
  <c r="I1274" i="5"/>
  <c r="H446" i="5"/>
  <c r="I446" i="5"/>
  <c r="H1434" i="5"/>
  <c r="I1434" i="5"/>
  <c r="H447" i="5"/>
  <c r="I447" i="5"/>
  <c r="H448" i="5"/>
  <c r="I448" i="5"/>
  <c r="H3169" i="5"/>
  <c r="I3169" i="5"/>
  <c r="H3170" i="5"/>
  <c r="I3170" i="5"/>
  <c r="H449" i="5"/>
  <c r="I449" i="5"/>
  <c r="H1435" i="5"/>
  <c r="I1435" i="5"/>
  <c r="H450" i="5"/>
  <c r="I450" i="5"/>
  <c r="H451" i="5"/>
  <c r="I451" i="5"/>
  <c r="H3171" i="5"/>
  <c r="I3171" i="5"/>
  <c r="H1436" i="5"/>
  <c r="I1436" i="5"/>
  <c r="H1437" i="5"/>
  <c r="I1437" i="5"/>
  <c r="H798" i="5"/>
  <c r="I798" i="5"/>
  <c r="H799" i="5"/>
  <c r="I799" i="5"/>
  <c r="H1846" i="5"/>
  <c r="I1846" i="5"/>
  <c r="H800" i="5"/>
  <c r="I800" i="5"/>
  <c r="H801" i="5"/>
  <c r="I801" i="5"/>
  <c r="H802" i="5"/>
  <c r="I802" i="5"/>
  <c r="H803" i="5"/>
  <c r="I803" i="5"/>
  <c r="H804" i="5"/>
  <c r="I804" i="5"/>
  <c r="H805" i="5"/>
  <c r="I805" i="5"/>
  <c r="H806" i="5"/>
  <c r="I806" i="5"/>
  <c r="H807" i="5"/>
  <c r="I807" i="5"/>
  <c r="H1847" i="5"/>
  <c r="I1847" i="5"/>
  <c r="H3545" i="5"/>
  <c r="I3545" i="5"/>
  <c r="H3546" i="5"/>
  <c r="I3546" i="5"/>
  <c r="H3547" i="5"/>
  <c r="I3547" i="5"/>
  <c r="H808" i="5"/>
  <c r="I808" i="5"/>
  <c r="H809" i="5"/>
  <c r="I809" i="5"/>
  <c r="H2912" i="5"/>
  <c r="I2912" i="5"/>
  <c r="H452" i="5"/>
  <c r="I452" i="5"/>
  <c r="H453" i="5"/>
  <c r="I453" i="5"/>
  <c r="H454" i="5"/>
  <c r="I454" i="5"/>
  <c r="H455" i="5"/>
  <c r="I455" i="5"/>
  <c r="H456" i="5"/>
  <c r="I456" i="5"/>
  <c r="H457" i="5"/>
  <c r="I457" i="5"/>
  <c r="H3172" i="5"/>
  <c r="I3172" i="5"/>
  <c r="H458" i="5"/>
  <c r="I458" i="5"/>
  <c r="H2363" i="5"/>
  <c r="I2363" i="5"/>
  <c r="H2364" i="5"/>
  <c r="I2364" i="5"/>
  <c r="H2365" i="5"/>
  <c r="I2365" i="5"/>
  <c r="H459" i="5"/>
  <c r="I459" i="5"/>
  <c r="H2366" i="5"/>
  <c r="I2366" i="5"/>
  <c r="H2367" i="5"/>
  <c r="I2367" i="5"/>
  <c r="H460" i="5"/>
  <c r="I460" i="5"/>
  <c r="H461" i="5"/>
  <c r="I461" i="5"/>
  <c r="H2368" i="5"/>
  <c r="I2368" i="5"/>
  <c r="H2369" i="5"/>
  <c r="I2369" i="5"/>
  <c r="H2370" i="5"/>
  <c r="I2370" i="5"/>
  <c r="H2371" i="5"/>
  <c r="I2371" i="5"/>
  <c r="H2372" i="5"/>
  <c r="I2372" i="5"/>
  <c r="H3173" i="5"/>
  <c r="I3173" i="5"/>
  <c r="H3174" i="5"/>
  <c r="I3174" i="5"/>
  <c r="H3175" i="5"/>
  <c r="I3175" i="5"/>
  <c r="H462" i="5"/>
  <c r="I462" i="5"/>
  <c r="H463" i="5"/>
  <c r="I463" i="5"/>
  <c r="H810" i="5"/>
  <c r="I810" i="5"/>
  <c r="H811" i="5"/>
  <c r="I811" i="5"/>
  <c r="H812" i="5"/>
  <c r="I812" i="5"/>
  <c r="H813" i="5"/>
  <c r="I813" i="5"/>
  <c r="H814" i="5"/>
  <c r="I814" i="5"/>
  <c r="H815" i="5"/>
  <c r="I815" i="5"/>
  <c r="H816" i="5"/>
  <c r="I816" i="5"/>
  <c r="H817" i="5"/>
  <c r="I817" i="5"/>
  <c r="H818" i="5"/>
  <c r="I818" i="5"/>
  <c r="H3548" i="5"/>
  <c r="I3548" i="5"/>
  <c r="H3549" i="5"/>
  <c r="I3549" i="5"/>
  <c r="H819" i="5"/>
  <c r="I819" i="5"/>
  <c r="H820" i="5"/>
  <c r="I820" i="5"/>
  <c r="H2569" i="5"/>
  <c r="I2569" i="5"/>
  <c r="H3550" i="5"/>
  <c r="I3550" i="5"/>
  <c r="H821" i="5"/>
  <c r="I821" i="5"/>
  <c r="H3551" i="5"/>
  <c r="I3551" i="5"/>
  <c r="H3552" i="5"/>
  <c r="I3552" i="5"/>
  <c r="H464" i="5"/>
  <c r="I464" i="5"/>
  <c r="H465" i="5"/>
  <c r="I465" i="5"/>
  <c r="H466" i="5"/>
  <c r="I466" i="5"/>
  <c r="H467" i="5"/>
  <c r="I467" i="5"/>
  <c r="H468" i="5"/>
  <c r="I468" i="5"/>
  <c r="H469" i="5"/>
  <c r="I469" i="5"/>
  <c r="H470" i="5"/>
  <c r="I470" i="5"/>
  <c r="H471" i="5"/>
  <c r="I471" i="5"/>
  <c r="H472" i="5"/>
  <c r="I472" i="5"/>
  <c r="H473" i="5"/>
  <c r="I473" i="5"/>
  <c r="H474" i="5"/>
  <c r="I474" i="5"/>
  <c r="H475" i="5"/>
  <c r="I475" i="5"/>
  <c r="H476" i="5"/>
  <c r="I476" i="5"/>
  <c r="H477" i="5"/>
  <c r="I477" i="5"/>
  <c r="H478" i="5"/>
  <c r="I478" i="5"/>
  <c r="H479" i="5"/>
  <c r="I479" i="5"/>
  <c r="H480" i="5"/>
  <c r="I480" i="5"/>
  <c r="H481" i="5"/>
  <c r="I481" i="5"/>
  <c r="H482" i="5"/>
  <c r="I482" i="5"/>
  <c r="H483" i="5"/>
  <c r="I483" i="5"/>
  <c r="H822" i="5"/>
  <c r="I822" i="5"/>
  <c r="H823" i="5"/>
  <c r="I823" i="5"/>
  <c r="H824" i="5"/>
  <c r="I824" i="5"/>
  <c r="H825" i="5"/>
  <c r="I825" i="5"/>
  <c r="H826" i="5"/>
  <c r="I826" i="5"/>
  <c r="H827" i="5"/>
  <c r="I827" i="5"/>
  <c r="H828" i="5"/>
  <c r="I828" i="5"/>
  <c r="H829" i="5"/>
  <c r="I829" i="5"/>
  <c r="H830" i="5"/>
  <c r="I830" i="5"/>
  <c r="H831" i="5"/>
  <c r="I831" i="5"/>
  <c r="H832" i="5"/>
  <c r="I832" i="5"/>
  <c r="H833" i="5"/>
  <c r="I833" i="5"/>
  <c r="H834" i="5"/>
  <c r="I834" i="5"/>
  <c r="H835" i="5"/>
  <c r="I835" i="5"/>
  <c r="H836" i="5"/>
  <c r="I836" i="5"/>
  <c r="H837" i="5"/>
  <c r="I837" i="5"/>
  <c r="H838" i="5"/>
  <c r="I838" i="5"/>
  <c r="H839" i="5"/>
  <c r="I839" i="5"/>
  <c r="H840" i="5"/>
  <c r="I840" i="5"/>
  <c r="H841" i="5"/>
  <c r="I841" i="5"/>
  <c r="H842" i="5"/>
  <c r="I842" i="5"/>
  <c r="H843" i="5"/>
  <c r="I843" i="5"/>
  <c r="H844" i="5"/>
  <c r="I844" i="5"/>
  <c r="H845" i="5"/>
  <c r="I845" i="5"/>
  <c r="H846" i="5"/>
  <c r="I846" i="5"/>
  <c r="H847" i="5"/>
  <c r="I847" i="5"/>
  <c r="H848" i="5"/>
  <c r="I848" i="5"/>
  <c r="H849" i="5"/>
  <c r="I849" i="5"/>
  <c r="H850" i="5"/>
  <c r="I850" i="5"/>
  <c r="H851" i="5"/>
  <c r="I851" i="5"/>
  <c r="H852" i="5"/>
  <c r="I852" i="5"/>
  <c r="H853" i="5"/>
  <c r="I853" i="5"/>
  <c r="H854" i="5"/>
  <c r="I854" i="5"/>
  <c r="H855" i="5"/>
  <c r="I855" i="5"/>
  <c r="H856" i="5"/>
  <c r="I856" i="5"/>
  <c r="H857" i="5"/>
  <c r="I857" i="5"/>
  <c r="H858" i="5"/>
  <c r="I858" i="5"/>
  <c r="H859" i="5"/>
  <c r="I859" i="5"/>
  <c r="H860" i="5"/>
  <c r="I860" i="5"/>
  <c r="H861" i="5"/>
  <c r="I861" i="5"/>
  <c r="H2723" i="5"/>
  <c r="I2723" i="5"/>
  <c r="H45" i="5"/>
  <c r="I45" i="5"/>
  <c r="H46" i="5"/>
  <c r="I46" i="5"/>
  <c r="H2913" i="5"/>
  <c r="I2913" i="5"/>
  <c r="H1275" i="5"/>
  <c r="I1275" i="5"/>
  <c r="H2914" i="5"/>
  <c r="I2914" i="5"/>
  <c r="H1276" i="5"/>
  <c r="I1276" i="5"/>
  <c r="H2915" i="5"/>
  <c r="I2915" i="5"/>
  <c r="H202" i="5"/>
  <c r="I202" i="5"/>
  <c r="H203" i="5"/>
  <c r="I203" i="5"/>
  <c r="H2916" i="5"/>
  <c r="I2916" i="5"/>
  <c r="H1277" i="5"/>
  <c r="I1277" i="5"/>
  <c r="H1278" i="5"/>
  <c r="I1278" i="5"/>
  <c r="H2917" i="5"/>
  <c r="I2917" i="5"/>
  <c r="H1279" i="5"/>
  <c r="I1279" i="5"/>
  <c r="H1280" i="5"/>
  <c r="I1280" i="5"/>
  <c r="H2918" i="5"/>
  <c r="I2918" i="5"/>
  <c r="H1281" i="5"/>
  <c r="I1281" i="5"/>
  <c r="H204" i="5"/>
  <c r="I204" i="5"/>
  <c r="H2919" i="5"/>
  <c r="I2919" i="5"/>
  <c r="H1282" i="5"/>
  <c r="I1282" i="5"/>
  <c r="H2920" i="5"/>
  <c r="I2920" i="5"/>
  <c r="H205" i="5"/>
  <c r="I205" i="5"/>
  <c r="H1283" i="5"/>
  <c r="I1283" i="5"/>
  <c r="H3176" i="5"/>
  <c r="I3176" i="5"/>
  <c r="H1438" i="5"/>
  <c r="I1438" i="5"/>
  <c r="H1439" i="5"/>
  <c r="I1439" i="5"/>
  <c r="H1440" i="5"/>
  <c r="I1440" i="5"/>
  <c r="H1441" i="5"/>
  <c r="I1441" i="5"/>
  <c r="H3177" i="5"/>
  <c r="I3177" i="5"/>
  <c r="H1442" i="5"/>
  <c r="I1442" i="5"/>
  <c r="H1443" i="5"/>
  <c r="I1443" i="5"/>
  <c r="H1444" i="5"/>
  <c r="I1444" i="5"/>
  <c r="H1445" i="5"/>
  <c r="I1445" i="5"/>
  <c r="H1446" i="5"/>
  <c r="I1446" i="5"/>
  <c r="H1447" i="5"/>
  <c r="I1447" i="5"/>
  <c r="H1448" i="5"/>
  <c r="I1448" i="5"/>
  <c r="H862" i="5"/>
  <c r="I862" i="5"/>
  <c r="H863" i="5"/>
  <c r="I863" i="5"/>
  <c r="H864" i="5"/>
  <c r="I864" i="5"/>
  <c r="H865" i="5"/>
  <c r="I865" i="5"/>
  <c r="H866" i="5"/>
  <c r="I866" i="5"/>
  <c r="H1848" i="5"/>
  <c r="I1848" i="5"/>
  <c r="H1284" i="5"/>
  <c r="I1284" i="5"/>
  <c r="H2921" i="5"/>
  <c r="I2921" i="5"/>
  <c r="H2922" i="5"/>
  <c r="I2922" i="5"/>
  <c r="H1285" i="5"/>
  <c r="I1285" i="5"/>
  <c r="H2923" i="5"/>
  <c r="I2923" i="5"/>
  <c r="H206" i="5"/>
  <c r="I206" i="5"/>
  <c r="H207" i="5"/>
  <c r="I207" i="5"/>
  <c r="H1286" i="5"/>
  <c r="I1286" i="5"/>
  <c r="H208" i="5"/>
  <c r="I208" i="5"/>
  <c r="H2924" i="5"/>
  <c r="I2924" i="5"/>
  <c r="H209" i="5"/>
  <c r="I209" i="5"/>
  <c r="H2925" i="5"/>
  <c r="I2925" i="5"/>
  <c r="H2926" i="5"/>
  <c r="I2926" i="5"/>
  <c r="H484" i="5"/>
  <c r="I484" i="5"/>
  <c r="H485" i="5"/>
  <c r="I485" i="5"/>
  <c r="H1449" i="5"/>
  <c r="I1449" i="5"/>
  <c r="H1450" i="5"/>
  <c r="I1450" i="5"/>
  <c r="H3178" i="5"/>
  <c r="I3178" i="5"/>
  <c r="H3179" i="5"/>
  <c r="I3179" i="5"/>
  <c r="H3180" i="5"/>
  <c r="I3180" i="5"/>
  <c r="H1451" i="5"/>
  <c r="I1451" i="5"/>
  <c r="H3181" i="5"/>
  <c r="I3181" i="5"/>
  <c r="H1452" i="5"/>
  <c r="I1452" i="5"/>
  <c r="H1453" i="5"/>
  <c r="I1453" i="5"/>
  <c r="H486" i="5"/>
  <c r="I486" i="5"/>
  <c r="H487" i="5"/>
  <c r="I487" i="5"/>
  <c r="H3182" i="5"/>
  <c r="I3182" i="5"/>
  <c r="H1454" i="5"/>
  <c r="I1454" i="5"/>
  <c r="H1849" i="5"/>
  <c r="I1849" i="5"/>
  <c r="H3553" i="5"/>
  <c r="I3553" i="5"/>
  <c r="H1850" i="5"/>
  <c r="I1850" i="5"/>
  <c r="H1851" i="5"/>
  <c r="I1851" i="5"/>
  <c r="H1852" i="5"/>
  <c r="I1852" i="5"/>
  <c r="H3554" i="5"/>
  <c r="I3554" i="5"/>
  <c r="H1853" i="5"/>
  <c r="I1853" i="5"/>
  <c r="H1854" i="5"/>
  <c r="I1854" i="5"/>
  <c r="H1855" i="5"/>
  <c r="I1855" i="5"/>
  <c r="H2724" i="5"/>
  <c r="I2724" i="5"/>
  <c r="H2725" i="5"/>
  <c r="I2725" i="5"/>
  <c r="H2239" i="5"/>
  <c r="I2239" i="5"/>
  <c r="H2240" i="5"/>
  <c r="I2240" i="5"/>
  <c r="H1287" i="5"/>
  <c r="I1287" i="5"/>
  <c r="H2241" i="5"/>
  <c r="I2241" i="5"/>
  <c r="H2242" i="5"/>
  <c r="I2242" i="5"/>
  <c r="H1288" i="5"/>
  <c r="I1288" i="5"/>
  <c r="H210" i="5"/>
  <c r="I210" i="5"/>
  <c r="H211" i="5"/>
  <c r="I211" i="5"/>
  <c r="H2927" i="5"/>
  <c r="I2927" i="5"/>
  <c r="H212" i="5"/>
  <c r="I212" i="5"/>
  <c r="H2928" i="5"/>
  <c r="I2928" i="5"/>
  <c r="H2929" i="5"/>
  <c r="I2929" i="5"/>
  <c r="H2930" i="5"/>
  <c r="I2930" i="5"/>
  <c r="H213" i="5"/>
  <c r="I213" i="5"/>
  <c r="H214" i="5"/>
  <c r="I214" i="5"/>
  <c r="H215" i="5"/>
  <c r="I215" i="5"/>
  <c r="H216" i="5"/>
  <c r="I216" i="5"/>
  <c r="H2931" i="5"/>
  <c r="I2931" i="5"/>
  <c r="H2932" i="5"/>
  <c r="I2932" i="5"/>
  <c r="H217" i="5"/>
  <c r="I217" i="5"/>
  <c r="H1289" i="5"/>
  <c r="I1289" i="5"/>
  <c r="H2933" i="5"/>
  <c r="I2933" i="5"/>
  <c r="H1290" i="5"/>
  <c r="I1290" i="5"/>
  <c r="H218" i="5"/>
  <c r="I218" i="5"/>
  <c r="H219" i="5"/>
  <c r="I219" i="5"/>
  <c r="H2243" i="5"/>
  <c r="I2243" i="5"/>
  <c r="H2934" i="5"/>
  <c r="I2934" i="5"/>
  <c r="H1291" i="5"/>
  <c r="I1291" i="5"/>
  <c r="H2244" i="5"/>
  <c r="I2244" i="5"/>
  <c r="H1292" i="5"/>
  <c r="I1292" i="5"/>
  <c r="H1455" i="5"/>
  <c r="I1455" i="5"/>
  <c r="H1456" i="5"/>
  <c r="I1456" i="5"/>
  <c r="H488" i="5"/>
  <c r="I488" i="5"/>
  <c r="H489" i="5"/>
  <c r="I489" i="5"/>
  <c r="H490" i="5"/>
  <c r="I490" i="5"/>
  <c r="H3183" i="5"/>
  <c r="I3183" i="5"/>
  <c r="H1457" i="5"/>
  <c r="I1457" i="5"/>
  <c r="H491" i="5"/>
  <c r="I491" i="5"/>
  <c r="H492" i="5"/>
  <c r="I492" i="5"/>
  <c r="H2373" i="5"/>
  <c r="I2373" i="5"/>
  <c r="H2374" i="5"/>
  <c r="I2374" i="5"/>
  <c r="H1458" i="5"/>
  <c r="I1458" i="5"/>
  <c r="H3184" i="5"/>
  <c r="I3184" i="5"/>
  <c r="H493" i="5"/>
  <c r="I493" i="5"/>
  <c r="H1856" i="5"/>
  <c r="I1856" i="5"/>
  <c r="H867" i="5"/>
  <c r="I867" i="5"/>
  <c r="H3555" i="5"/>
  <c r="I3555" i="5"/>
  <c r="H868" i="5"/>
  <c r="I868" i="5"/>
  <c r="H869" i="5"/>
  <c r="I869" i="5"/>
  <c r="H870" i="5"/>
  <c r="I870" i="5"/>
  <c r="H2570" i="5"/>
  <c r="I2570" i="5"/>
  <c r="H2571" i="5"/>
  <c r="I2571" i="5"/>
  <c r="H871" i="5"/>
  <c r="I871" i="5"/>
  <c r="H2726" i="5"/>
  <c r="I2726" i="5"/>
  <c r="H2935" i="5"/>
  <c r="I2935" i="5"/>
  <c r="H494" i="5"/>
  <c r="I494" i="5"/>
  <c r="H2375" i="5"/>
  <c r="I2375" i="5"/>
  <c r="H2376" i="5"/>
  <c r="I2376" i="5"/>
  <c r="H2377" i="5"/>
  <c r="I2377" i="5"/>
  <c r="H2378" i="5"/>
  <c r="I2378" i="5"/>
  <c r="H495" i="5"/>
  <c r="I495" i="5"/>
  <c r="H496" i="5"/>
  <c r="I496" i="5"/>
  <c r="H497" i="5"/>
  <c r="I497" i="5"/>
  <c r="H498" i="5"/>
  <c r="I498" i="5"/>
  <c r="H2379" i="5"/>
  <c r="I2379" i="5"/>
  <c r="H499" i="5"/>
  <c r="I499" i="5"/>
  <c r="H2380" i="5"/>
  <c r="I2380" i="5"/>
  <c r="H2381" i="5"/>
  <c r="I2381" i="5"/>
  <c r="H500" i="5"/>
  <c r="I500" i="5"/>
  <c r="H501" i="5"/>
  <c r="I501" i="5"/>
  <c r="H2382" i="5"/>
  <c r="I2382" i="5"/>
  <c r="H502" i="5"/>
  <c r="I502" i="5"/>
  <c r="H2383" i="5"/>
  <c r="I2383" i="5"/>
  <c r="H503" i="5"/>
  <c r="I503" i="5"/>
  <c r="H504" i="5"/>
  <c r="I504" i="5"/>
  <c r="H2384" i="5"/>
  <c r="I2384" i="5"/>
  <c r="H2385" i="5"/>
  <c r="I2385" i="5"/>
  <c r="H505" i="5"/>
  <c r="I505" i="5"/>
  <c r="H2386" i="5"/>
  <c r="I2386" i="5"/>
  <c r="H2387" i="5"/>
  <c r="I2387" i="5"/>
  <c r="H2572" i="5"/>
  <c r="I2572" i="5"/>
  <c r="H872" i="5"/>
  <c r="I872" i="5"/>
  <c r="H2573" i="5"/>
  <c r="I2573" i="5"/>
  <c r="H2574" i="5"/>
  <c r="I2574" i="5"/>
  <c r="H2575" i="5"/>
  <c r="I2575" i="5"/>
  <c r="H873" i="5"/>
  <c r="I873" i="5"/>
  <c r="H874" i="5"/>
  <c r="I874" i="5"/>
  <c r="H2576" i="5"/>
  <c r="I2576" i="5"/>
  <c r="H2577" i="5"/>
  <c r="I2577" i="5"/>
  <c r="H875" i="5"/>
  <c r="I875" i="5"/>
  <c r="H876" i="5"/>
  <c r="I876" i="5"/>
  <c r="H2578" i="5"/>
  <c r="I2578" i="5"/>
  <c r="H2579" i="5"/>
  <c r="I2579" i="5"/>
  <c r="H2580" i="5"/>
  <c r="I2580" i="5"/>
  <c r="H877" i="5"/>
  <c r="I877" i="5"/>
  <c r="H2581" i="5"/>
  <c r="I2581" i="5"/>
  <c r="H878" i="5"/>
  <c r="I878" i="5"/>
  <c r="H879" i="5"/>
  <c r="I879" i="5"/>
  <c r="H880" i="5"/>
  <c r="I880" i="5"/>
  <c r="H881" i="5"/>
  <c r="I881" i="5"/>
  <c r="H882" i="5"/>
  <c r="I882" i="5"/>
  <c r="H883" i="5"/>
  <c r="I883" i="5"/>
  <c r="H884" i="5"/>
  <c r="I884" i="5"/>
  <c r="H885" i="5"/>
  <c r="I885" i="5"/>
  <c r="H886" i="5"/>
  <c r="I886" i="5"/>
  <c r="H887" i="5"/>
  <c r="I887" i="5"/>
  <c r="H888" i="5"/>
  <c r="I888" i="5"/>
  <c r="H889" i="5"/>
  <c r="I889" i="5"/>
  <c r="H890" i="5"/>
  <c r="I890" i="5"/>
  <c r="H891" i="5"/>
  <c r="I891" i="5"/>
  <c r="H892" i="5"/>
  <c r="I892" i="5"/>
  <c r="H893" i="5"/>
  <c r="I893" i="5"/>
  <c r="H894" i="5"/>
  <c r="I894" i="5"/>
  <c r="H895" i="5"/>
  <c r="I895" i="5"/>
  <c r="H896" i="5"/>
  <c r="I896" i="5"/>
  <c r="H897" i="5"/>
  <c r="I897" i="5"/>
  <c r="H2582" i="5"/>
  <c r="I2582" i="5"/>
  <c r="H1857" i="5"/>
  <c r="I1857" i="5"/>
  <c r="H1858" i="5"/>
  <c r="I1858" i="5"/>
  <c r="H1859" i="5"/>
  <c r="I1859" i="5"/>
  <c r="H1860" i="5"/>
  <c r="I1860" i="5"/>
  <c r="H1861" i="5"/>
  <c r="I1861" i="5"/>
  <c r="H1862" i="5"/>
  <c r="I1862" i="5"/>
  <c r="H1863" i="5"/>
  <c r="I1863" i="5"/>
  <c r="H1864" i="5"/>
  <c r="I1864" i="5"/>
  <c r="H2583" i="5"/>
  <c r="I2583" i="5"/>
  <c r="H2584" i="5"/>
  <c r="I2584" i="5"/>
  <c r="H506" i="5"/>
  <c r="I506" i="5"/>
  <c r="H1459" i="5"/>
  <c r="I1459" i="5"/>
  <c r="H507" i="5"/>
  <c r="I507" i="5"/>
  <c r="H1460" i="5"/>
  <c r="I1460" i="5"/>
  <c r="H1461" i="5"/>
  <c r="I1461" i="5"/>
  <c r="H1462" i="5"/>
  <c r="I1462" i="5"/>
  <c r="H508" i="5"/>
  <c r="I508" i="5"/>
  <c r="H3185" i="5"/>
  <c r="I3185" i="5"/>
  <c r="H3186" i="5"/>
  <c r="I3186" i="5"/>
  <c r="H3187" i="5"/>
  <c r="I3187" i="5"/>
  <c r="H3188" i="5"/>
  <c r="I3188" i="5"/>
  <c r="H509" i="5"/>
  <c r="I509" i="5"/>
  <c r="H1463" i="5"/>
  <c r="I1463" i="5"/>
  <c r="H3189" i="5"/>
  <c r="I3189" i="5"/>
  <c r="H1464" i="5"/>
  <c r="I1464" i="5"/>
  <c r="H1465" i="5"/>
  <c r="I1465" i="5"/>
  <c r="H510" i="5"/>
  <c r="I510" i="5"/>
  <c r="H511" i="5"/>
  <c r="I511" i="5"/>
  <c r="H3190" i="5"/>
  <c r="I3190" i="5"/>
  <c r="H1865" i="5"/>
  <c r="I1865" i="5"/>
  <c r="H1866" i="5"/>
  <c r="I1866" i="5"/>
  <c r="H1867" i="5"/>
  <c r="I1867" i="5"/>
  <c r="H3556" i="5"/>
  <c r="I3556" i="5"/>
  <c r="H1868" i="5"/>
  <c r="I1868" i="5"/>
  <c r="H1869" i="5"/>
  <c r="I1869" i="5"/>
  <c r="H1870" i="5"/>
  <c r="I1870" i="5"/>
  <c r="H3557" i="5"/>
  <c r="I3557" i="5"/>
  <c r="H3558" i="5"/>
  <c r="I3558" i="5"/>
  <c r="H1871" i="5"/>
  <c r="I1871" i="5"/>
  <c r="H1872" i="5"/>
  <c r="I1872" i="5"/>
  <c r="H2585" i="5"/>
  <c r="I2585" i="5"/>
  <c r="H2586" i="5"/>
  <c r="I2586" i="5"/>
  <c r="H2587" i="5"/>
  <c r="I2587" i="5"/>
  <c r="H2588" i="5"/>
  <c r="I2588" i="5"/>
  <c r="H2589" i="5"/>
  <c r="I2589" i="5"/>
  <c r="H2590" i="5"/>
  <c r="I2590" i="5"/>
  <c r="H2591" i="5"/>
  <c r="I2591" i="5"/>
  <c r="H2592" i="5"/>
  <c r="I2592" i="5"/>
  <c r="H2593" i="5"/>
  <c r="I2593" i="5"/>
  <c r="H2594" i="5"/>
  <c r="I2594" i="5"/>
  <c r="H2595" i="5"/>
  <c r="I2595" i="5"/>
  <c r="H2596" i="5"/>
  <c r="I2596" i="5"/>
  <c r="H2597" i="5"/>
  <c r="I2597" i="5"/>
  <c r="H2598" i="5"/>
  <c r="I2598" i="5"/>
  <c r="H2599" i="5"/>
  <c r="I2599" i="5"/>
  <c r="H2600" i="5"/>
  <c r="I2600" i="5"/>
  <c r="H2601" i="5"/>
  <c r="I2601" i="5"/>
  <c r="H2602" i="5"/>
  <c r="I2602" i="5"/>
  <c r="H2603" i="5"/>
  <c r="I2603" i="5"/>
  <c r="H2604" i="5"/>
  <c r="I2604" i="5"/>
  <c r="H2605" i="5"/>
  <c r="I2605" i="5"/>
  <c r="H2606" i="5"/>
  <c r="I2606" i="5"/>
  <c r="H3191" i="5"/>
  <c r="I3191" i="5"/>
  <c r="H1466" i="5"/>
  <c r="I1466" i="5"/>
  <c r="H3192" i="5"/>
  <c r="I3192" i="5"/>
  <c r="H3193" i="5"/>
  <c r="I3193" i="5"/>
  <c r="H1467" i="5"/>
  <c r="I1467" i="5"/>
  <c r="H1468" i="5"/>
  <c r="I1468" i="5"/>
  <c r="H3194" i="5"/>
  <c r="I3194" i="5"/>
  <c r="H1469" i="5"/>
  <c r="I1469" i="5"/>
  <c r="H1470" i="5"/>
  <c r="I1470" i="5"/>
  <c r="H3195" i="5"/>
  <c r="I3195" i="5"/>
  <c r="H1471" i="5"/>
  <c r="I1471" i="5"/>
  <c r="H3196" i="5"/>
  <c r="I3196" i="5"/>
  <c r="H3197" i="5"/>
  <c r="I3197" i="5"/>
  <c r="H3198" i="5"/>
  <c r="I3198" i="5"/>
  <c r="H1472" i="5"/>
  <c r="I1472" i="5"/>
  <c r="H3199" i="5"/>
  <c r="I3199" i="5"/>
  <c r="H1473" i="5"/>
  <c r="I1473" i="5"/>
  <c r="H3200" i="5"/>
  <c r="I3200" i="5"/>
  <c r="H3559" i="5"/>
  <c r="I3559" i="5"/>
  <c r="H1873" i="5"/>
  <c r="I1873" i="5"/>
  <c r="H1874" i="5"/>
  <c r="I1874" i="5"/>
  <c r="H1875" i="5"/>
  <c r="I1875" i="5"/>
  <c r="H1876" i="5"/>
  <c r="I1876" i="5"/>
  <c r="H1877" i="5"/>
  <c r="I1877" i="5"/>
  <c r="H3560" i="5"/>
  <c r="I3560" i="5"/>
  <c r="H3561" i="5"/>
  <c r="I3561" i="5"/>
  <c r="H3562" i="5"/>
  <c r="I3562" i="5"/>
  <c r="H1878" i="5"/>
  <c r="I1878" i="5"/>
  <c r="H1879" i="5"/>
  <c r="I1879" i="5"/>
  <c r="H1474" i="5"/>
  <c r="I1474" i="5"/>
  <c r="H1475" i="5"/>
  <c r="I1475" i="5"/>
  <c r="H1476" i="5"/>
  <c r="I1476" i="5"/>
  <c r="H1477" i="5"/>
  <c r="I1477" i="5"/>
  <c r="H1478" i="5"/>
  <c r="I1478" i="5"/>
  <c r="H1479" i="5"/>
  <c r="I1479" i="5"/>
  <c r="H3201" i="5"/>
  <c r="I3201" i="5"/>
  <c r="H3202" i="5"/>
  <c r="I3202" i="5"/>
  <c r="H3203" i="5"/>
  <c r="I3203" i="5"/>
  <c r="H1480" i="5"/>
  <c r="I1480" i="5"/>
  <c r="H3204" i="5"/>
  <c r="I3204" i="5"/>
  <c r="H1481" i="5"/>
  <c r="I1481" i="5"/>
  <c r="H1482" i="5"/>
  <c r="I1482" i="5"/>
  <c r="H1483" i="5"/>
  <c r="I1483" i="5"/>
  <c r="H3563" i="5"/>
  <c r="I3563" i="5"/>
  <c r="H3564" i="5"/>
  <c r="I3564" i="5"/>
  <c r="H3565" i="5"/>
  <c r="I3565" i="5"/>
  <c r="H3566" i="5"/>
  <c r="I3566" i="5"/>
  <c r="H1880" i="5"/>
  <c r="I1880" i="5"/>
  <c r="H3567" i="5"/>
  <c r="I3567" i="5"/>
  <c r="H1881" i="5"/>
  <c r="I1881" i="5"/>
  <c r="H1882" i="5"/>
  <c r="I1882" i="5"/>
  <c r="H3568" i="5"/>
  <c r="I3568" i="5"/>
  <c r="H1883" i="5"/>
  <c r="I1883" i="5"/>
  <c r="H1884" i="5"/>
  <c r="I1884" i="5"/>
  <c r="H3205" i="5"/>
  <c r="I3205" i="5"/>
  <c r="H1484" i="5"/>
  <c r="I1484" i="5"/>
  <c r="H1485" i="5"/>
  <c r="I1485" i="5"/>
  <c r="H1486" i="5"/>
  <c r="I1486" i="5"/>
  <c r="H1487" i="5"/>
  <c r="I1487" i="5"/>
  <c r="H1488" i="5"/>
  <c r="I1488" i="5"/>
  <c r="H1489" i="5"/>
  <c r="I1489" i="5"/>
  <c r="H1490" i="5"/>
  <c r="I1490" i="5"/>
  <c r="H3206" i="5"/>
  <c r="I3206" i="5"/>
  <c r="H1491" i="5"/>
  <c r="I1491" i="5"/>
  <c r="H1492" i="5"/>
  <c r="I1492" i="5"/>
  <c r="H1493" i="5"/>
  <c r="I1493" i="5"/>
  <c r="H1494" i="5"/>
  <c r="I1494" i="5"/>
  <c r="H3207" i="5"/>
  <c r="I3207" i="5"/>
  <c r="H3208" i="5"/>
  <c r="I3208" i="5"/>
  <c r="H1495" i="5"/>
  <c r="I1495" i="5"/>
  <c r="H3569" i="5"/>
  <c r="I3569" i="5"/>
  <c r="H3570" i="5"/>
  <c r="I3570" i="5"/>
  <c r="H3571" i="5"/>
  <c r="I3571" i="5"/>
  <c r="H1885" i="5"/>
  <c r="I1885" i="5"/>
  <c r="H1886" i="5"/>
  <c r="I1886" i="5"/>
  <c r="H3572" i="5"/>
  <c r="I3572" i="5"/>
  <c r="H3573" i="5"/>
  <c r="I3573" i="5"/>
  <c r="H1887" i="5"/>
  <c r="I1887" i="5"/>
  <c r="H3574" i="5"/>
  <c r="I3574" i="5"/>
  <c r="H3575" i="5"/>
  <c r="I3575" i="5"/>
  <c r="H3209" i="5"/>
  <c r="I3209" i="5"/>
  <c r="H1496" i="5"/>
  <c r="I1496" i="5"/>
  <c r="H1497" i="5"/>
  <c r="I1497" i="5"/>
  <c r="H3210" i="5"/>
  <c r="I3210" i="5"/>
  <c r="H1498" i="5"/>
  <c r="I1498" i="5"/>
  <c r="H1499" i="5"/>
  <c r="I1499" i="5"/>
  <c r="H3211" i="5"/>
  <c r="I3211" i="5"/>
  <c r="H1500" i="5"/>
  <c r="I1500" i="5"/>
  <c r="H3212" i="5"/>
  <c r="I3212" i="5"/>
  <c r="H3576" i="5"/>
  <c r="I3576" i="5"/>
  <c r="H1888" i="5"/>
  <c r="I1888" i="5"/>
  <c r="H1889" i="5"/>
  <c r="I1889" i="5"/>
  <c r="H1293" i="5"/>
  <c r="I1293" i="5"/>
  <c r="H220" i="5"/>
  <c r="I220" i="5"/>
  <c r="H221" i="5"/>
  <c r="I221" i="5"/>
  <c r="H1294" i="5"/>
  <c r="I1294" i="5"/>
  <c r="H1295" i="5"/>
  <c r="I1295" i="5"/>
  <c r="H222" i="5"/>
  <c r="I222" i="5"/>
  <c r="H1296" i="5"/>
  <c r="I1296" i="5"/>
  <c r="H512" i="5"/>
  <c r="I512" i="5"/>
  <c r="H513" i="5"/>
  <c r="I513" i="5"/>
  <c r="H1501" i="5"/>
  <c r="I1501" i="5"/>
  <c r="H1502" i="5"/>
  <c r="I1502" i="5"/>
  <c r="H1503" i="5"/>
  <c r="I1503" i="5"/>
  <c r="H1504" i="5"/>
  <c r="I1504" i="5"/>
  <c r="H1505" i="5"/>
  <c r="I1505" i="5"/>
  <c r="H1506" i="5"/>
  <c r="I1506" i="5"/>
  <c r="H1507" i="5"/>
  <c r="I1507" i="5"/>
  <c r="H1508" i="5"/>
  <c r="I1508" i="5"/>
  <c r="H1509" i="5"/>
  <c r="I1509" i="5"/>
  <c r="H1510" i="5"/>
  <c r="I1510" i="5"/>
  <c r="H1511" i="5"/>
  <c r="I1511" i="5"/>
  <c r="H514" i="5"/>
  <c r="I514" i="5"/>
  <c r="H515" i="5"/>
  <c r="I515" i="5"/>
  <c r="H1512" i="5"/>
  <c r="I1512" i="5"/>
  <c r="H1513" i="5"/>
  <c r="I1513" i="5"/>
  <c r="H1514" i="5"/>
  <c r="I1514" i="5"/>
  <c r="H1515" i="5"/>
  <c r="I1515" i="5"/>
  <c r="H1516" i="5"/>
  <c r="I1516" i="5"/>
  <c r="H1517" i="5"/>
  <c r="I1517" i="5"/>
  <c r="H1518" i="5"/>
  <c r="I1518" i="5"/>
  <c r="H1519" i="5"/>
  <c r="I1519" i="5"/>
  <c r="H516" i="5"/>
  <c r="I516" i="5"/>
  <c r="H1520" i="5"/>
  <c r="I1520" i="5"/>
  <c r="H517" i="5"/>
  <c r="I517" i="5"/>
  <c r="H1521" i="5"/>
  <c r="I1521" i="5"/>
  <c r="H1522" i="5"/>
  <c r="I1522" i="5"/>
  <c r="H1523" i="5"/>
  <c r="I1523" i="5"/>
  <c r="H1524" i="5"/>
  <c r="I1524" i="5"/>
  <c r="H898" i="5"/>
  <c r="I898" i="5"/>
  <c r="H899" i="5"/>
  <c r="I899" i="5"/>
  <c r="H900" i="5"/>
  <c r="I900" i="5"/>
  <c r="H223" i="5"/>
  <c r="I223" i="5"/>
  <c r="H1297" i="5"/>
  <c r="I1297" i="5"/>
  <c r="H1298" i="5"/>
  <c r="I1298" i="5"/>
  <c r="H2936" i="5"/>
  <c r="I2936" i="5"/>
  <c r="H224" i="5"/>
  <c r="I224" i="5"/>
  <c r="H1299" i="5"/>
  <c r="I1299" i="5"/>
  <c r="H2937" i="5"/>
  <c r="I2937" i="5"/>
  <c r="H1300" i="5"/>
  <c r="I1300" i="5"/>
  <c r="H2938" i="5"/>
  <c r="I2938" i="5"/>
  <c r="H1301" i="5"/>
  <c r="I1301" i="5"/>
  <c r="H2939" i="5"/>
  <c r="I2939" i="5"/>
  <c r="H2940" i="5"/>
  <c r="I2940" i="5"/>
  <c r="H1302" i="5"/>
  <c r="I1302" i="5"/>
  <c r="H225" i="5"/>
  <c r="I225" i="5"/>
  <c r="H226" i="5"/>
  <c r="I226" i="5"/>
  <c r="H227" i="5"/>
  <c r="I227" i="5"/>
  <c r="H2941" i="5"/>
  <c r="I2941" i="5"/>
  <c r="H1303" i="5"/>
  <c r="I1303" i="5"/>
  <c r="H2942" i="5"/>
  <c r="I2942" i="5"/>
  <c r="H1304" i="5"/>
  <c r="I1304" i="5"/>
  <c r="H2943" i="5"/>
  <c r="I2943" i="5"/>
  <c r="H1305" i="5"/>
  <c r="I1305" i="5"/>
  <c r="H1306" i="5"/>
  <c r="I1306" i="5"/>
  <c r="H2944" i="5"/>
  <c r="I2944" i="5"/>
  <c r="H1307" i="5"/>
  <c r="I1307" i="5"/>
  <c r="H2945" i="5"/>
  <c r="I2945" i="5"/>
  <c r="H1308" i="5"/>
  <c r="I1308" i="5"/>
  <c r="H1309" i="5"/>
  <c r="I1309" i="5"/>
  <c r="H2946" i="5"/>
  <c r="I2946" i="5"/>
  <c r="H2947" i="5"/>
  <c r="I2947" i="5"/>
  <c r="H228" i="5"/>
  <c r="I228" i="5"/>
  <c r="H229" i="5"/>
  <c r="I229" i="5"/>
  <c r="H2948" i="5"/>
  <c r="I2948" i="5"/>
  <c r="H518" i="5"/>
  <c r="I518" i="5"/>
  <c r="H3213" i="5"/>
  <c r="I3213" i="5"/>
  <c r="H519" i="5"/>
  <c r="I519" i="5"/>
  <c r="H520" i="5"/>
  <c r="I520" i="5"/>
  <c r="H1525" i="5"/>
  <c r="I1525" i="5"/>
  <c r="H3214" i="5"/>
  <c r="I3214" i="5"/>
  <c r="H3215" i="5"/>
  <c r="I3215" i="5"/>
  <c r="H1526" i="5"/>
  <c r="I1526" i="5"/>
  <c r="H1527" i="5"/>
  <c r="I1527" i="5"/>
  <c r="H3216" i="5"/>
  <c r="I3216" i="5"/>
  <c r="H3217" i="5"/>
  <c r="I3217" i="5"/>
  <c r="H901" i="5"/>
  <c r="I901" i="5"/>
  <c r="H902" i="5"/>
  <c r="I902" i="5"/>
  <c r="H1890" i="5"/>
  <c r="I1890" i="5"/>
  <c r="H1891" i="5"/>
  <c r="I1891" i="5"/>
  <c r="H1892" i="5"/>
  <c r="I1892" i="5"/>
  <c r="H903" i="5"/>
  <c r="I903" i="5"/>
  <c r="H904" i="5"/>
  <c r="I904" i="5"/>
  <c r="H1893" i="5"/>
  <c r="I1893" i="5"/>
  <c r="H1894" i="5"/>
  <c r="I1894" i="5"/>
  <c r="H905" i="5"/>
  <c r="I905" i="5"/>
  <c r="H906" i="5"/>
  <c r="I906" i="5"/>
  <c r="H907" i="5"/>
  <c r="I907" i="5"/>
  <c r="H908" i="5"/>
  <c r="I908" i="5"/>
  <c r="H909" i="5"/>
  <c r="I909" i="5"/>
  <c r="H910" i="5"/>
  <c r="I910" i="5"/>
  <c r="H911" i="5"/>
  <c r="I911" i="5"/>
  <c r="H912" i="5"/>
  <c r="I912" i="5"/>
  <c r="H913" i="5"/>
  <c r="I913" i="5"/>
  <c r="H1895" i="5"/>
  <c r="I1895" i="5"/>
  <c r="H914" i="5"/>
  <c r="I914" i="5"/>
  <c r="H915" i="5"/>
  <c r="I915" i="5"/>
  <c r="H916" i="5"/>
  <c r="I916" i="5"/>
  <c r="H917" i="5"/>
  <c r="I917" i="5"/>
  <c r="H1896" i="5"/>
  <c r="I1896" i="5"/>
  <c r="H918" i="5"/>
  <c r="I918" i="5"/>
  <c r="H919" i="5"/>
  <c r="I919" i="5"/>
  <c r="H920" i="5"/>
  <c r="I920" i="5"/>
  <c r="H1897" i="5"/>
  <c r="I1897" i="5"/>
  <c r="H1898" i="5"/>
  <c r="I1898" i="5"/>
  <c r="H921" i="5"/>
  <c r="I921" i="5"/>
  <c r="H922" i="5"/>
  <c r="I922" i="5"/>
  <c r="H1899" i="5"/>
  <c r="I1899" i="5"/>
  <c r="H923" i="5"/>
  <c r="I923" i="5"/>
  <c r="H924" i="5"/>
  <c r="I924" i="5"/>
  <c r="H1900" i="5"/>
  <c r="I1900" i="5"/>
  <c r="H925" i="5"/>
  <c r="I925" i="5"/>
  <c r="H1901" i="5"/>
  <c r="I1901" i="5"/>
  <c r="H926" i="5"/>
  <c r="I926" i="5"/>
  <c r="H927" i="5"/>
  <c r="I927" i="5"/>
  <c r="H1902" i="5"/>
  <c r="I1902" i="5"/>
  <c r="H928" i="5"/>
  <c r="I928" i="5"/>
  <c r="H929" i="5"/>
  <c r="I929" i="5"/>
  <c r="H930" i="5"/>
  <c r="I930" i="5"/>
  <c r="H931" i="5"/>
  <c r="I931" i="5"/>
  <c r="H932" i="5"/>
  <c r="I932" i="5"/>
  <c r="H933" i="5"/>
  <c r="I933" i="5"/>
  <c r="H934" i="5"/>
  <c r="I934" i="5"/>
  <c r="H1903" i="5"/>
  <c r="I1903" i="5"/>
  <c r="H1904" i="5"/>
  <c r="I1904" i="5"/>
  <c r="H935" i="5"/>
  <c r="I935" i="5"/>
  <c r="H936" i="5"/>
  <c r="I936" i="5"/>
  <c r="H937" i="5"/>
  <c r="I937" i="5"/>
  <c r="H938" i="5"/>
  <c r="I938" i="5"/>
  <c r="H939" i="5"/>
  <c r="I939" i="5"/>
  <c r="H1905" i="5"/>
  <c r="I1905" i="5"/>
  <c r="H940" i="5"/>
  <c r="I940" i="5"/>
  <c r="H1906" i="5"/>
  <c r="I1906" i="5"/>
  <c r="H1132" i="5"/>
  <c r="I1132" i="5"/>
  <c r="H2727" i="5"/>
  <c r="I2727" i="5"/>
  <c r="H1133" i="5"/>
  <c r="I1133" i="5"/>
  <c r="H2728" i="5"/>
  <c r="I2728" i="5"/>
  <c r="H1134" i="5"/>
  <c r="I1134" i="5"/>
  <c r="H230" i="5"/>
  <c r="I230" i="5"/>
  <c r="H231" i="5"/>
  <c r="I231" i="5"/>
  <c r="H2949" i="5"/>
  <c r="I2949" i="5"/>
  <c r="H2950" i="5"/>
  <c r="I2950" i="5"/>
  <c r="H232" i="5"/>
  <c r="I232" i="5"/>
  <c r="H1310" i="5"/>
  <c r="I1310" i="5"/>
  <c r="H2951" i="5"/>
  <c r="I2951" i="5"/>
  <c r="H2952" i="5"/>
  <c r="I2952" i="5"/>
  <c r="H2953" i="5"/>
  <c r="I2953" i="5"/>
  <c r="H2954" i="5"/>
  <c r="I2954" i="5"/>
  <c r="H2955" i="5"/>
  <c r="I2955" i="5"/>
  <c r="H2956" i="5"/>
  <c r="I2956" i="5"/>
  <c r="H1311" i="5"/>
  <c r="I1311" i="5"/>
  <c r="H2957" i="5"/>
  <c r="I2957" i="5"/>
  <c r="H1312" i="5"/>
  <c r="I1312" i="5"/>
  <c r="H1313" i="5"/>
  <c r="I1313" i="5"/>
  <c r="H1528" i="5"/>
  <c r="I1528" i="5"/>
  <c r="H3218" i="5"/>
  <c r="I3218" i="5"/>
  <c r="H1529" i="5"/>
  <c r="I1529" i="5"/>
  <c r="H3219" i="5"/>
  <c r="I3219" i="5"/>
  <c r="H3220" i="5"/>
  <c r="I3220" i="5"/>
  <c r="H3221" i="5"/>
  <c r="I3221" i="5"/>
  <c r="H3222" i="5"/>
  <c r="I3222" i="5"/>
  <c r="H521" i="5"/>
  <c r="I521" i="5"/>
  <c r="H1530" i="5"/>
  <c r="I1530" i="5"/>
  <c r="H1531" i="5"/>
  <c r="I1531" i="5"/>
  <c r="H522" i="5"/>
  <c r="I522" i="5"/>
  <c r="H523" i="5"/>
  <c r="I523" i="5"/>
  <c r="H524" i="5"/>
  <c r="I524" i="5"/>
  <c r="H525" i="5"/>
  <c r="I525" i="5"/>
  <c r="H941" i="5"/>
  <c r="I941" i="5"/>
  <c r="H942" i="5"/>
  <c r="I942" i="5"/>
  <c r="H943" i="5"/>
  <c r="I943" i="5"/>
  <c r="H944" i="5"/>
  <c r="I944" i="5"/>
  <c r="H945" i="5"/>
  <c r="I945" i="5"/>
  <c r="H946" i="5"/>
  <c r="I946" i="5"/>
  <c r="H947" i="5"/>
  <c r="I947" i="5"/>
  <c r="H948" i="5"/>
  <c r="I948" i="5"/>
  <c r="H949" i="5"/>
  <c r="I949" i="5"/>
  <c r="H950" i="5"/>
  <c r="I950" i="5"/>
  <c r="H951" i="5"/>
  <c r="I951" i="5"/>
  <c r="H3577" i="5"/>
  <c r="I3577" i="5"/>
  <c r="H1907" i="5"/>
  <c r="I1907" i="5"/>
  <c r="H952" i="5"/>
  <c r="I952" i="5"/>
  <c r="H2958" i="5"/>
  <c r="I2958" i="5"/>
  <c r="H2959" i="5"/>
  <c r="I2959" i="5"/>
  <c r="H2245" i="5"/>
  <c r="I2245" i="5"/>
  <c r="H2960" i="5"/>
  <c r="I2960" i="5"/>
  <c r="H2246" i="5"/>
  <c r="I2246" i="5"/>
  <c r="H2247" i="5"/>
  <c r="I2247" i="5"/>
  <c r="H2248" i="5"/>
  <c r="I2248" i="5"/>
  <c r="H2961" i="5"/>
  <c r="I2961" i="5"/>
  <c r="H2962" i="5"/>
  <c r="I2962" i="5"/>
  <c r="H2249" i="5"/>
  <c r="I2249" i="5"/>
  <c r="H233" i="5"/>
  <c r="I233" i="5"/>
  <c r="H2963" i="5"/>
  <c r="I2963" i="5"/>
  <c r="H3223" i="5"/>
  <c r="I3223" i="5"/>
  <c r="H953" i="5"/>
  <c r="I953" i="5"/>
  <c r="H954" i="5"/>
  <c r="I954" i="5"/>
  <c r="H2607" i="5"/>
  <c r="I2607" i="5"/>
  <c r="H2608" i="5"/>
  <c r="I2608" i="5"/>
  <c r="H2609" i="5"/>
  <c r="I2609" i="5"/>
  <c r="H955" i="5"/>
  <c r="I955" i="5"/>
  <c r="H2610" i="5"/>
  <c r="I2610" i="5"/>
  <c r="H2611" i="5"/>
  <c r="I2611" i="5"/>
  <c r="H2612" i="5"/>
  <c r="I2612" i="5"/>
  <c r="H2613" i="5"/>
  <c r="I2613" i="5"/>
  <c r="H2614" i="5"/>
  <c r="I2614" i="5"/>
  <c r="H3578" i="5"/>
  <c r="I3578" i="5"/>
  <c r="H3224" i="5"/>
  <c r="I3224" i="5"/>
  <c r="H3225" i="5"/>
  <c r="I3225" i="5"/>
  <c r="H3226" i="5"/>
  <c r="I3226" i="5"/>
  <c r="H3227" i="5"/>
  <c r="I3227" i="5"/>
  <c r="H3228" i="5"/>
  <c r="I3228" i="5"/>
  <c r="H3229" i="5"/>
  <c r="I3229" i="5"/>
  <c r="H3230" i="5"/>
  <c r="I3230" i="5"/>
  <c r="H3579" i="5"/>
  <c r="I3579" i="5"/>
  <c r="H3580" i="5"/>
  <c r="I3580" i="5"/>
  <c r="H3581" i="5"/>
  <c r="I3581" i="5"/>
  <c r="H3582" i="5"/>
  <c r="I3582" i="5"/>
  <c r="H3583" i="5"/>
  <c r="I3583" i="5"/>
  <c r="H3584" i="5"/>
  <c r="I3584" i="5"/>
  <c r="H3585" i="5"/>
  <c r="I3585" i="5"/>
  <c r="H3586" i="5"/>
  <c r="I3586" i="5"/>
  <c r="H3587" i="5"/>
  <c r="I3587" i="5"/>
  <c r="H3588" i="5"/>
  <c r="I3588" i="5"/>
  <c r="H3589" i="5"/>
  <c r="I3589" i="5"/>
  <c r="H3590" i="5"/>
  <c r="I3590" i="5"/>
  <c r="H3591" i="5"/>
  <c r="I3591" i="5"/>
  <c r="H3592" i="5"/>
  <c r="I3592" i="5"/>
  <c r="H3593" i="5"/>
  <c r="I3593" i="5"/>
  <c r="H3594" i="5"/>
  <c r="I3594" i="5"/>
  <c r="H3231" i="5"/>
  <c r="I3231" i="5"/>
  <c r="H526" i="5"/>
  <c r="I526" i="5"/>
  <c r="H527" i="5"/>
  <c r="I527" i="5"/>
  <c r="H3232" i="5"/>
  <c r="I3232" i="5"/>
  <c r="H528" i="5"/>
  <c r="I528" i="5"/>
  <c r="H529" i="5"/>
  <c r="I529" i="5"/>
  <c r="H530" i="5"/>
  <c r="I530" i="5"/>
  <c r="H531" i="5"/>
  <c r="I531" i="5"/>
  <c r="H532" i="5"/>
  <c r="I532" i="5"/>
  <c r="H533" i="5"/>
  <c r="I533" i="5"/>
  <c r="H1532" i="5"/>
  <c r="I1532" i="5"/>
  <c r="H534" i="5"/>
  <c r="I534" i="5"/>
  <c r="H1533" i="5"/>
  <c r="I1533" i="5"/>
  <c r="H535" i="5"/>
  <c r="I535" i="5"/>
  <c r="H3233" i="5"/>
  <c r="I3233" i="5"/>
  <c r="H1534" i="5"/>
  <c r="I1534" i="5"/>
  <c r="H3234" i="5"/>
  <c r="I3234" i="5"/>
  <c r="H536" i="5"/>
  <c r="I536" i="5"/>
  <c r="H537" i="5"/>
  <c r="I537" i="5"/>
  <c r="H3235" i="5"/>
  <c r="I3235" i="5"/>
  <c r="H1908" i="5"/>
  <c r="I1908" i="5"/>
  <c r="H1909" i="5"/>
  <c r="I1909" i="5"/>
  <c r="H3595" i="5"/>
  <c r="I3595" i="5"/>
  <c r="H956" i="5"/>
  <c r="I956" i="5"/>
  <c r="H957" i="5"/>
  <c r="I957" i="5"/>
  <c r="H3596" i="5"/>
  <c r="I3596" i="5"/>
  <c r="H3597" i="5"/>
  <c r="I3597" i="5"/>
  <c r="H1910" i="5"/>
  <c r="I1910" i="5"/>
  <c r="H3598" i="5"/>
  <c r="I3598" i="5"/>
  <c r="H1911" i="5"/>
  <c r="I1911" i="5"/>
  <c r="H3599" i="5"/>
  <c r="I3599" i="5"/>
  <c r="H1912" i="5"/>
  <c r="I1912" i="5"/>
  <c r="H538" i="5"/>
  <c r="I538" i="5"/>
  <c r="H1535" i="5"/>
  <c r="I1535" i="5"/>
  <c r="H3236" i="5"/>
  <c r="I3236" i="5"/>
  <c r="H3237" i="5"/>
  <c r="I3237" i="5"/>
  <c r="H539" i="5"/>
  <c r="I539" i="5"/>
  <c r="H3238" i="5"/>
  <c r="I3238" i="5"/>
  <c r="H3239" i="5"/>
  <c r="I3239" i="5"/>
  <c r="H540" i="5"/>
  <c r="I540" i="5"/>
  <c r="H1536" i="5"/>
  <c r="I1536" i="5"/>
  <c r="H3600" i="5"/>
  <c r="I3600" i="5"/>
  <c r="H958" i="5"/>
  <c r="I958" i="5"/>
  <c r="H3601" i="5"/>
  <c r="I3601" i="5"/>
  <c r="H1913" i="5"/>
  <c r="I1913" i="5"/>
  <c r="H3602" i="5"/>
  <c r="I3602" i="5"/>
  <c r="H1914" i="5"/>
  <c r="I1914" i="5"/>
  <c r="H3603" i="5"/>
  <c r="I3603" i="5"/>
  <c r="H1915" i="5"/>
  <c r="I1915" i="5"/>
  <c r="H3604" i="5"/>
  <c r="I3604" i="5"/>
  <c r="H1916" i="5"/>
  <c r="I1916" i="5"/>
  <c r="H1917" i="5"/>
  <c r="I1917" i="5"/>
  <c r="H3605" i="5"/>
  <c r="I3605" i="5"/>
  <c r="H3606" i="5"/>
  <c r="I3606" i="5"/>
  <c r="H3607" i="5"/>
  <c r="I3607" i="5"/>
  <c r="H3608" i="5"/>
  <c r="I3608" i="5"/>
  <c r="H1918" i="5"/>
  <c r="I1918" i="5"/>
  <c r="H3609" i="5"/>
  <c r="I3609" i="5"/>
  <c r="H3610" i="5"/>
  <c r="I3610" i="5"/>
  <c r="H959" i="5"/>
  <c r="I959" i="5"/>
  <c r="H960" i="5"/>
  <c r="I960" i="5"/>
  <c r="H961" i="5"/>
  <c r="I961" i="5"/>
  <c r="H962" i="5"/>
  <c r="I962" i="5"/>
  <c r="H963" i="5"/>
  <c r="I963" i="5"/>
  <c r="H964" i="5"/>
  <c r="I964" i="5"/>
  <c r="H965" i="5"/>
  <c r="I965" i="5"/>
  <c r="H1919" i="5"/>
  <c r="I1919" i="5"/>
  <c r="H1920" i="5"/>
  <c r="I1920" i="5"/>
  <c r="H966" i="5"/>
  <c r="I966" i="5"/>
  <c r="H967" i="5"/>
  <c r="I967" i="5"/>
  <c r="H968" i="5"/>
  <c r="I968" i="5"/>
  <c r="H969" i="5"/>
  <c r="I969" i="5"/>
  <c r="H2388" i="5"/>
  <c r="I2388" i="5"/>
  <c r="H2389" i="5"/>
  <c r="I2389" i="5"/>
  <c r="H541" i="5"/>
  <c r="I541" i="5"/>
  <c r="H542" i="5"/>
  <c r="I542" i="5"/>
  <c r="H543" i="5"/>
  <c r="I543" i="5"/>
  <c r="H3240" i="5"/>
  <c r="I3240" i="5"/>
  <c r="H1537" i="5"/>
  <c r="I1537" i="5"/>
  <c r="H544" i="5"/>
  <c r="I544" i="5"/>
  <c r="H1538" i="5"/>
  <c r="I1538" i="5"/>
  <c r="H545" i="5"/>
  <c r="I545" i="5"/>
  <c r="H3241" i="5"/>
  <c r="I3241" i="5"/>
  <c r="H3242" i="5"/>
  <c r="I3242" i="5"/>
  <c r="H546" i="5"/>
  <c r="I546" i="5"/>
  <c r="H547" i="5"/>
  <c r="I547" i="5"/>
  <c r="H548" i="5"/>
  <c r="I548" i="5"/>
  <c r="H549" i="5"/>
  <c r="I549" i="5"/>
  <c r="H550" i="5"/>
  <c r="I550" i="5"/>
  <c r="H551" i="5"/>
  <c r="I551" i="5"/>
  <c r="H552" i="5"/>
  <c r="I552" i="5"/>
  <c r="H1539" i="5"/>
  <c r="I1539" i="5"/>
  <c r="H3243" i="5"/>
  <c r="I3243" i="5"/>
  <c r="H2390" i="5"/>
  <c r="I2390" i="5"/>
  <c r="H2391" i="5"/>
  <c r="I2391" i="5"/>
  <c r="H2392" i="5"/>
  <c r="I2392" i="5"/>
  <c r="H2393" i="5"/>
  <c r="I2393" i="5"/>
  <c r="H2394" i="5"/>
  <c r="I2394" i="5"/>
  <c r="H2395" i="5"/>
  <c r="I2395" i="5"/>
  <c r="H2396" i="5"/>
  <c r="I2396" i="5"/>
  <c r="H2397" i="5"/>
  <c r="I2397" i="5"/>
  <c r="H2398" i="5"/>
  <c r="I2398" i="5"/>
  <c r="H2399" i="5"/>
  <c r="I2399" i="5"/>
  <c r="H3611" i="5"/>
  <c r="I3611" i="5"/>
  <c r="H3612" i="5"/>
  <c r="I3612" i="5"/>
  <c r="H1921" i="5"/>
  <c r="I1921" i="5"/>
  <c r="H3613" i="5"/>
  <c r="I3613" i="5"/>
  <c r="H1922" i="5"/>
  <c r="I1922" i="5"/>
  <c r="H1923" i="5"/>
  <c r="I1923" i="5"/>
  <c r="H1924" i="5"/>
  <c r="I1924" i="5"/>
  <c r="H3614" i="5"/>
  <c r="I3614" i="5"/>
  <c r="H1925" i="5"/>
  <c r="I1925" i="5"/>
  <c r="H1926" i="5"/>
  <c r="I1926" i="5"/>
  <c r="H1540" i="5"/>
  <c r="I1540" i="5"/>
  <c r="H553" i="5"/>
  <c r="I553" i="5"/>
  <c r="H3244" i="5"/>
  <c r="I3244" i="5"/>
  <c r="H1541" i="5"/>
  <c r="I1541" i="5"/>
  <c r="H3245" i="5"/>
  <c r="I3245" i="5"/>
  <c r="H1542" i="5"/>
  <c r="I1542" i="5"/>
  <c r="H1543" i="5"/>
  <c r="I1543" i="5"/>
  <c r="H1544" i="5"/>
  <c r="I1544" i="5"/>
  <c r="H3246" i="5"/>
  <c r="I3246" i="5"/>
  <c r="H3247" i="5"/>
  <c r="I3247" i="5"/>
  <c r="H1545" i="5"/>
  <c r="I1545" i="5"/>
  <c r="H554" i="5"/>
  <c r="I554" i="5"/>
  <c r="H555" i="5"/>
  <c r="I555" i="5"/>
  <c r="H1927" i="5"/>
  <c r="I1927" i="5"/>
  <c r="H970" i="5"/>
  <c r="I970" i="5"/>
  <c r="H971" i="5"/>
  <c r="I971" i="5"/>
  <c r="H972" i="5"/>
  <c r="I972" i="5"/>
  <c r="H1928" i="5"/>
  <c r="I1928" i="5"/>
  <c r="H3615" i="5"/>
  <c r="I3615" i="5"/>
  <c r="H1929" i="5"/>
  <c r="I1929" i="5"/>
  <c r="H1930" i="5"/>
  <c r="I1930" i="5"/>
  <c r="H3616" i="5"/>
  <c r="I3616" i="5"/>
  <c r="H3617" i="5"/>
  <c r="I3617" i="5"/>
  <c r="H3618" i="5"/>
  <c r="I3618" i="5"/>
  <c r="H1931" i="5"/>
  <c r="I1931" i="5"/>
  <c r="H973" i="5"/>
  <c r="I973" i="5"/>
  <c r="H3619" i="5"/>
  <c r="I3619" i="5"/>
  <c r="H1932" i="5"/>
  <c r="I1932" i="5"/>
  <c r="H3620" i="5"/>
  <c r="I3620" i="5"/>
  <c r="H3621" i="5"/>
  <c r="I3621" i="5"/>
  <c r="H3622" i="5"/>
  <c r="I3622" i="5"/>
  <c r="H1933" i="5"/>
  <c r="I1933" i="5"/>
  <c r="H1546" i="5"/>
  <c r="I1546" i="5"/>
  <c r="H556" i="5"/>
  <c r="I556" i="5"/>
  <c r="H557" i="5"/>
  <c r="I557" i="5"/>
  <c r="H558" i="5"/>
  <c r="I558" i="5"/>
  <c r="H559" i="5"/>
  <c r="I559" i="5"/>
  <c r="H1547" i="5"/>
  <c r="I1547" i="5"/>
  <c r="H1548" i="5"/>
  <c r="I1548" i="5"/>
  <c r="H560" i="5"/>
  <c r="I560" i="5"/>
  <c r="H561" i="5"/>
  <c r="I561" i="5"/>
  <c r="H3248" i="5"/>
  <c r="I3248" i="5"/>
  <c r="H1549" i="5"/>
  <c r="I1549" i="5"/>
  <c r="H562" i="5"/>
  <c r="I562" i="5"/>
  <c r="H1550" i="5"/>
  <c r="I1550" i="5"/>
  <c r="H1551" i="5"/>
  <c r="I1551" i="5"/>
  <c r="H3249" i="5"/>
  <c r="I3249" i="5"/>
  <c r="H563" i="5"/>
  <c r="I563" i="5"/>
  <c r="H3250" i="5"/>
  <c r="I3250" i="5"/>
  <c r="H3251" i="5"/>
  <c r="I3251" i="5"/>
  <c r="H3252" i="5"/>
  <c r="I3252" i="5"/>
  <c r="H564" i="5"/>
  <c r="I564" i="5"/>
  <c r="H3253" i="5"/>
  <c r="I3253" i="5"/>
  <c r="H1552" i="5"/>
  <c r="I1552" i="5"/>
  <c r="H565" i="5"/>
  <c r="I565" i="5"/>
  <c r="H1553" i="5"/>
  <c r="I1553" i="5"/>
  <c r="H3254" i="5"/>
  <c r="I3254" i="5"/>
  <c r="H1554" i="5"/>
  <c r="I1554" i="5"/>
  <c r="H3255" i="5"/>
  <c r="I3255" i="5"/>
  <c r="H3256" i="5"/>
  <c r="I3256" i="5"/>
  <c r="H1555" i="5"/>
  <c r="I1555" i="5"/>
  <c r="H3257" i="5"/>
  <c r="I3257" i="5"/>
  <c r="H3258" i="5"/>
  <c r="I3258" i="5"/>
  <c r="H3259" i="5"/>
  <c r="I3259" i="5"/>
  <c r="H3260" i="5"/>
  <c r="I3260" i="5"/>
  <c r="H3261" i="5"/>
  <c r="I3261" i="5"/>
  <c r="H566" i="5"/>
  <c r="I566" i="5"/>
  <c r="H3262" i="5"/>
  <c r="I3262" i="5"/>
  <c r="H567" i="5"/>
  <c r="I567" i="5"/>
  <c r="H1556" i="5"/>
  <c r="I1556" i="5"/>
  <c r="H1934" i="5"/>
  <c r="I1934" i="5"/>
  <c r="H3263" i="5"/>
  <c r="I3263" i="5"/>
  <c r="H2400" i="5"/>
  <c r="I2400" i="5"/>
  <c r="H2401" i="5"/>
  <c r="I2401" i="5"/>
  <c r="H2402" i="5"/>
  <c r="I2402" i="5"/>
  <c r="H3264" i="5"/>
  <c r="I3264" i="5"/>
  <c r="H2403" i="5"/>
  <c r="I2403" i="5"/>
  <c r="H2404" i="5"/>
  <c r="I2404" i="5"/>
  <c r="H2405" i="5"/>
  <c r="I2405" i="5"/>
  <c r="H2406" i="5"/>
  <c r="I2406" i="5"/>
  <c r="H2407" i="5"/>
  <c r="I2407" i="5"/>
  <c r="H2408" i="5"/>
  <c r="I2408" i="5"/>
  <c r="H3265" i="5"/>
  <c r="I3265" i="5"/>
  <c r="H3266" i="5"/>
  <c r="I3266" i="5"/>
  <c r="H2409" i="5"/>
  <c r="I2409" i="5"/>
  <c r="H2410" i="5"/>
  <c r="I2410" i="5"/>
  <c r="H2411" i="5"/>
  <c r="I2411" i="5"/>
  <c r="H3267" i="5"/>
  <c r="I3267" i="5"/>
  <c r="H2412" i="5"/>
  <c r="I2412" i="5"/>
  <c r="H2413" i="5"/>
  <c r="I2413" i="5"/>
  <c r="H3268" i="5"/>
  <c r="I3268" i="5"/>
  <c r="H2414" i="5"/>
  <c r="I2414" i="5"/>
  <c r="H2415" i="5"/>
  <c r="I2415" i="5"/>
  <c r="H2416" i="5"/>
  <c r="I2416" i="5"/>
  <c r="H2417" i="5"/>
  <c r="I2417" i="5"/>
  <c r="H3269" i="5"/>
  <c r="I3269" i="5"/>
  <c r="H2418" i="5"/>
  <c r="I2418" i="5"/>
  <c r="H2419" i="5"/>
  <c r="I2419" i="5"/>
  <c r="H2420" i="5"/>
  <c r="I2420" i="5"/>
  <c r="H2421" i="5"/>
  <c r="I2421" i="5"/>
  <c r="H2422" i="5"/>
  <c r="I2422" i="5"/>
  <c r="H3270" i="5"/>
  <c r="I3270" i="5"/>
  <c r="H3623" i="5"/>
  <c r="I3623" i="5"/>
  <c r="H568" i="5"/>
  <c r="I568" i="5"/>
  <c r="H569" i="5"/>
  <c r="I569" i="5"/>
  <c r="H3271" i="5"/>
  <c r="I3271" i="5"/>
  <c r="H2423" i="5"/>
  <c r="I2423" i="5"/>
  <c r="H2424" i="5"/>
  <c r="I2424" i="5"/>
  <c r="H3272" i="5"/>
  <c r="I3272" i="5"/>
  <c r="H2425" i="5"/>
  <c r="I2425" i="5"/>
  <c r="H2426" i="5"/>
  <c r="I2426" i="5"/>
  <c r="H2427" i="5"/>
  <c r="I2427" i="5"/>
  <c r="H2428" i="5"/>
  <c r="I2428" i="5"/>
  <c r="H2429" i="5"/>
  <c r="I2429" i="5"/>
  <c r="H2430" i="5"/>
  <c r="I2430" i="5"/>
  <c r="H2431" i="5"/>
  <c r="I2431" i="5"/>
  <c r="H3273" i="5"/>
  <c r="I3273" i="5"/>
  <c r="H3274" i="5"/>
  <c r="I3274" i="5"/>
  <c r="H2432" i="5"/>
  <c r="I2432" i="5"/>
  <c r="H3275" i="5"/>
  <c r="I3275" i="5"/>
  <c r="H2433" i="5"/>
  <c r="I2433" i="5"/>
  <c r="H2434" i="5"/>
  <c r="I2434" i="5"/>
  <c r="H2435" i="5"/>
  <c r="I2435" i="5"/>
  <c r="H3276" i="5"/>
  <c r="I3276" i="5"/>
  <c r="H2436" i="5"/>
  <c r="I2436" i="5"/>
  <c r="H3277" i="5"/>
  <c r="I3277" i="5"/>
  <c r="H2437" i="5"/>
  <c r="I2437" i="5"/>
  <c r="H2438" i="5"/>
  <c r="I2438" i="5"/>
  <c r="H2439" i="5"/>
  <c r="I2439" i="5"/>
  <c r="H2440" i="5"/>
  <c r="I2440" i="5"/>
  <c r="H2441" i="5"/>
  <c r="I2441" i="5"/>
  <c r="H3278" i="5"/>
  <c r="I3278" i="5"/>
  <c r="H3279" i="5"/>
  <c r="I3279" i="5"/>
  <c r="H3280" i="5"/>
  <c r="I3280" i="5"/>
  <c r="H2442" i="5"/>
  <c r="I2442" i="5"/>
  <c r="H2443" i="5"/>
  <c r="I2443" i="5"/>
  <c r="H2444" i="5"/>
  <c r="I2444" i="5"/>
  <c r="H2445" i="5"/>
  <c r="I2445" i="5"/>
  <c r="H2446" i="5"/>
  <c r="I2446" i="5"/>
  <c r="H2615" i="5"/>
  <c r="I2615" i="5"/>
  <c r="H2616" i="5"/>
  <c r="I2616" i="5"/>
  <c r="H2617" i="5"/>
  <c r="I2617" i="5"/>
  <c r="H570" i="5"/>
  <c r="I570" i="5"/>
  <c r="H571" i="5"/>
  <c r="I571" i="5"/>
  <c r="H572" i="5"/>
  <c r="I572" i="5"/>
  <c r="H3281" i="5"/>
  <c r="I3281" i="5"/>
  <c r="H3282" i="5"/>
  <c r="I3282" i="5"/>
  <c r="H1557" i="5"/>
  <c r="I1557" i="5"/>
  <c r="H1558" i="5"/>
  <c r="I1558" i="5"/>
  <c r="H1559" i="5"/>
  <c r="I1559" i="5"/>
  <c r="H573" i="5"/>
  <c r="I573" i="5"/>
  <c r="H1560" i="5"/>
  <c r="I1560" i="5"/>
  <c r="H1561" i="5"/>
  <c r="I1561" i="5"/>
  <c r="H1562" i="5"/>
  <c r="I1562" i="5"/>
  <c r="H1563" i="5"/>
  <c r="I1563" i="5"/>
  <c r="H574" i="5"/>
  <c r="I574" i="5"/>
  <c r="H1935" i="5"/>
  <c r="I1935" i="5"/>
  <c r="H1936" i="5"/>
  <c r="I1936" i="5"/>
  <c r="H1937" i="5"/>
  <c r="I1937" i="5"/>
  <c r="H3283" i="5"/>
  <c r="I3283" i="5"/>
  <c r="H575" i="5"/>
  <c r="I575" i="5"/>
  <c r="H576" i="5"/>
  <c r="I576" i="5"/>
  <c r="H1564" i="5"/>
  <c r="I1564" i="5"/>
  <c r="H577" i="5"/>
  <c r="I577" i="5"/>
  <c r="H578" i="5"/>
  <c r="I578" i="5"/>
  <c r="H3284" i="5"/>
  <c r="I3284" i="5"/>
  <c r="H3285" i="5"/>
  <c r="I3285" i="5"/>
  <c r="H579" i="5"/>
  <c r="I579" i="5"/>
  <c r="H580" i="5"/>
  <c r="I580" i="5"/>
  <c r="H581" i="5"/>
  <c r="I581" i="5"/>
  <c r="H3286" i="5"/>
  <c r="I3286" i="5"/>
  <c r="H582" i="5"/>
  <c r="I582" i="5"/>
  <c r="H583" i="5"/>
  <c r="I583" i="5"/>
  <c r="H584" i="5"/>
  <c r="I584" i="5"/>
  <c r="H1565" i="5"/>
  <c r="I1565" i="5"/>
  <c r="H1566" i="5"/>
  <c r="I1566" i="5"/>
  <c r="H1567" i="5"/>
  <c r="I1567" i="5"/>
  <c r="H585" i="5"/>
  <c r="I585" i="5"/>
  <c r="H3287" i="5"/>
  <c r="I3287" i="5"/>
  <c r="H3288" i="5"/>
  <c r="I3288" i="5"/>
  <c r="H3289" i="5"/>
  <c r="I3289" i="5"/>
  <c r="H586" i="5"/>
  <c r="I586" i="5"/>
  <c r="H587" i="5"/>
  <c r="I587" i="5"/>
  <c r="H3290" i="5"/>
  <c r="I3290" i="5"/>
  <c r="H588" i="5"/>
  <c r="I588" i="5"/>
  <c r="H1568" i="5"/>
  <c r="I1568" i="5"/>
  <c r="H3291" i="5"/>
  <c r="I3291" i="5"/>
  <c r="H3292" i="5"/>
  <c r="I3292" i="5"/>
  <c r="H589" i="5"/>
  <c r="I589" i="5"/>
  <c r="H590" i="5"/>
  <c r="I590" i="5"/>
  <c r="H3293" i="5"/>
  <c r="I3293" i="5"/>
  <c r="H591" i="5"/>
  <c r="I591" i="5"/>
  <c r="H1569" i="5"/>
  <c r="I1569" i="5"/>
  <c r="H592" i="5"/>
  <c r="I592" i="5"/>
  <c r="H1570" i="5"/>
  <c r="I1570" i="5"/>
  <c r="H593" i="5"/>
  <c r="I593" i="5"/>
  <c r="H594" i="5"/>
  <c r="I594" i="5"/>
  <c r="H595" i="5"/>
  <c r="I595" i="5"/>
  <c r="H596" i="5"/>
  <c r="I596" i="5"/>
  <c r="H597" i="5"/>
  <c r="I597" i="5"/>
  <c r="H598" i="5"/>
  <c r="I598" i="5"/>
  <c r="H1571" i="5"/>
  <c r="I1571" i="5"/>
  <c r="H1938" i="5"/>
  <c r="I1938" i="5"/>
  <c r="H1939" i="5"/>
  <c r="I1939" i="5"/>
  <c r="H3624" i="5"/>
  <c r="I3624" i="5"/>
  <c r="H1940" i="5"/>
  <c r="I1940" i="5"/>
  <c r="H3625" i="5"/>
  <c r="I3625" i="5"/>
  <c r="H3626" i="5"/>
  <c r="I3626" i="5"/>
  <c r="H3627" i="5"/>
  <c r="I3627" i="5"/>
  <c r="H3628" i="5"/>
  <c r="I3628" i="5"/>
  <c r="H3629" i="5"/>
  <c r="I3629" i="5"/>
  <c r="H3630" i="5"/>
  <c r="I3630" i="5"/>
  <c r="H3631" i="5"/>
  <c r="I3631" i="5"/>
  <c r="H3632" i="5"/>
  <c r="I3632" i="5"/>
  <c r="H3633" i="5"/>
  <c r="I3633" i="5"/>
  <c r="H3634" i="5"/>
  <c r="I3634" i="5"/>
  <c r="H3635" i="5"/>
  <c r="I3635" i="5"/>
  <c r="H3636" i="5"/>
  <c r="I3636" i="5"/>
  <c r="H3637" i="5"/>
  <c r="I3637" i="5"/>
  <c r="H3638" i="5"/>
  <c r="I3638" i="5"/>
  <c r="H3639" i="5"/>
  <c r="I3639" i="5"/>
  <c r="H3640" i="5"/>
  <c r="I3640" i="5"/>
  <c r="H3641" i="5"/>
  <c r="I3641" i="5"/>
  <c r="H3642" i="5"/>
  <c r="I3642" i="5"/>
  <c r="H3643" i="5"/>
  <c r="I3643" i="5"/>
  <c r="H3644" i="5"/>
  <c r="I3644" i="5"/>
  <c r="H3645" i="5"/>
  <c r="I3645" i="5"/>
  <c r="H3646" i="5"/>
  <c r="I3646" i="5"/>
  <c r="H3647" i="5"/>
  <c r="I3647" i="5"/>
  <c r="H3648" i="5"/>
  <c r="I3648" i="5"/>
  <c r="H3649" i="5"/>
  <c r="I3649" i="5"/>
  <c r="H3294" i="5"/>
  <c r="I3294" i="5"/>
  <c r="H3295" i="5"/>
  <c r="I3295" i="5"/>
  <c r="H3296" i="5"/>
  <c r="I3296" i="5"/>
  <c r="H3297" i="5"/>
  <c r="I3297" i="5"/>
  <c r="H3298" i="5"/>
  <c r="I3298" i="5"/>
  <c r="H3299" i="5"/>
  <c r="I3299" i="5"/>
  <c r="H3300" i="5"/>
  <c r="I3300" i="5"/>
  <c r="H3301" i="5"/>
  <c r="I3301" i="5"/>
  <c r="H3302" i="5"/>
  <c r="I3302" i="5"/>
  <c r="H3303" i="5"/>
  <c r="I3303" i="5"/>
  <c r="H3304" i="5"/>
  <c r="I3304" i="5"/>
  <c r="H3305" i="5"/>
  <c r="I3305" i="5"/>
  <c r="H3306" i="5"/>
  <c r="I3306" i="5"/>
  <c r="H3307" i="5"/>
  <c r="I3307" i="5"/>
  <c r="H3650" i="5"/>
  <c r="I3650" i="5"/>
  <c r="H3651" i="5"/>
  <c r="I3651" i="5"/>
  <c r="H3652" i="5"/>
  <c r="I3652" i="5"/>
  <c r="H3653" i="5"/>
  <c r="I3653" i="5"/>
  <c r="H3654" i="5"/>
  <c r="I3654" i="5"/>
  <c r="H3655" i="5"/>
  <c r="I3655" i="5"/>
  <c r="H3656" i="5"/>
  <c r="I3656" i="5"/>
  <c r="H3657" i="5"/>
  <c r="I3657" i="5"/>
  <c r="H3308" i="5"/>
  <c r="I3308" i="5"/>
  <c r="H3309" i="5"/>
  <c r="I3309" i="5"/>
  <c r="H3310" i="5"/>
  <c r="I3310" i="5"/>
  <c r="H3311" i="5"/>
  <c r="I3311" i="5"/>
  <c r="H3312" i="5"/>
  <c r="I3312" i="5"/>
  <c r="H3313" i="5"/>
  <c r="I3313" i="5"/>
  <c r="H3314" i="5"/>
  <c r="I3314" i="5"/>
  <c r="H3315" i="5"/>
  <c r="I3315" i="5"/>
  <c r="H3316" i="5"/>
  <c r="I3316" i="5"/>
  <c r="H3317" i="5"/>
  <c r="I3317" i="5"/>
  <c r="H3318" i="5"/>
  <c r="I3318" i="5"/>
  <c r="H3319" i="5"/>
  <c r="I3319" i="5"/>
  <c r="H3320" i="5"/>
  <c r="I3320" i="5"/>
  <c r="H3321" i="5"/>
  <c r="I3321" i="5"/>
  <c r="H3658" i="5"/>
  <c r="I3658" i="5"/>
  <c r="H3659" i="5"/>
  <c r="I3659" i="5"/>
  <c r="H3660" i="5"/>
  <c r="I3660" i="5"/>
  <c r="H3661" i="5"/>
  <c r="I3661" i="5"/>
  <c r="H3662" i="5"/>
  <c r="I3662" i="5"/>
  <c r="H3663" i="5"/>
  <c r="I3663" i="5"/>
  <c r="H3664" i="5"/>
  <c r="I3664" i="5"/>
  <c r="H3665" i="5"/>
  <c r="I3665" i="5"/>
  <c r="H3322" i="5"/>
  <c r="I3322" i="5"/>
  <c r="H1572" i="5"/>
  <c r="I1572" i="5"/>
  <c r="H3323" i="5"/>
  <c r="I3323" i="5"/>
  <c r="H3324" i="5"/>
  <c r="I3324" i="5"/>
  <c r="H3325" i="5"/>
  <c r="I3325" i="5"/>
  <c r="H1573" i="5"/>
  <c r="I1573" i="5"/>
  <c r="H599" i="5"/>
  <c r="I599" i="5"/>
  <c r="H1574" i="5"/>
  <c r="I1574" i="5"/>
  <c r="H600" i="5"/>
  <c r="I600" i="5"/>
  <c r="H1575" i="5"/>
  <c r="I1575" i="5"/>
  <c r="H1576" i="5"/>
  <c r="I1576" i="5"/>
  <c r="H1577" i="5"/>
  <c r="I1577" i="5"/>
  <c r="H3326" i="5"/>
  <c r="I3326" i="5"/>
  <c r="H601" i="5"/>
  <c r="I601" i="5"/>
  <c r="H602" i="5"/>
  <c r="I602" i="5"/>
  <c r="H1578" i="5"/>
  <c r="I1578" i="5"/>
  <c r="H3327" i="5"/>
  <c r="I3327" i="5"/>
  <c r="H3328" i="5"/>
  <c r="I3328" i="5"/>
  <c r="H974" i="5"/>
  <c r="I974" i="5"/>
  <c r="H1941" i="5"/>
  <c r="I1941" i="5"/>
  <c r="H603" i="5"/>
  <c r="I603" i="5"/>
  <c r="H1579" i="5"/>
  <c r="I1579" i="5"/>
  <c r="H1580" i="5"/>
  <c r="I1580" i="5"/>
  <c r="H1581" i="5"/>
  <c r="I1581" i="5"/>
  <c r="H604" i="5"/>
  <c r="I604" i="5"/>
  <c r="H3329" i="5"/>
  <c r="I3329" i="5"/>
  <c r="H1582" i="5"/>
  <c r="I1582" i="5"/>
  <c r="H1583" i="5"/>
  <c r="I1583" i="5"/>
  <c r="H3330" i="5"/>
  <c r="I3330" i="5"/>
  <c r="H3331" i="5"/>
  <c r="I3331" i="5"/>
  <c r="H3332" i="5"/>
  <c r="I3332" i="5"/>
  <c r="H3333" i="5"/>
  <c r="I3333" i="5"/>
  <c r="H3334" i="5"/>
  <c r="I3334" i="5"/>
  <c r="H3335" i="5"/>
  <c r="I3335" i="5"/>
  <c r="H3336" i="5"/>
  <c r="I3336" i="5"/>
  <c r="H3337" i="5"/>
  <c r="I3337" i="5"/>
  <c r="H3338" i="5"/>
  <c r="I3338" i="5"/>
  <c r="H3339" i="5"/>
  <c r="I3339" i="5"/>
  <c r="H3340" i="5"/>
  <c r="I3340" i="5"/>
  <c r="H3341" i="5"/>
  <c r="I3341" i="5"/>
  <c r="H3342" i="5"/>
  <c r="I3342" i="5"/>
  <c r="H3343" i="5"/>
  <c r="I3343" i="5"/>
  <c r="H3344" i="5"/>
  <c r="I3344" i="5"/>
  <c r="H3345" i="5"/>
  <c r="I3345" i="5"/>
  <c r="H3346" i="5"/>
  <c r="I3346" i="5"/>
  <c r="H3347" i="5"/>
  <c r="I3347" i="5"/>
  <c r="H3348" i="5"/>
  <c r="I3348" i="5"/>
  <c r="H3349" i="5"/>
  <c r="I3349" i="5"/>
  <c r="H3666" i="5"/>
  <c r="I3666" i="5"/>
  <c r="H3350" i="5"/>
  <c r="I3350" i="5"/>
  <c r="H3351" i="5"/>
  <c r="I3351" i="5"/>
  <c r="H3352" i="5"/>
  <c r="I3352" i="5"/>
  <c r="H3353" i="5"/>
  <c r="I3353" i="5"/>
  <c r="H3354" i="5"/>
  <c r="I3354" i="5"/>
  <c r="H3355" i="5"/>
  <c r="I3355" i="5"/>
  <c r="H3356" i="5"/>
  <c r="I3356" i="5"/>
  <c r="H3357" i="5"/>
  <c r="I3357" i="5"/>
  <c r="H3358" i="5"/>
  <c r="I3358" i="5"/>
  <c r="H3359" i="5"/>
  <c r="I3359" i="5"/>
  <c r="H3360" i="5"/>
  <c r="I3360" i="5"/>
  <c r="H3361" i="5"/>
  <c r="I3361" i="5"/>
  <c r="H3362" i="5"/>
  <c r="I3362" i="5"/>
  <c r="H3363" i="5"/>
  <c r="I3363" i="5"/>
  <c r="H3364" i="5"/>
  <c r="I3364" i="5"/>
  <c r="H3365" i="5"/>
  <c r="I3365" i="5"/>
  <c r="H3366" i="5"/>
  <c r="I3366" i="5"/>
  <c r="H3667" i="5"/>
  <c r="I3667" i="5"/>
  <c r="H3668" i="5"/>
  <c r="I3668" i="5"/>
  <c r="H3669" i="5"/>
  <c r="I3669" i="5"/>
  <c r="H3367" i="5"/>
  <c r="I3367" i="5"/>
  <c r="H605" i="5"/>
  <c r="I605" i="5"/>
  <c r="H3368" i="5"/>
  <c r="I3368" i="5"/>
  <c r="H1584" i="5"/>
  <c r="I1584" i="5"/>
  <c r="H3369" i="5"/>
  <c r="I3369" i="5"/>
  <c r="H3370" i="5"/>
  <c r="I3370" i="5"/>
  <c r="H3371" i="5"/>
  <c r="I3371" i="5"/>
  <c r="H606" i="5"/>
  <c r="I606" i="5"/>
  <c r="H607" i="5"/>
  <c r="I607" i="5"/>
  <c r="H3372" i="5"/>
  <c r="I3372" i="5"/>
  <c r="H3373" i="5"/>
  <c r="I3373" i="5"/>
  <c r="H3374" i="5"/>
  <c r="I3374" i="5"/>
  <c r="H3670" i="5"/>
  <c r="I3670" i="5"/>
  <c r="H3671" i="5"/>
  <c r="I3671" i="5"/>
  <c r="H1942" i="5"/>
  <c r="I1942" i="5"/>
  <c r="H608" i="5"/>
  <c r="I608" i="5"/>
  <c r="H1585" i="5"/>
  <c r="I1585" i="5"/>
  <c r="H1586" i="5"/>
  <c r="I1586" i="5"/>
  <c r="H3375" i="5"/>
  <c r="I3375" i="5"/>
  <c r="H609" i="5"/>
  <c r="I609" i="5"/>
  <c r="H3376" i="5"/>
  <c r="I3376" i="5"/>
  <c r="H1587" i="5"/>
  <c r="I1587" i="5"/>
  <c r="H1943" i="5"/>
  <c r="I1943" i="5"/>
  <c r="H1944" i="5"/>
  <c r="I1944" i="5"/>
  <c r="H3377" i="5"/>
  <c r="I3377" i="5"/>
  <c r="H1588" i="5"/>
  <c r="I1588" i="5"/>
  <c r="H1589" i="5"/>
  <c r="I1589" i="5"/>
  <c r="H3378" i="5"/>
  <c r="I3378" i="5"/>
  <c r="H1590" i="5"/>
  <c r="I1590" i="5"/>
  <c r="H610" i="5"/>
  <c r="I610" i="5"/>
  <c r="H1591" i="5"/>
  <c r="I1591" i="5"/>
  <c r="H1592" i="5"/>
  <c r="I1592" i="5"/>
  <c r="H1593" i="5"/>
  <c r="I1593" i="5"/>
  <c r="H611" i="5"/>
  <c r="I611" i="5"/>
  <c r="H3379" i="5"/>
  <c r="I3379" i="5"/>
  <c r="H1594" i="5"/>
  <c r="I1594" i="5"/>
  <c r="H1595" i="5"/>
  <c r="I1595" i="5"/>
  <c r="H1596" i="5"/>
  <c r="I1596" i="5"/>
  <c r="H3380" i="5"/>
  <c r="I3380" i="5"/>
  <c r="H3381" i="5"/>
  <c r="I3381" i="5"/>
  <c r="H1597" i="5"/>
  <c r="I1597" i="5"/>
  <c r="H1598" i="5"/>
  <c r="I1598" i="5"/>
  <c r="H1945" i="5"/>
  <c r="I1945" i="5"/>
  <c r="H3672" i="5"/>
  <c r="I3672" i="5"/>
  <c r="H1946" i="5"/>
  <c r="I1946" i="5"/>
  <c r="H3673" i="5"/>
  <c r="I3673" i="5"/>
  <c r="H3674" i="5"/>
  <c r="I3674" i="5"/>
  <c r="H3675" i="5"/>
  <c r="I3675" i="5"/>
  <c r="H1947" i="5"/>
  <c r="I1947" i="5"/>
  <c r="H1948" i="5"/>
  <c r="I1948" i="5"/>
  <c r="H1949" i="5"/>
  <c r="I1949" i="5"/>
  <c r="H3676" i="5"/>
  <c r="I3676" i="5"/>
  <c r="H3677" i="5"/>
  <c r="I3677" i="5"/>
  <c r="H1950" i="5"/>
  <c r="I1950" i="5"/>
  <c r="H1951" i="5"/>
  <c r="I1951" i="5"/>
  <c r="H3678" i="5"/>
  <c r="I3678" i="5"/>
  <c r="H3679" i="5"/>
  <c r="I3679" i="5"/>
  <c r="H1952" i="5"/>
  <c r="I1952" i="5"/>
  <c r="H1953" i="5"/>
  <c r="I1953" i="5"/>
  <c r="H3680" i="5"/>
  <c r="I3680" i="5"/>
  <c r="H3681" i="5"/>
  <c r="I3681" i="5"/>
  <c r="H3682" i="5"/>
  <c r="I3682" i="5"/>
  <c r="H1954" i="5"/>
  <c r="I1954" i="5"/>
  <c r="H3683" i="5"/>
  <c r="I3683" i="5"/>
  <c r="H3684" i="5"/>
  <c r="I3684" i="5"/>
  <c r="H3685" i="5"/>
  <c r="I3685" i="5"/>
  <c r="H1955" i="5"/>
  <c r="I1955" i="5"/>
  <c r="H3686" i="5"/>
  <c r="I3686" i="5"/>
  <c r="H1956" i="5"/>
  <c r="I1956" i="5"/>
  <c r="H1957" i="5"/>
  <c r="I1957" i="5"/>
  <c r="H3687" i="5"/>
  <c r="I3687" i="5"/>
  <c r="H1958" i="5"/>
  <c r="I1958" i="5"/>
  <c r="H3688" i="5"/>
  <c r="I3688" i="5"/>
  <c r="H1959" i="5"/>
  <c r="I1959" i="5"/>
  <c r="H1960" i="5"/>
  <c r="I1960" i="5"/>
  <c r="H3689" i="5"/>
  <c r="I3689" i="5"/>
  <c r="H3382" i="5"/>
  <c r="I3382" i="5"/>
  <c r="H3383" i="5"/>
  <c r="I3383" i="5"/>
  <c r="H2447" i="5"/>
  <c r="I2447" i="5"/>
  <c r="H3384" i="5"/>
  <c r="I3384" i="5"/>
  <c r="H2448" i="5"/>
  <c r="I2448" i="5"/>
  <c r="H2449" i="5"/>
  <c r="I2449" i="5"/>
  <c r="H3385" i="5"/>
  <c r="I3385" i="5"/>
  <c r="H2450" i="5"/>
  <c r="I2450" i="5"/>
  <c r="H3386" i="5"/>
  <c r="I3386" i="5"/>
  <c r="H2451" i="5"/>
  <c r="I2451" i="5"/>
  <c r="H2452" i="5"/>
  <c r="I2452" i="5"/>
  <c r="H2453" i="5"/>
  <c r="I2453" i="5"/>
  <c r="H2454" i="5"/>
  <c r="I2454" i="5"/>
  <c r="H2455" i="5"/>
  <c r="I2455" i="5"/>
  <c r="H2456" i="5"/>
  <c r="I2456" i="5"/>
  <c r="H3387" i="5"/>
  <c r="I3387" i="5"/>
  <c r="H3388" i="5"/>
  <c r="I3388" i="5"/>
  <c r="H2457" i="5"/>
  <c r="I2457" i="5"/>
  <c r="H2458" i="5"/>
  <c r="I2458" i="5"/>
  <c r="H2459" i="5"/>
  <c r="I2459" i="5"/>
  <c r="H2460" i="5"/>
  <c r="I2460" i="5"/>
  <c r="H2461" i="5"/>
  <c r="I2461" i="5"/>
  <c r="H2462" i="5"/>
  <c r="I2462" i="5"/>
  <c r="H2463" i="5"/>
  <c r="I2463" i="5"/>
  <c r="H3690" i="5"/>
  <c r="I3690" i="5"/>
  <c r="H3691" i="5"/>
  <c r="I3691" i="5"/>
  <c r="H3692" i="5"/>
  <c r="I3692" i="5"/>
  <c r="H2618" i="5"/>
  <c r="I2618" i="5"/>
  <c r="H2619" i="5"/>
  <c r="I2619" i="5"/>
  <c r="H3693" i="5"/>
  <c r="I3693" i="5"/>
  <c r="H2620" i="5"/>
  <c r="I2620" i="5"/>
  <c r="H3694" i="5"/>
  <c r="I3694" i="5"/>
  <c r="H1961" i="5"/>
  <c r="I1961" i="5"/>
  <c r="H1962" i="5"/>
  <c r="I1962" i="5"/>
  <c r="H3695" i="5"/>
  <c r="I3695" i="5"/>
  <c r="H3696" i="5"/>
  <c r="I3696" i="5"/>
  <c r="H3697" i="5"/>
  <c r="I3697" i="5"/>
  <c r="H3698" i="5"/>
  <c r="I3698" i="5"/>
  <c r="H3699" i="5"/>
  <c r="I3699" i="5"/>
  <c r="H2729" i="5"/>
  <c r="I2729" i="5"/>
  <c r="H2168" i="5"/>
  <c r="I2168" i="5"/>
  <c r="H2169" i="5"/>
  <c r="I2169" i="5"/>
  <c r="H2170" i="5"/>
  <c r="I2170" i="5"/>
  <c r="H2730" i="5"/>
  <c r="I2730" i="5"/>
  <c r="H1314" i="5"/>
  <c r="I1314" i="5"/>
  <c r="H234" i="5"/>
  <c r="I234" i="5"/>
  <c r="H2250" i="5"/>
  <c r="I2250" i="5"/>
  <c r="H235" i="5"/>
  <c r="I235" i="5"/>
  <c r="H2251" i="5"/>
  <c r="I2251" i="5"/>
  <c r="H236" i="5"/>
  <c r="I236" i="5"/>
  <c r="H2964" i="5"/>
  <c r="I2964" i="5"/>
  <c r="H2252" i="5"/>
  <c r="I2252" i="5"/>
  <c r="H1315" i="5"/>
  <c r="I1315" i="5"/>
  <c r="H2253" i="5"/>
  <c r="I2253" i="5"/>
  <c r="H2965" i="5"/>
  <c r="I2965" i="5"/>
  <c r="H2966" i="5"/>
  <c r="I2966" i="5"/>
  <c r="H2967" i="5"/>
  <c r="I2967" i="5"/>
  <c r="H2254" i="5"/>
  <c r="I2254" i="5"/>
  <c r="H2255" i="5"/>
  <c r="I2255" i="5"/>
  <c r="H1316" i="5"/>
  <c r="I1316" i="5"/>
  <c r="H612" i="5"/>
  <c r="I612" i="5"/>
  <c r="H2464" i="5"/>
  <c r="I2464" i="5"/>
  <c r="H613" i="5"/>
  <c r="I613" i="5"/>
  <c r="H614" i="5"/>
  <c r="I614" i="5"/>
  <c r="H1599" i="5"/>
  <c r="I1599" i="5"/>
  <c r="H1600" i="5"/>
  <c r="I1600" i="5"/>
  <c r="H1601" i="5"/>
  <c r="I1601" i="5"/>
  <c r="H2465" i="5"/>
  <c r="I2465" i="5"/>
  <c r="H615" i="5"/>
  <c r="I615" i="5"/>
  <c r="H2621" i="5"/>
  <c r="I2621" i="5"/>
  <c r="H2622" i="5"/>
  <c r="I2622" i="5"/>
  <c r="H975" i="5"/>
  <c r="I975" i="5"/>
  <c r="H1963" i="5"/>
  <c r="I1963" i="5"/>
  <c r="H976" i="5"/>
  <c r="I976" i="5"/>
  <c r="H2731" i="5"/>
  <c r="I2731" i="5"/>
  <c r="H237" i="5"/>
  <c r="I237" i="5"/>
  <c r="H238" i="5"/>
  <c r="I238" i="5"/>
  <c r="H2968" i="5"/>
  <c r="I2968" i="5"/>
  <c r="H239" i="5"/>
  <c r="I239" i="5"/>
  <c r="H2969" i="5"/>
  <c r="I2969" i="5"/>
  <c r="H2970" i="5"/>
  <c r="I2970" i="5"/>
  <c r="H240" i="5"/>
  <c r="I240" i="5"/>
  <c r="H241" i="5"/>
  <c r="I241" i="5"/>
  <c r="H242" i="5"/>
  <c r="I242" i="5"/>
  <c r="H2971" i="5"/>
  <c r="I2971" i="5"/>
  <c r="H2972" i="5"/>
  <c r="I2972" i="5"/>
  <c r="H243" i="5"/>
  <c r="I243" i="5"/>
  <c r="H2973" i="5"/>
  <c r="I2973" i="5"/>
  <c r="H2974" i="5"/>
  <c r="I2974" i="5"/>
  <c r="H244" i="5"/>
  <c r="I244" i="5"/>
  <c r="H245" i="5"/>
  <c r="I245" i="5"/>
  <c r="H2975" i="5"/>
  <c r="I2975" i="5"/>
  <c r="H2976" i="5"/>
  <c r="I2976" i="5"/>
  <c r="H2977" i="5"/>
  <c r="I2977" i="5"/>
  <c r="H246" i="5"/>
  <c r="I246" i="5"/>
  <c r="H247" i="5"/>
  <c r="I247" i="5"/>
  <c r="H2978" i="5"/>
  <c r="I2978" i="5"/>
  <c r="H2979" i="5"/>
  <c r="I2979" i="5"/>
  <c r="H248" i="5"/>
  <c r="I248" i="5"/>
  <c r="H2980" i="5"/>
  <c r="I2980" i="5"/>
  <c r="H249" i="5"/>
  <c r="I249" i="5"/>
  <c r="H2981" i="5"/>
  <c r="I2981" i="5"/>
  <c r="H2982" i="5"/>
  <c r="I2982" i="5"/>
  <c r="H2983" i="5"/>
  <c r="I2983" i="5"/>
  <c r="H2984" i="5"/>
  <c r="I2984" i="5"/>
  <c r="H2985" i="5"/>
  <c r="I2985" i="5"/>
  <c r="H250" i="5"/>
  <c r="I250" i="5"/>
  <c r="H2986" i="5"/>
  <c r="I2986" i="5"/>
  <c r="H251" i="5"/>
  <c r="I251" i="5"/>
  <c r="H252" i="5"/>
  <c r="I252" i="5"/>
  <c r="H2987" i="5"/>
  <c r="I2987" i="5"/>
  <c r="H2988" i="5"/>
  <c r="I2988" i="5"/>
  <c r="H253" i="5"/>
  <c r="I253" i="5"/>
  <c r="H254" i="5"/>
  <c r="I254" i="5"/>
  <c r="H2989" i="5"/>
  <c r="I2989" i="5"/>
  <c r="H255" i="5"/>
  <c r="I255" i="5"/>
  <c r="H2990" i="5"/>
  <c r="I2990" i="5"/>
  <c r="H256" i="5"/>
  <c r="I256" i="5"/>
  <c r="H2991" i="5"/>
  <c r="I2991" i="5"/>
  <c r="H257" i="5"/>
  <c r="I257" i="5"/>
  <c r="H258" i="5"/>
  <c r="I258" i="5"/>
  <c r="H2992" i="5"/>
  <c r="I2992" i="5"/>
  <c r="H3389" i="5"/>
  <c r="I3389" i="5"/>
  <c r="H3390" i="5"/>
  <c r="I3390" i="5"/>
  <c r="H616" i="5"/>
  <c r="I616" i="5"/>
  <c r="H3391" i="5"/>
  <c r="I3391" i="5"/>
  <c r="H3392" i="5"/>
  <c r="I3392" i="5"/>
  <c r="H977" i="5"/>
  <c r="I977" i="5"/>
  <c r="H978" i="5"/>
  <c r="I978" i="5"/>
  <c r="H979" i="5"/>
  <c r="I979" i="5"/>
  <c r="H980" i="5"/>
  <c r="I980" i="5"/>
  <c r="H981" i="5"/>
  <c r="I981" i="5"/>
  <c r="H982" i="5"/>
  <c r="I982" i="5"/>
  <c r="H983" i="5"/>
  <c r="I983" i="5"/>
  <c r="H984" i="5"/>
  <c r="I984" i="5"/>
  <c r="H3700" i="5"/>
  <c r="I3700" i="5"/>
  <c r="H3701" i="5"/>
  <c r="I3701" i="5"/>
  <c r="H3702" i="5"/>
  <c r="I3702" i="5"/>
  <c r="H3703" i="5"/>
  <c r="I3703" i="5"/>
  <c r="H985" i="5"/>
  <c r="I985" i="5"/>
  <c r="H3393" i="5"/>
  <c r="I3393" i="5"/>
  <c r="H617" i="5"/>
  <c r="I617" i="5"/>
  <c r="H618" i="5"/>
  <c r="I618" i="5"/>
  <c r="H3394" i="5"/>
  <c r="I3394" i="5"/>
  <c r="H1602" i="5"/>
  <c r="I1602" i="5"/>
  <c r="H1603" i="5"/>
  <c r="I1603" i="5"/>
  <c r="H619" i="5"/>
  <c r="I619" i="5"/>
  <c r="H620" i="5"/>
  <c r="I620" i="5"/>
  <c r="H621" i="5"/>
  <c r="I621" i="5"/>
  <c r="H3395" i="5"/>
  <c r="I3395" i="5"/>
  <c r="H1604" i="5"/>
  <c r="I1604" i="5"/>
  <c r="H622" i="5"/>
  <c r="I622" i="5"/>
  <c r="H623" i="5"/>
  <c r="I623" i="5"/>
  <c r="H3396" i="5"/>
  <c r="I3396" i="5"/>
  <c r="H624" i="5"/>
  <c r="I624" i="5"/>
  <c r="H625" i="5"/>
  <c r="I625" i="5"/>
  <c r="H1605" i="5"/>
  <c r="I1605" i="5"/>
  <c r="H1606" i="5"/>
  <c r="I1606" i="5"/>
  <c r="H626" i="5"/>
  <c r="I626" i="5"/>
  <c r="H3397" i="5"/>
  <c r="I3397" i="5"/>
  <c r="H627" i="5"/>
  <c r="I627" i="5"/>
  <c r="H1607" i="5"/>
  <c r="I1607" i="5"/>
  <c r="H628" i="5"/>
  <c r="I628" i="5"/>
  <c r="H629" i="5"/>
  <c r="I629" i="5"/>
  <c r="H630" i="5"/>
  <c r="I630" i="5"/>
  <c r="H3398" i="5"/>
  <c r="I3398" i="5"/>
  <c r="H1608" i="5"/>
  <c r="I1608" i="5"/>
  <c r="H1609" i="5"/>
  <c r="I1609" i="5"/>
  <c r="H3704" i="5"/>
  <c r="I3704" i="5"/>
  <c r="H3705" i="5"/>
  <c r="I3705" i="5"/>
  <c r="H3706" i="5"/>
  <c r="I3706" i="5"/>
  <c r="H631" i="5"/>
  <c r="I631" i="5"/>
  <c r="H632" i="5"/>
  <c r="I632" i="5"/>
  <c r="H633" i="5"/>
  <c r="I633" i="5"/>
  <c r="H634" i="5"/>
  <c r="I634" i="5"/>
  <c r="H635" i="5"/>
  <c r="I635" i="5"/>
  <c r="H636" i="5"/>
  <c r="I636" i="5"/>
  <c r="H637" i="5"/>
  <c r="I637" i="5"/>
  <c r="H638" i="5"/>
  <c r="I638" i="5"/>
  <c r="H639" i="5"/>
  <c r="I639" i="5"/>
  <c r="H640" i="5"/>
  <c r="I640" i="5"/>
  <c r="H641" i="5"/>
  <c r="I641" i="5"/>
  <c r="H642" i="5"/>
  <c r="I642" i="5"/>
  <c r="H643" i="5"/>
  <c r="I643" i="5"/>
  <c r="H644" i="5"/>
  <c r="I644" i="5"/>
  <c r="H645" i="5"/>
  <c r="I645" i="5"/>
  <c r="H646" i="5"/>
  <c r="I646" i="5"/>
  <c r="H647" i="5"/>
  <c r="I647" i="5"/>
  <c r="H648" i="5"/>
  <c r="I648" i="5"/>
  <c r="H649" i="5"/>
  <c r="I649" i="5"/>
  <c r="H650" i="5"/>
  <c r="I650" i="5"/>
  <c r="H651" i="5"/>
  <c r="I651" i="5"/>
  <c r="H652" i="5"/>
  <c r="I652" i="5"/>
  <c r="H653" i="5"/>
  <c r="I653" i="5"/>
  <c r="H654" i="5"/>
  <c r="I654" i="5"/>
  <c r="H986" i="5"/>
  <c r="I986" i="5"/>
  <c r="H987" i="5"/>
  <c r="I987" i="5"/>
  <c r="H988" i="5"/>
  <c r="I988" i="5"/>
  <c r="H989" i="5"/>
  <c r="I989" i="5"/>
  <c r="H990" i="5"/>
  <c r="I990" i="5"/>
  <c r="H991" i="5"/>
  <c r="I991" i="5"/>
  <c r="H992" i="5"/>
  <c r="I992" i="5"/>
  <c r="H993" i="5"/>
  <c r="I993" i="5"/>
  <c r="H994" i="5"/>
  <c r="I994" i="5"/>
  <c r="H995" i="5"/>
  <c r="I995" i="5"/>
  <c r="H996" i="5"/>
  <c r="I996" i="5"/>
  <c r="H997" i="5"/>
  <c r="I997" i="5"/>
  <c r="H998" i="5"/>
  <c r="I998" i="5"/>
  <c r="H999" i="5"/>
  <c r="I999" i="5"/>
  <c r="H259" i="5"/>
  <c r="I259" i="5"/>
  <c r="H1317" i="5"/>
  <c r="I1317" i="5"/>
  <c r="H2993" i="5"/>
  <c r="I2993" i="5"/>
  <c r="H2994" i="5"/>
  <c r="I2994" i="5"/>
  <c r="H260" i="5"/>
  <c r="I260" i="5"/>
  <c r="H1318" i="5"/>
  <c r="I1318" i="5"/>
  <c r="H1319" i="5"/>
  <c r="I1319" i="5"/>
  <c r="H1320" i="5"/>
  <c r="I1320" i="5"/>
  <c r="H1321" i="5"/>
  <c r="I1321" i="5"/>
  <c r="H2995" i="5"/>
  <c r="I2995" i="5"/>
  <c r="H2996" i="5"/>
  <c r="I2996" i="5"/>
  <c r="H261" i="5"/>
  <c r="I261" i="5"/>
  <c r="H1322" i="5"/>
  <c r="I1322" i="5"/>
  <c r="H262" i="5"/>
  <c r="I262" i="5"/>
  <c r="H1323" i="5"/>
  <c r="I1323" i="5"/>
  <c r="H263" i="5"/>
  <c r="I263" i="5"/>
  <c r="H2997" i="5"/>
  <c r="I2997" i="5"/>
  <c r="H264" i="5"/>
  <c r="I264" i="5"/>
  <c r="H2998" i="5"/>
  <c r="I2998" i="5"/>
  <c r="H1324" i="5"/>
  <c r="I1324" i="5"/>
  <c r="H265" i="5"/>
  <c r="I265" i="5"/>
  <c r="H266" i="5"/>
  <c r="I266" i="5"/>
  <c r="H1325" i="5"/>
  <c r="I1325" i="5"/>
  <c r="H267" i="5"/>
  <c r="I267" i="5"/>
  <c r="H3399" i="5"/>
  <c r="I3399" i="5"/>
  <c r="H1610" i="5"/>
  <c r="I1610" i="5"/>
  <c r="H1611" i="5"/>
  <c r="I1611" i="5"/>
  <c r="H655" i="5"/>
  <c r="I655" i="5"/>
  <c r="H1612" i="5"/>
  <c r="I1612" i="5"/>
  <c r="H3400" i="5"/>
  <c r="I3400" i="5"/>
  <c r="H656" i="5"/>
  <c r="I656" i="5"/>
  <c r="H657" i="5"/>
  <c r="I657" i="5"/>
  <c r="H1000" i="5"/>
  <c r="I1000" i="5"/>
  <c r="H1964" i="5"/>
  <c r="I1964" i="5"/>
  <c r="H1001" i="5"/>
  <c r="I1001" i="5"/>
  <c r="H1002" i="5"/>
  <c r="I1002" i="5"/>
  <c r="H3707" i="5"/>
  <c r="I3707" i="5"/>
  <c r="H1965" i="5"/>
  <c r="I1965" i="5"/>
  <c r="H1966" i="5"/>
  <c r="I1966" i="5"/>
  <c r="H1967" i="5"/>
  <c r="I1967" i="5"/>
  <c r="H3708" i="5"/>
  <c r="I3708" i="5"/>
  <c r="H1968" i="5"/>
  <c r="I1968" i="5"/>
  <c r="H1003" i="5"/>
  <c r="I1003" i="5"/>
  <c r="H1004" i="5"/>
  <c r="I1004" i="5"/>
  <c r="H1005" i="5"/>
  <c r="I1005" i="5"/>
  <c r="H1006" i="5"/>
  <c r="I1006" i="5"/>
  <c r="H1969" i="5"/>
  <c r="I1969" i="5"/>
  <c r="H1970" i="5"/>
  <c r="I1970" i="5"/>
  <c r="H1971" i="5"/>
  <c r="I1971" i="5"/>
  <c r="H1972" i="5"/>
  <c r="I1972" i="5"/>
  <c r="H1973" i="5"/>
  <c r="I1973" i="5"/>
  <c r="H1974" i="5"/>
  <c r="I1974" i="5"/>
  <c r="H1975" i="5"/>
  <c r="I1975" i="5"/>
  <c r="H1976" i="5"/>
  <c r="I1976" i="5"/>
  <c r="H1977" i="5"/>
  <c r="I1977" i="5"/>
  <c r="H1978" i="5"/>
  <c r="I1978" i="5"/>
  <c r="H1979" i="5"/>
  <c r="I1979" i="5"/>
  <c r="H1980" i="5"/>
  <c r="I1980" i="5"/>
  <c r="H1981" i="5"/>
  <c r="I1981" i="5"/>
  <c r="H1982" i="5"/>
  <c r="I1982" i="5"/>
  <c r="H1983" i="5"/>
  <c r="I1983" i="5"/>
  <c r="H1984" i="5"/>
  <c r="I1984" i="5"/>
  <c r="H1985" i="5"/>
  <c r="I1985" i="5"/>
  <c r="H1986" i="5"/>
  <c r="I1986" i="5"/>
  <c r="H1987" i="5"/>
  <c r="I1987" i="5"/>
  <c r="H1988" i="5"/>
  <c r="I1988" i="5"/>
  <c r="H1989" i="5"/>
  <c r="I1989" i="5"/>
  <c r="H1990" i="5"/>
  <c r="I1990" i="5"/>
  <c r="H1991" i="5"/>
  <c r="I1991" i="5"/>
  <c r="H1992" i="5"/>
  <c r="I1992" i="5"/>
  <c r="H1993" i="5"/>
  <c r="I1993" i="5"/>
  <c r="H1994" i="5"/>
  <c r="I1994" i="5"/>
  <c r="H1995" i="5"/>
  <c r="I1995" i="5"/>
  <c r="H1996" i="5"/>
  <c r="I1996" i="5"/>
  <c r="H1997" i="5"/>
  <c r="I1997" i="5"/>
  <c r="H1998" i="5"/>
  <c r="I1998" i="5"/>
  <c r="H1999" i="5"/>
  <c r="I1999" i="5"/>
  <c r="H2000" i="5"/>
  <c r="I2000" i="5"/>
  <c r="H2001" i="5"/>
  <c r="I2001" i="5"/>
  <c r="H2002" i="5"/>
  <c r="I2002" i="5"/>
  <c r="H2003" i="5"/>
  <c r="I2003" i="5"/>
  <c r="H3401" i="5"/>
  <c r="I3401" i="5"/>
  <c r="H3402" i="5"/>
  <c r="I3402" i="5"/>
  <c r="H1613" i="5"/>
  <c r="I1613" i="5"/>
  <c r="H3403" i="5"/>
  <c r="I3403" i="5"/>
  <c r="H3404" i="5"/>
  <c r="I3404" i="5"/>
  <c r="H3405" i="5"/>
  <c r="I3405" i="5"/>
  <c r="H3406" i="5"/>
  <c r="I3406" i="5"/>
  <c r="H1614" i="5"/>
  <c r="I1614" i="5"/>
  <c r="H1615" i="5"/>
  <c r="I1615" i="5"/>
  <c r="H1616" i="5"/>
  <c r="I1616" i="5"/>
  <c r="H3407" i="5"/>
  <c r="I3407" i="5"/>
  <c r="H3408" i="5"/>
  <c r="I3408" i="5"/>
  <c r="H3409" i="5"/>
  <c r="I3409" i="5"/>
  <c r="H1617" i="5"/>
  <c r="I1617" i="5"/>
  <c r="H1618" i="5"/>
  <c r="I1618" i="5"/>
  <c r="H3410" i="5"/>
  <c r="I3410" i="5"/>
  <c r="H3411" i="5"/>
  <c r="I3411" i="5"/>
  <c r="H3412" i="5"/>
  <c r="I3412" i="5"/>
  <c r="H1619" i="5"/>
  <c r="I1619" i="5"/>
  <c r="H3413" i="5"/>
  <c r="I3413" i="5"/>
  <c r="H2004" i="5"/>
  <c r="I2004" i="5"/>
  <c r="H3709" i="5"/>
  <c r="I3709" i="5"/>
  <c r="H2005" i="5"/>
  <c r="I2005" i="5"/>
  <c r="H2006" i="5"/>
  <c r="I2006" i="5"/>
  <c r="H2007" i="5"/>
  <c r="I2007" i="5"/>
  <c r="H2008" i="5"/>
  <c r="I2008" i="5"/>
  <c r="H3710" i="5"/>
  <c r="I3710" i="5"/>
  <c r="H2009" i="5"/>
  <c r="I2009" i="5"/>
  <c r="H2010" i="5"/>
  <c r="I2010" i="5"/>
  <c r="H2011" i="5"/>
  <c r="I2011" i="5"/>
  <c r="H2012" i="5"/>
  <c r="I2012" i="5"/>
  <c r="H2013" i="5"/>
  <c r="I2013" i="5"/>
  <c r="H2014" i="5"/>
  <c r="I2014" i="5"/>
  <c r="H2015" i="5"/>
  <c r="I2015" i="5"/>
  <c r="H2016" i="5"/>
  <c r="I2016" i="5"/>
  <c r="H2017" i="5"/>
  <c r="I2017" i="5"/>
  <c r="H2018" i="5"/>
  <c r="I2018" i="5"/>
  <c r="H2019" i="5"/>
  <c r="I2019" i="5"/>
  <c r="H2020" i="5"/>
  <c r="I2020" i="5"/>
  <c r="H2021" i="5"/>
  <c r="I2021" i="5"/>
  <c r="H2022" i="5"/>
  <c r="I2022" i="5"/>
  <c r="H2023" i="5"/>
  <c r="I2023" i="5"/>
  <c r="H2024" i="5"/>
  <c r="I2024" i="5"/>
  <c r="H2025" i="5"/>
  <c r="I2025" i="5"/>
  <c r="H2026" i="5"/>
  <c r="I2026" i="5"/>
  <c r="H2027" i="5"/>
  <c r="I2027" i="5"/>
  <c r="H2028" i="5"/>
  <c r="I2028" i="5"/>
  <c r="H2029" i="5"/>
  <c r="I2029" i="5"/>
  <c r="H2030" i="5"/>
  <c r="I2030" i="5"/>
  <c r="H2031" i="5"/>
  <c r="I2031" i="5"/>
  <c r="H2032" i="5"/>
  <c r="I2032" i="5"/>
  <c r="H2033" i="5"/>
  <c r="I2033" i="5"/>
  <c r="H2034" i="5"/>
  <c r="I2034" i="5"/>
  <c r="H2035" i="5"/>
  <c r="I2035" i="5"/>
  <c r="H2036" i="5"/>
  <c r="I2036" i="5"/>
  <c r="H2037" i="5"/>
  <c r="I2037" i="5"/>
  <c r="H2038" i="5"/>
  <c r="I2038" i="5"/>
  <c r="H2039" i="5"/>
  <c r="I2039" i="5"/>
  <c r="H2040" i="5"/>
  <c r="I2040" i="5"/>
  <c r="H2041" i="5"/>
  <c r="I2041" i="5"/>
  <c r="H2042" i="5"/>
  <c r="I2042" i="5"/>
  <c r="H2043" i="5"/>
  <c r="I2043" i="5"/>
  <c r="H3711" i="5"/>
  <c r="I3711" i="5"/>
  <c r="H2044" i="5"/>
  <c r="I2044" i="5"/>
  <c r="H2045" i="5"/>
  <c r="I2045" i="5"/>
  <c r="H3712" i="5"/>
  <c r="I3712" i="5"/>
  <c r="H2046" i="5"/>
  <c r="I2046" i="5"/>
  <c r="H2047" i="5"/>
  <c r="I2047" i="5"/>
  <c r="H2048" i="5"/>
  <c r="I2048" i="5"/>
  <c r="H2049" i="5"/>
  <c r="I2049" i="5"/>
  <c r="H3713" i="5"/>
  <c r="I3713" i="5"/>
  <c r="H2050" i="5"/>
  <c r="I2050" i="5"/>
  <c r="H2051" i="5"/>
  <c r="I2051" i="5"/>
  <c r="H2052" i="5"/>
  <c r="I2052" i="5"/>
  <c r="H3714" i="5"/>
  <c r="I3714" i="5"/>
  <c r="H2053" i="5"/>
  <c r="I2053" i="5"/>
  <c r="H3715" i="5"/>
  <c r="I3715" i="5"/>
  <c r="H3716" i="5"/>
  <c r="I3716" i="5"/>
  <c r="H2054" i="5"/>
  <c r="I2054" i="5"/>
  <c r="H2055" i="5"/>
  <c r="I2055" i="5"/>
  <c r="H3717" i="5"/>
  <c r="I3717" i="5"/>
  <c r="H3718" i="5"/>
  <c r="I3718" i="5"/>
  <c r="H2056" i="5"/>
  <c r="I2056" i="5"/>
  <c r="H2057" i="5"/>
  <c r="I2057" i="5"/>
  <c r="H2058" i="5"/>
  <c r="I2058" i="5"/>
  <c r="H3719" i="5"/>
  <c r="I3719" i="5"/>
  <c r="H3720" i="5"/>
  <c r="I3720" i="5"/>
  <c r="H2059" i="5"/>
  <c r="I2059" i="5"/>
  <c r="H3721" i="5"/>
  <c r="I3721" i="5"/>
  <c r="H3722" i="5"/>
  <c r="I3722" i="5"/>
  <c r="H2060" i="5"/>
  <c r="I2060" i="5"/>
  <c r="H2061" i="5"/>
  <c r="I2061" i="5"/>
  <c r="H1620" i="5"/>
  <c r="I1620" i="5"/>
  <c r="H658" i="5"/>
  <c r="I658" i="5"/>
  <c r="H2466" i="5"/>
  <c r="I2466" i="5"/>
  <c r="H2467" i="5"/>
  <c r="I2467" i="5"/>
  <c r="H659" i="5"/>
  <c r="I659" i="5"/>
  <c r="H1621" i="5"/>
  <c r="I1621" i="5"/>
  <c r="H1622" i="5"/>
  <c r="I1622" i="5"/>
  <c r="H660" i="5"/>
  <c r="I660" i="5"/>
  <c r="H1623" i="5"/>
  <c r="I1623" i="5"/>
  <c r="H661" i="5"/>
  <c r="I661" i="5"/>
  <c r="H1624" i="5"/>
  <c r="I1624" i="5"/>
  <c r="H2468" i="5"/>
  <c r="I2468" i="5"/>
  <c r="H2062" i="5"/>
  <c r="I2062" i="5"/>
  <c r="H2063" i="5"/>
  <c r="I2063" i="5"/>
  <c r="H2623" i="5"/>
  <c r="I2623" i="5"/>
  <c r="H2064" i="5"/>
  <c r="I2064" i="5"/>
  <c r="H2624" i="5"/>
  <c r="I2624" i="5"/>
  <c r="H2625" i="5"/>
  <c r="I2625" i="5"/>
  <c r="H2626" i="5"/>
  <c r="I2626" i="5"/>
  <c r="H2627" i="5"/>
  <c r="I2627" i="5"/>
  <c r="H2628" i="5"/>
  <c r="I2628" i="5"/>
  <c r="H2629" i="5"/>
  <c r="I2629" i="5"/>
  <c r="H1007" i="5"/>
  <c r="I1007" i="5"/>
  <c r="H1008" i="5"/>
  <c r="I1008" i="5"/>
  <c r="H1009" i="5"/>
  <c r="I1009" i="5"/>
  <c r="H2065" i="5"/>
  <c r="I2065" i="5"/>
  <c r="H1010" i="5"/>
  <c r="I1010" i="5"/>
  <c r="H2066" i="5"/>
  <c r="I2066" i="5"/>
  <c r="H1011" i="5"/>
  <c r="I1011" i="5"/>
  <c r="H1012" i="5"/>
  <c r="I1012" i="5"/>
  <c r="H1013" i="5"/>
  <c r="I1013" i="5"/>
  <c r="H1014" i="5"/>
  <c r="I1014" i="5"/>
  <c r="H1015" i="5"/>
  <c r="I1015" i="5"/>
  <c r="H2067" i="5"/>
  <c r="I2067" i="5"/>
  <c r="H2068" i="5"/>
  <c r="I2068" i="5"/>
  <c r="H1016" i="5"/>
  <c r="I1016" i="5"/>
  <c r="H1017" i="5"/>
  <c r="I1017" i="5"/>
  <c r="H3723" i="5"/>
  <c r="I3723" i="5"/>
  <c r="H1018" i="5"/>
  <c r="I1018" i="5"/>
  <c r="H2069" i="5"/>
  <c r="I2069" i="5"/>
  <c r="H1019" i="5"/>
  <c r="I1019" i="5"/>
  <c r="H2070" i="5"/>
  <c r="I2070" i="5"/>
  <c r="H1020" i="5"/>
  <c r="I1020" i="5"/>
  <c r="H1625" i="5"/>
  <c r="I1625" i="5"/>
  <c r="H662" i="5"/>
  <c r="I662" i="5"/>
  <c r="H1626" i="5"/>
  <c r="I1626" i="5"/>
  <c r="H663" i="5"/>
  <c r="I663" i="5"/>
  <c r="H1627" i="5"/>
  <c r="I1627" i="5"/>
  <c r="H3414" i="5"/>
  <c r="I3414" i="5"/>
  <c r="H664" i="5"/>
  <c r="I664" i="5"/>
  <c r="H1628" i="5"/>
  <c r="I1628" i="5"/>
  <c r="H1629" i="5"/>
  <c r="I1629" i="5"/>
  <c r="H665" i="5"/>
  <c r="I665" i="5"/>
  <c r="H1630" i="5"/>
  <c r="I1630" i="5"/>
  <c r="H3415" i="5"/>
  <c r="I3415" i="5"/>
  <c r="H666" i="5"/>
  <c r="I666" i="5"/>
  <c r="H1631" i="5"/>
  <c r="I1631" i="5"/>
  <c r="H667" i="5"/>
  <c r="I667" i="5"/>
  <c r="H3416" i="5"/>
  <c r="I3416" i="5"/>
  <c r="H1632" i="5"/>
  <c r="I1632" i="5"/>
  <c r="H3417" i="5"/>
  <c r="I3417" i="5"/>
  <c r="H2071" i="5"/>
  <c r="I2071" i="5"/>
  <c r="H3724" i="5"/>
  <c r="I3724" i="5"/>
  <c r="H2072" i="5"/>
  <c r="I2072" i="5"/>
  <c r="H2073" i="5"/>
  <c r="I2073" i="5"/>
  <c r="H3725" i="5"/>
  <c r="I3725" i="5"/>
  <c r="H3726" i="5"/>
  <c r="I3726" i="5"/>
  <c r="H3727" i="5"/>
  <c r="I3727" i="5"/>
  <c r="H2074" i="5"/>
  <c r="I2074" i="5"/>
  <c r="H3728" i="5"/>
  <c r="I3728" i="5"/>
  <c r="H2075" i="5"/>
  <c r="I2075" i="5"/>
  <c r="H3729" i="5"/>
  <c r="I3729" i="5"/>
  <c r="H2076" i="5"/>
  <c r="I2076" i="5"/>
  <c r="H2077" i="5"/>
  <c r="I2077" i="5"/>
  <c r="H2078" i="5"/>
  <c r="I2078" i="5"/>
  <c r="H2079" i="5"/>
  <c r="I2079" i="5"/>
  <c r="H668" i="5"/>
  <c r="I668" i="5"/>
  <c r="H669" i="5"/>
  <c r="I669" i="5"/>
  <c r="H670" i="5"/>
  <c r="I670" i="5"/>
  <c r="H1633" i="5"/>
  <c r="I1633" i="5"/>
  <c r="H3418" i="5"/>
  <c r="I3418" i="5"/>
  <c r="H1634" i="5"/>
  <c r="I1634" i="5"/>
  <c r="H671" i="5"/>
  <c r="I671" i="5"/>
  <c r="H672" i="5"/>
  <c r="I672" i="5"/>
  <c r="H673" i="5"/>
  <c r="I673" i="5"/>
  <c r="H1635" i="5"/>
  <c r="I1635" i="5"/>
  <c r="H1636" i="5"/>
  <c r="I1636" i="5"/>
  <c r="H1637" i="5"/>
  <c r="I1637" i="5"/>
  <c r="H1638" i="5"/>
  <c r="I1638" i="5"/>
  <c r="H1639" i="5"/>
  <c r="I1639" i="5"/>
  <c r="H1640" i="5"/>
  <c r="I1640" i="5"/>
  <c r="H3419" i="5"/>
  <c r="I3419" i="5"/>
  <c r="H674" i="5"/>
  <c r="I674" i="5"/>
  <c r="H3420" i="5"/>
  <c r="I3420" i="5"/>
  <c r="H675" i="5"/>
  <c r="I675" i="5"/>
  <c r="H676" i="5"/>
  <c r="I676" i="5"/>
  <c r="H677" i="5"/>
  <c r="I677" i="5"/>
  <c r="H678" i="5"/>
  <c r="I678" i="5"/>
  <c r="H679" i="5"/>
  <c r="I679" i="5"/>
  <c r="H3421" i="5"/>
  <c r="I3421" i="5"/>
  <c r="H680" i="5"/>
  <c r="I680" i="5"/>
  <c r="H681" i="5"/>
  <c r="I681" i="5"/>
  <c r="H682" i="5"/>
  <c r="I682" i="5"/>
  <c r="H2080" i="5"/>
  <c r="I2080" i="5"/>
  <c r="H3730" i="5"/>
  <c r="I3730" i="5"/>
  <c r="H2081" i="5"/>
  <c r="I2081" i="5"/>
  <c r="H1021" i="5"/>
  <c r="I1021" i="5"/>
  <c r="H1022" i="5"/>
  <c r="I1022" i="5"/>
  <c r="H1023" i="5"/>
  <c r="I1023" i="5"/>
  <c r="H3731" i="5"/>
  <c r="I3731" i="5"/>
  <c r="H1024" i="5"/>
  <c r="I1024" i="5"/>
  <c r="H3732" i="5"/>
  <c r="I3732" i="5"/>
  <c r="H1641" i="5"/>
  <c r="I1641" i="5"/>
  <c r="H2082" i="5"/>
  <c r="I2082" i="5"/>
  <c r="H2083" i="5"/>
  <c r="I2083" i="5"/>
  <c r="H2084" i="5"/>
  <c r="I2084" i="5"/>
  <c r="H2732" i="5"/>
  <c r="I2732" i="5"/>
  <c r="H1135" i="5"/>
  <c r="I1135" i="5"/>
  <c r="H1136" i="5"/>
  <c r="I1136" i="5"/>
  <c r="H2733" i="5"/>
  <c r="I2733" i="5"/>
  <c r="H2171" i="5"/>
  <c r="I2171" i="5"/>
  <c r="H47" i="5"/>
  <c r="I47" i="5"/>
  <c r="H2734" i="5"/>
  <c r="I2734" i="5"/>
  <c r="H48" i="5"/>
  <c r="I48" i="5"/>
  <c r="H2735" i="5"/>
  <c r="I2735" i="5"/>
  <c r="H2736" i="5"/>
  <c r="I2736" i="5"/>
  <c r="H2737" i="5"/>
  <c r="I2737" i="5"/>
  <c r="H2172" i="5"/>
  <c r="I2172" i="5"/>
  <c r="H2173" i="5"/>
  <c r="I2173" i="5"/>
  <c r="H2738" i="5"/>
  <c r="I2738" i="5"/>
  <c r="H49" i="5"/>
  <c r="I49" i="5"/>
  <c r="H268" i="5"/>
  <c r="I268" i="5"/>
  <c r="H1326" i="5"/>
  <c r="I1326" i="5"/>
  <c r="H2256" i="5"/>
  <c r="I2256" i="5"/>
  <c r="H269" i="5"/>
  <c r="I269" i="5"/>
  <c r="H2257" i="5"/>
  <c r="I2257" i="5"/>
  <c r="H2258" i="5"/>
  <c r="I2258" i="5"/>
  <c r="H2259" i="5"/>
  <c r="I2259" i="5"/>
  <c r="H2260" i="5"/>
  <c r="I2260" i="5"/>
  <c r="H270" i="5"/>
  <c r="I270" i="5"/>
  <c r="H2261" i="5"/>
  <c r="I2261" i="5"/>
  <c r="H2262" i="5"/>
  <c r="I2262" i="5"/>
  <c r="H2263" i="5"/>
  <c r="I2263" i="5"/>
  <c r="H271" i="5"/>
  <c r="I271" i="5"/>
  <c r="H272" i="5"/>
  <c r="I272" i="5"/>
  <c r="H2999" i="5"/>
  <c r="I2999" i="5"/>
  <c r="H2264" i="5"/>
  <c r="I2264" i="5"/>
  <c r="H1327" i="5"/>
  <c r="I1327" i="5"/>
  <c r="H1328" i="5"/>
  <c r="I1328" i="5"/>
  <c r="H273" i="5"/>
  <c r="I273" i="5"/>
  <c r="H3000" i="5"/>
  <c r="I3000" i="5"/>
  <c r="H2265" i="5"/>
  <c r="I2265" i="5"/>
  <c r="H2266" i="5"/>
  <c r="I2266" i="5"/>
  <c r="H1329" i="5"/>
  <c r="I1329" i="5"/>
  <c r="H2267" i="5"/>
  <c r="I2267" i="5"/>
  <c r="H2469" i="5"/>
  <c r="I2469" i="5"/>
  <c r="H683" i="5"/>
  <c r="I683" i="5"/>
  <c r="H3422" i="5"/>
  <c r="I3422" i="5"/>
  <c r="H684" i="5"/>
  <c r="I684" i="5"/>
  <c r="H2470" i="5"/>
  <c r="I2470" i="5"/>
  <c r="H2471" i="5"/>
  <c r="I2471" i="5"/>
  <c r="H2472" i="5"/>
  <c r="I2472" i="5"/>
  <c r="H1642" i="5"/>
  <c r="I1642" i="5"/>
  <c r="H2473" i="5"/>
  <c r="I2473" i="5"/>
  <c r="H1643" i="5"/>
  <c r="I1643" i="5"/>
  <c r="H2474" i="5"/>
  <c r="I2474" i="5"/>
  <c r="H2630" i="5"/>
  <c r="I2630" i="5"/>
  <c r="H2631" i="5"/>
  <c r="I2631" i="5"/>
  <c r="H2632" i="5"/>
  <c r="I2632" i="5"/>
  <c r="H2633" i="5"/>
  <c r="I2633" i="5"/>
  <c r="H2634" i="5"/>
  <c r="I2634" i="5"/>
  <c r="H2085" i="5"/>
  <c r="I2085" i="5"/>
  <c r="H1025" i="5"/>
  <c r="I1025" i="5"/>
  <c r="H1026" i="5"/>
  <c r="I1026" i="5"/>
  <c r="H3733" i="5"/>
  <c r="I3733" i="5"/>
  <c r="H2635" i="5"/>
  <c r="I2635" i="5"/>
  <c r="H3734" i="5"/>
  <c r="I3734" i="5"/>
  <c r="H3735" i="5"/>
  <c r="I3735" i="5"/>
  <c r="H3736" i="5"/>
  <c r="I3736" i="5"/>
  <c r="H3737" i="5"/>
  <c r="I3737" i="5"/>
  <c r="H3738" i="5"/>
  <c r="I3738" i="5"/>
  <c r="H3739" i="5"/>
  <c r="I3739" i="5"/>
  <c r="H3740" i="5"/>
  <c r="I3740" i="5"/>
  <c r="H3741" i="5"/>
  <c r="I3741" i="5"/>
  <c r="H3742" i="5"/>
  <c r="I3742" i="5"/>
  <c r="H3743" i="5"/>
  <c r="I3743" i="5"/>
  <c r="H3744" i="5"/>
  <c r="I3744" i="5"/>
  <c r="H3745" i="5"/>
  <c r="I3745" i="5"/>
  <c r="H3746" i="5"/>
  <c r="I3746" i="5"/>
  <c r="H3747" i="5"/>
  <c r="I3747" i="5"/>
  <c r="H3748" i="5"/>
  <c r="I3748" i="5"/>
  <c r="H3749" i="5"/>
  <c r="I3749" i="5"/>
  <c r="H3750" i="5"/>
  <c r="I3750" i="5"/>
  <c r="H3751" i="5"/>
  <c r="I3751" i="5"/>
  <c r="H3752" i="5"/>
  <c r="I3752" i="5"/>
  <c r="H3753" i="5"/>
  <c r="I3753" i="5"/>
  <c r="H3754" i="5"/>
  <c r="I3754" i="5"/>
  <c r="H3755" i="5"/>
  <c r="I3755" i="5"/>
  <c r="H3756" i="5"/>
  <c r="I3756" i="5"/>
  <c r="H3757" i="5"/>
  <c r="I3757" i="5"/>
  <c r="H3758" i="5"/>
  <c r="I3758" i="5"/>
  <c r="H3759" i="5"/>
  <c r="I3759" i="5"/>
  <c r="H3760" i="5"/>
  <c r="I3760" i="5"/>
  <c r="H3761" i="5"/>
  <c r="I3761" i="5"/>
  <c r="H3762" i="5"/>
  <c r="I3762" i="5"/>
  <c r="H3763" i="5"/>
  <c r="I3763" i="5"/>
  <c r="H3764" i="5"/>
  <c r="I3764" i="5"/>
  <c r="H3765" i="5"/>
  <c r="I3765" i="5"/>
  <c r="H3766" i="5"/>
  <c r="I3766" i="5"/>
  <c r="H3767" i="5"/>
  <c r="I3767" i="5"/>
  <c r="H3768" i="5"/>
  <c r="I3768" i="5"/>
  <c r="H3769" i="5"/>
  <c r="I3769" i="5"/>
  <c r="H3770" i="5"/>
  <c r="I3770" i="5"/>
  <c r="H3771" i="5"/>
  <c r="I3771" i="5"/>
  <c r="H3772" i="5"/>
  <c r="I3772" i="5"/>
  <c r="H3773" i="5"/>
  <c r="I3773" i="5"/>
  <c r="H3774" i="5"/>
  <c r="I3774" i="5"/>
  <c r="H3775" i="5"/>
  <c r="I3775" i="5"/>
  <c r="H3776" i="5"/>
  <c r="I3776" i="5"/>
  <c r="H3777" i="5"/>
  <c r="I3777" i="5"/>
  <c r="H3778" i="5"/>
  <c r="I3778" i="5"/>
  <c r="H3779" i="5"/>
  <c r="I3779" i="5"/>
  <c r="H3780" i="5"/>
  <c r="I3780" i="5"/>
  <c r="H3781" i="5"/>
  <c r="I3781" i="5"/>
  <c r="H3782" i="5"/>
  <c r="I3782" i="5"/>
  <c r="H3783" i="5"/>
  <c r="I3783" i="5"/>
  <c r="H3784" i="5"/>
  <c r="I3784" i="5"/>
  <c r="H3785" i="5"/>
  <c r="I3785" i="5"/>
  <c r="H3786" i="5"/>
  <c r="I3786" i="5"/>
  <c r="H3787" i="5"/>
  <c r="I3787" i="5"/>
  <c r="H3788" i="5"/>
  <c r="I3788" i="5"/>
  <c r="H3789" i="5"/>
  <c r="I3789" i="5"/>
  <c r="H3790" i="5"/>
  <c r="I3790" i="5"/>
  <c r="H3791" i="5"/>
  <c r="I3791" i="5"/>
  <c r="H3792" i="5"/>
  <c r="I3792" i="5"/>
  <c r="H3793" i="5"/>
  <c r="I3793" i="5"/>
  <c r="H3794" i="5"/>
  <c r="I3794" i="5"/>
  <c r="H3795" i="5"/>
  <c r="I3795" i="5"/>
  <c r="H3796" i="5"/>
  <c r="I3796" i="5"/>
  <c r="H3797" i="5"/>
  <c r="I3797" i="5"/>
  <c r="H3798" i="5"/>
  <c r="I3798" i="5"/>
  <c r="H3799" i="5"/>
  <c r="I3799" i="5"/>
  <c r="H3800" i="5"/>
  <c r="I3800" i="5"/>
  <c r="H3801" i="5"/>
  <c r="I3801" i="5"/>
  <c r="H3802" i="5"/>
  <c r="I3802" i="5"/>
  <c r="H3803" i="5"/>
  <c r="I3803" i="5"/>
  <c r="H3804" i="5"/>
  <c r="I3804" i="5"/>
  <c r="H3805" i="5"/>
  <c r="I3805" i="5"/>
  <c r="H2739" i="5"/>
  <c r="I2739" i="5"/>
  <c r="H2740" i="5"/>
  <c r="I2740" i="5"/>
  <c r="H50" i="5"/>
  <c r="I50" i="5"/>
  <c r="H51" i="5"/>
  <c r="I51" i="5"/>
  <c r="H1137" i="5"/>
  <c r="I1137" i="5"/>
  <c r="H1330" i="5"/>
  <c r="I1330" i="5"/>
  <c r="H3001" i="5"/>
  <c r="I3001" i="5"/>
  <c r="H1331" i="5"/>
  <c r="I1331" i="5"/>
  <c r="H3002" i="5"/>
  <c r="I3002" i="5"/>
  <c r="H274" i="5"/>
  <c r="I274" i="5"/>
  <c r="H1332" i="5"/>
  <c r="I1332" i="5"/>
  <c r="H1333" i="5"/>
  <c r="I1333" i="5"/>
  <c r="H1334" i="5"/>
  <c r="I1334" i="5"/>
  <c r="H1335" i="5"/>
  <c r="I1335" i="5"/>
  <c r="H275" i="5"/>
  <c r="I275" i="5"/>
  <c r="H276" i="5"/>
  <c r="I276" i="5"/>
  <c r="H1336" i="5"/>
  <c r="I1336" i="5"/>
  <c r="H3003" i="5"/>
  <c r="I3003" i="5"/>
  <c r="H277" i="5"/>
  <c r="I277" i="5"/>
  <c r="H278" i="5"/>
  <c r="I278" i="5"/>
  <c r="H1337" i="5"/>
  <c r="I1337" i="5"/>
  <c r="H279" i="5"/>
  <c r="I279" i="5"/>
  <c r="H280" i="5"/>
  <c r="I280" i="5"/>
  <c r="H281" i="5"/>
  <c r="I281" i="5"/>
  <c r="H3004" i="5"/>
  <c r="I3004" i="5"/>
  <c r="H282" i="5"/>
  <c r="I282" i="5"/>
  <c r="H3005" i="5"/>
  <c r="I3005" i="5"/>
  <c r="H1338" i="5"/>
  <c r="I1338" i="5"/>
  <c r="H1339" i="5"/>
  <c r="I1339" i="5"/>
  <c r="H3006" i="5"/>
  <c r="I3006" i="5"/>
  <c r="H3007" i="5"/>
  <c r="I3007" i="5"/>
  <c r="H283" i="5"/>
  <c r="I283" i="5"/>
  <c r="H1340" i="5"/>
  <c r="I1340" i="5"/>
  <c r="H284" i="5"/>
  <c r="I284" i="5"/>
  <c r="H3008" i="5"/>
  <c r="I3008" i="5"/>
  <c r="H285" i="5"/>
  <c r="I285" i="5"/>
  <c r="H3009" i="5"/>
  <c r="I3009" i="5"/>
  <c r="H1341" i="5"/>
  <c r="I1341" i="5"/>
  <c r="H286" i="5"/>
  <c r="I286" i="5"/>
  <c r="H287" i="5"/>
  <c r="I287" i="5"/>
  <c r="H288" i="5"/>
  <c r="I288" i="5"/>
  <c r="H1644" i="5"/>
  <c r="I1644" i="5"/>
  <c r="H1645" i="5"/>
  <c r="I1645" i="5"/>
  <c r="H3423" i="5"/>
  <c r="I3423" i="5"/>
  <c r="H2086" i="5"/>
  <c r="I2086" i="5"/>
  <c r="H2087" i="5"/>
  <c r="I2087" i="5"/>
  <c r="H2088" i="5"/>
  <c r="I2088" i="5"/>
  <c r="H1027" i="5"/>
  <c r="I1027" i="5"/>
  <c r="H2089" i="5"/>
  <c r="I2089" i="5"/>
  <c r="H2090" i="5"/>
  <c r="I2090" i="5"/>
  <c r="H2091" i="5"/>
  <c r="I2091" i="5"/>
  <c r="H2741" i="5"/>
  <c r="I2741" i="5"/>
  <c r="H52" i="5"/>
  <c r="I52" i="5"/>
  <c r="H2174" i="5"/>
  <c r="I2174" i="5"/>
  <c r="H2175" i="5"/>
  <c r="I2175" i="5"/>
  <c r="H2742" i="5"/>
  <c r="I2742" i="5"/>
  <c r="H2176" i="5"/>
  <c r="I2176" i="5"/>
  <c r="H2743" i="5"/>
  <c r="I2743" i="5"/>
  <c r="H2177" i="5"/>
  <c r="I2177" i="5"/>
  <c r="H53" i="5"/>
  <c r="I53" i="5"/>
  <c r="H2744" i="5"/>
  <c r="I2744" i="5"/>
  <c r="H2745" i="5"/>
  <c r="I2745" i="5"/>
  <c r="H2746" i="5"/>
  <c r="I2746" i="5"/>
  <c r="H2178" i="5"/>
  <c r="I2178" i="5"/>
  <c r="H2179" i="5"/>
  <c r="I2179" i="5"/>
  <c r="H54" i="5"/>
  <c r="I54" i="5"/>
  <c r="H55" i="5"/>
  <c r="I55" i="5"/>
  <c r="H2747" i="5"/>
  <c r="I2747" i="5"/>
  <c r="H56" i="5"/>
  <c r="I56" i="5"/>
  <c r="H2748" i="5"/>
  <c r="I2748" i="5"/>
  <c r="H2749" i="5"/>
  <c r="I2749" i="5"/>
  <c r="H57" i="5"/>
  <c r="I57" i="5"/>
  <c r="H58" i="5"/>
  <c r="I58" i="5"/>
  <c r="H59" i="5"/>
  <c r="I59" i="5"/>
  <c r="H2180" i="5"/>
  <c r="I2180" i="5"/>
  <c r="H2750" i="5"/>
  <c r="I2750" i="5"/>
  <c r="H2751" i="5"/>
  <c r="I2751" i="5"/>
  <c r="H60" i="5"/>
  <c r="I60" i="5"/>
  <c r="H2752" i="5"/>
  <c r="I2752" i="5"/>
  <c r="H2753" i="5"/>
  <c r="I2753" i="5"/>
  <c r="H2754" i="5"/>
  <c r="I2754" i="5"/>
  <c r="H2181" i="5"/>
  <c r="I2181" i="5"/>
  <c r="H2182" i="5"/>
  <c r="I2182" i="5"/>
  <c r="H2183" i="5"/>
  <c r="I2183" i="5"/>
  <c r="H2184" i="5"/>
  <c r="I2184" i="5"/>
  <c r="H2185" i="5"/>
  <c r="I2185" i="5"/>
  <c r="H2186" i="5"/>
  <c r="I2186" i="5"/>
  <c r="H61" i="5"/>
  <c r="I61" i="5"/>
  <c r="H2755" i="5"/>
  <c r="I2755" i="5"/>
  <c r="H2756" i="5"/>
  <c r="I2756" i="5"/>
  <c r="H2757" i="5"/>
  <c r="I2757" i="5"/>
  <c r="H62" i="5"/>
  <c r="I62" i="5"/>
  <c r="H2187" i="5"/>
  <c r="I2187" i="5"/>
  <c r="H63" i="5"/>
  <c r="I63" i="5"/>
  <c r="H2758" i="5"/>
  <c r="I2758" i="5"/>
  <c r="H2759" i="5"/>
  <c r="I2759" i="5"/>
  <c r="H2760" i="5"/>
  <c r="I2760" i="5"/>
  <c r="H64" i="5"/>
  <c r="I64" i="5"/>
  <c r="H65" i="5"/>
  <c r="I65" i="5"/>
  <c r="H289" i="5"/>
  <c r="I289" i="5"/>
  <c r="H2268" i="5"/>
  <c r="I2268" i="5"/>
  <c r="H3010" i="5"/>
  <c r="I3010" i="5"/>
  <c r="H2269" i="5"/>
  <c r="I2269" i="5"/>
  <c r="H290" i="5"/>
  <c r="I290" i="5"/>
  <c r="H291" i="5"/>
  <c r="I291" i="5"/>
  <c r="H3011" i="5"/>
  <c r="I3011" i="5"/>
  <c r="H3012" i="5"/>
  <c r="I3012" i="5"/>
  <c r="H292" i="5"/>
  <c r="I292" i="5"/>
  <c r="H293" i="5"/>
  <c r="I293" i="5"/>
  <c r="H294" i="5"/>
  <c r="I294" i="5"/>
  <c r="H3013" i="5"/>
  <c r="I3013" i="5"/>
  <c r="H3014" i="5"/>
  <c r="I3014" i="5"/>
  <c r="H295" i="5"/>
  <c r="I295" i="5"/>
  <c r="H2270" i="5"/>
  <c r="I2270" i="5"/>
  <c r="H3015" i="5"/>
  <c r="I3015" i="5"/>
  <c r="H296" i="5"/>
  <c r="I296" i="5"/>
  <c r="H3016" i="5"/>
  <c r="I3016" i="5"/>
  <c r="H297" i="5"/>
  <c r="I297" i="5"/>
  <c r="H298" i="5"/>
  <c r="I298" i="5"/>
  <c r="H2271" i="5"/>
  <c r="I2271" i="5"/>
  <c r="H2272" i="5"/>
  <c r="I2272" i="5"/>
  <c r="H299" i="5"/>
  <c r="I299" i="5"/>
  <c r="H3017" i="5"/>
  <c r="I3017" i="5"/>
  <c r="H3018" i="5"/>
  <c r="I3018" i="5"/>
  <c r="H2273" i="5"/>
  <c r="I2273" i="5"/>
  <c r="H2274" i="5"/>
  <c r="I2274" i="5"/>
  <c r="H300" i="5"/>
  <c r="I300" i="5"/>
  <c r="H2275" i="5"/>
  <c r="I2275" i="5"/>
  <c r="H3019" i="5"/>
  <c r="I3019" i="5"/>
  <c r="H301" i="5"/>
  <c r="I301" i="5"/>
  <c r="H2276" i="5"/>
  <c r="I2276" i="5"/>
  <c r="H2277" i="5"/>
  <c r="I2277" i="5"/>
  <c r="H2278" i="5"/>
  <c r="I2278" i="5"/>
  <c r="H3020" i="5"/>
  <c r="I3020" i="5"/>
  <c r="H3021" i="5"/>
  <c r="I3021" i="5"/>
  <c r="H3022" i="5"/>
  <c r="I3022" i="5"/>
  <c r="H3023" i="5"/>
  <c r="I3023" i="5"/>
  <c r="H2279" i="5"/>
  <c r="I2279" i="5"/>
  <c r="H302" i="5"/>
  <c r="I302" i="5"/>
  <c r="H2475" i="5"/>
  <c r="I2475" i="5"/>
  <c r="H685" i="5"/>
  <c r="I685" i="5"/>
  <c r="H2476" i="5"/>
  <c r="I2476" i="5"/>
  <c r="H2636" i="5"/>
  <c r="I2636" i="5"/>
  <c r="H3806" i="5"/>
  <c r="I3806" i="5"/>
  <c r="H2637" i="5"/>
  <c r="I2637" i="5"/>
  <c r="H2188" i="5"/>
  <c r="I2188" i="5"/>
  <c r="H2189" i="5"/>
  <c r="I2189" i="5"/>
  <c r="H2761" i="5"/>
  <c r="I2761" i="5"/>
  <c r="H66" i="5"/>
  <c r="I66" i="5"/>
  <c r="H67" i="5"/>
  <c r="I67" i="5"/>
  <c r="H68" i="5"/>
  <c r="I68" i="5"/>
  <c r="H69" i="5"/>
  <c r="I69" i="5"/>
  <c r="H3024" i="5"/>
  <c r="I3024" i="5"/>
  <c r="H303" i="5"/>
  <c r="I303" i="5"/>
  <c r="H304" i="5"/>
  <c r="I304" i="5"/>
  <c r="H3025" i="5"/>
  <c r="I3025" i="5"/>
  <c r="H2280" i="5"/>
  <c r="I2280" i="5"/>
  <c r="H2281" i="5"/>
  <c r="I2281" i="5"/>
  <c r="H2282" i="5"/>
  <c r="I2282" i="5"/>
  <c r="H2283" i="5"/>
  <c r="I2283" i="5"/>
  <c r="H3026" i="5"/>
  <c r="I3026" i="5"/>
  <c r="H305" i="5"/>
  <c r="I305" i="5"/>
  <c r="H3027" i="5"/>
  <c r="I3027" i="5"/>
  <c r="H3028" i="5"/>
  <c r="I3028" i="5"/>
  <c r="H3029" i="5"/>
  <c r="I3029" i="5"/>
  <c r="H3030" i="5"/>
  <c r="I3030" i="5"/>
  <c r="H306" i="5"/>
  <c r="I306" i="5"/>
  <c r="H3031" i="5"/>
  <c r="I3031" i="5"/>
  <c r="H2284" i="5"/>
  <c r="I2284" i="5"/>
  <c r="H307" i="5"/>
  <c r="I307" i="5"/>
  <c r="H308" i="5"/>
  <c r="I308" i="5"/>
  <c r="H3032" i="5"/>
  <c r="I3032" i="5"/>
  <c r="H2285" i="5"/>
  <c r="I2285" i="5"/>
  <c r="H3033" i="5"/>
  <c r="I3033" i="5"/>
  <c r="H3034" i="5"/>
  <c r="I3034" i="5"/>
  <c r="H3035" i="5"/>
  <c r="I3035" i="5"/>
  <c r="H2477" i="5"/>
  <c r="I2477" i="5"/>
  <c r="H3424" i="5"/>
  <c r="I3424" i="5"/>
  <c r="H2478" i="5"/>
  <c r="I2478" i="5"/>
  <c r="H2479" i="5"/>
  <c r="I2479" i="5"/>
  <c r="H686" i="5"/>
  <c r="I686" i="5"/>
  <c r="H2480" i="5"/>
  <c r="I2480" i="5"/>
  <c r="H3425" i="5"/>
  <c r="I3425" i="5"/>
  <c r="H3426" i="5"/>
  <c r="I3426" i="5"/>
  <c r="H3427" i="5"/>
  <c r="I3427" i="5"/>
  <c r="H2481" i="5"/>
  <c r="I2481" i="5"/>
  <c r="H2482" i="5"/>
  <c r="I2482" i="5"/>
  <c r="H3807" i="5"/>
  <c r="I3807" i="5"/>
  <c r="H1028" i="5"/>
  <c r="I1028" i="5"/>
  <c r="H1029" i="5"/>
  <c r="I1029" i="5"/>
  <c r="H1030" i="5"/>
  <c r="I1030" i="5"/>
  <c r="H1031" i="5"/>
  <c r="I1031" i="5"/>
  <c r="H1032" i="5"/>
  <c r="I1032" i="5"/>
  <c r="H1033" i="5"/>
  <c r="I1033" i="5"/>
  <c r="H1034" i="5"/>
  <c r="I1034" i="5"/>
  <c r="H2638" i="5"/>
  <c r="I2638" i="5"/>
  <c r="H2639" i="5"/>
  <c r="I2639" i="5"/>
  <c r="H1035" i="5"/>
  <c r="I1035" i="5"/>
  <c r="H3808" i="5"/>
  <c r="I3808" i="5"/>
  <c r="H3809" i="5"/>
  <c r="I3809" i="5"/>
  <c r="H2762" i="5"/>
  <c r="I2762" i="5"/>
  <c r="H2190" i="5"/>
  <c r="I2190" i="5"/>
  <c r="H2191" i="5"/>
  <c r="I2191" i="5"/>
  <c r="H2763" i="5"/>
  <c r="I2763" i="5"/>
  <c r="H2764" i="5"/>
  <c r="I2764" i="5"/>
  <c r="H70" i="5"/>
  <c r="I70" i="5"/>
  <c r="H2192" i="5"/>
  <c r="I2192" i="5"/>
  <c r="H2765" i="5"/>
  <c r="I2765" i="5"/>
  <c r="H71" i="5"/>
  <c r="I71" i="5"/>
  <c r="H72" i="5"/>
  <c r="I72" i="5"/>
  <c r="H73" i="5"/>
  <c r="I73" i="5"/>
  <c r="H1138" i="5"/>
  <c r="I1138" i="5"/>
  <c r="H1139" i="5"/>
  <c r="I1139" i="5"/>
  <c r="H1140" i="5"/>
  <c r="I1140" i="5"/>
  <c r="H74" i="5"/>
  <c r="I74" i="5"/>
  <c r="H1141" i="5"/>
  <c r="I1141" i="5"/>
  <c r="H2766" i="5"/>
  <c r="I2766" i="5"/>
  <c r="H1142" i="5"/>
  <c r="I1142" i="5"/>
  <c r="H2193" i="5"/>
  <c r="I2193" i="5"/>
  <c r="H2767" i="5"/>
  <c r="I2767" i="5"/>
  <c r="H1143" i="5"/>
  <c r="I1143" i="5"/>
  <c r="H2194" i="5"/>
  <c r="I2194" i="5"/>
  <c r="H2768" i="5"/>
  <c r="I2768" i="5"/>
  <c r="H2195" i="5"/>
  <c r="I2195" i="5"/>
  <c r="H2769" i="5"/>
  <c r="I2769" i="5"/>
  <c r="H2196" i="5"/>
  <c r="I2196" i="5"/>
  <c r="H2770" i="5"/>
  <c r="I2770" i="5"/>
  <c r="H75" i="5"/>
  <c r="I75" i="5"/>
  <c r="H2771" i="5"/>
  <c r="I2771" i="5"/>
  <c r="H76" i="5"/>
  <c r="I76" i="5"/>
  <c r="H2197" i="5"/>
  <c r="I2197" i="5"/>
  <c r="H3036" i="5"/>
  <c r="I3036" i="5"/>
  <c r="H2286" i="5"/>
  <c r="I2286" i="5"/>
  <c r="H2287" i="5"/>
  <c r="I2287" i="5"/>
  <c r="H3037" i="5"/>
  <c r="I3037" i="5"/>
  <c r="H309" i="5"/>
  <c r="I309" i="5"/>
  <c r="H310" i="5"/>
  <c r="I310" i="5"/>
  <c r="H3038" i="5"/>
  <c r="I3038" i="5"/>
  <c r="H311" i="5"/>
  <c r="I311" i="5"/>
  <c r="H312" i="5"/>
  <c r="I312" i="5"/>
  <c r="H3039" i="5"/>
  <c r="I3039" i="5"/>
  <c r="H313" i="5"/>
  <c r="I313" i="5"/>
  <c r="H2288" i="5"/>
  <c r="I2288" i="5"/>
  <c r="H3040" i="5"/>
  <c r="I3040" i="5"/>
  <c r="H2289" i="5"/>
  <c r="I2289" i="5"/>
  <c r="H3041" i="5"/>
  <c r="I3041" i="5"/>
  <c r="H2290" i="5"/>
  <c r="I2290" i="5"/>
  <c r="H3042" i="5"/>
  <c r="I3042" i="5"/>
  <c r="H3043" i="5"/>
  <c r="I3043" i="5"/>
  <c r="H3044" i="5"/>
  <c r="I3044" i="5"/>
  <c r="H3045" i="5"/>
  <c r="I3045" i="5"/>
  <c r="H314" i="5"/>
  <c r="I314" i="5"/>
  <c r="H2291" i="5"/>
  <c r="I2291" i="5"/>
  <c r="H2292" i="5"/>
  <c r="I2292" i="5"/>
  <c r="H2293" i="5"/>
  <c r="I2293" i="5"/>
  <c r="H2294" i="5"/>
  <c r="I2294" i="5"/>
  <c r="H315" i="5"/>
  <c r="I315" i="5"/>
  <c r="H316" i="5"/>
  <c r="I316" i="5"/>
  <c r="H317" i="5"/>
  <c r="I317" i="5"/>
  <c r="H3046" i="5"/>
  <c r="I3046" i="5"/>
  <c r="H2295" i="5"/>
  <c r="I2295" i="5"/>
  <c r="H2296" i="5"/>
  <c r="I2296" i="5"/>
  <c r="H3047" i="5"/>
  <c r="I3047" i="5"/>
  <c r="H2297" i="5"/>
  <c r="I2297" i="5"/>
  <c r="H3048" i="5"/>
  <c r="I3048" i="5"/>
  <c r="H3049" i="5"/>
  <c r="I3049" i="5"/>
  <c r="H318" i="5"/>
  <c r="I318" i="5"/>
  <c r="H319" i="5"/>
  <c r="I319" i="5"/>
  <c r="H320" i="5"/>
  <c r="I320" i="5"/>
  <c r="H321" i="5"/>
  <c r="I321" i="5"/>
  <c r="H2298" i="5"/>
  <c r="I2298" i="5"/>
  <c r="H3050" i="5"/>
  <c r="I3050" i="5"/>
  <c r="H1342" i="5"/>
  <c r="I1342" i="5"/>
  <c r="H322" i="5"/>
  <c r="I322" i="5"/>
  <c r="H323" i="5"/>
  <c r="I323" i="5"/>
  <c r="H1343" i="5"/>
  <c r="I1343" i="5"/>
  <c r="H2299" i="5"/>
  <c r="I2299" i="5"/>
  <c r="H324" i="5"/>
  <c r="I324" i="5"/>
  <c r="H2300" i="5"/>
  <c r="I2300" i="5"/>
  <c r="H325" i="5"/>
  <c r="I325" i="5"/>
  <c r="H3051" i="5"/>
  <c r="I3051" i="5"/>
  <c r="H1344" i="5"/>
  <c r="I1344" i="5"/>
  <c r="H3052" i="5"/>
  <c r="I3052" i="5"/>
  <c r="H3053" i="5"/>
  <c r="I3053" i="5"/>
  <c r="H3054" i="5"/>
  <c r="I3054" i="5"/>
  <c r="H2301" i="5"/>
  <c r="I2301" i="5"/>
  <c r="H2302" i="5"/>
  <c r="I2302" i="5"/>
  <c r="H2483" i="5"/>
  <c r="I2483" i="5"/>
  <c r="H2484" i="5"/>
  <c r="I2484" i="5"/>
  <c r="H1646" i="5"/>
  <c r="I1646" i="5"/>
  <c r="H2485" i="5"/>
  <c r="I2485" i="5"/>
  <c r="H3428" i="5"/>
  <c r="I3428" i="5"/>
  <c r="H2486" i="5"/>
  <c r="I2486" i="5"/>
  <c r="H2487" i="5"/>
  <c r="I2487" i="5"/>
  <c r="H2488" i="5"/>
  <c r="I2488" i="5"/>
  <c r="H2489" i="5"/>
  <c r="I2489" i="5"/>
  <c r="H3429" i="5"/>
  <c r="I3429" i="5"/>
  <c r="H2490" i="5"/>
  <c r="I2490" i="5"/>
  <c r="H2640" i="5"/>
  <c r="I2640" i="5"/>
  <c r="H2641" i="5"/>
  <c r="I2641" i="5"/>
  <c r="H1647" i="5"/>
  <c r="I1647" i="5"/>
  <c r="H1648" i="5"/>
  <c r="I1648" i="5"/>
  <c r="H1649" i="5"/>
  <c r="I1649" i="5"/>
  <c r="H1650" i="5"/>
  <c r="I1650" i="5"/>
  <c r="H1651" i="5"/>
  <c r="I1651" i="5"/>
  <c r="H1652" i="5"/>
  <c r="I1652" i="5"/>
  <c r="H1653" i="5"/>
  <c r="I1653" i="5"/>
  <c r="H1654" i="5"/>
  <c r="I1654" i="5"/>
  <c r="H1655" i="5"/>
  <c r="I1655" i="5"/>
  <c r="H1656" i="5"/>
  <c r="I1656" i="5"/>
  <c r="H1657" i="5"/>
  <c r="I1657" i="5"/>
  <c r="H1658" i="5"/>
  <c r="I1658" i="5"/>
  <c r="H1659" i="5"/>
  <c r="I1659" i="5"/>
  <c r="H1660" i="5"/>
  <c r="I1660" i="5"/>
  <c r="H1661" i="5"/>
  <c r="I1661" i="5"/>
  <c r="H2092" i="5"/>
  <c r="I2092" i="5"/>
  <c r="H2093" i="5"/>
  <c r="I2093" i="5"/>
  <c r="H2094" i="5"/>
  <c r="I2094" i="5"/>
  <c r="H2095" i="5"/>
  <c r="I2095" i="5"/>
  <c r="H2096" i="5"/>
  <c r="I2096" i="5"/>
  <c r="H2097" i="5"/>
  <c r="I2097" i="5"/>
  <c r="H2098" i="5"/>
  <c r="I2098" i="5"/>
  <c r="H2099" i="5"/>
  <c r="I2099" i="5"/>
  <c r="H2100" i="5"/>
  <c r="I2100" i="5"/>
  <c r="H2101" i="5"/>
  <c r="I2101" i="5"/>
  <c r="H2102" i="5"/>
  <c r="I2102" i="5"/>
  <c r="H2103" i="5"/>
  <c r="I2103" i="5"/>
  <c r="H2104" i="5"/>
  <c r="I2104" i="5"/>
  <c r="H2105" i="5"/>
  <c r="I2105" i="5"/>
  <c r="H2106" i="5"/>
  <c r="I2106" i="5"/>
  <c r="H2107" i="5"/>
  <c r="I2107" i="5"/>
  <c r="H2108" i="5"/>
  <c r="I2108" i="5"/>
  <c r="H2109" i="5"/>
  <c r="I2109" i="5"/>
  <c r="H3810" i="5"/>
  <c r="I3810" i="5"/>
  <c r="H3811" i="5"/>
  <c r="I3811" i="5"/>
  <c r="H3812" i="5"/>
  <c r="I3812" i="5"/>
  <c r="H3813" i="5"/>
  <c r="I3813" i="5"/>
  <c r="H3814" i="5"/>
  <c r="I3814" i="5"/>
  <c r="H3815" i="5"/>
  <c r="I3815" i="5"/>
  <c r="H3816" i="5"/>
  <c r="I3816" i="5"/>
  <c r="H3817" i="5"/>
  <c r="I3817" i="5"/>
  <c r="H3818" i="5"/>
  <c r="I3818" i="5"/>
  <c r="H3819" i="5"/>
  <c r="I3819" i="5"/>
  <c r="H3820" i="5"/>
  <c r="I3820" i="5"/>
  <c r="H3821" i="5"/>
  <c r="I3821" i="5"/>
  <c r="H3822" i="5"/>
  <c r="I3822" i="5"/>
  <c r="H3823" i="5"/>
  <c r="I3823" i="5"/>
  <c r="H3824" i="5"/>
  <c r="I3824" i="5"/>
  <c r="H3825" i="5"/>
  <c r="I3825" i="5"/>
  <c r="H3826" i="5"/>
  <c r="I3826" i="5"/>
  <c r="H3827" i="5"/>
  <c r="I3827" i="5"/>
  <c r="H3828" i="5"/>
  <c r="I3828" i="5"/>
  <c r="H3829" i="5"/>
  <c r="I3829" i="5"/>
  <c r="H3830" i="5"/>
  <c r="I3830" i="5"/>
  <c r="H3831" i="5"/>
  <c r="I3831" i="5"/>
  <c r="H3832" i="5"/>
  <c r="I3832" i="5"/>
  <c r="H3833" i="5"/>
  <c r="I3833" i="5"/>
  <c r="H1662" i="5"/>
  <c r="I1662" i="5"/>
  <c r="H1663" i="5"/>
  <c r="I1663" i="5"/>
  <c r="H1664" i="5"/>
  <c r="I1664" i="5"/>
  <c r="H1665" i="5"/>
  <c r="I1665" i="5"/>
  <c r="H1666" i="5"/>
  <c r="I1666" i="5"/>
  <c r="H1667" i="5"/>
  <c r="I1667" i="5"/>
  <c r="H1668" i="5"/>
  <c r="I1668" i="5"/>
  <c r="H1669" i="5"/>
  <c r="I1669" i="5"/>
  <c r="H1670" i="5"/>
  <c r="I1670" i="5"/>
  <c r="H1671" i="5"/>
  <c r="I1671" i="5"/>
  <c r="H1672" i="5"/>
  <c r="I1672" i="5"/>
  <c r="H1673" i="5"/>
  <c r="I1673" i="5"/>
  <c r="H1674" i="5"/>
  <c r="I1674" i="5"/>
  <c r="H1675" i="5"/>
  <c r="I1675" i="5"/>
  <c r="H1676" i="5"/>
  <c r="I1676" i="5"/>
  <c r="H1677" i="5"/>
  <c r="I1677" i="5"/>
  <c r="H1678" i="5"/>
  <c r="I1678" i="5"/>
  <c r="H1679" i="5"/>
  <c r="I1679" i="5"/>
  <c r="H1680" i="5"/>
  <c r="I1680" i="5"/>
  <c r="H1681" i="5"/>
  <c r="I1681" i="5"/>
  <c r="H2110" i="5"/>
  <c r="I2110" i="5"/>
  <c r="H2111" i="5"/>
  <c r="I2111" i="5"/>
  <c r="H2112" i="5"/>
  <c r="I2112" i="5"/>
  <c r="H2113" i="5"/>
  <c r="I2113" i="5"/>
  <c r="H2114" i="5"/>
  <c r="I2114" i="5"/>
  <c r="H2115" i="5"/>
  <c r="I2115" i="5"/>
  <c r="H2116" i="5"/>
  <c r="I2116" i="5"/>
  <c r="H2117" i="5"/>
  <c r="I2117" i="5"/>
  <c r="H2118" i="5"/>
  <c r="I2118" i="5"/>
  <c r="H2119" i="5"/>
  <c r="I2119" i="5"/>
  <c r="H1682" i="5"/>
  <c r="I1682" i="5"/>
  <c r="H1683" i="5"/>
  <c r="I1683" i="5"/>
  <c r="H1684" i="5"/>
  <c r="I1684" i="5"/>
  <c r="H1685" i="5"/>
  <c r="I1685" i="5"/>
  <c r="H1686" i="5"/>
  <c r="I1686" i="5"/>
  <c r="H1687" i="5"/>
  <c r="I1687" i="5"/>
  <c r="H1688" i="5"/>
  <c r="I1688" i="5"/>
  <c r="H1689" i="5"/>
  <c r="I1689" i="5"/>
  <c r="H1690" i="5"/>
  <c r="I1690" i="5"/>
  <c r="H1691" i="5"/>
  <c r="I1691" i="5"/>
  <c r="H1692" i="5"/>
  <c r="I1692" i="5"/>
  <c r="H1693" i="5"/>
  <c r="I1693" i="5"/>
  <c r="H1694" i="5"/>
  <c r="I1694" i="5"/>
  <c r="H1695" i="5"/>
  <c r="I1695" i="5"/>
  <c r="H1696" i="5"/>
  <c r="I1696" i="5"/>
  <c r="H1697" i="5"/>
  <c r="I1697" i="5"/>
  <c r="H1698" i="5"/>
  <c r="I1698" i="5"/>
  <c r="H1699" i="5"/>
  <c r="I1699" i="5"/>
  <c r="H1700" i="5"/>
  <c r="I1700" i="5"/>
  <c r="H1701" i="5"/>
  <c r="I1701" i="5"/>
  <c r="H1702" i="5"/>
  <c r="I1702" i="5"/>
  <c r="H1703" i="5"/>
  <c r="I1703" i="5"/>
  <c r="H1704" i="5"/>
  <c r="I1704" i="5"/>
  <c r="H1705" i="5"/>
  <c r="I1705" i="5"/>
  <c r="H1706" i="5"/>
  <c r="I1706" i="5"/>
  <c r="H1707" i="5"/>
  <c r="I1707" i="5"/>
  <c r="H1708" i="5"/>
  <c r="I1708" i="5"/>
  <c r="H1709" i="5"/>
  <c r="I1709" i="5"/>
  <c r="H1710" i="5"/>
  <c r="I1710" i="5"/>
  <c r="H2120" i="5"/>
  <c r="I2120" i="5"/>
  <c r="H2121" i="5"/>
  <c r="I2121" i="5"/>
  <c r="H1711" i="5"/>
  <c r="I1711" i="5"/>
  <c r="H1712" i="5"/>
  <c r="I1712" i="5"/>
  <c r="H3430" i="5"/>
  <c r="I3430" i="5"/>
  <c r="H3431" i="5"/>
  <c r="I3431" i="5"/>
  <c r="H1713" i="5"/>
  <c r="I1713" i="5"/>
  <c r="H1714" i="5"/>
  <c r="I1714" i="5"/>
  <c r="H3432" i="5"/>
  <c r="I3432" i="5"/>
  <c r="H3433" i="5"/>
  <c r="I3433" i="5"/>
  <c r="H3434" i="5"/>
  <c r="I3434" i="5"/>
  <c r="H1715" i="5"/>
  <c r="I1715" i="5"/>
  <c r="H1716" i="5"/>
  <c r="I1716" i="5"/>
  <c r="H1717" i="5"/>
  <c r="I1717" i="5"/>
  <c r="H1718" i="5"/>
  <c r="I1718" i="5"/>
  <c r="H2122" i="5"/>
  <c r="I2122" i="5"/>
  <c r="H3834" i="5"/>
  <c r="I3834" i="5"/>
  <c r="H3835" i="5"/>
  <c r="I3835" i="5"/>
  <c r="H3836" i="5"/>
  <c r="I3836" i="5"/>
  <c r="H3837" i="5"/>
  <c r="I3837" i="5"/>
  <c r="H3838" i="5"/>
  <c r="I3838" i="5"/>
  <c r="H3839" i="5"/>
  <c r="I3839" i="5"/>
  <c r="H3840" i="5"/>
  <c r="I3840" i="5"/>
  <c r="H3841" i="5"/>
  <c r="I3841" i="5"/>
  <c r="H3842" i="5"/>
  <c r="I3842" i="5"/>
  <c r="H3843" i="5"/>
  <c r="I3843" i="5"/>
  <c r="H3844" i="5"/>
  <c r="I3844" i="5"/>
  <c r="H1345" i="5"/>
  <c r="I1345" i="5"/>
  <c r="H3055" i="5"/>
  <c r="I3055" i="5"/>
  <c r="H3056" i="5"/>
  <c r="I3056" i="5"/>
  <c r="H3057" i="5"/>
  <c r="I3057" i="5"/>
  <c r="H1346" i="5"/>
  <c r="I1346" i="5"/>
  <c r="H687" i="5"/>
  <c r="I687" i="5"/>
  <c r="H688" i="5"/>
  <c r="I688" i="5"/>
  <c r="H689" i="5"/>
  <c r="I689" i="5"/>
  <c r="H1719" i="5"/>
  <c r="I1719" i="5"/>
  <c r="H3435" i="5"/>
  <c r="I3435" i="5"/>
  <c r="H690" i="5"/>
  <c r="I690" i="5"/>
  <c r="H691" i="5"/>
  <c r="I691" i="5"/>
  <c r="H1720" i="5"/>
  <c r="I1720" i="5"/>
  <c r="H692" i="5"/>
  <c r="I692" i="5"/>
  <c r="H693" i="5"/>
  <c r="I693" i="5"/>
  <c r="H694" i="5"/>
  <c r="I694" i="5"/>
  <c r="H1721" i="5"/>
  <c r="I1721" i="5"/>
  <c r="H695" i="5"/>
  <c r="I695" i="5"/>
  <c r="H3436" i="5"/>
  <c r="I3436" i="5"/>
  <c r="H1722" i="5"/>
  <c r="I1722" i="5"/>
  <c r="H1723" i="5"/>
  <c r="I1723" i="5"/>
  <c r="H696" i="5"/>
  <c r="I696" i="5"/>
  <c r="H697" i="5"/>
  <c r="I697" i="5"/>
  <c r="H3437" i="5"/>
  <c r="I3437" i="5"/>
  <c r="H1724" i="5"/>
  <c r="I1724" i="5"/>
  <c r="H3438" i="5"/>
  <c r="I3438" i="5"/>
  <c r="H698" i="5"/>
  <c r="I698" i="5"/>
  <c r="H3845" i="5"/>
  <c r="I3845" i="5"/>
  <c r="H2123" i="5"/>
  <c r="I2123" i="5"/>
  <c r="H1036" i="5"/>
  <c r="I1036" i="5"/>
  <c r="H2124" i="5"/>
  <c r="I2124" i="5"/>
  <c r="H2125" i="5"/>
  <c r="I2125" i="5"/>
  <c r="H3846" i="5"/>
  <c r="I3846" i="5"/>
  <c r="H2126" i="5"/>
  <c r="I2126" i="5"/>
  <c r="H3847" i="5"/>
  <c r="I3847" i="5"/>
  <c r="H3848" i="5"/>
  <c r="I3848" i="5"/>
  <c r="H2127" i="5"/>
  <c r="I2127" i="5"/>
  <c r="H1347" i="5"/>
  <c r="I1347" i="5"/>
  <c r="H3058" i="5"/>
  <c r="I3058" i="5"/>
  <c r="H326" i="5"/>
  <c r="I326" i="5"/>
  <c r="H3059" i="5"/>
  <c r="I3059" i="5"/>
  <c r="H3060" i="5"/>
  <c r="I3060" i="5"/>
  <c r="H1348" i="5"/>
  <c r="I1348" i="5"/>
  <c r="H3061" i="5"/>
  <c r="I3061" i="5"/>
  <c r="H327" i="5"/>
  <c r="I327" i="5"/>
  <c r="H328" i="5"/>
  <c r="I328" i="5"/>
  <c r="H3062" i="5"/>
  <c r="I3062" i="5"/>
  <c r="H1349" i="5"/>
  <c r="I1349" i="5"/>
  <c r="H2303" i="5"/>
  <c r="I2303" i="5"/>
  <c r="H2304" i="5"/>
  <c r="I2304" i="5"/>
  <c r="H3063" i="5"/>
  <c r="I3063" i="5"/>
  <c r="H329" i="5"/>
  <c r="I329" i="5"/>
  <c r="H3064" i="5"/>
  <c r="I3064" i="5"/>
  <c r="H2305" i="5"/>
  <c r="I2305" i="5"/>
  <c r="H3065" i="5"/>
  <c r="I3065" i="5"/>
  <c r="H2306" i="5"/>
  <c r="I2306" i="5"/>
  <c r="H330" i="5"/>
  <c r="I330" i="5"/>
  <c r="H3066" i="5"/>
  <c r="I3066" i="5"/>
  <c r="H3067" i="5"/>
  <c r="I3067" i="5"/>
  <c r="H2307" i="5"/>
  <c r="I2307" i="5"/>
  <c r="H1350" i="5"/>
  <c r="I1350" i="5"/>
  <c r="H2308" i="5"/>
  <c r="I2308" i="5"/>
  <c r="H1351" i="5"/>
  <c r="I1351" i="5"/>
  <c r="H2309" i="5"/>
  <c r="I2309" i="5"/>
  <c r="H1352" i="5"/>
  <c r="I1352" i="5"/>
  <c r="H2310" i="5"/>
  <c r="I2310" i="5"/>
  <c r="H1353" i="5"/>
  <c r="I1353" i="5"/>
  <c r="H2311" i="5"/>
  <c r="I2311" i="5"/>
  <c r="H1354" i="5"/>
  <c r="I1354" i="5"/>
  <c r="H2312" i="5"/>
  <c r="I2312" i="5"/>
  <c r="H3068" i="5"/>
  <c r="I3068" i="5"/>
  <c r="H3069" i="5"/>
  <c r="I3069" i="5"/>
  <c r="H2313" i="5"/>
  <c r="I2313" i="5"/>
  <c r="H3070" i="5"/>
  <c r="I3070" i="5"/>
  <c r="H699" i="5"/>
  <c r="I699" i="5"/>
  <c r="H2491" i="5"/>
  <c r="I2491" i="5"/>
  <c r="H3439" i="5"/>
  <c r="I3439" i="5"/>
  <c r="H700" i="5"/>
  <c r="I700" i="5"/>
  <c r="H2492" i="5"/>
  <c r="I2492" i="5"/>
  <c r="H1725" i="5"/>
  <c r="I1725" i="5"/>
  <c r="H3440" i="5"/>
  <c r="I3440" i="5"/>
  <c r="H2493" i="5"/>
  <c r="I2493" i="5"/>
  <c r="H701" i="5"/>
  <c r="I701" i="5"/>
  <c r="H2128" i="5"/>
  <c r="I2128" i="5"/>
  <c r="H2642" i="5"/>
  <c r="I2642" i="5"/>
  <c r="H3849" i="5"/>
  <c r="I3849" i="5"/>
  <c r="H1037" i="5"/>
  <c r="I1037" i="5"/>
  <c r="H1038" i="5"/>
  <c r="I1038" i="5"/>
  <c r="H702" i="5"/>
  <c r="I702" i="5"/>
  <c r="H1726" i="5"/>
  <c r="I1726" i="5"/>
  <c r="H1727" i="5"/>
  <c r="I1727" i="5"/>
  <c r="H3441" i="5"/>
  <c r="I3441" i="5"/>
  <c r="H1728" i="5"/>
  <c r="I1728" i="5"/>
  <c r="H3442" i="5"/>
  <c r="I3442" i="5"/>
  <c r="H1729" i="5"/>
  <c r="I1729" i="5"/>
  <c r="H703" i="5"/>
  <c r="I703" i="5"/>
  <c r="H704" i="5"/>
  <c r="I704" i="5"/>
  <c r="H3443" i="5"/>
  <c r="I3443" i="5"/>
  <c r="H705" i="5"/>
  <c r="I705" i="5"/>
  <c r="H1730" i="5"/>
  <c r="I1730" i="5"/>
  <c r="H1039" i="5"/>
  <c r="I1039" i="5"/>
  <c r="H1040" i="5"/>
  <c r="I1040" i="5"/>
  <c r="H1041" i="5"/>
  <c r="I1041" i="5"/>
  <c r="H1042" i="5"/>
  <c r="I1042" i="5"/>
  <c r="H1043" i="5"/>
  <c r="I1043" i="5"/>
  <c r="H1044" i="5"/>
  <c r="I1044" i="5"/>
  <c r="H1045" i="5"/>
  <c r="I1045" i="5"/>
  <c r="H3850" i="5"/>
  <c r="I3850" i="5"/>
  <c r="H2129" i="5"/>
  <c r="I2129" i="5"/>
  <c r="H3851" i="5"/>
  <c r="I3851" i="5"/>
  <c r="H3852" i="5"/>
  <c r="I3852" i="5"/>
  <c r="H2130" i="5"/>
  <c r="I2130" i="5"/>
  <c r="H3853" i="5"/>
  <c r="I3853" i="5"/>
  <c r="H3854" i="5"/>
  <c r="I3854" i="5"/>
  <c r="H1046" i="5"/>
  <c r="I1046" i="5"/>
  <c r="H2131" i="5"/>
  <c r="I2131" i="5"/>
  <c r="H2132" i="5"/>
  <c r="I2132" i="5"/>
  <c r="H3855" i="5"/>
  <c r="I3855" i="5"/>
  <c r="H1047" i="5"/>
  <c r="I1047" i="5"/>
  <c r="H2133" i="5"/>
  <c r="I2133" i="5"/>
  <c r="H2134" i="5"/>
  <c r="I2134" i="5"/>
  <c r="H2135" i="5"/>
  <c r="I2135" i="5"/>
  <c r="H2136" i="5"/>
  <c r="I2136" i="5"/>
  <c r="H706" i="5"/>
  <c r="I706" i="5"/>
  <c r="H707" i="5"/>
  <c r="I707" i="5"/>
  <c r="H708" i="5"/>
  <c r="I708" i="5"/>
  <c r="H709" i="5"/>
  <c r="I709" i="5"/>
  <c r="H3444" i="5"/>
  <c r="I3444" i="5"/>
  <c r="H710" i="5"/>
  <c r="I710" i="5"/>
  <c r="H3445" i="5"/>
  <c r="I3445" i="5"/>
  <c r="H1731" i="5"/>
  <c r="I1731" i="5"/>
  <c r="H1732" i="5"/>
  <c r="I1732" i="5"/>
  <c r="H711" i="5"/>
  <c r="I711" i="5"/>
  <c r="H1733" i="5"/>
  <c r="I1733" i="5"/>
  <c r="H1734" i="5"/>
  <c r="I1734" i="5"/>
  <c r="H1735" i="5"/>
  <c r="I1735" i="5"/>
  <c r="H1736" i="5"/>
  <c r="I1736" i="5"/>
  <c r="H3446" i="5"/>
  <c r="I3446" i="5"/>
  <c r="H712" i="5"/>
  <c r="I712" i="5"/>
  <c r="H1737" i="5"/>
  <c r="I1737" i="5"/>
  <c r="H3447" i="5"/>
  <c r="I3447" i="5"/>
  <c r="H3448" i="5"/>
  <c r="I3448" i="5"/>
  <c r="H713" i="5"/>
  <c r="I713" i="5"/>
  <c r="H1738" i="5"/>
  <c r="I1738" i="5"/>
  <c r="H714" i="5"/>
  <c r="I714" i="5"/>
  <c r="H1739" i="5"/>
  <c r="I1739" i="5"/>
  <c r="H715" i="5"/>
  <c r="I715" i="5"/>
  <c r="H716" i="5"/>
  <c r="I716" i="5"/>
  <c r="H2137" i="5"/>
  <c r="I2137" i="5"/>
  <c r="H1048" i="5"/>
  <c r="I1048" i="5"/>
  <c r="H3856" i="5"/>
  <c r="I3856" i="5"/>
  <c r="H2138" i="5"/>
  <c r="I2138" i="5"/>
  <c r="H2139" i="5"/>
  <c r="I2139" i="5"/>
  <c r="H2140" i="5"/>
  <c r="I2140" i="5"/>
  <c r="H3857" i="5"/>
  <c r="I3857" i="5"/>
  <c r="H2141" i="5"/>
  <c r="I2141" i="5"/>
  <c r="H3449" i="5"/>
  <c r="I3449" i="5"/>
  <c r="H1740" i="5"/>
  <c r="I1740" i="5"/>
  <c r="H1741" i="5"/>
  <c r="I1741" i="5"/>
  <c r="H3450" i="5"/>
  <c r="I3450" i="5"/>
  <c r="H3451" i="5"/>
  <c r="I3451" i="5"/>
  <c r="H3452" i="5"/>
  <c r="I3452" i="5"/>
  <c r="H1742" i="5"/>
  <c r="I1742" i="5"/>
  <c r="H1743" i="5"/>
  <c r="I1743" i="5"/>
  <c r="H1744" i="5"/>
  <c r="I1744" i="5"/>
  <c r="H1745" i="5"/>
  <c r="I1745" i="5"/>
  <c r="H1746" i="5"/>
  <c r="I1746" i="5"/>
  <c r="H1747" i="5"/>
  <c r="I1747" i="5"/>
  <c r="H3453" i="5"/>
  <c r="I3453" i="5"/>
  <c r="H1748" i="5"/>
  <c r="I1748" i="5"/>
  <c r="H1749" i="5"/>
  <c r="I1749" i="5"/>
  <c r="H3454" i="5"/>
  <c r="I3454" i="5"/>
  <c r="H3455" i="5"/>
  <c r="I3455" i="5"/>
  <c r="H3858" i="5"/>
  <c r="I3858" i="5"/>
  <c r="H2142" i="5"/>
  <c r="I2142" i="5"/>
  <c r="H3859" i="5"/>
  <c r="I3859" i="5"/>
  <c r="H3860" i="5"/>
  <c r="I3860" i="5"/>
  <c r="H2143" i="5"/>
  <c r="I2143" i="5"/>
  <c r="H2144" i="5"/>
  <c r="I2144" i="5"/>
  <c r="H2145" i="5"/>
  <c r="I2145" i="5"/>
  <c r="H2146" i="5"/>
  <c r="I2146" i="5"/>
  <c r="H2147" i="5"/>
  <c r="I2147" i="5"/>
  <c r="H2148" i="5"/>
  <c r="I2148" i="5"/>
  <c r="H2149" i="5"/>
  <c r="I2149" i="5"/>
  <c r="H2772" i="5"/>
  <c r="I2772" i="5"/>
  <c r="H2773" i="5"/>
  <c r="I2773" i="5"/>
  <c r="H2774" i="5"/>
  <c r="I2774" i="5"/>
  <c r="H77" i="5"/>
  <c r="I77" i="5"/>
  <c r="H2314" i="5"/>
  <c r="I2314" i="5"/>
  <c r="H331" i="5"/>
  <c r="I331" i="5"/>
  <c r="H2315" i="5"/>
  <c r="I2315" i="5"/>
  <c r="H332" i="5"/>
  <c r="I332" i="5"/>
  <c r="H2316" i="5"/>
  <c r="I2316" i="5"/>
  <c r="H2317" i="5"/>
  <c r="I2317" i="5"/>
  <c r="H333" i="5"/>
  <c r="I333" i="5"/>
  <c r="H2318" i="5"/>
  <c r="I2318" i="5"/>
  <c r="H2319" i="5"/>
  <c r="I2319" i="5"/>
  <c r="H3071" i="5"/>
  <c r="I3071" i="5"/>
  <c r="H2494" i="5"/>
  <c r="I2494" i="5"/>
  <c r="H2495" i="5"/>
  <c r="I2495" i="5"/>
  <c r="H2496" i="5"/>
  <c r="I2496" i="5"/>
  <c r="H2497" i="5"/>
  <c r="I2497" i="5"/>
  <c r="H3456" i="5"/>
  <c r="I3456" i="5"/>
  <c r="H2498" i="5"/>
  <c r="I2498" i="5"/>
  <c r="H717" i="5"/>
  <c r="I717" i="5"/>
  <c r="H2499" i="5"/>
  <c r="I2499" i="5"/>
  <c r="H3457" i="5"/>
  <c r="I3457" i="5"/>
  <c r="H718" i="5"/>
  <c r="I718" i="5"/>
  <c r="H3458" i="5"/>
  <c r="I3458" i="5"/>
  <c r="H3459" i="5"/>
  <c r="I3459" i="5"/>
  <c r="H3460" i="5"/>
  <c r="I3460" i="5"/>
  <c r="H3861" i="5"/>
  <c r="I3861" i="5"/>
  <c r="H2643" i="5"/>
  <c r="I2643" i="5"/>
  <c r="H1049" i="5"/>
  <c r="I1049" i="5"/>
  <c r="H2644" i="5"/>
  <c r="I2644" i="5"/>
  <c r="H2645" i="5"/>
  <c r="I2645" i="5"/>
  <c r="H1050" i="5"/>
  <c r="I1050" i="5"/>
  <c r="H1051" i="5"/>
  <c r="I1051" i="5"/>
  <c r="H1052" i="5"/>
  <c r="I1052" i="5"/>
  <c r="H1053" i="5"/>
  <c r="I1053" i="5"/>
  <c r="H3862" i="5"/>
  <c r="I3862" i="5"/>
  <c r="H3863" i="5"/>
  <c r="I3863" i="5"/>
  <c r="H3864" i="5"/>
  <c r="I3864" i="5"/>
  <c r="H1054" i="5"/>
  <c r="I1054" i="5"/>
  <c r="H1055" i="5"/>
  <c r="I1055" i="5"/>
  <c r="H719" i="5"/>
  <c r="I719" i="5"/>
  <c r="H720" i="5"/>
  <c r="I720" i="5"/>
  <c r="H1750" i="5"/>
  <c r="I1750" i="5"/>
  <c r="H721" i="5"/>
  <c r="I721" i="5"/>
  <c r="H722" i="5"/>
  <c r="I722" i="5"/>
  <c r="H3461" i="5"/>
  <c r="I3461" i="5"/>
  <c r="H723" i="5"/>
  <c r="I723" i="5"/>
  <c r="H724" i="5"/>
  <c r="I724" i="5"/>
  <c r="H1751" i="5"/>
  <c r="I1751" i="5"/>
  <c r="H725" i="5"/>
  <c r="I725" i="5"/>
  <c r="H1752" i="5"/>
  <c r="I1752" i="5"/>
  <c r="H1753" i="5"/>
  <c r="I1753" i="5"/>
  <c r="H726" i="5"/>
  <c r="I726" i="5"/>
  <c r="H3462" i="5"/>
  <c r="I3462" i="5"/>
  <c r="H3463" i="5"/>
  <c r="I3463" i="5"/>
  <c r="H727" i="5"/>
  <c r="I727" i="5"/>
  <c r="H3464" i="5"/>
  <c r="I3464" i="5"/>
  <c r="H3465" i="5"/>
  <c r="I3465" i="5"/>
  <c r="H3466" i="5"/>
  <c r="I3466" i="5"/>
  <c r="H728" i="5"/>
  <c r="I728" i="5"/>
  <c r="H729" i="5"/>
  <c r="I729" i="5"/>
  <c r="H730" i="5"/>
  <c r="I730" i="5"/>
  <c r="H2150" i="5"/>
  <c r="I2150" i="5"/>
  <c r="H3865" i="5"/>
  <c r="I3865" i="5"/>
  <c r="H3866" i="5"/>
  <c r="I3866" i="5"/>
  <c r="H2151" i="5"/>
  <c r="I2151" i="5"/>
  <c r="H3867" i="5"/>
  <c r="I3867" i="5"/>
  <c r="H1056" i="5"/>
  <c r="I1056" i="5"/>
  <c r="H1057" i="5"/>
  <c r="I1057" i="5"/>
  <c r="H2152" i="5"/>
  <c r="I2152" i="5"/>
  <c r="H3868" i="5"/>
  <c r="I3868" i="5"/>
  <c r="H1058" i="5"/>
  <c r="I1058" i="5"/>
  <c r="H2153" i="5"/>
  <c r="I2153" i="5"/>
  <c r="H3869" i="5"/>
  <c r="I3869" i="5"/>
  <c r="H2154" i="5"/>
  <c r="I2154" i="5"/>
  <c r="H3870" i="5"/>
  <c r="I3870" i="5"/>
  <c r="H731" i="5"/>
  <c r="I731" i="5"/>
  <c r="H3467" i="5"/>
  <c r="I3467" i="5"/>
  <c r="H732" i="5"/>
  <c r="I732" i="5"/>
  <c r="H1754" i="5"/>
  <c r="I1754" i="5"/>
  <c r="H3468" i="5"/>
  <c r="I3468" i="5"/>
  <c r="H733" i="5"/>
  <c r="I733" i="5"/>
  <c r="H3469" i="5"/>
  <c r="I3469" i="5"/>
  <c r="H3470" i="5"/>
  <c r="I3470" i="5"/>
  <c r="H3471" i="5"/>
  <c r="I3471" i="5"/>
  <c r="H3871" i="5"/>
  <c r="I3871" i="5"/>
  <c r="I78" i="5"/>
  <c r="H78" i="5"/>
  <c r="L78" i="5" a="1"/>
  <c r="L78" i="5" s="1"/>
  <c r="AD3081" i="5" l="1"/>
  <c r="AD3082" i="5"/>
  <c r="AD3083" i="5"/>
  <c r="AD349" i="5"/>
  <c r="AD1371" i="5"/>
  <c r="AD350" i="5"/>
  <c r="AD351" i="5"/>
  <c r="AD352" i="5"/>
  <c r="AD1372" i="5"/>
  <c r="AD3084" i="5"/>
  <c r="AD353" i="5"/>
  <c r="AD3085" i="5"/>
  <c r="AD1373" i="5"/>
  <c r="AD3481" i="5"/>
  <c r="AD3482" i="5"/>
  <c r="AD1764" i="5"/>
  <c r="AD1765" i="5"/>
  <c r="AD1063" i="5"/>
  <c r="AD2650" i="5"/>
  <c r="AD1064" i="5"/>
  <c r="AD1065" i="5"/>
  <c r="AD2651" i="5"/>
  <c r="AD2652" i="5"/>
  <c r="AD2653" i="5"/>
  <c r="AD2654" i="5"/>
  <c r="AD1066" i="5"/>
  <c r="AD1067" i="5"/>
  <c r="AD1068" i="5"/>
  <c r="AD1069" i="5"/>
  <c r="AD2655" i="5"/>
  <c r="AD2656" i="5"/>
  <c r="AD1070" i="5"/>
  <c r="AD6" i="5"/>
  <c r="AD1071" i="5"/>
  <c r="AD7" i="5"/>
  <c r="AD8" i="5"/>
  <c r="AD1072" i="5"/>
  <c r="AD2657" i="5"/>
  <c r="AD2658" i="5"/>
  <c r="AD2659" i="5"/>
  <c r="AD1073" i="5"/>
  <c r="AD2660" i="5"/>
  <c r="AD2818" i="5"/>
  <c r="AD2819" i="5"/>
  <c r="AD1179" i="5"/>
  <c r="AD2820" i="5"/>
  <c r="AD2821" i="5"/>
  <c r="AD112" i="5"/>
  <c r="AD2822" i="5"/>
  <c r="AD2823" i="5"/>
  <c r="AD1180" i="5"/>
  <c r="AD1181" i="5"/>
  <c r="AD113" i="5"/>
  <c r="AD114" i="5"/>
  <c r="AD115" i="5"/>
  <c r="AD1182" i="5"/>
  <c r="AD116" i="5"/>
  <c r="AD1183" i="5"/>
  <c r="AD1184" i="5"/>
  <c r="AD117" i="5"/>
  <c r="AD1374" i="5"/>
  <c r="AD354" i="5"/>
  <c r="AD355" i="5"/>
  <c r="AD3086" i="5"/>
  <c r="AD1375" i="5"/>
  <c r="AD356" i="5"/>
  <c r="AD3087" i="5"/>
  <c r="AD3088" i="5"/>
  <c r="AD1766" i="5"/>
  <c r="AD1767" i="5"/>
  <c r="AD1768" i="5"/>
  <c r="AD734" i="5"/>
  <c r="AD735" i="5"/>
  <c r="AD736" i="5"/>
  <c r="AD737" i="5"/>
  <c r="AD738" i="5"/>
  <c r="AD739" i="5"/>
  <c r="AD2155" i="5"/>
  <c r="AD2661" i="5"/>
  <c r="AD2662" i="5"/>
  <c r="AD2663" i="5"/>
  <c r="AD2156" i="5"/>
  <c r="AD1074" i="5"/>
  <c r="AD1075" i="5"/>
  <c r="AD2664" i="5"/>
  <c r="AD1076" i="5"/>
  <c r="AD2665" i="5"/>
  <c r="AD2157" i="5"/>
  <c r="AD2158" i="5"/>
  <c r="AD2666" i="5"/>
  <c r="AD2159" i="5"/>
  <c r="AD9" i="5"/>
  <c r="AD2210" i="5"/>
  <c r="AD2824" i="5"/>
  <c r="AD2825" i="5"/>
  <c r="AD2211" i="5"/>
  <c r="AD2212" i="5"/>
  <c r="AD2826" i="5"/>
  <c r="AD2827" i="5"/>
  <c r="AD2213" i="5"/>
  <c r="AD1185" i="5"/>
  <c r="AD118" i="5"/>
  <c r="AD2828" i="5"/>
  <c r="AD119" i="5"/>
  <c r="AD1186" i="5"/>
  <c r="AD2829" i="5"/>
  <c r="AD120" i="5"/>
  <c r="AD2830" i="5"/>
  <c r="AD2214" i="5"/>
  <c r="AD357" i="5"/>
  <c r="AD1376" i="5"/>
  <c r="AD1377" i="5"/>
  <c r="AD1378" i="5"/>
  <c r="AD3089" i="5"/>
  <c r="AD1769" i="5"/>
  <c r="AD1770" i="5"/>
  <c r="AD740" i="5"/>
  <c r="AD2667" i="5"/>
  <c r="AD1077" i="5"/>
  <c r="AD10" i="5"/>
  <c r="AD1078" i="5"/>
  <c r="AD1187" i="5"/>
  <c r="AD1188" i="5"/>
  <c r="AD1189" i="5"/>
  <c r="AD1190" i="5"/>
  <c r="AD121" i="5"/>
  <c r="AD2831" i="5"/>
  <c r="AD122" i="5"/>
  <c r="AD123" i="5"/>
  <c r="AD2832" i="5"/>
  <c r="AD124" i="5"/>
  <c r="AD2833" i="5"/>
  <c r="AD125" i="5"/>
  <c r="AD1191" i="5"/>
  <c r="AD126" i="5"/>
  <c r="AD1192" i="5"/>
  <c r="AD2834" i="5"/>
  <c r="AD1193" i="5"/>
  <c r="AD358" i="5"/>
  <c r="AD359" i="5"/>
  <c r="AD3090" i="5"/>
  <c r="AD1379" i="5"/>
  <c r="AD1380" i="5"/>
  <c r="AD3091" i="5"/>
  <c r="AD360" i="5"/>
  <c r="AD1381" i="5"/>
  <c r="AD1382" i="5"/>
  <c r="AD1383" i="5"/>
  <c r="AD361" i="5"/>
  <c r="AD3092" i="5"/>
  <c r="AD3093" i="5"/>
  <c r="AD1771" i="5"/>
  <c r="AD741" i="5"/>
  <c r="AD742" i="5"/>
  <c r="AD743" i="5"/>
  <c r="AD744" i="5"/>
  <c r="AD745" i="5"/>
  <c r="AD3483" i="5"/>
  <c r="AD3484" i="5"/>
  <c r="AD1772" i="5"/>
  <c r="AD746" i="5"/>
  <c r="AD1773" i="5"/>
  <c r="AD747" i="5"/>
  <c r="AD1774" i="5"/>
  <c r="AD3094" i="5"/>
  <c r="AD362" i="5"/>
  <c r="AD363" i="5"/>
  <c r="AD364" i="5"/>
  <c r="AD365" i="5"/>
  <c r="AD366" i="5"/>
  <c r="AD1384" i="5"/>
  <c r="AD367" i="5"/>
  <c r="AD1385" i="5"/>
  <c r="AD1386" i="5"/>
  <c r="AD1387" i="5"/>
  <c r="AD3095" i="5"/>
  <c r="AD368" i="5"/>
  <c r="AD3096" i="5"/>
  <c r="AD369" i="5"/>
  <c r="AD3097" i="5"/>
  <c r="AD370" i="5"/>
  <c r="AD1388" i="5"/>
  <c r="AD3485" i="5"/>
  <c r="AD3486" i="5"/>
  <c r="AD1775" i="5"/>
  <c r="AD3487" i="5"/>
  <c r="AD1776" i="5"/>
  <c r="AD1777" i="5"/>
  <c r="AD3488" i="5"/>
  <c r="AD1778" i="5"/>
  <c r="AD1779" i="5"/>
  <c r="AD1780" i="5"/>
  <c r="AD1781" i="5"/>
  <c r="AD3489" i="5"/>
  <c r="AD1782" i="5"/>
  <c r="AD748" i="5"/>
  <c r="AD2501" i="5"/>
  <c r="AD749" i="5"/>
  <c r="AD2502" i="5"/>
  <c r="AD2503" i="5"/>
  <c r="AD1079" i="5"/>
  <c r="AD2668" i="5"/>
  <c r="AD2160" i="5"/>
  <c r="AD2669" i="5"/>
  <c r="AD2161" i="5"/>
  <c r="AD2670" i="5"/>
  <c r="AD11" i="5"/>
  <c r="AD12" i="5"/>
  <c r="AD2162" i="5"/>
  <c r="AD13" i="5"/>
  <c r="AD2163" i="5"/>
  <c r="AD14" i="5"/>
  <c r="AD1080" i="5"/>
  <c r="AD15" i="5"/>
  <c r="AD2671" i="5"/>
  <c r="AD2164" i="5"/>
  <c r="AD16" i="5"/>
  <c r="AD2672" i="5"/>
  <c r="AD1081" i="5"/>
  <c r="AD1082" i="5"/>
  <c r="AD2673" i="5"/>
  <c r="AD2165" i="5"/>
  <c r="AD2166" i="5"/>
  <c r="AD17" i="5"/>
  <c r="AD1083" i="5"/>
  <c r="AD1084" i="5"/>
  <c r="AD2835" i="5"/>
  <c r="AD1194" i="5"/>
  <c r="AD2836" i="5"/>
  <c r="AD2215" i="5"/>
  <c r="AD127" i="5"/>
  <c r="AD1195" i="5"/>
  <c r="AD2216" i="5"/>
  <c r="AD128" i="5"/>
  <c r="AD1196" i="5"/>
  <c r="AD129" i="5"/>
  <c r="AD1197" i="5"/>
  <c r="AD1198" i="5"/>
  <c r="AD130" i="5"/>
  <c r="AD2217" i="5"/>
  <c r="AD2218" i="5"/>
  <c r="AD2837" i="5"/>
  <c r="AD2219" i="5"/>
  <c r="AD1199" i="5"/>
  <c r="AD2220" i="5"/>
  <c r="AD131" i="5"/>
  <c r="AD2326" i="5"/>
  <c r="AD371" i="5"/>
  <c r="AD3098" i="5"/>
  <c r="AD2327" i="5"/>
  <c r="AD750" i="5"/>
  <c r="AD1783" i="5"/>
  <c r="AD3490" i="5"/>
  <c r="AD751" i="5"/>
  <c r="AD3491" i="5"/>
  <c r="AD2504" i="5"/>
  <c r="AD752" i="5"/>
  <c r="AD1085" i="5"/>
  <c r="AD2674" i="5"/>
  <c r="AD2675" i="5"/>
  <c r="AD1086" i="5"/>
  <c r="AD1087" i="5"/>
  <c r="AD1088" i="5"/>
  <c r="AD1089" i="5"/>
  <c r="AD2676" i="5"/>
  <c r="AD1090" i="5"/>
  <c r="AD18" i="5"/>
  <c r="AD19" i="5"/>
  <c r="AD20" i="5"/>
  <c r="AD1091" i="5"/>
  <c r="AD2677" i="5"/>
  <c r="AD21" i="5"/>
  <c r="AD2678" i="5"/>
  <c r="AD2679" i="5"/>
  <c r="AD22" i="5"/>
  <c r="AD23" i="5"/>
  <c r="AD24" i="5"/>
  <c r="AD2680" i="5"/>
  <c r="AD25" i="5"/>
  <c r="AD2838" i="5"/>
  <c r="AD2839" i="5"/>
  <c r="AD2840" i="5"/>
  <c r="AD2841" i="5"/>
  <c r="AD2842" i="5"/>
  <c r="AD1200" i="5"/>
  <c r="AD1201" i="5"/>
  <c r="AD2843" i="5"/>
  <c r="AD2844" i="5"/>
  <c r="AD1202" i="5"/>
  <c r="AD2845" i="5"/>
  <c r="AD2846" i="5"/>
  <c r="AD1203" i="5"/>
  <c r="AD1204" i="5"/>
  <c r="AD132" i="5"/>
  <c r="AD1205" i="5"/>
  <c r="AD2847" i="5"/>
  <c r="AD133" i="5"/>
  <c r="AD2848" i="5"/>
  <c r="AD1206" i="5"/>
  <c r="AD2849" i="5"/>
  <c r="AD1207" i="5"/>
  <c r="AD1208" i="5"/>
  <c r="AD134" i="5"/>
  <c r="AD135" i="5"/>
  <c r="AD1209" i="5"/>
  <c r="AD1210" i="5"/>
  <c r="AD2850" i="5"/>
  <c r="AD136" i="5"/>
  <c r="AD137" i="5"/>
  <c r="AD1211" i="5"/>
  <c r="AD2851" i="5"/>
  <c r="AD1212" i="5"/>
  <c r="AD1213" i="5"/>
  <c r="AD1214" i="5"/>
  <c r="AD138" i="5"/>
  <c r="AD139" i="5"/>
  <c r="AD1215" i="5"/>
  <c r="AD140" i="5"/>
  <c r="AD1216" i="5"/>
  <c r="AD2852" i="5"/>
  <c r="AD141" i="5"/>
  <c r="AD142" i="5"/>
  <c r="AD2853" i="5"/>
  <c r="AD143" i="5"/>
  <c r="AD144" i="5"/>
  <c r="AD145" i="5"/>
  <c r="AD2854" i="5"/>
  <c r="AD2855" i="5"/>
  <c r="AD1217" i="5"/>
  <c r="AD1218" i="5"/>
  <c r="AD146" i="5"/>
  <c r="AD2856" i="5"/>
  <c r="AD147" i="5"/>
  <c r="AD1219" i="5"/>
  <c r="AD148" i="5"/>
  <c r="AD1220" i="5"/>
  <c r="AD2857" i="5"/>
  <c r="AD149" i="5"/>
  <c r="AD1221" i="5"/>
  <c r="AD150" i="5"/>
  <c r="AD151" i="5"/>
  <c r="AD1222" i="5"/>
  <c r="AD1223" i="5"/>
  <c r="AD2858" i="5"/>
  <c r="AD152" i="5"/>
  <c r="AD2859" i="5"/>
  <c r="AD153" i="5"/>
  <c r="AD154" i="5"/>
  <c r="AD372" i="5"/>
  <c r="AD1389" i="5"/>
  <c r="AD373" i="5"/>
  <c r="AD1784" i="5"/>
  <c r="AD1785" i="5"/>
  <c r="AD3492" i="5"/>
  <c r="AD374" i="5"/>
  <c r="AD1390" i="5"/>
  <c r="AD375" i="5"/>
  <c r="AD3099" i="5"/>
  <c r="AD3100" i="5"/>
  <c r="AD376" i="5"/>
  <c r="AD1391" i="5"/>
  <c r="AD1392" i="5"/>
  <c r="AD377" i="5"/>
  <c r="AD378" i="5"/>
  <c r="AD3101" i="5"/>
  <c r="AD3102" i="5"/>
  <c r="AD1393" i="5"/>
  <c r="AD379" i="5"/>
  <c r="AD1394" i="5"/>
  <c r="AD380" i="5"/>
  <c r="AD1395" i="5"/>
  <c r="AD1396" i="5"/>
  <c r="AD1397" i="5"/>
  <c r="AD1398" i="5"/>
  <c r="AD3493" i="5"/>
  <c r="AD1786" i="5"/>
  <c r="AD3494" i="5"/>
  <c r="AD3495" i="5"/>
  <c r="AD1787" i="5"/>
  <c r="AD3496" i="5"/>
  <c r="AD1788" i="5"/>
  <c r="AD1789" i="5"/>
  <c r="AD1790" i="5"/>
  <c r="AD753" i="5"/>
  <c r="AD3497" i="5"/>
  <c r="AD754" i="5"/>
  <c r="AD381" i="5"/>
  <c r="AD1399" i="5"/>
  <c r="AD382" i="5"/>
  <c r="AD383" i="5"/>
  <c r="AD1400" i="5"/>
  <c r="AD3498" i="5"/>
  <c r="AD1791" i="5"/>
  <c r="AD3499" i="5"/>
  <c r="AD1792" i="5"/>
  <c r="AD1793" i="5"/>
  <c r="AD1794" i="5"/>
  <c r="AD1795" i="5"/>
  <c r="AD1796" i="5"/>
  <c r="AD1797" i="5"/>
  <c r="AD1798" i="5"/>
  <c r="AD1799" i="5"/>
  <c r="AD3500" i="5"/>
  <c r="AD1800" i="5"/>
  <c r="AD1801" i="5"/>
  <c r="AD3501" i="5"/>
  <c r="AD1802" i="5"/>
  <c r="AD3502" i="5"/>
  <c r="AD3503" i="5"/>
  <c r="AD3504" i="5"/>
  <c r="AD3505" i="5"/>
  <c r="AD1803" i="5"/>
  <c r="AD3506" i="5"/>
  <c r="AD1804" i="5"/>
  <c r="AD3507" i="5"/>
  <c r="AD1805" i="5"/>
  <c r="AD1806" i="5"/>
  <c r="AD3508" i="5"/>
  <c r="AD3509" i="5"/>
  <c r="AD3103" i="5"/>
  <c r="AD3104" i="5"/>
  <c r="AD3105" i="5"/>
  <c r="AD3106" i="5"/>
  <c r="AD3107" i="5"/>
  <c r="AD3108" i="5"/>
  <c r="AD3109" i="5"/>
  <c r="AD3110" i="5"/>
  <c r="AD3111" i="5"/>
  <c r="AD3112" i="5"/>
  <c r="AD3113" i="5"/>
  <c r="AD3114" i="5"/>
  <c r="AD3115" i="5"/>
  <c r="AD3116" i="5"/>
  <c r="AD3117" i="5"/>
  <c r="AD3118" i="5"/>
  <c r="AD3119" i="5"/>
  <c r="AD3510" i="5"/>
  <c r="AD3511" i="5"/>
  <c r="AD3120" i="5"/>
  <c r="AD3121" i="5"/>
  <c r="AD3122" i="5"/>
  <c r="AD3123" i="5"/>
  <c r="AD3124" i="5"/>
  <c r="AD3125" i="5"/>
  <c r="AD3126" i="5"/>
  <c r="AD3127" i="5"/>
  <c r="AD3128" i="5"/>
  <c r="AD3512" i="5"/>
  <c r="AD3513" i="5"/>
  <c r="AD3514" i="5"/>
  <c r="AD3515" i="5"/>
  <c r="AD3516" i="5"/>
  <c r="AD3517" i="5"/>
  <c r="AD3518" i="5"/>
  <c r="AD3519" i="5"/>
  <c r="AD3520" i="5"/>
  <c r="AD3521" i="5"/>
  <c r="AD26" i="5"/>
  <c r="AD27" i="5"/>
  <c r="AD2167" i="5"/>
  <c r="AD28" i="5"/>
  <c r="AD2860" i="5"/>
  <c r="AD2221" i="5"/>
  <c r="AD155" i="5"/>
  <c r="AD2222" i="5"/>
  <c r="AD156" i="5"/>
  <c r="AD157" i="5"/>
  <c r="AD2223" i="5"/>
  <c r="AD1224" i="5"/>
  <c r="AD1225" i="5"/>
  <c r="AD2224" i="5"/>
  <c r="AD158" i="5"/>
  <c r="AD2861" i="5"/>
  <c r="AD159" i="5"/>
  <c r="AD2862" i="5"/>
  <c r="AD1226" i="5"/>
  <c r="AD1227" i="5"/>
  <c r="AD160" i="5"/>
  <c r="AD161" i="5"/>
  <c r="AD2863" i="5"/>
  <c r="AD1228" i="5"/>
  <c r="AD1229" i="5"/>
  <c r="AD2225" i="5"/>
  <c r="AD2226" i="5"/>
  <c r="AD1230" i="5"/>
  <c r="AD1401" i="5"/>
  <c r="AD2328" i="5"/>
  <c r="AD1402" i="5"/>
  <c r="AD1403" i="5"/>
  <c r="AD3129" i="5"/>
  <c r="AD3522" i="5"/>
  <c r="AD755" i="5"/>
  <c r="AD2227" i="5"/>
  <c r="AD2228" i="5"/>
  <c r="AD162" i="5"/>
  <c r="AD2229" i="5"/>
  <c r="AD163" i="5"/>
  <c r="AD164" i="5"/>
  <c r="AD165" i="5"/>
  <c r="AD166" i="5"/>
  <c r="AD2230" i="5"/>
  <c r="AD167" i="5"/>
  <c r="AD2231" i="5"/>
  <c r="AD168" i="5"/>
  <c r="AD2232" i="5"/>
  <c r="AD2233" i="5"/>
  <c r="AD2234" i="5"/>
  <c r="AD169" i="5"/>
  <c r="AD2235" i="5"/>
  <c r="AD2329" i="5"/>
  <c r="AD2330" i="5"/>
  <c r="AD2331" i="5"/>
  <c r="AD2332" i="5"/>
  <c r="AD2333" i="5"/>
  <c r="AD2334" i="5"/>
  <c r="AD2335" i="5"/>
  <c r="AD384" i="5"/>
  <c r="AD385" i="5"/>
  <c r="AD386" i="5"/>
  <c r="AD2336" i="5"/>
  <c r="AD2337" i="5"/>
  <c r="AD2338" i="5"/>
  <c r="AD387" i="5"/>
  <c r="AD756" i="5"/>
  <c r="AD2505" i="5"/>
  <c r="AD757" i="5"/>
  <c r="AD2506" i="5"/>
  <c r="AD758" i="5"/>
  <c r="AD2507" i="5"/>
  <c r="AD2864" i="5"/>
  <c r="AD2236" i="5"/>
  <c r="AD170" i="5"/>
  <c r="AD2865" i="5"/>
  <c r="AD2866" i="5"/>
  <c r="AD171" i="5"/>
  <c r="AD172" i="5"/>
  <c r="AD2867" i="5"/>
  <c r="AD2237" i="5"/>
  <c r="AD2868" i="5"/>
  <c r="AD173" i="5"/>
  <c r="AD174" i="5"/>
  <c r="AD175" i="5"/>
  <c r="AD2869" i="5"/>
  <c r="AD2870" i="5"/>
  <c r="AD2238" i="5"/>
  <c r="AD2339" i="5"/>
  <c r="AD2340" i="5"/>
  <c r="AD3130" i="5"/>
  <c r="AD2341" i="5"/>
  <c r="AD2342" i="5"/>
  <c r="AD3131" i="5"/>
  <c r="AD388" i="5"/>
  <c r="AD3132" i="5"/>
  <c r="AD2343" i="5"/>
  <c r="AD3133" i="5"/>
  <c r="AD2344" i="5"/>
  <c r="AD2345" i="5"/>
  <c r="AD389" i="5"/>
  <c r="AD2346" i="5"/>
  <c r="AD2347" i="5"/>
  <c r="AD2508" i="5"/>
  <c r="AD759" i="5"/>
  <c r="AD760" i="5"/>
  <c r="AD2509" i="5"/>
  <c r="AD3523" i="5"/>
  <c r="AD390" i="5"/>
  <c r="AD2348" i="5"/>
  <c r="AD3134" i="5"/>
  <c r="AD2349" i="5"/>
  <c r="AD2350" i="5"/>
  <c r="AD2351" i="5"/>
  <c r="AD391" i="5"/>
  <c r="AD2352" i="5"/>
  <c r="AD392" i="5"/>
  <c r="AD2353" i="5"/>
  <c r="AD2354" i="5"/>
  <c r="AD393" i="5"/>
  <c r="AD394" i="5"/>
  <c r="AD2355" i="5"/>
  <c r="AD2356" i="5"/>
  <c r="AD395" i="5"/>
  <c r="AD3135" i="5"/>
  <c r="AD2357" i="5"/>
  <c r="AD2358" i="5"/>
  <c r="AD2359" i="5"/>
  <c r="AD2360" i="5"/>
  <c r="AD396" i="5"/>
  <c r="AD3136" i="5"/>
  <c r="AD2361" i="5"/>
  <c r="AD397" i="5"/>
  <c r="AD2362" i="5"/>
  <c r="AD2510" i="5"/>
  <c r="AD2511" i="5"/>
  <c r="AD3524" i="5"/>
  <c r="AD3525" i="5"/>
  <c r="AD2512" i="5"/>
  <c r="AD2513" i="5"/>
  <c r="AD3526" i="5"/>
  <c r="AD2514" i="5"/>
  <c r="AD2515" i="5"/>
  <c r="AD2516" i="5"/>
  <c r="AD2517" i="5"/>
  <c r="AD2518" i="5"/>
  <c r="AD3527" i="5"/>
  <c r="AD2519" i="5"/>
  <c r="AD2520" i="5"/>
  <c r="AD2521" i="5"/>
  <c r="AD2522" i="5"/>
  <c r="AD2523" i="5"/>
  <c r="AD3528" i="5"/>
  <c r="AD3529" i="5"/>
  <c r="AD761" i="5"/>
  <c r="AD3530" i="5"/>
  <c r="AD1404" i="5"/>
  <c r="AD1405" i="5"/>
  <c r="AD1406" i="5"/>
  <c r="AD1407" i="5"/>
  <c r="AD1408" i="5"/>
  <c r="AD1409" i="5"/>
  <c r="AD1410" i="5"/>
  <c r="AD398" i="5"/>
  <c r="AD399" i="5"/>
  <c r="AD762" i="5"/>
  <c r="AD763" i="5"/>
  <c r="AD764" i="5"/>
  <c r="AD1807" i="5"/>
  <c r="AD1808" i="5"/>
  <c r="AD1809" i="5"/>
  <c r="AD1810" i="5"/>
  <c r="AD1811" i="5"/>
  <c r="AD1812" i="5"/>
  <c r="AD1813" i="5"/>
  <c r="AD1814" i="5"/>
  <c r="AD1815" i="5"/>
  <c r="AD1816" i="5"/>
  <c r="AD1817" i="5"/>
  <c r="AD1818" i="5"/>
  <c r="AD1819" i="5"/>
  <c r="AD1820" i="5"/>
  <c r="AD1821" i="5"/>
  <c r="AD1822" i="5"/>
  <c r="AD1823" i="5"/>
  <c r="AD1824" i="5"/>
  <c r="AD1825" i="5"/>
  <c r="AD1826" i="5"/>
  <c r="AD765" i="5"/>
  <c r="AD766" i="5"/>
  <c r="AD1411" i="5"/>
  <c r="AD400" i="5"/>
  <c r="AD3137" i="5"/>
  <c r="AD401" i="5"/>
  <c r="AD402" i="5"/>
  <c r="AD403" i="5"/>
  <c r="AD1412" i="5"/>
  <c r="AD1413" i="5"/>
  <c r="AD3138" i="5"/>
  <c r="AD1414" i="5"/>
  <c r="AD1415" i="5"/>
  <c r="AD404" i="5"/>
  <c r="AD405" i="5"/>
  <c r="AD406" i="5"/>
  <c r="AD3139" i="5"/>
  <c r="AD407" i="5"/>
  <c r="AD3140" i="5"/>
  <c r="AD408" i="5"/>
  <c r="AD1416" i="5"/>
  <c r="AD1417" i="5"/>
  <c r="AD3141" i="5"/>
  <c r="AD3142" i="5"/>
  <c r="AD1418" i="5"/>
  <c r="AD1419" i="5"/>
  <c r="AD409" i="5"/>
  <c r="AD3143" i="5"/>
  <c r="AD1420" i="5"/>
  <c r="AD410" i="5"/>
  <c r="AD411" i="5"/>
  <c r="AD412" i="5"/>
  <c r="AD413" i="5"/>
  <c r="AD1827" i="5"/>
  <c r="AD767" i="5"/>
  <c r="AD768" i="5"/>
  <c r="AD1092" i="5"/>
  <c r="AD2871" i="5"/>
  <c r="AD176" i="5"/>
  <c r="AD177" i="5"/>
  <c r="AD2872" i="5"/>
  <c r="AD178" i="5"/>
  <c r="AD179" i="5"/>
  <c r="AD1231" i="5"/>
  <c r="AD180" i="5"/>
  <c r="AD414" i="5"/>
  <c r="AD415" i="5"/>
  <c r="AD416" i="5"/>
  <c r="AD3144" i="5"/>
  <c r="AD3145" i="5"/>
  <c r="AD3146" i="5"/>
  <c r="AD417" i="5"/>
  <c r="AD418" i="5"/>
  <c r="AD419" i="5"/>
  <c r="AD3147" i="5"/>
  <c r="AD3148" i="5"/>
  <c r="AD420" i="5"/>
  <c r="AD421" i="5"/>
  <c r="AD422" i="5"/>
  <c r="AD423" i="5"/>
  <c r="AD424" i="5"/>
  <c r="AD3149" i="5"/>
  <c r="AD425" i="5"/>
  <c r="AD3531" i="5"/>
  <c r="AD3532" i="5"/>
  <c r="AD3533" i="5"/>
  <c r="AD1828" i="5"/>
  <c r="AD1829" i="5"/>
  <c r="AD1830" i="5"/>
  <c r="AD1831" i="5"/>
  <c r="AD2681" i="5"/>
  <c r="AD1093" i="5"/>
  <c r="AD29" i="5"/>
  <c r="AD30" i="5"/>
  <c r="AD2682" i="5"/>
  <c r="AD2683" i="5"/>
  <c r="AD2684" i="5"/>
  <c r="AD31" i="5"/>
  <c r="AD2685" i="5"/>
  <c r="AD1094" i="5"/>
  <c r="AD2686" i="5"/>
  <c r="AD1095" i="5"/>
  <c r="AD1096" i="5"/>
  <c r="AD1097" i="5"/>
  <c r="AD32" i="5"/>
  <c r="AD1098" i="5"/>
  <c r="AD2687" i="5"/>
  <c r="AD33" i="5"/>
  <c r="AD1099" i="5"/>
  <c r="AD2688" i="5"/>
  <c r="AD34" i="5"/>
  <c r="AD1100" i="5"/>
  <c r="AD1101" i="5"/>
  <c r="AD2689" i="5"/>
  <c r="AD2690" i="5"/>
  <c r="AD2691" i="5"/>
  <c r="AD1102" i="5"/>
  <c r="AD35" i="5"/>
  <c r="AD2692" i="5"/>
  <c r="AD2693" i="5"/>
  <c r="AD1103" i="5"/>
  <c r="AD1104" i="5"/>
  <c r="AD2694" i="5"/>
  <c r="AD2695" i="5"/>
  <c r="AD36" i="5"/>
  <c r="AD2696" i="5"/>
  <c r="AD37" i="5"/>
  <c r="AD2697" i="5"/>
  <c r="AD1105" i="5"/>
  <c r="AD38" i="5"/>
  <c r="AD2698" i="5"/>
  <c r="AD39" i="5"/>
  <c r="AD1106" i="5"/>
  <c r="AD1107" i="5"/>
  <c r="AD1108" i="5"/>
  <c r="AD1109" i="5"/>
  <c r="AD2699" i="5"/>
  <c r="AD1110" i="5"/>
  <c r="AD1111" i="5"/>
  <c r="AD2700" i="5"/>
  <c r="AD2873" i="5"/>
  <c r="AD1232" i="5"/>
  <c r="AD181" i="5"/>
  <c r="AD182" i="5"/>
  <c r="AD1233" i="5"/>
  <c r="AD183" i="5"/>
  <c r="AD184" i="5"/>
  <c r="AD2874" i="5"/>
  <c r="AD2875" i="5"/>
  <c r="AD185" i="5"/>
  <c r="AD1234" i="5"/>
  <c r="AD2876" i="5"/>
  <c r="AD426" i="5"/>
  <c r="AD769" i="5"/>
  <c r="AD770" i="5"/>
  <c r="AD771" i="5"/>
  <c r="AD772" i="5"/>
  <c r="AD773" i="5"/>
  <c r="AD774" i="5"/>
  <c r="AD775" i="5"/>
  <c r="AD776" i="5"/>
  <c r="AD777" i="5"/>
  <c r="AD778" i="5"/>
  <c r="AD779" i="5"/>
  <c r="AD780" i="5"/>
  <c r="AD781" i="5"/>
  <c r="AD782" i="5"/>
  <c r="AD783" i="5"/>
  <c r="AD784" i="5"/>
  <c r="AD785" i="5"/>
  <c r="AD786" i="5"/>
  <c r="AD787" i="5"/>
  <c r="AD788" i="5"/>
  <c r="AD2524" i="5"/>
  <c r="AD2525" i="5"/>
  <c r="AD2526" i="5"/>
  <c r="AD2527" i="5"/>
  <c r="AD2528" i="5"/>
  <c r="AD2529" i="5"/>
  <c r="AD2530" i="5"/>
  <c r="AD2531" i="5"/>
  <c r="AD2532" i="5"/>
  <c r="AD2533" i="5"/>
  <c r="AD2534" i="5"/>
  <c r="AD2535" i="5"/>
  <c r="AD2536" i="5"/>
  <c r="AD2537" i="5"/>
  <c r="AD2538" i="5"/>
  <c r="AD2539" i="5"/>
  <c r="AD2540" i="5"/>
  <c r="AD2541" i="5"/>
  <c r="AD2542" i="5"/>
  <c r="AD2543" i="5"/>
  <c r="AD2544" i="5"/>
  <c r="AD2545" i="5"/>
  <c r="AD2546" i="5"/>
  <c r="AD2547" i="5"/>
  <c r="AD2548" i="5"/>
  <c r="AD2549" i="5"/>
  <c r="AD2550" i="5"/>
  <c r="AD2551" i="5"/>
  <c r="AD2552" i="5"/>
  <c r="AD2553" i="5"/>
  <c r="AD2554" i="5"/>
  <c r="AD2555" i="5"/>
  <c r="AD2556" i="5"/>
  <c r="AD2557" i="5"/>
  <c r="AD2558" i="5"/>
  <c r="AD2559" i="5"/>
  <c r="AD2560" i="5"/>
  <c r="AD2561" i="5"/>
  <c r="AD2562" i="5"/>
  <c r="AD2563" i="5"/>
  <c r="AD2564" i="5"/>
  <c r="AD2565" i="5"/>
  <c r="AD2566" i="5"/>
  <c r="AD2567" i="5"/>
  <c r="AD2568" i="5"/>
  <c r="AD3150" i="5"/>
  <c r="AD3151" i="5"/>
  <c r="AD3152" i="5"/>
  <c r="AD3153" i="5"/>
  <c r="AD3154" i="5"/>
  <c r="AD3155" i="5"/>
  <c r="AD3156" i="5"/>
  <c r="AD3157" i="5"/>
  <c r="AD3158" i="5"/>
  <c r="AD3159" i="5"/>
  <c r="AD3160" i="5"/>
  <c r="AD3161" i="5"/>
  <c r="AD3162" i="5"/>
  <c r="AD3534" i="5"/>
  <c r="AD3535" i="5"/>
  <c r="AD3536" i="5"/>
  <c r="AD3537" i="5"/>
  <c r="AD3538" i="5"/>
  <c r="AD3539" i="5"/>
  <c r="AD3540" i="5"/>
  <c r="AD3541" i="5"/>
  <c r="AD1112" i="5"/>
  <c r="AD1113" i="5"/>
  <c r="AD1114" i="5"/>
  <c r="AD1115" i="5"/>
  <c r="AD1116" i="5"/>
  <c r="AD2701" i="5"/>
  <c r="AD2702" i="5"/>
  <c r="AD1117" i="5"/>
  <c r="AD2703" i="5"/>
  <c r="AD2704" i="5"/>
  <c r="AD2705" i="5"/>
  <c r="AD2706" i="5"/>
  <c r="AD1118" i="5"/>
  <c r="AD2707" i="5"/>
  <c r="AD2708" i="5"/>
  <c r="AD2709" i="5"/>
  <c r="AD2710" i="5"/>
  <c r="AD40" i="5"/>
  <c r="AD41" i="5"/>
  <c r="AD1119" i="5"/>
  <c r="AD42" i="5"/>
  <c r="AD43" i="5"/>
  <c r="AD1120" i="5"/>
  <c r="AD2711" i="5"/>
  <c r="AD2712" i="5"/>
  <c r="AD1121" i="5"/>
  <c r="AD1122" i="5"/>
  <c r="AD1123" i="5"/>
  <c r="AD1124" i="5"/>
  <c r="AD1125" i="5"/>
  <c r="AD1126" i="5"/>
  <c r="AD2713" i="5"/>
  <c r="AD1127" i="5"/>
  <c r="AD2714" i="5"/>
  <c r="AD2715" i="5"/>
  <c r="AD1128" i="5"/>
  <c r="AD2716" i="5"/>
  <c r="AD1129" i="5"/>
  <c r="AD2717" i="5"/>
  <c r="AD2718" i="5"/>
  <c r="AD1235" i="5"/>
  <c r="AD2877" i="5"/>
  <c r="AD1236" i="5"/>
  <c r="AD1237" i="5"/>
  <c r="AD2878" i="5"/>
  <c r="AD1238" i="5"/>
  <c r="AD1239" i="5"/>
  <c r="AD2879" i="5"/>
  <c r="AD1240" i="5"/>
  <c r="AD1241" i="5"/>
  <c r="AD2880" i="5"/>
  <c r="AD2881" i="5"/>
  <c r="AD2882" i="5"/>
  <c r="AD2883" i="5"/>
  <c r="AD2884" i="5"/>
  <c r="AD2885" i="5"/>
  <c r="AD1242" i="5"/>
  <c r="AD2886" i="5"/>
  <c r="AD2887" i="5"/>
  <c r="AD2888" i="5"/>
  <c r="AD1243" i="5"/>
  <c r="AD1244" i="5"/>
  <c r="AD2889" i="5"/>
  <c r="AD2890" i="5"/>
  <c r="AD1245" i="5"/>
  <c r="AD1246" i="5"/>
  <c r="AD2891" i="5"/>
  <c r="AD1247" i="5"/>
  <c r="AD2892" i="5"/>
  <c r="AD427" i="5"/>
  <c r="AD1421" i="5"/>
  <c r="AD428" i="5"/>
  <c r="AD429" i="5"/>
  <c r="AD1422" i="5"/>
  <c r="AD1832" i="5"/>
  <c r="AD789" i="5"/>
  <c r="AD1833" i="5"/>
  <c r="AD790" i="5"/>
  <c r="AD791" i="5"/>
  <c r="AD792" i="5"/>
  <c r="AD1834" i="5"/>
  <c r="AD1835" i="5"/>
  <c r="AD1836" i="5"/>
  <c r="AD1837" i="5"/>
  <c r="AD2719" i="5"/>
  <c r="AD44" i="5"/>
  <c r="AD2720" i="5"/>
  <c r="AD2721" i="5"/>
  <c r="AD2722" i="5"/>
  <c r="AD1130" i="5"/>
  <c r="AD1131" i="5"/>
  <c r="AD1248" i="5"/>
  <c r="AD1249" i="5"/>
  <c r="AD1250" i="5"/>
  <c r="AD1251" i="5"/>
  <c r="AD2893" i="5"/>
  <c r="AD1252" i="5"/>
  <c r="AD1253" i="5"/>
  <c r="AD2894" i="5"/>
  <c r="AD2895" i="5"/>
  <c r="AD1254" i="5"/>
  <c r="AD186" i="5"/>
  <c r="AD187" i="5"/>
  <c r="AD188" i="5"/>
  <c r="AD189" i="5"/>
  <c r="AD190" i="5"/>
  <c r="AD2896" i="5"/>
  <c r="AD191" i="5"/>
  <c r="AD1255" i="5"/>
  <c r="AD192" i="5"/>
  <c r="AD430" i="5"/>
  <c r="AD431" i="5"/>
  <c r="AD3163" i="5"/>
  <c r="AD432" i="5"/>
  <c r="AD433" i="5"/>
  <c r="AD3164" i="5"/>
  <c r="AD3165" i="5"/>
  <c r="AD434" i="5"/>
  <c r="AD435" i="5"/>
  <c r="AD436" i="5"/>
  <c r="AD1838" i="5"/>
  <c r="AD1839" i="5"/>
  <c r="AD1840" i="5"/>
  <c r="AD3542" i="5"/>
  <c r="AD1841" i="5"/>
  <c r="AD793" i="5"/>
  <c r="AD794" i="5"/>
  <c r="AD795" i="5"/>
  <c r="AD3543" i="5"/>
  <c r="AD1842" i="5"/>
  <c r="AD796" i="5"/>
  <c r="AD797" i="5"/>
  <c r="AD1256" i="5"/>
  <c r="AD1257" i="5"/>
  <c r="AD1258" i="5"/>
  <c r="AD193" i="5"/>
  <c r="AD2897" i="5"/>
  <c r="AD1259" i="5"/>
  <c r="AD1260" i="5"/>
  <c r="AD2898" i="5"/>
  <c r="AD2899" i="5"/>
  <c r="AD2900" i="5"/>
  <c r="AD2901" i="5"/>
  <c r="AD1261" i="5"/>
  <c r="AD2902" i="5"/>
  <c r="AD2903" i="5"/>
  <c r="AD2904" i="5"/>
  <c r="AD194" i="5"/>
  <c r="AD195" i="5"/>
  <c r="AD1262" i="5"/>
  <c r="AD1423" i="5"/>
  <c r="AD437" i="5"/>
  <c r="AD1424" i="5"/>
  <c r="AD1425" i="5"/>
  <c r="AD1426" i="5"/>
  <c r="AD438" i="5"/>
  <c r="AD3166" i="5"/>
  <c r="AD1427" i="5"/>
  <c r="AD1428" i="5"/>
  <c r="AD439" i="5"/>
  <c r="AD440" i="5"/>
  <c r="AD441" i="5"/>
  <c r="AD442" i="5"/>
  <c r="AD443" i="5"/>
  <c r="AD1429" i="5"/>
  <c r="AD3167" i="5"/>
  <c r="AD3168" i="5"/>
  <c r="AD444" i="5"/>
  <c r="AD1430" i="5"/>
  <c r="AD1431" i="5"/>
  <c r="AD445" i="5"/>
  <c r="AD1432" i="5"/>
  <c r="AD1433" i="5"/>
  <c r="AD1843" i="5"/>
  <c r="AD3544" i="5"/>
  <c r="AD1844" i="5"/>
  <c r="AD1845" i="5"/>
  <c r="AD2905" i="5"/>
  <c r="AD196" i="5"/>
  <c r="AD1263" i="5"/>
  <c r="AD2906" i="5"/>
  <c r="AD1264" i="5"/>
  <c r="AD197" i="5"/>
  <c r="AD2907" i="5"/>
  <c r="AD198" i="5"/>
  <c r="AD2908" i="5"/>
  <c r="AD1265" i="5"/>
  <c r="AD199" i="5"/>
  <c r="AD200" i="5"/>
  <c r="AD1266" i="5"/>
  <c r="AD2909" i="5"/>
  <c r="AD1267" i="5"/>
  <c r="AD1268" i="5"/>
  <c r="AD1269" i="5"/>
  <c r="AD2910" i="5"/>
  <c r="AD1270" i="5"/>
  <c r="AD1271" i="5"/>
  <c r="AD1272" i="5"/>
  <c r="AD2911" i="5"/>
  <c r="AD201" i="5"/>
  <c r="AD1273" i="5"/>
  <c r="AD1274" i="5"/>
  <c r="AD446" i="5"/>
  <c r="AD1434" i="5"/>
  <c r="AD447" i="5"/>
  <c r="AD448" i="5"/>
  <c r="AD3169" i="5"/>
  <c r="AD3170" i="5"/>
  <c r="AD449" i="5"/>
  <c r="AD1435" i="5"/>
  <c r="AD450" i="5"/>
  <c r="AD451" i="5"/>
  <c r="AD3171" i="5"/>
  <c r="AD1436" i="5"/>
  <c r="AD1437" i="5"/>
  <c r="AD798" i="5"/>
  <c r="AD799" i="5"/>
  <c r="AD1846" i="5"/>
  <c r="AD800" i="5"/>
  <c r="AD801" i="5"/>
  <c r="AD802" i="5"/>
  <c r="AD803" i="5"/>
  <c r="AD804" i="5"/>
  <c r="AD805" i="5"/>
  <c r="AD806" i="5"/>
  <c r="AD807" i="5"/>
  <c r="AD1847" i="5"/>
  <c r="AD3545" i="5"/>
  <c r="AD3546" i="5"/>
  <c r="AD3547" i="5"/>
  <c r="AD808" i="5"/>
  <c r="AD809" i="5"/>
  <c r="AD2912" i="5"/>
  <c r="AD452" i="5"/>
  <c r="AD453" i="5"/>
  <c r="AD454" i="5"/>
  <c r="AD455" i="5"/>
  <c r="AD456" i="5"/>
  <c r="AD457" i="5"/>
  <c r="AD3172" i="5"/>
  <c r="AD458" i="5"/>
  <c r="AD2363" i="5"/>
  <c r="AD2364" i="5"/>
  <c r="AD2365" i="5"/>
  <c r="AD459" i="5"/>
  <c r="AD2366" i="5"/>
  <c r="AD2367" i="5"/>
  <c r="AD460" i="5"/>
  <c r="AD461" i="5"/>
  <c r="AD2368" i="5"/>
  <c r="AD2369" i="5"/>
  <c r="AD2370" i="5"/>
  <c r="AD2371" i="5"/>
  <c r="AD2372" i="5"/>
  <c r="AD3173" i="5"/>
  <c r="AD3174" i="5"/>
  <c r="AD3175" i="5"/>
  <c r="AD462" i="5"/>
  <c r="AD463" i="5"/>
  <c r="AD810" i="5"/>
  <c r="AD811" i="5"/>
  <c r="AD812" i="5"/>
  <c r="AD813" i="5"/>
  <c r="AD814" i="5"/>
  <c r="AD815" i="5"/>
  <c r="AD816" i="5"/>
  <c r="AD817" i="5"/>
  <c r="AD818" i="5"/>
  <c r="AD3548" i="5"/>
  <c r="AD3549" i="5"/>
  <c r="AD819" i="5"/>
  <c r="AD820" i="5"/>
  <c r="AD2569" i="5"/>
  <c r="AD3550" i="5"/>
  <c r="AD821" i="5"/>
  <c r="AD3551" i="5"/>
  <c r="AD3552" i="5"/>
  <c r="AD464" i="5"/>
  <c r="AD465" i="5"/>
  <c r="AD466" i="5"/>
  <c r="AD467" i="5"/>
  <c r="AD468" i="5"/>
  <c r="AD469" i="5"/>
  <c r="AD470" i="5"/>
  <c r="AD471" i="5"/>
  <c r="AD472" i="5"/>
  <c r="AD473" i="5"/>
  <c r="AD474" i="5"/>
  <c r="AD475" i="5"/>
  <c r="AD476" i="5"/>
  <c r="AD477" i="5"/>
  <c r="AD478" i="5"/>
  <c r="AD479" i="5"/>
  <c r="AD480" i="5"/>
  <c r="AD481" i="5"/>
  <c r="AD482" i="5"/>
  <c r="AD483" i="5"/>
  <c r="AD822" i="5"/>
  <c r="AD823" i="5"/>
  <c r="AD824" i="5"/>
  <c r="AD825" i="5"/>
  <c r="AD826" i="5"/>
  <c r="AD827" i="5"/>
  <c r="AD828" i="5"/>
  <c r="AD829" i="5"/>
  <c r="AD830" i="5"/>
  <c r="AD831" i="5"/>
  <c r="AD832" i="5"/>
  <c r="AD833" i="5"/>
  <c r="AD834" i="5"/>
  <c r="AD835" i="5"/>
  <c r="AD836" i="5"/>
  <c r="AD837" i="5"/>
  <c r="AD838" i="5"/>
  <c r="AD839" i="5"/>
  <c r="AD840" i="5"/>
  <c r="AD841" i="5"/>
  <c r="AD842" i="5"/>
  <c r="AD843" i="5"/>
  <c r="AD844" i="5"/>
  <c r="AD845" i="5"/>
  <c r="AD846" i="5"/>
  <c r="AD847" i="5"/>
  <c r="AD848" i="5"/>
  <c r="AD849" i="5"/>
  <c r="AD850" i="5"/>
  <c r="AD851" i="5"/>
  <c r="AD852" i="5"/>
  <c r="AD853" i="5"/>
  <c r="AD854" i="5"/>
  <c r="AD855" i="5"/>
  <c r="AD856" i="5"/>
  <c r="AD857" i="5"/>
  <c r="AD858" i="5"/>
  <c r="AD859" i="5"/>
  <c r="AD860" i="5"/>
  <c r="AD861" i="5"/>
  <c r="AD2723" i="5"/>
  <c r="AD45" i="5"/>
  <c r="AD46" i="5"/>
  <c r="AD2913" i="5"/>
  <c r="AD1275" i="5"/>
  <c r="AD2914" i="5"/>
  <c r="AD1276" i="5"/>
  <c r="AD2915" i="5"/>
  <c r="AD202" i="5"/>
  <c r="AD203" i="5"/>
  <c r="AD2916" i="5"/>
  <c r="AD1277" i="5"/>
  <c r="AD1278" i="5"/>
  <c r="AD2917" i="5"/>
  <c r="AD1279" i="5"/>
  <c r="AD1280" i="5"/>
  <c r="AD2918" i="5"/>
  <c r="AD1281" i="5"/>
  <c r="AD204" i="5"/>
  <c r="AD2919" i="5"/>
  <c r="AD1282" i="5"/>
  <c r="AD2920" i="5"/>
  <c r="AD205" i="5"/>
  <c r="AD1283" i="5"/>
  <c r="AD3176" i="5"/>
  <c r="AD1438" i="5"/>
  <c r="AD1439" i="5"/>
  <c r="AD1440" i="5"/>
  <c r="AD1441" i="5"/>
  <c r="AD3177" i="5"/>
  <c r="AD1442" i="5"/>
  <c r="AD1443" i="5"/>
  <c r="AD1444" i="5"/>
  <c r="AD1445" i="5"/>
  <c r="AD1446" i="5"/>
  <c r="AD1447" i="5"/>
  <c r="AD1448" i="5"/>
  <c r="AD862" i="5"/>
  <c r="AD863" i="5"/>
  <c r="AD864" i="5"/>
  <c r="AD865" i="5"/>
  <c r="AD866" i="5"/>
  <c r="AD1848" i="5"/>
  <c r="AD1284" i="5"/>
  <c r="AD2921" i="5"/>
  <c r="AD2922" i="5"/>
  <c r="AD1285" i="5"/>
  <c r="AD2923" i="5"/>
  <c r="AD206" i="5"/>
  <c r="AD207" i="5"/>
  <c r="AD1286" i="5"/>
  <c r="AD208" i="5"/>
  <c r="AD2924" i="5"/>
  <c r="AD209" i="5"/>
  <c r="AD2925" i="5"/>
  <c r="AD2926" i="5"/>
  <c r="AD484" i="5"/>
  <c r="AD485" i="5"/>
  <c r="AD1449" i="5"/>
  <c r="AD1450" i="5"/>
  <c r="AD3178" i="5"/>
  <c r="AD3179" i="5"/>
  <c r="AD3180" i="5"/>
  <c r="AD1451" i="5"/>
  <c r="AD3181" i="5"/>
  <c r="AD1452" i="5"/>
  <c r="AD1453" i="5"/>
  <c r="AD486" i="5"/>
  <c r="AD487" i="5"/>
  <c r="AD3182" i="5"/>
  <c r="AD1454" i="5"/>
  <c r="AD1849" i="5"/>
  <c r="AD3553" i="5"/>
  <c r="AD1850" i="5"/>
  <c r="AD1851" i="5"/>
  <c r="AD1852" i="5"/>
  <c r="AD3554" i="5"/>
  <c r="AD1853" i="5"/>
  <c r="AD1854" i="5"/>
  <c r="AD1855" i="5"/>
  <c r="AD2724" i="5"/>
  <c r="AD2725" i="5"/>
  <c r="AD2239" i="5"/>
  <c r="AD2240" i="5"/>
  <c r="AD1287" i="5"/>
  <c r="AD2241" i="5"/>
  <c r="AD2242" i="5"/>
  <c r="AD1288" i="5"/>
  <c r="AD210" i="5"/>
  <c r="AD211" i="5"/>
  <c r="AD2927" i="5"/>
  <c r="AD212" i="5"/>
  <c r="AD2928" i="5"/>
  <c r="AD2929" i="5"/>
  <c r="AD2930" i="5"/>
  <c r="AD213" i="5"/>
  <c r="AD214" i="5"/>
  <c r="AD215" i="5"/>
  <c r="AD216" i="5"/>
  <c r="AD2931" i="5"/>
  <c r="AD2932" i="5"/>
  <c r="AD217" i="5"/>
  <c r="AD1289" i="5"/>
  <c r="AD2933" i="5"/>
  <c r="AD1290" i="5"/>
  <c r="AD218" i="5"/>
  <c r="AD219" i="5"/>
  <c r="AD2243" i="5"/>
  <c r="AD2934" i="5"/>
  <c r="AD1291" i="5"/>
  <c r="AD2244" i="5"/>
  <c r="AD1292" i="5"/>
  <c r="AD1455" i="5"/>
  <c r="AD1456" i="5"/>
  <c r="AD488" i="5"/>
  <c r="AD489" i="5"/>
  <c r="AD490" i="5"/>
  <c r="AD3183" i="5"/>
  <c r="AD1457" i="5"/>
  <c r="AD491" i="5"/>
  <c r="AD492" i="5"/>
  <c r="AD2373" i="5"/>
  <c r="AD2374" i="5"/>
  <c r="AD1458" i="5"/>
  <c r="AD3184" i="5"/>
  <c r="AD493" i="5"/>
  <c r="AD1856" i="5"/>
  <c r="AD867" i="5"/>
  <c r="AD3555" i="5"/>
  <c r="AD868" i="5"/>
  <c r="AD869" i="5"/>
  <c r="AD870" i="5"/>
  <c r="AD2570" i="5"/>
  <c r="AD2571" i="5"/>
  <c r="AD871" i="5"/>
  <c r="AD2726" i="5"/>
  <c r="AD2935" i="5"/>
  <c r="AD494" i="5"/>
  <c r="AD2375" i="5"/>
  <c r="AD2376" i="5"/>
  <c r="AD2377" i="5"/>
  <c r="AD2378" i="5"/>
  <c r="AD495" i="5"/>
  <c r="AD496" i="5"/>
  <c r="AD497" i="5"/>
  <c r="AD498" i="5"/>
  <c r="AD2379" i="5"/>
  <c r="AD499" i="5"/>
  <c r="AD2380" i="5"/>
  <c r="AD2381" i="5"/>
  <c r="AD500" i="5"/>
  <c r="AD501" i="5"/>
  <c r="AD2382" i="5"/>
  <c r="AD502" i="5"/>
  <c r="AD2383" i="5"/>
  <c r="AD503" i="5"/>
  <c r="AD504" i="5"/>
  <c r="AD2384" i="5"/>
  <c r="AD2385" i="5"/>
  <c r="AD505" i="5"/>
  <c r="AD2386" i="5"/>
  <c r="AD2387" i="5"/>
  <c r="AD2572" i="5"/>
  <c r="AD872" i="5"/>
  <c r="AD2573" i="5"/>
  <c r="AD2574" i="5"/>
  <c r="AD2575" i="5"/>
  <c r="AD873" i="5"/>
  <c r="AD874" i="5"/>
  <c r="AD2576" i="5"/>
  <c r="AD2577" i="5"/>
  <c r="AD875" i="5"/>
  <c r="AD876" i="5"/>
  <c r="AD2578" i="5"/>
  <c r="AD2579" i="5"/>
  <c r="AD2580" i="5"/>
  <c r="AD877" i="5"/>
  <c r="AD2581" i="5"/>
  <c r="AD878" i="5"/>
  <c r="AD879" i="5"/>
  <c r="AD880" i="5"/>
  <c r="AD881" i="5"/>
  <c r="AD882" i="5"/>
  <c r="AD883" i="5"/>
  <c r="AD884" i="5"/>
  <c r="AD885" i="5"/>
  <c r="AD886" i="5"/>
  <c r="AD887" i="5"/>
  <c r="AD888" i="5"/>
  <c r="AD889" i="5"/>
  <c r="AD890" i="5"/>
  <c r="AD891" i="5"/>
  <c r="AD892" i="5"/>
  <c r="AD893" i="5"/>
  <c r="AD894" i="5"/>
  <c r="AD895" i="5"/>
  <c r="AD896" i="5"/>
  <c r="AD897" i="5"/>
  <c r="AD2582" i="5"/>
  <c r="AD1857" i="5"/>
  <c r="AD1858" i="5"/>
  <c r="AD1859" i="5"/>
  <c r="AD1860" i="5"/>
  <c r="AD1861" i="5"/>
  <c r="AD1862" i="5"/>
  <c r="AD1863" i="5"/>
  <c r="AD1864" i="5"/>
  <c r="AD2583" i="5"/>
  <c r="AD2584" i="5"/>
  <c r="AD506" i="5"/>
  <c r="AD1459" i="5"/>
  <c r="AD507" i="5"/>
  <c r="AD1460" i="5"/>
  <c r="AD1461" i="5"/>
  <c r="AD1462" i="5"/>
  <c r="AD508" i="5"/>
  <c r="AD3185" i="5"/>
  <c r="AD3186" i="5"/>
  <c r="AD3187" i="5"/>
  <c r="AD3188" i="5"/>
  <c r="AD509" i="5"/>
  <c r="AD1463" i="5"/>
  <c r="AD3189" i="5"/>
  <c r="AD1464" i="5"/>
  <c r="AD1465" i="5"/>
  <c r="AD510" i="5"/>
  <c r="AD511" i="5"/>
  <c r="AD3190" i="5"/>
  <c r="AD1865" i="5"/>
  <c r="AD1866" i="5"/>
  <c r="AD1867" i="5"/>
  <c r="AD3556" i="5"/>
  <c r="AD1868" i="5"/>
  <c r="AD1869" i="5"/>
  <c r="AD1870" i="5"/>
  <c r="AD3557" i="5"/>
  <c r="AD3558" i="5"/>
  <c r="AD1871" i="5"/>
  <c r="AD1872" i="5"/>
  <c r="AD2585" i="5"/>
  <c r="AD2586" i="5"/>
  <c r="AD2587" i="5"/>
  <c r="AD2588" i="5"/>
  <c r="AD2589" i="5"/>
  <c r="AD2590" i="5"/>
  <c r="AD2591" i="5"/>
  <c r="AD2592" i="5"/>
  <c r="AD2593" i="5"/>
  <c r="AD2594" i="5"/>
  <c r="AD2595" i="5"/>
  <c r="AD2596" i="5"/>
  <c r="AD2597" i="5"/>
  <c r="AD2598" i="5"/>
  <c r="AD2599" i="5"/>
  <c r="AD2600" i="5"/>
  <c r="AD2601" i="5"/>
  <c r="AD2602" i="5"/>
  <c r="AD2603" i="5"/>
  <c r="AD2604" i="5"/>
  <c r="AD2605" i="5"/>
  <c r="AD2606" i="5"/>
  <c r="AD3191" i="5"/>
  <c r="AD1466" i="5"/>
  <c r="AD3192" i="5"/>
  <c r="AD3193" i="5"/>
  <c r="AD1467" i="5"/>
  <c r="AD1468" i="5"/>
  <c r="AD3194" i="5"/>
  <c r="AD1469" i="5"/>
  <c r="AD1470" i="5"/>
  <c r="AD3195" i="5"/>
  <c r="AD1471" i="5"/>
  <c r="AD3196" i="5"/>
  <c r="AD3197" i="5"/>
  <c r="AD3198" i="5"/>
  <c r="AD1472" i="5"/>
  <c r="AD3199" i="5"/>
  <c r="AD1473" i="5"/>
  <c r="AD3200" i="5"/>
  <c r="AD3559" i="5"/>
  <c r="AD1873" i="5"/>
  <c r="AD1874" i="5"/>
  <c r="AD1875" i="5"/>
  <c r="AD1876" i="5"/>
  <c r="AD1877" i="5"/>
  <c r="AD3560" i="5"/>
  <c r="AD3561" i="5"/>
  <c r="AD3562" i="5"/>
  <c r="AD1878" i="5"/>
  <c r="AD1879" i="5"/>
  <c r="AD1474" i="5"/>
  <c r="AD1475" i="5"/>
  <c r="AD1476" i="5"/>
  <c r="AD1477" i="5"/>
  <c r="AD1478" i="5"/>
  <c r="AD1479" i="5"/>
  <c r="AD3201" i="5"/>
  <c r="AD3202" i="5"/>
  <c r="AD3203" i="5"/>
  <c r="AD1480" i="5"/>
  <c r="AD3204" i="5"/>
  <c r="AD1481" i="5"/>
  <c r="AD1482" i="5"/>
  <c r="AD1483" i="5"/>
  <c r="AD3563" i="5"/>
  <c r="AD3564" i="5"/>
  <c r="AD3565" i="5"/>
  <c r="AD3566" i="5"/>
  <c r="AD1880" i="5"/>
  <c r="AD3567" i="5"/>
  <c r="AD1881" i="5"/>
  <c r="AD1882" i="5"/>
  <c r="AD3568" i="5"/>
  <c r="AD1883" i="5"/>
  <c r="AD1884" i="5"/>
  <c r="AD3205" i="5"/>
  <c r="AD1484" i="5"/>
  <c r="AD1485" i="5"/>
  <c r="AD1486" i="5"/>
  <c r="AD1487" i="5"/>
  <c r="AD1488" i="5"/>
  <c r="AD1489" i="5"/>
  <c r="AD1490" i="5"/>
  <c r="AD3206" i="5"/>
  <c r="AD1491" i="5"/>
  <c r="AD1492" i="5"/>
  <c r="AD1493" i="5"/>
  <c r="AD1494" i="5"/>
  <c r="AD3207" i="5"/>
  <c r="AD3208" i="5"/>
  <c r="AD1495" i="5"/>
  <c r="AD3569" i="5"/>
  <c r="AD3570" i="5"/>
  <c r="AD3571" i="5"/>
  <c r="AD1885" i="5"/>
  <c r="AD1886" i="5"/>
  <c r="AD3572" i="5"/>
  <c r="AD3573" i="5"/>
  <c r="AD1887" i="5"/>
  <c r="AD3574" i="5"/>
  <c r="AD3575" i="5"/>
  <c r="AD3209" i="5"/>
  <c r="AD1496" i="5"/>
  <c r="AD1497" i="5"/>
  <c r="AD3210" i="5"/>
  <c r="AD1498" i="5"/>
  <c r="AD1499" i="5"/>
  <c r="AD3211" i="5"/>
  <c r="AD1500" i="5"/>
  <c r="AD3212" i="5"/>
  <c r="AD3576" i="5"/>
  <c r="AD1888" i="5"/>
  <c r="AD1889" i="5"/>
  <c r="AD1293" i="5"/>
  <c r="AD220" i="5"/>
  <c r="AD221" i="5"/>
  <c r="AD1294" i="5"/>
  <c r="AD1295" i="5"/>
  <c r="AD222" i="5"/>
  <c r="AD1296" i="5"/>
  <c r="AD512" i="5"/>
  <c r="AD513" i="5"/>
  <c r="AD1501" i="5"/>
  <c r="AD1502" i="5"/>
  <c r="AD1503" i="5"/>
  <c r="AD1504" i="5"/>
  <c r="AD1505" i="5"/>
  <c r="AD1506" i="5"/>
  <c r="AD1507" i="5"/>
  <c r="AD1508" i="5"/>
  <c r="AD1509" i="5"/>
  <c r="AD1510" i="5"/>
  <c r="AD1511" i="5"/>
  <c r="AD514" i="5"/>
  <c r="AD515" i="5"/>
  <c r="AD1512" i="5"/>
  <c r="AD1513" i="5"/>
  <c r="AD1514" i="5"/>
  <c r="AD1515" i="5"/>
  <c r="AD1516" i="5"/>
  <c r="AD1517" i="5"/>
  <c r="AD1518" i="5"/>
  <c r="AD1519" i="5"/>
  <c r="AD516" i="5"/>
  <c r="AD1520" i="5"/>
  <c r="AD517" i="5"/>
  <c r="AD1521" i="5"/>
  <c r="AD1522" i="5"/>
  <c r="AD1523" i="5"/>
  <c r="AD1524" i="5"/>
  <c r="AD898" i="5"/>
  <c r="AD899" i="5"/>
  <c r="AD900" i="5"/>
  <c r="AD223" i="5"/>
  <c r="AD1297" i="5"/>
  <c r="AD1298" i="5"/>
  <c r="AD2936" i="5"/>
  <c r="AD224" i="5"/>
  <c r="AD1299" i="5"/>
  <c r="AD2937" i="5"/>
  <c r="AD1300" i="5"/>
  <c r="AD2938" i="5"/>
  <c r="AD1301" i="5"/>
  <c r="AD2939" i="5"/>
  <c r="AD2940" i="5"/>
  <c r="AD1302" i="5"/>
  <c r="AD225" i="5"/>
  <c r="AD226" i="5"/>
  <c r="AD227" i="5"/>
  <c r="AD2941" i="5"/>
  <c r="AD1303" i="5"/>
  <c r="AD2942" i="5"/>
  <c r="AD1304" i="5"/>
  <c r="AD2943" i="5"/>
  <c r="AD1305" i="5"/>
  <c r="AD1306" i="5"/>
  <c r="AD2944" i="5"/>
  <c r="AD1307" i="5"/>
  <c r="AD2945" i="5"/>
  <c r="AD1308" i="5"/>
  <c r="AD1309" i="5"/>
  <c r="AD2946" i="5"/>
  <c r="AD2947" i="5"/>
  <c r="AD228" i="5"/>
  <c r="AD229" i="5"/>
  <c r="AD2948" i="5"/>
  <c r="AD518" i="5"/>
  <c r="AD3213" i="5"/>
  <c r="AD519" i="5"/>
  <c r="AD520" i="5"/>
  <c r="AD1525" i="5"/>
  <c r="AD3214" i="5"/>
  <c r="AD3215" i="5"/>
  <c r="AD1526" i="5"/>
  <c r="AD1527" i="5"/>
  <c r="AD3216" i="5"/>
  <c r="AD3217" i="5"/>
  <c r="AD901" i="5"/>
  <c r="AD902" i="5"/>
  <c r="AD1890" i="5"/>
  <c r="AD1891" i="5"/>
  <c r="AD1892" i="5"/>
  <c r="AD903" i="5"/>
  <c r="AD904" i="5"/>
  <c r="AD1893" i="5"/>
  <c r="AD1894" i="5"/>
  <c r="AD905" i="5"/>
  <c r="AD906" i="5"/>
  <c r="AD907" i="5"/>
  <c r="AD908" i="5"/>
  <c r="AD909" i="5"/>
  <c r="AD910" i="5"/>
  <c r="AD911" i="5"/>
  <c r="AD912" i="5"/>
  <c r="AD913" i="5"/>
  <c r="AD1895" i="5"/>
  <c r="AD914" i="5"/>
  <c r="AD915" i="5"/>
  <c r="AD916" i="5"/>
  <c r="AD917" i="5"/>
  <c r="AD1896" i="5"/>
  <c r="AD918" i="5"/>
  <c r="AD919" i="5"/>
  <c r="AD920" i="5"/>
  <c r="AD1897" i="5"/>
  <c r="AD1898" i="5"/>
  <c r="AD921" i="5"/>
  <c r="AD922" i="5"/>
  <c r="AD1899" i="5"/>
  <c r="AD923" i="5"/>
  <c r="AD924" i="5"/>
  <c r="AD1900" i="5"/>
  <c r="AD925" i="5"/>
  <c r="AD1901" i="5"/>
  <c r="AD926" i="5"/>
  <c r="AD927" i="5"/>
  <c r="AD1902" i="5"/>
  <c r="AD928" i="5"/>
  <c r="AD929" i="5"/>
  <c r="AD930" i="5"/>
  <c r="AD931" i="5"/>
  <c r="AD932" i="5"/>
  <c r="AD933" i="5"/>
  <c r="AD934" i="5"/>
  <c r="AD1903" i="5"/>
  <c r="AD1904" i="5"/>
  <c r="AD935" i="5"/>
  <c r="AD936" i="5"/>
  <c r="AD937" i="5"/>
  <c r="AD938" i="5"/>
  <c r="AD939" i="5"/>
  <c r="AD1905" i="5"/>
  <c r="AD940" i="5"/>
  <c r="AD1906" i="5"/>
  <c r="AD1132" i="5"/>
  <c r="AD2727" i="5"/>
  <c r="AD1133" i="5"/>
  <c r="AD2728" i="5"/>
  <c r="AD1134" i="5"/>
  <c r="AD230" i="5"/>
  <c r="AD231" i="5"/>
  <c r="AD2949" i="5"/>
  <c r="AD2950" i="5"/>
  <c r="AD232" i="5"/>
  <c r="AD1310" i="5"/>
  <c r="AD2951" i="5"/>
  <c r="AD2952" i="5"/>
  <c r="AD2953" i="5"/>
  <c r="AD2954" i="5"/>
  <c r="AD2955" i="5"/>
  <c r="AD2956" i="5"/>
  <c r="AD1311" i="5"/>
  <c r="AD2957" i="5"/>
  <c r="AD1312" i="5"/>
  <c r="AD1313" i="5"/>
  <c r="AD1528" i="5"/>
  <c r="AD3218" i="5"/>
  <c r="AD1529" i="5"/>
  <c r="AD3219" i="5"/>
  <c r="AD3220" i="5"/>
  <c r="AD3221" i="5"/>
  <c r="AD3222" i="5"/>
  <c r="AD521" i="5"/>
  <c r="AD1530" i="5"/>
  <c r="AD1531" i="5"/>
  <c r="AD522" i="5"/>
  <c r="AD523" i="5"/>
  <c r="AD524" i="5"/>
  <c r="AD525" i="5"/>
  <c r="AD941" i="5"/>
  <c r="AD942" i="5"/>
  <c r="AD943" i="5"/>
  <c r="AD944" i="5"/>
  <c r="AD945" i="5"/>
  <c r="AD946" i="5"/>
  <c r="AD947" i="5"/>
  <c r="AD948" i="5"/>
  <c r="AD949" i="5"/>
  <c r="AD950" i="5"/>
  <c r="AD951" i="5"/>
  <c r="AD3577" i="5"/>
  <c r="AD1907" i="5"/>
  <c r="AD952" i="5"/>
  <c r="AD2958" i="5"/>
  <c r="AD2959" i="5"/>
  <c r="AD2245" i="5"/>
  <c r="AD2960" i="5"/>
  <c r="AD2246" i="5"/>
  <c r="AD2247" i="5"/>
  <c r="AD2248" i="5"/>
  <c r="AD2961" i="5"/>
  <c r="AD2962" i="5"/>
  <c r="AD2249" i="5"/>
  <c r="AD233" i="5"/>
  <c r="AD2963" i="5"/>
  <c r="AD3223" i="5"/>
  <c r="AD953" i="5"/>
  <c r="AD954" i="5"/>
  <c r="AD2607" i="5"/>
  <c r="AD2608" i="5"/>
  <c r="AD2609" i="5"/>
  <c r="AD955" i="5"/>
  <c r="AD2610" i="5"/>
  <c r="AD2611" i="5"/>
  <c r="AD2612" i="5"/>
  <c r="AD2613" i="5"/>
  <c r="AD2614" i="5"/>
  <c r="AD3578" i="5"/>
  <c r="AD3224" i="5"/>
  <c r="AD3225" i="5"/>
  <c r="AD3226" i="5"/>
  <c r="AD3227" i="5"/>
  <c r="AD3228" i="5"/>
  <c r="AD3229" i="5"/>
  <c r="AD3230" i="5"/>
  <c r="AD3579" i="5"/>
  <c r="AD3580" i="5"/>
  <c r="AD3581" i="5"/>
  <c r="AD3582" i="5"/>
  <c r="AD3583" i="5"/>
  <c r="AD3584" i="5"/>
  <c r="AD3585" i="5"/>
  <c r="AD3586" i="5"/>
  <c r="AD3587" i="5"/>
  <c r="AD3588" i="5"/>
  <c r="AD3589" i="5"/>
  <c r="AD3590" i="5"/>
  <c r="AD3591" i="5"/>
  <c r="AD3592" i="5"/>
  <c r="AD3593" i="5"/>
  <c r="AD3594" i="5"/>
  <c r="AD3231" i="5"/>
  <c r="AD526" i="5"/>
  <c r="AD527" i="5"/>
  <c r="AD3232" i="5"/>
  <c r="AD528" i="5"/>
  <c r="AD529" i="5"/>
  <c r="AD530" i="5"/>
  <c r="AD531" i="5"/>
  <c r="AD532" i="5"/>
  <c r="AD533" i="5"/>
  <c r="AD1532" i="5"/>
  <c r="AD534" i="5"/>
  <c r="AD1533" i="5"/>
  <c r="AD535" i="5"/>
  <c r="AD3233" i="5"/>
  <c r="AD1534" i="5"/>
  <c r="AD3234" i="5"/>
  <c r="AD536" i="5"/>
  <c r="AD537" i="5"/>
  <c r="AD3235" i="5"/>
  <c r="AD1908" i="5"/>
  <c r="AD1909" i="5"/>
  <c r="AD3595" i="5"/>
  <c r="AD956" i="5"/>
  <c r="AD957" i="5"/>
  <c r="AD3596" i="5"/>
  <c r="AD3597" i="5"/>
  <c r="AD1910" i="5"/>
  <c r="AD3598" i="5"/>
  <c r="AD1911" i="5"/>
  <c r="AD3599" i="5"/>
  <c r="AD1912" i="5"/>
  <c r="AD538" i="5"/>
  <c r="AD1535" i="5"/>
  <c r="AD3236" i="5"/>
  <c r="AD3237" i="5"/>
  <c r="AD539" i="5"/>
  <c r="AD3238" i="5"/>
  <c r="AD3239" i="5"/>
  <c r="AD540" i="5"/>
  <c r="AD1536" i="5"/>
  <c r="AD3600" i="5"/>
  <c r="AD958" i="5"/>
  <c r="AD3601" i="5"/>
  <c r="AD1913" i="5"/>
  <c r="AD3602" i="5"/>
  <c r="AD1914" i="5"/>
  <c r="AD3603" i="5"/>
  <c r="AD1915" i="5"/>
  <c r="AD3604" i="5"/>
  <c r="AD1916" i="5"/>
  <c r="AD1917" i="5"/>
  <c r="AD3605" i="5"/>
  <c r="AD3606" i="5"/>
  <c r="AD3607" i="5"/>
  <c r="AD3608" i="5"/>
  <c r="AD1918" i="5"/>
  <c r="AD3609" i="5"/>
  <c r="AD3610" i="5"/>
  <c r="AD959" i="5"/>
  <c r="AD960" i="5"/>
  <c r="AD961" i="5"/>
  <c r="AD962" i="5"/>
  <c r="AD963" i="5"/>
  <c r="AD964" i="5"/>
  <c r="AD965" i="5"/>
  <c r="AD1919" i="5"/>
  <c r="AD1920" i="5"/>
  <c r="AD966" i="5"/>
  <c r="AD967" i="5"/>
  <c r="AD968" i="5"/>
  <c r="AD969" i="5"/>
  <c r="AD2388" i="5"/>
  <c r="AD2389" i="5"/>
  <c r="AD541" i="5"/>
  <c r="AD542" i="5"/>
  <c r="AD543" i="5"/>
  <c r="AD3240" i="5"/>
  <c r="AD1537" i="5"/>
  <c r="AD544" i="5"/>
  <c r="AD1538" i="5"/>
  <c r="AD545" i="5"/>
  <c r="AD3241" i="5"/>
  <c r="AD3242" i="5"/>
  <c r="AD546" i="5"/>
  <c r="AD547" i="5"/>
  <c r="AD548" i="5"/>
  <c r="AD549" i="5"/>
  <c r="AD550" i="5"/>
  <c r="AD551" i="5"/>
  <c r="AD552" i="5"/>
  <c r="AD1539" i="5"/>
  <c r="AD3243" i="5"/>
  <c r="AD2390" i="5"/>
  <c r="AD2391" i="5"/>
  <c r="AD2392" i="5"/>
  <c r="AD2393" i="5"/>
  <c r="AD2394" i="5"/>
  <c r="AD2395" i="5"/>
  <c r="AD2396" i="5"/>
  <c r="AD2397" i="5"/>
  <c r="AD2398" i="5"/>
  <c r="AD2399" i="5"/>
  <c r="AD3611" i="5"/>
  <c r="AD3612" i="5"/>
  <c r="AD1921" i="5"/>
  <c r="AD3613" i="5"/>
  <c r="AD1922" i="5"/>
  <c r="AD1923" i="5"/>
  <c r="AD1924" i="5"/>
  <c r="AD3614" i="5"/>
  <c r="AD1925" i="5"/>
  <c r="AD1926" i="5"/>
  <c r="AD1540" i="5"/>
  <c r="AD553" i="5"/>
  <c r="AD3244" i="5"/>
  <c r="AD1541" i="5"/>
  <c r="AD3245" i="5"/>
  <c r="AD1542" i="5"/>
  <c r="AD1543" i="5"/>
  <c r="AD1544" i="5"/>
  <c r="AD3246" i="5"/>
  <c r="AD3247" i="5"/>
  <c r="AD1545" i="5"/>
  <c r="AD554" i="5"/>
  <c r="AD555" i="5"/>
  <c r="AD1927" i="5"/>
  <c r="AD970" i="5"/>
  <c r="AD971" i="5"/>
  <c r="AD972" i="5"/>
  <c r="AD1928" i="5"/>
  <c r="AD3615" i="5"/>
  <c r="AD1929" i="5"/>
  <c r="AD1930" i="5"/>
  <c r="AD3616" i="5"/>
  <c r="AD3617" i="5"/>
  <c r="AD3618" i="5"/>
  <c r="AD1931" i="5"/>
  <c r="AD973" i="5"/>
  <c r="AD3619" i="5"/>
  <c r="AD1932" i="5"/>
  <c r="AD3620" i="5"/>
  <c r="AD3621" i="5"/>
  <c r="AD3622" i="5"/>
  <c r="AD1933" i="5"/>
  <c r="AD1546" i="5"/>
  <c r="AD556" i="5"/>
  <c r="AD557" i="5"/>
  <c r="AD558" i="5"/>
  <c r="AD559" i="5"/>
  <c r="AD1547" i="5"/>
  <c r="AD1548" i="5"/>
  <c r="AD560" i="5"/>
  <c r="AD561" i="5"/>
  <c r="AD3248" i="5"/>
  <c r="AD1549" i="5"/>
  <c r="AD562" i="5"/>
  <c r="AD1550" i="5"/>
  <c r="AD1551" i="5"/>
  <c r="AD3249" i="5"/>
  <c r="AD563" i="5"/>
  <c r="AD3250" i="5"/>
  <c r="AD3251" i="5"/>
  <c r="AD3252" i="5"/>
  <c r="AD564" i="5"/>
  <c r="AD3253" i="5"/>
  <c r="AD1552" i="5"/>
  <c r="AD565" i="5"/>
  <c r="AD1553" i="5"/>
  <c r="AD3254" i="5"/>
  <c r="AD1554" i="5"/>
  <c r="AD3255" i="5"/>
  <c r="AD3256" i="5"/>
  <c r="AD1555" i="5"/>
  <c r="AD3257" i="5"/>
  <c r="AD3258" i="5"/>
  <c r="AD3259" i="5"/>
  <c r="AD3260" i="5"/>
  <c r="AD3261" i="5"/>
  <c r="AD566" i="5"/>
  <c r="AD3262" i="5"/>
  <c r="AD567" i="5"/>
  <c r="AD1556" i="5"/>
  <c r="AD1934" i="5"/>
  <c r="AD3263" i="5"/>
  <c r="AD2400" i="5"/>
  <c r="AD2401" i="5"/>
  <c r="AD2402" i="5"/>
  <c r="AD3264" i="5"/>
  <c r="AD2403" i="5"/>
  <c r="AD2404" i="5"/>
  <c r="AD2405" i="5"/>
  <c r="AD2406" i="5"/>
  <c r="AD2407" i="5"/>
  <c r="AD2408" i="5"/>
  <c r="AD3265" i="5"/>
  <c r="AD3266" i="5"/>
  <c r="AD2409" i="5"/>
  <c r="AD2410" i="5"/>
  <c r="AD2411" i="5"/>
  <c r="AD3267" i="5"/>
  <c r="AD2412" i="5"/>
  <c r="AD2413" i="5"/>
  <c r="AD3268" i="5"/>
  <c r="AD2414" i="5"/>
  <c r="AD2415" i="5"/>
  <c r="AD2416" i="5"/>
  <c r="AD2417" i="5"/>
  <c r="AD3269" i="5"/>
  <c r="AD2418" i="5"/>
  <c r="AD2419" i="5"/>
  <c r="AD2420" i="5"/>
  <c r="AD2421" i="5"/>
  <c r="AD2422" i="5"/>
  <c r="AD3270" i="5"/>
  <c r="AD3623" i="5"/>
  <c r="AD568" i="5"/>
  <c r="AD569" i="5"/>
  <c r="AD3271" i="5"/>
  <c r="AD2423" i="5"/>
  <c r="AD2424" i="5"/>
  <c r="AD3272" i="5"/>
  <c r="AD2425" i="5"/>
  <c r="AD2426" i="5"/>
  <c r="AD2427" i="5"/>
  <c r="AD2428" i="5"/>
  <c r="AD2429" i="5"/>
  <c r="AD2430" i="5"/>
  <c r="AD2431" i="5"/>
  <c r="AD3273" i="5"/>
  <c r="AD3274" i="5"/>
  <c r="AD2432" i="5"/>
  <c r="AD3275" i="5"/>
  <c r="AD2433" i="5"/>
  <c r="AD2434" i="5"/>
  <c r="AD2435" i="5"/>
  <c r="AD3276" i="5"/>
  <c r="AD2436" i="5"/>
  <c r="AD3277" i="5"/>
  <c r="AD2437" i="5"/>
  <c r="AD2438" i="5"/>
  <c r="AD2439" i="5"/>
  <c r="AD2440" i="5"/>
  <c r="AD2441" i="5"/>
  <c r="AD3278" i="5"/>
  <c r="AD3279" i="5"/>
  <c r="AD3280" i="5"/>
  <c r="AD2442" i="5"/>
  <c r="AD2443" i="5"/>
  <c r="AD2444" i="5"/>
  <c r="AD2445" i="5"/>
  <c r="AD2446" i="5"/>
  <c r="AD2615" i="5"/>
  <c r="AD2616" i="5"/>
  <c r="AD2617" i="5"/>
  <c r="AD570" i="5"/>
  <c r="AD571" i="5"/>
  <c r="AD572" i="5"/>
  <c r="AD3281" i="5"/>
  <c r="AD3282" i="5"/>
  <c r="AD1557" i="5"/>
  <c r="AD1558" i="5"/>
  <c r="AD1559" i="5"/>
  <c r="AD573" i="5"/>
  <c r="AD1560" i="5"/>
  <c r="AD1561" i="5"/>
  <c r="AD1562" i="5"/>
  <c r="AD1563" i="5"/>
  <c r="AD574" i="5"/>
  <c r="AD1935" i="5"/>
  <c r="AD1936" i="5"/>
  <c r="AD1937" i="5"/>
  <c r="AD3283" i="5"/>
  <c r="AD575" i="5"/>
  <c r="AD576" i="5"/>
  <c r="AD1564" i="5"/>
  <c r="AD577" i="5"/>
  <c r="AD578" i="5"/>
  <c r="AD3284" i="5"/>
  <c r="AD3285" i="5"/>
  <c r="AD579" i="5"/>
  <c r="AD580" i="5"/>
  <c r="AD581" i="5"/>
  <c r="AD3286" i="5"/>
  <c r="AD582" i="5"/>
  <c r="AD583" i="5"/>
  <c r="AD584" i="5"/>
  <c r="AD1565" i="5"/>
  <c r="AD1566" i="5"/>
  <c r="AD1567" i="5"/>
  <c r="AD585" i="5"/>
  <c r="AD3287" i="5"/>
  <c r="AD3288" i="5"/>
  <c r="AD3289" i="5"/>
  <c r="AD586" i="5"/>
  <c r="AD587" i="5"/>
  <c r="AD3290" i="5"/>
  <c r="AD588" i="5"/>
  <c r="AD1568" i="5"/>
  <c r="AD3291" i="5"/>
  <c r="AD3292" i="5"/>
  <c r="AD589" i="5"/>
  <c r="AD590" i="5"/>
  <c r="AD3293" i="5"/>
  <c r="AD591" i="5"/>
  <c r="AD1569" i="5"/>
  <c r="AD592" i="5"/>
  <c r="AD1570" i="5"/>
  <c r="AD593" i="5"/>
  <c r="AD594" i="5"/>
  <c r="AD595" i="5"/>
  <c r="AD596" i="5"/>
  <c r="AD597" i="5"/>
  <c r="AD598" i="5"/>
  <c r="AD1571" i="5"/>
  <c r="AD1938" i="5"/>
  <c r="AD1939" i="5"/>
  <c r="AD3624" i="5"/>
  <c r="AD1940" i="5"/>
  <c r="AD3625" i="5"/>
  <c r="AD3626" i="5"/>
  <c r="AD3627" i="5"/>
  <c r="AD3628" i="5"/>
  <c r="AD3629" i="5"/>
  <c r="AD3630" i="5"/>
  <c r="AD3631" i="5"/>
  <c r="AD3632" i="5"/>
  <c r="AD3633" i="5"/>
  <c r="AD3634" i="5"/>
  <c r="AD3635" i="5"/>
  <c r="AD3636" i="5"/>
  <c r="AD3637" i="5"/>
  <c r="AD3638" i="5"/>
  <c r="AD3639" i="5"/>
  <c r="AD3640" i="5"/>
  <c r="AD3641" i="5"/>
  <c r="AD3642" i="5"/>
  <c r="AD3643" i="5"/>
  <c r="AD3644" i="5"/>
  <c r="AD3645" i="5"/>
  <c r="AD3646" i="5"/>
  <c r="AD3647" i="5"/>
  <c r="AD3648" i="5"/>
  <c r="AD3649" i="5"/>
  <c r="AD3294" i="5"/>
  <c r="AD3295" i="5"/>
  <c r="AD3296" i="5"/>
  <c r="AD3297" i="5"/>
  <c r="AD3298" i="5"/>
  <c r="AD3299" i="5"/>
  <c r="AD3300" i="5"/>
  <c r="AD3301" i="5"/>
  <c r="AD3302" i="5"/>
  <c r="AD3303" i="5"/>
  <c r="AD3304" i="5"/>
  <c r="AD3305" i="5"/>
  <c r="AD3306" i="5"/>
  <c r="AD3307" i="5"/>
  <c r="AD3650" i="5"/>
  <c r="AD3651" i="5"/>
  <c r="AD3652" i="5"/>
  <c r="AD3653" i="5"/>
  <c r="AD3654" i="5"/>
  <c r="AD3655" i="5"/>
  <c r="AD3656" i="5"/>
  <c r="AD3657" i="5"/>
  <c r="AD3308" i="5"/>
  <c r="AD3309" i="5"/>
  <c r="AD3310" i="5"/>
  <c r="AD3311" i="5"/>
  <c r="AD3312" i="5"/>
  <c r="AD3313" i="5"/>
  <c r="AD3314" i="5"/>
  <c r="AD3315" i="5"/>
  <c r="AD3316" i="5"/>
  <c r="AD3317" i="5"/>
  <c r="AD3318" i="5"/>
  <c r="AD3319" i="5"/>
  <c r="AD3320" i="5"/>
  <c r="AD3321" i="5"/>
  <c r="AD3658" i="5"/>
  <c r="AD3659" i="5"/>
  <c r="AD3660" i="5"/>
  <c r="AD3661" i="5"/>
  <c r="AD3662" i="5"/>
  <c r="AD3663" i="5"/>
  <c r="AD3664" i="5"/>
  <c r="AD3665" i="5"/>
  <c r="AD3322" i="5"/>
  <c r="AD1572" i="5"/>
  <c r="AD3323" i="5"/>
  <c r="AD3324" i="5"/>
  <c r="AD3325" i="5"/>
  <c r="AD1573" i="5"/>
  <c r="AD599" i="5"/>
  <c r="AD1574" i="5"/>
  <c r="AD600" i="5"/>
  <c r="AD1575" i="5"/>
  <c r="AD1576" i="5"/>
  <c r="AD1577" i="5"/>
  <c r="AD3326" i="5"/>
  <c r="AD601" i="5"/>
  <c r="AD602" i="5"/>
  <c r="AD1578" i="5"/>
  <c r="AD3327" i="5"/>
  <c r="AD3328" i="5"/>
  <c r="AD974" i="5"/>
  <c r="AD1941" i="5"/>
  <c r="AD603" i="5"/>
  <c r="AD1579" i="5"/>
  <c r="AD1580" i="5"/>
  <c r="AD1581" i="5"/>
  <c r="AD604" i="5"/>
  <c r="AD3329" i="5"/>
  <c r="AD1582" i="5"/>
  <c r="AD1583" i="5"/>
  <c r="AD3330" i="5"/>
  <c r="AD3331" i="5"/>
  <c r="AD3332" i="5"/>
  <c r="AD3333" i="5"/>
  <c r="AD3334" i="5"/>
  <c r="AD3335" i="5"/>
  <c r="AD3336" i="5"/>
  <c r="AD3337" i="5"/>
  <c r="AD3338" i="5"/>
  <c r="AD3339" i="5"/>
  <c r="AD3340" i="5"/>
  <c r="AD3341" i="5"/>
  <c r="AD3342" i="5"/>
  <c r="AD3343" i="5"/>
  <c r="AD3344" i="5"/>
  <c r="AD3345" i="5"/>
  <c r="AD3346" i="5"/>
  <c r="AD3347" i="5"/>
  <c r="AD3348" i="5"/>
  <c r="AD3349" i="5"/>
  <c r="AD3666" i="5"/>
  <c r="AD3350" i="5"/>
  <c r="AD3351" i="5"/>
  <c r="AD3352" i="5"/>
  <c r="AD3353" i="5"/>
  <c r="AD3354" i="5"/>
  <c r="AD3355" i="5"/>
  <c r="AD3356" i="5"/>
  <c r="AD3357" i="5"/>
  <c r="AD3358" i="5"/>
  <c r="AD3359" i="5"/>
  <c r="AD3360" i="5"/>
  <c r="AD3361" i="5"/>
  <c r="AD3362" i="5"/>
  <c r="AD3363" i="5"/>
  <c r="AD3364" i="5"/>
  <c r="AD3365" i="5"/>
  <c r="AD3366" i="5"/>
  <c r="AD3667" i="5"/>
  <c r="AD3668" i="5"/>
  <c r="AD3669" i="5"/>
  <c r="AD3367" i="5"/>
  <c r="AD605" i="5"/>
  <c r="AD3368" i="5"/>
  <c r="AD1584" i="5"/>
  <c r="AD3369" i="5"/>
  <c r="AD3370" i="5"/>
  <c r="AD3371" i="5"/>
  <c r="AD606" i="5"/>
  <c r="AD607" i="5"/>
  <c r="AD3372" i="5"/>
  <c r="AD3373" i="5"/>
  <c r="AD3374" i="5"/>
  <c r="AD3670" i="5"/>
  <c r="AD3671" i="5"/>
  <c r="AD1942" i="5"/>
  <c r="AD608" i="5"/>
  <c r="AD1585" i="5"/>
  <c r="AD1586" i="5"/>
  <c r="AD3375" i="5"/>
  <c r="AD609" i="5"/>
  <c r="AD3376" i="5"/>
  <c r="AD1587" i="5"/>
  <c r="AD1943" i="5"/>
  <c r="AD1944" i="5"/>
  <c r="AD3377" i="5"/>
  <c r="AD1588" i="5"/>
  <c r="AD1589" i="5"/>
  <c r="AD3378" i="5"/>
  <c r="AD1590" i="5"/>
  <c r="AD610" i="5"/>
  <c r="AD1591" i="5"/>
  <c r="AD1592" i="5"/>
  <c r="AD1593" i="5"/>
  <c r="AD611" i="5"/>
  <c r="AD3379" i="5"/>
  <c r="AD1594" i="5"/>
  <c r="AD1595" i="5"/>
  <c r="AD1596" i="5"/>
  <c r="AD3380" i="5"/>
  <c r="AD3381" i="5"/>
  <c r="AD1597" i="5"/>
  <c r="AD1598" i="5"/>
  <c r="AD1945" i="5"/>
  <c r="AD3672" i="5"/>
  <c r="AD1946" i="5"/>
  <c r="AD3673" i="5"/>
  <c r="AD3674" i="5"/>
  <c r="AD3675" i="5"/>
  <c r="AD1947" i="5"/>
  <c r="AD1948" i="5"/>
  <c r="AD1949" i="5"/>
  <c r="AD3676" i="5"/>
  <c r="AD3677" i="5"/>
  <c r="AD1950" i="5"/>
  <c r="AD1951" i="5"/>
  <c r="AD3678" i="5"/>
  <c r="AD3679" i="5"/>
  <c r="AD1952" i="5"/>
  <c r="AD1953" i="5"/>
  <c r="AD3680" i="5"/>
  <c r="AD3681" i="5"/>
  <c r="AD3682" i="5"/>
  <c r="AD1954" i="5"/>
  <c r="AD3683" i="5"/>
  <c r="AD3684" i="5"/>
  <c r="AD3685" i="5"/>
  <c r="AD1955" i="5"/>
  <c r="AD3686" i="5"/>
  <c r="AD1956" i="5"/>
  <c r="AD1957" i="5"/>
  <c r="AD3687" i="5"/>
  <c r="AD1958" i="5"/>
  <c r="AD3688" i="5"/>
  <c r="AD1959" i="5"/>
  <c r="AD1960" i="5"/>
  <c r="AD3689" i="5"/>
  <c r="AD3382" i="5"/>
  <c r="AD3383" i="5"/>
  <c r="AD2447" i="5"/>
  <c r="AD3384" i="5"/>
  <c r="AD2448" i="5"/>
  <c r="AD2449" i="5"/>
  <c r="AD3385" i="5"/>
  <c r="AD2450" i="5"/>
  <c r="AD3386" i="5"/>
  <c r="AD2451" i="5"/>
  <c r="AD2452" i="5"/>
  <c r="AD2453" i="5"/>
  <c r="AD2454" i="5"/>
  <c r="AD2455" i="5"/>
  <c r="AD2456" i="5"/>
  <c r="AD3387" i="5"/>
  <c r="AD3388" i="5"/>
  <c r="AD2457" i="5"/>
  <c r="AD2458" i="5"/>
  <c r="AD2459" i="5"/>
  <c r="AD2460" i="5"/>
  <c r="AD2461" i="5"/>
  <c r="AD2462" i="5"/>
  <c r="AD2463" i="5"/>
  <c r="AD3690" i="5"/>
  <c r="AD3691" i="5"/>
  <c r="AD3692" i="5"/>
  <c r="AD2618" i="5"/>
  <c r="AD2619" i="5"/>
  <c r="AD3693" i="5"/>
  <c r="AD2620" i="5"/>
  <c r="AD3694" i="5"/>
  <c r="AD1961" i="5"/>
  <c r="AD1962" i="5"/>
  <c r="AD3695" i="5"/>
  <c r="AD3696" i="5"/>
  <c r="AD3697" i="5"/>
  <c r="AD3698" i="5"/>
  <c r="AD3699" i="5"/>
  <c r="AD2729" i="5"/>
  <c r="AD2168" i="5"/>
  <c r="AD2169" i="5"/>
  <c r="AD2170" i="5"/>
  <c r="AD2730" i="5"/>
  <c r="AD1314" i="5"/>
  <c r="AD234" i="5"/>
  <c r="AD2250" i="5"/>
  <c r="AD235" i="5"/>
  <c r="AD2251" i="5"/>
  <c r="AD236" i="5"/>
  <c r="AD2964" i="5"/>
  <c r="AD2252" i="5"/>
  <c r="AD1315" i="5"/>
  <c r="AD2253" i="5"/>
  <c r="AD2965" i="5"/>
  <c r="AD2966" i="5"/>
  <c r="AD2967" i="5"/>
  <c r="AD2254" i="5"/>
  <c r="AD2255" i="5"/>
  <c r="AD1316" i="5"/>
  <c r="AD612" i="5"/>
  <c r="AD2464" i="5"/>
  <c r="AD613" i="5"/>
  <c r="AD614" i="5"/>
  <c r="AD1599" i="5"/>
  <c r="AD1600" i="5"/>
  <c r="AD1601" i="5"/>
  <c r="AD2465" i="5"/>
  <c r="AD615" i="5"/>
  <c r="AD2621" i="5"/>
  <c r="AD2622" i="5"/>
  <c r="AD975" i="5"/>
  <c r="AD1963" i="5"/>
  <c r="AD976" i="5"/>
  <c r="AD2731" i="5"/>
  <c r="AD237" i="5"/>
  <c r="AD238" i="5"/>
  <c r="AD2968" i="5"/>
  <c r="AD239" i="5"/>
  <c r="AD2969" i="5"/>
  <c r="AD2970" i="5"/>
  <c r="AD240" i="5"/>
  <c r="AD241" i="5"/>
  <c r="AD242" i="5"/>
  <c r="AD2971" i="5"/>
  <c r="AD2972" i="5"/>
  <c r="AD243" i="5"/>
  <c r="AD2973" i="5"/>
  <c r="AD2974" i="5"/>
  <c r="AD244" i="5"/>
  <c r="AD245" i="5"/>
  <c r="AD2975" i="5"/>
  <c r="AD2976" i="5"/>
  <c r="AD2977" i="5"/>
  <c r="AD246" i="5"/>
  <c r="AD247" i="5"/>
  <c r="AD2978" i="5"/>
  <c r="AD2979" i="5"/>
  <c r="AD248" i="5"/>
  <c r="AD2980" i="5"/>
  <c r="AD249" i="5"/>
  <c r="AD2981" i="5"/>
  <c r="AD2982" i="5"/>
  <c r="AD2983" i="5"/>
  <c r="AD2984" i="5"/>
  <c r="AD2985" i="5"/>
  <c r="AD250" i="5"/>
  <c r="AD2986" i="5"/>
  <c r="AD251" i="5"/>
  <c r="AD252" i="5"/>
  <c r="AD2987" i="5"/>
  <c r="AD2988" i="5"/>
  <c r="AD253" i="5"/>
  <c r="AD254" i="5"/>
  <c r="AD2989" i="5"/>
  <c r="AD255" i="5"/>
  <c r="AD2990" i="5"/>
  <c r="AD256" i="5"/>
  <c r="AD2991" i="5"/>
  <c r="AD257" i="5"/>
  <c r="AD258" i="5"/>
  <c r="AD2992" i="5"/>
  <c r="AD3389" i="5"/>
  <c r="AD3390" i="5"/>
  <c r="AD616" i="5"/>
  <c r="AD3391" i="5"/>
  <c r="AD3392" i="5"/>
  <c r="AD977" i="5"/>
  <c r="AD978" i="5"/>
  <c r="AD979" i="5"/>
  <c r="AD980" i="5"/>
  <c r="AD981" i="5"/>
  <c r="AD982" i="5"/>
  <c r="AD983" i="5"/>
  <c r="AD984" i="5"/>
  <c r="AD3700" i="5"/>
  <c r="AD3701" i="5"/>
  <c r="AD3702" i="5"/>
  <c r="AD3703" i="5"/>
  <c r="AD985" i="5"/>
  <c r="AD3393" i="5"/>
  <c r="AD617" i="5"/>
  <c r="AD618" i="5"/>
  <c r="AD3394" i="5"/>
  <c r="AD1602" i="5"/>
  <c r="AD1603" i="5"/>
  <c r="AD619" i="5"/>
  <c r="AD620" i="5"/>
  <c r="AD621" i="5"/>
  <c r="AD3395" i="5"/>
  <c r="AD1604" i="5"/>
  <c r="AD622" i="5"/>
  <c r="AD623" i="5"/>
  <c r="AD3396" i="5"/>
  <c r="AD624" i="5"/>
  <c r="AD625" i="5"/>
  <c r="AD1605" i="5"/>
  <c r="AD1606" i="5"/>
  <c r="AD626" i="5"/>
  <c r="AD3397" i="5"/>
  <c r="AD627" i="5"/>
  <c r="AD1607" i="5"/>
  <c r="AD628" i="5"/>
  <c r="AD629" i="5"/>
  <c r="AD630" i="5"/>
  <c r="AD3398" i="5"/>
  <c r="AD1608" i="5"/>
  <c r="AD1609" i="5"/>
  <c r="AD3704" i="5"/>
  <c r="AD3705" i="5"/>
  <c r="AD3706" i="5"/>
  <c r="AD631" i="5"/>
  <c r="AD632" i="5"/>
  <c r="AD633" i="5"/>
  <c r="AD634" i="5"/>
  <c r="AD635" i="5"/>
  <c r="AD636" i="5"/>
  <c r="AD637" i="5"/>
  <c r="AD638" i="5"/>
  <c r="AD639" i="5"/>
  <c r="AD640" i="5"/>
  <c r="AD641" i="5"/>
  <c r="AD642" i="5"/>
  <c r="AD643" i="5"/>
  <c r="AD644" i="5"/>
  <c r="AD645" i="5"/>
  <c r="AD646" i="5"/>
  <c r="AD647" i="5"/>
  <c r="AD648" i="5"/>
  <c r="AD649" i="5"/>
  <c r="AD650" i="5"/>
  <c r="AD651" i="5"/>
  <c r="AD652" i="5"/>
  <c r="AD653" i="5"/>
  <c r="AD654" i="5"/>
  <c r="AD986" i="5"/>
  <c r="AD987" i="5"/>
  <c r="AD988" i="5"/>
  <c r="AD989" i="5"/>
  <c r="AD990" i="5"/>
  <c r="AD991" i="5"/>
  <c r="AD992" i="5"/>
  <c r="AD993" i="5"/>
  <c r="AD994" i="5"/>
  <c r="AD995" i="5"/>
  <c r="AD996" i="5"/>
  <c r="AD997" i="5"/>
  <c r="AD998" i="5"/>
  <c r="AD999" i="5"/>
  <c r="AD259" i="5"/>
  <c r="AD1317" i="5"/>
  <c r="AD2993" i="5"/>
  <c r="AD2994" i="5"/>
  <c r="AD260" i="5"/>
  <c r="AD1318" i="5"/>
  <c r="AD1319" i="5"/>
  <c r="AD1320" i="5"/>
  <c r="AD1321" i="5"/>
  <c r="AD2995" i="5"/>
  <c r="AD2996" i="5"/>
  <c r="AD261" i="5"/>
  <c r="AD1322" i="5"/>
  <c r="AD262" i="5"/>
  <c r="AD1323" i="5"/>
  <c r="AD263" i="5"/>
  <c r="AD2997" i="5"/>
  <c r="AD264" i="5"/>
  <c r="AD2998" i="5"/>
  <c r="AD1324" i="5"/>
  <c r="AD265" i="5"/>
  <c r="AD266" i="5"/>
  <c r="AD1325" i="5"/>
  <c r="AD267" i="5"/>
  <c r="AD3399" i="5"/>
  <c r="AD1610" i="5"/>
  <c r="AD1611" i="5"/>
  <c r="AD655" i="5"/>
  <c r="AD1612" i="5"/>
  <c r="AD3400" i="5"/>
  <c r="AD656" i="5"/>
  <c r="AD657" i="5"/>
  <c r="AD1000" i="5"/>
  <c r="AD1964" i="5"/>
  <c r="AD1001" i="5"/>
  <c r="AD1002" i="5"/>
  <c r="AD3707" i="5"/>
  <c r="AD1965" i="5"/>
  <c r="AD1966" i="5"/>
  <c r="AD1967" i="5"/>
  <c r="AD3708" i="5"/>
  <c r="AD1968" i="5"/>
  <c r="AD1003" i="5"/>
  <c r="AD1004" i="5"/>
  <c r="AD1005" i="5"/>
  <c r="AD1006" i="5"/>
  <c r="AD1969" i="5"/>
  <c r="AD1970" i="5"/>
  <c r="AD1971" i="5"/>
  <c r="AD1972" i="5"/>
  <c r="AD1973" i="5"/>
  <c r="AD1974" i="5"/>
  <c r="AD1975" i="5"/>
  <c r="AD1976" i="5"/>
  <c r="AD1977" i="5"/>
  <c r="AD1978" i="5"/>
  <c r="AD1979" i="5"/>
  <c r="AD1980" i="5"/>
  <c r="AD1981" i="5"/>
  <c r="AD1982" i="5"/>
  <c r="AD1983" i="5"/>
  <c r="AD1984" i="5"/>
  <c r="AD1985" i="5"/>
  <c r="AD1986" i="5"/>
  <c r="AD1987" i="5"/>
  <c r="AD1988" i="5"/>
  <c r="AD1989" i="5"/>
  <c r="AD1990" i="5"/>
  <c r="AD1991" i="5"/>
  <c r="AD1992" i="5"/>
  <c r="AD1993" i="5"/>
  <c r="AD1994" i="5"/>
  <c r="AD1995" i="5"/>
  <c r="AD1996" i="5"/>
  <c r="AD1997" i="5"/>
  <c r="AD1998" i="5"/>
  <c r="AD1999" i="5"/>
  <c r="AD2000" i="5"/>
  <c r="AD2001" i="5"/>
  <c r="AD2002" i="5"/>
  <c r="AD2003" i="5"/>
  <c r="AD3401" i="5"/>
  <c r="AD3402" i="5"/>
  <c r="AD1613" i="5"/>
  <c r="AD3403" i="5"/>
  <c r="AD3404" i="5"/>
  <c r="AD3405" i="5"/>
  <c r="AD3406" i="5"/>
  <c r="AD1614" i="5"/>
  <c r="AD1615" i="5"/>
  <c r="AD1616" i="5"/>
  <c r="AD3407" i="5"/>
  <c r="AD3408" i="5"/>
  <c r="AD3409" i="5"/>
  <c r="AD1617" i="5"/>
  <c r="AD1618" i="5"/>
  <c r="AD3410" i="5"/>
  <c r="AD3411" i="5"/>
  <c r="AD3412" i="5"/>
  <c r="AD1619" i="5"/>
  <c r="AD3413" i="5"/>
  <c r="AD2004" i="5"/>
  <c r="AD3709" i="5"/>
  <c r="AD2005" i="5"/>
  <c r="AD2006" i="5"/>
  <c r="AD2007" i="5"/>
  <c r="AD2008" i="5"/>
  <c r="AD3710" i="5"/>
  <c r="AD2009" i="5"/>
  <c r="AD2010" i="5"/>
  <c r="AD2011" i="5"/>
  <c r="AD2012" i="5"/>
  <c r="AD2013" i="5"/>
  <c r="AD2014" i="5"/>
  <c r="AD2015" i="5"/>
  <c r="AD2016" i="5"/>
  <c r="AD2017" i="5"/>
  <c r="AD2018" i="5"/>
  <c r="AD2019" i="5"/>
  <c r="AD2020" i="5"/>
  <c r="AD2021" i="5"/>
  <c r="AD2022" i="5"/>
  <c r="AD2023" i="5"/>
  <c r="AD2024" i="5"/>
  <c r="AD2025" i="5"/>
  <c r="AD2026" i="5"/>
  <c r="AD2027" i="5"/>
  <c r="AD2028" i="5"/>
  <c r="AD2029" i="5"/>
  <c r="AD2030" i="5"/>
  <c r="AD2031" i="5"/>
  <c r="AD2032" i="5"/>
  <c r="AD2033" i="5"/>
  <c r="AD2034" i="5"/>
  <c r="AD2035" i="5"/>
  <c r="AD2036" i="5"/>
  <c r="AD2037" i="5"/>
  <c r="AD2038" i="5"/>
  <c r="AD2039" i="5"/>
  <c r="AD2040" i="5"/>
  <c r="AD2041" i="5"/>
  <c r="AD2042" i="5"/>
  <c r="AD2043" i="5"/>
  <c r="AD3711" i="5"/>
  <c r="AD2044" i="5"/>
  <c r="AD2045" i="5"/>
  <c r="AD3712" i="5"/>
  <c r="AD2046" i="5"/>
  <c r="AD2047" i="5"/>
  <c r="AD2048" i="5"/>
  <c r="AD2049" i="5"/>
  <c r="AD3713" i="5"/>
  <c r="AD2050" i="5"/>
  <c r="AD2051" i="5"/>
  <c r="AD2052" i="5"/>
  <c r="AD3714" i="5"/>
  <c r="AD2053" i="5"/>
  <c r="AD3715" i="5"/>
  <c r="AD3716" i="5"/>
  <c r="AD2054" i="5"/>
  <c r="AD2055" i="5"/>
  <c r="AD3717" i="5"/>
  <c r="AD3718" i="5"/>
  <c r="AD2056" i="5"/>
  <c r="AD2057" i="5"/>
  <c r="AD2058" i="5"/>
  <c r="AD3719" i="5"/>
  <c r="AD3720" i="5"/>
  <c r="AD2059" i="5"/>
  <c r="AD3721" i="5"/>
  <c r="AD3722" i="5"/>
  <c r="AD2060" i="5"/>
  <c r="AD2061" i="5"/>
  <c r="AD1620" i="5"/>
  <c r="AD658" i="5"/>
  <c r="AD2466" i="5"/>
  <c r="AD2467" i="5"/>
  <c r="AD659" i="5"/>
  <c r="AD1621" i="5"/>
  <c r="AD1622" i="5"/>
  <c r="AD660" i="5"/>
  <c r="AD1623" i="5"/>
  <c r="AD661" i="5"/>
  <c r="AD1624" i="5"/>
  <c r="AD2468" i="5"/>
  <c r="AD2062" i="5"/>
  <c r="AD2063" i="5"/>
  <c r="AD2623" i="5"/>
  <c r="AD2064" i="5"/>
  <c r="AD2624" i="5"/>
  <c r="AD2625" i="5"/>
  <c r="AD2626" i="5"/>
  <c r="AD2627" i="5"/>
  <c r="AD2628" i="5"/>
  <c r="AD2629" i="5"/>
  <c r="AD1007" i="5"/>
  <c r="AD1008" i="5"/>
  <c r="AD1009" i="5"/>
  <c r="AD2065" i="5"/>
  <c r="AD1010" i="5"/>
  <c r="AD2066" i="5"/>
  <c r="AD1011" i="5"/>
  <c r="AD1012" i="5"/>
  <c r="AD1013" i="5"/>
  <c r="AD1014" i="5"/>
  <c r="AD1015" i="5"/>
  <c r="AD2067" i="5"/>
  <c r="AD2068" i="5"/>
  <c r="AD1016" i="5"/>
  <c r="AD1017" i="5"/>
  <c r="AD3723" i="5"/>
  <c r="AD1018" i="5"/>
  <c r="AD2069" i="5"/>
  <c r="AD1019" i="5"/>
  <c r="AD2070" i="5"/>
  <c r="AD1020" i="5"/>
  <c r="AD1625" i="5"/>
  <c r="AD662" i="5"/>
  <c r="AD1626" i="5"/>
  <c r="AD663" i="5"/>
  <c r="AD1627" i="5"/>
  <c r="AD3414" i="5"/>
  <c r="AD664" i="5"/>
  <c r="AD1628" i="5"/>
  <c r="AD1629" i="5"/>
  <c r="AD665" i="5"/>
  <c r="AD1630" i="5"/>
  <c r="AD3415" i="5"/>
  <c r="AD666" i="5"/>
  <c r="AD1631" i="5"/>
  <c r="AD667" i="5"/>
  <c r="AD3416" i="5"/>
  <c r="AD1632" i="5"/>
  <c r="AD3417" i="5"/>
  <c r="AD2071" i="5"/>
  <c r="AD3724" i="5"/>
  <c r="AD2072" i="5"/>
  <c r="AD2073" i="5"/>
  <c r="AD3725" i="5"/>
  <c r="AD3726" i="5"/>
  <c r="AD3727" i="5"/>
  <c r="AD2074" i="5"/>
  <c r="AD3728" i="5"/>
  <c r="AD2075" i="5"/>
  <c r="AD3729" i="5"/>
  <c r="AD2076" i="5"/>
  <c r="AD2077" i="5"/>
  <c r="AD2078" i="5"/>
  <c r="AD2079" i="5"/>
  <c r="AD668" i="5"/>
  <c r="AD669" i="5"/>
  <c r="AD670" i="5"/>
  <c r="AD1633" i="5"/>
  <c r="AD3418" i="5"/>
  <c r="AD1634" i="5"/>
  <c r="AD671" i="5"/>
  <c r="AD672" i="5"/>
  <c r="AD673" i="5"/>
  <c r="AD1635" i="5"/>
  <c r="AD1636" i="5"/>
  <c r="AD1637" i="5"/>
  <c r="AD1638" i="5"/>
  <c r="AD1639" i="5"/>
  <c r="AD1640" i="5"/>
  <c r="AD3419" i="5"/>
  <c r="AD674" i="5"/>
  <c r="AD3420" i="5"/>
  <c r="AD675" i="5"/>
  <c r="AD676" i="5"/>
  <c r="AD677" i="5"/>
  <c r="AD678" i="5"/>
  <c r="AD679" i="5"/>
  <c r="AD3421" i="5"/>
  <c r="AD680" i="5"/>
  <c r="AD681" i="5"/>
  <c r="AD682" i="5"/>
  <c r="AD2080" i="5"/>
  <c r="AD3730" i="5"/>
  <c r="AD2081" i="5"/>
  <c r="AD1021" i="5"/>
  <c r="AD1022" i="5"/>
  <c r="AD1023" i="5"/>
  <c r="AD3731" i="5"/>
  <c r="AD1024" i="5"/>
  <c r="AD3732" i="5"/>
  <c r="AD1641" i="5"/>
  <c r="AD2082" i="5"/>
  <c r="AD2083" i="5"/>
  <c r="AD2084" i="5"/>
  <c r="AD2732" i="5"/>
  <c r="AD1135" i="5"/>
  <c r="AD1136" i="5"/>
  <c r="AD2733" i="5"/>
  <c r="AD2171" i="5"/>
  <c r="AD47" i="5"/>
  <c r="AD2734" i="5"/>
  <c r="AD48" i="5"/>
  <c r="AD2735" i="5"/>
  <c r="AD2736" i="5"/>
  <c r="AD2737" i="5"/>
  <c r="AD2172" i="5"/>
  <c r="AD2173" i="5"/>
  <c r="AD2738" i="5"/>
  <c r="AD49" i="5"/>
  <c r="AD268" i="5"/>
  <c r="AD1326" i="5"/>
  <c r="AD2256" i="5"/>
  <c r="AD269" i="5"/>
  <c r="AD2257" i="5"/>
  <c r="AD2258" i="5"/>
  <c r="AD2259" i="5"/>
  <c r="AD2260" i="5"/>
  <c r="AD270" i="5"/>
  <c r="AD2261" i="5"/>
  <c r="AD2262" i="5"/>
  <c r="AD2263" i="5"/>
  <c r="AD271" i="5"/>
  <c r="AD272" i="5"/>
  <c r="AD2999" i="5"/>
  <c r="AD2264" i="5"/>
  <c r="AD1327" i="5"/>
  <c r="AD1328" i="5"/>
  <c r="AD273" i="5"/>
  <c r="AD3000" i="5"/>
  <c r="AD2265" i="5"/>
  <c r="AD2266" i="5"/>
  <c r="AD1329" i="5"/>
  <c r="AD2267" i="5"/>
  <c r="AD2469" i="5"/>
  <c r="AD683" i="5"/>
  <c r="AD3422" i="5"/>
  <c r="AD684" i="5"/>
  <c r="AD2470" i="5"/>
  <c r="AD2471" i="5"/>
  <c r="AD2472" i="5"/>
  <c r="AD1642" i="5"/>
  <c r="AD2473" i="5"/>
  <c r="AD1643" i="5"/>
  <c r="AD2474" i="5"/>
  <c r="AD2630" i="5"/>
  <c r="AD2631" i="5"/>
  <c r="AD2632" i="5"/>
  <c r="AD2633" i="5"/>
  <c r="AD2634" i="5"/>
  <c r="AD2085" i="5"/>
  <c r="AD1025" i="5"/>
  <c r="AD1026" i="5"/>
  <c r="AD3733" i="5"/>
  <c r="AD2635" i="5"/>
  <c r="AD3734" i="5"/>
  <c r="AD3735" i="5"/>
  <c r="AD3736" i="5"/>
  <c r="AD3737" i="5"/>
  <c r="AD3738" i="5"/>
  <c r="AD3739" i="5"/>
  <c r="AD3740" i="5"/>
  <c r="AD3741" i="5"/>
  <c r="AD3742" i="5"/>
  <c r="AD3743" i="5"/>
  <c r="AD3744" i="5"/>
  <c r="AD3745" i="5"/>
  <c r="AD3746" i="5"/>
  <c r="AD3747" i="5"/>
  <c r="AD3748" i="5"/>
  <c r="AD3749" i="5"/>
  <c r="AD3750" i="5"/>
  <c r="AD3751" i="5"/>
  <c r="AD3752" i="5"/>
  <c r="AD3753" i="5"/>
  <c r="AD3754" i="5"/>
  <c r="AD3755" i="5"/>
  <c r="AD3756" i="5"/>
  <c r="AD3757" i="5"/>
  <c r="AD3758" i="5"/>
  <c r="AD3759" i="5"/>
  <c r="AD3760" i="5"/>
  <c r="AD3761" i="5"/>
  <c r="AD3762" i="5"/>
  <c r="AD3763" i="5"/>
  <c r="AD3764" i="5"/>
  <c r="AD3765" i="5"/>
  <c r="AD3766" i="5"/>
  <c r="AD3767" i="5"/>
  <c r="AD3768" i="5"/>
  <c r="AD3769" i="5"/>
  <c r="AD3770" i="5"/>
  <c r="AD3771" i="5"/>
  <c r="AD3772" i="5"/>
  <c r="AD3773" i="5"/>
  <c r="AD3774" i="5"/>
  <c r="AD3775" i="5"/>
  <c r="AD3776" i="5"/>
  <c r="AD3777" i="5"/>
  <c r="AD3778" i="5"/>
  <c r="AD3779" i="5"/>
  <c r="AD3780" i="5"/>
  <c r="AD3781" i="5"/>
  <c r="AD3782" i="5"/>
  <c r="AD3783" i="5"/>
  <c r="AD3784" i="5"/>
  <c r="AD3785" i="5"/>
  <c r="AD3786" i="5"/>
  <c r="AD3787" i="5"/>
  <c r="AD3788" i="5"/>
  <c r="AD3789" i="5"/>
  <c r="AD3790" i="5"/>
  <c r="AD3791" i="5"/>
  <c r="AD3792" i="5"/>
  <c r="AD3793" i="5"/>
  <c r="AD3794" i="5"/>
  <c r="AD3795" i="5"/>
  <c r="AD3796" i="5"/>
  <c r="AD3797" i="5"/>
  <c r="AD3798" i="5"/>
  <c r="AD3799" i="5"/>
  <c r="AD3800" i="5"/>
  <c r="AD3801" i="5"/>
  <c r="AD3802" i="5"/>
  <c r="AD3803" i="5"/>
  <c r="AD3804" i="5"/>
  <c r="AD3805" i="5"/>
  <c r="AD2739" i="5"/>
  <c r="AD2740" i="5"/>
  <c r="AD50" i="5"/>
  <c r="AD51" i="5"/>
  <c r="AD1137" i="5"/>
  <c r="AD1330" i="5"/>
  <c r="AD3001" i="5"/>
  <c r="AD1331" i="5"/>
  <c r="AD3002" i="5"/>
  <c r="AD274" i="5"/>
  <c r="AD1332" i="5"/>
  <c r="AD1333" i="5"/>
  <c r="AD1334" i="5"/>
  <c r="AD1335" i="5"/>
  <c r="AD275" i="5"/>
  <c r="AD276" i="5"/>
  <c r="AD1336" i="5"/>
  <c r="AD3003" i="5"/>
  <c r="AD277" i="5"/>
  <c r="AD278" i="5"/>
  <c r="AD1337" i="5"/>
  <c r="AD279" i="5"/>
  <c r="AD280" i="5"/>
  <c r="AD281" i="5"/>
  <c r="AD3004" i="5"/>
  <c r="AD282" i="5"/>
  <c r="AD3005" i="5"/>
  <c r="AD1338" i="5"/>
  <c r="AD1339" i="5"/>
  <c r="AD3006" i="5"/>
  <c r="AD3007" i="5"/>
  <c r="AD283" i="5"/>
  <c r="AD1340" i="5"/>
  <c r="AD284" i="5"/>
  <c r="AD3008" i="5"/>
  <c r="AD285" i="5"/>
  <c r="AD3009" i="5"/>
  <c r="AD1341" i="5"/>
  <c r="AD286" i="5"/>
  <c r="AD287" i="5"/>
  <c r="AD288" i="5"/>
  <c r="AD1644" i="5"/>
  <c r="AD1645" i="5"/>
  <c r="AD3423" i="5"/>
  <c r="AD2086" i="5"/>
  <c r="AD2087" i="5"/>
  <c r="AD2088" i="5"/>
  <c r="AD1027" i="5"/>
  <c r="AD2089" i="5"/>
  <c r="AD2090" i="5"/>
  <c r="AD2091" i="5"/>
  <c r="AD2741" i="5"/>
  <c r="AD52" i="5"/>
  <c r="AD2174" i="5"/>
  <c r="AD2175" i="5"/>
  <c r="AD2742" i="5"/>
  <c r="AD2176" i="5"/>
  <c r="AD2743" i="5"/>
  <c r="AD2177" i="5"/>
  <c r="AD53" i="5"/>
  <c r="AD2744" i="5"/>
  <c r="AD2745" i="5"/>
  <c r="AD2746" i="5"/>
  <c r="AD2178" i="5"/>
  <c r="AD2179" i="5"/>
  <c r="AD54" i="5"/>
  <c r="AD55" i="5"/>
  <c r="AD2747" i="5"/>
  <c r="AD56" i="5"/>
  <c r="AD2748" i="5"/>
  <c r="AD2749" i="5"/>
  <c r="AD57" i="5"/>
  <c r="AD58" i="5"/>
  <c r="AD59" i="5"/>
  <c r="AD2180" i="5"/>
  <c r="AD2750" i="5"/>
  <c r="AD2751" i="5"/>
  <c r="AD60" i="5"/>
  <c r="AD2752" i="5"/>
  <c r="AD2753" i="5"/>
  <c r="AD2754" i="5"/>
  <c r="AD2181" i="5"/>
  <c r="AD2182" i="5"/>
  <c r="AD2183" i="5"/>
  <c r="AD2184" i="5"/>
  <c r="AD2185" i="5"/>
  <c r="AD2186" i="5"/>
  <c r="AD61" i="5"/>
  <c r="AD2755" i="5"/>
  <c r="AD2756" i="5"/>
  <c r="AD2757" i="5"/>
  <c r="AD62" i="5"/>
  <c r="AD2187" i="5"/>
  <c r="AD63" i="5"/>
  <c r="AD2758" i="5"/>
  <c r="AD2759" i="5"/>
  <c r="AD2760" i="5"/>
  <c r="AD64" i="5"/>
  <c r="AD65" i="5"/>
  <c r="AD289" i="5"/>
  <c r="AD2268" i="5"/>
  <c r="AD3010" i="5"/>
  <c r="AD2269" i="5"/>
  <c r="AD290" i="5"/>
  <c r="AD291" i="5"/>
  <c r="AD3011" i="5"/>
  <c r="AD3012" i="5"/>
  <c r="AD292" i="5"/>
  <c r="AD293" i="5"/>
  <c r="AD294" i="5"/>
  <c r="AD3013" i="5"/>
  <c r="AD3014" i="5"/>
  <c r="AD295" i="5"/>
  <c r="AD2270" i="5"/>
  <c r="AD3015" i="5"/>
  <c r="AD296" i="5"/>
  <c r="AD3016" i="5"/>
  <c r="AD297" i="5"/>
  <c r="AD298" i="5"/>
  <c r="AD2271" i="5"/>
  <c r="AD2272" i="5"/>
  <c r="AD299" i="5"/>
  <c r="AD3017" i="5"/>
  <c r="AD3018" i="5"/>
  <c r="AD2273" i="5"/>
  <c r="AD2274" i="5"/>
  <c r="AD300" i="5"/>
  <c r="AD2275" i="5"/>
  <c r="AD3019" i="5"/>
  <c r="AD301" i="5"/>
  <c r="AD2276" i="5"/>
  <c r="AD2277" i="5"/>
  <c r="AD2278" i="5"/>
  <c r="AD3020" i="5"/>
  <c r="AD3021" i="5"/>
  <c r="AD3022" i="5"/>
  <c r="AD3023" i="5"/>
  <c r="AD2279" i="5"/>
  <c r="AD302" i="5"/>
  <c r="AD2475" i="5"/>
  <c r="AD685" i="5"/>
  <c r="AD2476" i="5"/>
  <c r="AD2636" i="5"/>
  <c r="AD3806" i="5"/>
  <c r="AD2637" i="5"/>
  <c r="AD2188" i="5"/>
  <c r="AD2189" i="5"/>
  <c r="AD2761" i="5"/>
  <c r="AD66" i="5"/>
  <c r="AD67" i="5"/>
  <c r="AD68" i="5"/>
  <c r="AD69" i="5"/>
  <c r="AD3024" i="5"/>
  <c r="AD303" i="5"/>
  <c r="AD304" i="5"/>
  <c r="AD3025" i="5"/>
  <c r="AD2280" i="5"/>
  <c r="AD2281" i="5"/>
  <c r="AD2282" i="5"/>
  <c r="AD2283" i="5"/>
  <c r="AD3026" i="5"/>
  <c r="AD305" i="5"/>
  <c r="AD3027" i="5"/>
  <c r="AD3028" i="5"/>
  <c r="AD3029" i="5"/>
  <c r="AD3030" i="5"/>
  <c r="AD306" i="5"/>
  <c r="AD3031" i="5"/>
  <c r="AD2284" i="5"/>
  <c r="AD307" i="5"/>
  <c r="AD308" i="5"/>
  <c r="AD3032" i="5"/>
  <c r="AD2285" i="5"/>
  <c r="AD3033" i="5"/>
  <c r="AD3034" i="5"/>
  <c r="AD3035" i="5"/>
  <c r="AD2477" i="5"/>
  <c r="AD3424" i="5"/>
  <c r="AD2478" i="5"/>
  <c r="AD2479" i="5"/>
  <c r="AD686" i="5"/>
  <c r="AD2480" i="5"/>
  <c r="AD3425" i="5"/>
  <c r="AD3426" i="5"/>
  <c r="AD3427" i="5"/>
  <c r="AD2481" i="5"/>
  <c r="AD2482" i="5"/>
  <c r="AD3807" i="5"/>
  <c r="AD1028" i="5"/>
  <c r="AD1029" i="5"/>
  <c r="AD1030" i="5"/>
  <c r="AD1031" i="5"/>
  <c r="AD1032" i="5"/>
  <c r="AD1033" i="5"/>
  <c r="AD1034" i="5"/>
  <c r="AD2638" i="5"/>
  <c r="AD2639" i="5"/>
  <c r="AD1035" i="5"/>
  <c r="AD3808" i="5"/>
  <c r="AD3809" i="5"/>
  <c r="AD2762" i="5"/>
  <c r="AD2190" i="5"/>
  <c r="AD2191" i="5"/>
  <c r="AD2763" i="5"/>
  <c r="AD2764" i="5"/>
  <c r="AD70" i="5"/>
  <c r="AD2192" i="5"/>
  <c r="AD2765" i="5"/>
  <c r="AD71" i="5"/>
  <c r="AD72" i="5"/>
  <c r="AD73" i="5"/>
  <c r="AD1138" i="5"/>
  <c r="AD1139" i="5"/>
  <c r="AD1140" i="5"/>
  <c r="AD74" i="5"/>
  <c r="AD1141" i="5"/>
  <c r="AD2766" i="5"/>
  <c r="AD1142" i="5"/>
  <c r="AD2193" i="5"/>
  <c r="AD2767" i="5"/>
  <c r="AD1143" i="5"/>
  <c r="AD2194" i="5"/>
  <c r="AD2768" i="5"/>
  <c r="AD2195" i="5"/>
  <c r="AD2769" i="5"/>
  <c r="AD2196" i="5"/>
  <c r="AD2770" i="5"/>
  <c r="AD75" i="5"/>
  <c r="AD2771" i="5"/>
  <c r="AD76" i="5"/>
  <c r="AD2197" i="5"/>
  <c r="AD3036" i="5"/>
  <c r="AD2286" i="5"/>
  <c r="AD2287" i="5"/>
  <c r="AD3037" i="5"/>
  <c r="AD309" i="5"/>
  <c r="AD310" i="5"/>
  <c r="AD3038" i="5"/>
  <c r="AD311" i="5"/>
  <c r="AD312" i="5"/>
  <c r="AD3039" i="5"/>
  <c r="AD313" i="5"/>
  <c r="AD2288" i="5"/>
  <c r="AD3040" i="5"/>
  <c r="AD2289" i="5"/>
  <c r="AD3041" i="5"/>
  <c r="AD2290" i="5"/>
  <c r="AD3042" i="5"/>
  <c r="AD3043" i="5"/>
  <c r="AD3044" i="5"/>
  <c r="AD3045" i="5"/>
  <c r="AD314" i="5"/>
  <c r="AD2291" i="5"/>
  <c r="AD2292" i="5"/>
  <c r="AD2293" i="5"/>
  <c r="AD2294" i="5"/>
  <c r="AD315" i="5"/>
  <c r="AD316" i="5"/>
  <c r="AD317" i="5"/>
  <c r="AD3046" i="5"/>
  <c r="AD2295" i="5"/>
  <c r="AD2296" i="5"/>
  <c r="AD3047" i="5"/>
  <c r="AD2297" i="5"/>
  <c r="AD3048" i="5"/>
  <c r="AD3049" i="5"/>
  <c r="AD318" i="5"/>
  <c r="AD319" i="5"/>
  <c r="AD320" i="5"/>
  <c r="AD321" i="5"/>
  <c r="AD2298" i="5"/>
  <c r="AD3050" i="5"/>
  <c r="AD1342" i="5"/>
  <c r="AD322" i="5"/>
  <c r="AD323" i="5"/>
  <c r="AD1343" i="5"/>
  <c r="AD2299" i="5"/>
  <c r="AD324" i="5"/>
  <c r="AD2300" i="5"/>
  <c r="AD325" i="5"/>
  <c r="AD3051" i="5"/>
  <c r="AD1344" i="5"/>
  <c r="AD3052" i="5"/>
  <c r="AD3053" i="5"/>
  <c r="AD3054" i="5"/>
  <c r="AD2301" i="5"/>
  <c r="AD2302" i="5"/>
  <c r="AD2483" i="5"/>
  <c r="AD2484" i="5"/>
  <c r="AD1646" i="5"/>
  <c r="AD2485" i="5"/>
  <c r="AD3428" i="5"/>
  <c r="AD2486" i="5"/>
  <c r="AD2487" i="5"/>
  <c r="AD2488" i="5"/>
  <c r="AD2489" i="5"/>
  <c r="AD3429" i="5"/>
  <c r="AD2490" i="5"/>
  <c r="AD2640" i="5"/>
  <c r="AD2641" i="5"/>
  <c r="AD1647" i="5"/>
  <c r="AD1648" i="5"/>
  <c r="AD1649" i="5"/>
  <c r="AD1650" i="5"/>
  <c r="AD1651" i="5"/>
  <c r="AD1652" i="5"/>
  <c r="AD1653" i="5"/>
  <c r="AD1654" i="5"/>
  <c r="AD1655" i="5"/>
  <c r="AD1656" i="5"/>
  <c r="AD1657" i="5"/>
  <c r="AD1658" i="5"/>
  <c r="AD1659" i="5"/>
  <c r="AD1660" i="5"/>
  <c r="AD1661" i="5"/>
  <c r="AD2092" i="5"/>
  <c r="AD2093" i="5"/>
  <c r="AD2094" i="5"/>
  <c r="AD2095" i="5"/>
  <c r="AD2096" i="5"/>
  <c r="AD2097" i="5"/>
  <c r="AD2098" i="5"/>
  <c r="AD2099" i="5"/>
  <c r="AD2100" i="5"/>
  <c r="AD2101" i="5"/>
  <c r="AD2102" i="5"/>
  <c r="AD2103" i="5"/>
  <c r="AD2104" i="5"/>
  <c r="AD2105" i="5"/>
  <c r="AD2106" i="5"/>
  <c r="AD2107" i="5"/>
  <c r="AD2108" i="5"/>
  <c r="AD2109" i="5"/>
  <c r="AD3810" i="5"/>
  <c r="AD3811" i="5"/>
  <c r="AD3812" i="5"/>
  <c r="AD3813" i="5"/>
  <c r="AD3814" i="5"/>
  <c r="AD3815" i="5"/>
  <c r="AD3816" i="5"/>
  <c r="AD3817" i="5"/>
  <c r="AD3818" i="5"/>
  <c r="AD3819" i="5"/>
  <c r="AD3820" i="5"/>
  <c r="AD3821" i="5"/>
  <c r="AD3822" i="5"/>
  <c r="AD3823" i="5"/>
  <c r="AD3824" i="5"/>
  <c r="AD3825" i="5"/>
  <c r="AD3826" i="5"/>
  <c r="AD3827" i="5"/>
  <c r="AD3828" i="5"/>
  <c r="AD3829" i="5"/>
  <c r="AD3830" i="5"/>
  <c r="AD3831" i="5"/>
  <c r="AD3832" i="5"/>
  <c r="AD3833" i="5"/>
  <c r="AD1662" i="5"/>
  <c r="AD1663" i="5"/>
  <c r="AD1664" i="5"/>
  <c r="AD1665" i="5"/>
  <c r="AD1666" i="5"/>
  <c r="AD1667" i="5"/>
  <c r="AD1668" i="5"/>
  <c r="AD1669" i="5"/>
  <c r="AD1670" i="5"/>
  <c r="AD1671" i="5"/>
  <c r="AD1672" i="5"/>
  <c r="AD1673" i="5"/>
  <c r="AD1674" i="5"/>
  <c r="AD1675" i="5"/>
  <c r="AD1676" i="5"/>
  <c r="AD1677" i="5"/>
  <c r="AD1678" i="5"/>
  <c r="AD1679" i="5"/>
  <c r="AD1680" i="5"/>
  <c r="AD1681" i="5"/>
  <c r="AD2110" i="5"/>
  <c r="AD2111" i="5"/>
  <c r="AD2112" i="5"/>
  <c r="AD2113" i="5"/>
  <c r="AD2114" i="5"/>
  <c r="AD2115" i="5"/>
  <c r="AD2116" i="5"/>
  <c r="AD2117" i="5"/>
  <c r="AD2118" i="5"/>
  <c r="AD2119" i="5"/>
  <c r="AD1682" i="5"/>
  <c r="AD1683" i="5"/>
  <c r="AD1684" i="5"/>
  <c r="AD1685" i="5"/>
  <c r="AD1686" i="5"/>
  <c r="AD1687" i="5"/>
  <c r="AD1688" i="5"/>
  <c r="AD1689" i="5"/>
  <c r="AD1690" i="5"/>
  <c r="AD1691" i="5"/>
  <c r="AD1692" i="5"/>
  <c r="AD1693" i="5"/>
  <c r="AD1694" i="5"/>
  <c r="AD1695" i="5"/>
  <c r="AD1696" i="5"/>
  <c r="AD1697" i="5"/>
  <c r="AD1698" i="5"/>
  <c r="AD1699" i="5"/>
  <c r="AD1700" i="5"/>
  <c r="AD1701" i="5"/>
  <c r="AD1702" i="5"/>
  <c r="AD1703" i="5"/>
  <c r="AD1704" i="5"/>
  <c r="AD1705" i="5"/>
  <c r="AD1706" i="5"/>
  <c r="AD1707" i="5"/>
  <c r="AD1708" i="5"/>
  <c r="AD1709" i="5"/>
  <c r="AD1710" i="5"/>
  <c r="AD2120" i="5"/>
  <c r="AD2121" i="5"/>
  <c r="AD1711" i="5"/>
  <c r="AD1712" i="5"/>
  <c r="AD3430" i="5"/>
  <c r="AD3431" i="5"/>
  <c r="AD1713" i="5"/>
  <c r="AD1714" i="5"/>
  <c r="AD3432" i="5"/>
  <c r="AD3433" i="5"/>
  <c r="AD3434" i="5"/>
  <c r="AD1715" i="5"/>
  <c r="AD1716" i="5"/>
  <c r="AD1717" i="5"/>
  <c r="AD1718" i="5"/>
  <c r="AD2122" i="5"/>
  <c r="AD3834" i="5"/>
  <c r="AD3835" i="5"/>
  <c r="AD3836" i="5"/>
  <c r="AD3837" i="5"/>
  <c r="AD3838" i="5"/>
  <c r="AD3839" i="5"/>
  <c r="AD3840" i="5"/>
  <c r="AD3841" i="5"/>
  <c r="AD3842" i="5"/>
  <c r="AD3843" i="5"/>
  <c r="AD3844" i="5"/>
  <c r="AD1345" i="5"/>
  <c r="AD3055" i="5"/>
  <c r="AD3056" i="5"/>
  <c r="AD3057" i="5"/>
  <c r="AD1346" i="5"/>
  <c r="AD687" i="5"/>
  <c r="AD688" i="5"/>
  <c r="AD689" i="5"/>
  <c r="AD1719" i="5"/>
  <c r="AD3435" i="5"/>
  <c r="AD690" i="5"/>
  <c r="AD691" i="5"/>
  <c r="AD1720" i="5"/>
  <c r="AD692" i="5"/>
  <c r="AD693" i="5"/>
  <c r="AD694" i="5"/>
  <c r="AD1721" i="5"/>
  <c r="AD695" i="5"/>
  <c r="AD3436" i="5"/>
  <c r="AD1722" i="5"/>
  <c r="AD1723" i="5"/>
  <c r="AD696" i="5"/>
  <c r="AD697" i="5"/>
  <c r="AD3437" i="5"/>
  <c r="AD1724" i="5"/>
  <c r="AD3438" i="5"/>
  <c r="AD698" i="5"/>
  <c r="AD3845" i="5"/>
  <c r="AD2123" i="5"/>
  <c r="AD1036" i="5"/>
  <c r="AD2124" i="5"/>
  <c r="AD2125" i="5"/>
  <c r="AD3846" i="5"/>
  <c r="AD2126" i="5"/>
  <c r="AD3847" i="5"/>
  <c r="AD3848" i="5"/>
  <c r="AD2127" i="5"/>
  <c r="AD1347" i="5"/>
  <c r="AD3058" i="5"/>
  <c r="AD326" i="5"/>
  <c r="AD3059" i="5"/>
  <c r="AD3060" i="5"/>
  <c r="AD1348" i="5"/>
  <c r="AD3061" i="5"/>
  <c r="AD327" i="5"/>
  <c r="AD328" i="5"/>
  <c r="AD3062" i="5"/>
  <c r="AD1349" i="5"/>
  <c r="AD2303" i="5"/>
  <c r="AD2304" i="5"/>
  <c r="AD3063" i="5"/>
  <c r="AD329" i="5"/>
  <c r="AD3064" i="5"/>
  <c r="AD2305" i="5"/>
  <c r="AD3065" i="5"/>
  <c r="AD2306" i="5"/>
  <c r="AD330" i="5"/>
  <c r="AD3066" i="5"/>
  <c r="AD3067" i="5"/>
  <c r="AD2307" i="5"/>
  <c r="AD1350" i="5"/>
  <c r="AD2308" i="5"/>
  <c r="AD1351" i="5"/>
  <c r="AD2309" i="5"/>
  <c r="AD1352" i="5"/>
  <c r="AD2310" i="5"/>
  <c r="AD1353" i="5"/>
  <c r="AD2311" i="5"/>
  <c r="AD1354" i="5"/>
  <c r="AD2312" i="5"/>
  <c r="AD3068" i="5"/>
  <c r="AD3069" i="5"/>
  <c r="AD2313" i="5"/>
  <c r="AD3070" i="5"/>
  <c r="AD699" i="5"/>
  <c r="AD2491" i="5"/>
  <c r="AD3439" i="5"/>
  <c r="AD700" i="5"/>
  <c r="AD2492" i="5"/>
  <c r="AD1725" i="5"/>
  <c r="AD3440" i="5"/>
  <c r="AD2493" i="5"/>
  <c r="AD701" i="5"/>
  <c r="AD2128" i="5"/>
  <c r="AD2642" i="5"/>
  <c r="AD3849" i="5"/>
  <c r="AD1037" i="5"/>
  <c r="AD1038" i="5"/>
  <c r="AD702" i="5"/>
  <c r="AD1726" i="5"/>
  <c r="AD1727" i="5"/>
  <c r="AD3441" i="5"/>
  <c r="AD1728" i="5"/>
  <c r="AD3442" i="5"/>
  <c r="AD1729" i="5"/>
  <c r="AD703" i="5"/>
  <c r="AD704" i="5"/>
  <c r="AD3443" i="5"/>
  <c r="AD705" i="5"/>
  <c r="AD1730" i="5"/>
  <c r="AD1039" i="5"/>
  <c r="AD1040" i="5"/>
  <c r="AD1041" i="5"/>
  <c r="AD1042" i="5"/>
  <c r="AD1043" i="5"/>
  <c r="AD1044" i="5"/>
  <c r="AD1045" i="5"/>
  <c r="AD3850" i="5"/>
  <c r="AD2129" i="5"/>
  <c r="AD3851" i="5"/>
  <c r="AD3852" i="5"/>
  <c r="AD2130" i="5"/>
  <c r="AD3853" i="5"/>
  <c r="AD3854" i="5"/>
  <c r="AD1046" i="5"/>
  <c r="AD2131" i="5"/>
  <c r="AD2132" i="5"/>
  <c r="AD3855" i="5"/>
  <c r="AD1047" i="5"/>
  <c r="AD2133" i="5"/>
  <c r="AD2134" i="5"/>
  <c r="AD2135" i="5"/>
  <c r="AD2136" i="5"/>
  <c r="AD706" i="5"/>
  <c r="AD707" i="5"/>
  <c r="AD708" i="5"/>
  <c r="AD709" i="5"/>
  <c r="AD3444" i="5"/>
  <c r="AD710" i="5"/>
  <c r="AD3445" i="5"/>
  <c r="AD1731" i="5"/>
  <c r="AD1732" i="5"/>
  <c r="AD711" i="5"/>
  <c r="AD1733" i="5"/>
  <c r="AD1734" i="5"/>
  <c r="AD1735" i="5"/>
  <c r="AD1736" i="5"/>
  <c r="AD3446" i="5"/>
  <c r="AD712" i="5"/>
  <c r="AD1737" i="5"/>
  <c r="AD3447" i="5"/>
  <c r="AD3448" i="5"/>
  <c r="AD713" i="5"/>
  <c r="AD1738" i="5"/>
  <c r="AD714" i="5"/>
  <c r="AD1739" i="5"/>
  <c r="AD715" i="5"/>
  <c r="AD716" i="5"/>
  <c r="AD2137" i="5"/>
  <c r="AD1048" i="5"/>
  <c r="AD3856" i="5"/>
  <c r="AD2138" i="5"/>
  <c r="AD2139" i="5"/>
  <c r="AD2140" i="5"/>
  <c r="AD3857" i="5"/>
  <c r="AD2141" i="5"/>
  <c r="AD3449" i="5"/>
  <c r="AD1740" i="5"/>
  <c r="AD1741" i="5"/>
  <c r="AD3450" i="5"/>
  <c r="AD3451" i="5"/>
  <c r="AD3452" i="5"/>
  <c r="AD1742" i="5"/>
  <c r="AD1743" i="5"/>
  <c r="AD1744" i="5"/>
  <c r="AD1745" i="5"/>
  <c r="AD1746" i="5"/>
  <c r="AD1747" i="5"/>
  <c r="AD3453" i="5"/>
  <c r="AD1748" i="5"/>
  <c r="AD1749" i="5"/>
  <c r="AD3454" i="5"/>
  <c r="AD3455" i="5"/>
  <c r="AD3858" i="5"/>
  <c r="AD2142" i="5"/>
  <c r="AD3859" i="5"/>
  <c r="AD3860" i="5"/>
  <c r="AD2143" i="5"/>
  <c r="AD2144" i="5"/>
  <c r="AD2145" i="5"/>
  <c r="AD2146" i="5"/>
  <c r="AD2147" i="5"/>
  <c r="AD2148" i="5"/>
  <c r="AD2149" i="5"/>
  <c r="AD2772" i="5"/>
  <c r="AD2773" i="5"/>
  <c r="AD2774" i="5"/>
  <c r="AD77" i="5"/>
  <c r="AD2314" i="5"/>
  <c r="AD331" i="5"/>
  <c r="AD2315" i="5"/>
  <c r="AD332" i="5"/>
  <c r="AD2316" i="5"/>
  <c r="AD2317" i="5"/>
  <c r="AD333" i="5"/>
  <c r="AD2318" i="5"/>
  <c r="AD2319" i="5"/>
  <c r="AD3071" i="5"/>
  <c r="AD2494" i="5"/>
  <c r="AD2495" i="5"/>
  <c r="AD2496" i="5"/>
  <c r="AD2497" i="5"/>
  <c r="AD3456" i="5"/>
  <c r="AD2498" i="5"/>
  <c r="AD717" i="5"/>
  <c r="AD2499" i="5"/>
  <c r="AD3457" i="5"/>
  <c r="AD718" i="5"/>
  <c r="AD3458" i="5"/>
  <c r="AD3459" i="5"/>
  <c r="AD3460" i="5"/>
  <c r="AD3861" i="5"/>
  <c r="AD2643" i="5"/>
  <c r="AD1049" i="5"/>
  <c r="AD2644" i="5"/>
  <c r="AD2645" i="5"/>
  <c r="AD1050" i="5"/>
  <c r="AD1051" i="5"/>
  <c r="AD1052" i="5"/>
  <c r="AD1053" i="5"/>
  <c r="AD3862" i="5"/>
  <c r="AD3863" i="5"/>
  <c r="AD3864" i="5"/>
  <c r="AD1054" i="5"/>
  <c r="AD1055" i="5"/>
  <c r="AD719" i="5"/>
  <c r="AD720" i="5"/>
  <c r="AD1750" i="5"/>
  <c r="AD721" i="5"/>
  <c r="AD722" i="5"/>
  <c r="AD3461" i="5"/>
  <c r="AD723" i="5"/>
  <c r="AD724" i="5"/>
  <c r="AD1751" i="5"/>
  <c r="AD725" i="5"/>
  <c r="AD1752" i="5"/>
  <c r="AD1753" i="5"/>
  <c r="AD726" i="5"/>
  <c r="AD3462" i="5"/>
  <c r="AD3463" i="5"/>
  <c r="AD727" i="5"/>
  <c r="AD3464" i="5"/>
  <c r="AD3465" i="5"/>
  <c r="AD3466" i="5"/>
  <c r="AD728" i="5"/>
  <c r="AD729" i="5"/>
  <c r="AD730" i="5"/>
  <c r="AD2150" i="5"/>
  <c r="AD3865" i="5"/>
  <c r="AD3866" i="5"/>
  <c r="AD2151" i="5"/>
  <c r="AD3867" i="5"/>
  <c r="AD1056" i="5"/>
  <c r="AD1057" i="5"/>
  <c r="AD2152" i="5"/>
  <c r="AD3868" i="5"/>
  <c r="AD1058" i="5"/>
  <c r="AD2153" i="5"/>
  <c r="AD3869" i="5"/>
  <c r="AD2154" i="5"/>
  <c r="AD3870" i="5"/>
  <c r="AD731" i="5"/>
  <c r="AD3467" i="5"/>
  <c r="AD732" i="5"/>
  <c r="AD1754" i="5"/>
  <c r="AD3468" i="5"/>
  <c r="AD733" i="5"/>
  <c r="AD3469" i="5"/>
  <c r="AD3470" i="5"/>
  <c r="AD3471" i="5"/>
  <c r="AD3871" i="5"/>
  <c r="AD2788" i="5"/>
  <c r="AD98" i="5"/>
  <c r="AD2789" i="5"/>
  <c r="AD2790" i="5"/>
  <c r="AD1157" i="5"/>
  <c r="AD2791" i="5"/>
  <c r="AD99" i="5"/>
  <c r="AD1158" i="5"/>
  <c r="AD1159" i="5"/>
  <c r="AD1160" i="5"/>
  <c r="AD1161" i="5"/>
  <c r="AD100" i="5"/>
  <c r="AD2792" i="5"/>
  <c r="AD3072" i="5"/>
  <c r="AD1355" i="5"/>
  <c r="AD1356" i="5"/>
  <c r="AD3073" i="5"/>
  <c r="AD1357" i="5"/>
  <c r="AD1358" i="5"/>
  <c r="AD1359" i="5"/>
  <c r="AD1360" i="5"/>
  <c r="AD1361" i="5"/>
  <c r="AD1362" i="5"/>
  <c r="AD1363" i="5"/>
  <c r="AD101" i="5"/>
  <c r="AD102" i="5"/>
  <c r="AD2793" i="5"/>
  <c r="AD1162" i="5"/>
  <c r="AD2198" i="5"/>
  <c r="AD1163" i="5"/>
  <c r="AD2794" i="5"/>
  <c r="AD103" i="5"/>
  <c r="AD2199" i="5"/>
  <c r="AD2795" i="5"/>
  <c r="AD3074" i="5"/>
  <c r="AD334" i="5"/>
  <c r="AD1364" i="5"/>
  <c r="AD1365" i="5"/>
  <c r="AD335" i="5"/>
  <c r="AD336" i="5"/>
  <c r="AD337" i="5"/>
  <c r="AD338" i="5"/>
  <c r="AD339" i="5"/>
  <c r="AD3075" i="5"/>
  <c r="AD340" i="5"/>
  <c r="AD341" i="5"/>
  <c r="AD342" i="5"/>
  <c r="AD3076" i="5"/>
  <c r="AD1366" i="5"/>
  <c r="AD3077" i="5"/>
  <c r="AD343" i="5"/>
  <c r="AD344" i="5"/>
  <c r="AD2320" i="5"/>
  <c r="AD2321" i="5"/>
  <c r="AD2322" i="5"/>
  <c r="AD1367" i="5"/>
  <c r="AD2323" i="5"/>
  <c r="AD1368" i="5"/>
  <c r="AD2324" i="5"/>
  <c r="AD2325" i="5"/>
  <c r="AD1369" i="5"/>
  <c r="AD1755" i="5"/>
  <c r="AD1756" i="5"/>
  <c r="AD2500" i="5"/>
  <c r="AD3472" i="5"/>
  <c r="AD2200" i="5"/>
  <c r="AD2796" i="5"/>
  <c r="AD1164" i="5"/>
  <c r="AD1165" i="5"/>
  <c r="AD2797" i="5"/>
  <c r="AD2201" i="5"/>
  <c r="AD2798" i="5"/>
  <c r="AD2799" i="5"/>
  <c r="AD1166" i="5"/>
  <c r="AD2202" i="5"/>
  <c r="AD2800" i="5"/>
  <c r="AD2203" i="5"/>
  <c r="AD1167" i="5"/>
  <c r="AD2204" i="5"/>
  <c r="AD2205" i="5"/>
  <c r="AD2801" i="5"/>
  <c r="AD2206" i="5"/>
  <c r="AD2802" i="5"/>
  <c r="AD2803" i="5"/>
  <c r="AD2804" i="5"/>
  <c r="AD1168" i="5"/>
  <c r="AD1169" i="5"/>
  <c r="AD2207" i="5"/>
  <c r="AD2208" i="5"/>
  <c r="AD2209" i="5"/>
  <c r="AD1170" i="5"/>
  <c r="AD3078" i="5"/>
  <c r="AD3079" i="5"/>
  <c r="AD1757" i="5"/>
  <c r="AD3473" i="5"/>
  <c r="AD1758" i="5"/>
  <c r="AD1759" i="5"/>
  <c r="AD3474" i="5"/>
  <c r="AD1760" i="5"/>
  <c r="AD3475" i="5"/>
  <c r="AD3476" i="5"/>
  <c r="AD3477" i="5"/>
  <c r="AD3478" i="5"/>
  <c r="AD1761" i="5"/>
  <c r="AD3479" i="5"/>
  <c r="AD1762" i="5"/>
  <c r="AD3480" i="5"/>
  <c r="AD1763" i="5"/>
  <c r="AD1059" i="5"/>
  <c r="AD2646" i="5"/>
  <c r="AD1060" i="5"/>
  <c r="AD2647" i="5"/>
  <c r="AD2648" i="5"/>
  <c r="AD2" i="5"/>
  <c r="AD3" i="5"/>
  <c r="AD4" i="5"/>
  <c r="AD5" i="5"/>
  <c r="AD1061" i="5"/>
  <c r="AD1062" i="5"/>
  <c r="AD2649" i="5"/>
  <c r="AD104" i="5"/>
  <c r="AD2805" i="5"/>
  <c r="AD1171" i="5"/>
  <c r="AD105" i="5"/>
  <c r="AD2806" i="5"/>
  <c r="AD1172" i="5"/>
  <c r="AD106" i="5"/>
  <c r="AD107" i="5"/>
  <c r="AD2807" i="5"/>
  <c r="AD2808" i="5"/>
  <c r="AD108" i="5"/>
  <c r="AD2809" i="5"/>
  <c r="AD2810" i="5"/>
  <c r="AD2811" i="5"/>
  <c r="AD2812" i="5"/>
  <c r="AD1173" i="5"/>
  <c r="AD109" i="5"/>
  <c r="AD1174" i="5"/>
  <c r="AD2813" i="5"/>
  <c r="AD1175" i="5"/>
  <c r="AD2814" i="5"/>
  <c r="AD1176" i="5"/>
  <c r="AD2815" i="5"/>
  <c r="AD2816" i="5"/>
  <c r="AD110" i="5"/>
  <c r="AD1177" i="5"/>
  <c r="AD111" i="5"/>
  <c r="AD2817" i="5"/>
  <c r="AD1178" i="5"/>
  <c r="AD345" i="5"/>
  <c r="AD346" i="5"/>
  <c r="AD347" i="5"/>
  <c r="AD1370" i="5"/>
  <c r="AD348" i="5"/>
  <c r="AD3080" i="5"/>
  <c r="AD2783" i="5"/>
  <c r="AD92" i="5"/>
  <c r="AD2784" i="5"/>
  <c r="AD2785" i="5"/>
  <c r="AD93" i="5"/>
  <c r="AD94" i="5"/>
  <c r="AD1154" i="5"/>
  <c r="AD1155" i="5"/>
  <c r="AD1156" i="5"/>
  <c r="AD2786" i="5"/>
  <c r="AD2787" i="5"/>
  <c r="AD95" i="5"/>
  <c r="AD96" i="5"/>
  <c r="AD97" i="5"/>
  <c r="AD1144" i="5"/>
  <c r="AD79" i="5"/>
  <c r="AD1145" i="5"/>
  <c r="AD1146" i="5"/>
  <c r="AD2775" i="5"/>
  <c r="AD2776" i="5"/>
  <c r="AD2777" i="5"/>
  <c r="AD80" i="5"/>
  <c r="AD1147" i="5"/>
  <c r="AD81" i="5"/>
  <c r="AD82" i="5"/>
  <c r="AD2778" i="5"/>
  <c r="AD1148" i="5"/>
  <c r="AD83" i="5"/>
  <c r="AD84" i="5"/>
  <c r="AD85" i="5"/>
  <c r="AD86" i="5"/>
  <c r="AD87" i="5"/>
  <c r="AD88" i="5"/>
  <c r="AD1149" i="5"/>
  <c r="AD89" i="5"/>
  <c r="AD2779" i="5"/>
  <c r="AD2780" i="5"/>
  <c r="AD2781" i="5"/>
  <c r="AD1150" i="5"/>
  <c r="AD1151" i="5"/>
  <c r="AD90" i="5"/>
  <c r="AD2782" i="5"/>
  <c r="AD1152" i="5"/>
  <c r="AD91" i="5"/>
  <c r="AD1153" i="5"/>
  <c r="AD78" i="5"/>
  <c r="AE1112" i="5"/>
  <c r="AE1079" i="5"/>
  <c r="AE1113" i="5"/>
  <c r="AE2681" i="5"/>
  <c r="AE2762" i="5"/>
  <c r="AE2668" i="5"/>
  <c r="AE2772" i="5"/>
  <c r="AE1114" i="5"/>
  <c r="AE1093" i="5"/>
  <c r="AE2190" i="5"/>
  <c r="AE29" i="5"/>
  <c r="AE2160" i="5"/>
  <c r="AE2191" i="5"/>
  <c r="AE2763" i="5"/>
  <c r="AE2669" i="5"/>
  <c r="AE2764" i="5"/>
  <c r="AE30" i="5"/>
  <c r="AE2667" i="5"/>
  <c r="AE2741" i="5"/>
  <c r="AE2155" i="5"/>
  <c r="AE52" i="5"/>
  <c r="AE26" i="5"/>
  <c r="AE1063" i="5"/>
  <c r="AE2650" i="5"/>
  <c r="AE1064" i="5"/>
  <c r="AE1065" i="5"/>
  <c r="AE2651" i="5"/>
  <c r="AE2652" i="5"/>
  <c r="AE2653" i="5"/>
  <c r="AE2654" i="5"/>
  <c r="AE1066" i="5"/>
  <c r="AE1067" i="5"/>
  <c r="AE1068" i="5"/>
  <c r="AE1069" i="5"/>
  <c r="AE2655" i="5"/>
  <c r="AE2656" i="5"/>
  <c r="AE1070" i="5"/>
  <c r="AE6" i="5"/>
  <c r="AE1071" i="5"/>
  <c r="AE7" i="5"/>
  <c r="AE8" i="5"/>
  <c r="AE1072" i="5"/>
  <c r="AE2657" i="5"/>
  <c r="AE2658" i="5"/>
  <c r="AE2659" i="5"/>
  <c r="AE1073" i="5"/>
  <c r="AE2660" i="5"/>
  <c r="AE70" i="5"/>
  <c r="AE2192" i="5"/>
  <c r="AE2727" i="5"/>
  <c r="AE2765" i="5"/>
  <c r="AE71" i="5"/>
  <c r="AE72" i="5"/>
  <c r="AE73" i="5"/>
  <c r="AE1138" i="5"/>
  <c r="AE1139" i="5"/>
  <c r="AE1133" i="5"/>
  <c r="AE2728" i="5"/>
  <c r="AE1085" i="5"/>
  <c r="AE1140" i="5"/>
  <c r="AE1134" i="5"/>
  <c r="AE2674" i="5"/>
  <c r="AE74" i="5"/>
  <c r="AE2675" i="5"/>
  <c r="AE1141" i="5"/>
  <c r="AE1086" i="5"/>
  <c r="AE2766" i="5"/>
  <c r="AE1142" i="5"/>
  <c r="AE2193" i="5"/>
  <c r="AE2767" i="5"/>
  <c r="AE1143" i="5"/>
  <c r="AE1059" i="5"/>
  <c r="AE2194" i="5"/>
  <c r="AE2646" i="5"/>
  <c r="AE1087" i="5"/>
  <c r="AE1060" i="5"/>
  <c r="AE1088" i="5"/>
  <c r="AE2647" i="5"/>
  <c r="AE1089" i="5"/>
  <c r="AE2768" i="5"/>
  <c r="AE2648" i="5"/>
  <c r="AE2676" i="5"/>
  <c r="AE2174" i="5"/>
  <c r="AE2" i="5"/>
  <c r="AE2175" i="5"/>
  <c r="AE3" i="5"/>
  <c r="AE2742" i="5"/>
  <c r="AE4" i="5"/>
  <c r="AE1090" i="5"/>
  <c r="AE2176" i="5"/>
  <c r="AE5" i="5"/>
  <c r="AE2743" i="5"/>
  <c r="AE1061" i="5"/>
  <c r="AE18" i="5"/>
  <c r="AE2177" i="5"/>
  <c r="AE1062" i="5"/>
  <c r="AE19" i="5"/>
  <c r="AE53" i="5"/>
  <c r="AE2732" i="5"/>
  <c r="AE2649" i="5"/>
  <c r="AE20" i="5"/>
  <c r="AE2744" i="5"/>
  <c r="AE1135" i="5"/>
  <c r="AE2195" i="5"/>
  <c r="AE2745" i="5"/>
  <c r="AE1136" i="5"/>
  <c r="AE2682" i="5"/>
  <c r="AE1091" i="5"/>
  <c r="AE2746" i="5"/>
  <c r="AE2733" i="5"/>
  <c r="AE2683" i="5"/>
  <c r="AE2677" i="5"/>
  <c r="AE2178" i="5"/>
  <c r="AE2171" i="5"/>
  <c r="AE2684" i="5"/>
  <c r="AE2179" i="5"/>
  <c r="AE47" i="5"/>
  <c r="AE31" i="5"/>
  <c r="AE21" i="5"/>
  <c r="AE54" i="5"/>
  <c r="AE2685" i="5"/>
  <c r="AE2678" i="5"/>
  <c r="AE55" i="5"/>
  <c r="AE1094" i="5"/>
  <c r="AE2747" i="5"/>
  <c r="AE2734" i="5"/>
  <c r="AE2686" i="5"/>
  <c r="AE2679" i="5"/>
  <c r="AE48" i="5"/>
  <c r="AE1095" i="5"/>
  <c r="AE22" i="5"/>
  <c r="AE2748" i="5"/>
  <c r="AE2735" i="5"/>
  <c r="AE1096" i="5"/>
  <c r="AE2749" i="5"/>
  <c r="AE2736" i="5"/>
  <c r="AE2723" i="5"/>
  <c r="AE1097" i="5"/>
  <c r="AE23" i="5"/>
  <c r="AE57" i="5"/>
  <c r="AE2737" i="5"/>
  <c r="AE32" i="5"/>
  <c r="AE24" i="5"/>
  <c r="AE58" i="5"/>
  <c r="AE2172" i="5"/>
  <c r="AE1115" i="5"/>
  <c r="AE1098" i="5"/>
  <c r="AE2769" i="5"/>
  <c r="AE59" i="5"/>
  <c r="AE2687" i="5"/>
  <c r="AE2180" i="5"/>
  <c r="AE33" i="5"/>
  <c r="AE2196" i="5"/>
  <c r="AE2750" i="5"/>
  <c r="AE2173" i="5"/>
  <c r="AE1099" i="5"/>
  <c r="AE2751" i="5"/>
  <c r="AE2738" i="5"/>
  <c r="AE2688" i="5"/>
  <c r="AE2161" i="5"/>
  <c r="AE2770" i="5"/>
  <c r="AE60" i="5"/>
  <c r="AE49" i="5"/>
  <c r="AE34" i="5"/>
  <c r="AE2670" i="5"/>
  <c r="AE2752" i="5"/>
  <c r="AE1100" i="5"/>
  <c r="AE75" i="5"/>
  <c r="AE1101" i="5"/>
  <c r="AE11" i="5"/>
  <c r="AE2689" i="5"/>
  <c r="AE12" i="5"/>
  <c r="AE2739" i="5"/>
  <c r="AE45" i="5"/>
  <c r="AE1116" i="5"/>
  <c r="AE2690" i="5"/>
  <c r="AE2162" i="5"/>
  <c r="AE2771" i="5"/>
  <c r="AE2753" i="5"/>
  <c r="AE2740" i="5"/>
  <c r="AE2691" i="5"/>
  <c r="AE13" i="5"/>
  <c r="AE2754" i="5"/>
  <c r="AE50" i="5"/>
  <c r="AE1102" i="5"/>
  <c r="AE2701" i="5"/>
  <c r="AE35" i="5"/>
  <c r="AE2680" i="5"/>
  <c r="AE2692" i="5"/>
  <c r="AE46" i="5"/>
  <c r="AE2693" i="5"/>
  <c r="AE2163" i="5"/>
  <c r="AE2181" i="5"/>
  <c r="AE1103" i="5"/>
  <c r="AE14" i="5"/>
  <c r="AE2188" i="5"/>
  <c r="AE2182" i="5"/>
  <c r="AE25" i="5"/>
  <c r="AE1080" i="5"/>
  <c r="AE2702" i="5"/>
  <c r="AE1104" i="5"/>
  <c r="AE15" i="5"/>
  <c r="AE2189" i="5"/>
  <c r="AE51" i="5"/>
  <c r="AE1117" i="5"/>
  <c r="AE2694" i="5"/>
  <c r="AE2671" i="5"/>
  <c r="AE2761" i="5"/>
  <c r="AE2703" i="5"/>
  <c r="AE2695" i="5"/>
  <c r="AE2164" i="5"/>
  <c r="AE2704" i="5"/>
  <c r="AE2661" i="5"/>
  <c r="AE2705" i="5"/>
  <c r="AE66" i="5"/>
  <c r="AE2706" i="5"/>
  <c r="AE36" i="5"/>
  <c r="AE1137" i="5"/>
  <c r="AE2663" i="5"/>
  <c r="AE1118" i="5"/>
  <c r="AE67" i="5"/>
  <c r="AE1077" i="5"/>
  <c r="AE2156" i="5"/>
  <c r="AE2707" i="5"/>
  <c r="AE2696" i="5"/>
  <c r="AE1074" i="5"/>
  <c r="AE2708" i="5"/>
  <c r="AE1075" i="5"/>
  <c r="AE2709" i="5"/>
  <c r="AE37" i="5"/>
  <c r="AE68" i="5"/>
  <c r="AE2664" i="5"/>
  <c r="AE2710" i="5"/>
  <c r="AE69" i="5"/>
  <c r="AE1076" i="5"/>
  <c r="AE10" i="5"/>
  <c r="AE1078" i="5"/>
  <c r="AE2665" i="5"/>
  <c r="AE2157" i="5"/>
  <c r="AE40" i="5"/>
  <c r="AE2158" i="5"/>
  <c r="AE2726" i="5"/>
  <c r="AE41" i="5"/>
  <c r="AE2666" i="5"/>
  <c r="AE1119" i="5"/>
  <c r="AE2159" i="5"/>
  <c r="AE42" i="5"/>
  <c r="AE2183" i="5"/>
  <c r="AE2184" i="5"/>
  <c r="AE2185" i="5"/>
  <c r="AE2186" i="5"/>
  <c r="AE61" i="5"/>
  <c r="AE1092" i="5"/>
  <c r="AE2755" i="5"/>
  <c r="AE2756" i="5"/>
  <c r="AE2757" i="5"/>
  <c r="AE62" i="5"/>
  <c r="AE2719" i="5"/>
  <c r="AE2187" i="5"/>
  <c r="AE44" i="5"/>
  <c r="AE63" i="5"/>
  <c r="AE2720" i="5"/>
  <c r="AE43" i="5"/>
  <c r="AE2758" i="5"/>
  <c r="AE2724" i="5"/>
  <c r="AE1120" i="5"/>
  <c r="AE16" i="5"/>
  <c r="AE2773" i="5"/>
  <c r="AE2721" i="5"/>
  <c r="AE2711" i="5"/>
  <c r="AE27" i="5"/>
  <c r="AE2672" i="5"/>
  <c r="AE2722" i="5"/>
  <c r="AE2712" i="5"/>
  <c r="AE2167" i="5"/>
  <c r="AE1121" i="5"/>
  <c r="AE1081" i="5"/>
  <c r="AE2759" i="5"/>
  <c r="AE1130" i="5"/>
  <c r="AE1122" i="5"/>
  <c r="AE2760" i="5"/>
  <c r="AE1131" i="5"/>
  <c r="AE1123" i="5"/>
  <c r="AE1082" i="5"/>
  <c r="AE2774" i="5"/>
  <c r="AE1124" i="5"/>
  <c r="AE2673" i="5"/>
  <c r="AE1125" i="5"/>
  <c r="AE1105" i="5"/>
  <c r="AE2165" i="5"/>
  <c r="AE1126" i="5"/>
  <c r="AE38" i="5"/>
  <c r="AE64" i="5"/>
  <c r="AE2713" i="5"/>
  <c r="AE2698" i="5"/>
  <c r="AE65" i="5"/>
  <c r="AE1127" i="5"/>
  <c r="AE39" i="5"/>
  <c r="AE2725" i="5"/>
  <c r="AE2714" i="5"/>
  <c r="AE1106" i="5"/>
  <c r="AE2166" i="5"/>
  <c r="AE76" i="5"/>
  <c r="AE17" i="5"/>
  <c r="AE2715" i="5"/>
  <c r="AE1107" i="5"/>
  <c r="AE2729" i="5"/>
  <c r="AE1128" i="5"/>
  <c r="AE1108" i="5"/>
  <c r="AE77" i="5"/>
  <c r="AE2168" i="5"/>
  <c r="AE2716" i="5"/>
  <c r="AE1109" i="5"/>
  <c r="AE1083" i="5"/>
  <c r="AE2169" i="5"/>
  <c r="AE9" i="5"/>
  <c r="AE2699" i="5"/>
  <c r="AE2197" i="5"/>
  <c r="AE2170" i="5"/>
  <c r="AE1129" i="5"/>
  <c r="AE1110" i="5"/>
  <c r="AE1084" i="5"/>
  <c r="AE2730" i="5"/>
  <c r="AE2717" i="5"/>
  <c r="AE1111" i="5"/>
  <c r="AE2718" i="5"/>
  <c r="AE2700" i="5"/>
  <c r="AE28" i="5"/>
  <c r="AE237" i="5"/>
  <c r="AE1187" i="5"/>
  <c r="AE2958" i="5"/>
  <c r="AE2239" i="5"/>
  <c r="AE1284" i="5"/>
  <c r="AE2873" i="5"/>
  <c r="AE2227" i="5"/>
  <c r="AE101" i="5"/>
  <c r="AE3036" i="5"/>
  <c r="AE238" i="5"/>
  <c r="AE1188" i="5"/>
  <c r="AE2959" i="5"/>
  <c r="AE2921" i="5"/>
  <c r="AE102" i="5"/>
  <c r="AE2835" i="5"/>
  <c r="AE78" i="5"/>
  <c r="AE259" i="5"/>
  <c r="AE2968" i="5"/>
  <c r="AE2210" i="5"/>
  <c r="AE2245" i="5"/>
  <c r="AE223" i="5"/>
  <c r="AE2240" i="5"/>
  <c r="AE2922" i="5"/>
  <c r="AE1235" i="5"/>
  <c r="AE1232" i="5"/>
  <c r="AE2864" i="5"/>
  <c r="AE2286" i="5"/>
  <c r="AE1144" i="5"/>
  <c r="AE2824" i="5"/>
  <c r="AE2960" i="5"/>
  <c r="AE1297" i="5"/>
  <c r="AE1287" i="5"/>
  <c r="AE2236" i="5"/>
  <c r="AE2793" i="5"/>
  <c r="AE2860" i="5"/>
  <c r="AE1194" i="5"/>
  <c r="AE79" i="5"/>
  <c r="AE2969" i="5"/>
  <c r="AE2246" i="5"/>
  <c r="AE104" i="5"/>
  <c r="AE2241" i="5"/>
  <c r="AE2913" i="5"/>
  <c r="AE1162" i="5"/>
  <c r="AE1145" i="5"/>
  <c r="AE2970" i="5"/>
  <c r="AE2247" i="5"/>
  <c r="AE2805" i="5"/>
  <c r="AE1275" i="5"/>
  <c r="AE181" i="5"/>
  <c r="AE2836" i="5"/>
  <c r="AE1347" i="5"/>
  <c r="AE1146" i="5"/>
  <c r="AE240" i="5"/>
  <c r="AE2248" i="5"/>
  <c r="AE1171" i="5"/>
  <c r="AE182" i="5"/>
  <c r="AE3058" i="5"/>
  <c r="AE2287" i="5"/>
  <c r="AE3024" i="5"/>
  <c r="AE2775" i="5"/>
  <c r="AE241" i="5"/>
  <c r="AE1189" i="5"/>
  <c r="AE2825" i="5"/>
  <c r="AE105" i="5"/>
  <c r="AE1233" i="5"/>
  <c r="AE2198" i="5"/>
  <c r="AE2221" i="5"/>
  <c r="AE326" i="5"/>
  <c r="AE303" i="5"/>
  <c r="AE2776" i="5"/>
  <c r="AE242" i="5"/>
  <c r="AE1190" i="5"/>
  <c r="AE2806" i="5"/>
  <c r="AE1163" i="5"/>
  <c r="AE155" i="5"/>
  <c r="AE3059" i="5"/>
  <c r="AE3037" i="5"/>
  <c r="AE304" i="5"/>
  <c r="AE2777" i="5"/>
  <c r="AE2971" i="5"/>
  <c r="AE121" i="5"/>
  <c r="AE2211" i="5"/>
  <c r="AE2961" i="5"/>
  <c r="AE1172" i="5"/>
  <c r="AE2228" i="5"/>
  <c r="AE2222" i="5"/>
  <c r="AE3060" i="5"/>
  <c r="AE3025" i="5"/>
  <c r="AE289" i="5"/>
  <c r="AE80" i="5"/>
  <c r="AE2972" i="5"/>
  <c r="AE2831" i="5"/>
  <c r="AE106" i="5"/>
  <c r="AE156" i="5"/>
  <c r="AE2838" i="5"/>
  <c r="AE1348" i="5"/>
  <c r="AE309" i="5"/>
  <c r="AE2280" i="5"/>
  <c r="AE1147" i="5"/>
  <c r="AE243" i="5"/>
  <c r="AE2212" i="5"/>
  <c r="AE107" i="5"/>
  <c r="AE2215" i="5"/>
  <c r="AE3061" i="5"/>
  <c r="AE2281" i="5"/>
  <c r="AE2973" i="5"/>
  <c r="AE122" i="5"/>
  <c r="AE2826" i="5"/>
  <c r="AE2962" i="5"/>
  <c r="AE2807" i="5"/>
  <c r="AE327" i="5"/>
  <c r="AE310" i="5"/>
  <c r="AE2282" i="5"/>
  <c r="AE81" i="5"/>
  <c r="AE2974" i="5"/>
  <c r="AE2827" i="5"/>
  <c r="AE2808" i="5"/>
  <c r="AE328" i="5"/>
  <c r="AE3038" i="5"/>
  <c r="AE2283" i="5"/>
  <c r="AE82" i="5"/>
  <c r="AE244" i="5"/>
  <c r="AE2213" i="5"/>
  <c r="AE230" i="5"/>
  <c r="AE108" i="5"/>
  <c r="AE3062" i="5"/>
  <c r="AE311" i="5"/>
  <c r="AE3026" i="5"/>
  <c r="AE2778" i="5"/>
  <c r="AE245" i="5"/>
  <c r="AE1298" i="5"/>
  <c r="AE2809" i="5"/>
  <c r="AE1285" i="5"/>
  <c r="AE162" i="5"/>
  <c r="AE157" i="5"/>
  <c r="AE1349" i="5"/>
  <c r="AE305" i="5"/>
  <c r="AE1148" i="5"/>
  <c r="AE2975" i="5"/>
  <c r="AE2936" i="5"/>
  <c r="AE2923" i="5"/>
  <c r="AE2229" i="5"/>
  <c r="AE2303" i="5"/>
  <c r="AE312" i="5"/>
  <c r="AE83" i="5"/>
  <c r="AE2976" i="5"/>
  <c r="AE1314" i="5"/>
  <c r="AE224" i="5"/>
  <c r="AE206" i="5"/>
  <c r="AE2914" i="5"/>
  <c r="AE183" i="5"/>
  <c r="AE2304" i="5"/>
  <c r="AE3039" i="5"/>
  <c r="AE3010" i="5"/>
  <c r="AE84" i="5"/>
  <c r="AE2977" i="5"/>
  <c r="AE234" i="5"/>
  <c r="AE1185" i="5"/>
  <c r="AE1276" i="5"/>
  <c r="AE313" i="5"/>
  <c r="AE2269" i="5"/>
  <c r="AE85" i="5"/>
  <c r="AE2250" i="5"/>
  <c r="AE118" i="5"/>
  <c r="AE1299" i="5"/>
  <c r="AE2915" i="5"/>
  <c r="AE2223" i="5"/>
  <c r="AE290" i="5"/>
  <c r="AE86" i="5"/>
  <c r="AE87" i="5"/>
  <c r="AE235" i="5"/>
  <c r="AE3027" i="5"/>
  <c r="AE291" i="5"/>
  <c r="AE88" i="5"/>
  <c r="AE2251" i="5"/>
  <c r="AE2937" i="5"/>
  <c r="AE203" i="5"/>
  <c r="AE3028" i="5"/>
  <c r="AE3011" i="5"/>
  <c r="AE3012" i="5"/>
  <c r="AE1149" i="5"/>
  <c r="AE2828" i="5"/>
  <c r="AE163" i="5"/>
  <c r="AE292" i="5"/>
  <c r="AE89" i="5"/>
  <c r="AE246" i="5"/>
  <c r="AE231" i="5"/>
  <c r="AE164" i="5"/>
  <c r="AE293" i="5"/>
  <c r="AE2779" i="5"/>
  <c r="AE2818" i="5"/>
  <c r="AE247" i="5"/>
  <c r="AE165" i="5"/>
  <c r="AE294" i="5"/>
  <c r="AE2780" i="5"/>
  <c r="AE268" i="5"/>
  <c r="AE2978" i="5"/>
  <c r="AE3013" i="5"/>
  <c r="AE2781" i="5"/>
  <c r="AE2819" i="5"/>
  <c r="AE1326" i="5"/>
  <c r="AE2979" i="5"/>
  <c r="AE2288" i="5"/>
  <c r="AE3014" i="5"/>
  <c r="AE1150" i="5"/>
  <c r="AE1179" i="5"/>
  <c r="AE2820" i="5"/>
  <c r="AE2821" i="5"/>
  <c r="AE112" i="5"/>
  <c r="AE2822" i="5"/>
  <c r="AE248" i="5"/>
  <c r="AE295" i="5"/>
  <c r="AE1151" i="5"/>
  <c r="AE2823" i="5"/>
  <c r="AE1180" i="5"/>
  <c r="AE1181" i="5"/>
  <c r="AE114" i="5"/>
  <c r="AE115" i="5"/>
  <c r="AE2980" i="5"/>
  <c r="AE2916" i="5"/>
  <c r="AE90" i="5"/>
  <c r="AE2949" i="5"/>
  <c r="AE249" i="5"/>
  <c r="AE119" i="5"/>
  <c r="AE2270" i="5"/>
  <c r="AE2782" i="5"/>
  <c r="AE2950" i="5"/>
  <c r="AE232" i="5"/>
  <c r="AE2981" i="5"/>
  <c r="AE3015" i="5"/>
  <c r="AE1152" i="5"/>
  <c r="AE3040" i="5"/>
  <c r="AE1310" i="5"/>
  <c r="AE2982" i="5"/>
  <c r="AE1186" i="5"/>
  <c r="AE1277" i="5"/>
  <c r="AE296" i="5"/>
  <c r="AE91" i="5"/>
  <c r="AE2951" i="5"/>
  <c r="AE2952" i="5"/>
  <c r="AE2953" i="5"/>
  <c r="AE2289" i="5"/>
  <c r="AE2954" i="5"/>
  <c r="AE2955" i="5"/>
  <c r="AE2839" i="5"/>
  <c r="AE3041" i="5"/>
  <c r="AE2956" i="5"/>
  <c r="AE2840" i="5"/>
  <c r="AE2983" i="5"/>
  <c r="AE2829" i="5"/>
  <c r="AE1278" i="5"/>
  <c r="AE3016" i="5"/>
  <c r="AE1153" i="5"/>
  <c r="AE1311" i="5"/>
  <c r="AE1182" i="5"/>
  <c r="AE2841" i="5"/>
  <c r="AE2957" i="5"/>
  <c r="AE2842" i="5"/>
  <c r="AE1312" i="5"/>
  <c r="AE116" i="5"/>
  <c r="AE1200" i="5"/>
  <c r="AE1201" i="5"/>
  <c r="AE2290" i="5"/>
  <c r="AE2843" i="5"/>
  <c r="AE2984" i="5"/>
  <c r="AE120" i="5"/>
  <c r="AE297" i="5"/>
  <c r="AE2783" i="5"/>
  <c r="AE2844" i="5"/>
  <c r="AE1202" i="5"/>
  <c r="AE1183" i="5"/>
  <c r="AE2845" i="5"/>
  <c r="AE1184" i="5"/>
  <c r="AE2846" i="5"/>
  <c r="AE1203" i="5"/>
  <c r="AE3042" i="5"/>
  <c r="AE117" i="5"/>
  <c r="AE1204" i="5"/>
  <c r="AE3043" i="5"/>
  <c r="AE132" i="5"/>
  <c r="AE1205" i="5"/>
  <c r="AE2847" i="5"/>
  <c r="AE2314" i="5"/>
  <c r="AE2993" i="5"/>
  <c r="AE2994" i="5"/>
  <c r="AE3044" i="5"/>
  <c r="AE260" i="5"/>
  <c r="AE298" i="5"/>
  <c r="AE1318" i="5"/>
  <c r="AE3045" i="5"/>
  <c r="AE133" i="5"/>
  <c r="AE314" i="5"/>
  <c r="AE1319" i="5"/>
  <c r="AE2848" i="5"/>
  <c r="AE2291" i="5"/>
  <c r="AE1313" i="5"/>
  <c r="AE2292" i="5"/>
  <c r="AE1321" i="5"/>
  <c r="AE1206" i="5"/>
  <c r="AE2293" i="5"/>
  <c r="AE92" i="5"/>
  <c r="AE2995" i="5"/>
  <c r="AE2294" i="5"/>
  <c r="AE2810" i="5"/>
  <c r="AE2877" i="5"/>
  <c r="AE2849" i="5"/>
  <c r="AE2811" i="5"/>
  <c r="AE1236" i="5"/>
  <c r="AE315" i="5"/>
  <c r="AE2812" i="5"/>
  <c r="AE1237" i="5"/>
  <c r="AE316" i="5"/>
  <c r="AE261" i="5"/>
  <c r="AE1173" i="5"/>
  <c r="AE2905" i="5"/>
  <c r="AE2878" i="5"/>
  <c r="AE1207" i="5"/>
  <c r="AE317" i="5"/>
  <c r="AE1322" i="5"/>
  <c r="AE196" i="5"/>
  <c r="AE1238" i="5"/>
  <c r="AE3046" i="5"/>
  <c r="AE2256" i="5"/>
  <c r="AE262" i="5"/>
  <c r="AE1263" i="5"/>
  <c r="AE1239" i="5"/>
  <c r="AE2295" i="5"/>
  <c r="AE2906" i="5"/>
  <c r="AE2879" i="5"/>
  <c r="AE2296" i="5"/>
  <c r="AE1264" i="5"/>
  <c r="AE1240" i="5"/>
  <c r="AE3047" i="5"/>
  <c r="AE1330" i="5"/>
  <c r="AE1323" i="5"/>
  <c r="AE197" i="5"/>
  <c r="AE1241" i="5"/>
  <c r="AE2297" i="5"/>
  <c r="AE3001" i="5"/>
  <c r="AE2784" i="5"/>
  <c r="AE263" i="5"/>
  <c r="AE2907" i="5"/>
  <c r="AE2880" i="5"/>
  <c r="AE1208" i="5"/>
  <c r="AE3048" i="5"/>
  <c r="AE1331" i="5"/>
  <c r="AE198" i="5"/>
  <c r="AE2881" i="5"/>
  <c r="AE2917" i="5"/>
  <c r="AE2908" i="5"/>
  <c r="AE2882" i="5"/>
  <c r="AE3002" i="5"/>
  <c r="AE1265" i="5"/>
  <c r="AE134" i="5"/>
  <c r="AE274" i="5"/>
  <c r="AE269" i="5"/>
  <c r="AE1279" i="5"/>
  <c r="AE199" i="5"/>
  <c r="AE2883" i="5"/>
  <c r="AE135" i="5"/>
  <c r="AE3049" i="5"/>
  <c r="AE1332" i="5"/>
  <c r="AE2257" i="5"/>
  <c r="AE200" i="5"/>
  <c r="AE2884" i="5"/>
  <c r="AE1209" i="5"/>
  <c r="AE1333" i="5"/>
  <c r="AE123" i="5"/>
  <c r="AE1266" i="5"/>
  <c r="AE2885" i="5"/>
  <c r="AE1210" i="5"/>
  <c r="AE318" i="5"/>
  <c r="AE1334" i="5"/>
  <c r="AE2832" i="5"/>
  <c r="AE1242" i="5"/>
  <c r="AE2850" i="5"/>
  <c r="AE1335" i="5"/>
  <c r="AE2886" i="5"/>
  <c r="AE136" i="5"/>
  <c r="AE319" i="5"/>
  <c r="AE275" i="5"/>
  <c r="AE2258" i="5"/>
  <c r="AE2887" i="5"/>
  <c r="AE137" i="5"/>
  <c r="AE127" i="5"/>
  <c r="AE2271" i="5"/>
  <c r="AE2259" i="5"/>
  <c r="AE2888" i="5"/>
  <c r="AE1211" i="5"/>
  <c r="AE320" i="5"/>
  <c r="AE2272" i="5"/>
  <c r="AE2260" i="5"/>
  <c r="AE1243" i="5"/>
  <c r="AE2851" i="5"/>
  <c r="AE321" i="5"/>
  <c r="AE299" i="5"/>
  <c r="AE2997" i="5"/>
  <c r="AE1212" i="5"/>
  <c r="AE270" i="5"/>
  <c r="AE264" i="5"/>
  <c r="AE1244" i="5"/>
  <c r="AE2871" i="5"/>
  <c r="AE1213" i="5"/>
  <c r="AE2998" i="5"/>
  <c r="AE2985" i="5"/>
  <c r="AE2889" i="5"/>
  <c r="AE1214" i="5"/>
  <c r="AE1195" i="5"/>
  <c r="AE3017" i="5"/>
  <c r="AE276" i="5"/>
  <c r="AE250" i="5"/>
  <c r="AE124" i="5"/>
  <c r="AE3018" i="5"/>
  <c r="AE1324" i="5"/>
  <c r="AE2986" i="5"/>
  <c r="AE2833" i="5"/>
  <c r="AE2890" i="5"/>
  <c r="AE2216" i="5"/>
  <c r="AE265" i="5"/>
  <c r="AE251" i="5"/>
  <c r="AE2242" i="5"/>
  <c r="AE1245" i="5"/>
  <c r="AE138" i="5"/>
  <c r="AE266" i="5"/>
  <c r="AE252" i="5"/>
  <c r="AE125" i="5"/>
  <c r="AE1246" i="5"/>
  <c r="AE2298" i="5"/>
  <c r="AE2987" i="5"/>
  <c r="AE2935" i="5"/>
  <c r="AE2891" i="5"/>
  <c r="AE3063" i="5"/>
  <c r="AE3050" i="5"/>
  <c r="AE1336" i="5"/>
  <c r="AE2785" i="5"/>
  <c r="AE2261" i="5"/>
  <c r="AE2988" i="5"/>
  <c r="AE1288" i="5"/>
  <c r="AE139" i="5"/>
  <c r="AE329" i="5"/>
  <c r="AE1342" i="5"/>
  <c r="AE253" i="5"/>
  <c r="AE210" i="5"/>
  <c r="AE207" i="5"/>
  <c r="AE1215" i="5"/>
  <c r="AE3064" i="5"/>
  <c r="AE322" i="5"/>
  <c r="AE3003" i="5"/>
  <c r="AE254" i="5"/>
  <c r="AE1286" i="5"/>
  <c r="AE2305" i="5"/>
  <c r="AE323" i="5"/>
  <c r="AE277" i="5"/>
  <c r="AE2989" i="5"/>
  <c r="AE2830" i="5"/>
  <c r="AE211" i="5"/>
  <c r="AE208" i="5"/>
  <c r="AE140" i="5"/>
  <c r="AE128" i="5"/>
  <c r="AE3065" i="5"/>
  <c r="AE1343" i="5"/>
  <c r="AE3029" i="5"/>
  <c r="AE278" i="5"/>
  <c r="AE255" i="5"/>
  <c r="AE109" i="5"/>
  <c r="AE2927" i="5"/>
  <c r="AE184" i="5"/>
  <c r="AE1216" i="5"/>
  <c r="AE2306" i="5"/>
  <c r="AE2299" i="5"/>
  <c r="AE2990" i="5"/>
  <c r="AE1174" i="5"/>
  <c r="AE212" i="5"/>
  <c r="AE1280" i="5"/>
  <c r="AE2852" i="5"/>
  <c r="AE256" i="5"/>
  <c r="AE2813" i="5"/>
  <c r="AE2924" i="5"/>
  <c r="AE2918" i="5"/>
  <c r="AE1256" i="5"/>
  <c r="AE141" i="5"/>
  <c r="AE330" i="5"/>
  <c r="AE324" i="5"/>
  <c r="AE1337" i="5"/>
  <c r="AE2991" i="5"/>
  <c r="AE1175" i="5"/>
  <c r="AE2928" i="5"/>
  <c r="AE209" i="5"/>
  <c r="AE1281" i="5"/>
  <c r="AE1257" i="5"/>
  <c r="AE142" i="5"/>
  <c r="AE3066" i="5"/>
  <c r="AE2300" i="5"/>
  <c r="AE279" i="5"/>
  <c r="AE2262" i="5"/>
  <c r="AE257" i="5"/>
  <c r="AE2814" i="5"/>
  <c r="AE2925" i="5"/>
  <c r="AE204" i="5"/>
  <c r="AE1258" i="5"/>
  <c r="AE1196" i="5"/>
  <c r="AE3067" i="5"/>
  <c r="AE325" i="5"/>
  <c r="AE280" i="5"/>
  <c r="AE258" i="5"/>
  <c r="AE1176" i="5"/>
  <c r="AE2929" i="5"/>
  <c r="AE2919" i="5"/>
  <c r="AE193" i="5"/>
  <c r="AE2307" i="5"/>
  <c r="AE3051" i="5"/>
  <c r="AE281" i="5"/>
  <c r="AE93" i="5"/>
  <c r="AE271" i="5"/>
  <c r="AE2815" i="5"/>
  <c r="AE2930" i="5"/>
  <c r="AE1282" i="5"/>
  <c r="AE176" i="5"/>
  <c r="AE2853" i="5"/>
  <c r="AE1350" i="5"/>
  <c r="AE1344" i="5"/>
  <c r="AE272" i="5"/>
  <c r="AE2816" i="5"/>
  <c r="AE213" i="5"/>
  <c r="AE2920" i="5"/>
  <c r="AE2874" i="5"/>
  <c r="AE177" i="5"/>
  <c r="AE2308" i="5"/>
  <c r="AE3052" i="5"/>
  <c r="AE3030" i="5"/>
  <c r="AE2999" i="5"/>
  <c r="AE2214" i="5"/>
  <c r="AE110" i="5"/>
  <c r="AE214" i="5"/>
  <c r="AE205" i="5"/>
  <c r="AE2912" i="5"/>
  <c r="AE2897" i="5"/>
  <c r="AE2872" i="5"/>
  <c r="AE129" i="5"/>
  <c r="AE306" i="5"/>
  <c r="AE1177" i="5"/>
  <c r="AE215" i="5"/>
  <c r="AE1283" i="5"/>
  <c r="AE178" i="5"/>
  <c r="AE170" i="5"/>
  <c r="AE143" i="5"/>
  <c r="AE2264" i="5"/>
  <c r="AE1191" i="5"/>
  <c r="AE111" i="5"/>
  <c r="AE216" i="5"/>
  <c r="AE1248" i="5"/>
  <c r="AE179" i="5"/>
  <c r="AE2865" i="5"/>
  <c r="AE144" i="5"/>
  <c r="AE1327" i="5"/>
  <c r="AE2817" i="5"/>
  <c r="AE1249" i="5"/>
  <c r="AE1328" i="5"/>
  <c r="AE1259" i="5"/>
  <c r="AE1250" i="5"/>
  <c r="AE145" i="5"/>
  <c r="AE94" i="5"/>
  <c r="AE273" i="5"/>
  <c r="AE1251" i="5"/>
  <c r="AE2854" i="5"/>
  <c r="AE1154" i="5"/>
  <c r="AE3000" i="5"/>
  <c r="AE1155" i="5"/>
  <c r="AE2265" i="5"/>
  <c r="AE236" i="5"/>
  <c r="AE1178" i="5"/>
  <c r="AE2893" i="5"/>
  <c r="AE2855" i="5"/>
  <c r="AE1197" i="5"/>
  <c r="AE1156" i="5"/>
  <c r="AE2786" i="5"/>
  <c r="AE1325" i="5"/>
  <c r="AE2964" i="5"/>
  <c r="AE2787" i="5"/>
  <c r="AE2266" i="5"/>
  <c r="AE267" i="5"/>
  <c r="AE2252" i="5"/>
  <c r="AE1300" i="5"/>
  <c r="AE1252" i="5"/>
  <c r="AE2200" i="5"/>
  <c r="AE95" i="5"/>
  <c r="AE1329" i="5"/>
  <c r="AE1315" i="5"/>
  <c r="AE2938" i="5"/>
  <c r="AE1253" i="5"/>
  <c r="AE2796" i="5"/>
  <c r="AE1217" i="5"/>
  <c r="AE1198" i="5"/>
  <c r="AE96" i="5"/>
  <c r="AE2267" i="5"/>
  <c r="AE2253" i="5"/>
  <c r="AE1301" i="5"/>
  <c r="AE2894" i="5"/>
  <c r="AE1164" i="5"/>
  <c r="AE1218" i="5"/>
  <c r="AE97" i="5"/>
  <c r="AE2965" i="5"/>
  <c r="AE2939" i="5"/>
  <c r="AE1165" i="5"/>
  <c r="AE146" i="5"/>
  <c r="AE1351" i="5"/>
  <c r="AE2788" i="5"/>
  <c r="AE2966" i="5"/>
  <c r="AE2940" i="5"/>
  <c r="AE1293" i="5"/>
  <c r="AE2797" i="5"/>
  <c r="AE1224" i="5"/>
  <c r="AE2856" i="5"/>
  <c r="AE2309" i="5"/>
  <c r="AE98" i="5"/>
  <c r="AE2967" i="5"/>
  <c r="AE1302" i="5"/>
  <c r="AE2895" i="5"/>
  <c r="AE2201" i="5"/>
  <c r="AE1225" i="5"/>
  <c r="AE147" i="5"/>
  <c r="AE1352" i="5"/>
  <c r="AE2789" i="5"/>
  <c r="AE2254" i="5"/>
  <c r="AE225" i="5"/>
  <c r="AE2798" i="5"/>
  <c r="AE2224" i="5"/>
  <c r="AE1219" i="5"/>
  <c r="AE130" i="5"/>
  <c r="AE331" i="5"/>
  <c r="AE2310" i="5"/>
  <c r="AE3004" i="5"/>
  <c r="AE2790" i="5"/>
  <c r="AE226" i="5"/>
  <c r="AE2799" i="5"/>
  <c r="AE148" i="5"/>
  <c r="AE2217" i="5"/>
  <c r="AE1353" i="5"/>
  <c r="AE282" i="5"/>
  <c r="AE1157" i="5"/>
  <c r="AE227" i="5"/>
  <c r="AE220" i="5"/>
  <c r="AE1166" i="5"/>
  <c r="AE1231" i="5"/>
  <c r="AE1220" i="5"/>
  <c r="AE2218" i="5"/>
  <c r="AE2311" i="5"/>
  <c r="AE3005" i="5"/>
  <c r="AE2791" i="5"/>
  <c r="AE2941" i="5"/>
  <c r="AE221" i="5"/>
  <c r="AE1260" i="5"/>
  <c r="AE2202" i="5"/>
  <c r="AE180" i="5"/>
  <c r="AE2857" i="5"/>
  <c r="AE1354" i="5"/>
  <c r="AE2273" i="5"/>
  <c r="AE1338" i="5"/>
  <c r="AE99" i="5"/>
  <c r="AE1303" i="5"/>
  <c r="AE1294" i="5"/>
  <c r="AE2931" i="5"/>
  <c r="AE2909" i="5"/>
  <c r="AE2800" i="5"/>
  <c r="AE2866" i="5"/>
  <c r="AE149" i="5"/>
  <c r="AE2315" i="5"/>
  <c r="AE2312" i="5"/>
  <c r="AE2274" i="5"/>
  <c r="AE1339" i="5"/>
  <c r="AE1158" i="5"/>
  <c r="AE2942" i="5"/>
  <c r="AE2932" i="5"/>
  <c r="AE2898" i="5"/>
  <c r="AE2203" i="5"/>
  <c r="AE2875" i="5"/>
  <c r="AE171" i="5"/>
  <c r="AE1221" i="5"/>
  <c r="AE3068" i="5"/>
  <c r="AE300" i="5"/>
  <c r="AE3006" i="5"/>
  <c r="AE1159" i="5"/>
  <c r="AE1304" i="5"/>
  <c r="AE1295" i="5"/>
  <c r="AE217" i="5"/>
  <c r="AE1268" i="5"/>
  <c r="AE2899" i="5"/>
  <c r="AE1167" i="5"/>
  <c r="AE172" i="5"/>
  <c r="AE158" i="5"/>
  <c r="AE332" i="5"/>
  <c r="AE3069" i="5"/>
  <c r="AE3031" i="5"/>
  <c r="AE3007" i="5"/>
  <c r="AE1160" i="5"/>
  <c r="AE2943" i="5"/>
  <c r="AE222" i="5"/>
  <c r="AE1289" i="5"/>
  <c r="AE1269" i="5"/>
  <c r="AE2900" i="5"/>
  <c r="AE2204" i="5"/>
  <c r="AE185" i="5"/>
  <c r="AE2867" i="5"/>
  <c r="AE2861" i="5"/>
  <c r="AE150" i="5"/>
  <c r="AE2316" i="5"/>
  <c r="AE2313" i="5"/>
  <c r="AE1345" i="5"/>
  <c r="AE2284" i="5"/>
  <c r="AE283" i="5"/>
  <c r="AE1305" i="5"/>
  <c r="AE1296" i="5"/>
  <c r="AE2910" i="5"/>
  <c r="AE2205" i="5"/>
  <c r="AE1234" i="5"/>
  <c r="AE2237" i="5"/>
  <c r="AE151" i="5"/>
  <c r="AE3070" i="5"/>
  <c r="AE3055" i="5"/>
  <c r="AE307" i="5"/>
  <c r="AE2275" i="5"/>
  <c r="AE1306" i="5"/>
  <c r="AE2933" i="5"/>
  <c r="AE1270" i="5"/>
  <c r="AE2901" i="5"/>
  <c r="AE1254" i="5"/>
  <c r="AE2801" i="5"/>
  <c r="AE159" i="5"/>
  <c r="AE2317" i="5"/>
  <c r="AE3056" i="5"/>
  <c r="AE308" i="5"/>
  <c r="AE3019" i="5"/>
  <c r="AE2944" i="5"/>
  <c r="AE1290" i="5"/>
  <c r="AE1271" i="5"/>
  <c r="AE1261" i="5"/>
  <c r="AE2206" i="5"/>
  <c r="AE2862" i="5"/>
  <c r="AE1222" i="5"/>
  <c r="AE333" i="5"/>
  <c r="AE3057" i="5"/>
  <c r="AE301" i="5"/>
  <c r="AE1340" i="5"/>
  <c r="AE1307" i="5"/>
  <c r="AE218" i="5"/>
  <c r="AE1272" i="5"/>
  <c r="AE186" i="5"/>
  <c r="AE2802" i="5"/>
  <c r="AE2868" i="5"/>
  <c r="AE1226" i="5"/>
  <c r="AE1223" i="5"/>
  <c r="AE2837" i="5"/>
  <c r="AE1346" i="5"/>
  <c r="AE3032" i="5"/>
  <c r="AE284" i="5"/>
  <c r="AE2945" i="5"/>
  <c r="AE2911" i="5"/>
  <c r="AE2902" i="5"/>
  <c r="AE187" i="5"/>
  <c r="AE2803" i="5"/>
  <c r="AE173" i="5"/>
  <c r="AE2794" i="5"/>
  <c r="AE2318" i="5"/>
  <c r="AE2285" i="5"/>
  <c r="AE3008" i="5"/>
  <c r="AE1161" i="5"/>
  <c r="AE126" i="5"/>
  <c r="AE201" i="5"/>
  <c r="AE2903" i="5"/>
  <c r="AE188" i="5"/>
  <c r="AE2804" i="5"/>
  <c r="AE174" i="5"/>
  <c r="AE166" i="5"/>
  <c r="AE103" i="5"/>
  <c r="AE1227" i="5"/>
  <c r="AE2858" i="5"/>
  <c r="AE2219" i="5"/>
  <c r="AE2319" i="5"/>
  <c r="AE3053" i="5"/>
  <c r="AE3033" i="5"/>
  <c r="AE2276" i="5"/>
  <c r="AE285" i="5"/>
  <c r="AE1192" i="5"/>
  <c r="AE1308" i="5"/>
  <c r="AE1273" i="5"/>
  <c r="AE2904" i="5"/>
  <c r="AE189" i="5"/>
  <c r="AE1168" i="5"/>
  <c r="AE175" i="5"/>
  <c r="AE2230" i="5"/>
  <c r="AE2199" i="5"/>
  <c r="AE160" i="5"/>
  <c r="AE3034" i="5"/>
  <c r="AE2277" i="5"/>
  <c r="AE3009" i="5"/>
  <c r="AE1309" i="5"/>
  <c r="AE1274" i="5"/>
  <c r="AE190" i="5"/>
  <c r="AE1247" i="5"/>
  <c r="AE2876" i="5"/>
  <c r="AE2869" i="5"/>
  <c r="AE167" i="5"/>
  <c r="AE161" i="5"/>
  <c r="AE3035" i="5"/>
  <c r="AE2278" i="5"/>
  <c r="AE1341" i="5"/>
  <c r="AE2255" i="5"/>
  <c r="AE2834" i="5"/>
  <c r="AE2946" i="5"/>
  <c r="AE2243" i="5"/>
  <c r="AE194" i="5"/>
  <c r="AE2896" i="5"/>
  <c r="AE1169" i="5"/>
  <c r="AE2231" i="5"/>
  <c r="AE2863" i="5"/>
  <c r="AE152" i="5"/>
  <c r="AE1199" i="5"/>
  <c r="AE3071" i="5"/>
  <c r="AE3020" i="5"/>
  <c r="AE286" i="5"/>
  <c r="AE2947" i="5"/>
  <c r="AE2934" i="5"/>
  <c r="AE195" i="5"/>
  <c r="AE2207" i="5"/>
  <c r="AE168" i="5"/>
  <c r="AE2795" i="5"/>
  <c r="AE1228" i="5"/>
  <c r="AE2859" i="5"/>
  <c r="AE2220" i="5"/>
  <c r="AE3054" i="5"/>
  <c r="AE287" i="5"/>
  <c r="AE1291" i="5"/>
  <c r="AE1262" i="5"/>
  <c r="AE2208" i="5"/>
  <c r="AE2232" i="5"/>
  <c r="AE1229" i="5"/>
  <c r="AE2301" i="5"/>
  <c r="AE3021" i="5"/>
  <c r="AE288" i="5"/>
  <c r="AE2892" i="5"/>
  <c r="AE2209" i="5"/>
  <c r="AE2233" i="5"/>
  <c r="AE2225" i="5"/>
  <c r="AE153" i="5"/>
  <c r="AE131" i="5"/>
  <c r="AE3022" i="5"/>
  <c r="AE2249" i="5"/>
  <c r="AE228" i="5"/>
  <c r="AE2244" i="5"/>
  <c r="AE191" i="5"/>
  <c r="AE2234" i="5"/>
  <c r="AE2226" i="5"/>
  <c r="AE154" i="5"/>
  <c r="AE3023" i="5"/>
  <c r="AE233" i="5"/>
  <c r="AE229" i="5"/>
  <c r="AE1255" i="5"/>
  <c r="AE1170" i="5"/>
  <c r="AE2870" i="5"/>
  <c r="AE169" i="5"/>
  <c r="AE1230" i="5"/>
  <c r="AE2302" i="5"/>
  <c r="AE2279" i="5"/>
  <c r="AE2992" i="5"/>
  <c r="AE1316" i="5"/>
  <c r="AE1193" i="5"/>
  <c r="AE2963" i="5"/>
  <c r="AE2948" i="5"/>
  <c r="AE1292" i="5"/>
  <c r="AE2926" i="5"/>
  <c r="AE192" i="5"/>
  <c r="AE2238" i="5"/>
  <c r="AE2235" i="5"/>
  <c r="AE302" i="5"/>
  <c r="AE100" i="5"/>
  <c r="AE2792" i="5"/>
  <c r="AE1620" i="5"/>
  <c r="AE3308" i="5"/>
  <c r="AE579" i="5"/>
  <c r="AE2388" i="5"/>
  <c r="AE494" i="5"/>
  <c r="AE446" i="5"/>
  <c r="AE390" i="5"/>
  <c r="AE2339" i="5"/>
  <c r="AE374" i="5"/>
  <c r="AE719" i="5"/>
  <c r="AE687" i="5"/>
  <c r="AE1662" i="5"/>
  <c r="AE2477" i="5"/>
  <c r="AE3072" i="5"/>
  <c r="AE3350" i="5"/>
  <c r="AE580" i="5"/>
  <c r="AE3263" i="5"/>
  <c r="AE506" i="5"/>
  <c r="AE2375" i="5"/>
  <c r="AE1434" i="5"/>
  <c r="AE2329" i="5"/>
  <c r="AE1401" i="5"/>
  <c r="AE2494" i="5"/>
  <c r="AE3449" i="5"/>
  <c r="AE3424" i="5"/>
  <c r="AE658" i="5"/>
  <c r="AE358" i="5"/>
  <c r="AE3271" i="5"/>
  <c r="AE2400" i="5"/>
  <c r="AE2389" i="5"/>
  <c r="AE3191" i="5"/>
  <c r="AE1459" i="5"/>
  <c r="AE1411" i="5"/>
  <c r="AE2348" i="5"/>
  <c r="AE2330" i="5"/>
  <c r="AE3103" i="5"/>
  <c r="AE2478" i="5"/>
  <c r="AE2466" i="5"/>
  <c r="AE3205" i="5"/>
  <c r="AE1466" i="5"/>
  <c r="AE507" i="5"/>
  <c r="AE447" i="5"/>
  <c r="AE2331" i="5"/>
  <c r="AE3104" i="5"/>
  <c r="AE2495" i="5"/>
  <c r="AE2479" i="5"/>
  <c r="AE2469" i="5"/>
  <c r="AE1625" i="5"/>
  <c r="AE3351" i="5"/>
  <c r="AE3309" i="5"/>
  <c r="AE581" i="5"/>
  <c r="AE2423" i="5"/>
  <c r="AE541" i="5"/>
  <c r="AE3231" i="5"/>
  <c r="AE518" i="5"/>
  <c r="AE3192" i="5"/>
  <c r="AE2376" i="5"/>
  <c r="AE448" i="5"/>
  <c r="AE431" i="5"/>
  <c r="AE3078" i="5"/>
  <c r="AE414" i="5"/>
  <c r="AE3134" i="5"/>
  <c r="AE2332" i="5"/>
  <c r="AE2496" i="5"/>
  <c r="AE706" i="5"/>
  <c r="AE688" i="5"/>
  <c r="AE612" i="5"/>
  <c r="AE359" i="5"/>
  <c r="AE3352" i="5"/>
  <c r="AE3286" i="5"/>
  <c r="AE2424" i="5"/>
  <c r="AE526" i="5"/>
  <c r="AE3193" i="5"/>
  <c r="AE1460" i="5"/>
  <c r="AE2377" i="5"/>
  <c r="AE415" i="5"/>
  <c r="AE2349" i="5"/>
  <c r="AE2333" i="5"/>
  <c r="AE2328" i="5"/>
  <c r="AE2467" i="5"/>
  <c r="AE3382" i="5"/>
  <c r="AE3272" i="5"/>
  <c r="AE2401" i="5"/>
  <c r="AE2378" i="5"/>
  <c r="AE3176" i="5"/>
  <c r="AE2350" i="5"/>
  <c r="AE2334" i="5"/>
  <c r="AE372" i="5"/>
  <c r="AE720" i="5"/>
  <c r="AE707" i="5"/>
  <c r="AE3383" i="5"/>
  <c r="AE3310" i="5"/>
  <c r="AE582" i="5"/>
  <c r="AE2402" i="5"/>
  <c r="AE542" i="5"/>
  <c r="AE527" i="5"/>
  <c r="AE1467" i="5"/>
  <c r="AE2335" i="5"/>
  <c r="AE2497" i="5"/>
  <c r="AE708" i="5"/>
  <c r="AE1647" i="5"/>
  <c r="AE3094" i="5"/>
  <c r="AE3393" i="5"/>
  <c r="AE3311" i="5"/>
  <c r="AE583" i="5"/>
  <c r="AE2425" i="5"/>
  <c r="AE3264" i="5"/>
  <c r="AE3232" i="5"/>
  <c r="AE495" i="5"/>
  <c r="AE464" i="5"/>
  <c r="AE452" i="5"/>
  <c r="AE3169" i="5"/>
  <c r="AE3079" i="5"/>
  <c r="AE416" i="5"/>
  <c r="AE2351" i="5"/>
  <c r="AE2340" i="5"/>
  <c r="AE3456" i="5"/>
  <c r="AE709" i="5"/>
  <c r="AE702" i="5"/>
  <c r="AE1663" i="5"/>
  <c r="AE362" i="5"/>
  <c r="AE3353" i="5"/>
  <c r="AE2403" i="5"/>
  <c r="AE1474" i="5"/>
  <c r="AE465" i="5"/>
  <c r="AE3163" i="5"/>
  <c r="AE3144" i="5"/>
  <c r="AE400" i="5"/>
  <c r="AE391" i="5"/>
  <c r="AE3130" i="5"/>
  <c r="AE1390" i="5"/>
  <c r="AE1591" i="5"/>
  <c r="AE3377" i="5"/>
  <c r="AE608" i="5"/>
  <c r="AE3367" i="5"/>
  <c r="AE3331" i="5"/>
  <c r="AE603" i="5"/>
  <c r="AE1572" i="5"/>
  <c r="AE3294" i="5"/>
  <c r="AE584" i="5"/>
  <c r="AE3283" i="5"/>
  <c r="AE570" i="5"/>
  <c r="AE1552" i="5"/>
  <c r="AE1546" i="5"/>
  <c r="AE3209" i="5"/>
  <c r="AE731" i="5"/>
  <c r="AE1355" i="5"/>
  <c r="AE683" i="5"/>
  <c r="AE3401" i="5"/>
  <c r="AE2447" i="5"/>
  <c r="AE2426" i="5"/>
  <c r="AE1468" i="5"/>
  <c r="AE496" i="5"/>
  <c r="AE466" i="5"/>
  <c r="AE432" i="5"/>
  <c r="AE3137" i="5"/>
  <c r="AE1750" i="5"/>
  <c r="AE2498" i="5"/>
  <c r="AE1664" i="5"/>
  <c r="AE3402" i="5"/>
  <c r="AE617" i="5"/>
  <c r="AE3312" i="5"/>
  <c r="AE1565" i="5"/>
  <c r="AE2427" i="5"/>
  <c r="AE2404" i="5"/>
  <c r="AE3194" i="5"/>
  <c r="AE497" i="5"/>
  <c r="AE467" i="5"/>
  <c r="AE1423" i="5"/>
  <c r="AE433" i="5"/>
  <c r="AE3150" i="5"/>
  <c r="AE2352" i="5"/>
  <c r="AE3074" i="5"/>
  <c r="AE1402" i="5"/>
  <c r="AE689" i="5"/>
  <c r="AE3224" i="5"/>
  <c r="AE3384" i="5"/>
  <c r="AE1566" i="5"/>
  <c r="AE484" i="5"/>
  <c r="AE3170" i="5"/>
  <c r="AE401" i="5"/>
  <c r="AE1404" i="5"/>
  <c r="AE392" i="5"/>
  <c r="AE334" i="5"/>
  <c r="AE375" i="5"/>
  <c r="AE3444" i="5"/>
  <c r="AE2448" i="5"/>
  <c r="AE3313" i="5"/>
  <c r="AE2428" i="5"/>
  <c r="AE1461" i="5"/>
  <c r="AE498" i="5"/>
  <c r="AE1455" i="5"/>
  <c r="AE2326" i="5"/>
  <c r="AE721" i="5"/>
  <c r="AE710" i="5"/>
  <c r="AE1648" i="5"/>
  <c r="AE662" i="5"/>
  <c r="AE1613" i="5"/>
  <c r="AE2449" i="5"/>
  <c r="AE3322" i="5"/>
  <c r="AE1567" i="5"/>
  <c r="AE2429" i="5"/>
  <c r="AE3213" i="5"/>
  <c r="AE1484" i="5"/>
  <c r="AE2379" i="5"/>
  <c r="AE3151" i="5"/>
  <c r="AE2341" i="5"/>
  <c r="AE3120" i="5"/>
  <c r="AE3099" i="5"/>
  <c r="AE717" i="5"/>
  <c r="AE1665" i="5"/>
  <c r="AE3225" i="5"/>
  <c r="AE618" i="5"/>
  <c r="AE2464" i="5"/>
  <c r="AE3385" i="5"/>
  <c r="AE3314" i="5"/>
  <c r="AE585" i="5"/>
  <c r="AE2430" i="5"/>
  <c r="AE543" i="5"/>
  <c r="AE538" i="5"/>
  <c r="AE528" i="5"/>
  <c r="AE499" i="5"/>
  <c r="AE1456" i="5"/>
  <c r="AE437" i="5"/>
  <c r="AE1364" i="5"/>
  <c r="AE684" i="5"/>
  <c r="AE1626" i="5"/>
  <c r="AE3403" i="5"/>
  <c r="AE3394" i="5"/>
  <c r="AE2450" i="5"/>
  <c r="AE2431" i="5"/>
  <c r="AE2405" i="5"/>
  <c r="AE453" i="5"/>
  <c r="AE1424" i="5"/>
  <c r="AE427" i="5"/>
  <c r="AE3145" i="5"/>
  <c r="AE1365" i="5"/>
  <c r="AE2499" i="5"/>
  <c r="AE1666" i="5"/>
  <c r="AE3315" i="5"/>
  <c r="AE3287" i="5"/>
  <c r="AE512" i="5"/>
  <c r="AE1469" i="5"/>
  <c r="AE1425" i="5"/>
  <c r="AE335" i="5"/>
  <c r="AE3105" i="5"/>
  <c r="AE3457" i="5"/>
  <c r="AE1719" i="5"/>
  <c r="AE1644" i="5"/>
  <c r="AE663" i="5"/>
  <c r="AE3404" i="5"/>
  <c r="AE1602" i="5"/>
  <c r="AE3386" i="5"/>
  <c r="AE3354" i="5"/>
  <c r="AE3273" i="5"/>
  <c r="AE2406" i="5"/>
  <c r="AE519" i="5"/>
  <c r="AE1485" i="5"/>
  <c r="AE1470" i="5"/>
  <c r="AE454" i="5"/>
  <c r="AE1426" i="5"/>
  <c r="AE3152" i="5"/>
  <c r="AE2342" i="5"/>
  <c r="AE384" i="5"/>
  <c r="AE336" i="5"/>
  <c r="AE722" i="5"/>
  <c r="AE3435" i="5"/>
  <c r="AE668" i="5"/>
  <c r="AE1603" i="5"/>
  <c r="AE3389" i="5"/>
  <c r="AE2451" i="5"/>
  <c r="AE3355" i="5"/>
  <c r="AE3332" i="5"/>
  <c r="AE3288" i="5"/>
  <c r="AE3274" i="5"/>
  <c r="AE2407" i="5"/>
  <c r="AE1540" i="5"/>
  <c r="AE513" i="5"/>
  <c r="AE1486" i="5"/>
  <c r="AE3195" i="5"/>
  <c r="AE1462" i="5"/>
  <c r="AE485" i="5"/>
  <c r="AE438" i="5"/>
  <c r="AE403" i="5"/>
  <c r="AE2353" i="5"/>
  <c r="AE3131" i="5"/>
  <c r="AE337" i="5"/>
  <c r="AE3121" i="5"/>
  <c r="AE690" i="5"/>
  <c r="AE1649" i="5"/>
  <c r="AE686" i="5"/>
  <c r="AE2470" i="5"/>
  <c r="AE1592" i="5"/>
  <c r="AE1588" i="5"/>
  <c r="AE1585" i="5"/>
  <c r="AE605" i="5"/>
  <c r="AE3333" i="5"/>
  <c r="AE1579" i="5"/>
  <c r="AE3323" i="5"/>
  <c r="AE3289" i="5"/>
  <c r="AE575" i="5"/>
  <c r="AE571" i="5"/>
  <c r="AE2432" i="5"/>
  <c r="AE568" i="5"/>
  <c r="AE565" i="5"/>
  <c r="AE556" i="5"/>
  <c r="AE3166" i="5"/>
  <c r="AE3467" i="5"/>
  <c r="AE3356" i="5"/>
  <c r="AE3334" i="5"/>
  <c r="AE586" i="5"/>
  <c r="AE3275" i="5"/>
  <c r="AE2408" i="5"/>
  <c r="AE3240" i="5"/>
  <c r="AE1535" i="5"/>
  <c r="AE1427" i="5"/>
  <c r="AE2354" i="5"/>
  <c r="AE1403" i="5"/>
  <c r="AE3122" i="5"/>
  <c r="AE1389" i="5"/>
  <c r="AE1726" i="5"/>
  <c r="AE1627" i="5"/>
  <c r="AE3405" i="5"/>
  <c r="AE619" i="5"/>
  <c r="AE2452" i="5"/>
  <c r="AE3335" i="5"/>
  <c r="AE587" i="5"/>
  <c r="AE2433" i="5"/>
  <c r="AE3265" i="5"/>
  <c r="AE3236" i="5"/>
  <c r="AE488" i="5"/>
  <c r="AE393" i="5"/>
  <c r="AE363" i="5"/>
  <c r="AE620" i="5"/>
  <c r="AE2453" i="5"/>
  <c r="AE3357" i="5"/>
  <c r="AE357" i="5"/>
  <c r="AE2434" i="5"/>
  <c r="AE3266" i="5"/>
  <c r="AE1537" i="5"/>
  <c r="AE529" i="5"/>
  <c r="AE1487" i="5"/>
  <c r="AE388" i="5"/>
  <c r="AE338" i="5"/>
  <c r="AE371" i="5"/>
  <c r="AE364" i="5"/>
  <c r="AE669" i="5"/>
  <c r="AE3414" i="5"/>
  <c r="AE621" i="5"/>
  <c r="AE3390" i="5"/>
  <c r="AE2454" i="5"/>
  <c r="AE3336" i="5"/>
  <c r="AE3290" i="5"/>
  <c r="AE530" i="5"/>
  <c r="AE508" i="5"/>
  <c r="AE3164" i="5"/>
  <c r="AE3146" i="5"/>
  <c r="AE394" i="5"/>
  <c r="AE339" i="5"/>
  <c r="AE1650" i="5"/>
  <c r="AE365" i="5"/>
  <c r="AE1376" i="5"/>
  <c r="AE588" i="5"/>
  <c r="AE2409" i="5"/>
  <c r="AE553" i="5"/>
  <c r="AE531" i="5"/>
  <c r="AE3196" i="5"/>
  <c r="AE3185" i="5"/>
  <c r="AE1449" i="5"/>
  <c r="AE3165" i="5"/>
  <c r="AE2355" i="5"/>
  <c r="AE3075" i="5"/>
  <c r="AE3461" i="5"/>
  <c r="AE1711" i="5"/>
  <c r="AE1374" i="5"/>
  <c r="AE664" i="5"/>
  <c r="AE3395" i="5"/>
  <c r="AE3090" i="5"/>
  <c r="AE3337" i="5"/>
  <c r="AE1568" i="5"/>
  <c r="AE2435" i="5"/>
  <c r="AE2410" i="5"/>
  <c r="AE3197" i="5"/>
  <c r="AE417" i="5"/>
  <c r="AE340" i="5"/>
  <c r="AE723" i="5"/>
  <c r="AE699" i="5"/>
  <c r="AE2480" i="5"/>
  <c r="AE3226" i="5"/>
  <c r="AE1604" i="5"/>
  <c r="AE1379" i="5"/>
  <c r="AE3338" i="5"/>
  <c r="AE1377" i="5"/>
  <c r="AE3295" i="5"/>
  <c r="AE2411" i="5"/>
  <c r="AE345" i="5"/>
  <c r="AE385" i="5"/>
  <c r="AE341" i="5"/>
  <c r="AE3107" i="5"/>
  <c r="AE718" i="5"/>
  <c r="AE366" i="5"/>
  <c r="AE3358" i="5"/>
  <c r="AE1378" i="5"/>
  <c r="AE3296" i="5"/>
  <c r="AE3276" i="5"/>
  <c r="AE3267" i="5"/>
  <c r="AE520" i="5"/>
  <c r="AE489" i="5"/>
  <c r="AE418" i="5"/>
  <c r="AE1412" i="5"/>
  <c r="AE2356" i="5"/>
  <c r="AE386" i="5"/>
  <c r="AE1667" i="5"/>
  <c r="AE1384" i="5"/>
  <c r="AE2455" i="5"/>
  <c r="AE1380" i="5"/>
  <c r="AE3359" i="5"/>
  <c r="AE3089" i="5"/>
  <c r="AE3297" i="5"/>
  <c r="AE3291" i="5"/>
  <c r="AE2436" i="5"/>
  <c r="AE3244" i="5"/>
  <c r="AE544" i="5"/>
  <c r="AE490" i="5"/>
  <c r="AE434" i="5"/>
  <c r="AE1682" i="5"/>
  <c r="AE367" i="5"/>
  <c r="AE670" i="5"/>
  <c r="AE1628" i="5"/>
  <c r="AE2456" i="5"/>
  <c r="AE3339" i="5"/>
  <c r="AE3277" i="5"/>
  <c r="AE2412" i="5"/>
  <c r="AE557" i="5"/>
  <c r="AE1538" i="5"/>
  <c r="AE1488" i="5"/>
  <c r="AE3186" i="5"/>
  <c r="AE3183" i="5"/>
  <c r="AE435" i="5"/>
  <c r="AE3153" i="5"/>
  <c r="AE342" i="5"/>
  <c r="AE3445" i="5"/>
  <c r="AE2491" i="5"/>
  <c r="AE1385" i="5"/>
  <c r="AE1356" i="5"/>
  <c r="AE1589" i="5"/>
  <c r="AE1586" i="5"/>
  <c r="AE3340" i="5"/>
  <c r="AE1580" i="5"/>
  <c r="AE3324" i="5"/>
  <c r="AE3292" i="5"/>
  <c r="AE576" i="5"/>
  <c r="AE572" i="5"/>
  <c r="AE2413" i="5"/>
  <c r="AE1553" i="5"/>
  <c r="AE558" i="5"/>
  <c r="AE1496" i="5"/>
  <c r="AE1428" i="5"/>
  <c r="AE732" i="5"/>
  <c r="AE354" i="5"/>
  <c r="AE1712" i="5"/>
  <c r="AE3091" i="5"/>
  <c r="AE3298" i="5"/>
  <c r="AE2437" i="5"/>
  <c r="AE3268" i="5"/>
  <c r="AE559" i="5"/>
  <c r="AE1501" i="5"/>
  <c r="AE346" i="5"/>
  <c r="AE1457" i="5"/>
  <c r="AE1450" i="5"/>
  <c r="AE1438" i="5"/>
  <c r="AE419" i="5"/>
  <c r="AE395" i="5"/>
  <c r="AE2336" i="5"/>
  <c r="AE3076" i="5"/>
  <c r="AE724" i="5"/>
  <c r="AE3439" i="5"/>
  <c r="AE3430" i="5"/>
  <c r="AE1386" i="5"/>
  <c r="AE355" i="5"/>
  <c r="AE3086" i="5"/>
  <c r="AE1375" i="5"/>
  <c r="AE3228" i="5"/>
  <c r="AE3229" i="5"/>
  <c r="AE622" i="5"/>
  <c r="AE3387" i="5"/>
  <c r="AE3325" i="5"/>
  <c r="AE3299" i="5"/>
  <c r="AE589" i="5"/>
  <c r="AE2438" i="5"/>
  <c r="AE2414" i="5"/>
  <c r="AE1547" i="5"/>
  <c r="AE1502" i="5"/>
  <c r="AE347" i="5"/>
  <c r="AE1439" i="5"/>
  <c r="AE439" i="5"/>
  <c r="AE2337" i="5"/>
  <c r="AE1366" i="5"/>
  <c r="AE3100" i="5"/>
  <c r="AE1387" i="5"/>
  <c r="AE356" i="5"/>
  <c r="AE1528" i="5"/>
  <c r="AE3431" i="5"/>
  <c r="AE3388" i="5"/>
  <c r="AE1573" i="5"/>
  <c r="AE3300" i="5"/>
  <c r="AE590" i="5"/>
  <c r="AE2439" i="5"/>
  <c r="AE3254" i="5"/>
  <c r="AE1548" i="5"/>
  <c r="AE1525" i="5"/>
  <c r="AE1489" i="5"/>
  <c r="AE3178" i="5"/>
  <c r="AE2338" i="5"/>
  <c r="AE3077" i="5"/>
  <c r="AE376" i="5"/>
  <c r="AE1720" i="5"/>
  <c r="AE2483" i="5"/>
  <c r="AE3095" i="5"/>
  <c r="AE1713" i="5"/>
  <c r="AE1668" i="5"/>
  <c r="AE3087" i="5"/>
  <c r="AE3341" i="5"/>
  <c r="AE599" i="5"/>
  <c r="AE2440" i="5"/>
  <c r="AE2415" i="5"/>
  <c r="AE560" i="5"/>
  <c r="AE545" i="5"/>
  <c r="AE3187" i="5"/>
  <c r="AE491" i="5"/>
  <c r="AE3179" i="5"/>
  <c r="AE468" i="5"/>
  <c r="AE440" i="5"/>
  <c r="AE381" i="5"/>
  <c r="AE1731" i="5"/>
  <c r="AE692" i="5"/>
  <c r="AE1714" i="5"/>
  <c r="AE3432" i="5"/>
  <c r="AE1503" i="5"/>
  <c r="AE1683" i="5"/>
  <c r="AE1504" i="5"/>
  <c r="AE1413" i="5"/>
  <c r="AE1505" i="5"/>
  <c r="AE1684" i="5"/>
  <c r="AE1506" i="5"/>
  <c r="AE1507" i="5"/>
  <c r="AE3342" i="5"/>
  <c r="AE1574" i="5"/>
  <c r="AE3316" i="5"/>
  <c r="AE3301" i="5"/>
  <c r="AE3281" i="5"/>
  <c r="AE2441" i="5"/>
  <c r="AE2416" i="5"/>
  <c r="AE1554" i="5"/>
  <c r="AE561" i="5"/>
  <c r="AE441" i="5"/>
  <c r="AE3123" i="5"/>
  <c r="AE1508" i="5"/>
  <c r="AE1685" i="5"/>
  <c r="AE1686" i="5"/>
  <c r="AE1687" i="5"/>
  <c r="AE1669" i="5"/>
  <c r="AE3138" i="5"/>
  <c r="AE1740" i="5"/>
  <c r="AE1509" i="5"/>
  <c r="AE1414" i="5"/>
  <c r="AE1741" i="5"/>
  <c r="AE1670" i="5"/>
  <c r="AE3218" i="5"/>
  <c r="AE1475" i="5"/>
  <c r="AE3124" i="5"/>
  <c r="AE3450" i="5"/>
  <c r="AE1510" i="5"/>
  <c r="AE1476" i="5"/>
  <c r="AE3125" i="5"/>
  <c r="AE3433" i="5"/>
  <c r="AE1671" i="5"/>
  <c r="AE1511" i="5"/>
  <c r="AE1477" i="5"/>
  <c r="AE2471" i="5"/>
  <c r="AE3406" i="5"/>
  <c r="AE3396" i="5"/>
  <c r="AE616" i="5"/>
  <c r="AE2457" i="5"/>
  <c r="AE3343" i="5"/>
  <c r="AE600" i="5"/>
  <c r="AE3317" i="5"/>
  <c r="AE3282" i="5"/>
  <c r="AE3278" i="5"/>
  <c r="AE3255" i="5"/>
  <c r="AE3248" i="5"/>
  <c r="AE1490" i="5"/>
  <c r="AE3188" i="5"/>
  <c r="AE1370" i="5"/>
  <c r="AE1415" i="5"/>
  <c r="AE343" i="5"/>
  <c r="AE1399" i="5"/>
  <c r="AE700" i="5"/>
  <c r="AE368" i="5"/>
  <c r="AE3073" i="5"/>
  <c r="AE1688" i="5"/>
  <c r="AE1672" i="5"/>
  <c r="AE1478" i="5"/>
  <c r="AE3451" i="5"/>
  <c r="AE1689" i="5"/>
  <c r="AE1673" i="5"/>
  <c r="AE1479" i="5"/>
  <c r="AE1406" i="5"/>
  <c r="AE3452" i="5"/>
  <c r="AE1407" i="5"/>
  <c r="AE3201" i="5"/>
  <c r="AE449" i="5"/>
  <c r="AE404" i="5"/>
  <c r="AE1408" i="5"/>
  <c r="AE1727" i="5"/>
  <c r="AE1409" i="5"/>
  <c r="AE3441" i="5"/>
  <c r="AE1690" i="5"/>
  <c r="AE514" i="5"/>
  <c r="AE1691" i="5"/>
  <c r="AE515" i="5"/>
  <c r="AE405" i="5"/>
  <c r="AE1742" i="5"/>
  <c r="AE1614" i="5"/>
  <c r="AE2458" i="5"/>
  <c r="AE3368" i="5"/>
  <c r="AE3360" i="5"/>
  <c r="AE3344" i="5"/>
  <c r="AE1575" i="5"/>
  <c r="AE3293" i="5"/>
  <c r="AE1557" i="5"/>
  <c r="AE3279" i="5"/>
  <c r="AE2417" i="5"/>
  <c r="AE3256" i="5"/>
  <c r="AE1549" i="5"/>
  <c r="AE3241" i="5"/>
  <c r="AE348" i="5"/>
  <c r="AE492" i="5"/>
  <c r="AE442" i="5"/>
  <c r="AE344" i="5"/>
  <c r="AE711" i="5"/>
  <c r="AE3096" i="5"/>
  <c r="AE1435" i="5"/>
  <c r="AE3458" i="5"/>
  <c r="AE406" i="5"/>
  <c r="AE1728" i="5"/>
  <c r="AE3459" i="5"/>
  <c r="AE1674" i="5"/>
  <c r="AE450" i="5"/>
  <c r="AE3139" i="5"/>
  <c r="AE3180" i="5"/>
  <c r="AE3442" i="5"/>
  <c r="AE1692" i="5"/>
  <c r="AE1633" i="5"/>
  <c r="AE1629" i="5"/>
  <c r="AE1693" i="5"/>
  <c r="AE665" i="5"/>
  <c r="AE3108" i="5"/>
  <c r="AE1743" i="5"/>
  <c r="AE1675" i="5"/>
  <c r="AE1694" i="5"/>
  <c r="AE3425" i="5"/>
  <c r="AE2459" i="5"/>
  <c r="AE611" i="5"/>
  <c r="AE1584" i="5"/>
  <c r="AE3345" i="5"/>
  <c r="AE1576" i="5"/>
  <c r="AE3318" i="5"/>
  <c r="AE591" i="5"/>
  <c r="AE1558" i="5"/>
  <c r="AE3280" i="5"/>
  <c r="AE3269" i="5"/>
  <c r="AE1555" i="5"/>
  <c r="AE562" i="5"/>
  <c r="AE3242" i="5"/>
  <c r="AE1512" i="5"/>
  <c r="AE3198" i="5"/>
  <c r="AE469" i="5"/>
  <c r="AE443" i="5"/>
  <c r="AE373" i="5"/>
  <c r="AE1733" i="5"/>
  <c r="AE685" i="5"/>
  <c r="AE369" i="5"/>
  <c r="AE1630" i="5"/>
  <c r="AE631" i="5"/>
  <c r="AE533" i="5"/>
  <c r="AE407" i="5"/>
  <c r="AE3109" i="5"/>
  <c r="AE3418" i="5"/>
  <c r="AE3399" i="5"/>
  <c r="AE632" i="5"/>
  <c r="AE1532" i="5"/>
  <c r="AE3080" i="5"/>
  <c r="AE1744" i="5"/>
  <c r="AE1695" i="5"/>
  <c r="AE1676" i="5"/>
  <c r="AE633" i="5"/>
  <c r="AE3140" i="5"/>
  <c r="AE634" i="5"/>
  <c r="AE3154" i="5"/>
  <c r="AE1529" i="5"/>
  <c r="AE1451" i="5"/>
  <c r="AE635" i="5"/>
  <c r="AE1651" i="5"/>
  <c r="AE1634" i="5"/>
  <c r="AE636" i="5"/>
  <c r="AE3202" i="5"/>
  <c r="AE1751" i="5"/>
  <c r="AE671" i="5"/>
  <c r="AE534" i="5"/>
  <c r="AE408" i="5"/>
  <c r="AE3434" i="5"/>
  <c r="AE1696" i="5"/>
  <c r="AE672" i="5"/>
  <c r="AE637" i="5"/>
  <c r="AE360" i="5"/>
  <c r="AE3081" i="5"/>
  <c r="AE638" i="5"/>
  <c r="AE546" i="5"/>
  <c r="AE725" i="5"/>
  <c r="AE1652" i="5"/>
  <c r="AE624" i="5"/>
  <c r="AE1381" i="5"/>
  <c r="AE3379" i="5"/>
  <c r="AE3369" i="5"/>
  <c r="AE1577" i="5"/>
  <c r="AE3303" i="5"/>
  <c r="AE1559" i="5"/>
  <c r="AE2442" i="5"/>
  <c r="AE2418" i="5"/>
  <c r="AE3257" i="5"/>
  <c r="AE1550" i="5"/>
  <c r="AE3214" i="5"/>
  <c r="AE1513" i="5"/>
  <c r="AE1497" i="5"/>
  <c r="AE1429" i="5"/>
  <c r="AE1391" i="5"/>
  <c r="AE1734" i="5"/>
  <c r="AE2476" i="5"/>
  <c r="AE547" i="5"/>
  <c r="AE3219" i="5"/>
  <c r="AE1752" i="5"/>
  <c r="AE3415" i="5"/>
  <c r="AE1610" i="5"/>
  <c r="AE639" i="5"/>
  <c r="AE3220" i="5"/>
  <c r="AE3110" i="5"/>
  <c r="AE640" i="5"/>
  <c r="AE3221" i="5"/>
  <c r="AE3147" i="5"/>
  <c r="AE3111" i="5"/>
  <c r="AE1753" i="5"/>
  <c r="AE673" i="5"/>
  <c r="AE1533" i="5"/>
  <c r="AE3222" i="5"/>
  <c r="AE641" i="5"/>
  <c r="AE1514" i="5"/>
  <c r="AE1410" i="5"/>
  <c r="AE1653" i="5"/>
  <c r="AE1611" i="5"/>
  <c r="AE642" i="5"/>
  <c r="AE1515" i="5"/>
  <c r="AE1735" i="5"/>
  <c r="AE1715" i="5"/>
  <c r="AE1654" i="5"/>
  <c r="AE643" i="5"/>
  <c r="AE535" i="5"/>
  <c r="AE3203" i="5"/>
  <c r="AE1736" i="5"/>
  <c r="AE1655" i="5"/>
  <c r="AE644" i="5"/>
  <c r="AE3233" i="5"/>
  <c r="AE1480" i="5"/>
  <c r="AE3167" i="5"/>
  <c r="AE3446" i="5"/>
  <c r="AE693" i="5"/>
  <c r="AE1656" i="5"/>
  <c r="AE666" i="5"/>
  <c r="AE645" i="5"/>
  <c r="AE3206" i="5"/>
  <c r="AE2373" i="5"/>
  <c r="AE3168" i="5"/>
  <c r="AE1392" i="5"/>
  <c r="AE1745" i="5"/>
  <c r="AE694" i="5"/>
  <c r="AE625" i="5"/>
  <c r="AE2460" i="5"/>
  <c r="AE1382" i="5"/>
  <c r="AE1594" i="5"/>
  <c r="AE3370" i="5"/>
  <c r="AE3326" i="5"/>
  <c r="AE3319" i="5"/>
  <c r="AE3304" i="5"/>
  <c r="AE1569" i="5"/>
  <c r="AE573" i="5"/>
  <c r="AE2443" i="5"/>
  <c r="AE2419" i="5"/>
  <c r="AE3258" i="5"/>
  <c r="AE1551" i="5"/>
  <c r="AE548" i="5"/>
  <c r="AE3210" i="5"/>
  <c r="AE509" i="5"/>
  <c r="AE3181" i="5"/>
  <c r="AE444" i="5"/>
  <c r="AE712" i="5"/>
  <c r="AE1383" i="5"/>
  <c r="AE1595" i="5"/>
  <c r="AE3378" i="5"/>
  <c r="AE3371" i="5"/>
  <c r="AE3361" i="5"/>
  <c r="AE1581" i="5"/>
  <c r="AE601" i="5"/>
  <c r="AE3320" i="5"/>
  <c r="AE1564" i="5"/>
  <c r="AE1560" i="5"/>
  <c r="AE3259" i="5"/>
  <c r="AE3249" i="5"/>
  <c r="AE3215" i="5"/>
  <c r="AE1498" i="5"/>
  <c r="AE3204" i="5"/>
  <c r="AE3148" i="5"/>
  <c r="AE1754" i="5"/>
  <c r="AE646" i="5"/>
  <c r="AE1516" i="5"/>
  <c r="AE3112" i="5"/>
  <c r="AE1697" i="5"/>
  <c r="AE647" i="5"/>
  <c r="AE521" i="5"/>
  <c r="AE3082" i="5"/>
  <c r="AE455" i="5"/>
  <c r="AE3113" i="5"/>
  <c r="AE1677" i="5"/>
  <c r="AE648" i="5"/>
  <c r="AE1605" i="5"/>
  <c r="AE2374" i="5"/>
  <c r="AE456" i="5"/>
  <c r="AE420" i="5"/>
  <c r="AE377" i="5"/>
  <c r="AE1746" i="5"/>
  <c r="AE1716" i="5"/>
  <c r="AE1657" i="5"/>
  <c r="AE655" i="5"/>
  <c r="AE649" i="5"/>
  <c r="AE1606" i="5"/>
  <c r="AE3245" i="5"/>
  <c r="AE1517" i="5"/>
  <c r="AE457" i="5"/>
  <c r="AE1430" i="5"/>
  <c r="AE1737" i="5"/>
  <c r="AE1658" i="5"/>
  <c r="AE3172" i="5"/>
  <c r="AE3155" i="5"/>
  <c r="AE421" i="5"/>
  <c r="AE378" i="5"/>
  <c r="AE3447" i="5"/>
  <c r="AE1659" i="5"/>
  <c r="AE2472" i="5"/>
  <c r="AE650" i="5"/>
  <c r="AE1542" i="5"/>
  <c r="AE458" i="5"/>
  <c r="AE422" i="5"/>
  <c r="AE1721" i="5"/>
  <c r="AE1635" i="5"/>
  <c r="AE1543" i="5"/>
  <c r="AE1526" i="5"/>
  <c r="AE1518" i="5"/>
  <c r="AE2363" i="5"/>
  <c r="AE3114" i="5"/>
  <c r="AE1698" i="5"/>
  <c r="AE1636" i="5"/>
  <c r="AE1530" i="5"/>
  <c r="AE3448" i="5"/>
  <c r="AE1612" i="5"/>
  <c r="AE651" i="5"/>
  <c r="AE1527" i="5"/>
  <c r="AE1458" i="5"/>
  <c r="AE2364" i="5"/>
  <c r="AE713" i="5"/>
  <c r="AE695" i="5"/>
  <c r="AE1637" i="5"/>
  <c r="AE3400" i="5"/>
  <c r="AE652" i="5"/>
  <c r="AE1544" i="5"/>
  <c r="AE1531" i="5"/>
  <c r="AE1416" i="5"/>
  <c r="AE1747" i="5"/>
  <c r="AE1699" i="5"/>
  <c r="AE613" i="5"/>
  <c r="AE2461" i="5"/>
  <c r="AE1596" i="5"/>
  <c r="AE606" i="5"/>
  <c r="AE3346" i="5"/>
  <c r="AE602" i="5"/>
  <c r="AE3305" i="5"/>
  <c r="AE592" i="5"/>
  <c r="AE1561" i="5"/>
  <c r="AE2444" i="5"/>
  <c r="AE3260" i="5"/>
  <c r="AE563" i="5"/>
  <c r="AE549" i="5"/>
  <c r="AE1499" i="5"/>
  <c r="AE1463" i="5"/>
  <c r="AE1431" i="5"/>
  <c r="AE436" i="5"/>
  <c r="AE1645" i="5"/>
  <c r="AE1615" i="5"/>
  <c r="AE1417" i="5"/>
  <c r="AE3132" i="5"/>
  <c r="AE1660" i="5"/>
  <c r="AE522" i="5"/>
  <c r="AE1738" i="5"/>
  <c r="AE1700" i="5"/>
  <c r="AE1481" i="5"/>
  <c r="AE1678" i="5"/>
  <c r="AE1519" i="5"/>
  <c r="AE3098" i="5"/>
  <c r="AE1717" i="5"/>
  <c r="AE2484" i="5"/>
  <c r="AE3426" i="5"/>
  <c r="AE1616" i="5"/>
  <c r="AE2365" i="5"/>
  <c r="AE426" i="5"/>
  <c r="AE3101" i="5"/>
  <c r="AE714" i="5"/>
  <c r="AE1646" i="5"/>
  <c r="AE3391" i="5"/>
  <c r="AE1440" i="5"/>
  <c r="AE459" i="5"/>
  <c r="AE3156" i="5"/>
  <c r="AE3141" i="5"/>
  <c r="AE1739" i="5"/>
  <c r="AE1702" i="5"/>
  <c r="AE1679" i="5"/>
  <c r="AE2485" i="5"/>
  <c r="AE1638" i="5"/>
  <c r="AE1631" i="5"/>
  <c r="AE3407" i="5"/>
  <c r="AE550" i="5"/>
  <c r="AE516" i="5"/>
  <c r="AE1491" i="5"/>
  <c r="AE2366" i="5"/>
  <c r="AE2343" i="5"/>
  <c r="AE3115" i="5"/>
  <c r="AE3408" i="5"/>
  <c r="AE653" i="5"/>
  <c r="AE1492" i="5"/>
  <c r="AE1441" i="5"/>
  <c r="AE2367" i="5"/>
  <c r="AE3126" i="5"/>
  <c r="AE1661" i="5"/>
  <c r="AE667" i="5"/>
  <c r="AE614" i="5"/>
  <c r="AE3216" i="5"/>
  <c r="AE460" i="5"/>
  <c r="AE3133" i="5"/>
  <c r="AE726" i="5"/>
  <c r="AE659" i="5"/>
  <c r="AE3409" i="5"/>
  <c r="AE626" i="5"/>
  <c r="AE551" i="5"/>
  <c r="AE1493" i="5"/>
  <c r="AE3189" i="5"/>
  <c r="AE3177" i="5"/>
  <c r="AE470" i="5"/>
  <c r="AE461" i="5"/>
  <c r="AE1421" i="5"/>
  <c r="AE3116" i="5"/>
  <c r="AE3453" i="5"/>
  <c r="AE3427" i="5"/>
  <c r="AE1639" i="5"/>
  <c r="AE3397" i="5"/>
  <c r="AE1599" i="5"/>
  <c r="AE2462" i="5"/>
  <c r="AE3380" i="5"/>
  <c r="AE3375" i="5"/>
  <c r="AE607" i="5"/>
  <c r="AE3362" i="5"/>
  <c r="AE3347" i="5"/>
  <c r="AE1570" i="5"/>
  <c r="AE3261" i="5"/>
  <c r="AE3250" i="5"/>
  <c r="AE1520" i="5"/>
  <c r="AE3211" i="5"/>
  <c r="AE3102" i="5"/>
  <c r="AE3468" i="5"/>
  <c r="AE715" i="5"/>
  <c r="AE3097" i="5"/>
  <c r="AE627" i="5"/>
  <c r="AE552" i="5"/>
  <c r="AE3083" i="5"/>
  <c r="AE1442" i="5"/>
  <c r="AE428" i="5"/>
  <c r="AE3157" i="5"/>
  <c r="AE3142" i="5"/>
  <c r="AE2320" i="5"/>
  <c r="AE1393" i="5"/>
  <c r="AE1703" i="5"/>
  <c r="AE1640" i="5"/>
  <c r="AE654" i="5"/>
  <c r="AE361" i="5"/>
  <c r="AE1539" i="5"/>
  <c r="AE471" i="5"/>
  <c r="AE1418" i="5"/>
  <c r="AE2492" i="5"/>
  <c r="AE1607" i="5"/>
  <c r="AE3243" i="5"/>
  <c r="AE3237" i="5"/>
  <c r="AE1534" i="5"/>
  <c r="AE1494" i="5"/>
  <c r="AE1464" i="5"/>
  <c r="AE472" i="5"/>
  <c r="AE2368" i="5"/>
  <c r="AE2321" i="5"/>
  <c r="AE3117" i="5"/>
  <c r="AE1725" i="5"/>
  <c r="AE1617" i="5"/>
  <c r="AE3207" i="5"/>
  <c r="AE349" i="5"/>
  <c r="AE1452" i="5"/>
  <c r="AE473" i="5"/>
  <c r="AE2369" i="5"/>
  <c r="AE3158" i="5"/>
  <c r="AE1419" i="5"/>
  <c r="AE2322" i="5"/>
  <c r="AE3462" i="5"/>
  <c r="AE1704" i="5"/>
  <c r="AE3428" i="5"/>
  <c r="AE539" i="5"/>
  <c r="AE517" i="5"/>
  <c r="AE1482" i="5"/>
  <c r="AE1371" i="5"/>
  <c r="AE3184" i="5"/>
  <c r="AE1453" i="5"/>
  <c r="AE2370" i="5"/>
  <c r="AE429" i="5"/>
  <c r="AE1367" i="5"/>
  <c r="AE2327" i="5"/>
  <c r="AE1618" i="5"/>
  <c r="AE350" i="5"/>
  <c r="AE1443" i="5"/>
  <c r="AE475" i="5"/>
  <c r="AE2371" i="5"/>
  <c r="AE2323" i="5"/>
  <c r="AE1705" i="5"/>
  <c r="AE628" i="5"/>
  <c r="AE3088" i="5"/>
  <c r="AE493" i="5"/>
  <c r="AE486" i="5"/>
  <c r="AE1444" i="5"/>
  <c r="AE476" i="5"/>
  <c r="AE2372" i="5"/>
  <c r="AE1422" i="5"/>
  <c r="AE2344" i="5"/>
  <c r="AE1368" i="5"/>
  <c r="AE3118" i="5"/>
  <c r="AE3410" i="5"/>
  <c r="AE629" i="5"/>
  <c r="AE3238" i="5"/>
  <c r="AE3208" i="5"/>
  <c r="AE487" i="5"/>
  <c r="AE1445" i="5"/>
  <c r="AE477" i="5"/>
  <c r="AE3173" i="5"/>
  <c r="AE3159" i="5"/>
  <c r="AE2345" i="5"/>
  <c r="AE3463" i="5"/>
  <c r="AE3416" i="5"/>
  <c r="AE630" i="5"/>
  <c r="AE478" i="5"/>
  <c r="AE445" i="5"/>
  <c r="AE398" i="5"/>
  <c r="AE389" i="5"/>
  <c r="AE3127" i="5"/>
  <c r="AE727" i="5"/>
  <c r="AE1706" i="5"/>
  <c r="AE1642" i="5"/>
  <c r="AE3398" i="5"/>
  <c r="AE1446" i="5"/>
  <c r="AE479" i="5"/>
  <c r="AE2324" i="5"/>
  <c r="AE3129" i="5"/>
  <c r="AE3119" i="5"/>
  <c r="AE1748" i="5"/>
  <c r="AE1707" i="5"/>
  <c r="AE3419" i="5"/>
  <c r="AE1600" i="5"/>
  <c r="AE3092" i="5"/>
  <c r="AE3381" i="5"/>
  <c r="AE609" i="5"/>
  <c r="AE3372" i="5"/>
  <c r="AE3363" i="5"/>
  <c r="AE3348" i="5"/>
  <c r="AE3329" i="5"/>
  <c r="AE1578" i="5"/>
  <c r="AE593" i="5"/>
  <c r="AE577" i="5"/>
  <c r="AE2445" i="5"/>
  <c r="AE566" i="5"/>
  <c r="AE3251" i="5"/>
  <c r="AE1500" i="5"/>
  <c r="AE1483" i="5"/>
  <c r="AE1432" i="5"/>
  <c r="AE382" i="5"/>
  <c r="AE733" i="5"/>
  <c r="AE3423" i="5"/>
  <c r="AE2473" i="5"/>
  <c r="AE674" i="5"/>
  <c r="AE3411" i="5"/>
  <c r="AE3239" i="5"/>
  <c r="AE3182" i="5"/>
  <c r="AE451" i="5"/>
  <c r="AE409" i="5"/>
  <c r="AE2325" i="5"/>
  <c r="AE3464" i="5"/>
  <c r="AE1729" i="5"/>
  <c r="AE1708" i="5"/>
  <c r="AE1680" i="5"/>
  <c r="AE3420" i="5"/>
  <c r="AE1621" i="5"/>
  <c r="AE3412" i="5"/>
  <c r="AE540" i="5"/>
  <c r="AE3234" i="5"/>
  <c r="AE351" i="5"/>
  <c r="AE1447" i="5"/>
  <c r="AE480" i="5"/>
  <c r="AE1433" i="5"/>
  <c r="AE3143" i="5"/>
  <c r="AE1369" i="5"/>
  <c r="AE703" i="5"/>
  <c r="AE2486" i="5"/>
  <c r="AE675" i="5"/>
  <c r="AE1608" i="5"/>
  <c r="AE2390" i="5"/>
  <c r="AE1448" i="5"/>
  <c r="AE481" i="5"/>
  <c r="AE3160" i="5"/>
  <c r="AE704" i="5"/>
  <c r="AE3436" i="5"/>
  <c r="AE1718" i="5"/>
  <c r="AE1681" i="5"/>
  <c r="AE676" i="5"/>
  <c r="AE3246" i="5"/>
  <c r="AE2391" i="5"/>
  <c r="AE536" i="5"/>
  <c r="AE2380" i="5"/>
  <c r="AE352" i="5"/>
  <c r="AE482" i="5"/>
  <c r="AE3443" i="5"/>
  <c r="AE2487" i="5"/>
  <c r="AE677" i="5"/>
  <c r="AE1632" i="5"/>
  <c r="AE1619" i="5"/>
  <c r="AE2381" i="5"/>
  <c r="AE483" i="5"/>
  <c r="AE423" i="5"/>
  <c r="AE3135" i="5"/>
  <c r="AE1749" i="5"/>
  <c r="AE2488" i="5"/>
  <c r="AE1609" i="5"/>
  <c r="AE1495" i="5"/>
  <c r="AE1472" i="5"/>
  <c r="AE1465" i="5"/>
  <c r="AE500" i="5"/>
  <c r="AE3174" i="5"/>
  <c r="AE2357" i="5"/>
  <c r="AE3454" i="5"/>
  <c r="AE2489" i="5"/>
  <c r="AE1357" i="5"/>
  <c r="AE678" i="5"/>
  <c r="AE3247" i="5"/>
  <c r="AE2392" i="5"/>
  <c r="AE501" i="5"/>
  <c r="AE1372" i="5"/>
  <c r="AE424" i="5"/>
  <c r="AE1643" i="5"/>
  <c r="AE2393" i="5"/>
  <c r="AE3199" i="5"/>
  <c r="AE3149" i="5"/>
  <c r="AE1420" i="5"/>
  <c r="AE2358" i="5"/>
  <c r="AE705" i="5"/>
  <c r="AE3417" i="5"/>
  <c r="AE3413" i="5"/>
  <c r="AE2394" i="5"/>
  <c r="AE2382" i="5"/>
  <c r="AE3084" i="5"/>
  <c r="AE3161" i="5"/>
  <c r="AE2359" i="5"/>
  <c r="AE1709" i="5"/>
  <c r="AE679" i="5"/>
  <c r="AE2395" i="5"/>
  <c r="AE523" i="5"/>
  <c r="AE502" i="5"/>
  <c r="AE3162" i="5"/>
  <c r="AE410" i="5"/>
  <c r="AE387" i="5"/>
  <c r="AE379" i="5"/>
  <c r="AE3440" i="5"/>
  <c r="AE3429" i="5"/>
  <c r="AE1358" i="5"/>
  <c r="AE2474" i="5"/>
  <c r="AE1641" i="5"/>
  <c r="AE3421" i="5"/>
  <c r="AE1601" i="5"/>
  <c r="AE3093" i="5"/>
  <c r="AE1597" i="5"/>
  <c r="AE3373" i="5"/>
  <c r="AE3364" i="5"/>
  <c r="AE1582" i="5"/>
  <c r="AE3327" i="5"/>
  <c r="AE3306" i="5"/>
  <c r="AE594" i="5"/>
  <c r="AE578" i="5"/>
  <c r="AE1562" i="5"/>
  <c r="AE2421" i="5"/>
  <c r="AE3262" i="5"/>
  <c r="AE3252" i="5"/>
  <c r="AE1521" i="5"/>
  <c r="AE353" i="5"/>
  <c r="AE1394" i="5"/>
  <c r="AE3469" i="5"/>
  <c r="AE370" i="5"/>
  <c r="AE524" i="5"/>
  <c r="AE510" i="5"/>
  <c r="AE2383" i="5"/>
  <c r="AE2360" i="5"/>
  <c r="AE380" i="5"/>
  <c r="AE716" i="5"/>
  <c r="AE1722" i="5"/>
  <c r="AE1359" i="5"/>
  <c r="AE680" i="5"/>
  <c r="AE595" i="5"/>
  <c r="AE1545" i="5"/>
  <c r="AE2396" i="5"/>
  <c r="AE503" i="5"/>
  <c r="AE425" i="5"/>
  <c r="AE1730" i="5"/>
  <c r="AE2493" i="5"/>
  <c r="AE1723" i="5"/>
  <c r="AE1622" i="5"/>
  <c r="AE2465" i="5"/>
  <c r="AE554" i="5"/>
  <c r="AE2397" i="5"/>
  <c r="AE511" i="5"/>
  <c r="AE1454" i="5"/>
  <c r="AE396" i="5"/>
  <c r="AE681" i="5"/>
  <c r="AE660" i="5"/>
  <c r="AE555" i="5"/>
  <c r="AE537" i="5"/>
  <c r="AE1522" i="5"/>
  <c r="AE504" i="5"/>
  <c r="AE3136" i="5"/>
  <c r="AE1395" i="5"/>
  <c r="AE3465" i="5"/>
  <c r="AE696" i="5"/>
  <c r="AE1623" i="5"/>
  <c r="AE596" i="5"/>
  <c r="AE462" i="5"/>
  <c r="AE3171" i="5"/>
  <c r="AE411" i="5"/>
  <c r="AE2361" i="5"/>
  <c r="AE2346" i="5"/>
  <c r="AE3128" i="5"/>
  <c r="AE697" i="5"/>
  <c r="AE1710" i="5"/>
  <c r="AE2481" i="5"/>
  <c r="AE1360" i="5"/>
  <c r="AE682" i="5"/>
  <c r="AE2398" i="5"/>
  <c r="AE525" i="5"/>
  <c r="AE1473" i="5"/>
  <c r="AE2385" i="5"/>
  <c r="AE412" i="5"/>
  <c r="AE2347" i="5"/>
  <c r="AE3466" i="5"/>
  <c r="AE1361" i="5"/>
  <c r="AE661" i="5"/>
  <c r="AE597" i="5"/>
  <c r="AE3223" i="5"/>
  <c r="AE1523" i="5"/>
  <c r="AE505" i="5"/>
  <c r="AE1436" i="5"/>
  <c r="AE397" i="5"/>
  <c r="AE1396" i="5"/>
  <c r="AE728" i="5"/>
  <c r="AE3460" i="5"/>
  <c r="AE3455" i="5"/>
  <c r="AE701" i="5"/>
  <c r="AE3437" i="5"/>
  <c r="AE3392" i="5"/>
  <c r="AE3321" i="5"/>
  <c r="AE3235" i="5"/>
  <c r="AE3190" i="5"/>
  <c r="AE3085" i="5"/>
  <c r="AE463" i="5"/>
  <c r="AE1437" i="5"/>
  <c r="AE383" i="5"/>
  <c r="AE1397" i="5"/>
  <c r="AE1724" i="5"/>
  <c r="AE2490" i="5"/>
  <c r="AE3230" i="5"/>
  <c r="AE1624" i="5"/>
  <c r="AE656" i="5"/>
  <c r="AE3365" i="5"/>
  <c r="AE598" i="5"/>
  <c r="AE2386" i="5"/>
  <c r="AE1373" i="5"/>
  <c r="AE729" i="5"/>
  <c r="AE3438" i="5"/>
  <c r="AE1362" i="5"/>
  <c r="AE2468" i="5"/>
  <c r="AE657" i="5"/>
  <c r="AE1571" i="5"/>
  <c r="AE2422" i="5"/>
  <c r="AE2399" i="5"/>
  <c r="AE1536" i="5"/>
  <c r="AE1524" i="5"/>
  <c r="AE3200" i="5"/>
  <c r="AE2387" i="5"/>
  <c r="AE413" i="5"/>
  <c r="AE2362" i="5"/>
  <c r="AE1400" i="5"/>
  <c r="AE1398" i="5"/>
  <c r="AE730" i="5"/>
  <c r="AE698" i="5"/>
  <c r="AE2482" i="5"/>
  <c r="AE1363" i="5"/>
  <c r="AE615" i="5"/>
  <c r="AE2463" i="5"/>
  <c r="AE1590" i="5"/>
  <c r="AE3376" i="5"/>
  <c r="AE3374" i="5"/>
  <c r="AE3349" i="5"/>
  <c r="AE1583" i="5"/>
  <c r="AE3328" i="5"/>
  <c r="AE3307" i="5"/>
  <c r="AE3284" i="5"/>
  <c r="AE1563" i="5"/>
  <c r="AE2446" i="5"/>
  <c r="AE567" i="5"/>
  <c r="AE564" i="5"/>
  <c r="AE3217" i="5"/>
  <c r="AE3470" i="5"/>
  <c r="AE1388" i="5"/>
  <c r="AE1598" i="5"/>
  <c r="AE610" i="5"/>
  <c r="AE1587" i="5"/>
  <c r="AE3366" i="5"/>
  <c r="AE3330" i="5"/>
  <c r="AE3285" i="5"/>
  <c r="AE574" i="5"/>
  <c r="AE569" i="5"/>
  <c r="AE3270" i="5"/>
  <c r="AE1556" i="5"/>
  <c r="AE3253" i="5"/>
  <c r="AE3212" i="5"/>
  <c r="AE3471" i="5"/>
  <c r="AE3758" i="5"/>
  <c r="AE3711" i="5"/>
  <c r="AE2004" i="5"/>
  <c r="AE3626" i="5"/>
  <c r="AE2585" i="5"/>
  <c r="AE822" i="5"/>
  <c r="AE2524" i="5"/>
  <c r="AE1039" i="5"/>
  <c r="AE2092" i="5"/>
  <c r="AE3485" i="5"/>
  <c r="AE2062" i="5"/>
  <c r="AE2010" i="5"/>
  <c r="AE1969" i="5"/>
  <c r="AE2621" i="5"/>
  <c r="AE2615" i="5"/>
  <c r="AE941" i="5"/>
  <c r="AE2586" i="5"/>
  <c r="AE823" i="5"/>
  <c r="AE2525" i="5"/>
  <c r="AE1040" i="5"/>
  <c r="AE2093" i="5"/>
  <c r="AE3782" i="5"/>
  <c r="AE942" i="5"/>
  <c r="AE2587" i="5"/>
  <c r="AE824" i="5"/>
  <c r="AE810" i="5"/>
  <c r="AE2526" i="5"/>
  <c r="AE3493" i="5"/>
  <c r="AE1041" i="5"/>
  <c r="AE2071" i="5"/>
  <c r="AE2044" i="5"/>
  <c r="AE1970" i="5"/>
  <c r="AE2622" i="5"/>
  <c r="AE1771" i="5"/>
  <c r="AE943" i="5"/>
  <c r="AE825" i="5"/>
  <c r="AE2527" i="5"/>
  <c r="AE748" i="5"/>
  <c r="AE1042" i="5"/>
  <c r="AE2122" i="5"/>
  <c r="AE2110" i="5"/>
  <c r="AE3783" i="5"/>
  <c r="AE2063" i="5"/>
  <c r="AE2011" i="5"/>
  <c r="AE3709" i="5"/>
  <c r="AE1971" i="5"/>
  <c r="AE3627" i="5"/>
  <c r="AE944" i="5"/>
  <c r="AE811" i="5"/>
  <c r="AE2528" i="5"/>
  <c r="AE1043" i="5"/>
  <c r="AE2128" i="5"/>
  <c r="AE3807" i="5"/>
  <c r="AE3784" i="5"/>
  <c r="AE3759" i="5"/>
  <c r="AE2012" i="5"/>
  <c r="AE945" i="5"/>
  <c r="AE826" i="5"/>
  <c r="AE812" i="5"/>
  <c r="AE2529" i="5"/>
  <c r="AE3861" i="5"/>
  <c r="AE3810" i="5"/>
  <c r="AE2045" i="5"/>
  <c r="AE975" i="5"/>
  <c r="AE946" i="5"/>
  <c r="AE3559" i="5"/>
  <c r="AE827" i="5"/>
  <c r="AE813" i="5"/>
  <c r="AE798" i="5"/>
  <c r="AE1838" i="5"/>
  <c r="AE1832" i="5"/>
  <c r="AE2530" i="5"/>
  <c r="AE1972" i="5"/>
  <c r="AE1963" i="5"/>
  <c r="AE947" i="5"/>
  <c r="AE903" i="5"/>
  <c r="AE3563" i="5"/>
  <c r="AE2572" i="5"/>
  <c r="AE828" i="5"/>
  <c r="AE2531" i="5"/>
  <c r="AE3858" i="5"/>
  <c r="AE1044" i="5"/>
  <c r="AE3811" i="5"/>
  <c r="AE2013" i="5"/>
  <c r="AE1000" i="5"/>
  <c r="AE948" i="5"/>
  <c r="AE904" i="5"/>
  <c r="AE1873" i="5"/>
  <c r="AE2532" i="5"/>
  <c r="AE3845" i="5"/>
  <c r="AE2064" i="5"/>
  <c r="AE1973" i="5"/>
  <c r="AE986" i="5"/>
  <c r="AE3628" i="5"/>
  <c r="AE1938" i="5"/>
  <c r="AE949" i="5"/>
  <c r="AE1893" i="5"/>
  <c r="AE898" i="5"/>
  <c r="AE1874" i="5"/>
  <c r="AE789" i="5"/>
  <c r="AE2533" i="5"/>
  <c r="AE2643" i="5"/>
  <c r="AE1045" i="5"/>
  <c r="AE3724" i="5"/>
  <c r="AE1974" i="5"/>
  <c r="AE3694" i="5"/>
  <c r="AE3690" i="5"/>
  <c r="AE3680" i="5"/>
  <c r="AE3672" i="5"/>
  <c r="AE3629" i="5"/>
  <c r="AE3569" i="5"/>
  <c r="AE1849" i="5"/>
  <c r="AE862" i="5"/>
  <c r="AE2137" i="5"/>
  <c r="AE2123" i="5"/>
  <c r="AE2086" i="5"/>
  <c r="AE3486" i="5"/>
  <c r="AE2072" i="5"/>
  <c r="AE2624" i="5"/>
  <c r="AE3712" i="5"/>
  <c r="AE1964" i="5"/>
  <c r="AE987" i="5"/>
  <c r="AE950" i="5"/>
  <c r="AE1894" i="5"/>
  <c r="AE3564" i="5"/>
  <c r="AE1833" i="5"/>
  <c r="AE2534" i="5"/>
  <c r="AE2510" i="5"/>
  <c r="AE2636" i="5"/>
  <c r="AE3579" i="5"/>
  <c r="AE3760" i="5"/>
  <c r="AE2625" i="5"/>
  <c r="AE2014" i="5"/>
  <c r="AE3600" i="5"/>
  <c r="AE951" i="5"/>
  <c r="AE905" i="5"/>
  <c r="AE2535" i="5"/>
  <c r="AE2150" i="5"/>
  <c r="AE1049" i="5"/>
  <c r="AE2142" i="5"/>
  <c r="AE3812" i="5"/>
  <c r="AE3806" i="5"/>
  <c r="AE3785" i="5"/>
  <c r="AE3580" i="5"/>
  <c r="AE3761" i="5"/>
  <c r="AE2626" i="5"/>
  <c r="AE1001" i="5"/>
  <c r="AE3630" i="5"/>
  <c r="AE906" i="5"/>
  <c r="AE829" i="5"/>
  <c r="AE790" i="5"/>
  <c r="AE1757" i="5"/>
  <c r="AE2536" i="5"/>
  <c r="AE3813" i="5"/>
  <c r="AE2637" i="5"/>
  <c r="AE3581" i="5"/>
  <c r="AE2015" i="5"/>
  <c r="AE741" i="5"/>
  <c r="AE3667" i="5"/>
  <c r="AE3631" i="5"/>
  <c r="AE907" i="5"/>
  <c r="AE3565" i="5"/>
  <c r="AE830" i="5"/>
  <c r="AE791" i="5"/>
  <c r="AE2537" i="5"/>
  <c r="AE3850" i="5"/>
  <c r="AE2111" i="5"/>
  <c r="AE3786" i="5"/>
  <c r="AE3582" i="5"/>
  <c r="AE2627" i="5"/>
  <c r="AE2016" i="5"/>
  <c r="AE1975" i="5"/>
  <c r="AE3632" i="5"/>
  <c r="AE3623" i="5"/>
  <c r="AE953" i="5"/>
  <c r="AE908" i="5"/>
  <c r="AE1875" i="5"/>
  <c r="AE831" i="5"/>
  <c r="AE1839" i="5"/>
  <c r="AE792" i="5"/>
  <c r="AE2538" i="5"/>
  <c r="AE756" i="5"/>
  <c r="AE3583" i="5"/>
  <c r="AE2628" i="5"/>
  <c r="AE1002" i="5"/>
  <c r="AE3633" i="5"/>
  <c r="AE909" i="5"/>
  <c r="AE3566" i="5"/>
  <c r="AE832" i="5"/>
  <c r="AE1834" i="5"/>
  <c r="AE2539" i="5"/>
  <c r="AE2511" i="5"/>
  <c r="AE1786" i="5"/>
  <c r="AE1048" i="5"/>
  <c r="AE2017" i="5"/>
  <c r="AE742" i="5"/>
  <c r="AE3634" i="5"/>
  <c r="AE910" i="5"/>
  <c r="AE3534" i="5"/>
  <c r="AE2540" i="5"/>
  <c r="AE2018" i="5"/>
  <c r="AE1976" i="5"/>
  <c r="AE3635" i="5"/>
  <c r="AE911" i="5"/>
  <c r="AE833" i="5"/>
  <c r="AE814" i="5"/>
  <c r="AE2541" i="5"/>
  <c r="AE3494" i="5"/>
  <c r="AE750" i="5"/>
  <c r="AE2112" i="5"/>
  <c r="AE1775" i="5"/>
  <c r="AE2629" i="5"/>
  <c r="AE2046" i="5"/>
  <c r="AE2019" i="5"/>
  <c r="AE912" i="5"/>
  <c r="AE872" i="5"/>
  <c r="AE834" i="5"/>
  <c r="AE2542" i="5"/>
  <c r="AE3524" i="5"/>
  <c r="AE1783" i="5"/>
  <c r="AE2642" i="5"/>
  <c r="AE3584" i="5"/>
  <c r="AE3762" i="5"/>
  <c r="AE2047" i="5"/>
  <c r="AE2020" i="5"/>
  <c r="AE1977" i="5"/>
  <c r="AE743" i="5"/>
  <c r="AE3658" i="5"/>
  <c r="AE954" i="5"/>
  <c r="AE2573" i="5"/>
  <c r="AE835" i="5"/>
  <c r="AE3542" i="5"/>
  <c r="AE2543" i="5"/>
  <c r="AE3490" i="5"/>
  <c r="AE2113" i="5"/>
  <c r="AE3487" i="5"/>
  <c r="AE2073" i="5"/>
  <c r="AE2048" i="5"/>
  <c r="AE2021" i="5"/>
  <c r="AE1978" i="5"/>
  <c r="AE976" i="5"/>
  <c r="AE1961" i="5"/>
  <c r="AE3691" i="5"/>
  <c r="AE3681" i="5"/>
  <c r="AE1946" i="5"/>
  <c r="AE3659" i="5"/>
  <c r="AE3650" i="5"/>
  <c r="AE3636" i="5"/>
  <c r="AE3611" i="5"/>
  <c r="AE3576" i="5"/>
  <c r="AE863" i="5"/>
  <c r="AE2087" i="5"/>
  <c r="AE1776" i="5"/>
  <c r="AE3763" i="5"/>
  <c r="AE2630" i="5"/>
  <c r="AE2022" i="5"/>
  <c r="AE744" i="5"/>
  <c r="AE3660" i="5"/>
  <c r="AE1876" i="5"/>
  <c r="AE815" i="5"/>
  <c r="AE2544" i="5"/>
  <c r="AE762" i="5"/>
  <c r="AE751" i="5"/>
  <c r="AE3865" i="5"/>
  <c r="AE2114" i="5"/>
  <c r="AE1777" i="5"/>
  <c r="AE1007" i="5"/>
  <c r="AE745" i="5"/>
  <c r="AE3661" i="5"/>
  <c r="AE3637" i="5"/>
  <c r="AE1877" i="5"/>
  <c r="AE3481" i="5"/>
  <c r="AE836" i="5"/>
  <c r="AE816" i="5"/>
  <c r="AE1835" i="5"/>
  <c r="AE2545" i="5"/>
  <c r="AE3495" i="5"/>
  <c r="AE3856" i="5"/>
  <c r="AE2115" i="5"/>
  <c r="AE3734" i="5"/>
  <c r="AE2023" i="5"/>
  <c r="AE3662" i="5"/>
  <c r="AE2607" i="5"/>
  <c r="AE913" i="5"/>
  <c r="AE2574" i="5"/>
  <c r="AE837" i="5"/>
  <c r="AE1836" i="5"/>
  <c r="AE2546" i="5"/>
  <c r="AE769" i="5"/>
  <c r="AE763" i="5"/>
  <c r="AE1787" i="5"/>
  <c r="AE1008" i="5"/>
  <c r="AE2024" i="5"/>
  <c r="AE1979" i="5"/>
  <c r="AE3638" i="5"/>
  <c r="AE1895" i="5"/>
  <c r="AE2575" i="5"/>
  <c r="AE838" i="5"/>
  <c r="AE817" i="5"/>
  <c r="AE3473" i="5"/>
  <c r="AE2547" i="5"/>
  <c r="AE770" i="5"/>
  <c r="AE764" i="5"/>
  <c r="AE3491" i="5"/>
  <c r="AE2644" i="5"/>
  <c r="AE1009" i="5"/>
  <c r="AE1980" i="5"/>
  <c r="AE3707" i="5"/>
  <c r="AE3692" i="5"/>
  <c r="AE3668" i="5"/>
  <c r="AE914" i="5"/>
  <c r="AE873" i="5"/>
  <c r="AE1856" i="5"/>
  <c r="AE2548" i="5"/>
  <c r="AE3522" i="5"/>
  <c r="AE2116" i="5"/>
  <c r="AE3735" i="5"/>
  <c r="AE2065" i="5"/>
  <c r="AE2618" i="5"/>
  <c r="AE3663" i="5"/>
  <c r="AE3639" i="5"/>
  <c r="AE874" i="5"/>
  <c r="AE839" i="5"/>
  <c r="AE818" i="5"/>
  <c r="AE799" i="5"/>
  <c r="AE2549" i="5"/>
  <c r="AE771" i="5"/>
  <c r="AE3525" i="5"/>
  <c r="AE2645" i="5"/>
  <c r="AE3736" i="5"/>
  <c r="AE1010" i="5"/>
  <c r="AE1981" i="5"/>
  <c r="AE2619" i="5"/>
  <c r="AE3640" i="5"/>
  <c r="AE2608" i="5"/>
  <c r="AE2576" i="5"/>
  <c r="AE1758" i="5"/>
  <c r="AE2550" i="5"/>
  <c r="AE772" i="5"/>
  <c r="AE2508" i="5"/>
  <c r="AE2129" i="5"/>
  <c r="AE2094" i="5"/>
  <c r="AE2066" i="5"/>
  <c r="AE2049" i="5"/>
  <c r="AE2025" i="5"/>
  <c r="AE988" i="5"/>
  <c r="AE3641" i="5"/>
  <c r="AE2609" i="5"/>
  <c r="AE915" i="5"/>
  <c r="AE2577" i="5"/>
  <c r="AE840" i="5"/>
  <c r="AE1841" i="5"/>
  <c r="AE1837" i="5"/>
  <c r="AE1759" i="5"/>
  <c r="AE2551" i="5"/>
  <c r="AE1011" i="5"/>
  <c r="AE1982" i="5"/>
  <c r="AE3642" i="5"/>
  <c r="AE955" i="5"/>
  <c r="AE916" i="5"/>
  <c r="AE901" i="5"/>
  <c r="AE3570" i="5"/>
  <c r="AE875" i="5"/>
  <c r="AE3548" i="5"/>
  <c r="AE1846" i="5"/>
  <c r="AE2552" i="5"/>
  <c r="AE773" i="5"/>
  <c r="AE2138" i="5"/>
  <c r="AE3851" i="5"/>
  <c r="AE1012" i="5"/>
  <c r="AE3713" i="5"/>
  <c r="AE3643" i="5"/>
  <c r="AE1939" i="5"/>
  <c r="AE958" i="5"/>
  <c r="AE2610" i="5"/>
  <c r="AE876" i="5"/>
  <c r="AE841" i="5"/>
  <c r="AE3549" i="5"/>
  <c r="AE3474" i="5"/>
  <c r="AE2553" i="5"/>
  <c r="AE774" i="5"/>
  <c r="AE3725" i="5"/>
  <c r="AE2050" i="5"/>
  <c r="AE1983" i="5"/>
  <c r="AE1962" i="5"/>
  <c r="AE3693" i="5"/>
  <c r="AE3682" i="5"/>
  <c r="AE3673" i="5"/>
  <c r="AE3670" i="5"/>
  <c r="AE3664" i="5"/>
  <c r="AE3651" i="5"/>
  <c r="AE3644" i="5"/>
  <c r="AE2616" i="5"/>
  <c r="AE864" i="5"/>
  <c r="AE1827" i="5"/>
  <c r="AE2139" i="5"/>
  <c r="AE2088" i="5"/>
  <c r="AE3488" i="5"/>
  <c r="AE3601" i="5"/>
  <c r="AE3737" i="5"/>
  <c r="AE1766" i="5"/>
  <c r="AE3738" i="5"/>
  <c r="AE1013" i="5"/>
  <c r="AE2026" i="5"/>
  <c r="AE1965" i="5"/>
  <c r="AE974" i="5"/>
  <c r="AE2611" i="5"/>
  <c r="AE902" i="5"/>
  <c r="AE2578" i="5"/>
  <c r="AE842" i="5"/>
  <c r="AE1760" i="5"/>
  <c r="AE2554" i="5"/>
  <c r="AE775" i="5"/>
  <c r="AE759" i="5"/>
  <c r="AE1028" i="5"/>
  <c r="AE1913" i="5"/>
  <c r="AE1767" i="5"/>
  <c r="AE3739" i="5"/>
  <c r="AE3834" i="5"/>
  <c r="AE3740" i="5"/>
  <c r="AE3835" i="5"/>
  <c r="AE3585" i="5"/>
  <c r="AE3602" i="5"/>
  <c r="AE3814" i="5"/>
  <c r="AE3577" i="5"/>
  <c r="AE1768" i="5"/>
  <c r="AE3836" i="5"/>
  <c r="AE1014" i="5"/>
  <c r="AE2027" i="5"/>
  <c r="AE2612" i="5"/>
  <c r="AE2579" i="5"/>
  <c r="AE843" i="5"/>
  <c r="AE776" i="5"/>
  <c r="AE3531" i="5"/>
  <c r="AE1029" i="5"/>
  <c r="AE3586" i="5"/>
  <c r="AE3587" i="5"/>
  <c r="AE3588" i="5"/>
  <c r="AE1914" i="5"/>
  <c r="AE3741" i="5"/>
  <c r="AE734" i="5"/>
  <c r="AE2117" i="5"/>
  <c r="AE3815" i="5"/>
  <c r="AE3603" i="5"/>
  <c r="AE1915" i="5"/>
  <c r="AE3589" i="5"/>
  <c r="AE2051" i="5"/>
  <c r="AE2028" i="5"/>
  <c r="AE1984" i="5"/>
  <c r="AE3665" i="5"/>
  <c r="AE3645" i="5"/>
  <c r="AE2613" i="5"/>
  <c r="AE867" i="5"/>
  <c r="AE793" i="5"/>
  <c r="AE3535" i="5"/>
  <c r="AE3532" i="5"/>
  <c r="AE2512" i="5"/>
  <c r="AE1784" i="5"/>
  <c r="AE1030" i="5"/>
  <c r="AE3604" i="5"/>
  <c r="AE1916" i="5"/>
  <c r="AE2118" i="5"/>
  <c r="AE3742" i="5"/>
  <c r="AE1917" i="5"/>
  <c r="AE3764" i="5"/>
  <c r="AE2631" i="5"/>
  <c r="AE3765" i="5"/>
  <c r="AE2632" i="5"/>
  <c r="AE2633" i="5"/>
  <c r="AE2634" i="5"/>
  <c r="AE3816" i="5"/>
  <c r="AE3743" i="5"/>
  <c r="AE3512" i="5"/>
  <c r="AE1985" i="5"/>
  <c r="AE1954" i="5"/>
  <c r="AE3652" i="5"/>
  <c r="AE1935" i="5"/>
  <c r="AE1934" i="5"/>
  <c r="AE794" i="5"/>
  <c r="AE3475" i="5"/>
  <c r="AE777" i="5"/>
  <c r="AE3533" i="5"/>
  <c r="AE2513" i="5"/>
  <c r="AE1778" i="5"/>
  <c r="AE3513" i="5"/>
  <c r="AE3837" i="5"/>
  <c r="AE3744" i="5"/>
  <c r="AE3838" i="5"/>
  <c r="AE3817" i="5"/>
  <c r="AE3787" i="5"/>
  <c r="AE3726" i="5"/>
  <c r="AE1015" i="5"/>
  <c r="AE1986" i="5"/>
  <c r="AE3683" i="5"/>
  <c r="AE3674" i="5"/>
  <c r="AE1927" i="5"/>
  <c r="AE2614" i="5"/>
  <c r="AE3560" i="5"/>
  <c r="AE2580" i="5"/>
  <c r="AE844" i="5"/>
  <c r="AE3476" i="5"/>
  <c r="AE778" i="5"/>
  <c r="AE1828" i="5"/>
  <c r="AE3526" i="5"/>
  <c r="AE2505" i="5"/>
  <c r="AE1036" i="5"/>
  <c r="AE3745" i="5"/>
  <c r="AE1807" i="5"/>
  <c r="AE3514" i="5"/>
  <c r="AE3605" i="5"/>
  <c r="AE3818" i="5"/>
  <c r="AE3746" i="5"/>
  <c r="AE3606" i="5"/>
  <c r="AE1880" i="5"/>
  <c r="AE2080" i="5"/>
  <c r="AE3839" i="5"/>
  <c r="AE3819" i="5"/>
  <c r="AE3515" i="5"/>
  <c r="AE2095" i="5"/>
  <c r="AE3727" i="5"/>
  <c r="AE2067" i="5"/>
  <c r="AE2029" i="5"/>
  <c r="AE3684" i="5"/>
  <c r="AE3675" i="5"/>
  <c r="AE3671" i="5"/>
  <c r="AE1769" i="5"/>
  <c r="AE3646" i="5"/>
  <c r="AE3561" i="5"/>
  <c r="AE877" i="5"/>
  <c r="AE845" i="5"/>
  <c r="AE819" i="5"/>
  <c r="AE800" i="5"/>
  <c r="AE3477" i="5"/>
  <c r="AE1829" i="5"/>
  <c r="AE2514" i="5"/>
  <c r="AE757" i="5"/>
  <c r="AE1031" i="5"/>
  <c r="AE3788" i="5"/>
  <c r="AE3516" i="5"/>
  <c r="AE3820" i="5"/>
  <c r="AE2096" i="5"/>
  <c r="AE3789" i="5"/>
  <c r="AE3840" i="5"/>
  <c r="AE3821" i="5"/>
  <c r="AE3607" i="5"/>
  <c r="AE801" i="5"/>
  <c r="AE3790" i="5"/>
  <c r="AE802" i="5"/>
  <c r="AE2097" i="5"/>
  <c r="AE3791" i="5"/>
  <c r="AE970" i="5"/>
  <c r="AE3608" i="5"/>
  <c r="AE3822" i="5"/>
  <c r="AE3766" i="5"/>
  <c r="AE971" i="5"/>
  <c r="AE917" i="5"/>
  <c r="AE803" i="5"/>
  <c r="AE3767" i="5"/>
  <c r="AE972" i="5"/>
  <c r="AE1918" i="5"/>
  <c r="AE1896" i="5"/>
  <c r="AE804" i="5"/>
  <c r="AE1908" i="5"/>
  <c r="AE3498" i="5"/>
  <c r="AE918" i="5"/>
  <c r="AE3747" i="5"/>
  <c r="AE3609" i="5"/>
  <c r="AE919" i="5"/>
  <c r="AE805" i="5"/>
  <c r="AE1791" i="5"/>
  <c r="AE3768" i="5"/>
  <c r="AE3748" i="5"/>
  <c r="AE3730" i="5"/>
  <c r="AE2030" i="5"/>
  <c r="AE1987" i="5"/>
  <c r="AE977" i="5"/>
  <c r="AE3685" i="5"/>
  <c r="AE1947" i="5"/>
  <c r="AE1928" i="5"/>
  <c r="AE2581" i="5"/>
  <c r="AE846" i="5"/>
  <c r="AE820" i="5"/>
  <c r="AE795" i="5"/>
  <c r="AE3478" i="5"/>
  <c r="AE1830" i="5"/>
  <c r="AE3510" i="5"/>
  <c r="AE1032" i="5"/>
  <c r="AE3749" i="5"/>
  <c r="AE3610" i="5"/>
  <c r="AE920" i="5"/>
  <c r="AE899" i="5"/>
  <c r="AE1897" i="5"/>
  <c r="AE806" i="5"/>
  <c r="AE1808" i="5"/>
  <c r="AE3499" i="5"/>
  <c r="AE2120" i="5"/>
  <c r="AE1898" i="5"/>
  <c r="AE1850" i="5"/>
  <c r="AE807" i="5"/>
  <c r="AE1792" i="5"/>
  <c r="AE921" i="5"/>
  <c r="AE3769" i="5"/>
  <c r="AE1909" i="5"/>
  <c r="AE878" i="5"/>
  <c r="AE3536" i="5"/>
  <c r="AE1027" i="5"/>
  <c r="AE922" i="5"/>
  <c r="AE1809" i="5"/>
  <c r="AE2089" i="5"/>
  <c r="AE3770" i="5"/>
  <c r="AE3750" i="5"/>
  <c r="AE2074" i="5"/>
  <c r="AE3595" i="5"/>
  <c r="AE1899" i="5"/>
  <c r="AE3537" i="5"/>
  <c r="AE1793" i="5"/>
  <c r="AE3859" i="5"/>
  <c r="AE3751" i="5"/>
  <c r="AE923" i="5"/>
  <c r="AE879" i="5"/>
  <c r="AE1810" i="5"/>
  <c r="AE924" i="5"/>
  <c r="AE880" i="5"/>
  <c r="AE2504" i="5"/>
  <c r="AE1900" i="5"/>
  <c r="AE881" i="5"/>
  <c r="AE1851" i="5"/>
  <c r="AE3538" i="5"/>
  <c r="AE767" i="5"/>
  <c r="AE1794" i="5"/>
  <c r="AE3823" i="5"/>
  <c r="AE3771" i="5"/>
  <c r="AE2068" i="5"/>
  <c r="AE2031" i="5"/>
  <c r="AE2005" i="5"/>
  <c r="AE1988" i="5"/>
  <c r="AE1955" i="5"/>
  <c r="AE1770" i="5"/>
  <c r="AE3653" i="5"/>
  <c r="AE1761" i="5"/>
  <c r="AE1831" i="5"/>
  <c r="AE2506" i="5"/>
  <c r="AE1755" i="5"/>
  <c r="AE752" i="5"/>
  <c r="AE2501" i="5"/>
  <c r="AE1033" i="5"/>
  <c r="AE882" i="5"/>
  <c r="AE3539" i="5"/>
  <c r="AE1795" i="5"/>
  <c r="AE3752" i="5"/>
  <c r="AE883" i="5"/>
  <c r="AE1811" i="5"/>
  <c r="AE3772" i="5"/>
  <c r="AE3728" i="5"/>
  <c r="AE884" i="5"/>
  <c r="AE1796" i="5"/>
  <c r="AE925" i="5"/>
  <c r="AE885" i="5"/>
  <c r="AE1812" i="5"/>
  <c r="AE886" i="5"/>
  <c r="AE1813" i="5"/>
  <c r="AE1797" i="5"/>
  <c r="AE3860" i="5"/>
  <c r="AE3615" i="5"/>
  <c r="AE1901" i="5"/>
  <c r="AE887" i="5"/>
  <c r="AE2143" i="5"/>
  <c r="AE959" i="5"/>
  <c r="AE926" i="5"/>
  <c r="AE888" i="5"/>
  <c r="AE1814" i="5"/>
  <c r="AE1798" i="5"/>
  <c r="AE960" i="5"/>
  <c r="AE927" i="5"/>
  <c r="AE889" i="5"/>
  <c r="AE1815" i="5"/>
  <c r="AE1799" i="5"/>
  <c r="AE3496" i="5"/>
  <c r="AE961" i="5"/>
  <c r="AE1902" i="5"/>
  <c r="AE890" i="5"/>
  <c r="AE1852" i="5"/>
  <c r="AE1816" i="5"/>
  <c r="AE928" i="5"/>
  <c r="AE891" i="5"/>
  <c r="AE1817" i="5"/>
  <c r="AE3517" i="5"/>
  <c r="AE2144" i="5"/>
  <c r="AE2119" i="5"/>
  <c r="AE2081" i="5"/>
  <c r="AE3686" i="5"/>
  <c r="AE1949" i="5"/>
  <c r="AE3647" i="5"/>
  <c r="AE3571" i="5"/>
  <c r="AE3562" i="5"/>
  <c r="AE3482" i="5"/>
  <c r="AE847" i="5"/>
  <c r="AE1847" i="5"/>
  <c r="AE2515" i="5"/>
  <c r="AE1034" i="5"/>
  <c r="AE3753" i="5"/>
  <c r="AE962" i="5"/>
  <c r="AE956" i="5"/>
  <c r="AE1818" i="5"/>
  <c r="AE1788" i="5"/>
  <c r="AE963" i="5"/>
  <c r="AE957" i="5"/>
  <c r="AE1819" i="5"/>
  <c r="AE3500" i="5"/>
  <c r="AE3866" i="5"/>
  <c r="AE2052" i="5"/>
  <c r="AE1929" i="5"/>
  <c r="AE964" i="5"/>
  <c r="AE892" i="5"/>
  <c r="AE3754" i="5"/>
  <c r="AE965" i="5"/>
  <c r="AE900" i="5"/>
  <c r="AE893" i="5"/>
  <c r="AE1800" i="5"/>
  <c r="AE1789" i="5"/>
  <c r="AE2145" i="5"/>
  <c r="AE894" i="5"/>
  <c r="AE2151" i="5"/>
  <c r="AE1021" i="5"/>
  <c r="AE3714" i="5"/>
  <c r="AE1930" i="5"/>
  <c r="AE895" i="5"/>
  <c r="AE1801" i="5"/>
  <c r="AE2140" i="5"/>
  <c r="AE2085" i="5"/>
  <c r="AE2053" i="5"/>
  <c r="AE3616" i="5"/>
  <c r="AE3545" i="5"/>
  <c r="AE3852" i="5"/>
  <c r="AE1025" i="5"/>
  <c r="AE1022" i="5"/>
  <c r="AE3483" i="5"/>
  <c r="AE896" i="5"/>
  <c r="AE3501" i="5"/>
  <c r="AE1790" i="5"/>
  <c r="AE3867" i="5"/>
  <c r="AE1026" i="5"/>
  <c r="AE1016" i="5"/>
  <c r="AE897" i="5"/>
  <c r="AE1802" i="5"/>
  <c r="AE3849" i="5"/>
  <c r="AE3715" i="5"/>
  <c r="AE1966" i="5"/>
  <c r="AE3554" i="5"/>
  <c r="AE3824" i="5"/>
  <c r="AE3773" i="5"/>
  <c r="AE1017" i="5"/>
  <c r="AE3716" i="5"/>
  <c r="AE1956" i="5"/>
  <c r="AE3676" i="5"/>
  <c r="AE2582" i="5"/>
  <c r="AE2516" i="5"/>
  <c r="AE760" i="5"/>
  <c r="AE753" i="5"/>
  <c r="AE3841" i="5"/>
  <c r="AE2075" i="5"/>
  <c r="AE1989" i="5"/>
  <c r="AE3695" i="5"/>
  <c r="AE2620" i="5"/>
  <c r="AE1957" i="5"/>
  <c r="AE3677" i="5"/>
  <c r="AE1943" i="5"/>
  <c r="AE3666" i="5"/>
  <c r="AE3654" i="5"/>
  <c r="AE3648" i="5"/>
  <c r="AE3624" i="5"/>
  <c r="AE3543" i="5"/>
  <c r="AE2090" i="5"/>
  <c r="AE3617" i="5"/>
  <c r="AE1919" i="5"/>
  <c r="AE1865" i="5"/>
  <c r="AE1023" i="5"/>
  <c r="AE1866" i="5"/>
  <c r="AE3546" i="5"/>
  <c r="AE2130" i="5"/>
  <c r="AE3825" i="5"/>
  <c r="AE3774" i="5"/>
  <c r="AE3618" i="5"/>
  <c r="AE3596" i="5"/>
  <c r="AE1867" i="5"/>
  <c r="AE3547" i="5"/>
  <c r="AE1056" i="5"/>
  <c r="AE3729" i="5"/>
  <c r="AE3567" i="5"/>
  <c r="AE3502" i="5"/>
  <c r="AE3775" i="5"/>
  <c r="AE3597" i="5"/>
  <c r="AE3503" i="5"/>
  <c r="AE1881" i="5"/>
  <c r="AE3504" i="5"/>
  <c r="AE3853" i="5"/>
  <c r="AE3776" i="5"/>
  <c r="AE2054" i="5"/>
  <c r="AE3612" i="5"/>
  <c r="AE2588" i="5"/>
  <c r="AE2055" i="5"/>
  <c r="AE1920" i="5"/>
  <c r="AE2589" i="5"/>
  <c r="AE3556" i="5"/>
  <c r="AE3479" i="5"/>
  <c r="AE3505" i="5"/>
  <c r="AE2076" i="5"/>
  <c r="AE1910" i="5"/>
  <c r="AE1907" i="5"/>
  <c r="AE2590" i="5"/>
  <c r="AE1868" i="5"/>
  <c r="AE1820" i="5"/>
  <c r="AE1803" i="5"/>
  <c r="AE1057" i="5"/>
  <c r="AE3854" i="5"/>
  <c r="AE3717" i="5"/>
  <c r="AE2006" i="5"/>
  <c r="AE1921" i="5"/>
  <c r="AE2591" i="5"/>
  <c r="AE2152" i="5"/>
  <c r="AE2082" i="5"/>
  <c r="AE978" i="5"/>
  <c r="AE3687" i="5"/>
  <c r="AE1950" i="5"/>
  <c r="AE3669" i="5"/>
  <c r="AE740" i="5"/>
  <c r="AE1931" i="5"/>
  <c r="AE2517" i="5"/>
  <c r="AE1756" i="5"/>
  <c r="AE3871" i="5"/>
  <c r="AE1046" i="5"/>
  <c r="AE3755" i="5"/>
  <c r="AE989" i="5"/>
  <c r="AE973" i="5"/>
  <c r="AE3613" i="5"/>
  <c r="AE3598" i="5"/>
  <c r="AE1885" i="5"/>
  <c r="AE2592" i="5"/>
  <c r="AE2569" i="5"/>
  <c r="AE3506" i="5"/>
  <c r="AE990" i="5"/>
  <c r="AE979" i="5"/>
  <c r="AE929" i="5"/>
  <c r="AE1890" i="5"/>
  <c r="AE2593" i="5"/>
  <c r="AE1869" i="5"/>
  <c r="AE2146" i="5"/>
  <c r="AE3826" i="5"/>
  <c r="AE991" i="5"/>
  <c r="AE980" i="5"/>
  <c r="AE3619" i="5"/>
  <c r="AE1922" i="5"/>
  <c r="AE930" i="5"/>
  <c r="AE2594" i="5"/>
  <c r="AE1870" i="5"/>
  <c r="AE1804" i="5"/>
  <c r="AE3827" i="5"/>
  <c r="AE992" i="5"/>
  <c r="AE981" i="5"/>
  <c r="AE1911" i="5"/>
  <c r="AE931" i="5"/>
  <c r="AE3557" i="5"/>
  <c r="AE1821" i="5"/>
  <c r="AE3507" i="5"/>
  <c r="AE3857" i="5"/>
  <c r="AE2131" i="5"/>
  <c r="AE3828" i="5"/>
  <c r="AE3718" i="5"/>
  <c r="AE982" i="5"/>
  <c r="AE966" i="5"/>
  <c r="AE3558" i="5"/>
  <c r="AE1822" i="5"/>
  <c r="AE1050" i="5"/>
  <c r="AE2124" i="5"/>
  <c r="AE1990" i="5"/>
  <c r="AE1923" i="5"/>
  <c r="AE932" i="5"/>
  <c r="AE1882" i="5"/>
  <c r="AE1853" i="5"/>
  <c r="AE3868" i="5"/>
  <c r="AE1051" i="5"/>
  <c r="AE1991" i="5"/>
  <c r="AE933" i="5"/>
  <c r="AE779" i="5"/>
  <c r="AE1823" i="5"/>
  <c r="AE1058" i="5"/>
  <c r="AE1052" i="5"/>
  <c r="AE3792" i="5"/>
  <c r="AE2056" i="5"/>
  <c r="AE1992" i="5"/>
  <c r="AE934" i="5"/>
  <c r="AE1762" i="5"/>
  <c r="AE780" i="5"/>
  <c r="AE1824" i="5"/>
  <c r="AE2153" i="5"/>
  <c r="AE1053" i="5"/>
  <c r="AE2132" i="5"/>
  <c r="AE2125" i="5"/>
  <c r="AE3756" i="5"/>
  <c r="AE3723" i="5"/>
  <c r="AE1967" i="5"/>
  <c r="AE3484" i="5"/>
  <c r="AE1903" i="5"/>
  <c r="AE3568" i="5"/>
  <c r="AE2595" i="5"/>
  <c r="AE1857" i="5"/>
  <c r="AE3480" i="5"/>
  <c r="AE2147" i="5"/>
  <c r="AE3855" i="5"/>
  <c r="AE3846" i="5"/>
  <c r="AE3793" i="5"/>
  <c r="AE2057" i="5"/>
  <c r="AE1904" i="5"/>
  <c r="AE2596" i="5"/>
  <c r="AE1858" i="5"/>
  <c r="AE1763" i="5"/>
  <c r="AE781" i="5"/>
  <c r="AE2500" i="5"/>
  <c r="AE3862" i="5"/>
  <c r="AE3829" i="5"/>
  <c r="AE2083" i="5"/>
  <c r="AE1018" i="5"/>
  <c r="AE2058" i="5"/>
  <c r="AE2032" i="5"/>
  <c r="AE2007" i="5"/>
  <c r="AE983" i="5"/>
  <c r="AE1958" i="5"/>
  <c r="AE1951" i="5"/>
  <c r="AE1941" i="5"/>
  <c r="AE3655" i="5"/>
  <c r="AE1936" i="5"/>
  <c r="AE1932" i="5"/>
  <c r="AE3599" i="5"/>
  <c r="AE1891" i="5"/>
  <c r="AE1764" i="5"/>
  <c r="AE3555" i="5"/>
  <c r="AE808" i="5"/>
  <c r="AE1842" i="5"/>
  <c r="AE2518" i="5"/>
  <c r="AE755" i="5"/>
  <c r="AE1047" i="5"/>
  <c r="AE3842" i="5"/>
  <c r="AE2069" i="5"/>
  <c r="AE935" i="5"/>
  <c r="AE1886" i="5"/>
  <c r="AE1883" i="5"/>
  <c r="AE2597" i="5"/>
  <c r="AE1859" i="5"/>
  <c r="AE868" i="5"/>
  <c r="AE782" i="5"/>
  <c r="AE3518" i="5"/>
  <c r="AE3863" i="5"/>
  <c r="AE3719" i="5"/>
  <c r="AE1912" i="5"/>
  <c r="AE936" i="5"/>
  <c r="AE1884" i="5"/>
  <c r="AE2598" i="5"/>
  <c r="AE1860" i="5"/>
  <c r="AE1765" i="5"/>
  <c r="AE783" i="5"/>
  <c r="AE1825" i="5"/>
  <c r="AE2509" i="5"/>
  <c r="AE3519" i="5"/>
  <c r="AE1805" i="5"/>
  <c r="AE3864" i="5"/>
  <c r="AE2126" i="5"/>
  <c r="AE3794" i="5"/>
  <c r="AE3720" i="5"/>
  <c r="AE3708" i="5"/>
  <c r="AE993" i="5"/>
  <c r="AE1772" i="5"/>
  <c r="AE937" i="5"/>
  <c r="AE2599" i="5"/>
  <c r="AE869" i="5"/>
  <c r="AE1843" i="5"/>
  <c r="AE1826" i="5"/>
  <c r="AE3520" i="5"/>
  <c r="AE3847" i="5"/>
  <c r="AE3843" i="5"/>
  <c r="AE3795" i="5"/>
  <c r="AE1968" i="5"/>
  <c r="AE2600" i="5"/>
  <c r="AE1861" i="5"/>
  <c r="AE784" i="5"/>
  <c r="AE3511" i="5"/>
  <c r="AE1806" i="5"/>
  <c r="AE1054" i="5"/>
  <c r="AE3848" i="5"/>
  <c r="AE3830" i="5"/>
  <c r="AE1993" i="5"/>
  <c r="AE938" i="5"/>
  <c r="AE735" i="5"/>
  <c r="AE2601" i="5"/>
  <c r="AE3544" i="5"/>
  <c r="AE785" i="5"/>
  <c r="AE3527" i="5"/>
  <c r="AE2098" i="5"/>
  <c r="AE2033" i="5"/>
  <c r="AE746" i="5"/>
  <c r="AE736" i="5"/>
  <c r="AE2602" i="5"/>
  <c r="AE870" i="5"/>
  <c r="AE786" i="5"/>
  <c r="AE768" i="5"/>
  <c r="AE2519" i="5"/>
  <c r="AE3523" i="5"/>
  <c r="AE3869" i="5"/>
  <c r="AE1055" i="5"/>
  <c r="AE3831" i="5"/>
  <c r="AE3796" i="5"/>
  <c r="AE3777" i="5"/>
  <c r="AE3733" i="5"/>
  <c r="AE2603" i="5"/>
  <c r="AE1844" i="5"/>
  <c r="AE3497" i="5"/>
  <c r="AE2133" i="5"/>
  <c r="AE1994" i="5"/>
  <c r="AE1773" i="5"/>
  <c r="AE939" i="5"/>
  <c r="AE1862" i="5"/>
  <c r="AE2570" i="5"/>
  <c r="AE787" i="5"/>
  <c r="AE2520" i="5"/>
  <c r="AE3508" i="5"/>
  <c r="AE2148" i="5"/>
  <c r="AE3844" i="5"/>
  <c r="AE2638" i="5"/>
  <c r="AE3778" i="5"/>
  <c r="AE747" i="5"/>
  <c r="AE1905" i="5"/>
  <c r="AE3572" i="5"/>
  <c r="AE1863" i="5"/>
  <c r="AE2571" i="5"/>
  <c r="AE3550" i="5"/>
  <c r="AE788" i="5"/>
  <c r="AE2099" i="5"/>
  <c r="AE3797" i="5"/>
  <c r="AE1779" i="5"/>
  <c r="AE994" i="5"/>
  <c r="AE940" i="5"/>
  <c r="AE737" i="5"/>
  <c r="AE2521" i="5"/>
  <c r="AE2127" i="5"/>
  <c r="AE1780" i="5"/>
  <c r="AE2084" i="5"/>
  <c r="AE1019" i="5"/>
  <c r="AE2059" i="5"/>
  <c r="AE2008" i="5"/>
  <c r="AE3696" i="5"/>
  <c r="AE3688" i="5"/>
  <c r="AE3678" i="5"/>
  <c r="AE3656" i="5"/>
  <c r="AE3649" i="5"/>
  <c r="AE1937" i="5"/>
  <c r="AE3620" i="5"/>
  <c r="AE1871" i="5"/>
  <c r="AE871" i="5"/>
  <c r="AE865" i="5"/>
  <c r="AE821" i="5"/>
  <c r="AE796" i="5"/>
  <c r="AE3540" i="5"/>
  <c r="AE2522" i="5"/>
  <c r="AE3472" i="5"/>
  <c r="AE754" i="5"/>
  <c r="AE1995" i="5"/>
  <c r="AE995" i="5"/>
  <c r="AE3573" i="5"/>
  <c r="AE765" i="5"/>
  <c r="AE2523" i="5"/>
  <c r="AE2639" i="5"/>
  <c r="AE3798" i="5"/>
  <c r="AE3757" i="5"/>
  <c r="AE1003" i="5"/>
  <c r="AE1872" i="5"/>
  <c r="AE1864" i="5"/>
  <c r="AE766" i="5"/>
  <c r="AE3528" i="5"/>
  <c r="AE996" i="5"/>
  <c r="AE3529" i="5"/>
  <c r="AE2100" i="5"/>
  <c r="AE1035" i="5"/>
  <c r="AE3799" i="5"/>
  <c r="AE1004" i="5"/>
  <c r="AE997" i="5"/>
  <c r="AE967" i="5"/>
  <c r="AE1906" i="5"/>
  <c r="AE3551" i="5"/>
  <c r="AE2101" i="5"/>
  <c r="AE2034" i="5"/>
  <c r="AE1996" i="5"/>
  <c r="AE3521" i="5"/>
  <c r="AE2154" i="5"/>
  <c r="AE2035" i="5"/>
  <c r="AE998" i="5"/>
  <c r="AE1924" i="5"/>
  <c r="AE3590" i="5"/>
  <c r="AE848" i="5"/>
  <c r="AE3870" i="5"/>
  <c r="AE2102" i="5"/>
  <c r="AE2635" i="5"/>
  <c r="AE2036" i="5"/>
  <c r="AE999" i="5"/>
  <c r="AE3704" i="5"/>
  <c r="AE738" i="5"/>
  <c r="AE1878" i="5"/>
  <c r="AE849" i="5"/>
  <c r="AE2555" i="5"/>
  <c r="AE2103" i="5"/>
  <c r="AE2640" i="5"/>
  <c r="AE3779" i="5"/>
  <c r="AE3731" i="5"/>
  <c r="AE1997" i="5"/>
  <c r="AE3705" i="5"/>
  <c r="AE2583" i="5"/>
  <c r="AE850" i="5"/>
  <c r="AE2556" i="5"/>
  <c r="AE749" i="5"/>
  <c r="AE2104" i="5"/>
  <c r="AE3800" i="5"/>
  <c r="AE2037" i="5"/>
  <c r="AE1887" i="5"/>
  <c r="AE851" i="5"/>
  <c r="AE2557" i="5"/>
  <c r="AE758" i="5"/>
  <c r="AE2502" i="5"/>
  <c r="AE2641" i="5"/>
  <c r="AE3801" i="5"/>
  <c r="AE3721" i="5"/>
  <c r="AE2038" i="5"/>
  <c r="AE1998" i="5"/>
  <c r="AE1005" i="5"/>
  <c r="AE1940" i="5"/>
  <c r="AE852" i="5"/>
  <c r="AE2558" i="5"/>
  <c r="AE761" i="5"/>
  <c r="AE3802" i="5"/>
  <c r="AE1781" i="5"/>
  <c r="AE2070" i="5"/>
  <c r="AE3710" i="5"/>
  <c r="AE984" i="5"/>
  <c r="AE3697" i="5"/>
  <c r="AE1959" i="5"/>
  <c r="AE3679" i="5"/>
  <c r="AE1944" i="5"/>
  <c r="AE3614" i="5"/>
  <c r="AE1888" i="5"/>
  <c r="AE3574" i="5"/>
  <c r="AE866" i="5"/>
  <c r="AE3541" i="5"/>
  <c r="AE3530" i="5"/>
  <c r="AE2507" i="5"/>
  <c r="AE2141" i="5"/>
  <c r="AE3803" i="5"/>
  <c r="AE3780" i="5"/>
  <c r="AE1999" i="5"/>
  <c r="AE1006" i="5"/>
  <c r="AE3700" i="5"/>
  <c r="AE3625" i="5"/>
  <c r="AE1925" i="5"/>
  <c r="AE968" i="5"/>
  <c r="AE739" i="5"/>
  <c r="AE1879" i="5"/>
  <c r="AE853" i="5"/>
  <c r="AE3552" i="5"/>
  <c r="AE2559" i="5"/>
  <c r="AE3781" i="5"/>
  <c r="AE3701" i="5"/>
  <c r="AE3575" i="5"/>
  <c r="AE854" i="5"/>
  <c r="AE2560" i="5"/>
  <c r="AE3722" i="5"/>
  <c r="AE2584" i="5"/>
  <c r="AE855" i="5"/>
  <c r="AE2561" i="5"/>
  <c r="AE3509" i="5"/>
  <c r="AE2105" i="5"/>
  <c r="AE3804" i="5"/>
  <c r="AE2060" i="5"/>
  <c r="AE2039" i="5"/>
  <c r="AE2000" i="5"/>
  <c r="AE1926" i="5"/>
  <c r="AE969" i="5"/>
  <c r="AE856" i="5"/>
  <c r="AE2562" i="5"/>
  <c r="AE3808" i="5"/>
  <c r="AE1024" i="5"/>
  <c r="AE2040" i="5"/>
  <c r="AE2001" i="5"/>
  <c r="AE1774" i="5"/>
  <c r="AE952" i="5"/>
  <c r="AE857" i="5"/>
  <c r="AE2563" i="5"/>
  <c r="AE2134" i="5"/>
  <c r="AE3832" i="5"/>
  <c r="AE2106" i="5"/>
  <c r="AE3489" i="5"/>
  <c r="AE1020" i="5"/>
  <c r="AE2041" i="5"/>
  <c r="AE2002" i="5"/>
  <c r="AE3702" i="5"/>
  <c r="AE3591" i="5"/>
  <c r="AE3578" i="5"/>
  <c r="AE2564" i="5"/>
  <c r="AE2077" i="5"/>
  <c r="AE2042" i="5"/>
  <c r="AE3703" i="5"/>
  <c r="AE858" i="5"/>
  <c r="AE1845" i="5"/>
  <c r="AE2565" i="5"/>
  <c r="AE2107" i="5"/>
  <c r="AE3805" i="5"/>
  <c r="AE2043" i="5"/>
  <c r="AE2604" i="5"/>
  <c r="AE1854" i="5"/>
  <c r="AE859" i="5"/>
  <c r="AE2566" i="5"/>
  <c r="AE2503" i="5"/>
  <c r="AE2135" i="5"/>
  <c r="AE1038" i="5"/>
  <c r="AE2108" i="5"/>
  <c r="AE3592" i="5"/>
  <c r="AE3593" i="5"/>
  <c r="AE2003" i="5"/>
  <c r="AE2605" i="5"/>
  <c r="AE860" i="5"/>
  <c r="AE809" i="5"/>
  <c r="AE2567" i="5"/>
  <c r="AE1785" i="5"/>
  <c r="AE2121" i="5"/>
  <c r="AE3833" i="5"/>
  <c r="AE2109" i="5"/>
  <c r="AE3809" i="5"/>
  <c r="AE3594" i="5"/>
  <c r="AE3732" i="5"/>
  <c r="AE2009" i="5"/>
  <c r="AE3621" i="5"/>
  <c r="AE2606" i="5"/>
  <c r="AE861" i="5"/>
  <c r="AE2568" i="5"/>
  <c r="AE2149" i="5"/>
  <c r="AE2136" i="5"/>
  <c r="AE1782" i="5"/>
  <c r="AE2078" i="5"/>
  <c r="AE3706" i="5"/>
  <c r="AE985" i="5"/>
  <c r="AE3698" i="5"/>
  <c r="AE1960" i="5"/>
  <c r="AE1952" i="5"/>
  <c r="AE1945" i="5"/>
  <c r="AE3622" i="5"/>
  <c r="AE1889" i="5"/>
  <c r="AE1855" i="5"/>
  <c r="AE3492" i="5"/>
  <c r="AE2079" i="5"/>
  <c r="AE2061" i="5"/>
  <c r="AE3699" i="5"/>
  <c r="AE3689" i="5"/>
  <c r="AE1953" i="5"/>
  <c r="AE1942" i="5"/>
  <c r="AE3657" i="5"/>
  <c r="AE2617" i="5"/>
  <c r="AE1933" i="5"/>
  <c r="AE1848" i="5"/>
  <c r="AE797" i="5"/>
  <c r="AE2091" i="5"/>
  <c r="AE3175" i="5"/>
  <c r="AE3227" i="5"/>
  <c r="AE1593" i="5"/>
  <c r="AE3553" i="5"/>
  <c r="AE532" i="5"/>
  <c r="AE1405" i="5"/>
  <c r="AE3422" i="5"/>
  <c r="AE604" i="5"/>
  <c r="AE1317" i="5"/>
  <c r="AE1892" i="5"/>
  <c r="AE202" i="5"/>
  <c r="AE1541" i="5"/>
  <c r="AE1948" i="5"/>
  <c r="AE2268" i="5"/>
  <c r="AE402" i="5"/>
  <c r="AE3106" i="5"/>
  <c r="AE1267" i="5"/>
  <c r="AE3302" i="5"/>
  <c r="AE1701" i="5"/>
  <c r="AE623" i="5"/>
  <c r="AE56" i="5"/>
  <c r="AE1732" i="5"/>
  <c r="AE219" i="5"/>
  <c r="AE691" i="5"/>
  <c r="AE2420" i="5"/>
  <c r="AE1471" i="5"/>
  <c r="AE1840" i="5"/>
  <c r="AE1037" i="5"/>
  <c r="AE1320" i="5"/>
  <c r="AE113" i="5"/>
  <c r="AE2662" i="5"/>
  <c r="AE2697" i="5"/>
  <c r="AE430" i="5"/>
  <c r="AE399" i="5"/>
  <c r="AE2623" i="5"/>
  <c r="AE474" i="5"/>
  <c r="AE2384" i="5"/>
  <c r="AE239" i="5"/>
  <c r="AE2996" i="5"/>
  <c r="AE1132" i="5"/>
  <c r="AE2731" i="5"/>
  <c r="AE2263" i="5"/>
  <c r="AE247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155F3F-7246-4111-8480-138B12FEF6C2}" keepAlive="1" name="Query - FinalStimSet - 07 05 2021" description="Connection to the 'FinalStimSet - 07 05 2021' query in the workbook." type="5" refreshedVersion="0" background="1">
    <dbPr connection="Provider=Microsoft.Mashup.OleDb.1;Data Source=$Workbook$;Location=&quot;FinalStimSet - 07 05 2021&quot;;Extended Properties=&quot;&quot;" command="SELECT * FROM [FinalStimSet - 07 05 2021]"/>
  </connection>
  <connection id="2" xr16:uid="{C726D249-2340-47F9-AAE9-77530F137C4D}" keepAlive="1" name="Query - FinalStimSet - 07 05 2021 (2)" description="Connection to the 'FinalStimSet - 07 05 2021 (2)' query in the workbook." type="5" refreshedVersion="0" background="1">
    <dbPr connection="Provider=Microsoft.Mashup.OleDb.1;Data Source=$Workbook$;Location=&quot;FinalStimSet - 07 05 2021 (2)&quot;;Extended Properties=&quot;&quot;" command="SELECT * FROM [FinalStimSet - 07 05 2021 (2)]"/>
  </connection>
  <connection id="3" xr16:uid="{EDF57E8E-7E14-45C9-B70D-32D03F0E40B2}" keepAlive="1" name="Query - FinalStimSet - 07 05 2021 (3)" description="Connection to the 'FinalStimSet - 07 05 2021 (3)' query in the workbook." type="5" refreshedVersion="0" background="1">
    <dbPr connection="Provider=Microsoft.Mashup.OleDb.1;Data Source=$Workbook$;Location=&quot;FinalStimSet - 07 05 2021 (3)&quot;;Extended Properties=&quot;&quot;" command="SELECT * FROM [FinalStimSet - 07 05 2021 (3)]"/>
  </connection>
  <connection id="4" xr16:uid="{9AAE21FB-76EA-426A-BE19-40D6841DFBFA}" keepAlive="1" name="Query - FinalStimSet - 07 05 2021 (4)" description="Connection to the 'FinalStimSet - 07 05 2021 (4)' query in the workbook." type="5" refreshedVersion="0" background="1">
    <dbPr connection="Provider=Microsoft.Mashup.OleDb.1;Data Source=$Workbook$;Location=&quot;FinalStimSet - 07 05 2021 (4)&quot;;Extended Properties=&quot;&quot;" command="SELECT * FROM [FinalStimSet - 07 05 2021 (4)]"/>
  </connection>
  <connection id="5" xr16:uid="{FDE7F877-D462-4AE3-9AC1-DB71ABBDF95B}" keepAlive="1" name="Query - Stim" description="Connection to the 'Stim' query in the workbook." type="5" refreshedVersion="0" background="1">
    <dbPr connection="Provider=Microsoft.Mashup.OleDb.1;Data Source=$Workbook$;Location=Stim;Extended Properties=&quot;&quot;" command="SELECT * FROM [Stim]"/>
  </connection>
  <connection id="6" xr16:uid="{10E8D591-761E-42F5-9E37-EE6C5C675ACD}" keepAlive="1" name="Query - Stim (2)" description="Connection to the 'Stim (2)' query in the workbook." type="5" refreshedVersion="0" background="1">
    <dbPr connection="Provider=Microsoft.Mashup.OleDb.1;Data Source=$Workbook$;Location=&quot;Stim (2)&quot;;Extended Properties=&quot;&quot;" command="SELECT * FROM [Stim (2)]"/>
  </connection>
  <connection id="7" xr16:uid="{93F2AE35-EAB2-405A-BF9C-802824CD760D}" keepAlive="1" name="Query - Stim (3)" description="Connection to the 'Stim (3)' query in the workbook." type="5" refreshedVersion="0" background="1">
    <dbPr connection="Provider=Microsoft.Mashup.OleDb.1;Data Source=$Workbook$;Location=&quot;Stim (3)&quot;;Extended Properties=&quot;&quot;" command="SELECT * FROM [Stim (3)]"/>
  </connection>
  <connection id="8" xr16:uid="{E70B0AB3-0EBE-4AB6-8ED9-351D1D2F59ED}" keepAlive="1" name="Query - Stim (4)" description="Connection to the 'Stim (4)' query in the workbook." type="5" refreshedVersion="0" background="1">
    <dbPr connection="Provider=Microsoft.Mashup.OleDb.1;Data Source=$Workbook$;Location=&quot;Stim (4)&quot;;Extended Properties=&quot;&quot;" command="SELECT * FROM [Stim (4)]"/>
  </connection>
  <connection id="9" xr16:uid="{8BC73F62-085A-495F-A684-D92219F0393F}" keepAlive="1" name="Query - Stim (5)" description="Connection to the 'Stim (5)' query in the workbook." type="5" refreshedVersion="0" background="1">
    <dbPr connection="Provider=Microsoft.Mashup.OleDb.1;Data Source=$Workbook$;Location=&quot;Stim (5)&quot;;Extended Properties=&quot;&quot;" command="SELECT * FROM [Stim (5)]"/>
  </connection>
  <connection id="10" xr16:uid="{F2E2BC1C-04C3-4CEE-A337-2B0F15DA183F}" keepAlive="1" name="Query - Stim (6)" description="Connection to the 'Stim (6)' query in the workbook." type="5" refreshedVersion="0" background="1">
    <dbPr connection="Provider=Microsoft.Mashup.OleDb.1;Data Source=$Workbook$;Location=&quot;Stim (6)&quot;;Extended Properties=&quot;&quot;" command="SELECT * FROM [Stim (6)]"/>
  </connection>
  <connection id="11" xr16:uid="{6C568AB9-D729-43E8-926F-188C9B17B84F}" keepAlive="1" name="Query - Stim (7)" description="Connection to the 'Stim (7)' query in the workbook." type="5" refreshedVersion="7" background="1" saveData="1">
    <dbPr connection="Provider=Microsoft.Mashup.OleDb.1;Data Source=$Workbook$;Location=&quot;Stim (7)&quot;;Extended Properties=&quot;&quot;" command="SELECT * FROM [Stim (7)]"/>
  </connection>
  <connection id="12" xr16:uid="{70679231-2EDA-4A80-B0BD-F7B4DA6A80DD}" keepAlive="1" name="Query - Stimuli" description="Connection to the 'Stimuli' query in the workbook." type="5" refreshedVersion="7" background="1" saveData="1">
    <dbPr connection="Provider=Microsoft.Mashup.OleDb.1;Data Source=$Workbook$;Location=Stimuli;Extended Properties=&quot;&quot;" command="SELECT * FROM [Stimuli]"/>
  </connection>
</connections>
</file>

<file path=xl/sharedStrings.xml><?xml version="1.0" encoding="utf-8"?>
<sst xmlns="http://schemas.openxmlformats.org/spreadsheetml/2006/main" count="25264" uniqueCount="9089">
  <si>
    <t>ItemNr</t>
  </si>
  <si>
    <t>SongName</t>
  </si>
  <si>
    <t>SongNr</t>
  </si>
  <si>
    <t>SetNr</t>
  </si>
  <si>
    <t>TargetCat</t>
  </si>
  <si>
    <t>Comp</t>
  </si>
  <si>
    <t>LVL</t>
  </si>
  <si>
    <t>WiT</t>
  </si>
  <si>
    <t>WO</t>
  </si>
  <si>
    <t>InsLead</t>
  </si>
  <si>
    <t>InsGuitar</t>
  </si>
  <si>
    <t>InsPiano</t>
  </si>
  <si>
    <t>InsKeys</t>
  </si>
  <si>
    <t>InsBV</t>
  </si>
  <si>
    <t>InsStrings</t>
  </si>
  <si>
    <t>InsWinds</t>
  </si>
  <si>
    <t>InsBass</t>
  </si>
  <si>
    <t>InsDrums</t>
  </si>
  <si>
    <t>InsPercussions</t>
  </si>
  <si>
    <t>InsOthers</t>
  </si>
  <si>
    <t>StimName</t>
  </si>
  <si>
    <t>Music Delta-Country 1</t>
  </si>
  <si>
    <t>Guitar</t>
  </si>
  <si>
    <t>WoT</t>
  </si>
  <si>
    <t>Little Tybee-The Alchemist</t>
  </si>
  <si>
    <t>Bass</t>
  </si>
  <si>
    <t>Music Delta-Funk Jazz</t>
  </si>
  <si>
    <t>Lushlife-Toynbee_Suite</t>
  </si>
  <si>
    <t>Cat Martino-I Promise</t>
  </si>
  <si>
    <t>Lead</t>
  </si>
  <si>
    <t>Midnight Blue-Hunting Season</t>
  </si>
  <si>
    <t>Mutual Benefit-Not For Nothing</t>
  </si>
  <si>
    <t>Piano</t>
  </si>
  <si>
    <t>Clara_Berry_And_Wooldog-Boys</t>
  </si>
  <si>
    <t>Matthew Entwistle-Don''t You Ever</t>
  </si>
  <si>
    <t>Clara_Berry_And_Wooldog-Waltz_For_My_Victims</t>
  </si>
  <si>
    <t>Music Delta-Britpop</t>
  </si>
  <si>
    <t>Joel_Helander-Excessive_Resistance_to_Change</t>
  </si>
  <si>
    <t>Hezekiah_Jones-Borrowed_Heart</t>
  </si>
  <si>
    <t>Music Delta-Cool Jazz</t>
  </si>
  <si>
    <t>Jade_Safirah-Paraisso</t>
  </si>
  <si>
    <t>Music Delta-Shadows</t>
  </si>
  <si>
    <t>Music Delta-Grunge</t>
  </si>
  <si>
    <t>Clara_Berry_And_Wooldog-Air_Traffic</t>
  </si>
  <si>
    <t>Vieux _Farka_Jouré-Ana</t>
  </si>
  <si>
    <t>Ethan Hein-Girl On A Bridge</t>
  </si>
  <si>
    <t>Dreamers_Of_The_Ghetto-Heavy_Love</t>
  </si>
  <si>
    <t>Joel_Helander-Definition</t>
  </si>
  <si>
    <t>Aimee_Norwich-Child</t>
  </si>
  <si>
    <t>Music Delta-Country 2</t>
  </si>
  <si>
    <t>Hop_Along-Sister_Cities</t>
  </si>
  <si>
    <t>Music Delta-Beatles</t>
  </si>
  <si>
    <t>Brandon_Webster-Dont_Hear_A_Thing</t>
  </si>
  <si>
    <t>Pattern Is Movment-Save Me</t>
  </si>
  <si>
    <t>Faces_On_Film-Waiting_For_Ga</t>
  </si>
  <si>
    <t>Steven Clark-Bounty</t>
  </si>
  <si>
    <t>Music Delta-Rockabilly</t>
  </si>
  <si>
    <t>Night Panther-Fire</t>
  </si>
  <si>
    <t>Purling Hiss-Lolita</t>
  </si>
  <si>
    <t>Music Delta-Punk</t>
  </si>
  <si>
    <t>Grants-Punch_Drunk</t>
  </si>
  <si>
    <t>Clara_Berry_And_Wooldog-Stella</t>
  </si>
  <si>
    <t>Dead Milkmen-Prisoners Cinema</t>
  </si>
  <si>
    <t>Family_Band-Again</t>
  </si>
  <si>
    <t>Filthy Bird-I''d Like To Know</t>
  </si>
  <si>
    <t>Music Delta-80s Rock</t>
  </si>
  <si>
    <t>Matthew_Entwistle-An_Evening_With_Oliver</t>
  </si>
  <si>
    <t>The Districts-Vermont</t>
  </si>
  <si>
    <t>Alexander_Ross-Goodbye_Bolero</t>
  </si>
  <si>
    <t>Music Delta-Hendrix_</t>
  </si>
  <si>
    <t>Slow Ghost-Youre AMystery</t>
  </si>
  <si>
    <t>Music Delta-Rock</t>
  </si>
  <si>
    <t>Sweet Lights-You Let Me Down</t>
  </si>
  <si>
    <t>Music Delta-Bebop Jazz</t>
  </si>
  <si>
    <t>Snowmine-Curfews</t>
  </si>
  <si>
    <t>Liz Nelson-Rainfall</t>
  </si>
  <si>
    <t>Port St Willow-Stay Even</t>
  </si>
  <si>
    <t>Peter Matthew Baeuer-You Always Look For Someon Else</t>
  </si>
  <si>
    <t>Music Delta-Gospel</t>
  </si>
  <si>
    <t>Casandra Jenkins-Perfect Day</t>
  </si>
  <si>
    <t>Music Delta-Reggae</t>
  </si>
  <si>
    <t>Alexander_Ross-Velvet_Curtain</t>
  </si>
  <si>
    <t>Tourist_Kin</t>
  </si>
  <si>
    <t>Secret Mountains-High Horse</t>
  </si>
  <si>
    <t>Music Delta-Speed Metal</t>
  </si>
  <si>
    <t>Sargon-Silenci</t>
  </si>
  <si>
    <t>A Classic Education- Night Owl</t>
  </si>
  <si>
    <t>Kismet-TV_on</t>
  </si>
  <si>
    <t>Invisible_Familiars-Disturbing_Wildlife</t>
  </si>
  <si>
    <t>Ava_Luna-Waterduct</t>
  </si>
  <si>
    <t>The Kitchenettes-Alive</t>
  </si>
  <si>
    <t>Music Delta-Swing Jazz</t>
  </si>
  <si>
    <t>Fruit Cathedral-Keep Me Runnin</t>
  </si>
  <si>
    <t>Music Delta-Zeppelin</t>
  </si>
  <si>
    <t>Auctioneer-Our_Future_Faces</t>
  </si>
  <si>
    <t>Strand of Oaks-Spacestation</t>
  </si>
  <si>
    <t>Aimee_Norwich-Flying</t>
  </si>
  <si>
    <t>TimeStartSec</t>
  </si>
  <si>
    <t>TimeStartHz</t>
  </si>
  <si>
    <t>TimeEndHz</t>
  </si>
  <si>
    <t>Complexity(7)_Time(378)_SongNr(52).wav</t>
  </si>
  <si>
    <t>Complexity(7)_Time(82)_SongNr(27).wav</t>
  </si>
  <si>
    <t>Complexity(7)_Time(430)_SongNr(5).wav</t>
  </si>
  <si>
    <t>Complexity(7)_Time(312)_SongNr(52).wav</t>
  </si>
  <si>
    <t>Complexity(7)_Time(306)_SongNr(14).wav</t>
  </si>
  <si>
    <t>Complexity(7)_Time(280)_SongNr(4).wav</t>
  </si>
  <si>
    <t>Complexity(7)_Time(274)_SongNr(14).wav</t>
  </si>
  <si>
    <t>Complexity(7)_Time(272)_SongNr(102).wav</t>
  </si>
  <si>
    <t>Complexity(7)_Time(268)_SongNr(4).wav</t>
  </si>
  <si>
    <t>Complexity(7)_Time(252)_SongNr(97).wav</t>
  </si>
  <si>
    <t>Complexity(7)_Time(250)_SongNr(97).wav</t>
  </si>
  <si>
    <t>Complexity(7)_Time(240)_SongNr(27).wav</t>
  </si>
  <si>
    <t>Complexity(7)_Time(232)_SongNr(104).wav</t>
  </si>
  <si>
    <t>Complexity(7)_Time(228)_SongNr(104).wav</t>
  </si>
  <si>
    <t>Complexity(7)_Time(226)_SongNr(97).wav</t>
  </si>
  <si>
    <t>Complexity(7)_Time(224)_SongNr(27).wav</t>
  </si>
  <si>
    <t>Complexity(7)_Time(220)_SongNr(104).wav</t>
  </si>
  <si>
    <t>Complexity(7)_Time(216)_SongNr(13).wav</t>
  </si>
  <si>
    <t>Complexity(7)_Time(216)_SongNr(101).wav</t>
  </si>
  <si>
    <t>Complexity(7)_Time(214)_SongNr(37).wav</t>
  </si>
  <si>
    <t>Complexity(7)_Time(214)_SongNr(13).wav</t>
  </si>
  <si>
    <t>Complexity(7)_Time(200)_SongNr(13).wav</t>
  </si>
  <si>
    <t>Complexity(7)_Time(198)_SongNr(103).wav</t>
  </si>
  <si>
    <t>Complexity(7)_Time(184)_SongNr(8).wav</t>
  </si>
  <si>
    <t>Complexity(7)_Time(182)_SongNr(31).wav</t>
  </si>
  <si>
    <t>Complexity(7)_Time(176)_SongNr(7).wav</t>
  </si>
  <si>
    <t>Complexity(7)_Time(168)_SongNr(7).wav</t>
  </si>
  <si>
    <t>Complexity(7)_Time(168)_SongNr(31).wav</t>
  </si>
  <si>
    <t>Complexity(7)_Time(166)_SongNr(7).wav</t>
  </si>
  <si>
    <t>Complexity(7)_Time(166)_SongNr(31).wav</t>
  </si>
  <si>
    <t>Complexity(7)_Time(152)_SongNr(26).wav</t>
  </si>
  <si>
    <t>Complexity(7)_Time(142)_SongNr(32).wav</t>
  </si>
  <si>
    <t>Complexity(7)_Time(142)_SongNr(102).wav</t>
  </si>
  <si>
    <t>Complexity(7)_Time(138)_SongNr(115).wav</t>
  </si>
  <si>
    <t>Complexity(7)_Time(134)_SongNr(19).wav</t>
  </si>
  <si>
    <t>Complexity(7)_Time(130)_SongNr(102).wav</t>
  </si>
  <si>
    <t>Complexity(7)_Time(110)_SongNr(83).wav</t>
  </si>
  <si>
    <t>Complexity(7)_Time(110)_SongNr(115).wav</t>
  </si>
  <si>
    <t>Complexity(7)_Time(106)_SongNr(7).wav</t>
  </si>
  <si>
    <t>Complexity(7)_Time(104)_SongNr(83).wav</t>
  </si>
  <si>
    <t>Complexity(7)_Time(100)_SongNr(19).wav</t>
  </si>
  <si>
    <t>Complexity(6)_Time(96)_SongNr(38).wav</t>
  </si>
  <si>
    <t>Complexity(6)_Time(88)_SongNr(53).wav</t>
  </si>
  <si>
    <t>Complexity(6)_Time(84)_SongNr(2).wav</t>
  </si>
  <si>
    <t>Complexity(6)_Time(84)_SongNr(19).wav</t>
  </si>
  <si>
    <t>Complexity(6)_Time(82)_SongNr(1).wav</t>
  </si>
  <si>
    <t>Complexity(6)_Time(74)_SongNr(53).wav</t>
  </si>
  <si>
    <t>Complexity(6)_Time(70)_SongNr(52).wav</t>
  </si>
  <si>
    <t>Complexity(6)_Time(68)_SongNr(111).wav</t>
  </si>
  <si>
    <t>Complexity(6)_Time(66)_SongNr(20).wav</t>
  </si>
  <si>
    <t>Complexity(6)_Time(46)_SongNr(97).wav</t>
  </si>
  <si>
    <t>Complexity(6)_Time(408)_SongNr(5).wav</t>
  </si>
  <si>
    <t>Complexity(6)_Time(36)_SongNr(1).wav</t>
  </si>
  <si>
    <t>Complexity(6)_Time(30)_SongNr(84).wav</t>
  </si>
  <si>
    <t>Complexity(6)_Time(232)_SongNr(34).wav</t>
  </si>
  <si>
    <t>Complexity(6)_Time(232)_SongNr(14).wav</t>
  </si>
  <si>
    <t>Complexity(6)_Time(230)_SongNr(37).wav</t>
  </si>
  <si>
    <t>Complexity(6)_Time(194)_SongNr(38).wav</t>
  </si>
  <si>
    <t>Complexity(6)_Time(186)_SongNr(37).wav</t>
  </si>
  <si>
    <t>Complexity(6)_Time(186)_SongNr(111).wav</t>
  </si>
  <si>
    <t>Complexity(6)_Time(178)_SongNr(26).wav</t>
  </si>
  <si>
    <t>Complexity(6)_Time(176)_SongNr(111).wav</t>
  </si>
  <si>
    <t>Complexity(6)_Time(174)_SongNr(35).wav</t>
  </si>
  <si>
    <t>Complexity(6)_Time(172)_SongNr(39).wav</t>
  </si>
  <si>
    <t>Complexity(6)_Time(170)_SongNr(21).wav</t>
  </si>
  <si>
    <t>Complexity(6)_Time(152)_SongNr(83).wav</t>
  </si>
  <si>
    <t>Complexity(6)_Time(140)_SongNr(3).wav</t>
  </si>
  <si>
    <t>Complexity(6)_Time(138)_SongNr(49).wav</t>
  </si>
  <si>
    <t>Complexity(6)_Time(138)_SongNr(33).wav</t>
  </si>
  <si>
    <t>Complexity(6)_Time(136)_SongNr(34).wav</t>
  </si>
  <si>
    <t>Complexity(6)_Time(132)_SongNr(111).wav</t>
  </si>
  <si>
    <t>Complexity(6)_Time(130)_SongNr(39).wav</t>
  </si>
  <si>
    <t>Complexity(6)_Time(130)_SongNr(103).wav</t>
  </si>
  <si>
    <t>Complexity(6)_Time(122)_SongNr(110).wav</t>
  </si>
  <si>
    <t>Complexity(6)_Time(120)_SongNr(103).wav</t>
  </si>
  <si>
    <t>Complexity(6)_Time(110)_SongNr(33).wav</t>
  </si>
  <si>
    <t>Complexity(6)_Time(106)_SongNr(3).wav</t>
  </si>
  <si>
    <t>Complexity(6)_Time(104)_SongNr(39).wav</t>
  </si>
  <si>
    <t>Complexity(6)_Time(102)_SongNr(53).wav</t>
  </si>
  <si>
    <t>Complexity(6)_Time(102)_SongNr(49).wav</t>
  </si>
  <si>
    <t>Complexity(4)_Time(92)_SongNr(34).wav</t>
  </si>
  <si>
    <t>Complexity(4)_Time(90)_SongNr(63).wav</t>
  </si>
  <si>
    <t>Complexity(4)_Time(88)_SongNr(20).wav</t>
  </si>
  <si>
    <t>Complexity(4)_Time(70)_SongNr(70).wav</t>
  </si>
  <si>
    <t>Complexity(4)_Time(66)_SongNr(81).wav</t>
  </si>
  <si>
    <t>Complexity(4)_Time(60)_SongNr(23).wav</t>
  </si>
  <si>
    <t>Complexity(4)_Time(6)_SongNr(78).wav</t>
  </si>
  <si>
    <t>Complexity(4)_Time(6)_SongNr(77).wav</t>
  </si>
  <si>
    <t>Complexity(4)_Time(6)_SongNr(72).wav</t>
  </si>
  <si>
    <t>Complexity(4)_Time(6)_SongNr(65).wav</t>
  </si>
  <si>
    <t>Complexity(4)_Time(6)_SongNr(62).wav</t>
  </si>
  <si>
    <t>Complexity(4)_Time(54)_SongNr(2).wav</t>
  </si>
  <si>
    <t>Complexity(4)_Time(4)_SongNr(76).wav</t>
  </si>
  <si>
    <t>Complexity(4)_Time(4)_SongNr(59).wav</t>
  </si>
  <si>
    <t>Complexity(4)_Time(26)_SongNr(61).wav</t>
  </si>
  <si>
    <t>Complexity(4)_Time(20)_SongNr(63).wav</t>
  </si>
  <si>
    <t>Complexity(4)_Time(16)_SongNr(75).wav</t>
  </si>
  <si>
    <t>Complexity(4)_Time(152)_SongNr(2).wav</t>
  </si>
  <si>
    <t>Complexity(4)_Time(148)_SongNr(35).wav</t>
  </si>
  <si>
    <t>Complexity(4)_Time(14)_SongNr(71).wav</t>
  </si>
  <si>
    <t>Complexity(4)_Time(14)_SongNr(47).wav</t>
  </si>
  <si>
    <t>Complexity(4)_Time(124)_SongNr(57).wav</t>
  </si>
  <si>
    <t>Complexity(4)_Time(124)_SongNr(23).wav</t>
  </si>
  <si>
    <t>Complexity(4)_Time(12)_SongNr(96).wav</t>
  </si>
  <si>
    <t>Complexity(4)_Time(12)_SongNr(60).wav</t>
  </si>
  <si>
    <t>Complexity(4)_Time(100)_SongNr(93).wav</t>
  </si>
  <si>
    <t>Complexity(4)_Time(100)_SongNr(40).wav</t>
  </si>
  <si>
    <t>Complexity(3)_Time(96)_SongNr(83).wav</t>
  </si>
  <si>
    <t>Complexity(3)_Time(80)_SongNr(43).wav</t>
  </si>
  <si>
    <t>Complexity(3)_Time(8)_SongNr(79).wav</t>
  </si>
  <si>
    <t>Complexity(3)_Time(70)_SongNr(28).wav</t>
  </si>
  <si>
    <t>Complexity(3)_Time(690)_SongNr(54).wav</t>
  </si>
  <si>
    <t>Complexity(3)_Time(54)_SongNr(53).wav</t>
  </si>
  <si>
    <t>Complexity(3)_Time(52)_SongNr(93).wav</t>
  </si>
  <si>
    <t>Complexity(3)_Time(50)_SongNr(51).wav</t>
  </si>
  <si>
    <t>Complexity(3)_Time(46)_SongNr(21).wav</t>
  </si>
  <si>
    <t>Complexity(3)_Time(38)_SongNr(71).wav</t>
  </si>
  <si>
    <t>Complexity(3)_Time(32)_SongNr(64).wav</t>
  </si>
  <si>
    <t>Complexity(3)_Time(32)_SongNr(23).wav</t>
  </si>
  <si>
    <t>Complexity(3)_Time(22)_SongNr(103).wav</t>
  </si>
  <si>
    <t>Complexity(3)_Time(20)_SongNr(21).wav</t>
  </si>
  <si>
    <t>Complexity(3)_Time(18)_SongNr(80).wav</t>
  </si>
  <si>
    <t>Complexity(3)_Time(18)_SongNr(117).wav</t>
  </si>
  <si>
    <t>Complexity(3)_Time(16)_SongNr(68).wav</t>
  </si>
  <si>
    <t>Complexity(3)_Time(154)_SongNr(86).wav</t>
  </si>
  <si>
    <t>Complexity(3)_Time(122)_SongNr(20).wav</t>
  </si>
  <si>
    <t>Complexity(3)_Time(122)_SongNr(12).wav</t>
  </si>
  <si>
    <t>Complexity(3)_Time(122)_SongNr(104).wav</t>
  </si>
  <si>
    <t>Complexity(3)_Time(120)_SongNr(87).wav</t>
  </si>
  <si>
    <t>Complexity(3)_Time(114)_SongNr(40).wav</t>
  </si>
  <si>
    <t>Complexity(3)_Time(102)_SongNr(42).wav</t>
  </si>
  <si>
    <t>Complexity(3)_Time(10)_SongNr(82).wav</t>
  </si>
  <si>
    <t>StimNameForSearching</t>
  </si>
  <si>
    <t>Condition</t>
  </si>
  <si>
    <t>Big_Troubles-Phantom</t>
  </si>
  <si>
    <t>Complexity(3)_Time(98)_SongNr(10).wav</t>
  </si>
  <si>
    <t>Cayetana-Miss Thing</t>
  </si>
  <si>
    <t>Celestial_Shore-Die_For_Us</t>
  </si>
  <si>
    <t>Chris_Jacoby-Booth_Shot_Lincoln</t>
  </si>
  <si>
    <t>Chris_Jacoby-Pigs_Foot</t>
  </si>
  <si>
    <t>Creepoid-Old_Tree</t>
  </si>
  <si>
    <t>Complexity(4)_Time(74)_SongNr(24).wav</t>
  </si>
  <si>
    <t>Dahka Band-Soldier Man</t>
  </si>
  <si>
    <t>Ethan_Hein-1930s_Synth_And_Upright_Bass</t>
  </si>
  <si>
    <t>Helado_Negro-Mitad_Del_Mundo</t>
  </si>
  <si>
    <t>Complexity(3)_Time(86)_SongNr(36).wav</t>
  </si>
  <si>
    <t>James_May-Hold_On_You</t>
  </si>
  <si>
    <t>Complexity(4)_Time(32)_SongNr(41).wav</t>
  </si>
  <si>
    <t>Karim_Douaidy-Hopscotch</t>
  </si>
  <si>
    <t>Karim_Douaidy-Yatora</t>
  </si>
  <si>
    <t>Complexity(4)_Time(152)_SongNr(46).wav</t>
  </si>
  <si>
    <t>Complexity(4)_Time(16)_SongNr(47).wav</t>
  </si>
  <si>
    <t>Lewis And Clarke-The Silver Sea</t>
  </si>
  <si>
    <t>Meaxic-Take_A_Step</t>
  </si>
  <si>
    <t>Complexity(3)_Time(218)_SongNr(55).wav</t>
  </si>
  <si>
    <t>Meaxic-You Listen</t>
  </si>
  <si>
    <t>Complexity(4)_Time(68)_SongNr(56).wav</t>
  </si>
  <si>
    <t>Midnight Blue-Stars Are Screaming</t>
  </si>
  <si>
    <t>Complexity(4)_Time(186)_SongNr(58).wav</t>
  </si>
  <si>
    <t>Music Delta-Disco</t>
  </si>
  <si>
    <t>Music Delta-Free Jazz</t>
  </si>
  <si>
    <t>Music Delta-Fusion Jazz</t>
  </si>
  <si>
    <t>Music Delta-Latin Jazz</t>
  </si>
  <si>
    <t>Complexity(4)_Time(52)_SongNr(73).wav</t>
  </si>
  <si>
    <t>Music Delta-Modal Jazz</t>
  </si>
  <si>
    <t>Patrick_Talbot-Fool</t>
  </si>
  <si>
    <t>Complexity(4)_Time(68)_SongNr(85).wav</t>
  </si>
  <si>
    <t>Phoenix-Colliers Daughter</t>
  </si>
  <si>
    <t>Plasma-Good Shout</t>
  </si>
  <si>
    <t>Complexity(3)_Time(0)_SongNr(92).wav</t>
  </si>
  <si>
    <t>Robert_Hammon-The_Elephant</t>
  </si>
  <si>
    <t>Complexity(4)_Time(134)_SongNr(95).wav</t>
  </si>
  <si>
    <t>Slow Ghost-Dorst Snow</t>
  </si>
  <si>
    <t>Slow Ghost-Peanut</t>
  </si>
  <si>
    <t>Tabla Break Beat Science-Animoog</t>
  </si>
  <si>
    <t>Tabla Break Beat Science-Captain Sky</t>
  </si>
  <si>
    <t>Tabla Break Beat Science-Milo Vs Mongo</t>
  </si>
  <si>
    <t>Tabla Break Beat Science-Moody Plucks</t>
  </si>
  <si>
    <t>Complexity(4)_Time(158)_SongNr(108).wav</t>
  </si>
  <si>
    <t>Tabla Break Beat Science-Phase Transition</t>
  </si>
  <si>
    <t>Complexity(4)_Time(50)_SongNr(109).wav</t>
  </si>
  <si>
    <t>The Scarlet Brand-Les Fleuers Du Mal</t>
  </si>
  <si>
    <t>The Ton Tons-Lush</t>
  </si>
  <si>
    <t>Complexity(3)_Time(12)_SongNr(113).wav</t>
  </si>
  <si>
    <t>Torres-New Skin</t>
  </si>
  <si>
    <t>Trevor And The Soundwaves-Alone And Sad</t>
  </si>
  <si>
    <t>Complexity(3)_Time(194)_SongNr(116).wav</t>
  </si>
  <si>
    <t>Complexity(4)_Time(90)_SongNr(49).wav</t>
  </si>
  <si>
    <t>Complexity(6)_Time(140)_SongNr(48).wav</t>
  </si>
  <si>
    <t>Complexity(6)_Time(158)_SongNr(87).wav</t>
  </si>
  <si>
    <t>Complexity(7)_Time(198)_SongNr(101).wav</t>
  </si>
  <si>
    <t>Complexity(6)_Time(226)_SongNr(101).wav</t>
  </si>
  <si>
    <t>Complexity(7)_Time(130)_SongNr(32).wav</t>
  </si>
  <si>
    <t>Complexity(7)_Time(90)_SongNr(13).wav</t>
  </si>
  <si>
    <t>Complexity(3)_Time(242)_SongNr(13).wav</t>
  </si>
  <si>
    <t>Complexity(3)_Time(126)_SongNr(28).wav</t>
  </si>
  <si>
    <t>Complexity(3)_Time(46)_SongNr(81).wav</t>
  </si>
  <si>
    <t>Complexity(6)_Time(130)_SongNr(115).wav</t>
  </si>
  <si>
    <t>Complexity(6)_Time(96)_SongNr(1).wav</t>
  </si>
  <si>
    <t>Complexity(6)_Time(92)_SongNr(1).wav</t>
  </si>
  <si>
    <t>Complexity(6)_Time(74)_SongNr(1).wav</t>
  </si>
  <si>
    <t>Complexity(6)_Time(66)_SongNr(1).wav</t>
  </si>
  <si>
    <t>Complexity(6)_Time(64)_SongNr(1).wav</t>
  </si>
  <si>
    <t>Complexity(6)_Time(62)_SongNr(1).wav</t>
  </si>
  <si>
    <t>Complexity(6)_Time(60)_SongNr(1).wav</t>
  </si>
  <si>
    <t>Complexity(6)_Time(58)_SongNr(1).wav</t>
  </si>
  <si>
    <t>Complexity(6)_Time(52)_SongNr(1).wav</t>
  </si>
  <si>
    <t>Complexity(6)_Time(26)_SongNr(1).wav</t>
  </si>
  <si>
    <t>Complexity(6)_Time(18)_SongNr(1).wav</t>
  </si>
  <si>
    <t>Complexity(6)_Time(166)_SongNr(1).wav</t>
  </si>
  <si>
    <t>Complexity(6)_Time(154)_SongNr(1).wav</t>
  </si>
  <si>
    <t>Complexity(6)_Time(152)_SongNr(1).wav</t>
  </si>
  <si>
    <t>Complexity(6)_Time(138)_SongNr(1).wav</t>
  </si>
  <si>
    <t>Complexity(6)_Time(10)_SongNr(1).wav</t>
  </si>
  <si>
    <t>Complexity(6)_Time(94)_SongNr(1).wav</t>
  </si>
  <si>
    <t>Complexity(6)_Time(90)_SongNr(1).wav</t>
  </si>
  <si>
    <t>Complexity(6)_Time(88)_SongNr(1).wav</t>
  </si>
  <si>
    <t>Complexity(6)_Time(78)_SongNr(1).wav</t>
  </si>
  <si>
    <t>Complexity(6)_Time(68)_SongNr(1).wav</t>
  </si>
  <si>
    <t>Complexity(6)_Time(54)_SongNr(1).wav</t>
  </si>
  <si>
    <t>Complexity(6)_Time(44)_SongNr(1).wav</t>
  </si>
  <si>
    <t>Complexity(6)_Time(42)_SongNr(1).wav</t>
  </si>
  <si>
    <t>Complexity(6)_Time(32)_SongNr(1).wav</t>
  </si>
  <si>
    <t>Complexity(6)_Time(164)_SongNr(1).wav</t>
  </si>
  <si>
    <t>Complexity(6)_Time(162)_SongNr(1).wav</t>
  </si>
  <si>
    <t>Complexity(6)_Time(160)_SongNr(1).wav</t>
  </si>
  <si>
    <t>Complexity(6)_Time(142)_SongNr(1).wav</t>
  </si>
  <si>
    <t>Complexity(6)_Time(136)_SongNr(1).wav</t>
  </si>
  <si>
    <t>Complexity(6)_Time(134)_SongNr(1).wav</t>
  </si>
  <si>
    <t>Complexity(6)_Time(132)_SongNr(1).wav</t>
  </si>
  <si>
    <t>Complexity(6)_Time(12)_SongNr(1).wav</t>
  </si>
  <si>
    <t>Complexity(4)_Time(110)_SongNr(1).wav</t>
  </si>
  <si>
    <t>Complexity(6)_Time(86)_SongNr(1).wav</t>
  </si>
  <si>
    <t>Complexity(6)_Time(70)_SongNr(1).wav</t>
  </si>
  <si>
    <t>Complexity(6)_Time(38)_SongNr(1).wav</t>
  </si>
  <si>
    <t>Complexity(6)_Time(30)_SongNr(1).wav</t>
  </si>
  <si>
    <t>Complexity(6)_Time(24)_SongNr(1).wav</t>
  </si>
  <si>
    <t>Complexity(6)_Time(20)_SongNr(1).wav</t>
  </si>
  <si>
    <t>Complexity(6)_Time(16)_SongNr(1).wav</t>
  </si>
  <si>
    <t>Complexity(6)_Time(158)_SongNr(1).wav</t>
  </si>
  <si>
    <t>Complexity(6)_Time(146)_SongNr(1).wav</t>
  </si>
  <si>
    <t>Complexity(6)_Time(144)_SongNr(1).wav</t>
  </si>
  <si>
    <t>Complexity(6)_Time(14)_SongNr(1).wav</t>
  </si>
  <si>
    <t>Complexity(4)_Time(98)_SongNr(1).wav</t>
  </si>
  <si>
    <t>Complexity(6)_Time(98)_SongNr(2).wav</t>
  </si>
  <si>
    <t>Complexity(6)_Time(96)_SongNr(2).wav</t>
  </si>
  <si>
    <t>Complexity(6)_Time(118)_SongNr(2).wav</t>
  </si>
  <si>
    <t>Complexity(4)_Time(60)_SongNr(2).wav</t>
  </si>
  <si>
    <t>Complexity(4)_Time(40)_SongNr(2).wav</t>
  </si>
  <si>
    <t>Complexity(6)_Time(90)_SongNr(2).wav</t>
  </si>
  <si>
    <t>Complexity(6)_Time(82)_SongNr(2).wav</t>
  </si>
  <si>
    <t>Complexity(4)_Time(68)_SongNr(2).wav</t>
  </si>
  <si>
    <t>Complexity(4)_Time(66)_SongNr(2).wav</t>
  </si>
  <si>
    <t>Complexity(3)_Time(24)_SongNr(2).wav</t>
  </si>
  <si>
    <t>Complexity(3)_Time(18)_SongNr(2).wav</t>
  </si>
  <si>
    <t>Complexity(6)_Time(116)_SongNr(2).wav</t>
  </si>
  <si>
    <t>Complexity(4)_Time(158)_SongNr(2).wav</t>
  </si>
  <si>
    <t>Complexity(4)_Time(154)_SongNr(2).wav</t>
  </si>
  <si>
    <t>Complexity(4)_Time(148)_SongNr(2).wav</t>
  </si>
  <si>
    <t>Complexity(4)_Time(140)_SongNr(2).wav</t>
  </si>
  <si>
    <t>Complexity(4)_Time(138)_SongNr(2).wav</t>
  </si>
  <si>
    <t>Complexity(3)_Time(160)_SongNr(2).wav</t>
  </si>
  <si>
    <t>Complexity(6)_Time(92)_SongNr(2).wav</t>
  </si>
  <si>
    <t>Complexity(6)_Time(120)_SongNr(2).wav</t>
  </si>
  <si>
    <t>Complexity(6)_Time(110)_SongNr(2).wav</t>
  </si>
  <si>
    <t>Complexity(6)_Time(152)_SongNr(3).wav</t>
  </si>
  <si>
    <t>Complexity(6)_Time(150)_SongNr(3).wav</t>
  </si>
  <si>
    <t>Complexity(6)_Time(132)_SongNr(3).wav</t>
  </si>
  <si>
    <t>Complexity(6)_Time(116)_SongNr(3).wav</t>
  </si>
  <si>
    <t>Complexity(6)_Time(112)_SongNr(3).wav</t>
  </si>
  <si>
    <t>Complexity(6)_Time(102)_SongNr(3).wav</t>
  </si>
  <si>
    <t>Complexity(3)_Time(38)_SongNr(3).wav</t>
  </si>
  <si>
    <t>Complexity(6)_Time(156)_SongNr(3).wav</t>
  </si>
  <si>
    <t>Complexity(6)_Time(146)_SongNr(3).wav</t>
  </si>
  <si>
    <t>Complexity(6)_Time(138)_SongNr(3).wav</t>
  </si>
  <si>
    <t>Complexity(6)_Time(134)_SongNr(3).wav</t>
  </si>
  <si>
    <t>Complexity(6)_Time(130)_SongNr(3).wav</t>
  </si>
  <si>
    <t>Complexity(6)_Time(128)_SongNr(3).wav</t>
  </si>
  <si>
    <t>Complexity(6)_Time(124)_SongNr(3).wav</t>
  </si>
  <si>
    <t>Complexity(6)_Time(110)_SongNr(3).wav</t>
  </si>
  <si>
    <t>Complexity(6)_Time(108)_SongNr(3).wav</t>
  </si>
  <si>
    <t>Complexity(6)_Time(144)_SongNr(3).wav</t>
  </si>
  <si>
    <t>Complexity(6)_Time(142)_SongNr(3).wav</t>
  </si>
  <si>
    <t>Complexity(6)_Time(126)_SongNr(3).wav</t>
  </si>
  <si>
    <t>Complexity(6)_Time(120)_SongNr(3).wav</t>
  </si>
  <si>
    <t>Complexity(6)_Time(118)_SongNr(3).wav</t>
  </si>
  <si>
    <t>Complexity(4)_Time(82)_SongNr(3).wav</t>
  </si>
  <si>
    <t>Complexity(3)_Time(30)_SongNr(3).wav</t>
  </si>
  <si>
    <t>Complexity(3)_Time(184)_SongNr(3).wav</t>
  </si>
  <si>
    <t>Complexity(3)_Time(162)_SongNr(3).wav</t>
  </si>
  <si>
    <t>Complexity(7)_Time(270)_SongNr(4).wav</t>
  </si>
  <si>
    <t>Complexity(7)_Time(266)_SongNr(4).wav</t>
  </si>
  <si>
    <t>Complexity(7)_Time(264)_SongNr(4).wav</t>
  </si>
  <si>
    <t>Complexity(6)_Time(90)_SongNr(4).wav</t>
  </si>
  <si>
    <t>Complexity(6)_Time(170)_SongNr(4).wav</t>
  </si>
  <si>
    <t>Complexity(4)_Time(46)_SongNr(4).wav</t>
  </si>
  <si>
    <t>Complexity(4)_Time(38)_SongNr(4).wav</t>
  </si>
  <si>
    <t>Complexity(7)_Time(276)_SongNr(4).wav</t>
  </si>
  <si>
    <t>Complexity(7)_Time(262)_SongNr(4).wav</t>
  </si>
  <si>
    <t>Complexity(7)_Time(260)_SongNr(4).wav</t>
  </si>
  <si>
    <t>Complexity(6)_Time(86)_SongNr(4).wav</t>
  </si>
  <si>
    <t>Complexity(6)_Time(180)_SongNr(4).wav</t>
  </si>
  <si>
    <t>Complexity(6)_Time(172)_SongNr(4).wav</t>
  </si>
  <si>
    <t>Complexity(7)_Time(278)_SongNr(4).wav</t>
  </si>
  <si>
    <t>Complexity(7)_Time(274)_SongNr(4).wav</t>
  </si>
  <si>
    <t>Complexity(7)_Time(272)_SongNr(4).wav</t>
  </si>
  <si>
    <t>Complexity(7)_Time(258)_SongNr(4).wav</t>
  </si>
  <si>
    <t>Complexity(6)_Time(178)_SongNr(4).wav</t>
  </si>
  <si>
    <t>Complexity(4)_Time(222)_SongNr(4).wav</t>
  </si>
  <si>
    <t>Complexity(7)_Time(452)_SongNr(5).wav</t>
  </si>
  <si>
    <t>Complexity(7)_Time(446)_SongNr(5).wav</t>
  </si>
  <si>
    <t>Complexity(7)_Time(444)_SongNr(5).wav</t>
  </si>
  <si>
    <t>Complexity(6)_Time(424)_SongNr(5).wav</t>
  </si>
  <si>
    <t>Complexity(6)_Time(412)_SongNr(5).wav</t>
  </si>
  <si>
    <t>Complexity(6)_Time(410)_SongNr(5).wav</t>
  </si>
  <si>
    <t>Complexity(6)_Time(310)_SongNr(5).wav</t>
  </si>
  <si>
    <t>Complexity(6)_Time(288)_SongNr(5).wav</t>
  </si>
  <si>
    <t>Complexity(4)_Time(392)_SongNr(5).wav</t>
  </si>
  <si>
    <t>Complexity(4)_Time(372)_SongNr(5).wav</t>
  </si>
  <si>
    <t>Complexity(3)_Time(350)_SongNr(5).wav</t>
  </si>
  <si>
    <t>Complexity(3)_Time(148)_SongNr(5).wav</t>
  </si>
  <si>
    <t>Complexity(3)_Time(140)_SongNr(5).wav</t>
  </si>
  <si>
    <t>Complexity(3)_Time(118)_SongNr(5).wav</t>
  </si>
  <si>
    <t>Complexity(7)_Time(484)_SongNr(5).wav</t>
  </si>
  <si>
    <t>Complexity(7)_Time(480)_SongNr(5).wav</t>
  </si>
  <si>
    <t>Complexity(7)_Time(478)_SongNr(5).wav</t>
  </si>
  <si>
    <t>Complexity(7)_Time(468)_SongNr(5).wav</t>
  </si>
  <si>
    <t>Complexity(7)_Time(466)_SongNr(5).wav</t>
  </si>
  <si>
    <t>Complexity(7)_Time(464)_SongNr(5).wav</t>
  </si>
  <si>
    <t>Complexity(7)_Time(462)_SongNr(5).wav</t>
  </si>
  <si>
    <t>Complexity(7)_Time(454)_SongNr(5).wav</t>
  </si>
  <si>
    <t>Complexity(7)_Time(450)_SongNr(5).wav</t>
  </si>
  <si>
    <t>Complexity(7)_Time(442)_SongNr(5).wav</t>
  </si>
  <si>
    <t>Complexity(6)_Time(434)_SongNr(5).wav</t>
  </si>
  <si>
    <t>Complexity(6)_Time(416)_SongNr(5).wav</t>
  </si>
  <si>
    <t>Complexity(6)_Time(414)_SongNr(5).wav</t>
  </si>
  <si>
    <t>Complexity(6)_Time(316)_SongNr(5).wav</t>
  </si>
  <si>
    <t>Complexity(6)_Time(294)_SongNr(5).wav</t>
  </si>
  <si>
    <t>Complexity(6)_Time(292)_SongNr(5).wav</t>
  </si>
  <si>
    <t>Complexity(3)_Time(360)_SongNr(5).wav</t>
  </si>
  <si>
    <t>Complexity(7)_Time(482)_SongNr(5).wav</t>
  </si>
  <si>
    <t>Complexity(7)_Time(476)_SongNr(5).wav</t>
  </si>
  <si>
    <t>Complexity(7)_Time(474)_SongNr(5).wav</t>
  </si>
  <si>
    <t>Complexity(7)_Time(472)_SongNr(5).wav</t>
  </si>
  <si>
    <t>Complexity(7)_Time(470)_SongNr(5).wav</t>
  </si>
  <si>
    <t>Complexity(7)_Time(460)_SongNr(5).wav</t>
  </si>
  <si>
    <t>Complexity(7)_Time(456)_SongNr(5).wav</t>
  </si>
  <si>
    <t>Complexity(7)_Time(440)_SongNr(5).wav</t>
  </si>
  <si>
    <t>Complexity(7)_Time(438)_SongNr(5).wav</t>
  </si>
  <si>
    <t>Complexity(7)_Time(436)_SongNr(5).wav</t>
  </si>
  <si>
    <t>Complexity(7)_Time(428)_SongNr(5).wav</t>
  </si>
  <si>
    <t>Complexity(6)_Time(486)_SongNr(5).wav</t>
  </si>
  <si>
    <t>Complexity(6)_Time(432)_SongNr(5).wav</t>
  </si>
  <si>
    <t>Complexity(6)_Time(422)_SongNr(5).wav</t>
  </si>
  <si>
    <t>Complexity(4)_Time(326)_SongNr(5).wav</t>
  </si>
  <si>
    <t>Complexity(6)_Time(60)_SongNr(7).wav</t>
  </si>
  <si>
    <t>Complexity(6)_Time(38)_SongNr(7).wav</t>
  </si>
  <si>
    <t>Complexity(6)_Time(30)_SongNr(7).wav</t>
  </si>
  <si>
    <t>Complexity(4)_Time(54)_SongNr(7).wav</t>
  </si>
  <si>
    <t>Complexity(3)_Time(18)_SongNr(7).wav</t>
  </si>
  <si>
    <t>Complexity(7)_Time(182)_SongNr(7).wav</t>
  </si>
  <si>
    <t>Complexity(7)_Time(180)_SongNr(7).wav</t>
  </si>
  <si>
    <t>Complexity(6)_Time(62)_SongNr(7).wav</t>
  </si>
  <si>
    <t>Complexity(6)_Time(34)_SongNr(7).wav</t>
  </si>
  <si>
    <t>Complexity(4)_Time(46)_SongNr(7).wav</t>
  </si>
  <si>
    <t>Complexity(4)_Time(44)_SongNr(7).wav</t>
  </si>
  <si>
    <t>Complexity(3)_Time(24)_SongNr(7).wav</t>
  </si>
  <si>
    <t>Complexity(7)_Time(68)_SongNr(7).wav</t>
  </si>
  <si>
    <t>Complexity(7)_Time(184)_SongNr(7).wav</t>
  </si>
  <si>
    <t>Complexity(7)_Time(170)_SongNr(7).wav</t>
  </si>
  <si>
    <t>Complexity(7)_Time(164)_SongNr(7).wav</t>
  </si>
  <si>
    <t>Complexity(6)_Time(94)_SongNr(7).wav</t>
  </si>
  <si>
    <t>Complexity(6)_Time(80)_SongNr(7).wav</t>
  </si>
  <si>
    <t>Complexity(6)_Time(76)_SongNr(7).wav</t>
  </si>
  <si>
    <t>Complexity(6)_Time(70)_SongNr(7).wav</t>
  </si>
  <si>
    <t>Complexity(6)_Time(174)_SongNr(7).wav</t>
  </si>
  <si>
    <t>Complexity(7)_Time(190)_SongNr(7).wav</t>
  </si>
  <si>
    <t>Complexity(7)_Time(188)_SongNr(7).wav</t>
  </si>
  <si>
    <t>Complexity(7)_Time(186)_SongNr(7).wav</t>
  </si>
  <si>
    <t>Complexity(7)_Time(178)_SongNr(7).wav</t>
  </si>
  <si>
    <t>Complexity(7)_Time(172)_SongNr(7).wav</t>
  </si>
  <si>
    <t>Complexity(6)_Time(92)_SongNr(7).wav</t>
  </si>
  <si>
    <t>Complexity(6)_Time(84)_SongNr(7).wav</t>
  </si>
  <si>
    <t>Complexity(6)_Time(74)_SongNr(7).wav</t>
  </si>
  <si>
    <t>Complexity(6)_Time(72)_SongNr(7).wav</t>
  </si>
  <si>
    <t>Complexity(6)_Time(52)_SongNr(7).wav</t>
  </si>
  <si>
    <t>Complexity(6)_Time(32)_SongNr(7).wav</t>
  </si>
  <si>
    <t>Complexity(6)_Time(192)_SongNr(7).wav</t>
  </si>
  <si>
    <t>Complexity(7)_Time(174)_SongNr(8).wav</t>
  </si>
  <si>
    <t>Complexity(6)_Time(80)_SongNr(8).wav</t>
  </si>
  <si>
    <t>Complexity(6)_Time(74)_SongNr(8).wav</t>
  </si>
  <si>
    <t>Complexity(6)_Time(226)_SongNr(8).wav</t>
  </si>
  <si>
    <t>Complexity(6)_Time(208)_SongNr(8).wav</t>
  </si>
  <si>
    <t>Complexity(6)_Time(202)_SongNr(8).wav</t>
  </si>
  <si>
    <t>Complexity(6)_Time(118)_SongNr(8).wav</t>
  </si>
  <si>
    <t>Complexity(3)_Time(72)_SongNr(8).wav</t>
  </si>
  <si>
    <t>Complexity(3)_Time(60)_SongNr(8).wav</t>
  </si>
  <si>
    <t>Complexity(3)_Time(58)_SongNr(8).wav</t>
  </si>
  <si>
    <t>Complexity(3)_Time(56)_SongNr(8).wav</t>
  </si>
  <si>
    <t>Complexity(3)_Time(142)_SongNr(8).wav</t>
  </si>
  <si>
    <t>Complexity(7)_Time(172)_SongNr(8).wav</t>
  </si>
  <si>
    <t>Complexity(6)_Time(98)_SongNr(8).wav</t>
  </si>
  <si>
    <t>Complexity(6)_Time(96)_SongNr(8).wav</t>
  </si>
  <si>
    <t>Complexity(6)_Time(84)_SongNr(8).wav</t>
  </si>
  <si>
    <t>Complexity(6)_Time(82)_SongNr(8).wav</t>
  </si>
  <si>
    <t>Complexity(6)_Time(170)_SongNr(8).wav</t>
  </si>
  <si>
    <t>Complexity(6)_Time(116)_SongNr(8).wav</t>
  </si>
  <si>
    <t>Complexity(6)_Time(100)_SongNr(8).wav</t>
  </si>
  <si>
    <t>Complexity(3)_Time(154)_SongNr(8).wav</t>
  </si>
  <si>
    <t>Complexity(3)_Time(144)_SongNr(8).wav</t>
  </si>
  <si>
    <t>Complexity(7)_Time(76)_SongNr(8).wav</t>
  </si>
  <si>
    <t>Complexity(6)_Time(224)_SongNr(8).wav</t>
  </si>
  <si>
    <t>Complexity(6)_Time(112)_SongNr(8).wav</t>
  </si>
  <si>
    <t>Complexity(4)_Time(48)_SongNr(8).wav</t>
  </si>
  <si>
    <t>Complexity(4)_Time(56)_SongNr(10).wav</t>
  </si>
  <si>
    <t>Complexity(4)_Time(54)_SongNr(10).wav</t>
  </si>
  <si>
    <t>Complexity(4)_Time(42)_SongNr(10).wav</t>
  </si>
  <si>
    <t>Complexity(4)_Time(28)_SongNr(10).wav</t>
  </si>
  <si>
    <t>Complexity(3)_Time(64)_SongNr(10).wav</t>
  </si>
  <si>
    <t>Complexity(3)_Time(100)_SongNr(10).wav</t>
  </si>
  <si>
    <t>Complexity(3)_Time(110)_SongNr(10).wav</t>
  </si>
  <si>
    <t>Complexity(3)_Time(92)_SongNr(12).wav</t>
  </si>
  <si>
    <t>Complexity(3)_Time(124)_SongNr(12).wav</t>
  </si>
  <si>
    <t>Complexity(3)_Time(24)_SongNr(12).wav</t>
  </si>
  <si>
    <t>Complexity(3)_Time(104)_SongNr(12).wav</t>
  </si>
  <si>
    <t>Complexity(7)_Time(218)_SongNr(13).wav</t>
  </si>
  <si>
    <t>Complexity(7)_Time(212)_SongNr(13).wav</t>
  </si>
  <si>
    <t>Complexity(7)_Time(202)_SongNr(13).wav</t>
  </si>
  <si>
    <t>Complexity(7)_Time(198)_SongNr(13).wav</t>
  </si>
  <si>
    <t>Complexity(7)_Time(138)_SongNr(13).wav</t>
  </si>
  <si>
    <t>Complexity(7)_Time(114)_SongNr(13).wav</t>
  </si>
  <si>
    <t>Complexity(6)_Time(220)_SongNr(13).wav</t>
  </si>
  <si>
    <t>Complexity(6)_Time(192)_SongNr(13).wav</t>
  </si>
  <si>
    <t>Complexity(6)_Time(174)_SongNr(13).wav</t>
  </si>
  <si>
    <t>Complexity(6)_Time(144)_SongNr(13).wav</t>
  </si>
  <si>
    <t>Complexity(6)_Time(106)_SongNr(13).wav</t>
  </si>
  <si>
    <t>Complexity(3)_Time(64)_SongNr(13).wav</t>
  </si>
  <si>
    <t>Complexity(7)_Time(98)_SongNr(13).wav</t>
  </si>
  <si>
    <t>Complexity(7)_Time(132)_SongNr(13).wav</t>
  </si>
  <si>
    <t>Complexity(7)_Time(128)_SongNr(13).wav</t>
  </si>
  <si>
    <t>Complexity(7)_Time(108)_SongNr(13).wav</t>
  </si>
  <si>
    <t>Complexity(7)_Time(104)_SongNr(13).wav</t>
  </si>
  <si>
    <t>Complexity(6)_Time(92)_SongNr(13).wav</t>
  </si>
  <si>
    <t>Complexity(6)_Time(210)_SongNr(13).wav</t>
  </si>
  <si>
    <t>Complexity(6)_Time(182)_SongNr(13).wav</t>
  </si>
  <si>
    <t>Complexity(6)_Time(160)_SongNr(13).wav</t>
  </si>
  <si>
    <t>Complexity(6)_Time(154)_SongNr(13).wav</t>
  </si>
  <si>
    <t>Complexity(6)_Time(112)_SongNr(13).wav</t>
  </si>
  <si>
    <t>Complexity(7)_Time(194)_SongNr(13).wav</t>
  </si>
  <si>
    <t>Complexity(7)_Time(224)_SongNr(13).wav</t>
  </si>
  <si>
    <t>Complexity(7)_Time(204)_SongNr(13).wav</t>
  </si>
  <si>
    <t>Complexity(7)_Time(124)_SongNr(13).wav</t>
  </si>
  <si>
    <t>Complexity(7)_Time(116)_SongNr(13).wav</t>
  </si>
  <si>
    <t>Complexity(6)_Time(76)_SongNr(13).wav</t>
  </si>
  <si>
    <t>Complexity(6)_Time(206)_SongNr(13).wav</t>
  </si>
  <si>
    <t>Complexity(6)_Time(142)_SongNr(13).wav</t>
  </si>
  <si>
    <t>Complexity(6)_Time(140)_SongNr(13).wav</t>
  </si>
  <si>
    <t>Complexity(6)_Time(118)_SongNr(13).wav</t>
  </si>
  <si>
    <t>Complexity(6)_Time(110)_SongNr(13).wav</t>
  </si>
  <si>
    <t>Complexity(4)_Time(72)_SongNr(13).wav</t>
  </si>
  <si>
    <t>Complexity(4)_Time(150)_SongNr(13).wav</t>
  </si>
  <si>
    <t>Complexity(7)_Time(94)_SongNr(13).wav</t>
  </si>
  <si>
    <t>Complexity(7)_Time(86)_SongNr(13).wav</t>
  </si>
  <si>
    <t>Complexity(7)_Time(222)_SongNr(13).wav</t>
  </si>
  <si>
    <t>Complexity(7)_Time(196)_SongNr(13).wav</t>
  </si>
  <si>
    <t>Complexity(7)_Time(136)_SongNr(13).wav</t>
  </si>
  <si>
    <t>Complexity(7)_Time(126)_SongNr(13).wav</t>
  </si>
  <si>
    <t>Complexity(6)_Time(88)_SongNr(13).wav</t>
  </si>
  <si>
    <t>Complexity(6)_Time(122)_SongNr(13).wav</t>
  </si>
  <si>
    <t>Complexity(4)_Time(172)_SongNr(13).wav</t>
  </si>
  <si>
    <t>Complexity(3)_Time(52)_SongNr(13).wav</t>
  </si>
  <si>
    <t>Complexity(7)_Time(262)_SongNr(14).wav</t>
  </si>
  <si>
    <t>Complexity(7)_Time(260)_SongNr(14).wav</t>
  </si>
  <si>
    <t>Complexity(7)_Time(258)_SongNr(14).wav</t>
  </si>
  <si>
    <t>Complexity(7)_Time(248)_SongNr(14).wav</t>
  </si>
  <si>
    <t>Complexity(7)_Time(240)_SongNr(14).wav</t>
  </si>
  <si>
    <t>Complexity(7)_Time(236)_SongNr(14).wav</t>
  </si>
  <si>
    <t>Complexity(7)_Time(234)_SongNr(14).wav</t>
  </si>
  <si>
    <t>Complexity(7)_Time(200)_SongNr(14).wav</t>
  </si>
  <si>
    <t>Complexity(6)_Time(230)_SongNr(14).wav</t>
  </si>
  <si>
    <t>Complexity(6)_Time(220)_SongNr(14).wav</t>
  </si>
  <si>
    <t>Complexity(6)_Time(186)_SongNr(14).wav</t>
  </si>
  <si>
    <t>Complexity(6)_Time(184)_SongNr(14).wav</t>
  </si>
  <si>
    <t>Complexity(6)_Time(170)_SongNr(14).wav</t>
  </si>
  <si>
    <t>Complexity(6)_Time(166)_SongNr(14).wav</t>
  </si>
  <si>
    <t>Complexity(6)_Time(150)_SongNr(14).wav</t>
  </si>
  <si>
    <t>Complexity(6)_Time(142)_SongNr(14).wav</t>
  </si>
  <si>
    <t>Complexity(6)_Time(112)_SongNr(14).wav</t>
  </si>
  <si>
    <t>Complexity(6)_Time(106)_SongNr(14).wav</t>
  </si>
  <si>
    <t>Complexity(6)_Time(104)_SongNr(14).wav</t>
  </si>
  <si>
    <t>Complexity(7)_Time(318)_SongNr(14).wav</t>
  </si>
  <si>
    <t>Complexity(7)_Time(300)_SongNr(14).wav</t>
  </si>
  <si>
    <t>Complexity(7)_Time(278)_SongNr(14).wav</t>
  </si>
  <si>
    <t>Complexity(7)_Time(276)_SongNr(14).wav</t>
  </si>
  <si>
    <t>Complexity(7)_Time(266)_SongNr(14).wav</t>
  </si>
  <si>
    <t>Complexity(7)_Time(254)_SongNr(14).wav</t>
  </si>
  <si>
    <t>Complexity(6)_Time(310)_SongNr(14).wav</t>
  </si>
  <si>
    <t>Complexity(6)_Time(308)_SongNr(14).wav</t>
  </si>
  <si>
    <t>Complexity(6)_Time(296)_SongNr(14).wav</t>
  </si>
  <si>
    <t>Complexity(6)_Time(290)_SongNr(14).wav</t>
  </si>
  <si>
    <t>Complexity(6)_Time(288)_SongNr(14).wav</t>
  </si>
  <si>
    <t>Complexity(6)_Time(264)_SongNr(14).wav</t>
  </si>
  <si>
    <t>Complexity(6)_Time(250)_SongNr(14).wav</t>
  </si>
  <si>
    <t>Complexity(6)_Time(228)_SongNr(14).wav</t>
  </si>
  <si>
    <t>Complexity(6)_Time(226)_SongNr(14).wav</t>
  </si>
  <si>
    <t>Complexity(6)_Time(218)_SongNr(14).wav</t>
  </si>
  <si>
    <t>Complexity(6)_Time(214)_SongNr(14).wav</t>
  </si>
  <si>
    <t>Complexity(6)_Time(212)_SongNr(14).wav</t>
  </si>
  <si>
    <t>Complexity(6)_Time(210)_SongNr(14).wav</t>
  </si>
  <si>
    <t>Complexity(6)_Time(196)_SongNr(14).wav</t>
  </si>
  <si>
    <t>Complexity(6)_Time(190)_SongNr(14).wav</t>
  </si>
  <si>
    <t>Complexity(6)_Time(154)_SongNr(14).wav</t>
  </si>
  <si>
    <t>Complexity(6)_Time(152)_SongNr(14).wav</t>
  </si>
  <si>
    <t>Complexity(6)_Time(134)_SongNr(14).wav</t>
  </si>
  <si>
    <t>Complexity(6)_Time(124)_SongNr(14).wav</t>
  </si>
  <si>
    <t>Complexity(6)_Time(122)_SongNr(14).wav</t>
  </si>
  <si>
    <t>Complexity(3)_Time(34)_SongNr(14).wav</t>
  </si>
  <si>
    <t>Complexity(7)_Time(312)_SongNr(14).wav</t>
  </si>
  <si>
    <t>Complexity(7)_Time(272)_SongNr(14).wav</t>
  </si>
  <si>
    <t>Complexity(7)_Time(252)_SongNr(14).wav</t>
  </si>
  <si>
    <t>Complexity(7)_Time(246)_SongNr(14).wav</t>
  </si>
  <si>
    <t>Complexity(7)_Time(242)_SongNr(14).wav</t>
  </si>
  <si>
    <t>Complexity(7)_Time(208)_SongNr(14).wav</t>
  </si>
  <si>
    <t>Complexity(6)_Time(322)_SongNr(14).wav</t>
  </si>
  <si>
    <t>Complexity(6)_Time(316)_SongNr(14).wav</t>
  </si>
  <si>
    <t>Complexity(6)_Time(314)_SongNr(14).wav</t>
  </si>
  <si>
    <t>Complexity(6)_Time(268)_SongNr(14).wav</t>
  </si>
  <si>
    <t>Complexity(6)_Time(256)_SongNr(14).wav</t>
  </si>
  <si>
    <t>Complexity(6)_Time(188)_SongNr(14).wav</t>
  </si>
  <si>
    <t>Complexity(6)_Time(164)_SongNr(14).wav</t>
  </si>
  <si>
    <t>Complexity(6)_Time(138)_SongNr(14).wav</t>
  </si>
  <si>
    <t>Complexity(6)_Time(110)_SongNr(14).wav</t>
  </si>
  <si>
    <t>Complexity(4)_Time(80)_SongNr(15).wav</t>
  </si>
  <si>
    <t>Complexity(4)_Time(200)_SongNr(15).wav</t>
  </si>
  <si>
    <t>Complexity(4)_Time(12)_SongNr(15).wav</t>
  </si>
  <si>
    <t>Complexity(4)_Time(104)_SongNr(15).wav</t>
  </si>
  <si>
    <t>Complexity(3)_Time(212)_SongNr(15).wav</t>
  </si>
  <si>
    <t>Complexity(3)_Time(204)_SongNr(15).wav</t>
  </si>
  <si>
    <t>Complexity(3)_Time(64)_SongNr(15).wav</t>
  </si>
  <si>
    <t>Complexity(3)_Time(240)_SongNr(16).wav</t>
  </si>
  <si>
    <t>Complexity(3)_Time(238)_SongNr(16).wav</t>
  </si>
  <si>
    <t>Complexity(3)_Time(234)_SongNr(16).wav</t>
  </si>
  <si>
    <t>Complexity(3)_Time(226)_SongNr(16).wav</t>
  </si>
  <si>
    <t>Complexity(3)_Time(224)_SongNr(16).wav</t>
  </si>
  <si>
    <t>Complexity(3)_Time(202)_SongNr(16).wav</t>
  </si>
  <si>
    <t>Complexity(4)_Time(216)_SongNr(17).wav</t>
  </si>
  <si>
    <t>Complexity(4)_Time(140)_SongNr(17).wav</t>
  </si>
  <si>
    <t>Complexity(3)_Time(280)_SongNr(18).wav</t>
  </si>
  <si>
    <t>Complexity(7)_Time(52)_SongNr(19).wav</t>
  </si>
  <si>
    <t>Complexity(7)_Time(136)_SongNr(19).wav</t>
  </si>
  <si>
    <t>Complexity(6)_Time(82)_SongNr(19).wav</t>
  </si>
  <si>
    <t>Complexity(6)_Time(78)_SongNr(19).wav</t>
  </si>
  <si>
    <t>Complexity(6)_Time(68)_SongNr(19).wav</t>
  </si>
  <si>
    <t>Complexity(6)_Time(132)_SongNr(19).wav</t>
  </si>
  <si>
    <t>Complexity(6)_Time(126)_SongNr(19).wav</t>
  </si>
  <si>
    <t>Complexity(6)_Time(116)_SongNr(19).wav</t>
  </si>
  <si>
    <t>Complexity(6)_Time(114)_SongNr(19).wav</t>
  </si>
  <si>
    <t>Complexity(3)_Time(16)_SongNr(19).wav</t>
  </si>
  <si>
    <t>Complexity(6)_Time(148)_SongNr(19).wav</t>
  </si>
  <si>
    <t>Complexity(6)_Time(146)_SongNr(19).wav</t>
  </si>
  <si>
    <t>Complexity(6)_Time(122)_SongNr(19).wav</t>
  </si>
  <si>
    <t>Complexity(6)_Time(118)_SongNr(19).wav</t>
  </si>
  <si>
    <t>Complexity(6)_Time(110)_SongNr(19).wav</t>
  </si>
  <si>
    <t>Complexity(6)_Time(108)_SongNr(19).wav</t>
  </si>
  <si>
    <t>Complexity(6)_Time(102)_SongNr(19).wav</t>
  </si>
  <si>
    <t>Complexity(4)_Time(96)_SongNr(19).wav</t>
  </si>
  <si>
    <t>Complexity(6)_Time(80)_SongNr(19).wav</t>
  </si>
  <si>
    <t>Complexity(6)_Time(60)_SongNr(19).wav</t>
  </si>
  <si>
    <t>Complexity(6)_Time(144)_SongNr(19).wav</t>
  </si>
  <si>
    <t>Complexity(6)_Time(106)_SongNr(19).wav</t>
  </si>
  <si>
    <t>Complexity(6)_Time(104)_SongNr(19).wav</t>
  </si>
  <si>
    <t>Complexity(4)_Time(88)_SongNr(19).wav</t>
  </si>
  <si>
    <t>Complexity(6)_Time(92)_SongNr(19).wav</t>
  </si>
  <si>
    <t>Complexity(6)_Time(130)_SongNr(19).wav</t>
  </si>
  <si>
    <t>Complexity(6)_Time(124)_SongNr(19).wav</t>
  </si>
  <si>
    <t>Complexity(6)_Time(112)_SongNr(19).wav</t>
  </si>
  <si>
    <t>Complexity(6)_Time(68)_SongNr(20).wav</t>
  </si>
  <si>
    <t>Complexity(6)_Time(52)_SongNr(20).wav</t>
  </si>
  <si>
    <t>Complexity(6)_Time(50)_SongNr(20).wav</t>
  </si>
  <si>
    <t>Complexity(6)_Time(48)_SongNr(20).wav</t>
  </si>
  <si>
    <t>Complexity(6)_Time(118)_SongNr(20).wav</t>
  </si>
  <si>
    <t>Complexity(6)_Time(114)_SongNr(20).wav</t>
  </si>
  <si>
    <t>Complexity(6)_Time(110)_SongNr(20).wav</t>
  </si>
  <si>
    <t>Complexity(6)_Time(102)_SongNr(20).wav</t>
  </si>
  <si>
    <t>Complexity(4)_Time(62)_SongNr(20).wav</t>
  </si>
  <si>
    <t>Complexity(4)_Time(46)_SongNr(20).wav</t>
  </si>
  <si>
    <t>Complexity(3)_Time(70)_SongNr(20).wav</t>
  </si>
  <si>
    <t>Complexity(3)_Time(28)_SongNr(20).wav</t>
  </si>
  <si>
    <t>Complexity(6)_Time(98)_SongNr(20).wav</t>
  </si>
  <si>
    <t>Complexity(6)_Time(80)_SongNr(20).wav</t>
  </si>
  <si>
    <t>Complexity(6)_Time(116)_SongNr(20).wav</t>
  </si>
  <si>
    <t>Complexity(6)_Time(112)_SongNr(20).wav</t>
  </si>
  <si>
    <t>Complexity(6)_Time(108)_SongNr(20).wav</t>
  </si>
  <si>
    <t>Complexity(6)_Time(106)_SongNr(20).wav</t>
  </si>
  <si>
    <t>Complexity(6)_Time(104)_SongNr(20).wav</t>
  </si>
  <si>
    <t>Complexity(6)_Time(100)_SongNr(20).wav</t>
  </si>
  <si>
    <t>Complexity(4)_Time(96)_SongNr(20).wav</t>
  </si>
  <si>
    <t>Complexity(4)_Time(94)_SongNr(20).wav</t>
  </si>
  <si>
    <t>Complexity(4)_Time(92)_SongNr(20).wav</t>
  </si>
  <si>
    <t>Complexity(4)_Time(90)_SongNr(20).wav</t>
  </si>
  <si>
    <t>Complexity(4)_Time(86)_SongNr(20).wav</t>
  </si>
  <si>
    <t>Complexity(4)_Time(84)_SongNr(20).wav</t>
  </si>
  <si>
    <t>Complexity(4)_Time(38)_SongNr(20).wav</t>
  </si>
  <si>
    <t>Complexity(4)_Time(36)_SongNr(20).wav</t>
  </si>
  <si>
    <t>Complexity(4)_Time(34)_SongNr(20).wav</t>
  </si>
  <si>
    <t>Complexity(3)_Time(30)_SongNr(20).wav</t>
  </si>
  <si>
    <t>Complexity(3)_Time(24)_SongNr(20).wav</t>
  </si>
  <si>
    <t>Complexity(3)_Time(12)_SongNr(20).wav</t>
  </si>
  <si>
    <t>Complexity(6)_Time(172)_SongNr(21).wav</t>
  </si>
  <si>
    <t>Complexity(6)_Time(134)_SongNr(21).wav</t>
  </si>
  <si>
    <t>Complexity(6)_Time(132)_SongNr(21).wav</t>
  </si>
  <si>
    <t>Complexity(6)_Time(120)_SongNr(21).wav</t>
  </si>
  <si>
    <t>Complexity(6)_Time(118)_SongNr(21).wav</t>
  </si>
  <si>
    <t>Complexity(6)_Time(116)_SongNr(21).wav</t>
  </si>
  <si>
    <t>Complexity(4)_Time(54)_SongNr(21).wav</t>
  </si>
  <si>
    <t>Complexity(4)_Time(142)_SongNr(21).wav</t>
  </si>
  <si>
    <t>Complexity(3)_Time(38)_SongNr(21).wav</t>
  </si>
  <si>
    <t>Complexity(6)_Time(92)_SongNr(21).wav</t>
  </si>
  <si>
    <t>Complexity(6)_Time(128)_SongNr(21).wav</t>
  </si>
  <si>
    <t>Complexity(6)_Time(100)_SongNr(21).wav</t>
  </si>
  <si>
    <t>Complexity(4)_Time(98)_SongNr(21).wav</t>
  </si>
  <si>
    <t>Complexity(4)_Time(82)_SongNr(21).wav</t>
  </si>
  <si>
    <t>Complexity(4)_Time(70)_SongNr(21).wav</t>
  </si>
  <si>
    <t>Complexity(4)_Time(62)_SongNr(21).wav</t>
  </si>
  <si>
    <t>Complexity(4)_Time(166)_SongNr(21).wav</t>
  </si>
  <si>
    <t>Complexity(4)_Time(146)_SongNr(21).wav</t>
  </si>
  <si>
    <t>Complexity(4)_Time(144)_SongNr(21).wav</t>
  </si>
  <si>
    <t>Complexity(4)_Time(110)_SongNr(21).wav</t>
  </si>
  <si>
    <t>Complexity(4)_Time(108)_SongNr(21).wav</t>
  </si>
  <si>
    <t>Complexity(3)_Time(156)_SongNr(21).wav</t>
  </si>
  <si>
    <t>Complexity(6)_Time(94)_SongNr(21).wav</t>
  </si>
  <si>
    <t>Complexity(6)_Time(136)_SongNr(21).wav</t>
  </si>
  <si>
    <t>Complexity(6)_Time(130)_SongNr(21).wav</t>
  </si>
  <si>
    <t>Complexity(6)_Time(122)_SongNr(21).wav</t>
  </si>
  <si>
    <t>Complexity(6)_Time(114)_SongNr(21).wav</t>
  </si>
  <si>
    <t>Complexity(6)_Time(102)_SongNr(21).wav</t>
  </si>
  <si>
    <t>Complexity(4)_Time(60)_SongNr(21).wav</t>
  </si>
  <si>
    <t>Complexity(4)_Time(80)_SongNr(23).wav</t>
  </si>
  <si>
    <t>Complexity(4)_Time(74)_SongNr(23).wav</t>
  </si>
  <si>
    <t>Complexity(4)_Time(114)_SongNr(23).wav</t>
  </si>
  <si>
    <t>Complexity(4)_Time(106)_SongNr(23).wav</t>
  </si>
  <si>
    <t>Complexity(3)_Time(120)_SongNr(23).wav</t>
  </si>
  <si>
    <t>Complexity(4)_Time(94)_SongNr(23).wav</t>
  </si>
  <si>
    <t>Complexity(4)_Time(88)_SongNr(23).wav</t>
  </si>
  <si>
    <t>Complexity(4)_Time(86)_SongNr(23).wav</t>
  </si>
  <si>
    <t>Complexity(4)_Time(82)_SongNr(23).wav</t>
  </si>
  <si>
    <t>Complexity(4)_Time(76)_SongNr(23).wav</t>
  </si>
  <si>
    <t>Complexity(4)_Time(58)_SongNr(23).wav</t>
  </si>
  <si>
    <t>Complexity(4)_Time(50)_SongNr(23).wav</t>
  </si>
  <si>
    <t>Complexity(4)_Time(44)_SongNr(23).wav</t>
  </si>
  <si>
    <t>Complexity(4)_Time(128)_SongNr(23).wav</t>
  </si>
  <si>
    <t>Complexity(4)_Time(122)_SongNr(23).wav</t>
  </si>
  <si>
    <t>Complexity(4)_Time(118)_SongNr(23).wav</t>
  </si>
  <si>
    <t>Complexity(4)_Time(110)_SongNr(23).wav</t>
  </si>
  <si>
    <t>Complexity(4)_Time(100)_SongNr(23).wav</t>
  </si>
  <si>
    <t>Complexity(3)_Time(78)_SongNr(23).wav</t>
  </si>
  <si>
    <t>Complexity(3)_Time(68)_SongNr(23).wav</t>
  </si>
  <si>
    <t>Complexity(3)_Time(34)_SongNr(23).wav</t>
  </si>
  <si>
    <t>Complexity(3)_Time(28)_SongNr(23).wav</t>
  </si>
  <si>
    <t>Complexity(3)_Time(22)_SongNr(23).wav</t>
  </si>
  <si>
    <t>Complexity(3)_Time(20)_SongNr(23).wav</t>
  </si>
  <si>
    <t>Complexity(3)_Time(18)_SongNr(23).wav</t>
  </si>
  <si>
    <t>Complexity(3)_Time(16)_SongNr(23).wav</t>
  </si>
  <si>
    <t>Complexity(3)_Time(148)_SongNr(23).wav</t>
  </si>
  <si>
    <t>Complexity(3)_Time(144)_SongNr(23).wav</t>
  </si>
  <si>
    <t>Complexity(3)_Time(140)_SongNr(23).wav</t>
  </si>
  <si>
    <t>Complexity(3)_Time(14)_SongNr(23).wav</t>
  </si>
  <si>
    <t>Complexity(3)_Time(138)_SongNr(23).wav</t>
  </si>
  <si>
    <t>Complexity(4)_Time(112)_SongNr(23).wav</t>
  </si>
  <si>
    <t>Complexity(3)_Time(62)_SongNr(23).wav</t>
  </si>
  <si>
    <t>Complexity(3)_Time(134)_SongNr(23).wav</t>
  </si>
  <si>
    <t>Complexity(3)_Time(12)_SongNr(23).wav</t>
  </si>
  <si>
    <t>Complexity(4)_Time(142)_SongNr(24).wav</t>
  </si>
  <si>
    <t>Complexity(3)_Time(58)_SongNr(24).wav</t>
  </si>
  <si>
    <t>Complexity(3)_Time(54)_SongNr(24).wav</t>
  </si>
  <si>
    <t>Complexity(3)_Time(52)_SongNr(24).wav</t>
  </si>
  <si>
    <t>Complexity(3)_Time(136)_SongNr(24).wav</t>
  </si>
  <si>
    <t>Complexity(4)_Time(70)_SongNr(24).wav</t>
  </si>
  <si>
    <t>Complexity(4)_Time(270)_SongNr(24).wav</t>
  </si>
  <si>
    <t>Complexity(4)_Time(266)_SongNr(24).wav</t>
  </si>
  <si>
    <t>Complexity(3)_Time(256)_SongNr(24).wav</t>
  </si>
  <si>
    <t>Complexity(3)_Time(230)_SongNr(24).wav</t>
  </si>
  <si>
    <t>Complexity(3)_Time(222)_SongNr(24).wav</t>
  </si>
  <si>
    <t>Complexity(3)_Time(220)_SongNr(24).wav</t>
  </si>
  <si>
    <t>Complexity(3)_Time(170)_SongNr(24).wav</t>
  </si>
  <si>
    <t>Complexity(3)_Time(166)_SongNr(24).wav</t>
  </si>
  <si>
    <t>Complexity(4)_Time(110)_SongNr(25).wav</t>
  </si>
  <si>
    <t>Complexity(4)_Time(312)_SongNr(25).wav</t>
  </si>
  <si>
    <t>Complexity(4)_Time(286)_SongNr(25).wav</t>
  </si>
  <si>
    <t>Complexity(4)_Time(290)_SongNr(25).wav</t>
  </si>
  <si>
    <t>Complexity(4)_Time(234)_SongNr(25).wav</t>
  </si>
  <si>
    <t>Complexity(6)_Time(176)_SongNr(26).wav</t>
  </si>
  <si>
    <t>Complexity(6)_Time(172)_SongNr(26).wav</t>
  </si>
  <si>
    <t>Complexity(6)_Time(170)_SongNr(26).wav</t>
  </si>
  <si>
    <t>Complexity(6)_Time(138)_SongNr(26).wav</t>
  </si>
  <si>
    <t>Complexity(4)_Time(48)_SongNr(26).wav</t>
  </si>
  <si>
    <t>Complexity(4)_Time(194)_SongNr(26).wav</t>
  </si>
  <si>
    <t>Complexity(4)_Time(190)_SongNr(26).wav</t>
  </si>
  <si>
    <t>Complexity(4)_Time(130)_SongNr(26).wav</t>
  </si>
  <si>
    <t>Complexity(4)_Time(126)_SongNr(26).wav</t>
  </si>
  <si>
    <t>Complexity(6)_Time(140)_SongNr(26).wav</t>
  </si>
  <si>
    <t>Complexity(3)_Time(28)_SongNr(26).wav</t>
  </si>
  <si>
    <t>Complexity(6)_Time(212)_SongNr(26).wav</t>
  </si>
  <si>
    <t>Complexity(6)_Time(174)_SongNr(26).wav</t>
  </si>
  <si>
    <t>Complexity(4)_Time(80)_SongNr(26).wav</t>
  </si>
  <si>
    <t>Complexity(4)_Time(214)_SongNr(26).wav</t>
  </si>
  <si>
    <t>Complexity(3)_Time(34)_SongNr(26).wav</t>
  </si>
  <si>
    <t>Complexity(7)_Time(90)_SongNr(27).wav</t>
  </si>
  <si>
    <t>Complexity(7)_Time(248)_SongNr(27).wav</t>
  </si>
  <si>
    <t>Complexity(7)_Time(234)_SongNr(27).wav</t>
  </si>
  <si>
    <t>Complexity(7)_Time(228)_SongNr(27).wav</t>
  </si>
  <si>
    <t>Complexity(7)_Time(222)_SongNr(27).wav</t>
  </si>
  <si>
    <t>Complexity(7)_Time(208)_SongNr(27).wav</t>
  </si>
  <si>
    <t>Complexity(7)_Time(188)_SongNr(27).wav</t>
  </si>
  <si>
    <t>Complexity(7)_Time(180)_SongNr(27).wav</t>
  </si>
  <si>
    <t>Complexity(7)_Time(122)_SongNr(27).wav</t>
  </si>
  <si>
    <t>Complexity(7)_Time(118)_SongNr(27).wav</t>
  </si>
  <si>
    <t>Complexity(6)_Time(88)_SongNr(27).wav</t>
  </si>
  <si>
    <t>Complexity(6)_Time(86)_SongNr(27).wav</t>
  </si>
  <si>
    <t>Complexity(6)_Time(190)_SongNr(27).wav</t>
  </si>
  <si>
    <t>Complexity(6)_Time(130)_SongNr(27).wav</t>
  </si>
  <si>
    <t>Complexity(4)_Time(170)_SongNr(27).wav</t>
  </si>
  <si>
    <t>Complexity(3)_Time(54)_SongNr(27).wav</t>
  </si>
  <si>
    <t>Complexity(3)_Time(52)_SongNr(27).wav</t>
  </si>
  <si>
    <t>Complexity(3)_Time(38)_SongNr(27).wav</t>
  </si>
  <si>
    <t>Complexity(3)_Time(32)_SongNr(27).wav</t>
  </si>
  <si>
    <t>Complexity(3)_Time(30)_SongNr(27).wav</t>
  </si>
  <si>
    <t>Complexity(3)_Time(158)_SongNr(27).wav</t>
  </si>
  <si>
    <t>Complexity(3)_Time(152)_SongNr(27).wav</t>
  </si>
  <si>
    <t>Complexity(3)_Time(142)_SongNr(27).wav</t>
  </si>
  <si>
    <t>Complexity(7)_Time(92)_SongNr(27).wav</t>
  </si>
  <si>
    <t>Complexity(7)_Time(244)_SongNr(27).wav</t>
  </si>
  <si>
    <t>Complexity(7)_Time(238)_SongNr(27).wav</t>
  </si>
  <si>
    <t>Complexity(7)_Time(236)_SongNr(27).wav</t>
  </si>
  <si>
    <t>Complexity(7)_Time(232)_SongNr(27).wav</t>
  </si>
  <si>
    <t>Complexity(7)_Time(226)_SongNr(27).wav</t>
  </si>
  <si>
    <t>Complexity(7)_Time(220)_SongNr(27).wav</t>
  </si>
  <si>
    <t>Complexity(7)_Time(218)_SongNr(27).wav</t>
  </si>
  <si>
    <t>Complexity(7)_Time(210)_SongNr(27).wav</t>
  </si>
  <si>
    <t>Complexity(7)_Time(202)_SongNr(27).wav</t>
  </si>
  <si>
    <t>Complexity(7)_Time(198)_SongNr(27).wav</t>
  </si>
  <si>
    <t>Complexity(7)_Time(124)_SongNr(27).wav</t>
  </si>
  <si>
    <t>Complexity(7)_Time(116)_SongNr(27).wav</t>
  </si>
  <si>
    <t>Complexity(7)_Time(112)_SongNr(27).wav</t>
  </si>
  <si>
    <t>Complexity(7)_Time(110)_SongNr(27).wav</t>
  </si>
  <si>
    <t>Complexity(7)_Time(108)_SongNr(27).wav</t>
  </si>
  <si>
    <t>Complexity(7)_Time(104)_SongNr(27).wav</t>
  </si>
  <si>
    <t>Complexity(7)_Time(102)_SongNr(27).wav</t>
  </si>
  <si>
    <t>Complexity(6)_Time(94)_SongNr(27).wav</t>
  </si>
  <si>
    <t>Complexity(6)_Time(128)_SongNr(27).wav</t>
  </si>
  <si>
    <t>Complexity(7)_Time(96)_SongNr(27).wav</t>
  </si>
  <si>
    <t>Complexity(7)_Time(254)_SongNr(27).wav</t>
  </si>
  <si>
    <t>Complexity(7)_Time(252)_SongNr(27).wav</t>
  </si>
  <si>
    <t>Complexity(7)_Time(250)_SongNr(27).wav</t>
  </si>
  <si>
    <t>Complexity(7)_Time(246)_SongNr(27).wav</t>
  </si>
  <si>
    <t>Complexity(7)_Time(242)_SongNr(27).wav</t>
  </si>
  <si>
    <t>Complexity(7)_Time(230)_SongNr(27).wav</t>
  </si>
  <si>
    <t>Complexity(7)_Time(216)_SongNr(27).wav</t>
  </si>
  <si>
    <t>Complexity(7)_Time(214)_SongNr(27).wav</t>
  </si>
  <si>
    <t>Complexity(7)_Time(212)_SongNr(27).wav</t>
  </si>
  <si>
    <t>Complexity(7)_Time(206)_SongNr(27).wav</t>
  </si>
  <si>
    <t>Complexity(7)_Time(204)_SongNr(27).wav</t>
  </si>
  <si>
    <t>Complexity(7)_Time(196)_SongNr(27).wav</t>
  </si>
  <si>
    <t>Complexity(7)_Time(194)_SongNr(27).wav</t>
  </si>
  <si>
    <t>Complexity(7)_Time(184)_SongNr(27).wav</t>
  </si>
  <si>
    <t>Complexity(7)_Time(126)_SongNr(27).wav</t>
  </si>
  <si>
    <t>Complexity(7)_Time(120)_SongNr(27).wav</t>
  </si>
  <si>
    <t>Complexity(7)_Time(106)_SongNr(27).wav</t>
  </si>
  <si>
    <t>Complexity(7)_Time(100)_SongNr(27).wav</t>
  </si>
  <si>
    <t>Complexity(6)_Time(98)_SongNr(27).wav</t>
  </si>
  <si>
    <t>Complexity(6)_Time(134)_SongNr(27).wav</t>
  </si>
  <si>
    <t>Complexity(6)_Time(114)_SongNr(27).wav</t>
  </si>
  <si>
    <t>Complexity(3)_Time(94)_SongNr(28).wav</t>
  </si>
  <si>
    <t>Complexity(3)_Time(98)_SongNr(28).wav</t>
  </si>
  <si>
    <t>Complexity(3)_Time(96)_SongNr(28).wav</t>
  </si>
  <si>
    <t>Complexity(3)_Time(92)_SongNr(28).wav</t>
  </si>
  <si>
    <t>Complexity(3)_Time(90)_SongNr(28).wav</t>
  </si>
  <si>
    <t>Complexity(3)_Time(88)_SongNr(28).wav</t>
  </si>
  <si>
    <t>Complexity(3)_Time(86)_SongNr(28).wav</t>
  </si>
  <si>
    <t>Complexity(3)_Time(84)_SongNr(28).wav</t>
  </si>
  <si>
    <t>Complexity(3)_Time(82)_SongNr(28).wav</t>
  </si>
  <si>
    <t>Complexity(3)_Time(80)_SongNr(28).wav</t>
  </si>
  <si>
    <t>Complexity(3)_Time(78)_SongNr(28).wav</t>
  </si>
  <si>
    <t>Complexity(3)_Time(76)_SongNr(28).wav</t>
  </si>
  <si>
    <t>Complexity(3)_Time(74)_SongNr(28).wav</t>
  </si>
  <si>
    <t>Complexity(3)_Time(72)_SongNr(28).wav</t>
  </si>
  <si>
    <t>Complexity(3)_Time(68)_SongNr(28).wav</t>
  </si>
  <si>
    <t>Complexity(3)_Time(66)_SongNr(28).wav</t>
  </si>
  <si>
    <t>Complexity(3)_Time(64)_SongNr(28).wav</t>
  </si>
  <si>
    <t>Complexity(3)_Time(62)_SongNr(28).wav</t>
  </si>
  <si>
    <t>Complexity(3)_Time(60)_SongNr(28).wav</t>
  </si>
  <si>
    <t>Complexity(3)_Time(58)_SongNr(28).wav</t>
  </si>
  <si>
    <t>Complexity(3)_Time(56)_SongNr(28).wav</t>
  </si>
  <si>
    <t>Complexity(3)_Time(54)_SongNr(28).wav</t>
  </si>
  <si>
    <t>Complexity(3)_Time(52)_SongNr(28).wav</t>
  </si>
  <si>
    <t>Complexity(3)_Time(50)_SongNr(28).wav</t>
  </si>
  <si>
    <t>Complexity(3)_Time(48)_SongNr(28).wav</t>
  </si>
  <si>
    <t>Complexity(3)_Time(46)_SongNr(28).wav</t>
  </si>
  <si>
    <t>Complexity(3)_Time(44)_SongNr(28).wav</t>
  </si>
  <si>
    <t>Complexity(3)_Time(42)_SongNr(28).wav</t>
  </si>
  <si>
    <t>Complexity(3)_Time(40)_SongNr(28).wav</t>
  </si>
  <si>
    <t>Complexity(3)_Time(38)_SongNr(28).wav</t>
  </si>
  <si>
    <t>Complexity(3)_Time(124)_SongNr(28).wav</t>
  </si>
  <si>
    <t>Complexity(3)_Time(122)_SongNr(28).wav</t>
  </si>
  <si>
    <t>Complexity(3)_Time(120)_SongNr(28).wav</t>
  </si>
  <si>
    <t>Complexity(3)_Time(118)_SongNr(28).wav</t>
  </si>
  <si>
    <t>Complexity(3)_Time(116)_SongNr(28).wav</t>
  </si>
  <si>
    <t>Complexity(3)_Time(114)_SongNr(28).wav</t>
  </si>
  <si>
    <t>Complexity(3)_Time(112)_SongNr(28).wav</t>
  </si>
  <si>
    <t>Complexity(3)_Time(110)_SongNr(28).wav</t>
  </si>
  <si>
    <t>Complexity(3)_Time(108)_SongNr(28).wav</t>
  </si>
  <si>
    <t>Complexity(3)_Time(106)_SongNr(28).wav</t>
  </si>
  <si>
    <t>Complexity(3)_Time(104)_SongNr(28).wav</t>
  </si>
  <si>
    <t>Complexity(3)_Time(102)_SongNr(28).wav</t>
  </si>
  <si>
    <t>Complexity(3)_Time(100)_SongNr(28).wav</t>
  </si>
  <si>
    <t>Complexity(4)_Time(190)_SongNr(30).wav</t>
  </si>
  <si>
    <t>Complexity(3)_Time(34)_SongNr(30).wav</t>
  </si>
  <si>
    <t>Complexity(7)_Time(170)_SongNr(31).wav</t>
  </si>
  <si>
    <t>Complexity(7)_Time(164)_SongNr(31).wav</t>
  </si>
  <si>
    <t>Complexity(7)_Time(140)_SongNr(31).wav</t>
  </si>
  <si>
    <t>Complexity(4)_Time(150)_SongNr(31).wav</t>
  </si>
  <si>
    <t>Complexity(3)_Time(72)_SongNr(31).wav</t>
  </si>
  <si>
    <t>Complexity(7)_Time(98)_SongNr(31).wav</t>
  </si>
  <si>
    <t>Complexity(7)_Time(96)_SongNr(31).wav</t>
  </si>
  <si>
    <t>Complexity(7)_Time(92)_SongNr(31).wav</t>
  </si>
  <si>
    <t>Complexity(7)_Time(232)_SongNr(31).wav</t>
  </si>
  <si>
    <t>Complexity(7)_Time(214)_SongNr(31).wav</t>
  </si>
  <si>
    <t>Complexity(7)_Time(196)_SongNr(31).wav</t>
  </si>
  <si>
    <t>Complexity(7)_Time(186)_SongNr(31).wav</t>
  </si>
  <si>
    <t>Complexity(7)_Time(138)_SongNr(31).wav</t>
  </si>
  <si>
    <t>Complexity(7)_Time(132)_SongNr(31).wav</t>
  </si>
  <si>
    <t>Complexity(7)_Time(130)_SongNr(31).wav</t>
  </si>
  <si>
    <t>Complexity(7)_Time(128)_SongNr(31).wav</t>
  </si>
  <si>
    <t>Complexity(7)_Time(126)_SongNr(31).wav</t>
  </si>
  <si>
    <t>Complexity(7)_Time(124)_SongNr(31).wav</t>
  </si>
  <si>
    <t>Complexity(7)_Time(122)_SongNr(31).wav</t>
  </si>
  <si>
    <t>Complexity(7)_Time(118)_SongNr(31).wav</t>
  </si>
  <si>
    <t>Complexity(7)_Time(110)_SongNr(31).wav</t>
  </si>
  <si>
    <t>Complexity(7)_Time(104)_SongNr(31).wav</t>
  </si>
  <si>
    <t>Complexity(6)_Time(94)_SongNr(31).wav</t>
  </si>
  <si>
    <t>Complexity(6)_Time(254)_SongNr(31).wav</t>
  </si>
  <si>
    <t>Complexity(6)_Time(252)_SongNr(31).wav</t>
  </si>
  <si>
    <t>Complexity(6)_Time(246)_SongNr(31).wav</t>
  </si>
  <si>
    <t>Complexity(6)_Time(242)_SongNr(31).wav</t>
  </si>
  <si>
    <t>Complexity(6)_Time(240)_SongNr(31).wav</t>
  </si>
  <si>
    <t>Complexity(6)_Time(224)_SongNr(31).wav</t>
  </si>
  <si>
    <t>Complexity(6)_Time(216)_SongNr(31).wav</t>
  </si>
  <si>
    <t>Complexity(6)_Time(212)_SongNr(31).wav</t>
  </si>
  <si>
    <t>Complexity(6)_Time(204)_SongNr(31).wav</t>
  </si>
  <si>
    <t>Complexity(6)_Time(202)_SongNr(31).wav</t>
  </si>
  <si>
    <t>Complexity(6)_Time(114)_SongNr(31).wav</t>
  </si>
  <si>
    <t>Complexity(4)_Time(160)_SongNr(31).wav</t>
  </si>
  <si>
    <t>Complexity(3)_Time(68)_SongNr(31).wav</t>
  </si>
  <si>
    <t>Complexity(3)_Time(56)_SongNr(31).wav</t>
  </si>
  <si>
    <t>Complexity(7)_Time(208)_SongNr(31).wav</t>
  </si>
  <si>
    <t>Complexity(7)_Time(198)_SongNr(31).wav</t>
  </si>
  <si>
    <t>Complexity(7)_Time(194)_SongNr(31).wav</t>
  </si>
  <si>
    <t>Complexity(7)_Time(192)_SongNr(31).wav</t>
  </si>
  <si>
    <t>Complexity(7)_Time(190)_SongNr(31).wav</t>
  </si>
  <si>
    <t>Complexity(7)_Time(188)_SongNr(31).wav</t>
  </si>
  <si>
    <t>Complexity(7)_Time(184)_SongNr(31).wav</t>
  </si>
  <si>
    <t>Complexity(7)_Time(180)_SongNr(31).wav</t>
  </si>
  <si>
    <t>Complexity(7)_Time(178)_SongNr(31).wav</t>
  </si>
  <si>
    <t>Complexity(7)_Time(136)_SongNr(31).wav</t>
  </si>
  <si>
    <t>Complexity(7)_Time(134)_SongNr(31).wav</t>
  </si>
  <si>
    <t>Complexity(7)_Time(120)_SongNr(31).wav</t>
  </si>
  <si>
    <t>Complexity(7)_Time(116)_SongNr(31).wav</t>
  </si>
  <si>
    <t>Complexity(7)_Time(112)_SongNr(31).wav</t>
  </si>
  <si>
    <t>Complexity(7)_Time(108)_SongNr(31).wav</t>
  </si>
  <si>
    <t>Complexity(7)_Time(102)_SongNr(31).wav</t>
  </si>
  <si>
    <t>Complexity(7)_Time(100)_SongNr(31).wav</t>
  </si>
  <si>
    <t>Complexity(6)_Time(256)_SongNr(31).wav</t>
  </si>
  <si>
    <t>Complexity(6)_Time(250)_SongNr(31).wav</t>
  </si>
  <si>
    <t>Complexity(6)_Time(244)_SongNr(31).wav</t>
  </si>
  <si>
    <t>Complexity(6)_Time(238)_SongNr(31).wav</t>
  </si>
  <si>
    <t>Complexity(6)_Time(236)_SongNr(31).wav</t>
  </si>
  <si>
    <t>Complexity(6)_Time(234)_SongNr(31).wav</t>
  </si>
  <si>
    <t>Complexity(6)_Time(228)_SongNr(31).wav</t>
  </si>
  <si>
    <t>Complexity(6)_Time(226)_SongNr(31).wav</t>
  </si>
  <si>
    <t>Complexity(6)_Time(222)_SongNr(31).wav</t>
  </si>
  <si>
    <t>Complexity(6)_Time(210)_SongNr(31).wav</t>
  </si>
  <si>
    <t>Complexity(6)_Time(122)_SongNr(32).wav</t>
  </si>
  <si>
    <t>Complexity(6)_Time(120)_SongNr(32).wav</t>
  </si>
  <si>
    <t>Complexity(6)_Time(118)_SongNr(32).wav</t>
  </si>
  <si>
    <t>Complexity(6)_Time(116)_SongNr(32).wav</t>
  </si>
  <si>
    <t>Complexity(6)_Time(114)_SongNr(32).wav</t>
  </si>
  <si>
    <t>Complexity(6)_Time(104)_SongNr(32).wav</t>
  </si>
  <si>
    <t>Complexity(6)_Time(100)_SongNr(32).wav</t>
  </si>
  <si>
    <t>Complexity(4)_Time(92)_SongNr(32).wav</t>
  </si>
  <si>
    <t>Complexity(4)_Time(90)_SongNr(32).wav</t>
  </si>
  <si>
    <t>Complexity(4)_Time(76)_SongNr(32).wav</t>
  </si>
  <si>
    <t>Complexity(3)_Time(34)_SongNr(32).wav</t>
  </si>
  <si>
    <t>Complexity(3)_Time(32)_SongNr(32).wav</t>
  </si>
  <si>
    <t>Complexity(3)_Time(0)_SongNr(32).wav</t>
  </si>
  <si>
    <t>Complexity(7)_Time(128)_SongNr(32).wav</t>
  </si>
  <si>
    <t>Complexity(6)_Time(126)_SongNr(32).wav</t>
  </si>
  <si>
    <t>Complexity(6)_Time(170)_SongNr(32).wav</t>
  </si>
  <si>
    <t>Complexity(6)_Time(168)_SongNr(32).wav</t>
  </si>
  <si>
    <t>Complexity(6)_Time(166)_SongNr(32).wav</t>
  </si>
  <si>
    <t>Complexity(6)_Time(164)_SongNr(32).wav</t>
  </si>
  <si>
    <t>Complexity(6)_Time(156)_SongNr(32).wav</t>
  </si>
  <si>
    <t>Complexity(6)_Time(154)_SongNr(32).wav</t>
  </si>
  <si>
    <t>Complexity(6)_Time(102)_SongNr(32).wav</t>
  </si>
  <si>
    <t>Complexity(3)_Time(70)_SongNr(32).wav</t>
  </si>
  <si>
    <t>Complexity(7)_Time(144)_SongNr(32).wav</t>
  </si>
  <si>
    <t>Complexity(7)_Time(140)_SongNr(32).wav</t>
  </si>
  <si>
    <t>Complexity(7)_Time(136)_SongNr(32).wav</t>
  </si>
  <si>
    <t>Complexity(7)_Time(134)_SongNr(32).wav</t>
  </si>
  <si>
    <t>Complexity(6)_Time(160)_SongNr(32).wav</t>
  </si>
  <si>
    <t>Complexity(6)_Time(152)_SongNr(32).wav</t>
  </si>
  <si>
    <t>Complexity(6)_Time(146)_SongNr(32).wav</t>
  </si>
  <si>
    <t>Complexity(6)_Time(112)_SongNr(32).wav</t>
  </si>
  <si>
    <t>Complexity(6)_Time(180)_SongNr(33).wav</t>
  </si>
  <si>
    <t>Complexity(6)_Time(112)_SongNr(33).wav</t>
  </si>
  <si>
    <t>Complexity(4)_Time(68)_SongNr(33).wav</t>
  </si>
  <si>
    <t>Complexity(4)_Time(32)_SongNr(33).wav</t>
  </si>
  <si>
    <t>Complexity(4)_Time(20)_SongNr(33).wav</t>
  </si>
  <si>
    <t>Complexity(6)_Time(186)_SongNr(33).wav</t>
  </si>
  <si>
    <t>Complexity(6)_Time(184)_SongNr(33).wav</t>
  </si>
  <si>
    <t>Complexity(6)_Time(182)_SongNr(33).wav</t>
  </si>
  <si>
    <t>Complexity(6)_Time(166)_SongNr(33).wav</t>
  </si>
  <si>
    <t>Complexity(6)_Time(124)_SongNr(33).wav</t>
  </si>
  <si>
    <t>Complexity(6)_Time(108)_SongNr(33).wav</t>
  </si>
  <si>
    <t>Complexity(4)_Time(76)_SongNr(33).wav</t>
  </si>
  <si>
    <t>Complexity(4)_Time(4)_SongNr(33).wav</t>
  </si>
  <si>
    <t>Complexity(4)_Time(22)_SongNr(33).wav</t>
  </si>
  <si>
    <t>Complexity(4)_Time(18)_SongNr(33).wav</t>
  </si>
  <si>
    <t>Complexity(6)_Time(132)_SongNr(33).wav</t>
  </si>
  <si>
    <t>Complexity(6)_Time(130)_SongNr(33).wav</t>
  </si>
  <si>
    <t>Complexity(6)_Time(126)_SongNr(33).wav</t>
  </si>
  <si>
    <t>Complexity(6)_Time(120)_SongNr(33).wav</t>
  </si>
  <si>
    <t>Complexity(6)_Time(118)_SongNr(33).wav</t>
  </si>
  <si>
    <t>Complexity(6)_Time(116)_SongNr(33).wav</t>
  </si>
  <si>
    <t>Complexity(6)_Time(248)_SongNr(34).wav</t>
  </si>
  <si>
    <t>Complexity(6)_Time(236)_SongNr(34).wav</t>
  </si>
  <si>
    <t>Complexity(6)_Time(118)_SongNr(34).wav</t>
  </si>
  <si>
    <t>Complexity(3)_Time(86)_SongNr(34).wav</t>
  </si>
  <si>
    <t>Complexity(3)_Time(28)_SongNr(34).wav</t>
  </si>
  <si>
    <t>Complexity(3)_Time(274)_SongNr(34).wav</t>
  </si>
  <si>
    <t>Complexity(3)_Time(272)_SongNr(34).wav</t>
  </si>
  <si>
    <t>Complexity(3)_Time(260)_SongNr(34).wav</t>
  </si>
  <si>
    <t>Complexity(3)_Time(254)_SongNr(34).wav</t>
  </si>
  <si>
    <t>Complexity(3)_Time(102)_SongNr(34).wav</t>
  </si>
  <si>
    <t>Complexity(6)_Time(246)_SongNr(34).wav</t>
  </si>
  <si>
    <t>Complexity(6)_Time(242)_SongNr(34).wav</t>
  </si>
  <si>
    <t>Complexity(6)_Time(226)_SongNr(34).wav</t>
  </si>
  <si>
    <t>Complexity(6)_Time(134)_SongNr(34).wav</t>
  </si>
  <si>
    <t>Complexity(6)_Time(132)_SongNr(34).wav</t>
  </si>
  <si>
    <t>Complexity(6)_Time(130)_SongNr(34).wav</t>
  </si>
  <si>
    <t>Complexity(6)_Time(126)_SongNr(34).wav</t>
  </si>
  <si>
    <t>Complexity(6)_Time(124)_SongNr(34).wav</t>
  </si>
  <si>
    <t>Complexity(6)_Time(122)_SongNr(34).wav</t>
  </si>
  <si>
    <t>Complexity(6)_Time(116)_SongNr(34).wav</t>
  </si>
  <si>
    <t>Complexity(6)_Time(114)_SongNr(34).wav</t>
  </si>
  <si>
    <t>Complexity(4)_Time(96)_SongNr(34).wav</t>
  </si>
  <si>
    <t>Complexity(4)_Time(104)_SongNr(34).wav</t>
  </si>
  <si>
    <t>Complexity(6)_Time(238)_SongNr(34).wav</t>
  </si>
  <si>
    <t>Complexity(6)_Time(234)_SongNr(34).wav</t>
  </si>
  <si>
    <t>Complexity(6)_Time(128)_SongNr(34).wav</t>
  </si>
  <si>
    <t>Complexity(6)_Time(120)_SongNr(34).wav</t>
  </si>
  <si>
    <t>Complexity(4)_Time(66)_SongNr(35).wav</t>
  </si>
  <si>
    <t>Complexity(4)_Time(62)_SongNr(35).wav</t>
  </si>
  <si>
    <t>Complexity(4)_Time(160)_SongNr(35).wav</t>
  </si>
  <si>
    <t>Complexity(3)_Time(86)_SongNr(35).wav</t>
  </si>
  <si>
    <t>Complexity(3)_Time(64)_SongNr(35).wav</t>
  </si>
  <si>
    <t>Complexity(3)_Time(58)_SongNr(35).wav</t>
  </si>
  <si>
    <t>Complexity(3)_Time(48)_SongNr(35).wav</t>
  </si>
  <si>
    <t>Complexity(3)_Time(28)_SongNr(35).wav</t>
  </si>
  <si>
    <t>Complexity(3)_Time(26)_SongNr(35).wav</t>
  </si>
  <si>
    <t>Complexity(4)_Time(186)_SongNr(35).wav</t>
  </si>
  <si>
    <t>Complexity(4)_Time(182)_SongNr(35).wav</t>
  </si>
  <si>
    <t>Complexity(4)_Time(170)_SongNr(35).wav</t>
  </si>
  <si>
    <t>Complexity(4)_Time(166)_SongNr(35).wav</t>
  </si>
  <si>
    <t>Complexity(4)_Time(164)_SongNr(35).wav</t>
  </si>
  <si>
    <t>Complexity(4)_Time(154)_SongNr(35).wav</t>
  </si>
  <si>
    <t>Complexity(4)_Time(152)_SongNr(35).wav</t>
  </si>
  <si>
    <t>Complexity(4)_Time(150)_SongNr(35).wav</t>
  </si>
  <si>
    <t>Complexity(4)_Time(146)_SongNr(35).wav</t>
  </si>
  <si>
    <t>Complexity(3)_Time(178)_SongNr(35).wav</t>
  </si>
  <si>
    <t>Complexity(4)_Time(128)_SongNr(35).wav</t>
  </si>
  <si>
    <t>Complexity(3)_Time(40)_SongNr(35).wav</t>
  </si>
  <si>
    <t>Complexity(4)_Time(82)_SongNr(36).wav</t>
  </si>
  <si>
    <t>Complexity(4)_Time(78)_SongNr(36).wav</t>
  </si>
  <si>
    <t>Complexity(4)_Time(76)_SongNr(36).wav</t>
  </si>
  <si>
    <t>Complexity(4)_Time(150)_SongNr(36).wav</t>
  </si>
  <si>
    <t>Complexity(4)_Time(148)_SongNr(36).wav</t>
  </si>
  <si>
    <t>Complexity(4)_Time(146)_SongNr(36).wav</t>
  </si>
  <si>
    <t>Complexity(4)_Time(136)_SongNr(36).wav</t>
  </si>
  <si>
    <t>Complexity(4)_Time(134)_SongNr(36).wav</t>
  </si>
  <si>
    <t>Complexity(4)_Time(130)_SongNr(36).wav</t>
  </si>
  <si>
    <t>Complexity(3)_Time(98)_SongNr(36).wav</t>
  </si>
  <si>
    <t>Complexity(3)_Time(96)_SongNr(36).wav</t>
  </si>
  <si>
    <t>Complexity(3)_Time(88)_SongNr(36).wav</t>
  </si>
  <si>
    <t>Complexity(3)_Time(74)_SongNr(36).wav</t>
  </si>
  <si>
    <t>Complexity(3)_Time(70)_SongNr(36).wav</t>
  </si>
  <si>
    <t>Complexity(3)_Time(64)_SongNr(36).wav</t>
  </si>
  <si>
    <t>Complexity(3)_Time(62)_SongNr(36).wav</t>
  </si>
  <si>
    <t>Complexity(3)_Time(60)_SongNr(36).wav</t>
  </si>
  <si>
    <t>Complexity(3)_Time(54)_SongNr(36).wav</t>
  </si>
  <si>
    <t>Complexity(3)_Time(52)_SongNr(36).wav</t>
  </si>
  <si>
    <t>Complexity(3)_Time(40)_SongNr(36).wav</t>
  </si>
  <si>
    <t>Complexity(3)_Time(38)_SongNr(36).wav</t>
  </si>
  <si>
    <t>Complexity(3)_Time(30)_SongNr(36).wav</t>
  </si>
  <si>
    <t>Complexity(3)_Time(28)_SongNr(36).wav</t>
  </si>
  <si>
    <t>Complexity(3)_Time(26)_SongNr(36).wav</t>
  </si>
  <si>
    <t>Complexity(3)_Time(22)_SongNr(36).wav</t>
  </si>
  <si>
    <t>Complexity(3)_Time(128)_SongNr(36).wav</t>
  </si>
  <si>
    <t>Complexity(3)_Time(122)_SongNr(36).wav</t>
  </si>
  <si>
    <t>Complexity(3)_Time(120)_SongNr(36).wav</t>
  </si>
  <si>
    <t>Complexity(3)_Time(118)_SongNr(36).wav</t>
  </si>
  <si>
    <t>Complexity(3)_Time(116)_SongNr(36).wav</t>
  </si>
  <si>
    <t>Complexity(3)_Time(112)_SongNr(36).wav</t>
  </si>
  <si>
    <t>Complexity(3)_Time(110)_SongNr(36).wav</t>
  </si>
  <si>
    <t>Complexity(3)_Time(106)_SongNr(36).wav</t>
  </si>
  <si>
    <t>Complexity(3)_Time(104)_SongNr(36).wav</t>
  </si>
  <si>
    <t>Complexity(3)_Time(102)_SongNr(36).wav</t>
  </si>
  <si>
    <t>Complexity(7)_Time(204)_SongNr(37).wav</t>
  </si>
  <si>
    <t>Complexity(6)_Time(58)_SongNr(37).wav</t>
  </si>
  <si>
    <t>Complexity(6)_Time(56)_SongNr(37).wav</t>
  </si>
  <si>
    <t>Complexity(6)_Time(182)_SongNr(37).wav</t>
  </si>
  <si>
    <t>Complexity(6)_Time(174)_SongNr(37).wav</t>
  </si>
  <si>
    <t>Complexity(3)_Time(4)_SongNr(37).wav</t>
  </si>
  <si>
    <t>Complexity(3)_Time(14)_SongNr(37).wav</t>
  </si>
  <si>
    <t>Complexity(3)_Time(12)_SongNr(37).wav</t>
  </si>
  <si>
    <t>Complexity(6)_Time(88)_SongNr(37).wav</t>
  </si>
  <si>
    <t>Complexity(6)_Time(62)_SongNr(37).wav</t>
  </si>
  <si>
    <t>Complexity(6)_Time(34)_SongNr(37).wav</t>
  </si>
  <si>
    <t>Complexity(6)_Time(32)_SongNr(37).wav</t>
  </si>
  <si>
    <t>Complexity(6)_Time(188)_SongNr(37).wav</t>
  </si>
  <si>
    <t>Complexity(6)_Time(184)_SongNr(37).wav</t>
  </si>
  <si>
    <t>Complexity(6)_Time(178)_SongNr(37).wav</t>
  </si>
  <si>
    <t>Complexity(6)_Time(172)_SongNr(37).wav</t>
  </si>
  <si>
    <t>Complexity(4)_Time(164)_SongNr(37).wav</t>
  </si>
  <si>
    <t>Complexity(4)_Time(140)_SongNr(37).wav</t>
  </si>
  <si>
    <t>Complexity(7)_Time(236)_SongNr(37).wav</t>
  </si>
  <si>
    <t>Complexity(6)_Time(90)_SongNr(37).wav</t>
  </si>
  <si>
    <t>Complexity(6)_Time(64)_SongNr(37).wav</t>
  </si>
  <si>
    <t>Complexity(6)_Time(60)_SongNr(37).wav</t>
  </si>
  <si>
    <t>Complexity(6)_Time(40)_SongNr(37).wav</t>
  </si>
  <si>
    <t>Complexity(6)_Time(234)_SongNr(37).wav</t>
  </si>
  <si>
    <t>Complexity(6)_Time(180)_SongNr(37).wav</t>
  </si>
  <si>
    <t>Complexity(6)_Time(98)_SongNr(38).wav</t>
  </si>
  <si>
    <t>Complexity(6)_Time(68)_SongNr(38).wav</t>
  </si>
  <si>
    <t>Complexity(4)_Time(38)_SongNr(38).wav</t>
  </si>
  <si>
    <t>Complexity(3)_Time(104)_SongNr(38).wav</t>
  </si>
  <si>
    <t>Complexity(6)_Time(94)_SongNr(38).wav</t>
  </si>
  <si>
    <t>Complexity(6)_Time(66)_SongNr(38).wav</t>
  </si>
  <si>
    <t>Complexity(6)_Time(182)_SongNr(38).wav</t>
  </si>
  <si>
    <t>Complexity(4)_Time(250)_SongNr(38).wav</t>
  </si>
  <si>
    <t>Complexity(6)_Time(196)_SongNr(39).wav</t>
  </si>
  <si>
    <t>Complexity(6)_Time(192)_SongNr(39).wav</t>
  </si>
  <si>
    <t>Complexity(6)_Time(188)_SongNr(39).wav</t>
  </si>
  <si>
    <t>Complexity(6)_Time(176)_SongNr(39).wav</t>
  </si>
  <si>
    <t>Complexity(6)_Time(174)_SongNr(39).wav</t>
  </si>
  <si>
    <t>Complexity(6)_Time(170)_SongNr(39).wav</t>
  </si>
  <si>
    <t>Complexity(6)_Time(132)_SongNr(39).wav</t>
  </si>
  <si>
    <t>Complexity(6)_Time(122)_SongNr(39).wav</t>
  </si>
  <si>
    <t>Complexity(6)_Time(120)_SongNr(39).wav</t>
  </si>
  <si>
    <t>Complexity(4)_Time(42)_SongNr(39).wav</t>
  </si>
  <si>
    <t>Complexity(3)_Time(34)_SongNr(39).wav</t>
  </si>
  <si>
    <t>Complexity(3)_Time(154)_SongNr(39).wav</t>
  </si>
  <si>
    <t>Complexity(3)_Time(14)_SongNr(39).wav</t>
  </si>
  <si>
    <t>Complexity(6)_Time(92)_SongNr(39).wav</t>
  </si>
  <si>
    <t>Complexity(6)_Time(198)_SongNr(39).wav</t>
  </si>
  <si>
    <t>Complexity(6)_Time(124)_SongNr(39).wav</t>
  </si>
  <si>
    <t>Complexity(6)_Time(108)_SongNr(39).wav</t>
  </si>
  <si>
    <t>Complexity(6)_Time(100)_SongNr(39).wav</t>
  </si>
  <si>
    <t>Complexity(3)_Time(50)_SongNr(39).wav</t>
  </si>
  <si>
    <t>Complexity(6)_Time(98)_SongNr(39).wav</t>
  </si>
  <si>
    <t>Complexity(6)_Time(94)_SongNr(39).wav</t>
  </si>
  <si>
    <t>Complexity(6)_Time(90)_SongNr(39).wav</t>
  </si>
  <si>
    <t>Complexity(6)_Time(204)_SongNr(39).wav</t>
  </si>
  <si>
    <t>Complexity(6)_Time(112)_SongNr(39).wav</t>
  </si>
  <si>
    <t>Complexity(4)_Time(200)_SongNr(39).wav</t>
  </si>
  <si>
    <t>Complexity(4)_Time(194)_SongNr(39).wav</t>
  </si>
  <si>
    <t>Complexity(3)_Time(144)_SongNr(39).wav</t>
  </si>
  <si>
    <t>Complexity(3)_Time(142)_SongNr(39).wav</t>
  </si>
  <si>
    <t>Complexity(7)_Time(138)_SongNr(39).wav</t>
  </si>
  <si>
    <t>Complexity(7)_Time(116)_SongNr(39).wav</t>
  </si>
  <si>
    <t>Complexity(6)_Time(190)_SongNr(39).wav</t>
  </si>
  <si>
    <t>Complexity(6)_Time(184)_SongNr(39).wav</t>
  </si>
  <si>
    <t>Complexity(6)_Time(110)_SongNr(39).wav</t>
  </si>
  <si>
    <t>Complexity(4)_Time(76)_SongNr(40).wav</t>
  </si>
  <si>
    <t>Complexity(4)_Time(126)_SongNr(40).wav</t>
  </si>
  <si>
    <t>Complexity(4)_Time(120)_SongNr(40).wav</t>
  </si>
  <si>
    <t>Complexity(3)_Time(50)_SongNr(40).wav</t>
  </si>
  <si>
    <t>Complexity(3)_Time(48)_SongNr(40).wav</t>
  </si>
  <si>
    <t>Complexity(3)_Time(28)_SongNr(40).wav</t>
  </si>
  <si>
    <t>Complexity(3)_Time(250)_SongNr(40).wav</t>
  </si>
  <si>
    <t>Complexity(3)_Time(242)_SongNr(40).wav</t>
  </si>
  <si>
    <t>Complexity(3)_Time(238)_SongNr(40).wav</t>
  </si>
  <si>
    <t>Complexity(3)_Time(236)_SongNr(40).wav</t>
  </si>
  <si>
    <t>Complexity(3)_Time(228)_SongNr(40).wav</t>
  </si>
  <si>
    <t>Complexity(3)_Time(226)_SongNr(40).wav</t>
  </si>
  <si>
    <t>Complexity(3)_Time(224)_SongNr(40).wav</t>
  </si>
  <si>
    <t>Complexity(3)_Time(214)_SongNr(40).wav</t>
  </si>
  <si>
    <t>Complexity(3)_Time(212)_SongNr(40).wav</t>
  </si>
  <si>
    <t>Complexity(3)_Time(210)_SongNr(40).wav</t>
  </si>
  <si>
    <t>Complexity(3)_Time(142)_SongNr(40).wav</t>
  </si>
  <si>
    <t>Complexity(4)_Time(96)_SongNr(40).wav</t>
  </si>
  <si>
    <t>Complexity(4)_Time(90)_SongNr(40).wav</t>
  </si>
  <si>
    <t>Complexity(4)_Time(88)_SongNr(40).wav</t>
  </si>
  <si>
    <t>Complexity(4)_Time(86)_SongNr(40).wav</t>
  </si>
  <si>
    <t>Complexity(4)_Time(70)_SongNr(40).wav</t>
  </si>
  <si>
    <t>Complexity(4)_Time(132)_SongNr(40).wav</t>
  </si>
  <si>
    <t>Complexity(4)_Time(130)_SongNr(40).wav</t>
  </si>
  <si>
    <t>Complexity(4)_Time(122)_SongNr(40).wav</t>
  </si>
  <si>
    <t>Complexity(4)_Time(118)_SongNr(40).wav</t>
  </si>
  <si>
    <t>Complexity(4)_Time(110)_SongNr(40).wav</t>
  </si>
  <si>
    <t>Complexity(4)_Time(108)_SongNr(40).wav</t>
  </si>
  <si>
    <t>Complexity(4)_Time(102)_SongNr(40).wav</t>
  </si>
  <si>
    <t>Complexity(3)_Time(84)_SongNr(40).wav</t>
  </si>
  <si>
    <t>Complexity(3)_Time(60)_SongNr(40).wav</t>
  </si>
  <si>
    <t>Complexity(3)_Time(54)_SongNr(40).wav</t>
  </si>
  <si>
    <t>Complexity(3)_Time(52)_SongNr(40).wav</t>
  </si>
  <si>
    <t>Complexity(3)_Time(46)_SongNr(40).wav</t>
  </si>
  <si>
    <t>Complexity(3)_Time(44)_SongNr(40).wav</t>
  </si>
  <si>
    <t>Complexity(3)_Time(38)_SongNr(40).wav</t>
  </si>
  <si>
    <t>Complexity(3)_Time(36)_SongNr(40).wav</t>
  </si>
  <si>
    <t>Complexity(3)_Time(30)_SongNr(40).wav</t>
  </si>
  <si>
    <t>Complexity(3)_Time(26)_SongNr(40).wav</t>
  </si>
  <si>
    <t>Complexity(3)_Time(20)_SongNr(40).wav</t>
  </si>
  <si>
    <t>Complexity(3)_Time(124)_SongNr(40).wav</t>
  </si>
  <si>
    <t>Complexity(7)_Time(168)_SongNr(40).wav</t>
  </si>
  <si>
    <t>Complexity(4)_Time(118)_SongNr(41).wav</t>
  </si>
  <si>
    <t>Complexity(3)_Time(174)_SongNr(41).wav</t>
  </si>
  <si>
    <t>Complexity(3)_Time(184)_SongNr(41).wav</t>
  </si>
  <si>
    <t>Complexity(3)_Time(98)_SongNr(42).wav</t>
  </si>
  <si>
    <t>Complexity(3)_Time(96)_SongNr(42).wav</t>
  </si>
  <si>
    <t>Complexity(3)_Time(94)_SongNr(42).wav</t>
  </si>
  <si>
    <t>Complexity(3)_Time(186)_SongNr(42).wav</t>
  </si>
  <si>
    <t>Complexity(3)_Time(184)_SongNr(42).wav</t>
  </si>
  <si>
    <t>Complexity(3)_Time(182)_SongNr(42).wav</t>
  </si>
  <si>
    <t>Complexity(3)_Time(180)_SongNr(42).wav</t>
  </si>
  <si>
    <t>Complexity(3)_Time(178)_SongNr(42).wav</t>
  </si>
  <si>
    <t>Complexity(3)_Time(176)_SongNr(42).wav</t>
  </si>
  <si>
    <t>Complexity(3)_Time(174)_SongNr(42).wav</t>
  </si>
  <si>
    <t>Complexity(3)_Time(162)_SongNr(42).wav</t>
  </si>
  <si>
    <t>Complexity(3)_Time(160)_SongNr(42).wav</t>
  </si>
  <si>
    <t>Complexity(3)_Time(158)_SongNr(42).wav</t>
  </si>
  <si>
    <t>Complexity(3)_Time(156)_SongNr(42).wav</t>
  </si>
  <si>
    <t>Complexity(3)_Time(154)_SongNr(42).wav</t>
  </si>
  <si>
    <t>Complexity(3)_Time(152)_SongNr(42).wav</t>
  </si>
  <si>
    <t>Complexity(3)_Time(150)_SongNr(42).wav</t>
  </si>
  <si>
    <t>Complexity(3)_Time(148)_SongNr(42).wav</t>
  </si>
  <si>
    <t>Complexity(3)_Time(146)_SongNr(42).wav</t>
  </si>
  <si>
    <t>Complexity(3)_Time(104)_SongNr(42).wav</t>
  </si>
  <si>
    <t>Complexity(3)_Time(100)_SongNr(42).wav</t>
  </si>
  <si>
    <t>Complexity(4)_Time(84)_SongNr(43).wav</t>
  </si>
  <si>
    <t>Complexity(4)_Time(78)_SongNr(43).wav</t>
  </si>
  <si>
    <t>Complexity(4)_Time(62)_SongNr(43).wav</t>
  </si>
  <si>
    <t>Complexity(4)_Time(108)_SongNr(43).wav</t>
  </si>
  <si>
    <t>Complexity(3)_Time(58)_SongNr(43).wav</t>
  </si>
  <si>
    <t>Complexity(3)_Time(118)_SongNr(43).wav</t>
  </si>
  <si>
    <t>Complexity(4)_Time(100)_SongNr(43).wav</t>
  </si>
  <si>
    <t>Complexity(3)_Time(86)_SongNr(43).wav</t>
  </si>
  <si>
    <t>Complexity(4)_Time(174)_SongNr(45).wav</t>
  </si>
  <si>
    <t>Complexity(4)_Time(14)_SongNr(45).wav</t>
  </si>
  <si>
    <t>Complexity(3)_Time(188)_SongNr(45).wav</t>
  </si>
  <si>
    <t>Complexity(3)_Time(84)_SongNr(45).wav</t>
  </si>
  <si>
    <t>Complexity(3)_Time(72)_SongNr(45).wav</t>
  </si>
  <si>
    <t>Complexity(4)_Time(200)_SongNr(46).wav</t>
  </si>
  <si>
    <t>Complexity(4)_Time(4)_SongNr(47).wav</t>
  </si>
  <si>
    <t>Complexity(4)_Time(22)_SongNr(47).wav</t>
  </si>
  <si>
    <t>Complexity(4)_Time(2)_SongNr(47).wav</t>
  </si>
  <si>
    <t>Complexity(4)_Time(18)_SongNr(47).wav</t>
  </si>
  <si>
    <t>Complexity(3)_Time(12)_SongNr(47).wav</t>
  </si>
  <si>
    <t>Complexity(3)_Time(10)_SongNr(47).wav</t>
  </si>
  <si>
    <t>Complexity(4)_Time(20)_SongNr(47).wav</t>
  </si>
  <si>
    <t>Complexity(4)_Time(0)_SongNr(47).wav</t>
  </si>
  <si>
    <t>Complexity(3)_Time(6)_SongNr(47).wav</t>
  </si>
  <si>
    <t>Complexity(6)_Time(138)_SongNr(48).wav</t>
  </si>
  <si>
    <t>Complexity(6)_Time(130)_SongNr(48).wav</t>
  </si>
  <si>
    <t>Complexity(4)_Time(262)_SongNr(48).wav</t>
  </si>
  <si>
    <t>Complexity(4)_Time(166)_SongNr(48).wav</t>
  </si>
  <si>
    <t>Complexity(3)_Time(80)_SongNr(48).wav</t>
  </si>
  <si>
    <t>Complexity(3)_Time(258)_SongNr(48).wav</t>
  </si>
  <si>
    <t>Complexity(3)_Time(212)_SongNr(48).wav</t>
  </si>
  <si>
    <t>Complexity(6)_Time(148)_SongNr(48).wav</t>
  </si>
  <si>
    <t>Complexity(6)_Time(136)_SongNr(48).wav</t>
  </si>
  <si>
    <t>Complexity(6)_Time(132)_SongNr(48).wav</t>
  </si>
  <si>
    <t>Complexity(6)_Time(128)_SongNr(48).wav</t>
  </si>
  <si>
    <t>Complexity(4)_Time(296)_SongNr(48).wav</t>
  </si>
  <si>
    <t>Complexity(6)_Time(94)_SongNr(49).wav</t>
  </si>
  <si>
    <t>Complexity(6)_Time(64)_SongNr(49).wav</t>
  </si>
  <si>
    <t>Complexity(6)_Time(144)_SongNr(49).wav</t>
  </si>
  <si>
    <t>Complexity(6)_Time(142)_SongNr(49).wav</t>
  </si>
  <si>
    <t>Complexity(6)_Time(140)_SongNr(49).wav</t>
  </si>
  <si>
    <t>Complexity(6)_Time(104)_SongNr(49).wav</t>
  </si>
  <si>
    <t>Complexity(4)_Time(62)_SongNr(49).wav</t>
  </si>
  <si>
    <t>Complexity(3)_Time(42)_SongNr(49).wav</t>
  </si>
  <si>
    <t>Complexity(3)_Time(38)_SongNr(49).wav</t>
  </si>
  <si>
    <t>Complexity(6)_Time(92)_SongNr(49).wav</t>
  </si>
  <si>
    <t>Complexity(6)_Time(68)_SongNr(49).wav</t>
  </si>
  <si>
    <t>Complexity(6)_Time(60)_SongNr(49).wav</t>
  </si>
  <si>
    <t>Complexity(6)_Time(156)_SongNr(49).wav</t>
  </si>
  <si>
    <t>Complexity(6)_Time(152)_SongNr(49).wav</t>
  </si>
  <si>
    <t>Complexity(6)_Time(146)_SongNr(49).wav</t>
  </si>
  <si>
    <t>Complexity(6)_Time(136)_SongNr(49).wav</t>
  </si>
  <si>
    <t>Complexity(6)_Time(132)_SongNr(49).wav</t>
  </si>
  <si>
    <t>Complexity(6)_Time(128)_SongNr(49).wav</t>
  </si>
  <si>
    <t>Complexity(6)_Time(126)_SongNr(49).wav</t>
  </si>
  <si>
    <t>Complexity(6)_Time(122)_SongNr(49).wav</t>
  </si>
  <si>
    <t>Complexity(6)_Time(116)_SongNr(49).wav</t>
  </si>
  <si>
    <t>Complexity(6)_Time(114)_SongNr(49).wav</t>
  </si>
  <si>
    <t>Complexity(4)_Time(186)_SongNr(49).wav</t>
  </si>
  <si>
    <t>Complexity(3)_Time(16)_SongNr(49).wav</t>
  </si>
  <si>
    <t>Complexity(6)_Time(66)_SongNr(49).wav</t>
  </si>
  <si>
    <t>Complexity(6)_Time(56)_SongNr(49).wav</t>
  </si>
  <si>
    <t>Complexity(6)_Time(154)_SongNr(49).wav</t>
  </si>
  <si>
    <t>Complexity(6)_Time(150)_SongNr(49).wav</t>
  </si>
  <si>
    <t>Complexity(6)_Time(148)_SongNr(49).wav</t>
  </si>
  <si>
    <t>Complexity(6)_Time(134)_SongNr(49).wav</t>
  </si>
  <si>
    <t>Complexity(6)_Time(130)_SongNr(49).wav</t>
  </si>
  <si>
    <t>Complexity(6)_Time(124)_SongNr(49).wav</t>
  </si>
  <si>
    <t>Complexity(6)_Time(120)_SongNr(49).wav</t>
  </si>
  <si>
    <t>Complexity(6)_Time(112)_SongNr(49).wav</t>
  </si>
  <si>
    <t>Complexity(6)_Time(110)_SongNr(49).wav</t>
  </si>
  <si>
    <t>Complexity(6)_Time(100)_SongNr(49).wav</t>
  </si>
  <si>
    <t>Complexity(4)_Time(2)_SongNr(49).wav</t>
  </si>
  <si>
    <t>Complexity(4)_Time(162)_SongNr(49).wav</t>
  </si>
  <si>
    <t>Complexity(3)_Time(82)_SongNr(51).wav</t>
  </si>
  <si>
    <t>Complexity(3)_Time(74)_SongNr(51).wav</t>
  </si>
  <si>
    <t>Complexity(3)_Time(72)_SongNr(51).wav</t>
  </si>
  <si>
    <t>Complexity(3)_Time(70)_SongNr(51).wav</t>
  </si>
  <si>
    <t>Complexity(3)_Time(68)_SongNr(51).wav</t>
  </si>
  <si>
    <t>Complexity(3)_Time(62)_SongNr(51).wav</t>
  </si>
  <si>
    <t>Complexity(3)_Time(54)_SongNr(51).wav</t>
  </si>
  <si>
    <t>Complexity(3)_Time(44)_SongNr(51).wav</t>
  </si>
  <si>
    <t>Complexity(3)_Time(42)_SongNr(51).wav</t>
  </si>
  <si>
    <t>Complexity(3)_Time(258)_SongNr(51).wav</t>
  </si>
  <si>
    <t>Complexity(3)_Time(244)_SongNr(51).wav</t>
  </si>
  <si>
    <t>Complexity(3)_Time(226)_SongNr(51).wav</t>
  </si>
  <si>
    <t>Complexity(3)_Time(174)_SongNr(51).wav</t>
  </si>
  <si>
    <t>Complexity(3)_Time(168)_SongNr(51).wav</t>
  </si>
  <si>
    <t>Complexity(3)_Time(164)_SongNr(51).wav</t>
  </si>
  <si>
    <t>Complexity(3)_Time(158)_SongNr(51).wav</t>
  </si>
  <si>
    <t>Complexity(3)_Time(156)_SongNr(51).wav</t>
  </si>
  <si>
    <t>Complexity(3)_Time(150)_SongNr(51).wav</t>
  </si>
  <si>
    <t>Complexity(3)_Time(144)_SongNr(51).wav</t>
  </si>
  <si>
    <t>Complexity(3)_Time(140)_SongNr(51).wav</t>
  </si>
  <si>
    <t>Complexity(3)_Time(86)_SongNr(51).wav</t>
  </si>
  <si>
    <t>Complexity(3)_Time(52)_SongNr(51).wav</t>
  </si>
  <si>
    <t>Complexity(3)_Time(222)_SongNr(51).wav</t>
  </si>
  <si>
    <t>Complexity(3)_Time(132)_SongNr(51).wav</t>
  </si>
  <si>
    <t>Complexity(6)_Time(368)_SongNr(52).wav</t>
  </si>
  <si>
    <t>Complexity(4)_Time(176)_SongNr(52).wav</t>
  </si>
  <si>
    <t>Complexity(3)_Time(92)_SongNr(52).wav</t>
  </si>
  <si>
    <t>Complexity(3)_Time(90)_SongNr(52).wav</t>
  </si>
  <si>
    <t>Complexity(3)_Time(88)_SongNr(52).wav</t>
  </si>
  <si>
    <t>Complexity(3)_Time(84)_SongNr(52).wav</t>
  </si>
  <si>
    <t>Complexity(3)_Time(80)_SongNr(52).wav</t>
  </si>
  <si>
    <t>Complexity(3)_Time(78)_SongNr(52).wav</t>
  </si>
  <si>
    <t>Complexity(3)_Time(76)_SongNr(52).wav</t>
  </si>
  <si>
    <t>Complexity(3)_Time(110)_SongNr(52).wav</t>
  </si>
  <si>
    <t>Complexity(7)_Time(384)_SongNr(52).wav</t>
  </si>
  <si>
    <t>Complexity(7)_Time(324)_SongNr(52).wav</t>
  </si>
  <si>
    <t>Complexity(6)_Time(340)_SongNr(52).wav</t>
  </si>
  <si>
    <t>Complexity(6)_Time(316)_SongNr(52).wav</t>
  </si>
  <si>
    <t>Complexity(6)_Time(310)_SongNr(52).wav</t>
  </si>
  <si>
    <t>Complexity(6)_Time(266)_SongNr(52).wav</t>
  </si>
  <si>
    <t>Complexity(7)_Time(318)_SongNr(52).wav</t>
  </si>
  <si>
    <t>Complexity(6)_Time(376)_SongNr(52).wav</t>
  </si>
  <si>
    <t>Complexity(6)_Time(330)_SongNr(52).wav</t>
  </si>
  <si>
    <t>Complexity(6)_Time(320)_SongNr(52).wav</t>
  </si>
  <si>
    <t>Complexity(6)_Time(314)_SongNr(52).wav</t>
  </si>
  <si>
    <t>Complexity(4)_Time(218)_SongNr(52).wav</t>
  </si>
  <si>
    <t>Complexity(3)_Time(70)_SongNr(53).wav</t>
  </si>
  <si>
    <t>Complexity(3)_Time(60)_SongNr(53).wav</t>
  </si>
  <si>
    <t>Complexity(3)_Time(42)_SongNr(53).wav</t>
  </si>
  <si>
    <t>Complexity(6)_Time(94)_SongNr(53).wav</t>
  </si>
  <si>
    <t>Complexity(6)_Time(90)_SongNr(53).wav</t>
  </si>
  <si>
    <t>Complexity(6)_Time(86)_SongNr(53).wav</t>
  </si>
  <si>
    <t>Complexity(6)_Time(104)_SongNr(53).wav</t>
  </si>
  <si>
    <t>Complexity(3)_Time(46)_SongNr(53).wav</t>
  </si>
  <si>
    <t>Complexity(3)_Time(44)_SongNr(53).wav</t>
  </si>
  <si>
    <t>Complexity(3)_Time(40)_SongNr(53).wav</t>
  </si>
  <si>
    <t>Complexity(3)_Time(38)_SongNr(53).wav</t>
  </si>
  <si>
    <t>Complexity(3)_Time(36)_SongNr(53).wav</t>
  </si>
  <si>
    <t>Complexity(3)_Time(34)_SongNr(53).wav</t>
  </si>
  <si>
    <t>Complexity(3)_Time(30)_SongNr(53).wav</t>
  </si>
  <si>
    <t>Complexity(6)_Time(98)_SongNr(53).wav</t>
  </si>
  <si>
    <t>Complexity(6)_Time(96)_SongNr(53).wav</t>
  </si>
  <si>
    <t>Complexity(6)_Time(92)_SongNr(53).wav</t>
  </si>
  <si>
    <t>Complexity(6)_Time(80)_SongNr(53).wav</t>
  </si>
  <si>
    <t>Complexity(6)_Time(100)_SongNr(53).wav</t>
  </si>
  <si>
    <t>Complexity(4)_Time(106)_SongNr(53).wav</t>
  </si>
  <si>
    <t>Complexity(3)_Time(108)_SongNr(53).wav</t>
  </si>
  <si>
    <t>Complexity(3)_Time(754)_SongNr(54).wav</t>
  </si>
  <si>
    <t>Complexity(3)_Time(1038)_SongNr(54).wav</t>
  </si>
  <si>
    <t>Complexity(3)_Time(1012)_SongNr(54).wav</t>
  </si>
  <si>
    <t>Complexity(4)_Time(50)_SongNr(55).wav</t>
  </si>
  <si>
    <t>Complexity(3)_Time(216)_SongNr(55).wav</t>
  </si>
  <si>
    <t>Complexity(3)_Time(182)_SongNr(55).wav</t>
  </si>
  <si>
    <t>Complexity(3)_Time(16)_SongNr(55).wav</t>
  </si>
  <si>
    <t>Complexity(3)_Time(222)_SongNr(56).wav</t>
  </si>
  <si>
    <t>Complexity(3)_Time(218)_SongNr(56).wav</t>
  </si>
  <si>
    <t>Complexity(3)_Time(112)_SongNr(56).wav</t>
  </si>
  <si>
    <t>Complexity(3)_Time(352)_SongNr(56).wav</t>
  </si>
  <si>
    <t>Complexity(4)_Time(42)_SongNr(57).wav</t>
  </si>
  <si>
    <t>Complexity(4)_Time(220)_SongNr(57).wav</t>
  </si>
  <si>
    <t>Complexity(4)_Time(54)_SongNr(57).wav</t>
  </si>
  <si>
    <t>Complexity(3)_Time(168)_SongNr(57).wav</t>
  </si>
  <si>
    <t>Complexity(4)_Time(98)_SongNr(57).wav</t>
  </si>
  <si>
    <t>Complexity(4)_Time(94)_SongNr(57).wav</t>
  </si>
  <si>
    <t>Complexity(4)_Time(134)_SongNr(57).wav</t>
  </si>
  <si>
    <t>Complexity(4)_Time(132)_SongNr(57).wav</t>
  </si>
  <si>
    <t>Complexity(4)_Time(126)_SongNr(57).wav</t>
  </si>
  <si>
    <t>Complexity(4)_Time(122)_SongNr(57).wav</t>
  </si>
  <si>
    <t>Complexity(4)_Time(120)_SongNr(57).wav</t>
  </si>
  <si>
    <t>Complexity(4)_Time(116)_SongNr(57).wav</t>
  </si>
  <si>
    <t>Complexity(4)_Time(114)_SongNr(57).wav</t>
  </si>
  <si>
    <t>Complexity(4)_Time(108)_SongNr(57).wav</t>
  </si>
  <si>
    <t>Complexity(4)_Time(100)_SongNr(57).wav</t>
  </si>
  <si>
    <t>Complexity(4)_Time(24)_SongNr(57).wav</t>
  </si>
  <si>
    <t>Complexity(3)_Time(6)_SongNr(57).wav</t>
  </si>
  <si>
    <t>Complexity(3)_Time(178)_SongNr(57).wav</t>
  </si>
  <si>
    <t>Complexity(4)_Time(50)_SongNr(58).wav</t>
  </si>
  <si>
    <t>Complexity(3)_Time(270)_SongNr(58).wav</t>
  </si>
  <si>
    <t>Complexity(3)_Time(268)_SongNr(58).wav</t>
  </si>
  <si>
    <t>Complexity(3)_Time(266)_SongNr(58).wav</t>
  </si>
  <si>
    <t>Complexity(4)_Time(40)_SongNr(58).wav</t>
  </si>
  <si>
    <t>Complexity(4)_Time(188)_SongNr(58).wav</t>
  </si>
  <si>
    <t>Complexity(3)_Time(208)_SongNr(58).wav</t>
  </si>
  <si>
    <t>Complexity(4)_Time(6)_SongNr(59).wav</t>
  </si>
  <si>
    <t>Complexity(4)_Time(40)_SongNr(59).wav</t>
  </si>
  <si>
    <t>Complexity(4)_Time(38)_SongNr(59).wav</t>
  </si>
  <si>
    <t>Complexity(4)_Time(32)_SongNr(59).wav</t>
  </si>
  <si>
    <t>Complexity(4)_Time(30)_SongNr(59).wav</t>
  </si>
  <si>
    <t>Complexity(4)_Time(24)_SongNr(59).wav</t>
  </si>
  <si>
    <t>Complexity(4)_Time(18)_SongNr(59).wav</t>
  </si>
  <si>
    <t>Complexity(4)_Time(10)_SongNr(59).wav</t>
  </si>
  <si>
    <t>Complexity(4)_Time(8)_SongNr(59).wav</t>
  </si>
  <si>
    <t>Complexity(4)_Time(26)_SongNr(59).wav</t>
  </si>
  <si>
    <t>Complexity(4)_Time(22)_SongNr(59).wav</t>
  </si>
  <si>
    <t>Complexity(4)_Time(20)_SongNr(59).wav</t>
  </si>
  <si>
    <t>Complexity(4)_Time(2)_SongNr(59).wav</t>
  </si>
  <si>
    <t>Complexity(4)_Time(16)_SongNr(59).wav</t>
  </si>
  <si>
    <t>Complexity(4)_Time(6)_SongNr(60).wav</t>
  </si>
  <si>
    <t>Complexity(4)_Time(14)_SongNr(60).wav</t>
  </si>
  <si>
    <t>Complexity(4)_Time(10)_SongNr(60).wav</t>
  </si>
  <si>
    <t>Complexity(4)_Time(4)_SongNr(60).wav</t>
  </si>
  <si>
    <t>Complexity(4)_Time(24)_SongNr(60).wav</t>
  </si>
  <si>
    <t>Complexity(4)_Time(0)_SongNr(60).wav</t>
  </si>
  <si>
    <t>Complexity(3)_Time(32)_SongNr(60).wav</t>
  </si>
  <si>
    <t>Complexity(4)_Time(34)_SongNr(60).wav</t>
  </si>
  <si>
    <t>Complexity(4)_Time(28)_SongNr(60).wav</t>
  </si>
  <si>
    <t>Complexity(4)_Time(26)_SongNr(60).wav</t>
  </si>
  <si>
    <t>Complexity(4)_Time(22)_SongNr(60).wav</t>
  </si>
  <si>
    <t>Complexity(4)_Time(18)_SongNr(60).wav</t>
  </si>
  <si>
    <t>Complexity(4)_Time(94)_SongNr(61).wav</t>
  </si>
  <si>
    <t>Complexity(4)_Time(86)_SongNr(61).wav</t>
  </si>
  <si>
    <t>Complexity(4)_Time(84)_SongNr(61).wav</t>
  </si>
  <si>
    <t>Complexity(4)_Time(80)_SongNr(61).wav</t>
  </si>
  <si>
    <t>Complexity(4)_Time(76)_SongNr(61).wav</t>
  </si>
  <si>
    <t>Complexity(4)_Time(66)_SongNr(61).wav</t>
  </si>
  <si>
    <t>Complexity(4)_Time(62)_SongNr(61).wav</t>
  </si>
  <si>
    <t>Complexity(4)_Time(60)_SongNr(61).wav</t>
  </si>
  <si>
    <t>Complexity(4)_Time(58)_SongNr(61).wav</t>
  </si>
  <si>
    <t>Complexity(4)_Time(50)_SongNr(61).wav</t>
  </si>
  <si>
    <t>Complexity(4)_Time(48)_SongNr(61).wav</t>
  </si>
  <si>
    <t>Complexity(4)_Time(46)_SongNr(61).wav</t>
  </si>
  <si>
    <t>Complexity(4)_Time(40)_SongNr(61).wav</t>
  </si>
  <si>
    <t>Complexity(4)_Time(4)_SongNr(61).wav</t>
  </si>
  <si>
    <t>Complexity(4)_Time(36)_SongNr(61).wav</t>
  </si>
  <si>
    <t>Complexity(4)_Time(32)_SongNr(61).wav</t>
  </si>
  <si>
    <t>Complexity(4)_Time(30)_SongNr(61).wav</t>
  </si>
  <si>
    <t>Complexity(4)_Time(22)_SongNr(61).wav</t>
  </si>
  <si>
    <t>Complexity(4)_Time(20)_SongNr(61).wav</t>
  </si>
  <si>
    <t>Complexity(4)_Time(2)_SongNr(61).wav</t>
  </si>
  <si>
    <t>Complexity(4)_Time(12)_SongNr(61).wav</t>
  </si>
  <si>
    <t>Complexity(4)_Time(100)_SongNr(61).wav</t>
  </si>
  <si>
    <t>Complexity(4)_Time(38)_SongNr(61).wav</t>
  </si>
  <si>
    <t>Complexity(4)_Time(0)_SongNr(61).wav</t>
  </si>
  <si>
    <t>Complexity(3)_Time(70)_SongNr(61).wav</t>
  </si>
  <si>
    <t>Complexity(4)_Time(0)_SongNr(62).wav</t>
  </si>
  <si>
    <t>Complexity(4)_Time(88)_SongNr(63).wav</t>
  </si>
  <si>
    <t>Complexity(4)_Time(82)_SongNr(63).wav</t>
  </si>
  <si>
    <t>Complexity(4)_Time(78)_SongNr(63).wav</t>
  </si>
  <si>
    <t>Complexity(4)_Time(76)_SongNr(63).wav</t>
  </si>
  <si>
    <t>Complexity(4)_Time(72)_SongNr(63).wav</t>
  </si>
  <si>
    <t>Complexity(4)_Time(70)_SongNr(63).wav</t>
  </si>
  <si>
    <t>Complexity(4)_Time(68)_SongNr(63).wav</t>
  </si>
  <si>
    <t>Complexity(4)_Time(66)_SongNr(63).wav</t>
  </si>
  <si>
    <t>Complexity(4)_Time(6)_SongNr(63).wav</t>
  </si>
  <si>
    <t>Complexity(4)_Time(56)_SongNr(63).wav</t>
  </si>
  <si>
    <t>Complexity(4)_Time(54)_SongNr(63).wav</t>
  </si>
  <si>
    <t>Complexity(4)_Time(48)_SongNr(63).wav</t>
  </si>
  <si>
    <t>Complexity(4)_Time(42)_SongNr(63).wav</t>
  </si>
  <si>
    <t>Complexity(4)_Time(38)_SongNr(63).wav</t>
  </si>
  <si>
    <t>Complexity(4)_Time(36)_SongNr(63).wav</t>
  </si>
  <si>
    <t>Complexity(4)_Time(34)_SongNr(63).wav</t>
  </si>
  <si>
    <t>Complexity(4)_Time(32)_SongNr(63).wav</t>
  </si>
  <si>
    <t>Complexity(4)_Time(30)_SongNr(63).wav</t>
  </si>
  <si>
    <t>Complexity(4)_Time(22)_SongNr(63).wav</t>
  </si>
  <si>
    <t>Complexity(4)_Time(18)_SongNr(63).wav</t>
  </si>
  <si>
    <t>Complexity(4)_Time(14)_SongNr(63).wav</t>
  </si>
  <si>
    <t>Complexity(4)_Time(10)_SongNr(63).wav</t>
  </si>
  <si>
    <t>Complexity(3)_Time(96)_SongNr(63).wav</t>
  </si>
  <si>
    <t>Complexity(3)_Time(4)_SongNr(63).wav</t>
  </si>
  <si>
    <t>Complexity(3)_Time(0)_SongNr(63).wav</t>
  </si>
  <si>
    <t>Complexity(4)_Time(44)_SongNr(63).wav</t>
  </si>
  <si>
    <t>Complexity(4)_Time(40)_SongNr(63).wav</t>
  </si>
  <si>
    <t>Complexity(4)_Time(8)_SongNr(64).wav</t>
  </si>
  <si>
    <t>Complexity(4)_Time(6)_SongNr(64).wav</t>
  </si>
  <si>
    <t>Complexity(4)_Time(4)_SongNr(64).wav</t>
  </si>
  <si>
    <t>Complexity(4)_Time(20)_SongNr(64).wav</t>
  </si>
  <si>
    <t>Complexity(4)_Time(0)_SongNr(64).wav</t>
  </si>
  <si>
    <t>Complexity(4)_Time(22)_SongNr(64).wav</t>
  </si>
  <si>
    <t>Complexity(4)_Time(2)_SongNr(64).wav</t>
  </si>
  <si>
    <t>Complexity(4)_Time(18)_SongNr(64).wav</t>
  </si>
  <si>
    <t>Complexity(4)_Time(12)_SongNr(64).wav</t>
  </si>
  <si>
    <t>Complexity(4)_Time(10)_SongNr(64).wav</t>
  </si>
  <si>
    <t>Complexity(3)_Time(16)_SongNr(64).wav</t>
  </si>
  <si>
    <t>Complexity(3)_Time(14)_SongNr(64).wav</t>
  </si>
  <si>
    <t>Complexity(4)_Time(28)_SongNr(64).wav</t>
  </si>
  <si>
    <t>Complexity(4)_Time(4)_SongNr(65).wav</t>
  </si>
  <si>
    <t>Complexity(4)_Time(14)_SongNr(65).wav</t>
  </si>
  <si>
    <t>Complexity(4)_Time(12)_SongNr(65).wav</t>
  </si>
  <si>
    <t>Complexity(4)_Time(2)_SongNr(65).wav</t>
  </si>
  <si>
    <t>Complexity(4)_Time(8)_SongNr(65).wav</t>
  </si>
  <si>
    <t>Complexity(4)_Time(10)_SongNr(65).wav</t>
  </si>
  <si>
    <t>Complexity(4)_Time(0)_SongNr(65).wav</t>
  </si>
  <si>
    <t>Complexity(4)_Time(98)_SongNr(66).wav</t>
  </si>
  <si>
    <t>Complexity(4)_Time(90)_SongNr(66).wav</t>
  </si>
  <si>
    <t>Complexity(4)_Time(8)_SongNr(66).wav</t>
  </si>
  <si>
    <t>Complexity(4)_Time(68)_SongNr(66).wav</t>
  </si>
  <si>
    <t>Complexity(4)_Time(58)_SongNr(66).wav</t>
  </si>
  <si>
    <t>Complexity(4)_Time(50)_SongNr(66).wav</t>
  </si>
  <si>
    <t>Complexity(4)_Time(36)_SongNr(66).wav</t>
  </si>
  <si>
    <t>Complexity(4)_Time(14)_SongNr(66).wav</t>
  </si>
  <si>
    <t>Complexity(4)_Time(116)_SongNr(66).wav</t>
  </si>
  <si>
    <t>Complexity(4)_Time(110)_SongNr(66).wav</t>
  </si>
  <si>
    <t>Complexity(4)_Time(76)_SongNr(66).wav</t>
  </si>
  <si>
    <t>Complexity(3)_Time(2)_SongNr(66).wav</t>
  </si>
  <si>
    <t>Complexity(3)_Time(8)_SongNr(67).wav</t>
  </si>
  <si>
    <t>Complexity(3)_Time(64)_SongNr(67).wav</t>
  </si>
  <si>
    <t>Complexity(3)_Time(44)_SongNr(67).wav</t>
  </si>
  <si>
    <t>Complexity(3)_Time(42)_SongNr(67).wav</t>
  </si>
  <si>
    <t>Complexity(3)_Time(22)_SongNr(67).wav</t>
  </si>
  <si>
    <t>Complexity(3)_Time(14)_SongNr(67).wav</t>
  </si>
  <si>
    <t>Complexity(4)_Time(46)_SongNr(68).wav</t>
  </si>
  <si>
    <t>Complexity(4)_Time(30)_SongNr(68).wav</t>
  </si>
  <si>
    <t>Complexity(4)_Time(12)_SongNr(68).wav</t>
  </si>
  <si>
    <t>Complexity(4)_Time(10)_SongNr(68).wav</t>
  </si>
  <si>
    <t>Complexity(3)_Time(6)_SongNr(68).wav</t>
  </si>
  <si>
    <t>Complexity(3)_Time(4)_SongNr(68).wav</t>
  </si>
  <si>
    <t>Complexity(3)_Time(2)_SongNr(68).wav</t>
  </si>
  <si>
    <t>Complexity(3)_Time(14)_SongNr(68).wav</t>
  </si>
  <si>
    <t>Complexity(4)_Time(82)_SongNr(69).wav</t>
  </si>
  <si>
    <t>Complexity(4)_Time(72)_SongNr(69).wav</t>
  </si>
  <si>
    <t>Complexity(3)_Time(48)_SongNr(69).wav</t>
  </si>
  <si>
    <t>Complexity(4)_Time(32)_SongNr(71).wav</t>
  </si>
  <si>
    <t>Complexity(4)_Time(28)_SongNr(71).wav</t>
  </si>
  <si>
    <t>Complexity(4)_Time(2)_SongNr(71).wav</t>
  </si>
  <si>
    <t>Complexity(4)_Time(18)_SongNr(71).wav</t>
  </si>
  <si>
    <t>Complexity(4)_Time(26)_SongNr(71).wav</t>
  </si>
  <si>
    <t>Complexity(4)_Time(24)_SongNr(71).wav</t>
  </si>
  <si>
    <t>Complexity(4)_Time(22)_SongNr(71).wav</t>
  </si>
  <si>
    <t>Complexity(3)_Time(16)_SongNr(71).wav</t>
  </si>
  <si>
    <t>Complexity(4)_Time(6)_SongNr(71).wav</t>
  </si>
  <si>
    <t>Complexity(4)_Time(4)_SongNr(71).wav</t>
  </si>
  <si>
    <t>Complexity(4)_Time(36)_SongNr(71).wav</t>
  </si>
  <si>
    <t>Complexity(4)_Time(20)_SongNr(71).wav</t>
  </si>
  <si>
    <t>Complexity(4)_Time(12)_SongNr(71).wav</t>
  </si>
  <si>
    <t>Complexity(4)_Time(8)_SongNr(72).wav</t>
  </si>
  <si>
    <t>Complexity(4)_Time(16)_SongNr(72).wav</t>
  </si>
  <si>
    <t>Complexity(4)_Time(4)_SongNr(72).wav</t>
  </si>
  <si>
    <t>Complexity(4)_Time(2)_SongNr(72).wav</t>
  </si>
  <si>
    <t>Complexity(4)_Time(12)_SongNr(72).wav</t>
  </si>
  <si>
    <t>Complexity(4)_Time(10)_SongNr(72).wav</t>
  </si>
  <si>
    <t>Complexity(4)_Time(14)_SongNr(72).wav</t>
  </si>
  <si>
    <t>Complexity(4)_Time(0)_SongNr(72).wav</t>
  </si>
  <si>
    <t>Complexity(4)_Time(26)_SongNr(73).wav</t>
  </si>
  <si>
    <t>Complexity(4)_Time(14)_SongNr(73).wav</t>
  </si>
  <si>
    <t>Complexity(3)_Time(2)_SongNr(73).wav</t>
  </si>
  <si>
    <t>Complexity(4)_Time(58)_SongNr(74).wav</t>
  </si>
  <si>
    <t>Complexity(4)_Time(44)_SongNr(74).wav</t>
  </si>
  <si>
    <t>Complexity(4)_Time(102)_SongNr(74).wav</t>
  </si>
  <si>
    <t>Complexity(3)_Time(18)_SongNr(74).wav</t>
  </si>
  <si>
    <t>Complexity(4)_Time(6)_SongNr(75).wav</t>
  </si>
  <si>
    <t>Complexity(4)_Time(18)_SongNr(75).wav</t>
  </si>
  <si>
    <t>Complexity(4)_Time(24)_SongNr(75).wav</t>
  </si>
  <si>
    <t>Complexity(3)_Time(0)_SongNr(75).wav</t>
  </si>
  <si>
    <t>Complexity(4)_Time(22)_SongNr(75).wav</t>
  </si>
  <si>
    <t>Complexity(4)_Time(2)_SongNr(75).wav</t>
  </si>
  <si>
    <t>Complexity(4)_Time(14)_SongNr(75).wav</t>
  </si>
  <si>
    <t>Complexity(3)_Time(4)_SongNr(75).wav</t>
  </si>
  <si>
    <t>Complexity(3)_Time(28)_SongNr(75).wav</t>
  </si>
  <si>
    <t>Complexity(4)_Time(8)_SongNr(76).wav</t>
  </si>
  <si>
    <t>Complexity(4)_Time(14)_SongNr(76).wav</t>
  </si>
  <si>
    <t>Complexity(4)_Time(6)_SongNr(76).wav</t>
  </si>
  <si>
    <t>Complexity(4)_Time(0)_SongNr(76).wav</t>
  </si>
  <si>
    <t>Complexity(3)_Time(2)_SongNr(76).wav</t>
  </si>
  <si>
    <t>Complexity(3)_Time(12)_SongNr(76).wav</t>
  </si>
  <si>
    <t>Complexity(4)_Time(16)_SongNr(76).wav</t>
  </si>
  <si>
    <t>Complexity(4)_Time(10)_SongNr(76).wav</t>
  </si>
  <si>
    <t>Complexity(4)_Time(0)_SongNr(77).wav</t>
  </si>
  <si>
    <t>Complexity(4)_Time(4)_SongNr(77).wav</t>
  </si>
  <si>
    <t>Complexity(4)_Time(10)_SongNr(77).wav</t>
  </si>
  <si>
    <t>Complexity(4)_Time(8)_SongNr(77).wav</t>
  </si>
  <si>
    <t>Complexity(4)_Time(2)_SongNr(77).wav</t>
  </si>
  <si>
    <t>Complexity(4)_Time(24)_SongNr(78).wav</t>
  </si>
  <si>
    <t>Complexity(4)_Time(8)_SongNr(78).wav</t>
  </si>
  <si>
    <t>Complexity(4)_Time(4)_SongNr(78).wav</t>
  </si>
  <si>
    <t>Complexity(4)_Time(20)_SongNr(78).wav</t>
  </si>
  <si>
    <t>Complexity(4)_Time(2)_SongNr(78).wav</t>
  </si>
  <si>
    <t>Complexity(4)_Time(18)_SongNr(78).wav</t>
  </si>
  <si>
    <t>Complexity(4)_Time(12)_SongNr(78).wav</t>
  </si>
  <si>
    <t>Complexity(4)_Time(0)_SongNr(78).wav</t>
  </si>
  <si>
    <t>Complexity(3)_Time(10)_SongNr(78).wav</t>
  </si>
  <si>
    <t>Complexity(4)_Time(22)_SongNr(78).wav</t>
  </si>
  <si>
    <t>Complexity(4)_Time(16)_SongNr(78).wav</t>
  </si>
  <si>
    <t>Complexity(4)_Time(14)_SongNr(78).wav</t>
  </si>
  <si>
    <t>Complexity(3)_Time(6)_SongNr(79).wav</t>
  </si>
  <si>
    <t>Complexity(3)_Time(26)_SongNr(79).wav</t>
  </si>
  <si>
    <t>Complexity(3)_Time(24)_SongNr(79).wav</t>
  </si>
  <si>
    <t>Complexity(3)_Time(22)_SongNr(79).wav</t>
  </si>
  <si>
    <t>Complexity(3)_Time(18)_SongNr(79).wav</t>
  </si>
  <si>
    <t>Complexity(3)_Time(16)_SongNr(79).wav</t>
  </si>
  <si>
    <t>Complexity(3)_Time(10)_SongNr(79).wav</t>
  </si>
  <si>
    <t>Complexity(3)_Time(0)_SongNr(79).wav</t>
  </si>
  <si>
    <t>Complexity(3)_Time(4)_SongNr(79).wav</t>
  </si>
  <si>
    <t>Complexity(3)_Time(30)_SongNr(79).wav</t>
  </si>
  <si>
    <t>Complexity(3)_Time(28)_SongNr(79).wav</t>
  </si>
  <si>
    <t>Complexity(3)_Time(20)_SongNr(79).wav</t>
  </si>
  <si>
    <t>Complexity(3)_Time(2)_SongNr(79).wav</t>
  </si>
  <si>
    <t>Complexity(3)_Time(14)_SongNr(79).wav</t>
  </si>
  <si>
    <t>Complexity(3)_Time(32)_SongNr(80).wav</t>
  </si>
  <si>
    <t>Complexity(3)_Time(24)_SongNr(80).wav</t>
  </si>
  <si>
    <t>Complexity(3)_Time(20)_SongNr(80).wav</t>
  </si>
  <si>
    <t>Complexity(3)_Time(2)_SongNr(80).wav</t>
  </si>
  <si>
    <t>Complexity(3)_Time(16)_SongNr(80).wav</t>
  </si>
  <si>
    <t>Complexity(3)_Time(12)_SongNr(80).wav</t>
  </si>
  <si>
    <t>Complexity(3)_Time(10)_SongNr(80).wav</t>
  </si>
  <si>
    <t>Complexity(3)_Time(6)_SongNr(80).wav</t>
  </si>
  <si>
    <t>Complexity(3)_Time(4)_SongNr(80).wav</t>
  </si>
  <si>
    <t>Complexity(3)_Time(30)_SongNr(80).wav</t>
  </si>
  <si>
    <t>Complexity(3)_Time(28)_SongNr(80).wav</t>
  </si>
  <si>
    <t>Complexity(3)_Time(22)_SongNr(80).wav</t>
  </si>
  <si>
    <t>Complexity(4)_Time(78)_SongNr(81).wav</t>
  </si>
  <si>
    <t>Complexity(4)_Time(72)_SongNr(81).wav</t>
  </si>
  <si>
    <t>Complexity(4)_Time(70)_SongNr(81).wav</t>
  </si>
  <si>
    <t>Complexity(4)_Time(60)_SongNr(81).wav</t>
  </si>
  <si>
    <t>Complexity(4)_Time(56)_SongNr(81).wav</t>
  </si>
  <si>
    <t>Complexity(4)_Time(54)_SongNr(81).wav</t>
  </si>
  <si>
    <t>Complexity(4)_Time(52)_SongNr(81).wav</t>
  </si>
  <si>
    <t>Complexity(4)_Time(42)_SongNr(81).wav</t>
  </si>
  <si>
    <t>Complexity(4)_Time(40)_SongNr(81).wav</t>
  </si>
  <si>
    <t>Complexity(4)_Time(28)_SongNr(81).wav</t>
  </si>
  <si>
    <t>Complexity(4)_Time(26)_SongNr(81).wav</t>
  </si>
  <si>
    <t>Complexity(4)_Time(24)_SongNr(81).wav</t>
  </si>
  <si>
    <t>Complexity(4)_Time(20)_SongNr(81).wav</t>
  </si>
  <si>
    <t>Complexity(4)_Time(18)_SongNr(81).wav</t>
  </si>
  <si>
    <t>Complexity(4)_Time(16)_SongNr(81).wav</t>
  </si>
  <si>
    <t>Complexity(4)_Time(10)_SongNr(81).wav</t>
  </si>
  <si>
    <t>Complexity(3)_Time(48)_SongNr(81).wav</t>
  </si>
  <si>
    <t>Complexity(3)_Time(2)_SongNr(81).wav</t>
  </si>
  <si>
    <t>Complexity(4)_Time(84)_SongNr(81).wav</t>
  </si>
  <si>
    <t>Complexity(4)_Time(74)_SongNr(81).wav</t>
  </si>
  <si>
    <t>Complexity(4)_Time(68)_SongNr(81).wav</t>
  </si>
  <si>
    <t>Complexity(3)_Time(4)_SongNr(81).wav</t>
  </si>
  <si>
    <t>Complexity(3)_Time(6)_SongNr(82).wav</t>
  </si>
  <si>
    <t>Complexity(3)_Time(4)_SongNr(82).wav</t>
  </si>
  <si>
    <t>Complexity(3)_Time(8)_SongNr(82).wav</t>
  </si>
  <si>
    <t>Complexity(3)_Time(2)_SongNr(82).wav</t>
  </si>
  <si>
    <t>Complexity(3)_Time(14)_SongNr(82).wav</t>
  </si>
  <si>
    <t>Complexity(3)_Time(12)_SongNr(82).wav</t>
  </si>
  <si>
    <t>Complexity(3)_Time(0)_SongNr(82).wav</t>
  </si>
  <si>
    <t>Complexity(6)_Time(62)_SongNr(83).wav</t>
  </si>
  <si>
    <t>Complexity(6)_Time(58)_SongNr(83).wav</t>
  </si>
  <si>
    <t>Complexity(6)_Time(160)_SongNr(83).wav</t>
  </si>
  <si>
    <t>Complexity(4)_Time(18)_SongNr(83).wav</t>
  </si>
  <si>
    <t>Complexity(3)_Time(86)_SongNr(83).wav</t>
  </si>
  <si>
    <t>Complexity(3)_Time(6)_SongNr(83).wav</t>
  </si>
  <si>
    <t>Complexity(6)_Time(64)_SongNr(83).wav</t>
  </si>
  <si>
    <t>Complexity(6)_Time(154)_SongNr(83).wav</t>
  </si>
  <si>
    <t>Complexity(6)_Time(100)_SongNr(83).wav</t>
  </si>
  <si>
    <t>Complexity(4)_Time(14)_SongNr(83).wav</t>
  </si>
  <si>
    <t>Complexity(7)_Time(108)_SongNr(83).wav</t>
  </si>
  <si>
    <t>Complexity(7)_Time(106)_SongNr(83).wav</t>
  </si>
  <si>
    <t>Complexity(6)_Time(60)_SongNr(83).wav</t>
  </si>
  <si>
    <t>Complexity(6)_Time(56)_SongNr(83).wav</t>
  </si>
  <si>
    <t>Complexity(6)_Time(156)_SongNr(83).wav</t>
  </si>
  <si>
    <t>Complexity(6)_Time(144)_SongNr(83).wav</t>
  </si>
  <si>
    <t>Complexity(6)_Time(112)_SongNr(83).wav</t>
  </si>
  <si>
    <t>Complexity(4)_Time(68)_SongNr(83).wav</t>
  </si>
  <si>
    <t>Complexity(4)_Time(114)_SongNr(83).wav</t>
  </si>
  <si>
    <t>Complexity(3)_Time(92)_SongNr(83).wav</t>
  </si>
  <si>
    <t>Complexity(7)_Time(102)_SongNr(83).wav</t>
  </si>
  <si>
    <t>Complexity(6)_Time(158)_SongNr(83).wav</t>
  </si>
  <si>
    <t>Complexity(6)_Time(150)_SongNr(83).wav</t>
  </si>
  <si>
    <t>Complexity(6)_Time(148)_SongNr(83).wav</t>
  </si>
  <si>
    <t>Complexity(6)_Time(146)_SongNr(83).wav</t>
  </si>
  <si>
    <t>Complexity(6)_Time(98)_SongNr(84).wav</t>
  </si>
  <si>
    <t>Complexity(6)_Time(96)_SongNr(84).wav</t>
  </si>
  <si>
    <t>Complexity(6)_Time(92)_SongNr(84).wav</t>
  </si>
  <si>
    <t>Complexity(6)_Time(86)_SongNr(84).wav</t>
  </si>
  <si>
    <t>Complexity(6)_Time(84)_SongNr(84).wav</t>
  </si>
  <si>
    <t>Complexity(6)_Time(82)_SongNr(84).wav</t>
  </si>
  <si>
    <t>Complexity(6)_Time(76)_SongNr(84).wav</t>
  </si>
  <si>
    <t>Complexity(6)_Time(50)_SongNr(84).wav</t>
  </si>
  <si>
    <t>Complexity(6)_Time(48)_SongNr(84).wav</t>
  </si>
  <si>
    <t>Complexity(6)_Time(42)_SongNr(84).wav</t>
  </si>
  <si>
    <t>Complexity(6)_Time(38)_SongNr(84).wav</t>
  </si>
  <si>
    <t>Complexity(6)_Time(208)_SongNr(84).wav</t>
  </si>
  <si>
    <t>Complexity(6)_Time(204)_SongNr(84).wav</t>
  </si>
  <si>
    <t>Complexity(6)_Time(202)_SongNr(84).wav</t>
  </si>
  <si>
    <t>Complexity(6)_Time(196)_SongNr(84).wav</t>
  </si>
  <si>
    <t>Complexity(6)_Time(194)_SongNr(84).wav</t>
  </si>
  <si>
    <t>Complexity(6)_Time(190)_SongNr(84).wav</t>
  </si>
  <si>
    <t>Complexity(6)_Time(182)_SongNr(84).wav</t>
  </si>
  <si>
    <t>Complexity(6)_Time(180)_SongNr(84).wav</t>
  </si>
  <si>
    <t>Complexity(3)_Time(18)_SongNr(84).wav</t>
  </si>
  <si>
    <t>Complexity(3)_Time(174)_SongNr(84).wav</t>
  </si>
  <si>
    <t>Complexity(3)_Time(170)_SongNr(84).wav</t>
  </si>
  <si>
    <t>Complexity(3)_Time(16)_SongNr(84).wav</t>
  </si>
  <si>
    <t>Complexity(3)_Time(12)_SongNr(84).wav</t>
  </si>
  <si>
    <t>Complexity(3)_Time(10)_SongNr(84).wav</t>
  </si>
  <si>
    <t>Complexity(7)_Time(102)_SongNr(84).wav</t>
  </si>
  <si>
    <t>Complexity(6)_Time(90)_SongNr(84).wav</t>
  </si>
  <si>
    <t>Complexity(6)_Time(88)_SongNr(84).wav</t>
  </si>
  <si>
    <t>Complexity(6)_Time(80)_SongNr(84).wav</t>
  </si>
  <si>
    <t>Complexity(6)_Time(78)_SongNr(84).wav</t>
  </si>
  <si>
    <t>Complexity(6)_Time(74)_SongNr(84).wav</t>
  </si>
  <si>
    <t>Complexity(6)_Time(66)_SongNr(84).wav</t>
  </si>
  <si>
    <t>Complexity(6)_Time(64)_SongNr(84).wav</t>
  </si>
  <si>
    <t>Complexity(6)_Time(40)_SongNr(84).wav</t>
  </si>
  <si>
    <t>Complexity(6)_Time(210)_SongNr(84).wav</t>
  </si>
  <si>
    <t>Complexity(6)_Time(206)_SongNr(84).wav</t>
  </si>
  <si>
    <t>Complexity(6)_Time(198)_SongNr(84).wav</t>
  </si>
  <si>
    <t>Complexity(6)_Time(188)_SongNr(84).wav</t>
  </si>
  <si>
    <t>Complexity(6)_Time(184)_SongNr(84).wav</t>
  </si>
  <si>
    <t>Complexity(6)_Time(100)_SongNr(84).wav</t>
  </si>
  <si>
    <t>Complexity(4)_Time(76)_SongNr(85).wav</t>
  </si>
  <si>
    <t>Complexity(4)_Time(56)_SongNr(85).wav</t>
  </si>
  <si>
    <t>Complexity(4)_Time(54)_SongNr(85).wav</t>
  </si>
  <si>
    <t>Complexity(4)_Time(158)_SongNr(85).wav</t>
  </si>
  <si>
    <t>Complexity(4)_Time(144)_SongNr(85).wav</t>
  </si>
  <si>
    <t>Complexity(4)_Time(142)_SongNr(85).wav</t>
  </si>
  <si>
    <t>Complexity(4)_Time(66)_SongNr(85).wav</t>
  </si>
  <si>
    <t>Complexity(4)_Time(140)_SongNr(85).wav</t>
  </si>
  <si>
    <t>Complexity(3)_Time(126)_SongNr(85).wav</t>
  </si>
  <si>
    <t>Complexity(4)_Time(234)_SongNr(86).wav</t>
  </si>
  <si>
    <t>Complexity(4)_Time(232)_SongNr(86).wav</t>
  </si>
  <si>
    <t>Complexity(4)_Time(222)_SongNr(86).wav</t>
  </si>
  <si>
    <t>Complexity(4)_Time(214)_SongNr(86).wav</t>
  </si>
  <si>
    <t>Complexity(4)_Time(210)_SongNr(86).wav</t>
  </si>
  <si>
    <t>Complexity(4)_Time(204)_SongNr(86).wav</t>
  </si>
  <si>
    <t>Complexity(4)_Time(202)_SongNr(86).wav</t>
  </si>
  <si>
    <t>Complexity(4)_Time(200)_SongNr(86).wav</t>
  </si>
  <si>
    <t>Complexity(4)_Time(198)_SongNr(86).wav</t>
  </si>
  <si>
    <t>Complexity(4)_Time(196)_SongNr(86).wav</t>
  </si>
  <si>
    <t>Complexity(4)_Time(188)_SongNr(86).wav</t>
  </si>
  <si>
    <t>Complexity(4)_Time(182)_SongNr(86).wav</t>
  </si>
  <si>
    <t>Complexity(4)_Time(180)_SongNr(86).wav</t>
  </si>
  <si>
    <t>Complexity(4)_Time(164)_SongNr(86).wav</t>
  </si>
  <si>
    <t>Complexity(3)_Time(80)_SongNr(86).wav</t>
  </si>
  <si>
    <t>Complexity(3)_Time(78)_SongNr(86).wav</t>
  </si>
  <si>
    <t>Complexity(3)_Time(44)_SongNr(86).wav</t>
  </si>
  <si>
    <t>Complexity(3)_Time(178)_SongNr(86).wav</t>
  </si>
  <si>
    <t>Complexity(3)_Time(176)_SongNr(86).wav</t>
  </si>
  <si>
    <t>Complexity(3)_Time(174)_SongNr(86).wav</t>
  </si>
  <si>
    <t>Complexity(3)_Time(172)_SongNr(86).wav</t>
  </si>
  <si>
    <t>Complexity(3)_Time(140)_SongNr(86).wav</t>
  </si>
  <si>
    <t>Complexity(3)_Time(138)_SongNr(86).wav</t>
  </si>
  <si>
    <t>Complexity(3)_Time(134)_SongNr(86).wav</t>
  </si>
  <si>
    <t>Complexity(3)_Time(132)_SongNr(86).wav</t>
  </si>
  <si>
    <t>Complexity(3)_Time(128)_SongNr(86).wav</t>
  </si>
  <si>
    <t>Complexity(3)_Time(126)_SongNr(86).wav</t>
  </si>
  <si>
    <t>Complexity(6)_Time(94)_SongNr(87).wav</t>
  </si>
  <si>
    <t>Complexity(6)_Time(274)_SongNr(87).wav</t>
  </si>
  <si>
    <t>Complexity(6)_Time(250)_SongNr(87).wav</t>
  </si>
  <si>
    <t>Complexity(6)_Time(238)_SongNr(87).wav</t>
  </si>
  <si>
    <t>Complexity(6)_Time(204)_SongNr(87).wav</t>
  </si>
  <si>
    <t>Complexity(6)_Time(202)_SongNr(87).wav</t>
  </si>
  <si>
    <t>Complexity(6)_Time(156)_SongNr(87).wav</t>
  </si>
  <si>
    <t>Complexity(4)_Time(192)_SongNr(87).wav</t>
  </si>
  <si>
    <t>Complexity(3)_Time(68)_SongNr(87).wav</t>
  </si>
  <si>
    <t>Complexity(3)_Time(132)_SongNr(87).wav</t>
  </si>
  <si>
    <t>Complexity(3)_Time(118)_SongNr(87).wav</t>
  </si>
  <si>
    <t>Complexity(6)_Time(272)_SongNr(87).wav</t>
  </si>
  <si>
    <t>Complexity(6)_Time(280)_SongNr(87).wav</t>
  </si>
  <si>
    <t>Complexity(6)_Time(268)_SongNr(87).wav</t>
  </si>
  <si>
    <t>Complexity(6)_Time(266)_SongNr(87).wav</t>
  </si>
  <si>
    <t>Complexity(6)_Time(264)_SongNr(87).wav</t>
  </si>
  <si>
    <t>Complexity(6)_Time(248)_SongNr(87).wav</t>
  </si>
  <si>
    <t>Complexity(6)_Time(240)_SongNr(87).wav</t>
  </si>
  <si>
    <t>Complexity(6)_Time(206)_SongNr(87).wav</t>
  </si>
  <si>
    <t>Complexity(6)_Time(278)_SongNr(87).wav</t>
  </si>
  <si>
    <t>Complexity(6)_Time(276)_SongNr(87).wav</t>
  </si>
  <si>
    <t>Complexity(6)_Time(256)_SongNr(87).wav</t>
  </si>
  <si>
    <t>Complexity(6)_Time(214)_SongNr(87).wav</t>
  </si>
  <si>
    <t>Complexity(6)_Time(210)_SongNr(87).wav</t>
  </si>
  <si>
    <t>Complexity(3)_Time(8)_SongNr(88).wav</t>
  </si>
  <si>
    <t>Complexity(3)_Time(64)_SongNr(88).wav</t>
  </si>
  <si>
    <t>Complexity(3)_Time(150)_SongNr(88).wav</t>
  </si>
  <si>
    <t>Complexity(3)_Time(124)_SongNr(88).wav</t>
  </si>
  <si>
    <t>Complexity(3)_Time(16)_SongNr(89).wav</t>
  </si>
  <si>
    <t>Complexity(4)_Time(56)_SongNr(89).wav</t>
  </si>
  <si>
    <t>Complexity(3)_Time(44)_SongNr(91).wav</t>
  </si>
  <si>
    <t>Complexity(3)_Time(88)_SongNr(91).wav</t>
  </si>
  <si>
    <t>Complexity(3)_Time(82)_SongNr(91).wav</t>
  </si>
  <si>
    <t>Complexity(3)_Time(76)_SongNr(91).wav</t>
  </si>
  <si>
    <t>Complexity(3)_Time(66)_SongNr(91).wav</t>
  </si>
  <si>
    <t>Complexity(3)_Time(54)_SongNr(91).wav</t>
  </si>
  <si>
    <t>Complexity(3)_Time(52)_SongNr(91).wav</t>
  </si>
  <si>
    <t>Complexity(3)_Time(38)_SongNr(91).wav</t>
  </si>
  <si>
    <t>Complexity(3)_Time(26)_SongNr(91).wav</t>
  </si>
  <si>
    <t>Complexity(3)_Time(16)_SongNr(91).wav</t>
  </si>
  <si>
    <t>Complexity(3)_Time(148)_SongNr(91).wav</t>
  </si>
  <si>
    <t>Complexity(3)_Time(164)_SongNr(92).wav</t>
  </si>
  <si>
    <t>Complexity(4)_Time(94)_SongNr(93).wav</t>
  </si>
  <si>
    <t>Complexity(4)_Time(112)_SongNr(93).wav</t>
  </si>
  <si>
    <t>Complexity(3)_Time(56)_SongNr(93).wav</t>
  </si>
  <si>
    <t>Complexity(3)_Time(50)_SongNr(93).wav</t>
  </si>
  <si>
    <t>Complexity(3)_Time(46)_SongNr(93).wav</t>
  </si>
  <si>
    <t>Complexity(3)_Time(42)_SongNr(93).wav</t>
  </si>
  <si>
    <t>Complexity(3)_Time(40)_SongNr(93).wav</t>
  </si>
  <si>
    <t>Complexity(3)_Time(38)_SongNr(93).wav</t>
  </si>
  <si>
    <t>Complexity(3)_Time(16)_SongNr(93).wav</t>
  </si>
  <si>
    <t>Complexity(4)_Time(114)_SongNr(93).wav</t>
  </si>
  <si>
    <t>Complexity(4)_Time(102)_SongNr(93).wav</t>
  </si>
  <si>
    <t>Complexity(3)_Time(48)_SongNr(93).wav</t>
  </si>
  <si>
    <t>Complexity(3)_Time(44)_SongNr(93).wav</t>
  </si>
  <si>
    <t>Complexity(4)_Time(92)_SongNr(93).wav</t>
  </si>
  <si>
    <t>Complexity(4)_Time(86)_SongNr(93).wav</t>
  </si>
  <si>
    <t>Complexity(3)_Time(82)_SongNr(93).wav</t>
  </si>
  <si>
    <t>Complexity(3)_Time(78)_SongNr(93).wav</t>
  </si>
  <si>
    <t>Complexity(3)_Time(76)_SongNr(93).wav</t>
  </si>
  <si>
    <t>Complexity(3)_Time(74)_SongNr(93).wav</t>
  </si>
  <si>
    <t>Complexity(3)_Time(70)_SongNr(93).wav</t>
  </si>
  <si>
    <t>Complexity(3)_Time(68)_SongNr(93).wav</t>
  </si>
  <si>
    <t>Complexity(3)_Time(62)_SongNr(93).wav</t>
  </si>
  <si>
    <t>Complexity(3)_Time(162)_SongNr(93).wav</t>
  </si>
  <si>
    <t>Complexity(4)_Time(70)_SongNr(94).wav</t>
  </si>
  <si>
    <t>Complexity(4)_Time(48)_SongNr(94).wav</t>
  </si>
  <si>
    <t>Complexity(4)_Time(244)_SongNr(94).wav</t>
  </si>
  <si>
    <t>Complexity(4)_Time(130)_SongNr(94).wav</t>
  </si>
  <si>
    <t>Complexity(4)_Time(52)_SongNr(95).wav</t>
  </si>
  <si>
    <t>Complexity(4)_Time(224)_SongNr(95).wav</t>
  </si>
  <si>
    <t>Complexity(4)_Time(222)_SongNr(95).wav</t>
  </si>
  <si>
    <t>Complexity(4)_Time(212)_SongNr(95).wav</t>
  </si>
  <si>
    <t>Complexity(4)_Time(132)_SongNr(95).wav</t>
  </si>
  <si>
    <t>Complexity(4)_Time(116)_SongNr(95).wav</t>
  </si>
  <si>
    <t>Complexity(4)_Time(108)_SongNr(95).wav</t>
  </si>
  <si>
    <t>Complexity(3)_Time(204)_SongNr(95).wav</t>
  </si>
  <si>
    <t>Complexity(3)_Time(196)_SongNr(95).wav</t>
  </si>
  <si>
    <t>Complexity(3)_Time(110)_SongNr(95).wav</t>
  </si>
  <si>
    <t>Complexity(4)_Time(180)_SongNr(95).wav</t>
  </si>
  <si>
    <t>Complexity(3)_Time(22)_SongNr(95).wav</t>
  </si>
  <si>
    <t>Complexity(3)_Time(18)_SongNr(96).wav</t>
  </si>
  <si>
    <t>Complexity(3)_Time(16)_SongNr(96).wav</t>
  </si>
  <si>
    <t>Complexity(3)_Time(14)_SongNr(96).wav</t>
  </si>
  <si>
    <t>Complexity(7)_Time(248)_SongNr(97).wav</t>
  </si>
  <si>
    <t>Complexity(7)_Time(240)_SongNr(97).wav</t>
  </si>
  <si>
    <t>Complexity(7)_Time(222)_SongNr(97).wav</t>
  </si>
  <si>
    <t>Complexity(6)_Time(178)_SongNr(97).wav</t>
  </si>
  <si>
    <t>Complexity(6)_Time(176)_SongNr(97).wav</t>
  </si>
  <si>
    <t>Complexity(6)_Time(164)_SongNr(97).wav</t>
  </si>
  <si>
    <t>Complexity(3)_Time(202)_SongNr(97).wav</t>
  </si>
  <si>
    <t>Complexity(7)_Time(256)_SongNr(97).wav</t>
  </si>
  <si>
    <t>Complexity(7)_Time(254)_SongNr(97).wav</t>
  </si>
  <si>
    <t>Complexity(6)_Time(44)_SongNr(97).wav</t>
  </si>
  <si>
    <t>Complexity(6)_Time(168)_SongNr(97).wav</t>
  </si>
  <si>
    <t>Complexity(6)_Time(166)_SongNr(97).wav</t>
  </si>
  <si>
    <t>Complexity(6)_Time(154)_SongNr(97).wav</t>
  </si>
  <si>
    <t>Complexity(7)_Time(232)_SongNr(97).wav</t>
  </si>
  <si>
    <t>Complexity(6)_Time(246)_SongNr(97).wav</t>
  </si>
  <si>
    <t>Complexity(6)_Time(228)_SongNr(97).wav</t>
  </si>
  <si>
    <t>Complexity(6)_Time(220)_SongNr(97).wav</t>
  </si>
  <si>
    <t>Complexity(6)_Time(218)_SongNr(97).wav</t>
  </si>
  <si>
    <t>Complexity(6)_Time(216)_SongNr(97).wav</t>
  </si>
  <si>
    <t>Complexity(6)_Time(198)_SongNr(97).wav</t>
  </si>
  <si>
    <t>Complexity(6)_Time(182)_SongNr(97).wav</t>
  </si>
  <si>
    <t>Complexity(6)_Time(180)_SongNr(97).wav</t>
  </si>
  <si>
    <t>Complexity(6)_Time(170)_SongNr(97).wav</t>
  </si>
  <si>
    <t>Complexity(6)_Time(160)_SongNr(97).wav</t>
  </si>
  <si>
    <t>Complexity(6)_Time(156)_SongNr(97).wav</t>
  </si>
  <si>
    <t>Complexity(6)_Time(152)_SongNr(97).wav</t>
  </si>
  <si>
    <t>Complexity(4)_Time(90)_SongNr(97).wav</t>
  </si>
  <si>
    <t>Complexity(4)_Time(6)_SongNr(97).wav</t>
  </si>
  <si>
    <t>Complexity(4)_Time(28)_SongNr(97).wav</t>
  </si>
  <si>
    <t>Complexity(4)_Time(188)_SongNr(97).wav</t>
  </si>
  <si>
    <t>Complexity(4)_Time(138)_SongNr(97).wav</t>
  </si>
  <si>
    <t>Complexity(4)_Time(12)_SongNr(97).wav</t>
  </si>
  <si>
    <t>Complexity(3)_Time(58)_SongNr(97).wav</t>
  </si>
  <si>
    <t>Complexity(3)_Time(332)_SongNr(97).wav</t>
  </si>
  <si>
    <t>Complexity(3)_Time(330)_SongNr(97).wav</t>
  </si>
  <si>
    <t>Complexity(3)_Time(328)_SongNr(97).wav</t>
  </si>
  <si>
    <t>Complexity(3)_Time(326)_SongNr(97).wav</t>
  </si>
  <si>
    <t>Complexity(3)_Time(126)_SongNr(97).wav</t>
  </si>
  <si>
    <t>Complexity(7)_Time(258)_SongNr(97).wav</t>
  </si>
  <si>
    <t>Complexity(7)_Time(242)_SongNr(97).wav</t>
  </si>
  <si>
    <t>Complexity(7)_Time(238)_SongNr(97).wav</t>
  </si>
  <si>
    <t>Complexity(7)_Time(236)_SongNr(97).wav</t>
  </si>
  <si>
    <t>Complexity(7)_Time(234)_SongNr(97).wav</t>
  </si>
  <si>
    <t>Complexity(7)_Time(224)_SongNr(97).wav</t>
  </si>
  <si>
    <t>Complexity(6)_Time(174)_SongNr(97).wav</t>
  </si>
  <si>
    <t>Complexity(6)_Time(162)_SongNr(97).wav</t>
  </si>
  <si>
    <t>Complexity(3)_Time(390)_SongNr(98).wav</t>
  </si>
  <si>
    <t>Complexity(3)_Time(334)_SongNr(98).wav</t>
  </si>
  <si>
    <t>Complexity(3)_Time(322)_SongNr(98).wav</t>
  </si>
  <si>
    <t>Complexity(3)_Time(136)_SongNr(98).wav</t>
  </si>
  <si>
    <t>Complexity(3)_Time(74)_SongNr(99).wav</t>
  </si>
  <si>
    <t>Complexity(3)_Time(330)_SongNr(99).wav</t>
  </si>
  <si>
    <t>Complexity(3)_Time(26)_SongNr(99).wav</t>
  </si>
  <si>
    <t>Complexity(3)_Time(76)_SongNr(100).wav</t>
  </si>
  <si>
    <t>Complexity(3)_Time(278)_SongNr(100).wav</t>
  </si>
  <si>
    <t>Complexity(3)_Time(162)_SongNr(100).wav</t>
  </si>
  <si>
    <t>Complexity(3)_Time(154)_SongNr(100).wav</t>
  </si>
  <si>
    <t>Complexity(3)_Time(134)_SongNr(100).wav</t>
  </si>
  <si>
    <t>Complexity(7)_Time(212)_SongNr(101).wav</t>
  </si>
  <si>
    <t>Complexity(6)_Time(232)_SongNr(101).wav</t>
  </si>
  <si>
    <t>Complexity(6)_Time(222)_SongNr(101).wav</t>
  </si>
  <si>
    <t>Complexity(6)_Time(210)_SongNr(101).wav</t>
  </si>
  <si>
    <t>Complexity(6)_Time(194)_SongNr(101).wav</t>
  </si>
  <si>
    <t>Complexity(6)_Time(192)_SongNr(101).wav</t>
  </si>
  <si>
    <t>Complexity(6)_Time(184)_SongNr(101).wav</t>
  </si>
  <si>
    <t>Complexity(6)_Time(182)_SongNr(101).wav</t>
  </si>
  <si>
    <t>Complexity(6)_Time(180)_SongNr(101).wav</t>
  </si>
  <si>
    <t>Complexity(6)_Time(142)_SongNr(101).wav</t>
  </si>
  <si>
    <t>Complexity(6)_Time(130)_SongNr(101).wav</t>
  </si>
  <si>
    <t>Complexity(6)_Time(122)_SongNr(101).wav</t>
  </si>
  <si>
    <t>Complexity(6)_Time(118)_SongNr(101).wav</t>
  </si>
  <si>
    <t>Complexity(6)_Time(112)_SongNr(101).wav</t>
  </si>
  <si>
    <t>Complexity(6)_Time(110)_SongNr(101).wav</t>
  </si>
  <si>
    <t>Complexity(6)_Time(108)_SongNr(101).wav</t>
  </si>
  <si>
    <t>Complexity(3)_Time(250)_SongNr(101).wav</t>
  </si>
  <si>
    <t>Complexity(7)_Time(188)_SongNr(101).wav</t>
  </si>
  <si>
    <t>Complexity(6)_Time(242)_SongNr(101).wav</t>
  </si>
  <si>
    <t>Complexity(6)_Time(238)_SongNr(101).wav</t>
  </si>
  <si>
    <t>Complexity(6)_Time(230)_SongNr(101).wav</t>
  </si>
  <si>
    <t>Complexity(6)_Time(228)_SongNr(101).wav</t>
  </si>
  <si>
    <t>Complexity(6)_Time(224)_SongNr(101).wav</t>
  </si>
  <si>
    <t>Complexity(6)_Time(200)_SongNr(101).wav</t>
  </si>
  <si>
    <t>Complexity(6)_Time(186)_SongNr(101).wav</t>
  </si>
  <si>
    <t>Complexity(6)_Time(138)_SongNr(101).wav</t>
  </si>
  <si>
    <t>Complexity(6)_Time(136)_SongNr(101).wav</t>
  </si>
  <si>
    <t>Complexity(6)_Time(124)_SongNr(101).wav</t>
  </si>
  <si>
    <t>Complexity(6)_Time(114)_SongNr(101).wav</t>
  </si>
  <si>
    <t>Complexity(3)_Time(6)_SongNr(101).wav</t>
  </si>
  <si>
    <t>Complexity(7)_Time(214)_SongNr(101).wav</t>
  </si>
  <si>
    <t>Complexity(6)_Time(240)_SongNr(101).wav</t>
  </si>
  <si>
    <t>Complexity(6)_Time(234)_SongNr(101).wav</t>
  </si>
  <si>
    <t>Complexity(6)_Time(144)_SongNr(101).wav</t>
  </si>
  <si>
    <t>Complexity(6)_Time(134)_SongNr(101).wav</t>
  </si>
  <si>
    <t>Complexity(6)_Time(132)_SongNr(101).wav</t>
  </si>
  <si>
    <t>Complexity(6)_Time(120)_SongNr(101).wav</t>
  </si>
  <si>
    <t>Complexity(6)_Time(116)_SongNr(101).wav</t>
  </si>
  <si>
    <t>Complexity(7)_Time(68)_SongNr(102).wav</t>
  </si>
  <si>
    <t>Complexity(7)_Time(260)_SongNr(102).wav</t>
  </si>
  <si>
    <t>Complexity(7)_Time(248)_SongNr(102).wav</t>
  </si>
  <si>
    <t>Complexity(7)_Time(246)_SongNr(102).wav</t>
  </si>
  <si>
    <t>Complexity(7)_Time(242)_SongNr(102).wav</t>
  </si>
  <si>
    <t>Complexity(7)_Time(236)_SongNr(102).wav</t>
  </si>
  <si>
    <t>Complexity(7)_Time(234)_SongNr(102).wav</t>
  </si>
  <si>
    <t>Complexity(7)_Time(232)_SongNr(102).wav</t>
  </si>
  <si>
    <t>Complexity(7)_Time(224)_SongNr(102).wav</t>
  </si>
  <si>
    <t>Complexity(7)_Time(154)_SongNr(102).wav</t>
  </si>
  <si>
    <t>Complexity(7)_Time(146)_SongNr(102).wav</t>
  </si>
  <si>
    <t>Complexity(7)_Time(122)_SongNr(102).wav</t>
  </si>
  <si>
    <t>Complexity(7)_Time(120)_SongNr(102).wav</t>
  </si>
  <si>
    <t>Complexity(6)_Time(60)_SongNr(102).wav</t>
  </si>
  <si>
    <t>Complexity(6)_Time(58)_SongNr(102).wav</t>
  </si>
  <si>
    <t>Complexity(6)_Time(48)_SongNr(102).wav</t>
  </si>
  <si>
    <t>Complexity(6)_Time(30)_SongNr(102).wav</t>
  </si>
  <si>
    <t>Complexity(6)_Time(274)_SongNr(102).wav</t>
  </si>
  <si>
    <t>Complexity(6)_Time(216)_SongNr(102).wav</t>
  </si>
  <si>
    <t>Complexity(6)_Time(134)_SongNr(102).wav</t>
  </si>
  <si>
    <t>Complexity(6)_Time(124)_SongNr(102).wav</t>
  </si>
  <si>
    <t>Complexity(4)_Time(24)_SongNr(102).wav</t>
  </si>
  <si>
    <t>Complexity(7)_Time(270)_SongNr(102).wav</t>
  </si>
  <si>
    <t>Complexity(7)_Time(266)_SongNr(102).wav</t>
  </si>
  <si>
    <t>Complexity(7)_Time(262)_SongNr(102).wav</t>
  </si>
  <si>
    <t>Complexity(7)_Time(252)_SongNr(102).wav</t>
  </si>
  <si>
    <t>Complexity(7)_Time(250)_SongNr(102).wav</t>
  </si>
  <si>
    <t>Complexity(7)_Time(230)_SongNr(102).wav</t>
  </si>
  <si>
    <t>Complexity(7)_Time(204)_SongNr(102).wav</t>
  </si>
  <si>
    <t>Complexity(7)_Time(202)_SongNr(102).wav</t>
  </si>
  <si>
    <t>Complexity(7)_Time(162)_SongNr(102).wav</t>
  </si>
  <si>
    <t>Complexity(7)_Time(160)_SongNr(102).wav</t>
  </si>
  <si>
    <t>Complexity(7)_Time(158)_SongNr(102).wav</t>
  </si>
  <si>
    <t>Complexity(7)_Time(156)_SongNr(102).wav</t>
  </si>
  <si>
    <t>Complexity(7)_Time(144)_SongNr(102).wav</t>
  </si>
  <si>
    <t>Complexity(6)_Time(66)_SongNr(102).wav</t>
  </si>
  <si>
    <t>Complexity(6)_Time(62)_SongNr(102).wav</t>
  </si>
  <si>
    <t>Complexity(6)_Time(38)_SongNr(102).wav</t>
  </si>
  <si>
    <t>Complexity(6)_Time(220)_SongNr(102).wav</t>
  </si>
  <si>
    <t>Complexity(6)_Time(218)_SongNr(102).wav</t>
  </si>
  <si>
    <t>Complexity(6)_Time(138)_SongNr(102).wav</t>
  </si>
  <si>
    <t>Complexity(6)_Time(136)_SongNr(102).wav</t>
  </si>
  <si>
    <t>Complexity(6)_Time(128)_SongNr(102).wav</t>
  </si>
  <si>
    <t>Complexity(6)_Time(118)_SongNr(102).wav</t>
  </si>
  <si>
    <t>Complexity(6)_Time(116)_SongNr(102).wav</t>
  </si>
  <si>
    <t>Complexity(6)_Time(114)_SongNr(102).wav</t>
  </si>
  <si>
    <t>Complexity(6)_Time(102)_SongNr(102).wav</t>
  </si>
  <si>
    <t>Complexity(4)_Time(72)_SongNr(102).wav</t>
  </si>
  <si>
    <t>Complexity(4)_Time(22)_SongNr(102).wav</t>
  </si>
  <si>
    <t>Complexity(3)_Time(78)_SongNr(102).wav</t>
  </si>
  <si>
    <t>Complexity(3)_Time(74)_SongNr(102).wav</t>
  </si>
  <si>
    <t>Complexity(7)_Time(70)_SongNr(102).wav</t>
  </si>
  <si>
    <t>Complexity(7)_Time(268)_SongNr(102).wav</t>
  </si>
  <si>
    <t>Complexity(7)_Time(264)_SongNr(102).wav</t>
  </si>
  <si>
    <t>Complexity(7)_Time(258)_SongNr(102).wav</t>
  </si>
  <si>
    <t>Complexity(7)_Time(256)_SongNr(102).wav</t>
  </si>
  <si>
    <t>Complexity(7)_Time(254)_SongNr(102).wav</t>
  </si>
  <si>
    <t>Complexity(7)_Time(244)_SongNr(102).wav</t>
  </si>
  <si>
    <t>Complexity(7)_Time(240)_SongNr(102).wav</t>
  </si>
  <si>
    <t>Complexity(7)_Time(238)_SongNr(102).wav</t>
  </si>
  <si>
    <t>Complexity(7)_Time(228)_SongNr(102).wav</t>
  </si>
  <si>
    <t>Complexity(7)_Time(226)_SongNr(102).wav</t>
  </si>
  <si>
    <t>Complexity(7)_Time(222)_SongNr(102).wav</t>
  </si>
  <si>
    <t>Complexity(7)_Time(214)_SongNr(102).wav</t>
  </si>
  <si>
    <t>Complexity(7)_Time(212)_SongNr(102).wav</t>
  </si>
  <si>
    <t>Complexity(7)_Time(152)_SongNr(102).wav</t>
  </si>
  <si>
    <t>Complexity(7)_Time(150)_SongNr(102).wav</t>
  </si>
  <si>
    <t>Complexity(7)_Time(148)_SongNr(102).wav</t>
  </si>
  <si>
    <t>Complexity(7)_Time(140)_SongNr(102).wav</t>
  </si>
  <si>
    <t>Complexity(7)_Time(132)_SongNr(102).wav</t>
  </si>
  <si>
    <t>Complexity(6)_Time(44)_SongNr(102).wav</t>
  </si>
  <si>
    <t>Complexity(6)_Time(32)_SongNr(102).wav</t>
  </si>
  <si>
    <t>Complexity(6)_Time(210)_SongNr(102).wav</t>
  </si>
  <si>
    <t>Complexity(6)_Time(208)_SongNr(102).wav</t>
  </si>
  <si>
    <t>Complexity(6)_Time(126)_SongNr(102).wav</t>
  </si>
  <si>
    <t>Complexity(6)_Time(104)_SongNr(102).wav</t>
  </si>
  <si>
    <t>Complexity(7)_Time(190)_SongNr(103).wav</t>
  </si>
  <si>
    <t>Complexity(7)_Time(186)_SongNr(103).wav</t>
  </si>
  <si>
    <t>Complexity(7)_Time(180)_SongNr(103).wav</t>
  </si>
  <si>
    <t>Complexity(7)_Time(178)_SongNr(103).wav</t>
  </si>
  <si>
    <t>Complexity(6)_Time(84)_SongNr(103).wav</t>
  </si>
  <si>
    <t>Complexity(6)_Time(82)_SongNr(103).wav</t>
  </si>
  <si>
    <t>Complexity(6)_Time(68)_SongNr(103).wav</t>
  </si>
  <si>
    <t>Complexity(6)_Time(174)_SongNr(103).wav</t>
  </si>
  <si>
    <t>Complexity(6)_Time(128)_SongNr(103).wav</t>
  </si>
  <si>
    <t>Complexity(4)_Time(60)_SongNr(103).wav</t>
  </si>
  <si>
    <t>Complexity(3)_Time(34)_SongNr(103).wav</t>
  </si>
  <si>
    <t>Complexity(3)_Time(26)_SongNr(103).wav</t>
  </si>
  <si>
    <t>Complexity(3)_Time(134)_SongNr(103).wav</t>
  </si>
  <si>
    <t>Complexity(7)_Time(202)_SongNr(103).wav</t>
  </si>
  <si>
    <t>Complexity(6)_Time(78)_SongNr(103).wav</t>
  </si>
  <si>
    <t>Complexity(6)_Time(76)_SongNr(103).wav</t>
  </si>
  <si>
    <t>Complexity(6)_Time(74)_SongNr(103).wav</t>
  </si>
  <si>
    <t>Complexity(6)_Time(72)_SongNr(103).wav</t>
  </si>
  <si>
    <t>Complexity(4)_Time(98)_SongNr(103).wav</t>
  </si>
  <si>
    <t>Complexity(4)_Time(94)_SongNr(103).wav</t>
  </si>
  <si>
    <t>Complexity(4)_Time(92)_SongNr(103).wav</t>
  </si>
  <si>
    <t>Complexity(4)_Time(48)_SongNr(103).wav</t>
  </si>
  <si>
    <t>Complexity(4)_Time(110)_SongNr(103).wav</t>
  </si>
  <si>
    <t>Complexity(4)_Time(100)_SongNr(103).wav</t>
  </si>
  <si>
    <t>Complexity(3)_Time(144)_SongNr(103).wav</t>
  </si>
  <si>
    <t>Complexity(3)_Time(138)_SongNr(103).wav</t>
  </si>
  <si>
    <t>Complexity(7)_Time(196)_SongNr(103).wav</t>
  </si>
  <si>
    <t>Complexity(6)_Time(86)_SongNr(103).wav</t>
  </si>
  <si>
    <t>Complexity(6)_Time(80)_SongNr(103).wav</t>
  </si>
  <si>
    <t>Complexity(6)_Time(70)_SongNr(103).wav</t>
  </si>
  <si>
    <t>Complexity(6)_Time(58)_SongNr(103).wav</t>
  </si>
  <si>
    <t>Complexity(6)_Time(56)_SongNr(103).wav</t>
  </si>
  <si>
    <t>Complexity(6)_Time(192)_SongNr(103).wav</t>
  </si>
  <si>
    <t>Complexity(6)_Time(176)_SongNr(103).wav</t>
  </si>
  <si>
    <t>Complexity(6)_Time(132)_SongNr(103).wav</t>
  </si>
  <si>
    <t>Complexity(6)_Time(122)_SongNr(103).wav</t>
  </si>
  <si>
    <t>Complexity(6)_Time(118)_SongNr(103).wav</t>
  </si>
  <si>
    <t>Complexity(6)_Time(116)_SongNr(103).wav</t>
  </si>
  <si>
    <t>Complexity(6)_Time(114)_SongNr(103).wav</t>
  </si>
  <si>
    <t>Complexity(4)_Time(240)_SongNr(103).wav</t>
  </si>
  <si>
    <t>Complexity(4)_Time(172)_SongNr(103).wav</t>
  </si>
  <si>
    <t>Complexity(3)_Time(112)_SongNr(103).wav</t>
  </si>
  <si>
    <t>Complexity(7)_Time(386)_SongNr(104).wav</t>
  </si>
  <si>
    <t>Complexity(7)_Time(368)_SongNr(104).wav</t>
  </si>
  <si>
    <t>Complexity(7)_Time(362)_SongNr(104).wav</t>
  </si>
  <si>
    <t>Complexity(7)_Time(356)_SongNr(104).wav</t>
  </si>
  <si>
    <t>Complexity(7)_Time(312)_SongNr(104).wav</t>
  </si>
  <si>
    <t>Complexity(7)_Time(116)_SongNr(104).wav</t>
  </si>
  <si>
    <t>Complexity(6)_Time(78)_SongNr(104).wav</t>
  </si>
  <si>
    <t>Complexity(6)_Time(270)_SongNr(104).wav</t>
  </si>
  <si>
    <t>Complexity(6)_Time(252)_SongNr(104).wav</t>
  </si>
  <si>
    <t>Complexity(6)_Time(226)_SongNr(104).wav</t>
  </si>
  <si>
    <t>Complexity(6)_Time(222)_SongNr(104).wav</t>
  </si>
  <si>
    <t>Complexity(6)_Time(218)_SongNr(104).wav</t>
  </si>
  <si>
    <t>Complexity(6)_Time(196)_SongNr(104).wav</t>
  </si>
  <si>
    <t>Complexity(6)_Time(182)_SongNr(104).wav</t>
  </si>
  <si>
    <t>Complexity(7)_Time(340)_SongNr(104).wav</t>
  </si>
  <si>
    <t>Complexity(7)_Time(334)_SongNr(104).wav</t>
  </si>
  <si>
    <t>Complexity(7)_Time(318)_SongNr(104).wav</t>
  </si>
  <si>
    <t>Complexity(7)_Time(304)_SongNr(104).wav</t>
  </si>
  <si>
    <t>Complexity(7)_Time(292)_SongNr(104).wav</t>
  </si>
  <si>
    <t>Complexity(7)_Time(282)_SongNr(104).wav</t>
  </si>
  <si>
    <t>Complexity(6)_Time(198)_SongNr(104).wav</t>
  </si>
  <si>
    <t>Complexity(6)_Time(192)_SongNr(104).wav</t>
  </si>
  <si>
    <t>Complexity(6)_Time(178)_SongNr(104).wav</t>
  </si>
  <si>
    <t>Complexity(7)_Time(92)_SongNr(104).wav</t>
  </si>
  <si>
    <t>Complexity(7)_Time(90)_SongNr(104).wav</t>
  </si>
  <si>
    <t>Complexity(7)_Time(380)_SongNr(104).wav</t>
  </si>
  <si>
    <t>Complexity(7)_Time(288)_SongNr(104).wav</t>
  </si>
  <si>
    <t>Complexity(7)_Time(280)_SongNr(104).wav</t>
  </si>
  <si>
    <t>Complexity(7)_Time(256)_SongNr(104).wav</t>
  </si>
  <si>
    <t>Complexity(7)_Time(106)_SongNr(104).wav</t>
  </si>
  <si>
    <t>Complexity(6)_Time(94)_SongNr(104).wav</t>
  </si>
  <si>
    <t>Complexity(6)_Time(86)_SongNr(104).wav</t>
  </si>
  <si>
    <t>Complexity(6)_Time(44)_SongNr(104).wav</t>
  </si>
  <si>
    <t>Complexity(6)_Time(330)_SongNr(104).wav</t>
  </si>
  <si>
    <t>Complexity(6)_Time(308)_SongNr(104).wav</t>
  </si>
  <si>
    <t>Complexity(6)_Time(268)_SongNr(104).wav</t>
  </si>
  <si>
    <t>Complexity(6)_Time(266)_SongNr(104).wav</t>
  </si>
  <si>
    <t>Complexity(6)_Time(264)_SongNr(104).wav</t>
  </si>
  <si>
    <t>Complexity(6)_Time(258)_SongNr(104).wav</t>
  </si>
  <si>
    <t>Complexity(6)_Time(246)_SongNr(104).wav</t>
  </si>
  <si>
    <t>Complexity(6)_Time(244)_SongNr(104).wav</t>
  </si>
  <si>
    <t>Complexity(6)_Time(240)_SongNr(104).wav</t>
  </si>
  <si>
    <t>Complexity(6)_Time(202)_SongNr(104).wav</t>
  </si>
  <si>
    <t>Complexity(6)_Time(190)_SongNr(104).wav</t>
  </si>
  <si>
    <t>Complexity(6)_Time(184)_SongNr(104).wav</t>
  </si>
  <si>
    <t>Complexity(6)_Time(108)_SongNr(104).wav</t>
  </si>
  <si>
    <t>Complexity(6)_Time(102)_SongNr(104).wav</t>
  </si>
  <si>
    <t>Complexity(4)_Time(34)_SongNr(104).wav</t>
  </si>
  <si>
    <t>Complexity(4)_Time(172)_SongNr(104).wav</t>
  </si>
  <si>
    <t>Complexity(4)_Time(168)_SongNr(104).wav</t>
  </si>
  <si>
    <t>Complexity(4)_Time(136)_SongNr(104).wav</t>
  </si>
  <si>
    <t>Complexity(4)_Time(132)_SongNr(104).wav</t>
  </si>
  <si>
    <t>Complexity(4)_Time(130)_SongNr(104).wav</t>
  </si>
  <si>
    <t>Complexity(4)_Time(128)_SongNr(104).wav</t>
  </si>
  <si>
    <t>Complexity(4)_Time(104)_SongNr(104).wav</t>
  </si>
  <si>
    <t>Complexity(3)_Time(126)_SongNr(104).wav</t>
  </si>
  <si>
    <t>Complexity(7)_Time(96)_SongNr(104).wav</t>
  </si>
  <si>
    <t>Complexity(7)_Time(88)_SongNr(104).wav</t>
  </si>
  <si>
    <t>Complexity(7)_Time(84)_SongNr(104).wav</t>
  </si>
  <si>
    <t>Complexity(7)_Time(374)_SongNr(104).wav</t>
  </si>
  <si>
    <t>Complexity(7)_Time(298)_SongNr(104).wav</t>
  </si>
  <si>
    <t>Complexity(7)_Time(284)_SongNr(104).wav</t>
  </si>
  <si>
    <t>Complexity(7)_Time(274)_SongNr(104).wav</t>
  </si>
  <si>
    <t>Complexity(7)_Time(224)_SongNr(104).wav</t>
  </si>
  <si>
    <t>Complexity(7)_Time(214)_SongNr(104).wav</t>
  </si>
  <si>
    <t>Complexity(6)_Time(98)_SongNr(104).wav</t>
  </si>
  <si>
    <t>Complexity(6)_Time(72)_SongNr(104).wav</t>
  </si>
  <si>
    <t>Complexity(6)_Time(64)_SongNr(104).wav</t>
  </si>
  <si>
    <t>Complexity(6)_Time(352)_SongNr(104).wav</t>
  </si>
  <si>
    <t>Complexity(6)_Time(286)_SongNr(104).wav</t>
  </si>
  <si>
    <t>Complexity(6)_Time(276)_SongNr(104).wav</t>
  </si>
  <si>
    <t>Complexity(6)_Time(248)_SongNr(104).wav</t>
  </si>
  <si>
    <t>Complexity(6)_Time(242)_SongNr(104).wav</t>
  </si>
  <si>
    <t>Complexity(6)_Time(238)_SongNr(104).wav</t>
  </si>
  <si>
    <t>Complexity(6)_Time(230)_SongNr(104).wav</t>
  </si>
  <si>
    <t>Complexity(6)_Time(200)_SongNr(104).wav</t>
  </si>
  <si>
    <t>Complexity(6)_Time(180)_SongNr(104).wav</t>
  </si>
  <si>
    <t>Complexity(6)_Time(176)_SongNr(104).wav</t>
  </si>
  <si>
    <t>Complexity(6)_Time(110)_SongNr(104).wav</t>
  </si>
  <si>
    <t>Complexity(4)_Time(84)_SongNr(105).wav</t>
  </si>
  <si>
    <t>Complexity(4)_Time(60)_SongNr(105).wav</t>
  </si>
  <si>
    <t>Complexity(3)_Time(128)_SongNr(105).wav</t>
  </si>
  <si>
    <t>Complexity(3)_Time(362)_SongNr(106).wav</t>
  </si>
  <si>
    <t>Complexity(3)_Time(324)_SongNr(106).wav</t>
  </si>
  <si>
    <t>Complexity(3)_Time(284)_SongNr(106).wav</t>
  </si>
  <si>
    <t>Complexity(3)_Time(270)_SongNr(106).wav</t>
  </si>
  <si>
    <t>Complexity(4)_Time(98)_SongNr(107).wav</t>
  </si>
  <si>
    <t>Complexity(4)_Time(276)_SongNr(107).wav</t>
  </si>
  <si>
    <t>Complexity(4)_Time(196)_SongNr(107).wav</t>
  </si>
  <si>
    <t>Complexity(3)_Time(50)_SongNr(107).wav</t>
  </si>
  <si>
    <t>Complexity(4)_Time(42)_SongNr(108).wav</t>
  </si>
  <si>
    <t>Complexity(4)_Time(266)_SongNr(108).wav</t>
  </si>
  <si>
    <t>Complexity(4)_Time(248)_SongNr(108).wav</t>
  </si>
  <si>
    <t>Complexity(4)_Time(224)_SongNr(108).wav</t>
  </si>
  <si>
    <t>Complexity(4)_Time(174)_SongNr(108).wav</t>
  </si>
  <si>
    <t>Complexity(4)_Time(168)_SongNr(108).wav</t>
  </si>
  <si>
    <t>Complexity(4)_Time(142)_SongNr(108).wav</t>
  </si>
  <si>
    <t>Complexity(4)_Time(110)_SongNr(108).wav</t>
  </si>
  <si>
    <t>Complexity(4)_Time(328)_SongNr(109).wav</t>
  </si>
  <si>
    <t>Complexity(4)_Time(342)_SongNr(109).wav</t>
  </si>
  <si>
    <t>Complexity(3)_Time(302)_SongNr(109).wav</t>
  </si>
  <si>
    <t>Complexity(4)_Time(32)_SongNr(110).wav</t>
  </si>
  <si>
    <t>Complexity(4)_Time(202)_SongNr(110).wav</t>
  </si>
  <si>
    <t>Complexity(4)_Time(182)_SongNr(110).wav</t>
  </si>
  <si>
    <t>Complexity(3)_Time(30)_SongNr(110).wav</t>
  </si>
  <si>
    <t>Complexity(6)_Time(130)_SongNr(110).wav</t>
  </si>
  <si>
    <t>Complexity(4)_Time(34)_SongNr(110).wav</t>
  </si>
  <si>
    <t>Complexity(4)_Time(118)_SongNr(110).wav</t>
  </si>
  <si>
    <t>Complexity(4)_Time(104)_SongNr(110).wav</t>
  </si>
  <si>
    <t>Complexity(3)_Time(8)_SongNr(110).wav</t>
  </si>
  <si>
    <t>Complexity(3)_Time(156)_SongNr(110).wav</t>
  </si>
  <si>
    <t>Complexity(4)_Time(106)_SongNr(110).wav</t>
  </si>
  <si>
    <t>Complexity(3)_Time(154)_SongNr(110).wav</t>
  </si>
  <si>
    <t>Complexity(6)_Time(84)_SongNr(111).wav</t>
  </si>
  <si>
    <t>Complexity(6)_Time(74)_SongNr(111).wav</t>
  </si>
  <si>
    <t>Complexity(6)_Time(72)_SongNr(111).wav</t>
  </si>
  <si>
    <t>Complexity(6)_Time(198)_SongNr(111).wav</t>
  </si>
  <si>
    <t>Complexity(4)_Time(106)_SongNr(111).wav</t>
  </si>
  <si>
    <t>Complexity(3)_Time(122)_SongNr(111).wav</t>
  </si>
  <si>
    <t>Complexity(3)_Time(104)_SongNr(111).wav</t>
  </si>
  <si>
    <t>Complexity(6)_Time(88)_SongNr(111).wav</t>
  </si>
  <si>
    <t>Complexity(6)_Time(78)_SongNr(111).wav</t>
  </si>
  <si>
    <t>Complexity(6)_Time(178)_SongNr(111).wav</t>
  </si>
  <si>
    <t>Complexity(6)_Time(150)_SongNr(111).wav</t>
  </si>
  <si>
    <t>Complexity(6)_Time(146)_SongNr(111).wav</t>
  </si>
  <si>
    <t>Complexity(6)_Time(142)_SongNr(111).wav</t>
  </si>
  <si>
    <t>Complexity(6)_Time(138)_SongNr(111).wav</t>
  </si>
  <si>
    <t>Complexity(6)_Time(66)_SongNr(111).wav</t>
  </si>
  <si>
    <t>Complexity(6)_Time(64)_SongNr(111).wav</t>
  </si>
  <si>
    <t>Complexity(6)_Time(194)_SongNr(111).wav</t>
  </si>
  <si>
    <t>Complexity(6)_Time(190)_SongNr(111).wav</t>
  </si>
  <si>
    <t>Complexity(6)_Time(180)_SongNr(111).wav</t>
  </si>
  <si>
    <t>Complexity(6)_Time(148)_SongNr(111).wav</t>
  </si>
  <si>
    <t>Complexity(6)_Time(144)_SongNr(111).wav</t>
  </si>
  <si>
    <t>Complexity(6)_Time(140)_SongNr(111).wav</t>
  </si>
  <si>
    <t>Complexity(6)_Time(136)_SongNr(111).wav</t>
  </si>
  <si>
    <t>Complexity(6)_Time(130)_SongNr(111).wav</t>
  </si>
  <si>
    <t>Complexity(4)_Time(40)_SongNr(111).wav</t>
  </si>
  <si>
    <t>Complexity(4)_Time(156)_SongNr(111).wav</t>
  </si>
  <si>
    <t>Complexity(4)_Time(116)_SongNr(111).wav</t>
  </si>
  <si>
    <t>Complexity(3)_Time(62)_SongNr(111).wav</t>
  </si>
  <si>
    <t>Complexity(6)_Time(86)_SongNr(111).wav</t>
  </si>
  <si>
    <t>Complexity(6)_Time(82)_SongNr(111).wav</t>
  </si>
  <si>
    <t>Complexity(6)_Time(80)_SongNr(111).wav</t>
  </si>
  <si>
    <t>Complexity(6)_Time(76)_SongNr(111).wav</t>
  </si>
  <si>
    <t>Complexity(6)_Time(70)_SongNr(111).wav</t>
  </si>
  <si>
    <t>Complexity(6)_Time(200)_SongNr(111).wav</t>
  </si>
  <si>
    <t>Complexity(6)_Time(196)_SongNr(111).wav</t>
  </si>
  <si>
    <t>Complexity(6)_Time(192)_SongNr(111).wav</t>
  </si>
  <si>
    <t>Complexity(6)_Time(134)_SongNr(111).wav</t>
  </si>
  <si>
    <t>Complexity(6)_Time(128)_SongNr(111).wav</t>
  </si>
  <si>
    <t>Complexity(3)_Time(92)_SongNr(112).wav</t>
  </si>
  <si>
    <t>Complexity(3)_Time(90)_SongNr(112).wav</t>
  </si>
  <si>
    <t>Complexity(3)_Time(80)_SongNr(112).wav</t>
  </si>
  <si>
    <t>Complexity(3)_Time(46)_SongNr(112).wav</t>
  </si>
  <si>
    <t>Complexity(4)_Time(132)_SongNr(112).wav</t>
  </si>
  <si>
    <t>Complexity(3)_Time(162)_SongNr(112).wav</t>
  </si>
  <si>
    <t>Complexity(4)_Time(82)_SongNr(113).wav</t>
  </si>
  <si>
    <t>Complexity(4)_Time(20)_SongNr(113).wav</t>
  </si>
  <si>
    <t>Complexity(4)_Time(118)_SongNr(113).wav</t>
  </si>
  <si>
    <t>Complexity(3)_Time(68)_SongNr(113).wav</t>
  </si>
  <si>
    <t>Complexity(4)_Time(32)_SongNr(113).wav</t>
  </si>
  <si>
    <t>Complexity(4)_Time(204)_SongNr(113).wav</t>
  </si>
  <si>
    <t>Complexity(4)_Time(202)_SongNr(113).wav</t>
  </si>
  <si>
    <t>Complexity(3)_Time(172)_SongNr(113).wav</t>
  </si>
  <si>
    <t>Complexity(4)_Time(288)_SongNr(114).wav</t>
  </si>
  <si>
    <t>Complexity(3)_Time(228)_SongNr(114).wav</t>
  </si>
  <si>
    <t>Complexity(4)_Time(96)_SongNr(114).wav</t>
  </si>
  <si>
    <t>Complexity(6)_Time(144)_SongNr(115).wav</t>
  </si>
  <si>
    <t>Complexity(6)_Time(132)_SongNr(115).wav</t>
  </si>
  <si>
    <t>Complexity(6)_Time(124)_SongNr(115).wav</t>
  </si>
  <si>
    <t>Complexity(4)_Time(70)_SongNr(115).wav</t>
  </si>
  <si>
    <t>Complexity(3)_Time(76)_SongNr(115).wav</t>
  </si>
  <si>
    <t>Complexity(3)_Time(170)_SongNr(115).wav</t>
  </si>
  <si>
    <t>Complexity(3)_Time(168)_SongNr(115).wav</t>
  </si>
  <si>
    <t>Complexity(3)_Time(166)_SongNr(115).wav</t>
  </si>
  <si>
    <t>Complexity(3)_Time(164)_SongNr(115).wav</t>
  </si>
  <si>
    <t>Complexity(3)_Time(152)_SongNr(115).wav</t>
  </si>
  <si>
    <t>Complexity(3)_Time(148)_SongNr(115).wav</t>
  </si>
  <si>
    <t>Complexity(6)_Time(126)_SongNr(115).wav</t>
  </si>
  <si>
    <t>Complexity(6)_Time(280)_SongNr(115).wav</t>
  </si>
  <si>
    <t>Complexity(6)_Time(136)_SongNr(115).wav</t>
  </si>
  <si>
    <t>Complexity(6)_Time(120)_SongNr(115).wav</t>
  </si>
  <si>
    <t>Complexity(6)_Time(118)_SongNr(115).wav</t>
  </si>
  <si>
    <t>Complexity(4)_Time(96)_SongNr(115).wav</t>
  </si>
  <si>
    <t>Complexity(4)_Time(92)_SongNr(115).wav</t>
  </si>
  <si>
    <t>Complexity(4)_Time(90)_SongNr(115).wav</t>
  </si>
  <si>
    <t>Complexity(4)_Time(84)_SongNr(115).wav</t>
  </si>
  <si>
    <t>Complexity(4)_Time(78)_SongNr(115).wav</t>
  </si>
  <si>
    <t>Complexity(4)_Time(66)_SongNr(115).wav</t>
  </si>
  <si>
    <t>Complexity(3)_Time(80)_SongNr(115).wav</t>
  </si>
  <si>
    <t>Complexity(3)_Time(52)_SongNr(115).wav</t>
  </si>
  <si>
    <t>Complexity(3)_Time(48)_SongNr(115).wav</t>
  </si>
  <si>
    <t>Complexity(7)_Time(94)_SongNr(115).wav</t>
  </si>
  <si>
    <t>Complexity(7)_Time(128)_SongNr(115).wav</t>
  </si>
  <si>
    <t>Complexity(6)_Time(112)_SongNr(115).wav</t>
  </si>
  <si>
    <t>Complexity(4)_Time(98)_SongNr(116).wav</t>
  </si>
  <si>
    <t>Complexity(4)_Time(86)_SongNr(116).wav</t>
  </si>
  <si>
    <t>Complexity(4)_Time(48)_SongNr(116).wav</t>
  </si>
  <si>
    <t>Complexity(4)_Time(220)_SongNr(116).wav</t>
  </si>
  <si>
    <t>Complexity(4)_Time(162)_SongNr(116).wav</t>
  </si>
  <si>
    <t>Complexity(3)_Time(166)_SongNr(116).wav</t>
  </si>
  <si>
    <t>Complexity(4)_Time(214)_SongNr(116).wav</t>
  </si>
  <si>
    <t>Complexity(4)_Time(50)_SongNr(116).wav</t>
  </si>
  <si>
    <t>Complexity(4)_Time(108)_SongNr(116).wav</t>
  </si>
  <si>
    <t>Complexity(4)_Time(8)_SongNr(117).wav</t>
  </si>
  <si>
    <t>Complexity(4)_Time(4)_SongNr(117).wav</t>
  </si>
  <si>
    <t>Complexity(4)_Time(14)_SongNr(117).wav</t>
  </si>
  <si>
    <t>Complexity(4)_Time(2)_SongNr(117).wav</t>
  </si>
  <si>
    <t>Complexity(4)_Time(16)_SongNr(117).wav</t>
  </si>
  <si>
    <t>Complexity(4)_Time(12)_SongNr(117).wav</t>
  </si>
  <si>
    <t>Complexity(4)_Time(10)_SongNr(117).wav</t>
  </si>
  <si>
    <t>Complexity(4)_Time(0)_SongNr(117).wav</t>
  </si>
  <si>
    <t>TimeEndSec</t>
  </si>
  <si>
    <t>Guitar_ItemNr(3227)_SetNr(986)_WoT_Level(0)_Complexity(7)_Time(98)_SongNr(31).wav</t>
  </si>
  <si>
    <t>Guitar_ItemNr(3311)_SetNr(997)_WoT_Level(0)_Complexity(7)_Time(98)_SongNr(13).wav</t>
  </si>
  <si>
    <t>Guitar_ItemNr(3685)_SetNr(1056)_WoT_Level(0)_Complexity(7)_Time(96)_SongNr(31).wav</t>
  </si>
  <si>
    <t>Bass_ItemNr(2913)_SetNr(1002)_WoT_Level(0)_Complexity(7)_Time(96)_SongNr(27).wav</t>
  </si>
  <si>
    <t>Bass_ItemNr(3548)_SetNr(1129)_WoT_Level(0)_Complexity(7)_Time(96)_SongNr(104).wav</t>
  </si>
  <si>
    <t>Bass_ItemNr(1644)_SetNr(719)_WoT_Level(0)_Complexity(7)_Time(94)_SongNr(13).wav</t>
  </si>
  <si>
    <t>Bass_ItemNr(600)_SetNr(257)_WoT_Level(0)_Complexity(7)_Time(94)_SongNr(115).wav</t>
  </si>
  <si>
    <t>Guitar_ItemNr(1585)_SetNr(482)_WoT_Level(0)_Complexity(7)_Time(92)_SongNr(31).wav</t>
  </si>
  <si>
    <t>Guitar_ItemNr(1769)_SetNr(531)_WoT_Level(0)_Complexity(7)_Time(92)_SongNr(27).wav</t>
  </si>
  <si>
    <t>Piano_ItemNr(3397)_SetNr(423)_WoT_Level(0)_Complexity(7)_Time(92)_SongNr(104).wav</t>
  </si>
  <si>
    <t>Lead_ItemNr(3625)_SetNr(968)_WoT_Level(0)_Complexity(7)_Time(90)_SongNr(27).wav</t>
  </si>
  <si>
    <t>Piano_ItemNr(3189)_SetNr(389)_WoT_Level(0)_Complexity(7)_Time(90)_SongNr(13).wav</t>
  </si>
  <si>
    <t>Piano_ItemNr(1109)_SetNr(095)_WoT_Level(0)_Complexity(7)_Time(90)_SongNr(104).wav</t>
  </si>
  <si>
    <t>Bass_ItemNr(3764)_SetNr(1198)_WoT_Level(0)_Complexity(7)_Time(88)_SongNr(104).wav</t>
  </si>
  <si>
    <t>Bass_ItemNr(3525)_SetNr(1124)_WoT_Level(0)_Complexity(7)_Time(86)_SongNr(13).wav</t>
  </si>
  <si>
    <t>Bass_ItemNr(3695)_SetNr(1176)_WoT_Level(0)_Complexity(7)_Time(84)_SongNr(104).wav</t>
  </si>
  <si>
    <t>Lead_ItemNr(2500)_SetNr(485)_WoT_Level(0)_Complexity(7)_Time(82)_SongNr(27).wav</t>
  </si>
  <si>
    <t>Bass_ItemNr(3226)_SetNr(1060)_WoT_Level(0)_Complexity(7)_Time(76)_SongNr(8).wav</t>
  </si>
  <si>
    <t>Bass_ItemNr(3536)_SetNr(1128)_WoT_Level(0)_Complexity(7)_Time(70)_SongNr(102).wav</t>
  </si>
  <si>
    <t>Piano_ItemNr(1662)_SetNr(151)_WoT_Level(0)_Complexity(7)_Time(68)_SongNr(7).wav</t>
  </si>
  <si>
    <t>Lead_ItemNr(1818)_SetNr(313)_WoT_Level(0)_Complexity(7)_Time(68)_SongNr(102).wav</t>
  </si>
  <si>
    <t>Lead_ItemNr(2749)_SetNr(582)_WoT_Level(0)_Complexity(7)_Time(52)_SongNr(19).wav</t>
  </si>
  <si>
    <t>Guitar_ItemNr(2392)_SetNr(764)_WoT_Level(0)_Complexity(7)_Time(484)_SongNr(5).wav</t>
  </si>
  <si>
    <t>Bass_ItemNr(3481)_SetNr(1112)_WoT_Level(0)_Complexity(7)_Time(482)_SongNr(5).wav</t>
  </si>
  <si>
    <t>Guitar_ItemNr(735)_SetNr(227)_WoT_Level(0)_Complexity(7)_Time(480)_SongNr(5).wav</t>
  </si>
  <si>
    <t>Guitar_ItemNr(2760)_SetNr(911)_WoT_Level(0)_Complexity(7)_Time(478)_SongNr(5).wav</t>
  </si>
  <si>
    <t>Bass_ItemNr(1346)_SetNr(588)_WoT_Level(0)_Complexity(7)_Time(476)_SongNr(5).wav</t>
  </si>
  <si>
    <t>Bass_ItemNr(2233)_SetNr(921)_WoT_Level(0)_Complexity(7)_Time(474)_SongNr(5).wav</t>
  </si>
  <si>
    <t>Bass_ItemNr(3664)_SetNr(1162)_WoT_Level(0)_Complexity(7)_Time(472)_SongNr(5).wav</t>
  </si>
  <si>
    <t>Bass_ItemNr(2337)_SetNr(946)_WoT_Level(0)_Complexity(7)_Time(470)_SongNr(5).wav</t>
  </si>
  <si>
    <t>Guitar_ItemNr(3351)_SetNr(1002)_WoT_Level(0)_Complexity(7)_Time(468)_SongNr(5).wav</t>
  </si>
  <si>
    <t>Guitar_ItemNr(2998)_SetNr(960)_WoT_Level(0)_Complexity(7)_Time(466)_SongNr(5).wav</t>
  </si>
  <si>
    <t>Guitar_ItemNr(3463)_SetNr(1015)_WoT_Level(0)_Complexity(7)_Time(464)_SongNr(5).wav</t>
  </si>
  <si>
    <t>Guitar_ItemNr(457)_SetNr(144)_WoT_Level(0)_Complexity(7)_Time(462)_SongNr(5).wav</t>
  </si>
  <si>
    <t>Bass_ItemNr(3509)_SetNr(1119)_WoT_Level(0)_Complexity(7)_Time(460)_SongNr(5).wav</t>
  </si>
  <si>
    <t>Bass_ItemNr(3031)_SetNr(1028)_WoT_Level(0)_Complexity(7)_Time(456)_SongNr(5).wav</t>
  </si>
  <si>
    <t>Guitar_ItemNr(3698)_SetNr(1058)_WoT_Level(0)_Complexity(7)_Time(454)_SongNr(5).wav</t>
  </si>
  <si>
    <t>Lead_ItemNr(2534)_SetNr(499)_WoT_Level(0)_Complexity(7)_Time(452)_SongNr(5).wav</t>
  </si>
  <si>
    <t>Guitar_ItemNr(3599)_SetNr(1041)_WoT_Level(0)_Complexity(7)_Time(450)_SongNr(5).wav</t>
  </si>
  <si>
    <t>Lead_ItemNr(851)_SetNr(148)_WoT_Level(0)_Complexity(7)_Time(446)_SongNr(5).wav</t>
  </si>
  <si>
    <t>Lead_ItemNr(2652)_SetNr(542)_WoT_Level(0)_Complexity(7)_Time(444)_SongNr(5).wav</t>
  </si>
  <si>
    <t>Guitar_ItemNr(3745)_SetNr(1069)_WoT_Level(0)_Complexity(7)_Time(442)_SongNr(5).wav</t>
  </si>
  <si>
    <t>Bass_ItemNr(3551)_SetNr(1130)_WoT_Level(0)_Complexity(7)_Time(440)_SongNr(5).wav</t>
  </si>
  <si>
    <t>Bass_ItemNr(2849)_SetNr(989)_WoT_Level(0)_Complexity(7)_Time(438)_SongNr(5).wav</t>
  </si>
  <si>
    <t>Bass_ItemNr(3576)_SetNr(1136)_WoT_Level(0)_Complexity(7)_Time(436)_SongNr(5).wav</t>
  </si>
  <si>
    <t>Guitar_ItemNr(3323)_SetNr(1000)_WoT_Level(0)_Complexity(7)_Time(430)_SongNr(5).wav</t>
  </si>
  <si>
    <t>Bass_ItemNr(3258)_SetNr(1068)_WoT_Level(0)_Complexity(7)_Time(428)_SongNr(5).wav</t>
  </si>
  <si>
    <t>Lead_ItemNr(79)_SetNr(014)_WoT_Level(0)_Complexity(7)_Time(386)_SongNr(104).wav</t>
  </si>
  <si>
    <t>Guitar_ItemNr(3610)_SetNr(1044)_WoT_Level(0)_Complexity(7)_Time(384)_SongNr(52).wav</t>
  </si>
  <si>
    <t>Piano_ItemNr(3010)_SetNr(343)_WoT_Level(0)_Complexity(7)_Time(380)_SongNr(104).wav</t>
  </si>
  <si>
    <t>Bass_ItemNr(1118)_SetNr(501)_WoT_Level(0)_Complexity(7)_Time(378)_SongNr(52).wav</t>
  </si>
  <si>
    <t>Bass_ItemNr(3658)_SetNr(1161)_WoT_Level(0)_Complexity(7)_Time(374)_SongNr(104).wav</t>
  </si>
  <si>
    <t>Lead_ItemNr(3239)_SetNr(795)_WoT_Level(0)_Complexity(7)_Time(368)_SongNr(104).wav</t>
  </si>
  <si>
    <t>Lead_ItemNr(3803)_SetNr(1032)_WoT_Level(0)_Complexity(7)_Time(362)_SongNr(104).wav</t>
  </si>
  <si>
    <t>Lead_ItemNr(3702)_SetNr(997)_WoT_Level(0)_Complexity(7)_Time(356)_SongNr(104).wav</t>
  </si>
  <si>
    <t>Guitar_ItemNr(3263)_SetNr(990)_WoT_Level(0)_Complexity(7)_Time(340)_SongNr(104).wav</t>
  </si>
  <si>
    <t>Guitar_ItemNr(2928)_SetNr(952)_WoT_Level(0)_Complexity(7)_Time(334)_SongNr(104).wav</t>
  </si>
  <si>
    <t>Guitar_ItemNr(2879)_SetNr(944)_WoT_Level(0)_Complexity(7)_Time(324)_SongNr(52).wav</t>
  </si>
  <si>
    <t>Bass_ItemNr(2856)_SetNr(991)_WoT_Level(0)_Complexity(7)_Time(318)_SongNr(52).wav</t>
  </si>
  <si>
    <t>Guitar_ItemNr(3718)_SetNr(1063)_WoT_Level(0)_Complexity(7)_Time(318)_SongNr(14).wav</t>
  </si>
  <si>
    <t>Guitar_ItemNr(2147)_SetNr(656)_WoT_Level(0)_Complexity(7)_Time(318)_SongNr(104).wav</t>
  </si>
  <si>
    <t>Guitar_ItemNr(503)_SetNr(166)_WoT_Level(0)_Complexity(7)_Time(312)_SongNr(52).wav</t>
  </si>
  <si>
    <t>Bass_ItemNr(1282)_SetNr(557)_WoT_Level(0)_Complexity(7)_Time(312)_SongNr(14).wav</t>
  </si>
  <si>
    <t>Lead_ItemNr(3793)_SetNr(1029)_WoT_Level(0)_Complexity(7)_Time(312)_SongNr(104).wav</t>
  </si>
  <si>
    <t>Bass_ItemNr(3645)_SetNr(1158)_WoT_Level(0)_Complexity(7)_Time(306)_SongNr(14).wav</t>
  </si>
  <si>
    <t>Guitar_ItemNr(3841)_SetNr(1089)_WoT_Level(0)_Complexity(7)_Time(304)_SongNr(104).wav</t>
  </si>
  <si>
    <t>Guitar_ItemNr(2741)_SetNr(906)_WoT_Level(0)_Complexity(7)_Time(300)_SongNr(14).wav</t>
  </si>
  <si>
    <t>Bass_ItemNr(2469)_SetNr(958)_WoT_Level(0)_Complexity(7)_Time(298)_SongNr(104).wav</t>
  </si>
  <si>
    <t>Guitar_ItemNr(3095)_SetNr(972)_WoT_Level(0)_Complexity(7)_Time(292)_SongNr(104).wav</t>
  </si>
  <si>
    <t>Piano_ItemNr(3139)_SetNr(376)_WoT_Level(0)_Complexity(7)_Time(288)_SongNr(104).wav</t>
  </si>
  <si>
    <t>Bass_ItemNr(3357)_SetNr(1084)_WoT_Level(0)_Complexity(7)_Time(284)_SongNr(104).wav</t>
  </si>
  <si>
    <t>Guitar_ItemNr(2988)_SetNr(958)_WoT_Level(0)_Complexity(7)_Time(282)_SongNr(104).wav</t>
  </si>
  <si>
    <t>Guitar_ItemNr(1167)_SetNr(351)_WoT_Level(0)_Complexity(7)_Time(280)_SongNr(4).wav</t>
  </si>
  <si>
    <t>Piano_ItemNr(3296)_SetNr(406)_WoT_Level(0)_Complexity(7)_Time(280)_SongNr(104).wav</t>
  </si>
  <si>
    <t>Bass_ItemNr(1637)_SetNr(712)_WoT_Level(0)_Complexity(7)_Time(278)_SongNr(4).wav</t>
  </si>
  <si>
    <t>Guitar_ItemNr(2690)_SetNr(894)_WoT_Level(0)_Complexity(7)_Time(278)_SongNr(14).wav</t>
  </si>
  <si>
    <t>Guitar_ItemNr(3590)_SetNr(1038)_WoT_Level(0)_Complexity(7)_Time(276)_SongNr(4).wav</t>
  </si>
  <si>
    <t>Guitar_ItemNr(3662)_SetNr(1053)_WoT_Level(0)_Complexity(7)_Time(276)_SongNr(14).wav</t>
  </si>
  <si>
    <t>Bass_ItemNr(3864)_SetNr(1224)_WoT_Level(0)_Complexity(7)_Time(274)_SongNr(4).wav</t>
  </si>
  <si>
    <t>Guitar_ItemNr(3842)_SetNr(1090)_WoT_Level(0)_Complexity(7)_Time(274)_SongNr(14).wav</t>
  </si>
  <si>
    <t>Bass_ItemNr(3601)_SetNr(1141)_WoT_Level(0)_Complexity(7)_Time(274)_SongNr(104).wav</t>
  </si>
  <si>
    <t>Bass_ItemNr(3384)_SetNr(1090)_WoT_Level(0)_Complexity(7)_Time(272)_SongNr(4).wav</t>
  </si>
  <si>
    <t>Bass_ItemNr(1126)_SetNr(503)_WoT_Level(0)_Complexity(7)_Time(272)_SongNr(14).wav</t>
  </si>
  <si>
    <t>Piano_ItemNr(3100)_SetNr(362)_WoT_Level(0)_Complexity(7)_Time(272)_SongNr(102).wav</t>
  </si>
  <si>
    <t>Lead_ItemNr(3865)_SetNr(1055)_WoT_Level(0)_Complexity(7)_Time(270)_SongNr(4).wav</t>
  </si>
  <si>
    <t>Piano_ItemNr(3792)_SetNr(483)_WoT_Level(0)_Complexity(7)_Time(270)_SongNr(102).wav</t>
  </si>
  <si>
    <t>Lead_ItemNr(963)_SetNr(170)_WoT_Level(0)_Complexity(7)_Time(268)_SongNr(4).wav</t>
  </si>
  <si>
    <t>Bass_ItemNr(2835)_SetNr(985)_WoT_Level(0)_Complexity(7)_Time(268)_SongNr(102).wav</t>
  </si>
  <si>
    <t>Lead_ItemNr(3707)_SetNr(999)_WoT_Level(0)_Complexity(7)_Time(266)_SongNr(4).wav</t>
  </si>
  <si>
    <t>Guitar_ItemNr(2807)_SetNr(923)_WoT_Level(0)_Complexity(7)_Time(266)_SongNr(14).wav</t>
  </si>
  <si>
    <t>Piano_ItemNr(2559)_SetNr(253)_WoT_Level(0)_Complexity(7)_Time(266)_SongNr(102).wav</t>
  </si>
  <si>
    <t>Lead_ItemNr(3566)_SetNr(947)_WoT_Level(0)_Complexity(7)_Time(264)_SongNr(4).wav</t>
  </si>
  <si>
    <t>Bass_ItemNr(3613)_SetNr(1145)_WoT_Level(0)_Complexity(7)_Time(264)_SongNr(102).wav</t>
  </si>
  <si>
    <t>Guitar_ItemNr(3154)_SetNr(979)_WoT_Level(0)_Complexity(7)_Time(262)_SongNr(4).wav</t>
  </si>
  <si>
    <t>Lead_ItemNr(1512)_SetNr(252)_WoT_Level(0)_Complexity(7)_Time(262)_SongNr(14).wav</t>
  </si>
  <si>
    <t>Piano_ItemNr(3177)_SetNr(385)_WoT_Level(0)_Complexity(7)_Time(262)_SongNr(102).wav</t>
  </si>
  <si>
    <t>Guitar_ItemNr(3862)_SetNr(1095)_WoT_Level(0)_Complexity(7)_Time(260)_SongNr(4).wav</t>
  </si>
  <si>
    <t>Lead_ItemNr(3533)_SetNr(931)_WoT_Level(0)_Complexity(7)_Time(260)_SongNr(14).wav</t>
  </si>
  <si>
    <t>Lead_ItemNr(3808)_SetNr(1033)_WoT_Level(0)_Complexity(7)_Time(260)_SongNr(102).wav</t>
  </si>
  <si>
    <t>Bass_ItemNr(2160)_SetNr(901)_WoT_Level(0)_Complexity(7)_Time(258)_SongNr(97).wav</t>
  </si>
  <si>
    <t>Bass_ItemNr(3774)_SetNr(1202)_WoT_Level(0)_Complexity(7)_Time(258)_SongNr(4).wav</t>
  </si>
  <si>
    <t>Lead_ItemNr(2177)_SetNr(396)_WoT_Level(0)_Complexity(7)_Time(258)_SongNr(14).wav</t>
  </si>
  <si>
    <t>Bass_ItemNr(2267)_SetNr(930)_WoT_Level(0)_Complexity(7)_Time(258)_SongNr(102).wav</t>
  </si>
  <si>
    <t>Guitar_ItemNr(3715)_SetNr(1061)_WoT_Level(0)_Complexity(7)_Time(256)_SongNr(97).wav</t>
  </si>
  <si>
    <t>Piano_ItemNr(3331)_SetNr(414)_WoT_Level(0)_Complexity(7)_Time(256)_SongNr(104).wav</t>
  </si>
  <si>
    <t>Bass_ItemNr(1060)_SetNr(468)_WoT_Level(0)_Complexity(7)_Time(256)_SongNr(102).wav</t>
  </si>
  <si>
    <t>Guitar_ItemNr(2286)_SetNr(716)_WoT_Level(0)_Complexity(7)_Time(254)_SongNr(97).wav</t>
  </si>
  <si>
    <t>Bass_ItemNr(2193)_SetNr(911)_WoT_Level(0)_Complexity(7)_Time(254)_SongNr(27).wav</t>
  </si>
  <si>
    <t>Guitar_ItemNr(2920)_SetNr(951)_WoT_Level(0)_Complexity(7)_Time(254)_SongNr(14).wav</t>
  </si>
  <si>
    <t>Bass_ItemNr(2826)_SetNr(983)_WoT_Level(0)_Complexity(7)_Time(254)_SongNr(102).wav</t>
  </si>
  <si>
    <t>Bass_ItemNr(1926)_SetNr(833)_WoT_Level(0)_Complexity(7)_Time(252)_SongNr(97).wav</t>
  </si>
  <si>
    <t>Bass_ItemNr(3769)_SetNr(1200)_WoT_Level(0)_Complexity(7)_Time(252)_SongNr(27).wav</t>
  </si>
  <si>
    <t>Bass_ItemNr(795)_SetNr(357)_WoT_Level(0)_Complexity(7)_Time(252)_SongNr(14).wav</t>
  </si>
  <si>
    <t>Piano_ItemNr(907)_SetNr(073)_WoT_Level(0)_Complexity(7)_Time(252)_SongNr(102).wav</t>
  </si>
  <si>
    <t>Piano_ItemNr(1231)_SetNr(109)_WoT_Level(0)_Complexity(7)_Time(250)_SongNr(97).wav</t>
  </si>
  <si>
    <t>Bass_ItemNr(3528)_SetNr(1126)_WoT_Level(0)_Complexity(7)_Time(250)_SongNr(27).wav</t>
  </si>
  <si>
    <t>Piano_ItemNr(3772)_SetNr(479)_WoT_Level(0)_Complexity(7)_Time(250)_SongNr(102).wav</t>
  </si>
  <si>
    <t>Lead_ItemNr(3678)_SetNr(989)_WoT_Level(0)_Complexity(7)_Time(248)_SongNr(97).wav</t>
  </si>
  <si>
    <t>Lead_ItemNr(3700)_SetNr(995)_WoT_Level(0)_Complexity(7)_Time(248)_SongNr(27).wav</t>
  </si>
  <si>
    <t>Lead_ItemNr(3738)_SetNr(1010)_WoT_Level(0)_Complexity(7)_Time(248)_SongNr(14).wav</t>
  </si>
  <si>
    <t>Lead_ItemNr(1438)_SetNr(242)_WoT_Level(0)_Complexity(7)_Time(248)_SongNr(102).wav</t>
  </si>
  <si>
    <t>Bass_ItemNr(2348)_SetNr(947)_WoT_Level(0)_Complexity(7)_Time(246)_SongNr(27).wav</t>
  </si>
  <si>
    <t>Bass_ItemNr(3777)_SetNr(1203)_WoT_Level(0)_Complexity(7)_Time(246)_SongNr(14).wav</t>
  </si>
  <si>
    <t>Lead_ItemNr(3790)_SetNr(1028)_WoT_Level(0)_Complexity(7)_Time(246)_SongNr(102).wav</t>
  </si>
  <si>
    <t>Guitar_ItemNr(3754)_SetNr(1070)_WoT_Level(0)_Complexity(7)_Time(244)_SongNr(27).wav</t>
  </si>
  <si>
    <t>Bass_ItemNr(3846)_SetNr(1220)_WoT_Level(0)_Complexity(7)_Time(244)_SongNr(102).wav</t>
  </si>
  <si>
    <t>Bass_ItemNr(426)_SetNr(180)_WoT_Level(0)_Complexity(7)_Time(242)_SongNr(97).wav</t>
  </si>
  <si>
    <t>Bass_ItemNr(2793)_SetNr(979)_WoT_Level(0)_Complexity(7)_Time(242)_SongNr(27).wav</t>
  </si>
  <si>
    <t>Bass_ItemNr(3794)_SetNr(1204)_WoT_Level(0)_Complexity(7)_Time(242)_SongNr(14).wav</t>
  </si>
  <si>
    <t>Lead_ItemNr(2114)_SetNr(378)_WoT_Level(0)_Complexity(7)_Time(242)_SongNr(102).wav</t>
  </si>
  <si>
    <t>Lead_ItemNr(3383)_SetNr(867)_WoT_Level(0)_Complexity(7)_Time(240)_SongNr(97).wav</t>
  </si>
  <si>
    <t>Guitar_ItemNr(3784)_SetNr(1076)_WoT_Level(0)_Complexity(7)_Time(240)_SongNr(27).wav</t>
  </si>
  <si>
    <t>Lead_ItemNr(131)_SetNr(025)_WoT_Level(0)_Complexity(7)_Time(240)_SongNr(14).wav</t>
  </si>
  <si>
    <t>Bass_ItemNr(3638)_SetNr(1155)_WoT_Level(0)_Complexity(7)_Time(240)_SongNr(102).wav</t>
  </si>
  <si>
    <t>Bass_ItemNr(3217)_SetNr(1058)_WoT_Level(0)_Complexity(7)_Time(238)_SongNr(97).wav</t>
  </si>
  <si>
    <t>Guitar_ItemNr(3575)_SetNr(1034)_WoT_Level(0)_Complexity(7)_Time(238)_SongNr(27).wav</t>
  </si>
  <si>
    <t>Bass_ItemNr(669)_SetNr(290)_WoT_Level(0)_Complexity(7)_Time(238)_SongNr(102).wav</t>
  </si>
  <si>
    <t>Bass_ItemNr(3758)_SetNr(1196)_WoT_Level(0)_Complexity(7)_Time(236)_SongNr(97).wav</t>
  </si>
  <si>
    <t>Bass_ItemNr(2770)_SetNr(978)_WoT_Level(0)_Complexity(7)_Time(236)_SongNr(37).wav</t>
  </si>
  <si>
    <t>Guitar_ItemNr(2938)_SetNr(953)_WoT_Level(0)_Complexity(7)_Time(236)_SongNr(27).wav</t>
  </si>
  <si>
    <t>Lead_ItemNr(2869)_SetNr(625)_WoT_Level(0)_Complexity(7)_Time(236)_SongNr(14).wav</t>
  </si>
  <si>
    <t>Lead_ItemNr(3814)_SetNr(1035)_WoT_Level(0)_Complexity(7)_Time(236)_SongNr(102).wav</t>
  </si>
  <si>
    <t>Bass_ItemNr(2086)_SetNr(882)_WoT_Level(0)_Complexity(7)_Time(234)_SongNr(97).wav</t>
  </si>
  <si>
    <t>Lead_ItemNr(3657)_SetNr(981)_WoT_Level(0)_Complexity(7)_Time(234)_SongNr(27).wav</t>
  </si>
  <si>
    <t>Lead_ItemNr(3855)_SetNr(1050)_WoT_Level(0)_Complexity(7)_Time(234)_SongNr(14).wav</t>
  </si>
  <si>
    <t>Lead_ItemNr(3236)_SetNr(793)_WoT_Level(0)_Complexity(7)_Time(234)_SongNr(102).wav</t>
  </si>
  <si>
    <t>Piano_ItemNr(2692)_SetNr(273)_WoT_Level(0)_Complexity(7)_Time(232)_SongNr(97).wav</t>
  </si>
  <si>
    <t>Guitar_ItemNr(3727)_SetNr(1065)_WoT_Level(0)_Complexity(7)_Time(232)_SongNr(31).wav</t>
  </si>
  <si>
    <t>Guitar_ItemNr(3447)_SetNr(1014)_WoT_Level(0)_Complexity(7)_Time(232)_SongNr(27).wav</t>
  </si>
  <si>
    <t>Bass_ItemNr(3621)_SetNr(1149)_WoT_Level(0)_Complexity(7)_Time(232)_SongNr(104).wav</t>
  </si>
  <si>
    <t>Lead_ItemNr(2923)_SetNr(646)_WoT_Level(0)_Complexity(7)_Time(232)_SongNr(102).wav</t>
  </si>
  <si>
    <t>Bass_ItemNr(3011)_SetNr(1020)_WoT_Level(0)_Complexity(7)_Time(230)_SongNr(27).wav</t>
  </si>
  <si>
    <t>Piano_ItemNr(2686)_SetNr(270)_WoT_Level(0)_Complexity(7)_Time(230)_SongNr(102).wav</t>
  </si>
  <si>
    <t>Lead_ItemNr(3776)_SetNr(1019)_WoT_Level(0)_Complexity(7)_Time(228)_SongNr(27).wav</t>
  </si>
  <si>
    <t>Piano_ItemNr(3062)_SetNr(354)_WoT_Level(0)_Complexity(7)_Time(228)_SongNr(104).wav</t>
  </si>
  <si>
    <t>Bass_ItemNr(2714)_SetNr(973)_WoT_Level(0)_Complexity(7)_Time(228)_SongNr(102).wav</t>
  </si>
  <si>
    <t>Piano_ItemNr(3423)_SetNr(428)_WoT_Level(0)_Complexity(7)_Time(226)_SongNr(97).wav</t>
  </si>
  <si>
    <t>Guitar_ItemNr(3799)_SetNr(1081)_WoT_Level(0)_Complexity(7)_Time(226)_SongNr(27).wav</t>
  </si>
  <si>
    <t>Bass_ItemNr(3418)_SetNr(1100)_WoT_Level(0)_Complexity(7)_Time(226)_SongNr(102).wav</t>
  </si>
  <si>
    <t>Bass_ItemNr(3404)_SetNr(1096)_WoT_Level(0)_Complexity(7)_Time(224)_SongNr(97).wav</t>
  </si>
  <si>
    <t>Bass_ItemNr(395)_SetNr(166)_WoT_Level(0)_Complexity(7)_Time(224)_SongNr(27).wav</t>
  </si>
  <si>
    <t>Piano_ItemNr(3129)_SetNr(372)_WoT_Level(0)_Complexity(7)_Time(224)_SongNr(13).wav</t>
  </si>
  <si>
    <t>Bass_ItemNr(3734)_SetNr(1187)_WoT_Level(0)_Complexity(7)_Time(224)_SongNr(104).wav</t>
  </si>
  <si>
    <t>Lead_ItemNr(3836)_SetNr(1043)_WoT_Level(0)_Complexity(7)_Time(224)_SongNr(102).wav</t>
  </si>
  <si>
    <t>Lead_ItemNr(863)_SetNr(150)_WoT_Level(0)_Complexity(7)_Time(222)_SongNr(97).wav</t>
  </si>
  <si>
    <t>Lead_ItemNr(3603)_SetNr(960)_WoT_Level(0)_Complexity(7)_Time(222)_SongNr(27).wav</t>
  </si>
  <si>
    <t>Bass_ItemNr(36)_SetNr(017)_WoT_Level(0)_Complexity(7)_Time(222)_SongNr(13).wav</t>
  </si>
  <si>
    <t>Bass_ItemNr(3354)_SetNr(1083)_WoT_Level(0)_Complexity(7)_Time(222)_SongNr(102).wav</t>
  </si>
  <si>
    <t>Guitar_ItemNr(3813)_SetNr(1083)_WoT_Level(0)_Complexity(7)_Time(220)_SongNr(27).wav</t>
  </si>
  <si>
    <t>Lead_ItemNr(3648)_SetNr(976)_WoT_Level(0)_Complexity(7)_Time(220)_SongNr(104).wav</t>
  </si>
  <si>
    <t>Guitar_ItemNr(2560)_SetNr(830)_WoT_Level(0)_Complexity(7)_Time(218)_SongNr(27).wav</t>
  </si>
  <si>
    <t>Lead_ItemNr(3429)_SetNr(887)_WoT_Level(0)_Complexity(7)_Time(218)_SongNr(13).wav</t>
  </si>
  <si>
    <t>Bass_ItemNr(3399)_SetNr(1094)_WoT_Level(0)_Complexity(7)_Time(216)_SongNr(27).wav</t>
  </si>
  <si>
    <t>Lead_ItemNr(3058)_SetNr(707)_WoT_Level(0)_Complexity(7)_Time(216)_SongNr(13).wav</t>
  </si>
  <si>
    <t>Bass_ItemNr(3427)_SetNr(1102)_WoT_Level(0)_Complexity(7)_Time(216)_SongNr(101).wav</t>
  </si>
  <si>
    <t>Lead_ItemNr(3199)_SetNr(770)_WoT_Level(0)_Complexity(7)_Time(214)_SongNr(37).wav</t>
  </si>
  <si>
    <t>Guitar_ItemNr(3580)_SetNr(1036)_WoT_Level(0)_Complexity(7)_Time(214)_SongNr(31).wav</t>
  </si>
  <si>
    <t>Bass_ItemNr(1996)_SetNr(860)_WoT_Level(0)_Complexity(7)_Time(214)_SongNr(27).wav</t>
  </si>
  <si>
    <t>Piano_ItemNr(2889)_SetNr(314)_WoT_Level(0)_Complexity(7)_Time(214)_SongNr(13).wav</t>
  </si>
  <si>
    <t>Bass_ItemNr(2211)_SetNr(917)_WoT_Level(0)_Complexity(7)_Time(214)_SongNr(104).wav</t>
  </si>
  <si>
    <t>Bass_ItemNr(341)_SetNr(143)_WoT_Level(0)_Complexity(7)_Time(214)_SongNr(102).wav</t>
  </si>
  <si>
    <t>Bass_ItemNr(2574)_SetNr(967)_WoT_Level(0)_Complexity(7)_Time(214)_SongNr(101).wav</t>
  </si>
  <si>
    <t>Bass_ItemNr(3106)_SetNr(1042)_WoT_Level(0)_Complexity(7)_Time(212)_SongNr(27).wav</t>
  </si>
  <si>
    <t>Lead_ItemNr(647)_SetNr(114)_WoT_Level(0)_Complexity(7)_Time(212)_SongNr(13).wav</t>
  </si>
  <si>
    <t>Bass_ItemNr(3749)_SetNr(1191)_WoT_Level(0)_Complexity(7)_Time(212)_SongNr(102).wav</t>
  </si>
  <si>
    <t>Lead_ItemNr(196)_SetNr(041)_WoT_Level(0)_Complexity(7)_Time(212)_SongNr(101).wav</t>
  </si>
  <si>
    <t>Guitar_ItemNr(1501)_SetNr(457)_WoT_Level(0)_Complexity(7)_Time(210)_SongNr(27).wav</t>
  </si>
  <si>
    <t>Bass_ItemNr(2977)_SetNr(1013)_WoT_Level(0)_Complexity(7)_Time(208)_SongNr(31).wav</t>
  </si>
  <si>
    <t>Lead_ItemNr(1133)_SetNr(193)_WoT_Level(0)_Complexity(7)_Time(208)_SongNr(27).wav</t>
  </si>
  <si>
    <t>Bass_ItemNr(3694)_SetNr(1175)_WoT_Level(0)_Complexity(7)_Time(208)_SongNr(14).wav</t>
  </si>
  <si>
    <t>Bass_ItemNr(287)_SetNr(122)_WoT_Level(0)_Complexity(7)_Time(206)_SongNr(27).wav</t>
  </si>
  <si>
    <t>Lead_ItemNr(3238)_SetNr(794)_WoT_Level(0)_Complexity(7)_Time(204)_SongNr(37).wav</t>
  </si>
  <si>
    <t>Bass_ItemNr(1339)_SetNr(584)_WoT_Level(0)_Complexity(7)_Time(204)_SongNr(27).wav</t>
  </si>
  <si>
    <t>Piano_ItemNr(1124)_SetNr(096)_WoT_Level(0)_Complexity(7)_Time(204)_SongNr(13).wav</t>
  </si>
  <si>
    <t>Piano_ItemNr(3159)_SetNr(383)_WoT_Level(0)_Complexity(7)_Time(204)_SongNr(102).wav</t>
  </si>
  <si>
    <t>Guitar_ItemNr(3028)_SetNr(962)_WoT_Level(0)_Complexity(7)_Time(202)_SongNr(27).wav</t>
  </si>
  <si>
    <t>Lead_ItemNr(3571)_SetNr(951)_WoT_Level(0)_Complexity(7)_Time(202)_SongNr(13).wav</t>
  </si>
  <si>
    <t>Piano_ItemNr(3205)_SetNr(392)_WoT_Level(0)_Complexity(7)_Time(202)_SongNr(103).wav</t>
  </si>
  <si>
    <t>Piano_ItemNr(3735)_SetNr(474)_WoT_Level(0)_Complexity(7)_Time(202)_SongNr(102).wav</t>
  </si>
  <si>
    <t>Lead_ItemNr(3057)_SetNr(706)_WoT_Level(0)_Complexity(7)_Time(200)_SongNr(14).wav</t>
  </si>
  <si>
    <t>Guitar_ItemNr(2405)_SetNr(769)_WoT_Level(0)_Complexity(7)_Time(200)_SongNr(13).wav</t>
  </si>
  <si>
    <t>Bass_ItemNr(3827)_SetNr(1216)_WoT_Level(0)_Complexity(7)_Time(198)_SongNr(31).wav</t>
  </si>
  <si>
    <t>Guitar_ItemNr(3763)_SetNr(1074)_WoT_Level(0)_Complexity(7)_Time(198)_SongNr(27).wav</t>
  </si>
  <si>
    <t>Lead_ItemNr(2490)_SetNr(482)_WoT_Level(0)_Complexity(7)_Time(198)_SongNr(13).wav</t>
  </si>
  <si>
    <t>Piano_ItemNr(1573)_SetNr(145)_WoT_Level(0)_Complexity(7)_Time(198)_SongNr(103).wav</t>
  </si>
  <si>
    <t>Lead_ItemNr(2601)_SetNr(521)_WoT_Level(0)_Complexity(7)_Time(198)_SongNr(101).wav</t>
  </si>
  <si>
    <t>Guitar_ItemNr(3760)_SetNr(1072)_WoT_Level(0)_Complexity(7)_Time(196)_SongNr(31).wav</t>
  </si>
  <si>
    <t>Bass_ItemNr(2768)_SetNr(976)_WoT_Level(0)_Complexity(7)_Time(196)_SongNr(27).wav</t>
  </si>
  <si>
    <t>Bass_ItemNr(1421)_SetNr(622)_WoT_Level(0)_Complexity(7)_Time(196)_SongNr(13).wav</t>
  </si>
  <si>
    <t>Bass_ItemNr(2884)_SetNr(996)_WoT_Level(0)_Complexity(7)_Time(196)_SongNr(103).wav</t>
  </si>
  <si>
    <t>Bass_ItemNr(2479)_SetNr(959)_WoT_Level(0)_Complexity(7)_Time(194)_SongNr(31).wav</t>
  </si>
  <si>
    <t>Bass_ItemNr(3672)_SetNr(1165)_WoT_Level(0)_Complexity(7)_Time(194)_SongNr(27).wav</t>
  </si>
  <si>
    <t>Piano_ItemNr(130)_SetNr(009)_WoT_Level(0)_Complexity(7)_Time(194)_SongNr(13).wav</t>
  </si>
  <si>
    <t>Bass_ItemNr(3564)_SetNr(1134)_WoT_Level(0)_Complexity(7)_Time(192)_SongNr(31).wav</t>
  </si>
  <si>
    <t>Bass_ItemNr(2798)_SetNr(980)_WoT_Level(0)_Complexity(7)_Time(190)_SongNr(7).wav</t>
  </si>
  <si>
    <t>Bass_ItemNr(222)_SetNr(093)_WoT_Level(0)_Complexity(7)_Time(190)_SongNr(31).wav</t>
  </si>
  <si>
    <t>Lead_ItemNr(2222)_SetNr(403)_WoT_Level(0)_Complexity(7)_Time(190)_SongNr(103).wav</t>
  </si>
  <si>
    <t>Bass_ItemNr(3101)_SetNr(1040)_WoT_Level(0)_Complexity(7)_Time(188)_SongNr(7).wav</t>
  </si>
  <si>
    <t>Bass_ItemNr(1814)_SetNr(788)_WoT_Level(0)_Complexity(7)_Time(188)_SongNr(31).wav</t>
  </si>
  <si>
    <t>Lead_ItemNr(3740)_SetNr(1012)_WoT_Level(0)_Complexity(7)_Time(188)_SongNr(27).wav</t>
  </si>
  <si>
    <t>Guitar_ItemNr(1949)_SetNr(591)_WoT_Level(0)_Complexity(7)_Time(188)_SongNr(101).wav</t>
  </si>
  <si>
    <t>Bass_ItemNr(3072)_SetNr(1034)_WoT_Level(0)_Complexity(7)_Time(186)_SongNr(7).wav</t>
  </si>
  <si>
    <t>Guitar_ItemNr(3832)_SetNr(1087)_WoT_Level(0)_Complexity(7)_Time(186)_SongNr(31).wav</t>
  </si>
  <si>
    <t>Lead_ItemNr(3347)_SetNr(850)_WoT_Level(0)_Complexity(7)_Time(186)_SongNr(103).wav</t>
  </si>
  <si>
    <t>Guitar_ItemNr(2403)_SetNr(767)_WoT_Level(0)_Complexity(7)_Time(184)_SongNr(8).wav</t>
  </si>
  <si>
    <t>Piano_ItemNr(899)_SetNr(072)_WoT_Level(0)_Complexity(7)_Time(184)_SongNr(7).wav</t>
  </si>
  <si>
    <t>Bass_ItemNr(1971)_SetNr(853)_WoT_Level(0)_Complexity(7)_Time(184)_SongNr(31).wav</t>
  </si>
  <si>
    <t>Bass_ItemNr(3594)_SetNr(1139)_WoT_Level(0)_Complexity(7)_Time(184)_SongNr(27).wav</t>
  </si>
  <si>
    <t>Guitar_ItemNr(2971)_SetNr(957)_WoT_Level(0)_Complexity(7)_Time(182)_SongNr(7).wav</t>
  </si>
  <si>
    <t>Bass_ItemNr(3622)_SetNr(1150)_WoT_Level(0)_Complexity(7)_Time(182)_SongNr(31).wav</t>
  </si>
  <si>
    <t>Guitar_ItemNr(1205)_SetNr(363)_WoT_Level(0)_Complexity(7)_Time(180)_SongNr(7).wav</t>
  </si>
  <si>
    <t>Bass_ItemNr(528)_SetNr(223)_WoT_Level(0)_Complexity(7)_Time(180)_SongNr(31).wav</t>
  </si>
  <si>
    <t>Lead_ItemNr(3511)_SetNr(925)_WoT_Level(0)_Complexity(7)_Time(180)_SongNr(27).wav</t>
  </si>
  <si>
    <t>Lead_ItemNr(2859)_SetNr(621)_WoT_Level(0)_Complexity(7)_Time(180)_SongNr(103).wav</t>
  </si>
  <si>
    <t>Bass_ItemNr(1374)_SetNr(601)_WoT_Level(0)_Complexity(7)_Time(178)_SongNr(7).wav</t>
  </si>
  <si>
    <t>Bass_ItemNr(630)_SetNr(271)_WoT_Level(0)_Complexity(7)_Time(178)_SongNr(31).wav</t>
  </si>
  <si>
    <t>Lead_ItemNr(2496)_SetNr(483)_WoT_Level(0)_Complexity(7)_Time(178)_SongNr(103).wav</t>
  </si>
  <si>
    <t>Guitar_ItemNr(1057)_SetNr(317)_WoT_Level(0)_Complexity(7)_Time(176)_SongNr(7).wav</t>
  </si>
  <si>
    <t>Lead_ItemNr(3647)_SetNr(975)_WoT_Level(0)_Complexity(7)_Time(174)_SongNr(8).wav</t>
  </si>
  <si>
    <t>Guitar_ItemNr(3651)_SetNr(1051)_WoT_Level(0)_Complexity(7)_Time(172)_SongNr(8).wav</t>
  </si>
  <si>
    <t>Bass_ItemNr(2201)_SetNr(913)_WoT_Level(0)_Complexity(7)_Time(172)_SongNr(7).wav</t>
  </si>
  <si>
    <t>Piano_ItemNr(2718)_SetNr(279)_WoT_Level(0)_Complexity(7)_Time(170)_SongNr(7).wav</t>
  </si>
  <si>
    <t>Lead_ItemNr(2540)_SetNr(501)_WoT_Level(0)_Complexity(7)_Time(170)_SongNr(31).wav</t>
  </si>
  <si>
    <t>Piano_ItemNr(2864)_SetNr(310)_WoT_Level(0)_Complexity(7)_Time(168)_SongNr(7).wav</t>
  </si>
  <si>
    <t>Bass_ItemNr(2860)_SetNr(993)_WoT_Level(0)_Complexity(7)_Time(168)_SongNr(40).wav</t>
  </si>
  <si>
    <t>Lead_ItemNr(3644)_SetNr(974)_WoT_Level(0)_Complexity(7)_Time(168)_SongNr(31).wav</t>
  </si>
  <si>
    <t>Bass_ItemNr(3035)_SetNr(1029)_WoT_Level(0)_Complexity(7)_Time(166)_SongNr(7).wav</t>
  </si>
  <si>
    <t>Guitar_ItemNr(3791)_SetNr(1078)_WoT_Level(0)_Complexity(7)_Time(166)_SongNr(31).wav</t>
  </si>
  <si>
    <t>Piano_ItemNr(1468)_SetNr(136)_WoT_Level(0)_Complexity(7)_Time(164)_SongNr(7).wav</t>
  </si>
  <si>
    <t>Lead_ItemNr(3366)_SetNr(859)_WoT_Level(0)_Complexity(7)_Time(164)_SongNr(31).wav</t>
  </si>
  <si>
    <t>Piano_ItemNr(2772)_SetNr(288)_WoT_Level(0)_Complexity(7)_Time(162)_SongNr(102).wav</t>
  </si>
  <si>
    <t>Piano_ItemNr(3800)_SetNr(484)_WoT_Level(0)_Complexity(7)_Time(160)_SongNr(102).wav</t>
  </si>
  <si>
    <t>Piano_ItemNr(3831)_SetNr(487)_WoT_Level(0)_Complexity(7)_Time(158)_SongNr(102).wav</t>
  </si>
  <si>
    <t>Piano_ItemNr(3805)_SetNr(485)_WoT_Level(0)_Complexity(7)_Time(156)_SongNr(102).wav</t>
  </si>
  <si>
    <t>Lead_ItemNr(1481)_SetNr(248)_WoT_Level(0)_Complexity(7)_Time(154)_SongNr(102).wav</t>
  </si>
  <si>
    <t>Guitar_ItemNr(2284)_SetNr(715)_WoT_Level(0)_Complexity(7)_Time(152)_SongNr(26).wav</t>
  </si>
  <si>
    <t>Bass_ItemNr(1675)_SetNr(732)_WoT_Level(0)_Complexity(7)_Time(152)_SongNr(102).wav</t>
  </si>
  <si>
    <t>Bass_ItemNr(581)_SetNr(247)_WoT_Level(0)_Complexity(7)_Time(150)_SongNr(102).wav</t>
  </si>
  <si>
    <t>Bass_ItemNr(3642)_SetNr(1157)_WoT_Level(0)_Complexity(7)_Time(148)_SongNr(102).wav</t>
  </si>
  <si>
    <t>Lead_ItemNr(3298)_SetNr(827)_WoT_Level(0)_Complexity(7)_Time(146)_SongNr(102).wav</t>
  </si>
  <si>
    <t>Bass_ItemNr(512)_SetNr(213)_WoT_Level(0)_Complexity(7)_Time(144)_SongNr(32).wav</t>
  </si>
  <si>
    <t>Piano_ItemNr(203)_SetNr(017)_WoT_Level(0)_Complexity(7)_Time(144)_SongNr(102).wav</t>
  </si>
  <si>
    <t>Lead_ItemNr(2568)_SetNr(515)_WoT_Level(0)_Complexity(7)_Time(142)_SongNr(32).wav</t>
  </si>
  <si>
    <t>Lead_ItemNr(3455)_SetNr(902)_WoT_Level(0)_Complexity(7)_Time(142)_SongNr(102).wav</t>
  </si>
  <si>
    <t>Bass_ItemNr(3315)_SetNr(1072)_WoT_Level(0)_Complexity(7)_Time(140)_SongNr(32).wav</t>
  </si>
  <si>
    <t>Lead_ItemNr(3604)_SetNr(961)_WoT_Level(0)_Complexity(7)_Time(140)_SongNr(31).wav</t>
  </si>
  <si>
    <t>Bass_ItemNr(3527)_SetNr(1125)_WoT_Level(0)_Complexity(7)_Time(140)_SongNr(102).wav</t>
  </si>
  <si>
    <t>Bass_ItemNr(2586)_SetNr(968)_WoT_Level(0)_Complexity(7)_Time(138)_SongNr(39).wav</t>
  </si>
  <si>
    <t>Guitar_ItemNr(2623)_SetNr(865)_WoT_Level(0)_Complexity(7)_Time(138)_SongNr(31).wav</t>
  </si>
  <si>
    <t>Lead_ItemNr(2604)_SetNr(523)_WoT_Level(0)_Complexity(7)_Time(138)_SongNr(13).wav</t>
  </si>
  <si>
    <t>Bass_ItemNr(337)_SetNr(140)_WoT_Level(0)_Complexity(7)_Time(138)_SongNr(115).wav</t>
  </si>
  <si>
    <t>Bass_ItemNr(995)_SetNr(440)_WoT_Level(0)_Complexity(7)_Time(136)_SongNr(32).wav</t>
  </si>
  <si>
    <t>Bass_ItemNr(2838)_SetNr(986)_WoT_Level(0)_Complexity(7)_Time(136)_SongNr(31).wav</t>
  </si>
  <si>
    <t>Lead_ItemNr(2631)_SetNr(533)_WoT_Level(0)_Complexity(7)_Time(136)_SongNr(19).wav</t>
  </si>
  <si>
    <t>Bass_ItemNr(2077)_SetNr(878)_WoT_Level(0)_Complexity(7)_Time(136)_SongNr(13).wav</t>
  </si>
  <si>
    <t>Bass_ItemNr(3009)_SetNr(1019)_WoT_Level(0)_Complexity(7)_Time(134)_SongNr(32).wav</t>
  </si>
  <si>
    <t>Bass_ItemNr(1914)_SetNr(828)_WoT_Level(0)_Complexity(7)_Time(134)_SongNr(31).wav</t>
  </si>
  <si>
    <t>Piano_ItemNr(2163)_SetNr(206)_WoT_Level(0)_Complexity(7)_Time(134)_SongNr(19).wav</t>
  </si>
  <si>
    <t>Guitar_ItemNr(417)_SetNr(132)_WoT_Level(0)_Complexity(7)_Time(132)_SongNr(31).wav</t>
  </si>
  <si>
    <t>Guitar_ItemNr(2837)_SetNr(932)_WoT_Level(0)_Complexity(7)_Time(132)_SongNr(13).wav</t>
  </si>
  <si>
    <t>Bass_ItemNr(3746)_SetNr(1190)_WoT_Level(0)_Complexity(7)_Time(132)_SongNr(102).wav</t>
  </si>
  <si>
    <t>Guitar_ItemNr(2882)_SetNr(945)_WoT_Level(0)_Complexity(7)_Time(130)_SongNr(32).wav</t>
  </si>
  <si>
    <t>Guitar_ItemNr(3655)_SetNr(1052)_WoT_Level(0)_Complexity(7)_Time(130)_SongNr(31).wav</t>
  </si>
  <si>
    <t>Bass_ItemNr(3691)_SetNr(1173)_WoT_Level(0)_Complexity(7)_Time(130)_SongNr(102).wav</t>
  </si>
  <si>
    <t>Guitar_ItemNr(49)_SetNr(014)_WoT_Level(0)_Complexity(7)_Time(128)_SongNr(32).wav</t>
  </si>
  <si>
    <t>Guitar_ItemNr(3286)_SetNr(992)_WoT_Level(0)_Complexity(7)_Time(128)_SongNr(31).wav</t>
  </si>
  <si>
    <t>Guitar_ItemNr(2204)_SetNr(682)_WoT_Level(0)_Complexity(7)_Time(128)_SongNr(13).wav</t>
  </si>
  <si>
    <t>Bass_ItemNr(3252)_SetNr(1065)_WoT_Level(0)_Complexity(7)_Time(128)_SongNr(115).wav</t>
  </si>
  <si>
    <t>Guitar_ItemNr(3744)_SetNr(1068)_WoT_Level(0)_Complexity(7)_Time(126)_SongNr(31).wav</t>
  </si>
  <si>
    <t>Bass_ItemNr(3115)_SetNr(1043)_WoT_Level(0)_Complexity(7)_Time(126)_SongNr(27).wav</t>
  </si>
  <si>
    <t>Bass_ItemNr(507)_SetNr(208)_WoT_Level(0)_Complexity(7)_Time(126)_SongNr(13).wav</t>
  </si>
  <si>
    <t>Guitar_ItemNr(1252)_SetNr(378)_WoT_Level(0)_Complexity(7)_Time(124)_SongNr(31).wav</t>
  </si>
  <si>
    <t>Guitar_ItemNr(3259)_SetNr(989)_WoT_Level(0)_Complexity(7)_Time(124)_SongNr(27).wav</t>
  </si>
  <si>
    <t>Piano_ItemNr(2146)_SetNr(205)_WoT_Level(0)_Complexity(7)_Time(124)_SongNr(13).wav</t>
  </si>
  <si>
    <t>Guitar_ItemNr(3812)_SetNr(1082)_WoT_Level(0)_Complexity(7)_Time(122)_SongNr(31).wav</t>
  </si>
  <si>
    <t>Lead_ItemNr(3713)_SetNr(1001)_WoT_Level(0)_Complexity(7)_Time(122)_SongNr(27).wav</t>
  </si>
  <si>
    <t>Lead_ItemNr(3780)_SetNr(1022)_WoT_Level(0)_Complexity(7)_Time(122)_SongNr(102).wav</t>
  </si>
  <si>
    <t>Bass_ItemNr(2895)_SetNr(999)_WoT_Level(0)_Complexity(7)_Time(120)_SongNr(31).wav</t>
  </si>
  <si>
    <t>Bass_ItemNr(3810)_SetNr(1211)_WoT_Level(0)_Complexity(7)_Time(120)_SongNr(27).wav</t>
  </si>
  <si>
    <t>Lead_ItemNr(3043)_SetNr(699)_WoT_Level(0)_Complexity(7)_Time(120)_SongNr(102).wav</t>
  </si>
  <si>
    <t>Guitar_ItemNr(3134)_SetNr(977)_WoT_Level(0)_Complexity(7)_Time(118)_SongNr(31).wav</t>
  </si>
  <si>
    <t>Lead_ItemNr(3797)_SetNr(1030)_WoT_Level(0)_Complexity(7)_Time(118)_SongNr(27).wav</t>
  </si>
  <si>
    <t>Bass_ItemNr(558)_SetNr(238)_WoT_Level(0)_Complexity(7)_Time(116)_SongNr(39).wav</t>
  </si>
  <si>
    <t>Bass_ItemNr(1076)_SetNr(478)_WoT_Level(0)_Complexity(7)_Time(116)_SongNr(31).wav</t>
  </si>
  <si>
    <t>Guitar_ItemNr(903)_SetNr(274)_WoT_Level(0)_Complexity(7)_Time(116)_SongNr(27).wav</t>
  </si>
  <si>
    <t>Piano_ItemNr(3400)_SetNr(424)_WoT_Level(0)_Complexity(7)_Time(116)_SongNr(13).wav</t>
  </si>
  <si>
    <t>Lead_ItemNr(2809)_SetNr(609)_WoT_Level(0)_Complexity(7)_Time(116)_SongNr(104).wav</t>
  </si>
  <si>
    <t>Lead_ItemNr(3538)_SetNr(934)_WoT_Level(0)_Complexity(7)_Time(114)_SongNr(13).wav</t>
  </si>
  <si>
    <t>Bass_ItemNr(1663)_SetNr(726)_WoT_Level(0)_Complexity(7)_Time(112)_SongNr(31).wav</t>
  </si>
  <si>
    <t>Guitar_ItemNr(2071)_SetNr(629)_WoT_Level(0)_Complexity(7)_Time(112)_SongNr(27).wav</t>
  </si>
  <si>
    <t>Bass_ItemNr(2234)_SetNr(922)_WoT_Level(0)_Complexity(7)_Time(110)_SongNr(83).wav</t>
  </si>
  <si>
    <t>Guitar_ItemNr(2351)_SetNr(745)_WoT_Level(0)_Complexity(7)_Time(110)_SongNr(31).wav</t>
  </si>
  <si>
    <t>Guitar_ItemNr(2273)_SetNr(709)_WoT_Level(0)_Complexity(7)_Time(110)_SongNr(27).wav</t>
  </si>
  <si>
    <t>Lead_ItemNr(1235)_SetNr(212)_WoT_Level(0)_Complexity(7)_Time(110)_SongNr(115).wav</t>
  </si>
  <si>
    <t>Piano_ItemNr(12)_SetNr(002)_WoT_Level(0)_Complexity(7)_Time(108)_SongNr(83).wav</t>
  </si>
  <si>
    <t>Bass_ItemNr(3200)_SetNr(1055)_WoT_Level(0)_Complexity(7)_Time(108)_SongNr(31).wav</t>
  </si>
  <si>
    <t>Guitar_ItemNr(718)_SetNr(222)_WoT_Level(0)_Complexity(7)_Time(108)_SongNr(27).wav</t>
  </si>
  <si>
    <t>Guitar_ItemNr(2762)_SetNr(913)_WoT_Level(0)_Complexity(7)_Time(108)_SongNr(13).wav</t>
  </si>
  <si>
    <t>Piano_ItemNr(176)_SetNr(015)_WoT_Level(0)_Complexity(7)_Time(106)_SongNr(83).wav</t>
  </si>
  <si>
    <t>Lead_ItemNr(2996)_SetNr(683)_WoT_Level(0)_Complexity(7)_Time(106)_SongNr(7).wav</t>
  </si>
  <si>
    <t>Bass_ItemNr(3806)_SetNr(1208)_WoT_Level(0)_Complexity(7)_Time(106)_SongNr(27).wav</t>
  </si>
  <si>
    <t>Piano_ItemNr(3529)_SetNr(448)_WoT_Level(0)_Complexity(7)_Time(106)_SongNr(104).wav</t>
  </si>
  <si>
    <t>Piano_ItemNr(2885)_SetNr(313)_WoT_Level(0)_Complexity(7)_Time(104)_SongNr(83).wav</t>
  </si>
  <si>
    <t>Guitar_ItemNr(3137)_SetNr(978)_WoT_Level(0)_Complexity(7)_Time(104)_SongNr(31).wav</t>
  </si>
  <si>
    <t>Guitar_ItemNr(3185)_SetNr(982)_WoT_Level(0)_Complexity(7)_Time(104)_SongNr(27).wav</t>
  </si>
  <si>
    <t>Guitar_ItemNr(350)_SetNr(109)_WoT_Level(0)_Complexity(7)_Time(104)_SongNr(13).wav</t>
  </si>
  <si>
    <t>Bass_ItemNr(3689)_SetNr(1171)_WoT_Level(0)_Complexity(7)_Time(102)_SongNr(84).wav</t>
  </si>
  <si>
    <t>Bass_ItemNr(1149)_SetNr(512)_WoT_Level(0)_Complexity(7)_Time(102)_SongNr(83).wav</t>
  </si>
  <si>
    <t>Bass_ItemNr(3757)_SetNr(1195)_WoT_Level(0)_Complexity(7)_Time(102)_SongNr(31).wav</t>
  </si>
  <si>
    <t>Guitar_ItemNr(2132)_SetNr(651)_WoT_Level(0)_Complexity(7)_Time(102)_SongNr(27).wav</t>
  </si>
  <si>
    <t>Bass_ItemNr(3531)_SetNr(1127)_WoT_Level(0)_Complexity(7)_Time(100)_SongNr(31).wav</t>
  </si>
  <si>
    <t>Bass_ItemNr(561)_SetNr(240)_WoT_Level(0)_Complexity(7)_Time(100)_SongNr(27).wav</t>
  </si>
  <si>
    <t>Lead_ItemNr(2330)_SetNr(427)_WoT_Level(0)_Complexity(7)_Time(100)_SongNr(19).wav</t>
  </si>
  <si>
    <t>Lead_ItemNr(831)_SetNr(144)_WiT_Level(-15)_Complexity(6)_Time(98)_SongNr(84).wav</t>
  </si>
  <si>
    <t>Guitar_ItemNr(3591)_SetNr(1039)_WiT_Level(-15)_Complexity(6)_Time(98)_SongNr(8).wav</t>
  </si>
  <si>
    <t>Bass_ItemNr(2051)_SetNr(874)_WiT_Level(-15)_Complexity(6)_Time(98)_SongNr(53).wav</t>
  </si>
  <si>
    <t>Piano_ItemNr(3541)_SetNr(449)_WiT_Level(-15)_Complexity(6)_Time(98)_SongNr(39).wav</t>
  </si>
  <si>
    <t>Guitar_ItemNr(2590)_SetNr(845)_WiT_Level(-15)_Complexity(6)_Time(98)_SongNr(38).wav</t>
  </si>
  <si>
    <t>Bass_ItemNr(1407)_SetNr(617)_WiT_Level(-15)_Complexity(6)_Time(98)_SongNr(27).wav</t>
  </si>
  <si>
    <t>Piano_ItemNr(505)_SetNr(042)_WiT_Level(-15)_Complexity(6)_Time(98)_SongNr(20).wav</t>
  </si>
  <si>
    <t>Lead_ItemNr(2733)_SetNr(575)_WiT_Level(-15)_Complexity(6)_Time(98)_SongNr(2).wav</t>
  </si>
  <si>
    <t>Bass_ItemNr(3693)_SetNr(1174)_WiT_Level(-15)_Complexity(6)_Time(98)_SongNr(104).wav</t>
  </si>
  <si>
    <t>Lead_ItemNr(2377)_SetNr(443)_WiT_Level(-15)_Complexity(6)_Time(96)_SongNr(84).wav</t>
  </si>
  <si>
    <t>Guitar_ItemNr(902)_SetNr(273)_WiT_Level(-15)_Complexity(6)_Time(96)_SongNr(8).wav</t>
  </si>
  <si>
    <t>Bass_ItemNr(2288)_SetNr(937)_WiT_Level(-15)_Complexity(6)_Time(96)_SongNr(53).wav</t>
  </si>
  <si>
    <t>Bass_ItemNr(2023)_SetNr(865)_WiT_Level(-15)_Complexity(6)_Time(96)_SongNr(38).wav</t>
  </si>
  <si>
    <t>Lead_ItemNr(2482)_SetNr(478)_WiT_Level(-15)_Complexity(6)_Time(96)_SongNr(2).wav</t>
  </si>
  <si>
    <t>Bass_ItemNr(2815)_SetNr(981)_WiT_Level(-15)_Complexity(6)_Time(96)_SongNr(13).wav</t>
  </si>
  <si>
    <t>Lead_ItemNr(3345)_SetNr(849)_WiT_Level(-15)_Complexity(6)_Time(96)_SongNr(1).wav</t>
  </si>
  <si>
    <t>Lead_ItemNr(90)_SetNr(016)_WiT_Level(-15)_Complexity(6)_Time(94)_SongNr(87).wav</t>
  </si>
  <si>
    <t>Bass_ItemNr(3504)_SetNr(1118)_WiT_Level(-15)_Complexity(6)_Time(94)_SongNr(84).wav</t>
  </si>
  <si>
    <t>Piano_ItemNr(960)_SetNr(077)_WiT_Level(-15)_Complexity(6)_Time(94)_SongNr(7).wav</t>
  </si>
  <si>
    <t>Piano_ItemNr(523)_SetNr(044)_WiT_Level(-15)_Complexity(6)_Time(94)_SongNr(53).wav</t>
  </si>
  <si>
    <t>Lead_ItemNr(491)_SetNr(090)_WiT_Level(-15)_Complexity(6)_Time(94)_SongNr(49).wav</t>
  </si>
  <si>
    <t>Piano_ItemNr(3007)_SetNr(342)_WiT_Level(-15)_Complexity(6)_Time(94)_SongNr(39).wav</t>
  </si>
  <si>
    <t>Bass_ItemNr(3121)_SetNr(1045)_WiT_Level(-15)_Complexity(6)_Time(94)_SongNr(38).wav</t>
  </si>
  <si>
    <t>Guitar_ItemNr(3675)_SetNr(1054)_WiT_Level(-15)_Complexity(6)_Time(94)_SongNr(31).wav</t>
  </si>
  <si>
    <t>Guitar_ItemNr(2423)_SetNr(780)_WiT_Level(-15)_Complexity(6)_Time(94)_SongNr(27).wav</t>
  </si>
  <si>
    <t>Bass_ItemNr(1868)_SetNr(814)_WiT_Level(-15)_Complexity(6)_Time(94)_SongNr(21).wav</t>
  </si>
  <si>
    <t>Piano_ItemNr(3572)_SetNr(454)_WiT_Level(-15)_Complexity(6)_Time(94)_SongNr(104).wav</t>
  </si>
  <si>
    <t>Guitar_ItemNr(2202)_SetNr(680)_WiT_Level(-15)_Complexity(6)_Time(94)_SongNr(1).wav</t>
  </si>
  <si>
    <t>Lead_ItemNr(3539)_SetNr(935)_WiT_Level(-15)_Complexity(6)_Time(92)_SongNr(84).wav</t>
  </si>
  <si>
    <t>Bass_ItemNr(2237)_SetNr(923)_WiT_Level(-15)_Complexity(6)_Time(92)_SongNr(7).wav</t>
  </si>
  <si>
    <t>Bass_ItemNr(2332)_SetNr(945)_WiT_Level(-15)_Complexity(6)_Time(92)_SongNr(53).wav</t>
  </si>
  <si>
    <t>Guitar_ItemNr(2407)_SetNr(770)_WiT_Level(-15)_Complexity(6)_Time(92)_SongNr(49).wav</t>
  </si>
  <si>
    <t>Guitar_ItemNr(3110)_SetNr(974)_WiT_Level(-15)_Complexity(6)_Time(92)_SongNr(39).wav</t>
  </si>
  <si>
    <t>Piano_ItemNr(1350)_SetNr(120)_WiT_Level(-15)_Complexity(6)_Time(92)_SongNr(21).wav</t>
  </si>
  <si>
    <t>Bass_ItemNr(2950)_SetNr(1009)_WiT_Level(-15)_Complexity(6)_Time(92)_SongNr(2).wav</t>
  </si>
  <si>
    <t>Bass_ItemNr(2360)_SetNr(949)_WiT_Level(-15)_Complexity(6)_Time(92)_SongNr(19).wav</t>
  </si>
  <si>
    <t>Guitar_ItemNr(2320)_SetNr(732)_WiT_Level(-15)_Complexity(6)_Time(92)_SongNr(13).wav</t>
  </si>
  <si>
    <t>Lead_ItemNr(2315)_SetNr(421)_WiT_Level(-15)_Complexity(6)_Time(92)_SongNr(1).wav</t>
  </si>
  <si>
    <t>Bass_ItemNr(3006)_SetNr(1018)_WiT_Level(-15)_Complexity(6)_Time(90)_SongNr(84).wav</t>
  </si>
  <si>
    <t>Piano_ItemNr(1357)_SetNr(122)_WiT_Level(-15)_Complexity(6)_Time(90)_SongNr(53).wav</t>
  </si>
  <si>
    <t>Lead_ItemNr(3714)_SetNr(1002)_WiT_Level(-15)_Complexity(6)_Time(90)_SongNr(4).wav</t>
  </si>
  <si>
    <t>Piano_ItemNr(2781)_SetNr(292)_WiT_Level(-15)_Complexity(6)_Time(90)_SongNr(39).wav</t>
  </si>
  <si>
    <t>Bass_ItemNr(3015)_SetNr(1022)_WiT_Level(-15)_Complexity(6)_Time(90)_SongNr(37).wav</t>
  </si>
  <si>
    <t>Guitar_ItemNr(1974)_SetNr(596)_WiT_Level(-15)_Complexity(6)_Time(90)_SongNr(2).wav</t>
  </si>
  <si>
    <t>Guitar_ItemNr(3717)_SetNr(1062)_WiT_Level(-15)_Complexity(6)_Time(90)_SongNr(1).wav</t>
  </si>
  <si>
    <t>Bass_ItemNr(2054)_SetNr(875)_WiT_Level(-15)_Complexity(6)_Time(88)_SongNr(84).wav</t>
  </si>
  <si>
    <t>Piano_ItemNr(1033)_SetNr(088)_WiT_Level(-15)_Complexity(6)_Time(88)_SongNr(53).wav</t>
  </si>
  <si>
    <t>Bass_ItemNr(3868)_SetNr(1225)_WiT_Level(-15)_Complexity(6)_Time(88)_SongNr(4).wav</t>
  </si>
  <si>
    <t>Guitar_ItemNr(3505)_SetNr(1022)_WiT_Level(-15)_Complexity(6)_Time(88)_SongNr(37).wav</t>
  </si>
  <si>
    <t>Lead_ItemNr(3060)_SetNr(708)_WiT_Level(-15)_Complexity(6)_Time(88)_SongNr(27).wav</t>
  </si>
  <si>
    <t>Bass_ItemNr(2542)_SetNr(965)_WiT_Level(-15)_Complexity(6)_Time(88)_SongNr(13).wav</t>
  </si>
  <si>
    <t>Guitar_ItemNr(3312)_SetNr(998)_WiT_Level(-15)_Complexity(6)_Time(88)_SongNr(111).wav</t>
  </si>
  <si>
    <t>Guitar_ItemNr(3563)_SetNr(1032)_WiT_Level(-15)_Complexity(6)_Time(88)_SongNr(1).wav</t>
  </si>
  <si>
    <t>Lead_ItemNr(2904)_SetNr(638)_WiT_Level(-15)_Complexity(6)_Time(86)_SongNr(84).wav</t>
  </si>
  <si>
    <t>Piano_ItemNr(84)_SetNr(005)_WiT_Level(-15)_Complexity(6)_Time(86)_SongNr(53).wav</t>
  </si>
  <si>
    <t>Guitar_ItemNr(2451)_SetNr(791)_WiT_Level(-15)_Complexity(6)_Time(86)_SongNr(4).wav</t>
  </si>
  <si>
    <t>Lead_ItemNr(2730)_SetNr(573)_WiT_Level(-15)_Complexity(6)_Time(86)_SongNr(27).wav</t>
  </si>
  <si>
    <t>Bass_ItemNr(3088)_SetNr(1038)_WiT_Level(-15)_Complexity(6)_Time(86)_SongNr(111).wav</t>
  </si>
  <si>
    <t>Piano_ItemNr(2689)_SetNr(272)_WiT_Level(-15)_Complexity(6)_Time(86)_SongNr(104).wav</t>
  </si>
  <si>
    <t>Bass_ItemNr(1110)_SetNr(494)_WiT_Level(-15)_Complexity(6)_Time(86)_SongNr(103).wav</t>
  </si>
  <si>
    <t>Bass_ItemNr(3051)_SetNr(1031)_WiT_Level(-15)_Complexity(6)_Time(86)_SongNr(1).wav</t>
  </si>
  <si>
    <t>Lead_ItemNr(3668)_SetNr(985)_WiT_Level(-15)_Complexity(6)_Time(84)_SongNr(84).wav</t>
  </si>
  <si>
    <t>Guitar_ItemNr(824)_SetNr(250)_WiT_Level(-15)_Complexity(6)_Time(84)_SongNr(8).wav</t>
  </si>
  <si>
    <t>Bass_ItemNr(342)_SetNr(144)_WiT_Level(-15)_Complexity(6)_Time(84)_SongNr(7).wav</t>
  </si>
  <si>
    <t>Lead_ItemNr(3639)_SetNr(973)_WiT_Level(-15)_Complexity(6)_Time(84)_SongNr(4).wav</t>
  </si>
  <si>
    <t>Guitar_ItemNr(3818)_SetNr(1085)_WiT_Level(-15)_Complexity(6)_Time(84)_SongNr(27).wav</t>
  </si>
  <si>
    <t>Piano_ItemNr(1402)_SetNr(130)_WiT_Level(-15)_Complexity(6)_Time(84)_SongNr(2).wav</t>
  </si>
  <si>
    <t>Piano_ItemNr(2851)_SetNr(307)_WiT_Level(-15)_Complexity(6)_Time(84)_SongNr(19).wav</t>
  </si>
  <si>
    <t>Lead_ItemNr(2682)_SetNr(551)_WiT_Level(-15)_Complexity(6)_Time(84)_SongNr(111).wav</t>
  </si>
  <si>
    <t>Lead_ItemNr(2752)_SetNr(584)_WiT_Level(-15)_Complexity(6)_Time(84)_SongNr(103).wav</t>
  </si>
  <si>
    <t>Bass_ItemNr(98)_SetNr(047)_WiT_Level(-15)_Complexity(6)_Time(84)_SongNr(1).wav</t>
  </si>
  <si>
    <t>Lead_ItemNr(1279)_SetNr(221)_WiT_Level(-15)_Complexity(6)_Time(82)_SongNr(84).wav</t>
  </si>
  <si>
    <t>Guitar_ItemNr(2576)_SetNr(838)_WiT_Level(-15)_Complexity(6)_Time(82)_SongNr(8).wav</t>
  </si>
  <si>
    <t>Bass_ItemNr(3795)_SetNr(1205)_WiT_Level(-15)_Complexity(6)_Time(82)_SongNr(4).wav</t>
  </si>
  <si>
    <t>Guitar_ItemNr(3059)_SetNr(967)_WiT_Level(-15)_Complexity(6)_Time(82)_SongNr(2).wav</t>
  </si>
  <si>
    <t>Lead_ItemNr(2269)_SetNr(414)_WiT_Level(-15)_Complexity(6)_Time(82)_SongNr(19).wav</t>
  </si>
  <si>
    <t>Bass_ItemNr(3401)_SetNr(1095)_WiT_Level(-15)_Complexity(6)_Time(82)_SongNr(111).wav</t>
  </si>
  <si>
    <t>Bass_ItemNr(3820)_SetNr(1212)_WiT_Level(-15)_Complexity(6)_Time(82)_SongNr(104).wav</t>
  </si>
  <si>
    <t>Lead_ItemNr(3113)_SetNr(730)_WiT_Level(-15)_Complexity(6)_Time(82)_SongNr(103).wav</t>
  </si>
  <si>
    <t>Bass_ItemNr(3589)_SetNr(1138)_WiT_Level(-15)_Complexity(6)_Time(82)_SongNr(1).wav</t>
  </si>
  <si>
    <t>Bass_ItemNr(3295)_SetNr(1071)_WiT_Level(-15)_Complexity(6)_Time(80)_SongNr(84).wav</t>
  </si>
  <si>
    <t>Lead_ItemNr(3569)_SetNr(949)_WiT_Level(-15)_Complexity(6)_Time(80)_SongNr(8).wav</t>
  </si>
  <si>
    <t>Piano_ItemNr(2049)_SetNr(196)_WiT_Level(-15)_Complexity(6)_Time(80)_SongNr(7).wav</t>
  </si>
  <si>
    <t>Bass_ItemNr(1283)_SetNr(558)_WiT_Level(-15)_Complexity(6)_Time(80)_SongNr(53).wav</t>
  </si>
  <si>
    <t>Guitar_ItemNr(3544)_SetNr(1029)_WiT_Level(-15)_Complexity(6)_Time(80)_SongNr(4).wav</t>
  </si>
  <si>
    <t>Piano_ItemNr(1267)_SetNr(114)_WiT_Level(-15)_Complexity(6)_Time(80)_SongNr(20).wav</t>
  </si>
  <si>
    <t>Piano_ItemNr(1940)_SetNr(184)_WiT_Level(-15)_Complexity(6)_Time(80)_SongNr(19).wav</t>
  </si>
  <si>
    <t>Bass_ItemNr(526)_SetNr(222)_WiT_Level(-15)_Complexity(6)_Time(80)_SongNr(111).wav</t>
  </si>
  <si>
    <t>Bass_ItemNr(547)_SetNr(230)_WiT_Level(-15)_Complexity(6)_Time(80)_SongNr(103).wav</t>
  </si>
  <si>
    <t>Lead_ItemNr(3402)_SetNr(876)_WiT_Level(-15)_Complexity(6)_Time(80)_SongNr(102).wav</t>
  </si>
  <si>
    <t>Lead_ItemNr(541)_SetNr(095)_WiT_Level(-15)_Complexity(6)_Time(80)_SongNr(1).wav</t>
  </si>
  <si>
    <t>Bass_ItemNr(3609)_SetNr(1144)_WiT_Level(-15)_Complexity(6)_Time(78)_SongNr(84).wav</t>
  </si>
  <si>
    <t>Bass_ItemNr(1361)_SetNr(594)_WiT_Level(-15)_Complexity(6)_Time(78)_SongNr(8).wav</t>
  </si>
  <si>
    <t>Lead_ItemNr(3389)_SetNr(871)_WiT_Level(-15)_Complexity(6)_Time(78)_SongNr(4).wav</t>
  </si>
  <si>
    <t>Lead_ItemNr(2715)_SetNr(566)_WiT_Level(-15)_Complexity(6)_Time(78)_SongNr(19).wav</t>
  </si>
  <si>
    <t>Bass_ItemNr(3807)_SetNr(1209)_WiT_Level(-15)_Complexity(6)_Time(78)_SongNr(14).wav</t>
  </si>
  <si>
    <t>Guitar_ItemNr(2870)_SetNr(942)_WiT_Level(-15)_Complexity(6)_Time(78)_SongNr(111).wav</t>
  </si>
  <si>
    <t>Lead_ItemNr(3438)_SetNr(891)_WiT_Level(-15)_Complexity(6)_Time(78)_SongNr(104).wav</t>
  </si>
  <si>
    <t>Piano_ItemNr(1538)_SetNr(140)_WiT_Level(-15)_Complexity(6)_Time(78)_SongNr(103).wav</t>
  </si>
  <si>
    <t>Guitar_ItemNr(989)_SetNr(298)_WiT_Level(-15)_Complexity(6)_Time(78)_SongNr(1).wav</t>
  </si>
  <si>
    <t>Lead_ItemNr(3152)_SetNr(747)_WiT_Level(-15)_Complexity(6)_Time(76)_SongNr(84).wav</t>
  </si>
  <si>
    <t>Piano_ItemNr(1993)_SetNr(191)_WiT_Level(-15)_Complexity(6)_Time(76)_SongNr(7).wav</t>
  </si>
  <si>
    <t>Lead_ItemNr(3731)_SetNr(1008)_WiT_Level(-15)_Complexity(6)_Time(76)_SongNr(4).wav</t>
  </si>
  <si>
    <t>Piano_ItemNr(2660)_SetNr(264)_WiT_Level(-15)_Complexity(6)_Time(76)_SongNr(13).wav</t>
  </si>
  <si>
    <t>Bass_ItemNr(2212)_SetNr(918)_WiT_Level(-15)_Complexity(6)_Time(76)_SongNr(111).wav</t>
  </si>
  <si>
    <t>Piano_ItemNr(3460)_SetNr(435)_WiT_Level(-15)_Complexity(6)_Time(76)_SongNr(103).wav</t>
  </si>
  <si>
    <t>Bass_ItemNr(1105)_SetNr(491)_WiT_Level(-15)_Complexity(6)_Time(74)_SongNr(84).wav</t>
  </si>
  <si>
    <t>Lead_ItemNr(2683)_SetNr(552)_WiT_Level(-15)_Complexity(6)_Time(74)_SongNr(8).wav</t>
  </si>
  <si>
    <t>Bass_ItemNr(790)_SetNr(353)_WiT_Level(-15)_Complexity(6)_Time(74)_SongNr(7).wav</t>
  </si>
  <si>
    <t>Bass_ItemNr(1770)_SetNr(770)_WiT_Level(-15)_Complexity(6)_Time(74)_SongNr(53).wav</t>
  </si>
  <si>
    <t>Bass_ItemNr(2875)_SetNr(994)_WiT_Level(-15)_Complexity(6)_Time(74)_SongNr(4).wav</t>
  </si>
  <si>
    <t>Lead_ItemNr(1895)_SetNr(326)_WiT_Level(-15)_Complexity(6)_Time(74)_SongNr(111).wav</t>
  </si>
  <si>
    <t>Lead_ItemNr(3669)_SetNr(986)_WiT_Level(-15)_Complexity(6)_Time(74)_SongNr(104).wav</t>
  </si>
  <si>
    <t>Piano_ItemNr(1790)_SetNr(166)_WiT_Level(-15)_Complexity(6)_Time(74)_SongNr(103).wav</t>
  </si>
  <si>
    <t>Lead_ItemNr(3709)_SetNr(1000)_WiT_Level(-15)_Complexity(6)_Time(74)_SongNr(1).wav</t>
  </si>
  <si>
    <t>Bass_ItemNr(2881)_SetNr(995)_WiT_Level(-15)_Complexity(6)_Time(72)_SongNr(84).wav</t>
  </si>
  <si>
    <t>Bass_ItemNr(482)_SetNr(200)_WiT_Level(-15)_Complexity(6)_Time(72)_SongNr(7).wav</t>
  </si>
  <si>
    <t>Bass_ItemNr(2378)_SetNr(950)_WiT_Level(-15)_Complexity(6)_Time(72)_SongNr(4).wav</t>
  </si>
  <si>
    <t>Lead_ItemNr(3251)_SetNr(801)_WiT_Level(-15)_Complexity(6)_Time(72)_SongNr(111).wav</t>
  </si>
  <si>
    <t>Bass_ItemNr(3631)_SetNr(1153)_WiT_Level(-15)_Complexity(6)_Time(72)_SongNr(104).wav</t>
  </si>
  <si>
    <t>Piano_ItemNr(2803)_SetNr(297)_WiT_Level(-15)_Complexity(6)_Time(72)_SongNr(103).wav</t>
  </si>
  <si>
    <t>Lead_ItemNr(3652)_SetNr(979)_WiT_Level(-15)_Complexity(6)_Time(72)_SongNr(1).wav</t>
  </si>
  <si>
    <t>Lead_ItemNr(2777)_SetNr(594)_WiT_Level(-15)_Complexity(6)_Time(70)_SongNr(84).wav</t>
  </si>
  <si>
    <t>Piano_ItemNr(2751)_SetNr(284)_WiT_Level(-15)_Complexity(6)_Time(70)_SongNr(7).wav</t>
  </si>
  <si>
    <t>Lead_ItemNr(3032)_SetNr(693)_WiT_Level(-15)_Complexity(6)_Time(70)_SongNr(52).wav</t>
  </si>
  <si>
    <t>Lead_ItemNr(3863)_SetNr(1054)_WiT_Level(-15)_Complexity(6)_Time(70)_SongNr(4).wav</t>
  </si>
  <si>
    <t>Bass_ItemNr(3358)_SetNr(1085)_WiT_Level(-15)_Complexity(6)_Time(70)_SongNr(111).wav</t>
  </si>
  <si>
    <t>Lead_ItemNr(3500)_SetNr(921)_WiT_Level(-15)_Complexity(6)_Time(70)_SongNr(104).wav</t>
  </si>
  <si>
    <t>Bass_ItemNr(2907)_SetNr(1001)_WiT_Level(-15)_Complexity(6)_Time(70)_SongNr(103).wav</t>
  </si>
  <si>
    <t>Bass_ItemNr(3666)_SetNr(1163)_WiT_Level(-15)_Complexity(6)_Time(70)_SongNr(1).wav</t>
  </si>
  <si>
    <t>Lead_ItemNr(3280)_SetNr(820)_WiT_Level(-15)_Complexity(6)_Time(68)_SongNr(84).wav</t>
  </si>
  <si>
    <t>Guitar_ItemNr(886)_SetNr(269)_WiT_Level(-15)_Complexity(6)_Time(68)_SongNr(49).wav</t>
  </si>
  <si>
    <t>Bass_ItemNr(3503)_SetNr(1117)_WiT_Level(-15)_Complexity(6)_Time(68)_SongNr(4).wav</t>
  </si>
  <si>
    <t>Guitar_ItemNr(3317)_SetNr(999)_WiT_Level(-15)_Complexity(6)_Time(68)_SongNr(38).wav</t>
  </si>
  <si>
    <t>Lead_ItemNr(2426)_SetNr(459)_WiT_Level(-15)_Complexity(6)_Time(68)_SongNr(20).wav</t>
  </si>
  <si>
    <t>Lead_ItemNr(1806)_SetNr(311)_WiT_Level(-15)_Complexity(6)_Time(68)_SongNr(19).wav</t>
  </si>
  <si>
    <t>Guitar_ItemNr(580)_SetNr(187)_WiT_Level(-15)_Complexity(6)_Time(68)_SongNr(111).wav</t>
  </si>
  <si>
    <t>Lead_ItemNr(3087)_SetNr(722)_WiT_Level(-15)_Complexity(6)_Time(68)_SongNr(103).wav</t>
  </si>
  <si>
    <t>Guitar_ItemNr(2435)_SetNr(783)_WiT_Level(-15)_Complexity(6)_Time(68)_SongNr(1).wav</t>
  </si>
  <si>
    <t>Bass_ItemNr(3641)_SetNr(1156)_WiT_Level(-15)_Complexity(6)_Time(66)_SongNr(84).wav</t>
  </si>
  <si>
    <t>Bass_ItemNr(2708)_SetNr(972)_WiT_Level(-15)_Complexity(6)_Time(66)_SongNr(49).wav</t>
  </si>
  <si>
    <t>Bass_ItemNr(1815)_SetNr(789)_WiT_Level(-15)_Complexity(6)_Time(66)_SongNr(38).wav</t>
  </si>
  <si>
    <t>Piano_ItemNr(1238)_SetNr(110)_WiT_Level(-15)_Complexity(6)_Time(66)_SongNr(20).wav</t>
  </si>
  <si>
    <t>Piano_ItemNr(2817)_SetNr(301)_WiT_Level(-15)_Complexity(6)_Time(66)_SongNr(111).wav</t>
  </si>
  <si>
    <t>Lead_ItemNr(3848)_SetNr(1047)_WiT_Level(-15)_Complexity(6)_Time(66)_SongNr(104).wav</t>
  </si>
  <si>
    <t>Piano_ItemNr(1298)_SetNr(118)_WiT_Level(-15)_Complexity(6)_Time(66)_SongNr(102).wav</t>
  </si>
  <si>
    <t>Lead_ItemNr(3379)_SetNr(864)_WiT_Level(-15)_Complexity(6)_Time(66)_SongNr(1).wav</t>
  </si>
  <si>
    <t>Bass_ItemNr(2857)_SetNr(992)_WiT_Level(-15)_Complexity(6)_Time(64)_SongNr(84).wav</t>
  </si>
  <si>
    <t>Guitar_ItemNr(2858)_SetNr(939)_WiT_Level(-15)_Complexity(6)_Time(64)_SongNr(83).wav</t>
  </si>
  <si>
    <t>Lead_ItemNr(2065)_SetNr(365)_WiT_Level(-15)_Complexity(6)_Time(64)_SongNr(49).wav</t>
  </si>
  <si>
    <t>Lead_ItemNr(3619)_SetNr(966)_WiT_Level(-15)_Complexity(6)_Time(64)_SongNr(38).wav</t>
  </si>
  <si>
    <t>Bass_ItemNr(2399)_SetNr(951)_WiT_Level(-15)_Complexity(6)_Time(64)_SongNr(37).wav</t>
  </si>
  <si>
    <t>Lead_ItemNr(2868)_SetNr(624)_WiT_Level(-15)_Complexity(6)_Time(64)_SongNr(27).wav</t>
  </si>
  <si>
    <t>Piano_ItemNr(3377)_SetNr(421)_WiT_Level(-15)_Complexity(6)_Time(64)_SongNr(111).wav</t>
  </si>
  <si>
    <t>Bass_ItemNr(3467)_SetNr(1107)_WiT_Level(-15)_Complexity(6)_Time(64)_SongNr(104).wav</t>
  </si>
  <si>
    <t>Bass_ItemNr(3828)_SetNr(1217)_WiT_Level(-15)_Complexity(6)_Time(64)_SongNr(102).wav</t>
  </si>
  <si>
    <t>Lead_ItemNr(2547)_SetNr(506)_WiT_Level(-15)_Complexity(6)_Time(64)_SongNr(1).wav</t>
  </si>
  <si>
    <t>Bass_ItemNr(3443)_SetNr(1104)_WiT_Level(-15)_Complexity(6)_Time(62)_SongNr(84).wav</t>
  </si>
  <si>
    <t>Lead_ItemNr(2932)_SetNr(653)_WiT_Level(-15)_Complexity(6)_Time(62)_SongNr(83).wav</t>
  </si>
  <si>
    <t>Guitar_ItemNr(1303)_SetNr(399)_WiT_Level(-15)_Complexity(6)_Time(62)_SongNr(7).wav</t>
  </si>
  <si>
    <t>Guitar_ItemNr(2471)_SetNr(801)_WiT_Level(-15)_Complexity(6)_Time(62)_SongNr(37).wav</t>
  </si>
  <si>
    <t>Lead_ItemNr(1541)_SetNr(260)_WiT_Level(-15)_Complexity(6)_Time(62)_SongNr(104).wav</t>
  </si>
  <si>
    <t>Piano_ItemNr(2434)_SetNr(235)_WiT_Level(-15)_Complexity(6)_Time(62)_SongNr(102).wav</t>
  </si>
  <si>
    <t>Lead_ItemNr(1602)_SetNr(277)_WiT_Level(-15)_Complexity(6)_Time(62)_SongNr(1).wav</t>
  </si>
  <si>
    <t>Piano_ItemNr(221)_SetNr(019)_WiT_Level(-15)_Complexity(6)_Time(60)_SongNr(83).wav</t>
  </si>
  <si>
    <t>Lead_ItemNr(567)_SetNr(097)_WiT_Level(-15)_Complexity(6)_Time(60)_SongNr(7).wav</t>
  </si>
  <si>
    <t>Guitar_ItemNr(1707)_SetNr(516)_WiT_Level(-15)_Complexity(6)_Time(60)_SongNr(49).wav</t>
  </si>
  <si>
    <t>Bass_ItemNr(3340)_SetNr(1080)_WiT_Level(-15)_Complexity(6)_Time(60)_SongNr(37).wav</t>
  </si>
  <si>
    <t>Piano_ItemNr(1715)_SetNr(155)_WiT_Level(-15)_Complexity(6)_Time(60)_SongNr(19).wav</t>
  </si>
  <si>
    <t>Lead_ItemNr(3573)_SetNr(952)_WiT_Level(-15)_Complexity(6)_Time(60)_SongNr(102).wav</t>
  </si>
  <si>
    <t>Lead_ItemNr(3542)_SetNr(937)_WiT_Level(-15)_Complexity(6)_Time(60)_SongNr(1).wav</t>
  </si>
  <si>
    <t>Lead_ItemNr(3248)_SetNr(800)_WiT_Level(-15)_Complexity(6)_Time(6)_SongNr(1).wav</t>
  </si>
  <si>
    <t>Lead_ItemNr(2311)_SetNr(420)_WiT_Level(-15)_Complexity(6)_Time(58)_SongNr(83).wav</t>
  </si>
  <si>
    <t>Lead_ItemNr(1054)_SetNr(184)_WiT_Level(-15)_Complexity(6)_Time(58)_SongNr(37).wav</t>
  </si>
  <si>
    <t>Bass_ItemNr(1199)_SetNr(530)_WiT_Level(-15)_Complexity(6)_Time(58)_SongNr(103).wav</t>
  </si>
  <si>
    <t>Lead_ItemNr(1577)_SetNr(269)_WiT_Level(-15)_Complexity(6)_Time(58)_SongNr(102).wav</t>
  </si>
  <si>
    <t>Lead_ItemNr(3127)_SetNr(736)_WiT_Level(-15)_Complexity(6)_Time(58)_SongNr(1).wav</t>
  </si>
  <si>
    <t>Piano_ItemNr(1595)_SetNr(146)_WiT_Level(-15)_Complexity(6)_Time(56)_SongNr(83).wav</t>
  </si>
  <si>
    <t>Bass_ItemNr(3068)_SetNr(1033)_WiT_Level(-15)_Complexity(6)_Time(56)_SongNr(49).wav</t>
  </si>
  <si>
    <t>Lead_ItemNr(662)_SetNr(117)_WiT_Level(-15)_Complexity(6)_Time(56)_SongNr(37).wav</t>
  </si>
  <si>
    <t>Bass_ItemNr(3183)_SetNr(1052)_WiT_Level(-15)_Complexity(6)_Time(56)_SongNr(103).wav</t>
  </si>
  <si>
    <t>Bass_ItemNr(3439)_SetNr(1103)_WiT_Level(-15)_Complexity(6)_Time(56)_SongNr(102).wav</t>
  </si>
  <si>
    <t>Bass_ItemNr(3653)_SetNr(1159)_WiT_Level(-15)_Complexity(6)_Time(54)_SongNr(102).wav</t>
  </si>
  <si>
    <t>Guitar_ItemNr(1857)_SetNr(559)_WiT_Level(-15)_Complexity(6)_Time(54)_SongNr(1).wav</t>
  </si>
  <si>
    <t>Bass_ItemNr(263)_SetNr(112)_WiT_Level(-15)_Complexity(6)_Time(52)_SongNr(7).wav</t>
  </si>
  <si>
    <t>Lead_ItemNr(2906)_SetNr(639)_WiT_Level(-15)_Complexity(6)_Time(52)_SongNr(20).wav</t>
  </si>
  <si>
    <t>Lead_ItemNr(3684)_SetNr(991)_WiT_Level(-15)_Complexity(6)_Time(52)_SongNr(102).wav</t>
  </si>
  <si>
    <t>Lead_ItemNr(3747)_SetNr(1014)_WiT_Level(-15)_Complexity(6)_Time(52)_SongNr(1).wav</t>
  </si>
  <si>
    <t>Lead_ItemNr(2188)_SetNr(399)_WiT_Level(-15)_Complexity(6)_Time(50)_SongNr(84).wav</t>
  </si>
  <si>
    <t>Lead_ItemNr(3462)_SetNr(907)_WiT_Level(-15)_Complexity(6)_Time(50)_SongNr(52).wav</t>
  </si>
  <si>
    <t>Lead_ItemNr(76)_SetNr(013)_WiT_Level(-15)_Complexity(6)_Time(50)_SongNr(20).wav</t>
  </si>
  <si>
    <t>Lead_ItemNr(3697)_SetNr(994)_WiT_Level(-15)_Complexity(6)_Time(50)_SongNr(102).wav</t>
  </si>
  <si>
    <t>Bass_ItemNr(3396)_SetNr(1092)_WiT_Level(-15)_Complexity(6)_Time(50)_SongNr(1).wav</t>
  </si>
  <si>
    <t>Bass_ItemNr(1858)_SetNr(810)_WiT_Level(-15)_Complexity(6)_Time(486)_SongNr(5).wav</t>
  </si>
  <si>
    <t>Lead_ItemNr(2987)_SetNr(680)_WiT_Level(-15)_Complexity(6)_Time(48)_SongNr(84).wav</t>
  </si>
  <si>
    <t>Lead_ItemNr(2382)_SetNr(445)_WiT_Level(-15)_Complexity(6)_Time(48)_SongNr(20).wav</t>
  </si>
  <si>
    <t>Lead_ItemNr(2502)_SetNr(487)_WiT_Level(-15)_Complexity(6)_Time(48)_SongNr(102).wav</t>
  </si>
  <si>
    <t>Bass_ItemNr(728)_SetNr(316)_WiT_Level(-15)_Complexity(6)_Time(48)_SongNr(1).wav</t>
  </si>
  <si>
    <t>Lead_ItemNr(2577)_SetNr(518)_WiT_Level(-15)_Complexity(6)_Time(46)_SongNr(97).wav</t>
  </si>
  <si>
    <t>Bass_ItemNr(3553)_SetNr(1131)_WiT_Level(-15)_Complexity(6)_Time(46)_SongNr(84).wav</t>
  </si>
  <si>
    <t>Bass_ItemNr(3054)_SetNr(1032)_WiT_Level(-15)_Complexity(6)_Time(46)_SongNr(102).wav</t>
  </si>
  <si>
    <t>Bass_ItemNr(3186)_SetNr(1053)_WiT_Level(-15)_Complexity(6)_Time(46)_SongNr(1).wav</t>
  </si>
  <si>
    <t>Bass_ItemNr(3720)_SetNr(1182)_WiT_Level(-15)_Complexity(6)_Time(448)_SongNr(5).wav</t>
  </si>
  <si>
    <t>Guitar_ItemNr(3699)_SetNr(1059)_WiT_Level(-15)_Complexity(6)_Time(44)_SongNr(97).wav</t>
  </si>
  <si>
    <t>Bass_ItemNr(3482)_SetNr(1113)_WiT_Level(-15)_Complexity(6)_Time(44)_SongNr(84).wav</t>
  </si>
  <si>
    <t>Piano_ItemNr(3840)_SetNr(490)_WiT_Level(-15)_Complexity(6)_Time(44)_SongNr(104).wav</t>
  </si>
  <si>
    <t>Bass_ItemNr(2942)_SetNr(1006)_WiT_Level(-15)_Complexity(6)_Time(44)_SongNr(102).wav</t>
  </si>
  <si>
    <t>Guitar_ItemNr(3302)_SetNr(995)_WiT_Level(-15)_Complexity(6)_Time(44)_SongNr(1).wav</t>
  </si>
  <si>
    <t>Guitar_ItemNr(3434)_SetNr(1012)_WiT_Level(-15)_Complexity(6)_Time(434)_SongNr(5).wav</t>
  </si>
  <si>
    <t>Bass_ItemNr(2481)_SetNr(960)_WiT_Level(-15)_Complexity(6)_Time(432)_SongNr(5).wav</t>
  </si>
  <si>
    <t>Bass_ItemNr(1087)_SetNr(482)_WiT_Level(-15)_Complexity(6)_Time(426)_SongNr(5).wav</t>
  </si>
  <si>
    <t>Lead_ItemNr(3676)_SetNr(988)_WiT_Level(-15)_Complexity(6)_Time(424)_SongNr(5).wav</t>
  </si>
  <si>
    <t>Bass_ItemNr(3704)_SetNr(1178)_WiT_Level(-15)_Complexity(6)_Time(422)_SongNr(5).wav</t>
  </si>
  <si>
    <t>Lead_ItemNr(2792)_SetNr(600)_WiT_Level(-15)_Complexity(6)_Time(42)_SongNr(84).wav</t>
  </si>
  <si>
    <t>Lead_ItemNr(3722)_SetNr(1005)_WiT_Level(-15)_Complexity(6)_Time(42)_SongNr(102).wav</t>
  </si>
  <si>
    <t>Guitar_ItemNr(3532)_SetNr(1027)_WiT_Level(-15)_Complexity(6)_Time(42)_SongNr(1).wav</t>
  </si>
  <si>
    <t>Bass_ItemNr(2816)_SetNr(982)_WiT_Level(-15)_Complexity(6)_Time(418)_SongNr(5).wav</t>
  </si>
  <si>
    <t>Guitar_ItemNr(2892)_SetNr(947)_WiT_Level(-15)_Complexity(6)_Time(416)_SongNr(5).wav</t>
  </si>
  <si>
    <t>Guitar_ItemNr(3712)_SetNr(1060)_WiT_Level(-15)_Complexity(6)_Time(414)_SongNr(5).wav</t>
  </si>
  <si>
    <t>Lead_ItemNr(3098)_SetNr(727)_WiT_Level(-15)_Complexity(6)_Time(412)_SongNr(5).wav</t>
  </si>
  <si>
    <t>Lead_ItemNr(3123)_SetNr(734)_WiT_Level(-15)_Complexity(6)_Time(410)_SongNr(5).wav</t>
  </si>
  <si>
    <t>Lead_ItemNr(3211)_SetNr(776)_WiT_Level(-15)_Complexity(6)_Time(408)_SongNr(5).wav</t>
  </si>
  <si>
    <t>Bass_ItemNr(3617)_SetNr(1148)_WiT_Level(-15)_Complexity(6)_Time(40)_SongNr(84).wav</t>
  </si>
  <si>
    <t>Bass_ItemNr(2280)_SetNr(933)_WiT_Level(-15)_Complexity(6)_Time(40)_SongNr(37).wav</t>
  </si>
  <si>
    <t>Lead_ItemNr(1733)_SetNr(299)_WiT_Level(-15)_Complexity(6)_Time(4)_SongNr(1).wav</t>
  </si>
  <si>
    <t>Bass_ItemNr(3673)_SetNr(1166)_WiT_Level(-15)_Complexity(6)_Time(380)_SongNr(52).wav</t>
  </si>
  <si>
    <t>Lead_ItemNr(186)_SetNr(039)_WiT_Level(-15)_Complexity(6)_Time(38)_SongNr(84).wav</t>
  </si>
  <si>
    <t>Lead_ItemNr(2572)_SetNr(517)_WiT_Level(-15)_Complexity(6)_Time(38)_SongNr(7).wav</t>
  </si>
  <si>
    <t>Piano_ItemNr(3018)_SetNr(346)_WiT_Level(-15)_Complexity(6)_Time(38)_SongNr(102).wav</t>
  </si>
  <si>
    <t>Bass_ItemNr(3688)_SetNr(1170)_WiT_Level(-15)_Complexity(6)_Time(38)_SongNr(1).wav</t>
  </si>
  <si>
    <t>Bass_ItemNr(3728)_SetNr(1185)_WiT_Level(-15)_Complexity(6)_Time(376)_SongNr(52).wav</t>
  </si>
  <si>
    <t>Lead_ItemNr(3067)_SetNr(712)_WiT_Level(-15)_Complexity(6)_Time(368)_SongNr(52).wav</t>
  </si>
  <si>
    <t>Bass_ItemNr(3420)_SetNr(1101)_WiT_Level(-15)_Complexity(6)_Time(36)_SongNr(84).wav</t>
  </si>
  <si>
    <t>Bass_ItemNr(3470)_SetNr(1109)_WiT_Level(-15)_Complexity(6)_Time(36)_SongNr(102).wav</t>
  </si>
  <si>
    <t>Guitar_ItemNr(3626)_SetNr(1047)_WiT_Level(-15)_Complexity(6)_Time(36)_SongNr(1).wav</t>
  </si>
  <si>
    <t>Bass_ItemNr(3850)_SetNr(1221)_WiT_Level(-15)_Complexity(6)_Time(352)_SongNr(104).wav</t>
  </si>
  <si>
    <t>Guitar_ItemNr(2737)_SetNr(905)_WiT_Level(-15)_Complexity(6)_Time(340)_SongNr(52).wav</t>
  </si>
  <si>
    <t>Bass_ItemNr(3630)_SetNr(1152)_WiT_Level(-15)_Complexity(6)_Time(34)_SongNr(84).wav</t>
  </si>
  <si>
    <t>Guitar_ItemNr(2313)_SetNr(727)_WiT_Level(-15)_Complexity(6)_Time(34)_SongNr(7).wav</t>
  </si>
  <si>
    <t>Guitar_ItemNr(2537)_SetNr(824)_WiT_Level(-15)_Complexity(6)_Time(34)_SongNr(37).wav</t>
  </si>
  <si>
    <t>Lead_ItemNr(3558)_SetNr(945)_WiT_Level(-15)_Complexity(6)_Time(34)_SongNr(102).wav</t>
  </si>
  <si>
    <t>Lead_ItemNr(3634)_SetNr(971)_WiT_Level(-15)_Complexity(6)_Time(34)_SongNr(1).wav</t>
  </si>
  <si>
    <t>Bass_ItemNr(273)_SetNr(117)_WiT_Level(-15)_Complexity(6)_Time(334)_SongNr(52).wav</t>
  </si>
  <si>
    <t>Bass_ItemNr(3733)_SetNr(1186)_WiT_Level(-15)_Complexity(6)_Time(332)_SongNr(52).wav</t>
  </si>
  <si>
    <t>Bass_ItemNr(972)_SetNr(428)_WiT_Level(-15)_Complexity(6)_Time(330)_SongNr(52).wav</t>
  </si>
  <si>
    <t>Piano_ItemNr(396)_SetNr(035)_WiT_Level(-15)_Complexity(6)_Time(330)_SongNr(104).wav</t>
  </si>
  <si>
    <t>Bass_ItemNr(1863)_SetNr(813)_WiT_Level(-15)_Complexity(6)_Time(328)_SongNr(52).wav</t>
  </si>
  <si>
    <t>Bass_ItemNr(3711)_SetNr(1181)_WiT_Level(-15)_Complexity(6)_Time(326)_SongNr(52).wav</t>
  </si>
  <si>
    <t>Bass_ItemNr(994)_SetNr(439)_WiT_Level(-15)_Complexity(6)_Time(322)_SongNr(14).wav</t>
  </si>
  <si>
    <t>Bass_ItemNr(2349)_SetNr(948)_WiT_Level(-15)_Complexity(6)_Time(322)_SongNr(104).wav</t>
  </si>
  <si>
    <t>Bass_ItemNr(2739)_SetNr(975)_WiT_Level(-15)_Complexity(6)_Time(320)_SongNr(52).wav</t>
  </si>
  <si>
    <t>Bass_ItemNr(3804)_SetNr(1207)_WiT_Level(-15)_Complexity(6)_Time(320)_SongNr(14).wav</t>
  </si>
  <si>
    <t>Bass_ItemNr(2945)_SetNr(1008)_WiT_Level(-15)_Complexity(6)_Time(32)_SongNr(84).wav</t>
  </si>
  <si>
    <t>Bass_ItemNr(746)_SetNr(330)_WiT_Level(-15)_Complexity(6)_Time(32)_SongNr(7).wav</t>
  </si>
  <si>
    <t>Guitar_ItemNr(2915)_SetNr(950)_WiT_Level(-15)_Complexity(6)_Time(32)_SongNr(37).wav</t>
  </si>
  <si>
    <t>Bass_ItemNr(3614)_SetNr(1146)_WiT_Level(-15)_Complexity(6)_Time(32)_SongNr(102).wav</t>
  </si>
  <si>
    <t>Guitar_ItemNr(3686)_SetNr(1057)_WiT_Level(-15)_Complexity(6)_Time(32)_SongNr(1).wav</t>
  </si>
  <si>
    <t>Guitar_ItemNr(3495)_SetNr(1021)_WiT_Level(-15)_Complexity(6)_Time(316)_SongNr(52).wav</t>
  </si>
  <si>
    <t>Guitar_ItemNr(774)_SetNr(238)_WiT_Level(-15)_Complexity(6)_Time(316)_SongNr(5).wav</t>
  </si>
  <si>
    <t>Bass_ItemNr(3094)_SetNr(1039)_WiT_Level(-15)_Complexity(6)_Time(316)_SongNr(14).wav</t>
  </si>
  <si>
    <t>Bass_ItemNr(3120)_SetNr(1044)_WiT_Level(-15)_Complexity(6)_Time(314)_SongNr(52).wav</t>
  </si>
  <si>
    <t>Bass_ItemNr(3243)_SetNr(1063)_WiT_Level(-15)_Complexity(6)_Time(314)_SongNr(14).wav</t>
  </si>
  <si>
    <t>Guitar_ItemNr(3361)_SetNr(1003)_WiT_Level(-15)_Complexity(6)_Time(310)_SongNr(52).wav</t>
  </si>
  <si>
    <t>Lead_ItemNr(347)_SetNr(063)_WiT_Level(-15)_Complexity(6)_Time(310)_SongNr(5).wav</t>
  </si>
  <si>
    <t>Guitar_ItemNr(2887)_SetNr(946)_WiT_Level(-15)_Complexity(6)_Time(310)_SongNr(14).wav</t>
  </si>
  <si>
    <t>Guitar_ItemNr(3362)_SetNr(1004)_WiT_Level(-15)_Complexity(6)_Time(308)_SongNr(14).wav</t>
  </si>
  <si>
    <t>Piano_ItemNr(3198)_SetNr(391)_WiT_Level(-15)_Complexity(6)_Time(308)_SongNr(104).wav</t>
  </si>
  <si>
    <t>Bass_ItemNr(1655)_SetNr(723)_WiT_Level(-15)_Complexity(6)_Time(302)_SongNr(14).wav</t>
  </si>
  <si>
    <t>Bass_ItemNr(3334)_SetNr(1077)_WiT_Level(-15)_Complexity(6)_Time(30)_SongNr(84).wav</t>
  </si>
  <si>
    <t>Lead_ItemNr(2667)_SetNr(547)_WiT_Level(-15)_Complexity(6)_Time(30)_SongNr(7).wav</t>
  </si>
  <si>
    <t>Lead_ItemNr(1862)_SetNr(321)_WiT_Level(-15)_Complexity(6)_Time(30)_SongNr(102).wav</t>
  </si>
  <si>
    <t>Bass_ItemNr(1787)_SetNr(776)_WiT_Level(-15)_Complexity(6)_Time(30)_SongNr(1).wav</t>
  </si>
  <si>
    <t>Bass_ItemNr(3857)_SetNr(1223)_WiT_Level(-15)_Complexity(6)_Time(298)_SongNr(14).wav</t>
  </si>
  <si>
    <t>Guitar_ItemNr(3762)_SetNr(1073)_WiT_Level(-15)_Complexity(6)_Time(296)_SongNr(14).wav</t>
  </si>
  <si>
    <t>Guitar_ItemNr(1469)_SetNr(446)_WiT_Level(-15)_Complexity(6)_Time(294)_SongNr(5).wav</t>
  </si>
  <si>
    <t>Bass_ItemNr(3679)_SetNr(1167)_WiT_Level(-15)_Complexity(6)_Time(294)_SongNr(14).wav</t>
  </si>
  <si>
    <t>Guitar_ItemNr(2905)_SetNr(948)_WiT_Level(-15)_Complexity(6)_Time(292)_SongNr(5).wav</t>
  </si>
  <si>
    <t>Bass_ItemNr(3706)_SetNr(1179)_WiT_Level(-15)_Complexity(6)_Time(292)_SongNr(14).wav</t>
  </si>
  <si>
    <t>Guitar_ItemNr(325)_SetNr(102)_WiT_Level(-15)_Complexity(6)_Time(290)_SongNr(14).wav</t>
  </si>
  <si>
    <t>Bass_ItemNr(730)_SetNr(318)_WiT_Level(-15)_Complexity(6)_Time(290)_SongNr(104).wav</t>
  </si>
  <si>
    <t>Lead_ItemNr(3732)_SetNr(1009)_WiT_Level(-15)_Complexity(6)_Time(288)_SongNr(5).wav</t>
  </si>
  <si>
    <t>Guitar_ItemNr(3858)_SetNr(1093)_WiT_Level(-15)_Complexity(6)_Time(288)_SongNr(14).wav</t>
  </si>
  <si>
    <t>Bass_ItemNr(1586)_SetNr(687)_WiT_Level(-15)_Complexity(6)_Time(286)_SongNr(104).wav</t>
  </si>
  <si>
    <t>Lead_ItemNr(1423)_SetNr(239)_WiT_Level(-15)_Complexity(6)_Time(284)_SongNr(14).wav</t>
  </si>
  <si>
    <t>Guitar_ItemNr(3798)_SetNr(1080)_WiT_Level(-15)_Complexity(6)_Time(282)_SongNr(14).wav</t>
  </si>
  <si>
    <t>Guitar_ItemNr(879)_SetNr(266)_WiT_Level(-15)_Complexity(6)_Time(280)_SongNr(87).wav</t>
  </si>
  <si>
    <t>Bass_ItemNr(3690)_SetNr(1172)_WiT_Level(-15)_Complexity(6)_Time(280)_SongNr(14).wav</t>
  </si>
  <si>
    <t>Piano_ItemNr(2463)_SetNr(238)_WiT_Level(-15)_Complexity(6)_Time(280)_SongNr(115).wav</t>
  </si>
  <si>
    <t>Bass_ItemNr(2944)_SetNr(1007)_WiT_Level(-15)_Complexity(6)_Time(278)_SongNr(87).wav</t>
  </si>
  <si>
    <t>Bass_ItemNr(1201)_SetNr(531)_WiT_Level(-15)_Complexity(6)_Time(276)_SongNr(87).wav</t>
  </si>
  <si>
    <t>Bass_ItemNr(3750)_SetNr(1192)_WiT_Level(-15)_Complexity(6)_Time(276)_SongNr(104).wav</t>
  </si>
  <si>
    <t>Lead_ItemNr(1882)_SetNr(322)_WiT_Level(-15)_Complexity(6)_Time(274)_SongNr(87).wav</t>
  </si>
  <si>
    <t>Lead_ItemNr(764)_SetNr(130)_WiT_Level(-15)_Complexity(6)_Time(274)_SongNr(102).wav</t>
  </si>
  <si>
    <t>Guitar_ItemNr(3593)_SetNr(1040)_WiT_Level(-15)_Complexity(6)_Time(272)_SongNr(87).wav</t>
  </si>
  <si>
    <t>Bass_ItemNr(3809)_SetNr(1210)_WiT_Level(-15)_Complexity(6)_Time(272)_SongNr(104).wav</t>
  </si>
  <si>
    <t>Lead_ItemNr(3815)_SetNr(1036)_WiT_Level(-15)_Complexity(6)_Time(270)_SongNr(14).wav</t>
  </si>
  <si>
    <t>Lead_ItemNr(884)_SetNr(155)_WiT_Level(-15)_Complexity(6)_Time(270)_SongNr(104).wav</t>
  </si>
  <si>
    <t>Guitar_ItemNr(1782)_SetNr(536)_WiT_Level(-15)_Complexity(6)_Time(268)_SongNr(87).wav</t>
  </si>
  <si>
    <t>Bass_ItemNr(3318)_SetNr(1073)_WiT_Level(-15)_Complexity(6)_Time(268)_SongNr(14).wav</t>
  </si>
  <si>
    <t>Piano_ItemNr(1195)_SetNr(104)_WiT_Level(-15)_Complexity(6)_Time(268)_SongNr(104).wav</t>
  </si>
  <si>
    <t>Guitar_ItemNr(2785)_SetNr(917)_WiT_Level(-15)_Complexity(6)_Time(266)_SongNr(87).wav</t>
  </si>
  <si>
    <t>Guitar_ItemNr(631)_SetNr(199)_WiT_Level(-15)_Complexity(6)_Time(266)_SongNr(52).wav</t>
  </si>
  <si>
    <t>Piano_ItemNr(3833)_SetNr(488)_WiT_Level(-15)_Complexity(6)_Time(266)_SongNr(104).wav</t>
  </si>
  <si>
    <t>Guitar_ItemNr(1379)_SetNr(420)_WiT_Level(-15)_Complexity(6)_Time(264)_SongNr(87).wav</t>
  </si>
  <si>
    <t>Guitar_ItemNr(3620)_SetNr(1046)_WiT_Level(-15)_Complexity(6)_Time(264)_SongNr(14).wav</t>
  </si>
  <si>
    <t>Piano_ItemNr(3521)_SetNr(446)_WiT_Level(-15)_Complexity(6)_Time(264)_SongNr(104).wav</t>
  </si>
  <si>
    <t>Lead_ItemNr(2914)_SetNr(643)_WiT_Level(-15)_Complexity(6)_Time(26)_SongNr(1).wav</t>
  </si>
  <si>
    <t>Bass_ItemNr(707)_SetNr(310)_WiT_Level(-15)_Complexity(6)_Time(258)_SongNr(87).wav</t>
  </si>
  <si>
    <t>Piano_ItemNr(2878)_SetNr(312)_WiT_Level(-15)_Complexity(6)_Time(258)_SongNr(104).wav</t>
  </si>
  <si>
    <t>Bass_ItemNr(3605)_SetNr(1143)_WiT_Level(-15)_Complexity(6)_Time(256)_SongNr(87).wav</t>
  </si>
  <si>
    <t>Bass_ItemNr(3825)_SetNr(1215)_WiT_Level(-15)_Complexity(6)_Time(256)_SongNr(4).wav</t>
  </si>
  <si>
    <t>Bass_ItemNr(3751)_SetNr(1193)_WiT_Level(-15)_Complexity(6)_Time(256)_SongNr(31).wav</t>
  </si>
  <si>
    <t>Bass_ItemNr(3393)_SetNr(1091)_WiT_Level(-15)_Complexity(6)_Time(256)_SongNr(14).wav</t>
  </si>
  <si>
    <t>Bass_ItemNr(3853)_SetNr(1222)_WiT_Level(-15)_Complexity(6)_Time(254)_SongNr(4).wav</t>
  </si>
  <si>
    <t>Guitar_ItemNr(1447)_SetNr(439)_WiT_Level(-15)_Complexity(6)_Time(254)_SongNr(31).wav</t>
  </si>
  <si>
    <t>Lead_ItemNr(3213)_SetNr(777)_WiT_Level(-15)_Complexity(6)_Time(254)_SongNr(104).wav</t>
  </si>
  <si>
    <t>Bass_ItemNr(3844)_SetNr(1219)_WiT_Level(-15)_Complexity(6)_Time(252)_SongNr(4).wav</t>
  </si>
  <si>
    <t>Guitar_ItemNr(3770)_SetNr(1075)_WiT_Level(-15)_Complexity(6)_Time(252)_SongNr(31).wav</t>
  </si>
  <si>
    <t>Lead_ItemNr(3847)_SetNr(1046)_WiT_Level(-15)_Complexity(6)_Time(252)_SongNr(104).wav</t>
  </si>
  <si>
    <t>Lead_ItemNr(2373)_SetNr(440)_WiT_Level(-15)_Complexity(6)_Time(250)_SongNr(87).wav</t>
  </si>
  <si>
    <t>Guitar_ItemNr(2050)_SetNr(621)_WiT_Level(-15)_Complexity(6)_Time(250)_SongNr(4).wav</t>
  </si>
  <si>
    <t>Bass_ItemNr(2595)_SetNr(969)_WiT_Level(-15)_Complexity(6)_Time(250)_SongNr(34).wav</t>
  </si>
  <si>
    <t>Bass_ItemNr(3627)_SetNr(1151)_WiT_Level(-15)_Complexity(6)_Time(250)_SongNr(31).wav</t>
  </si>
  <si>
    <t>Guitar_ItemNr(3859)_SetNr(1094)_WiT_Level(-15)_Complexity(6)_Time(250)_SongNr(14).wav</t>
  </si>
  <si>
    <t>Lead_ItemNr(3789)_SetNr(1027)_WiT_Level(-15)_Complexity(6)_Time(250)_SongNr(104).wav</t>
  </si>
  <si>
    <t>Guitar_ItemNr(2199)_SetNr(679)_WiT_Level(-15)_Complexity(6)_Time(248)_SongNr(87).wav</t>
  </si>
  <si>
    <t>Lead_ItemNr(3556)_SetNr(944)_WiT_Level(-15)_Complexity(6)_Time(248)_SongNr(34).wav</t>
  </si>
  <si>
    <t>Guitar_ItemNr(2961)_SetNr(955)_WiT_Level(-15)_Complexity(6)_Time(248)_SongNr(31).wav</t>
  </si>
  <si>
    <t>Bass_ItemNr(3682)_SetNr(1168)_WiT_Level(-15)_Complexity(6)_Time(248)_SongNr(104).wav</t>
  </si>
  <si>
    <t>Piano_ItemNr(3142)_SetNr(378)_WiT_Level(-15)_Complexity(6)_Time(246)_SongNr(97).wav</t>
  </si>
  <si>
    <t>Lead_ItemNr(2845)_SetNr(617)_WiT_Level(-15)_Complexity(6)_Time(246)_SongNr(87).wav</t>
  </si>
  <si>
    <t>Guitar_ItemNr(3646)_SetNr(1050)_WiT_Level(-15)_Complexity(6)_Time(246)_SongNr(34).wav</t>
  </si>
  <si>
    <t>Guitar_ItemNr(3066)_SetNr(969)_WiT_Level(-15)_Complexity(6)_Time(246)_SongNr(31).wav</t>
  </si>
  <si>
    <t>Piano_ItemNr(1853)_SetNr(170)_WiT_Level(-15)_Complexity(6)_Time(246)_SongNr(104).wav</t>
  </si>
  <si>
    <t>Bass_ItemNr(3615)_SetNr(1147)_WiT_Level(-15)_Complexity(6)_Time(244)_SongNr(34).wav</t>
  </si>
  <si>
    <t>Bass_ItemNr(120)_SetNr(055)_WiT_Level(-15)_Complexity(6)_Time(244)_SongNr(31).wav</t>
  </si>
  <si>
    <t>Piano_ItemNr(1389)_SetNr(128)_WiT_Level(-15)_Complexity(6)_Time(244)_SongNr(104).wav</t>
  </si>
  <si>
    <t>Guitar_ItemNr(3492)_SetNr(1020)_WiT_Level(-15)_Complexity(6)_Time(242)_SongNr(34).wav</t>
  </si>
  <si>
    <t>Guitar_ItemNr(3050)_SetNr(965)_WiT_Level(-15)_Complexity(6)_Time(242)_SongNr(31).wav</t>
  </si>
  <si>
    <t>Bass_ItemNr(1311)_SetNr(569)_WiT_Level(-15)_Complexity(6)_Time(242)_SongNr(104).wav</t>
  </si>
  <si>
    <t>Guitar_ItemNr(789)_SetNr(242)_WiT_Level(-15)_Complexity(6)_Time(242)_SongNr(101).wav</t>
  </si>
  <si>
    <t>Guitar_ItemNr(3082)_SetNr(970)_WiT_Level(-15)_Complexity(6)_Time(240)_SongNr(87).wav</t>
  </si>
  <si>
    <t>Lead_ItemNr(2866)_SetNr(622)_WiT_Level(-15)_Complexity(6)_Time(240)_SongNr(34).wav</t>
  </si>
  <si>
    <t>Guitar_ItemNr(3089)_SetNr(971)_WiT_Level(-15)_Complexity(6)_Time(240)_SongNr(31).wav</t>
  </si>
  <si>
    <t>Piano_ItemNr(2484)_SetNr(241)_WiT_Level(-15)_Complexity(6)_Time(240)_SongNr(104).wav</t>
  </si>
  <si>
    <t>Bass_ItemNr(2900)_SetNr(1000)_WiT_Level(-15)_Complexity(6)_Time(240)_SongNr(101).wav</t>
  </si>
  <si>
    <t>Bass_ItemNr(3696)_SetNr(1177)_WiT_Level(-15)_Complexity(6)_Time(24)_SongNr(1).wav</t>
  </si>
  <si>
    <t>Lead_ItemNr(3262)_SetNr(807)_WiT_Level(-15)_Complexity(6)_Time(238)_SongNr(87).wav</t>
  </si>
  <si>
    <t>Bass_ItemNr(3632)_SetNr(1154)_WiT_Level(-15)_Complexity(6)_Time(238)_SongNr(34).wav</t>
  </si>
  <si>
    <t>Bass_ItemNr(3452)_SetNr(1105)_WiT_Level(-15)_Complexity(6)_Time(238)_SongNr(31).wav</t>
  </si>
  <si>
    <t>Guitar_ItemNr(542)_SetNr(176)_WiT_Level(-15)_Complexity(6)_Time(238)_SongNr(14).wav</t>
  </si>
  <si>
    <t>Bass_ItemNr(3726)_SetNr(1184)_WiT_Level(-15)_Complexity(6)_Time(238)_SongNr(104).wav</t>
  </si>
  <si>
    <t>Guitar_ItemNr(2842)_SetNr(933)_WiT_Level(-15)_Complexity(6)_Time(238)_SongNr(101).wav</t>
  </si>
  <si>
    <t>Lead_ItemNr(2162)_SetNr(393)_WiT_Level(-15)_Complexity(6)_Time(236)_SongNr(34).wav</t>
  </si>
  <si>
    <t>Bass_ItemNr(3327)_SetNr(1076)_WiT_Level(-15)_Complexity(6)_Time(236)_SongNr(31).wav</t>
  </si>
  <si>
    <t>Bass_ItemNr(3520)_SetNr(1122)_WiT_Level(-15)_Complexity(6)_Time(234)_SongNr(37).wav</t>
  </si>
  <si>
    <t>Bass_ItemNr(3415)_SetNr(1099)_WiT_Level(-15)_Complexity(6)_Time(234)_SongNr(34).wav</t>
  </si>
  <si>
    <t>Bass_ItemNr(3737)_SetNr(1188)_WiT_Level(-15)_Complexity(6)_Time(234)_SongNr(31).wav</t>
  </si>
  <si>
    <t>Bass_ItemNr(2890)_SetNr(997)_WiT_Level(-15)_Complexity(6)_Time(234)_SongNr(101).wav</t>
  </si>
  <si>
    <t>Guitar_ItemNr(3250)_SetNr(988)_WiT_Level(-15)_Complexity(6)_Time(232)_SongNr(34).wav</t>
  </si>
  <si>
    <t>Lead_ItemNr(2528)_SetNr(496)_WiT_Level(-15)_Complexity(6)_Time(232)_SongNr(14).wav</t>
  </si>
  <si>
    <t>Lead_ItemNr(3245)_SetNr(798)_WiT_Level(-15)_Complexity(6)_Time(232)_SongNr(101).wav</t>
  </si>
  <si>
    <t>Lead_ItemNr(2986)_SetNr(679)_WiT_Level(-15)_Complexity(6)_Time(230)_SongNr(97).wav</t>
  </si>
  <si>
    <t>Guitar_ItemNr(882)_SetNr(267)_WiT_Level(-15)_Complexity(6)_Time(230)_SongNr(37).wav</t>
  </si>
  <si>
    <t>Lead_ItemNr(3221)_SetNr(783)_WiT_Level(-15)_Complexity(6)_Time(230)_SongNr(34).wav</t>
  </si>
  <si>
    <t>Bass_ItemNr(3513)_SetNr(1120)_WiT_Level(-15)_Complexity(6)_Time(230)_SongNr(31).wav</t>
  </si>
  <si>
    <t>Lead_ItemNr(3567)_SetNr(948)_WiT_Level(-15)_Complexity(6)_Time(230)_SongNr(14).wav</t>
  </si>
  <si>
    <t>Bass_ItemNr(3588)_SetNr(1137)_WiT_Level(-15)_Complexity(6)_Time(230)_SongNr(104).wav</t>
  </si>
  <si>
    <t>Guitar_ItemNr(1670)_SetNr(504)_WiT_Level(-15)_Complexity(6)_Time(230)_SongNr(101).wav</t>
  </si>
  <si>
    <t>Piano_ItemNr(3314)_SetNr(409)_WiT_Level(-15)_Complexity(6)_Time(228)_SongNr(97).wav</t>
  </si>
  <si>
    <t>Lead_ItemNr(1747)_SetNr(303)_WiT_Level(-15)_Complexity(6)_Time(228)_SongNr(34).wav</t>
  </si>
  <si>
    <t>Bass_ItemNr(3375)_SetNr(1088)_WiT_Level(-15)_Complexity(6)_Time(228)_SongNr(31).wav</t>
  </si>
  <si>
    <t>Guitar_ItemNr(3849)_SetNr(1091)_WiT_Level(-15)_Complexity(6)_Time(228)_SongNr(14).wav</t>
  </si>
  <si>
    <t>Guitar_ItemNr(1466)_SetNr(444)_WiT_Level(-15)_Complexity(6)_Time(228)_SongNr(101).wav</t>
  </si>
  <si>
    <t>Lead_ItemNr(3550)_SetNr(942)_WiT_Level(-15)_Complexity(6)_Time(226)_SongNr(8).wav</t>
  </si>
  <si>
    <t>Guitar_ItemNr(3537)_SetNr(1028)_WiT_Level(-15)_Complexity(6)_Time(226)_SongNr(34).wav</t>
  </si>
  <si>
    <t>Bass_ItemNr(659)_SetNr(286)_WiT_Level(-15)_Complexity(6)_Time(226)_SongNr(31).wav</t>
  </si>
  <si>
    <t>Guitar_ItemNr(3852)_SetNr(1092)_WiT_Level(-15)_Complexity(6)_Time(226)_SongNr(14).wav</t>
  </si>
  <si>
    <t>Lead_ItemNr(3779)_SetNr(1021)_WiT_Level(-15)_Complexity(6)_Time(226)_SongNr(104).wav</t>
  </si>
  <si>
    <t>Guitar_ItemNr(3131)_SetNr(976)_WiT_Level(-15)_Complexity(6)_Time(226)_SongNr(101).wav</t>
  </si>
  <si>
    <t>Bass_ItemNr(3346)_SetNr(1081)_WiT_Level(-15)_Complexity(6)_Time(224)_SongNr(8).wav</t>
  </si>
  <si>
    <t>Guitar_ItemNr(1432)_SetNr(433)_WiT_Level(-15)_Complexity(6)_Time(224)_SongNr(31).wav</t>
  </si>
  <si>
    <t>Bass_ItemNr(3469)_SetNr(1108)_WiT_Level(-15)_Complexity(6)_Time(224)_SongNr(14).wav</t>
  </si>
  <si>
    <t>Guitar_ItemNr(3064)_SetNr(968)_WiT_Level(-15)_Complexity(6)_Time(224)_SongNr(101).wav</t>
  </si>
  <si>
    <t>Bass_ItemNr(3802)_SetNr(1206)_WiT_Level(-15)_Complexity(6)_Time(222)_SongNr(31).wav</t>
  </si>
  <si>
    <t>Lead_ItemNr(2129)_SetNr(382)_WiT_Level(-15)_Complexity(6)_Time(222)_SongNr(14).wav</t>
  </si>
  <si>
    <t>Lead_ItemNr(3854)_SetNr(1049)_WiT_Level(-15)_Complexity(6)_Time(222)_SongNr(104).wav</t>
  </si>
  <si>
    <t>Lead_ItemNr(2743)_SetNr(579)_WiT_Level(-15)_Complexity(6)_Time(222)_SongNr(101).wav</t>
  </si>
  <si>
    <t>Piano_ItemNr(3624)_SetNr(461)_WiT_Level(-15)_Complexity(6)_Time(220)_SongNr(97).wav</t>
  </si>
  <si>
    <t>Bass_ItemNr(2918)_SetNr(1003)_WiT_Level(-15)_Complexity(6)_Time(220)_SongNr(31).wav</t>
  </si>
  <si>
    <t>Lead_ItemNr(3140)_SetNr(740)_WiT_Level(-15)_Complexity(6)_Time(220)_SongNr(14).wav</t>
  </si>
  <si>
    <t>Lead_ItemNr(3320)_SetNr(837)_WiT_Level(-15)_Complexity(6)_Time(220)_SongNr(13).wav</t>
  </si>
  <si>
    <t>Piano_ItemNr(2385)_SetNr(230)_WiT_Level(-15)_Complexity(6)_Time(220)_SongNr(102).wav</t>
  </si>
  <si>
    <t>Piano_ItemNr(1760)_SetNr(161)_WiT_Level(-15)_Complexity(6)_Time(218)_SongNr(97).wav</t>
  </si>
  <si>
    <t>Bass_ItemNr(3823)_SetNr(1214)_WiT_Level(-15)_Complexity(6)_Time(218)_SongNr(31).wav</t>
  </si>
  <si>
    <t>Guitar_ItemNr(3743)_SetNr(1067)_WiT_Level(-15)_Complexity(6)_Time(218)_SongNr(14).wav</t>
  </si>
  <si>
    <t>Lead_ItemNr(3385)_SetNr(868)_WiT_Level(-15)_Complexity(6)_Time(218)_SongNr(104).wav</t>
  </si>
  <si>
    <t>Piano_ItemNr(484)_SetNr(041)_WiT_Level(-15)_Complexity(6)_Time(218)_SongNr(102).wav</t>
  </si>
  <si>
    <t>Piano_ItemNr(1907)_SetNr(178)_WiT_Level(-15)_Complexity(6)_Time(216)_SongNr(97).wav</t>
  </si>
  <si>
    <t>Guitar_ItemNr(3407)_SetNr(1008)_WiT_Level(-15)_Complexity(6)_Time(216)_SongNr(31).wav</t>
  </si>
  <si>
    <t>Bass_ItemNr(2728)_SetNr(974)_WiT_Level(-15)_Complexity(6)_Time(216)_SongNr(14).wav</t>
  </si>
  <si>
    <t>Lead_ItemNr(3845)_SetNr(1045)_WiT_Level(-15)_Complexity(6)_Time(216)_SongNr(104).wav</t>
  </si>
  <si>
    <t>Lead_ItemNr(3592)_SetNr(957)_WiT_Level(-15)_Complexity(6)_Time(216)_SongNr(102).wav</t>
  </si>
  <si>
    <t>Bass_ItemNr(2984)_SetNr(1014)_WiT_Level(-15)_Complexity(6)_Time(214)_SongNr(87).wav</t>
  </si>
  <si>
    <t>Guitar_ItemNr(3489)_SetNr(1019)_WiT_Level(-15)_Complexity(6)_Time(214)_SongNr(14).wav</t>
  </si>
  <si>
    <t>Lead_ItemNr(150)_SetNr(027)_WiT_Level(-15)_Complexity(6)_Time(212)_SongNr(97).wav</t>
  </si>
  <si>
    <t>Lead_ItemNr(2705)_SetNr(562)_WiT_Level(-15)_Complexity(6)_Time(212)_SongNr(87).wav</t>
  </si>
  <si>
    <t>Guitar_ItemNr(2814)_SetNr(925)_WiT_Level(-15)_Complexity(6)_Time(212)_SongNr(31).wav</t>
  </si>
  <si>
    <t>Bass_ItemNr(2972)_SetNr(1012)_WiT_Level(-15)_Complexity(6)_Time(212)_SongNr(26).wav</t>
  </si>
  <si>
    <t>Guitar_ItemNr(2994)_SetNr(959)_WiT_Level(-15)_Complexity(6)_Time(212)_SongNr(14).wav</t>
  </si>
  <si>
    <t>Bass_ItemNr(611)_SetNr(262)_WiT_Level(-15)_Complexity(6)_Time(210)_SongNr(87).wav</t>
  </si>
  <si>
    <t>Bass_ItemNr(3683)_SetNr(1169)_WiT_Level(-15)_Complexity(6)_Time(210)_SongNr(84).wav</t>
  </si>
  <si>
    <t>Bass_ItemNr(3494)_SetNr(1114)_WiT_Level(-15)_Complexity(6)_Time(210)_SongNr(31).wav</t>
  </si>
  <si>
    <t>Guitar_ItemNr(3830)_SetNr(1086)_WiT_Level(-15)_Complexity(6)_Time(210)_SongNr(14).wav</t>
  </si>
  <si>
    <t>Guitar_ItemNr(1152)_SetNr(344)_WiT_Level(-15)_Complexity(6)_Time(210)_SongNr(13).wav</t>
  </si>
  <si>
    <t>Bass_ItemNr(3225)_SetNr(1059)_WiT_Level(-15)_Complexity(6)_Time(210)_SongNr(102).wav</t>
  </si>
  <si>
    <t>Lead_ItemNr(2031)_SetNr(356)_WiT_Level(-15)_Complexity(6)_Time(210)_SongNr(101).wav</t>
  </si>
  <si>
    <t>Lead_ItemNr(3457)_SetNr(904)_WiT_Level(-15)_Complexity(6)_Time(208)_SongNr(84).wav</t>
  </si>
  <si>
    <t>Lead_ItemNr(3172)_SetNr(758)_WiT_Level(-15)_Complexity(6)_Time(208)_SongNr(8).wav</t>
  </si>
  <si>
    <t>Bass_ItemNr(3710)_SetNr(1180)_WiT_Level(-15)_Complexity(6)_Time(208)_SongNr(102).wav</t>
  </si>
  <si>
    <t>Guitar_ItemNr(1128)_SetNr(337)_WiT_Level(-15)_Complexity(6)_Time(206)_SongNr(87).wav</t>
  </si>
  <si>
    <t>Bass_ItemNr(1398)_SetNr(612)_WiT_Level(-15)_Complexity(6)_Time(206)_SongNr(84).wav</t>
  </si>
  <si>
    <t>Bass_ItemNr(3597)_SetNr(1140)_WiT_Level(-15)_Complexity(6)_Time(206)_SongNr(8).wav</t>
  </si>
  <si>
    <t>Bass_ItemNr(3773)_SetNr(1201)_WiT_Level(-15)_Complexity(6)_Time(206)_SongNr(31).wav</t>
  </si>
  <si>
    <t>Piano_ItemNr(2285)_SetNr(220)_WiT_Level(-15)_Complexity(6)_Time(206)_SongNr(13).wav</t>
  </si>
  <si>
    <t>Lead_ItemNr(2622)_SetNr(529)_WiT_Level(-15)_Complexity(6)_Time(204)_SongNr(87).wav</t>
  </si>
  <si>
    <t>Lead_ItemNr(430)_SetNr(077)_WiT_Level(-15)_Complexity(6)_Time(204)_SongNr(84).wav</t>
  </si>
  <si>
    <t>Piano_ItemNr(3491)_SetNr(441)_WiT_Level(-15)_Complexity(6)_Time(204)_SongNr(39).wav</t>
  </si>
  <si>
    <t>Guitar_ItemNr(3435)_SetNr(1013)_WiT_Level(-15)_Complexity(6)_Time(204)_SongNr(31).wav</t>
  </si>
  <si>
    <t>Lead_ItemNr(3786)_SetNr(1026)_WiT_Level(-15)_Complexity(6)_Time(204)_SongNr(14).wav</t>
  </si>
  <si>
    <t>Lead_ItemNr(3255)_SetNr(803)_WiT_Level(-15)_Complexity(6)_Time(202)_SongNr(87).wav</t>
  </si>
  <si>
    <t>Lead_ItemNr(3595)_SetNr(958)_WiT_Level(-15)_Complexity(6)_Time(202)_SongNr(84).wav</t>
  </si>
  <si>
    <t>Lead_ItemNr(3461)_SetNr(906)_WiT_Level(-15)_Complexity(6)_Time(202)_SongNr(8).wav</t>
  </si>
  <si>
    <t>Guitar_ItemNr(3817)_SetNr(1084)_WiT_Level(-15)_Complexity(6)_Time(202)_SongNr(31).wav</t>
  </si>
  <si>
    <t>Piano_ItemNr(1775)_SetNr(163)_WiT_Level(-15)_Complexity(6)_Time(202)_SongNr(104).wav</t>
  </si>
  <si>
    <t>Bass_ItemNr(3132)_SetNr(1046)_WiT_Level(-15)_Complexity(6)_Time(200)_SongNr(84).wav</t>
  </si>
  <si>
    <t>Bass_ItemNr(3725)_SetNr(1183)_WiT_Level(-15)_Complexity(6)_Time(200)_SongNr(40).wav</t>
  </si>
  <si>
    <t>Bass_ItemNr(1239)_SetNr(542)_WiT_Level(-15)_Complexity(6)_Time(200)_SongNr(31).wav</t>
  </si>
  <si>
    <t>Bass_ItemNr(1486)_SetNr(652)_WiT_Level(-15)_Complexity(6)_Time(200)_SongNr(111).wav</t>
  </si>
  <si>
    <t>Bass_ItemNr(2550)_SetNr(966)_WiT_Level(-15)_Complexity(6)_Time(200)_SongNr(104).wav</t>
  </si>
  <si>
    <t>Guitar_ItemNr(3187)_SetNr(983)_WiT_Level(-15)_Complexity(6)_Time(200)_SongNr(101).wav</t>
  </si>
  <si>
    <t>Bass_ItemNr(750)_SetNr(334)_WiT_Level(-15)_Complexity(6)_Time(20)_SongNr(1).wav</t>
  </si>
  <si>
    <t>Piano_ItemNr(2758)_SetNr(286)_WiT_Level(-15)_Complexity(6)_Time(198)_SongNr(97).wav</t>
  </si>
  <si>
    <t>Bass_ItemNr(1457)_SetNr(637)_WiT_Level(-15)_Complexity(6)_Time(198)_SongNr(84).wav</t>
  </si>
  <si>
    <t>Guitar_ItemNr(3637)_SetNr(1048)_WiT_Level(-15)_Complexity(6)_Time(198)_SongNr(39).wav</t>
  </si>
  <si>
    <t>Lead_ItemNr(3585)_SetNr(955)_WiT_Level(-15)_Complexity(6)_Time(198)_SongNr(14).wav</t>
  </si>
  <si>
    <t>Lead_ItemNr(3192)_SetNr(766)_WiT_Level(-15)_Complexity(6)_Time(198)_SongNr(111).wav</t>
  </si>
  <si>
    <t>Guitar_ItemNr(2076)_SetNr(632)_WiT_Level(-15)_Complexity(6)_Time(198)_SongNr(104).wav</t>
  </si>
  <si>
    <t>Lead_ItemNr(2447)_SetNr(467)_WiT_Level(-15)_Complexity(6)_Time(196)_SongNr(84).wav</t>
  </si>
  <si>
    <t>Lead_ItemNr(227)_SetNr(045)_WiT_Level(-15)_Complexity(6)_Time(196)_SongNr(39).wav</t>
  </si>
  <si>
    <t>Lead_ItemNr(3356)_SetNr(854)_WiT_Level(-15)_Complexity(6)_Time(196)_SongNr(38).wav</t>
  </si>
  <si>
    <t>Guitar_ItemNr(1156)_SetNr(346)_WiT_Level(-15)_Complexity(6)_Time(196)_SongNr(14).wav</t>
  </si>
  <si>
    <t>Bass_ItemNr(1598)_SetNr(692)_WiT_Level(-15)_Complexity(6)_Time(196)_SongNr(111).wav</t>
  </si>
  <si>
    <t>Lead_ItemNr(3835)_SetNr(1042)_WiT_Level(-15)_Complexity(6)_Time(196)_SongNr(104).wav</t>
  </si>
  <si>
    <t>Bass_ItemNr(949)_SetNr(417)_WiT_Level(-15)_Complexity(6)_Time(196)_SongNr(101).wav</t>
  </si>
  <si>
    <t>Lead_ItemNr(1740)_SetNr(301)_WiT_Level(-15)_Complexity(6)_Time(194)_SongNr(84).wav</t>
  </si>
  <si>
    <t>Guitar_ItemNr(3724)_SetNr(1064)_WiT_Level(-15)_Complexity(6)_Time(194)_SongNr(38).wav</t>
  </si>
  <si>
    <t>Piano_ItemNr(2498)_SetNr(245)_WiT_Level(-15)_Complexity(6)_Time(194)_SongNr(111).wav</t>
  </si>
  <si>
    <t>Lead_ItemNr(3811)_SetNr(1034)_WiT_Level(-15)_Complexity(6)_Time(194)_SongNr(104).wav</t>
  </si>
  <si>
    <t>Lead_ItemNr(3440)_SetNr(892)_WiT_Level(-15)_Complexity(6)_Time(194)_SongNr(101).wav</t>
  </si>
  <si>
    <t>Bass_ItemNr(2303)_SetNr(943)_WiT_Level(-15)_Complexity(6)_Time(192)_SongNr(84).wav</t>
  </si>
  <si>
    <t>Bass_ItemNr(1904)_SetNr(825)_WiT_Level(-15)_Complexity(6)_Time(192)_SongNr(7).wav</t>
  </si>
  <si>
    <t>Lead_ItemNr(3623)_SetNr(967)_WiT_Level(-15)_Complexity(6)_Time(192)_SongNr(39).wav</t>
  </si>
  <si>
    <t>Lead_ItemNr(1508)_SetNr(251)_WiT_Level(-15)_Complexity(6)_Time(192)_SongNr(38).wav</t>
  </si>
  <si>
    <t>Lead_ItemNr(3723)_SetNr(1006)_WiT_Level(-15)_Complexity(6)_Time(192)_SongNr(14).wav</t>
  </si>
  <si>
    <t>Lead_ItemNr(3484)_SetNr(914)_WiT_Level(-15)_Complexity(6)_Time(192)_SongNr(13).wav</t>
  </si>
  <si>
    <t>Bass_ItemNr(2991)_SetNr(1015)_WiT_Level(-15)_Complexity(6)_Time(192)_SongNr(111).wav</t>
  </si>
  <si>
    <t>Guitar_ItemNr(2263)_SetNr(704)_WiT_Level(-15)_Complexity(6)_Time(192)_SongNr(104).wav</t>
  </si>
  <si>
    <t>Bass_ItemNr(3012)_SetNr(1021)_WiT_Level(-15)_Complexity(6)_Time(192)_SongNr(103).wav</t>
  </si>
  <si>
    <t>Lead_ItemNr(642)_SetNr(112)_WiT_Level(-15)_Complexity(6)_Time(192)_SongNr(101).wav</t>
  </si>
  <si>
    <t>Lead_ItemNr(3223)_SetNr(784)_WiT_Level(-15)_Complexity(6)_Time(190)_SongNr(84).wav</t>
  </si>
  <si>
    <t>Lead_ItemNr(3861)_SetNr(1053)_WiT_Level(-15)_Complexity(6)_Time(190)_SongNr(4).wav</t>
  </si>
  <si>
    <t>Bass_ItemNr(3160)_SetNr(1049)_WiT_Level(-15)_Complexity(6)_Time(190)_SongNr(39).wav</t>
  </si>
  <si>
    <t>Lead_ItemNr(3778)_SetNr(1020)_WiT_Level(-15)_Complexity(6)_Time(190)_SongNr(27).wav</t>
  </si>
  <si>
    <t>Guitar_ItemNr(3839)_SetNr(1088)_WiT_Level(-15)_Complexity(6)_Time(190)_SongNr(14).wav</t>
  </si>
  <si>
    <t>Piano_ItemNr(1684)_SetNr(152)_WiT_Level(-15)_Complexity(6)_Time(190)_SongNr(111).wav</t>
  </si>
  <si>
    <t>Piano_ItemNr(3411)_SetNr(426)_WiT_Level(-15)_Complexity(6)_Time(190)_SongNr(104).wav</t>
  </si>
  <si>
    <t>Bass_ItemNr(3030)_SetNr(1027)_WiT_Level(-15)_Complexity(6)_Time(188)_SongNr(84).wav</t>
  </si>
  <si>
    <t>Guitar_ItemNr(3102)_SetNr(973)_WiT_Level(-15)_Complexity(6)_Time(188)_SongNr(4).wav</t>
  </si>
  <si>
    <t>Lead_ItemNr(1834)_SetNr(316)_WiT_Level(-15)_Complexity(6)_Time(188)_SongNr(39).wav</t>
  </si>
  <si>
    <t>Guitar_ItemNr(3326)_SetNr(1001)_WiT_Level(-15)_Complexity(6)_Time(188)_SongNr(37).wav</t>
  </si>
  <si>
    <t>Bass_ItemNr(3382)_SetNr(1089)_WiT_Level(-15)_Complexity(6)_Time(188)_SongNr(14).wav</t>
  </si>
  <si>
    <t>Lead_ItemNr(3173)_SetNr(759)_WiT_Level(-15)_Complexity(6)_Time(186)_SongNr(84).wav</t>
  </si>
  <si>
    <t>Bass_ItemNr(3555)_SetNr(1132)_WiT_Level(-15)_Complexity(6)_Time(186)_SongNr(4).wav</t>
  </si>
  <si>
    <t>Bass_ItemNr(3656)_SetNr(1160)_WiT_Level(-15)_Complexity(6)_Time(186)_SongNr(38).wav</t>
  </si>
  <si>
    <t>Bass_ItemNr(129)_SetNr(058)_WiT_Level(-15)_Complexity(6)_Time(186)_SongNr(37).wav</t>
  </si>
  <si>
    <t>Guitar_ItemNr(3476)_SetNr(1018)_WiT_Level(-15)_Complexity(6)_Time(186)_SongNr(33).wav</t>
  </si>
  <si>
    <t>Lead_ItemNr(2318)_SetNr(422)_WiT_Level(-15)_Complexity(6)_Time(186)_SongNr(14).wav</t>
  </si>
  <si>
    <t>Lead_ItemNr(2549)_SetNr(507)_WiT_Level(-15)_Complexity(6)_Time(186)_SongNr(111).wav</t>
  </si>
  <si>
    <t>Lead_ItemNr(3116)_SetNr(732)_WiT_Level(-15)_Complexity(6)_Time(186)_SongNr(104).wav</t>
  </si>
  <si>
    <t>Guitar_ItemNr(1808)_SetNr(547)_WiT_Level(-15)_Complexity(6)_Time(186)_SongNr(101).wav</t>
  </si>
  <si>
    <t>Bass_ItemNr(27)_SetNr(010)_WiT_Level(-15)_Complexity(6)_Time(184)_SongNr(84).wav</t>
  </si>
  <si>
    <t>Guitar_ItemNr(3512)_SetNr(1024)_WiT_Level(-15)_Complexity(6)_Time(184)_SongNr(4).wav</t>
  </si>
  <si>
    <t>Bass_ItemNr(3024)_SetNr(1024)_WiT_Level(-15)_Complexity(6)_Time(184)_SongNr(39).wav</t>
  </si>
  <si>
    <t>Lead_ItemNr(3716)_SetNr(1003)_WiT_Level(-15)_Complexity(6)_Time(184)_SongNr(38).wav</t>
  </si>
  <si>
    <t>Guitar_ItemNr(313)_SetNr(096)_WiT_Level(-15)_Complexity(6)_Time(184)_SongNr(37).wav</t>
  </si>
  <si>
    <t>Guitar_ItemNr(3428)_SetNr(1010)_WiT_Level(-15)_Complexity(6)_Time(184)_SongNr(33).wav</t>
  </si>
  <si>
    <t>Lead_ItemNr(3629)_SetNr(970)_WiT_Level(-15)_Complexity(6)_Time(184)_SongNr(14).wav</t>
  </si>
  <si>
    <t>Bass_ItemNr(2096)_SetNr(886)_WiT_Level(-15)_Complexity(6)_Time(184)_SongNr(111).wav</t>
  </si>
  <si>
    <t>Piano_ItemNr(3561)_SetNr(452)_WiT_Level(-15)_Complexity(6)_Time(184)_SongNr(104).wav</t>
  </si>
  <si>
    <t>Lead_ItemNr(3328)_SetNr(839)_WiT_Level(-15)_Complexity(6)_Time(184)_SongNr(101).wav</t>
  </si>
  <si>
    <t>Piano_ItemNr(2917)_SetNr(321)_WiT_Level(-15)_Complexity(6)_Time(182)_SongNr(97).wav</t>
  </si>
  <si>
    <t>Lead_ItemNr(1977)_SetNr(337)_WiT_Level(-15)_Complexity(6)_Time(182)_SongNr(84).wav</t>
  </si>
  <si>
    <t>Bass_ItemNr(793)_SetNr(355)_WiT_Level(-15)_Complexity(6)_Time(182)_SongNr(4).wav</t>
  </si>
  <si>
    <t>Bass_ItemNr(3559)_SetNr(1133)_WiT_Level(-15)_Complexity(6)_Time(182)_SongNr(38).wav</t>
  </si>
  <si>
    <t>Lead_ItemNr(3261)_SetNr(806)_WiT_Level(-15)_Complexity(6)_Time(182)_SongNr(37).wav</t>
  </si>
  <si>
    <t>Guitar_ItemNr(3587)_SetNr(1037)_WiT_Level(-15)_Complexity(6)_Time(182)_SongNr(33).wav</t>
  </si>
  <si>
    <t>Guitar_ItemNr(3560)_SetNr(1031)_WiT_Level(-15)_Complexity(6)_Time(182)_SongNr(13).wav</t>
  </si>
  <si>
    <t>Bass_ItemNr(3204)_SetNr(1057)_WiT_Level(-15)_Complexity(6)_Time(182)_SongNr(111).wav</t>
  </si>
  <si>
    <t>Lead_ItemNr(2695)_SetNr(558)_WiT_Level(-15)_Complexity(6)_Time(182)_SongNr(104).wav</t>
  </si>
  <si>
    <t>Lead_ItemNr(2231)_SetNr(407)_WiT_Level(-15)_Complexity(6)_Time(182)_SongNr(101).wav</t>
  </si>
  <si>
    <t>Piano_ItemNr(3748)_SetNr(475)_WiT_Level(-15)_Complexity(6)_Time(180)_SongNr(97).wav</t>
  </si>
  <si>
    <t>Lead_ItemNr(3086)_SetNr(721)_WiT_Level(-15)_Complexity(6)_Time(180)_SongNr(84).wav</t>
  </si>
  <si>
    <t>Guitar_ItemNr(3219)_SetNr(985)_WiT_Level(-15)_Complexity(6)_Time(180)_SongNr(4).wav</t>
  </si>
  <si>
    <t>Bass_ItemNr(2935)_SetNr(1005)_WiT_Level(-15)_Complexity(6)_Time(180)_SongNr(39).wav</t>
  </si>
  <si>
    <t>Bass_ItemNr(2486)_SetNr(961)_WiT_Level(-15)_Complexity(6)_Time(180)_SongNr(37).wav</t>
  </si>
  <si>
    <t>Lead_ItemNr(2178)_SetNr(397)_WiT_Level(-15)_Complexity(6)_Time(180)_SongNr(33).wav</t>
  </si>
  <si>
    <t>Piano_ItemNr(2412)_SetNr(232)_WiT_Level(-15)_Complexity(6)_Time(180)_SongNr(111).wav</t>
  </si>
  <si>
    <t>Bass_ItemNr(3742)_SetNr(1189)_WiT_Level(-15)_Complexity(6)_Time(180)_SongNr(104).wav</t>
  </si>
  <si>
    <t>Lead_ItemNr(3272)_SetNr(814)_WiT_Level(-15)_Complexity(6)_Time(180)_SongNr(101).wav</t>
  </si>
  <si>
    <t>Lead_ItemNr(3721)_SetNr(1004)_WiT_Level(-15)_Complexity(6)_Time(18)_SongNr(1).wav</t>
  </si>
  <si>
    <t>Lead_ItemNr(3485)_SetNr(915)_WiT_Level(-15)_Complexity(6)_Time(178)_SongNr(97).wav</t>
  </si>
  <si>
    <t>Bass_ItemNr(3761)_SetNr(1197)_WiT_Level(-15)_Complexity(6)_Time(178)_SongNr(4).wav</t>
  </si>
  <si>
    <t>Bass_ItemNr(50)_SetNr(025)_WiT_Level(-15)_Complexity(6)_Time(178)_SongNr(39).wav</t>
  </si>
  <si>
    <t>Guitar_ItemNr(752)_SetNr(232)_WiT_Level(-15)_Complexity(6)_Time(178)_SongNr(37).wav</t>
  </si>
  <si>
    <t>Lead_ItemNr(1471)_SetNr(246)_WiT_Level(-15)_Complexity(6)_Time(178)_SongNr(26).wav</t>
  </si>
  <si>
    <t>Bass_ItemNr(3766)_SetNr(1199)_WiT_Level(-15)_Complexity(6)_Time(178)_SongNr(14).wav</t>
  </si>
  <si>
    <t>Guitar_ItemNr(3039)_SetNr(964)_WiT_Level(-15)_Complexity(6)_Time(178)_SongNr(111).wav</t>
  </si>
  <si>
    <t>Guitar_ItemNr(3759)_SetNr(1071)_WiT_Level(-15)_Complexity(6)_Time(178)_SongNr(104).wav</t>
  </si>
  <si>
    <t>Lead_ItemNr(3363)_SetNr(856)_WiT_Level(-15)_Complexity(6)_Time(176)_SongNr(97).wav</t>
  </si>
  <si>
    <t>Bass_ItemNr(3670)_SetNr(1164)_WiT_Level(-15)_Complexity(6)_Time(176)_SongNr(4).wav</t>
  </si>
  <si>
    <t>Lead_ItemNr(2693)_SetNr(556)_WiT_Level(-15)_Complexity(6)_Time(176)_SongNr(39).wav</t>
  </si>
  <si>
    <t>Bass_ItemNr(3103)_SetNr(1041)_WiT_Level(-15)_Complexity(6)_Time(176)_SongNr(37).wav</t>
  </si>
  <si>
    <t>Bass_ItemNr(3153)_SetNr(1048)_WiT_Level(-15)_Complexity(6)_Time(176)_SongNr(27).wav</t>
  </si>
  <si>
    <t>Lead_ItemNr(1612)_SetNr(279)_WiT_Level(-15)_Complexity(6)_Time(176)_SongNr(26).wav</t>
  </si>
  <si>
    <t>Piano_ItemNr(2948)_SetNr(331)_WiT_Level(-15)_Complexity(6)_Time(176)_SongNr(111).wav</t>
  </si>
  <si>
    <t>Bass_ItemNr(813)_SetNr(365)_WiT_Level(-15)_Complexity(6)_Time(176)_SongNr(104).wav</t>
  </si>
  <si>
    <t>Bass_ItemNr(2402)_SetNr(953)_WiT_Level(-15)_Complexity(6)_Time(176)_SongNr(103).wav</t>
  </si>
  <si>
    <t>Bass_ItemNr(846)_SetNr(381)_WiT_Level(-15)_Complexity(6)_Time(174)_SongNr(97).wav</t>
  </si>
  <si>
    <t>Piano_ItemNr(2963)_SetNr(333)_WiT_Level(-15)_Complexity(6)_Time(174)_SongNr(7).wav</t>
  </si>
  <si>
    <t>Lead_ItemNr(3856)_SetNr(1051)_WiT_Level(-15)_Complexity(6)_Time(174)_SongNr(4).wav</t>
  </si>
  <si>
    <t>Lead_ItemNr(1414)_SetNr(237)_WiT_Level(-15)_Complexity(6)_Time(174)_SongNr(39).wav</t>
  </si>
  <si>
    <t>Lead_ItemNr(1047)_SetNr(182)_WiT_Level(-15)_Complexity(6)_Time(174)_SongNr(37).wav</t>
  </si>
  <si>
    <t>Bass_ItemNr(3241)_SetNr(1062)_WiT_Level(-15)_Complexity(6)_Time(174)_SongNr(35).wav</t>
  </si>
  <si>
    <t>Bass_ItemNr(3271)_SetNr(1069)_WiT_Level(-15)_Complexity(6)_Time(174)_SongNr(33).wav</t>
  </si>
  <si>
    <t>Bass_ItemNr(817)_SetNr(367)_WiT_Level(-15)_Complexity(6)_Time(174)_SongNr(26).wav</t>
  </si>
  <si>
    <t>Lead_ItemNr(3022)_SetNr(691)_WiT_Level(-15)_Complexity(6)_Time(174)_SongNr(13).wav</t>
  </si>
  <si>
    <t>Lead_ItemNr(2283)_SetNr(415)_WiT_Level(-15)_Complexity(6)_Time(174)_SongNr(103).wav</t>
  </si>
  <si>
    <t>Guitar_ItemNr(2614)_SetNr(861)_WiT_Level(-15)_Complexity(6)_Time(172)_SongNr(4).wav</t>
  </si>
  <si>
    <t>Lead_ItemNr(2639)_SetNr(536)_WiT_Level(-15)_Complexity(6)_Time(172)_SongNr(39).wav</t>
  </si>
  <si>
    <t>Guitar_ItemNr(3367)_SetNr(1005)_WiT_Level(-15)_Complexity(6)_Time(172)_SongNr(37).wav</t>
  </si>
  <si>
    <t>Lead_ItemNr(2473)_SetNr(475)_WiT_Level(-15)_Complexity(6)_Time(172)_SongNr(26).wav</t>
  </si>
  <si>
    <t>Lead_ItemNr(469)_SetNr(087)_WiT_Level(-15)_Complexity(6)_Time(172)_SongNr(21).wav</t>
  </si>
  <si>
    <t>Lead_ItemNr(3834)_SetNr(1041)_WiT_Level(-15)_Complexity(6)_Time(172)_SongNr(14).wav</t>
  </si>
  <si>
    <t>Piano_ItemNr(2701)_SetNr(275)_WiT_Level(-15)_Complexity(6)_Time(170)_SongNr(97).wav</t>
  </si>
  <si>
    <t>Guitar_ItemNr(973)_SetNr(294)_WiT_Level(-15)_Complexity(6)_Time(170)_SongNr(8).wav</t>
  </si>
  <si>
    <t>Lead_ItemNr(3816)_SetNr(1037)_WiT_Level(-15)_Complexity(6)_Time(170)_SongNr(4).wav</t>
  </si>
  <si>
    <t>Lead_ItemNr(3472)_SetNr(911)_WiT_Level(-15)_Complexity(6)_Time(170)_SongNr(39).wav</t>
  </si>
  <si>
    <t>Guitar_ItemNr(1611)_SetNr(489)_WiT_Level(-15)_Complexity(6)_Time(170)_SongNr(32).wav</t>
  </si>
  <si>
    <t>Lead_ItemNr(2824)_SetNr(612)_WiT_Level(-15)_Complexity(6)_Time(170)_SongNr(26).wav</t>
  </si>
  <si>
    <t>Bass_ItemNr(368)_SetNr(154)_WiT_Level(-15)_Complexity(6)_Time(170)_SongNr(21).wav</t>
  </si>
  <si>
    <t>Lead_ItemNr(3215)_SetNr(779)_WiT_Level(-15)_Complexity(6)_Time(170)_SongNr(14).wav</t>
  </si>
  <si>
    <t>Guitar_ItemNr(72)_SetNr(022)_WiT_Level(-15)_Complexity(6)_Time(168)_SongNr(97).wav</t>
  </si>
  <si>
    <t>Bass_ItemNr(3869)_SetNr(1226)_WiT_Level(-15)_Complexity(6)_Time(168)_SongNr(4).wav</t>
  </si>
  <si>
    <t>Guitar_ItemNr(2951)_SetNr(954)_WiT_Level(-15)_Complexity(6)_Time(168)_SongNr(32).wav</t>
  </si>
  <si>
    <t>Guitar_ItemNr(2642)_SetNr(874)_WiT_Level(-15)_Complexity(6)_Time(166)_SongNr(97).wav</t>
  </si>
  <si>
    <t>Guitar_ItemNr(3056)_SetNr(966)_WiT_Level(-15)_Complexity(6)_Time(166)_SongNr(33).wav</t>
  </si>
  <si>
    <t>Guitar_ItemNr(2230)_SetNr(690)_WiT_Level(-15)_Complexity(6)_Time(166)_SongNr(32).wav</t>
  </si>
  <si>
    <t>Lead_ItemNr(3260)_SetNr(805)_WiT_Level(-15)_Complexity(6)_Time(166)_SongNr(14).wav</t>
  </si>
  <si>
    <t>Lead_ItemNr(2974)_SetNr(671)_WiT_Level(-15)_Complexity(6)_Time(166)_SongNr(1).wav</t>
  </si>
  <si>
    <t>Lead_ItemNr(2855)_SetNr(620)_WiT_Level(-15)_Complexity(6)_Time(164)_SongNr(97).wav</t>
  </si>
  <si>
    <t>Guitar_ItemNr(2625)_SetNr(866)_WiT_Level(-15)_Complexity(6)_Time(164)_SongNr(32).wav</t>
  </si>
  <si>
    <t>Bass_ItemNr(1572)_SetNr(683)_WiT_Level(-15)_Complexity(6)_Time(164)_SongNr(14).wav</t>
  </si>
  <si>
    <t>Guitar_ItemNr(3413)_SetNr(1009)_WiT_Level(-15)_Complexity(6)_Time(164)_SongNr(1).wav</t>
  </si>
  <si>
    <t>Bass_ItemNr(3497)_SetNr(1115)_WiT_Level(-15)_Complexity(6)_Time(162)_SongNr(97).wav</t>
  </si>
  <si>
    <t>Guitar_ItemNr(3643)_SetNr(1049)_WiT_Level(-15)_Complexity(6)_Time(162)_SongNr(1).wav</t>
  </si>
  <si>
    <t>Piano_ItemNr(3107)_SetNr(365)_WiT_Level(-15)_Complexity(6)_Time(160)_SongNr(97).wav</t>
  </si>
  <si>
    <t>Lead_ItemNr(2773)_SetNr(592)_WiT_Level(-15)_Complexity(6)_Time(160)_SongNr(83).wav</t>
  </si>
  <si>
    <t>Guitar_ItemNr(3866)_SetNr(1096)_WiT_Level(-15)_Complexity(6)_Time(160)_SongNr(4).wav</t>
  </si>
  <si>
    <t>Bass_ItemNr(1529)_SetNr(669)_WiT_Level(-15)_Complexity(6)_Time(160)_SongNr(32).wav</t>
  </si>
  <si>
    <t>Bass_ItemNr(3021)_SetNr(1023)_WiT_Level(-15)_Complexity(6)_Time(160)_SongNr(14).wav</t>
  </si>
  <si>
    <t>Guitar_ItemNr(2734)_SetNr(904)_WiT_Level(-15)_Complexity(6)_Time(160)_SongNr(13).wav</t>
  </si>
  <si>
    <t>Guitar_ItemNr(2724)_SetNr(901)_WiT_Level(-15)_Complexity(6)_Time(160)_SongNr(1).wav</t>
  </si>
  <si>
    <t>Bass_ItemNr(3339)_SetNr(1079)_WiT_Level(-15)_Complexity(6)_Time(16)_SongNr(1).wav</t>
  </si>
  <si>
    <t>Guitar_ItemNr(1927)_SetNr(585)_WiT_Level(-15)_Complexity(6)_Time(158)_SongNr(87).wav</t>
  </si>
  <si>
    <t>Bass_ItemNr(1247)_SetNr(546)_WiT_Level(-15)_Complexity(6)_Time(158)_SongNr(83).wav</t>
  </si>
  <si>
    <t>Bass_ItemNr(3524)_SetNr(1123)_WiT_Level(-15)_Complexity(6)_Time(158)_SongNr(1).wav</t>
  </si>
  <si>
    <t>Piano_ItemNr(3432)_SetNr(432)_WiT_Level(-15)_Complexity(6)_Time(156)_SongNr(97).wav</t>
  </si>
  <si>
    <t>Lead_ItemNr(2929)_SetNr(650)_WiT_Level(-15)_Complexity(6)_Time(156)_SongNr(87).wav</t>
  </si>
  <si>
    <t>Piano_ItemNr(1928)_SetNr(181)_WiT_Level(-15)_Complexity(6)_Time(156)_SongNr(83).wav</t>
  </si>
  <si>
    <t>Guitar_ItemNr(2157)_SetNr(660)_WiT_Level(-15)_Complexity(6)_Time(156)_SongNr(49).wav</t>
  </si>
  <si>
    <t>Guitar_ItemNr(3468)_SetNr(1017)_WiT_Level(-15)_Complexity(6)_Time(156)_SongNr(32).wav</t>
  </si>
  <si>
    <t>Piano_ItemNr(3636)_SetNr(463)_WiT_Level(-15)_Complexity(6)_Time(156)_SongNr(3).wav</t>
  </si>
  <si>
    <t>Lead_ItemNr(2937)_SetNr(655)_WiT_Level(-15)_Complexity(6)_Time(156)_SongNr(1).wav</t>
  </si>
  <si>
    <t>Guitar_ItemNr(3190)_SetNr(984)_WiT_Level(-15)_Complexity(6)_Time(154)_SongNr(97).wav</t>
  </si>
  <si>
    <t>Guitar_ItemNr(2964)_SetNr(956)_WiT_Level(-15)_Complexity(6)_Time(154)_SongNr(83).wav</t>
  </si>
  <si>
    <t>Bass_ItemNr(2852)_SetNr(990)_WiT_Level(-15)_Complexity(6)_Time(154)_SongNr(49).wav</t>
  </si>
  <si>
    <t>Guitar_ItemNr(595)_SetNr(191)_WiT_Level(-15)_Complexity(6)_Time(154)_SongNr(32).wav</t>
  </si>
  <si>
    <t>Bass_ItemNr(2061)_SetNr(876)_WiT_Level(-15)_Complexity(6)_Time(154)_SongNr(3).wav</t>
  </si>
  <si>
    <t>Guitar_ItemNr(2632)_SetNr(869)_WiT_Level(-15)_Complexity(6)_Time(154)_SongNr(14).wav</t>
  </si>
  <si>
    <t>Guitar_ItemNr(1989)_SetNr(601)_WiT_Level(-15)_Complexity(6)_Time(154)_SongNr(13).wav</t>
  </si>
  <si>
    <t>Lead_ItemNr(2039)_SetNr(360)_WiT_Level(-15)_Complexity(6)_Time(154)_SongNr(1).wav</t>
  </si>
  <si>
    <t>Piano_ItemNr(1073)_SetNr(091)_WiT_Level(-15)_Complexity(6)_Time(152)_SongNr(97).wav</t>
  </si>
  <si>
    <t>Piano_ItemNr(1523)_SetNr(139)_WiT_Level(-15)_Complexity(6)_Time(152)_SongNr(83).wav</t>
  </si>
  <si>
    <t>Guitar_ItemNr(2257)_SetNr(701)_WiT_Level(-15)_Complexity(6)_Time(152)_SongNr(49).wav</t>
  </si>
  <si>
    <t>Bass_ItemNr(3291)_SetNr(1070)_WiT_Level(-15)_Complexity(6)_Time(152)_SongNr(32).wav</t>
  </si>
  <si>
    <t>Guitar_ItemNr(3466)_SetNr(1016)_WiT_Level(-15)_Complexity(6)_Time(152)_SongNr(3).wav</t>
  </si>
  <si>
    <t>Guitar_ItemNr(3523)_SetNr(1026)_WiT_Level(-15)_Complexity(6)_Time(152)_SongNr(14).wav</t>
  </si>
  <si>
    <t>Lead_ItemNr(1921)_SetNr(328)_WiT_Level(-15)_Complexity(6)_Time(152)_SongNr(1).wav</t>
  </si>
  <si>
    <t>Bass_ItemNr(2400)_SetNr(952)_WiT_Level(-15)_Complexity(6)_Time(150)_SongNr(83).wav</t>
  </si>
  <si>
    <t>Bass_ItemNr(3324)_SetNr(1074)_WiT_Level(-15)_Complexity(6)_Time(150)_SongNr(49).wav</t>
  </si>
  <si>
    <t>Guitar_ItemNr(2085)_SetNr(634)_WiT_Level(-15)_Complexity(6)_Time(150)_SongNr(3).wav</t>
  </si>
  <si>
    <t>Lead_ItemNr(1919)_SetNr(327)_WiT_Level(-15)_Complexity(6)_Time(150)_SongNr(14).wav</t>
  </si>
  <si>
    <t>Guitar_ItemNr(1284)_SetNr(389)_WiT_Level(-15)_Complexity(6)_Time(150)_SongNr(111).wav</t>
  </si>
  <si>
    <t>Bass_ItemNr(1369)_SetNr(599)_WiT_Level(-15)_Complexity(6)_Time(150)_SongNr(1).wav</t>
  </si>
  <si>
    <t>Bass_ItemNr(345)_SetNr(146)_WiT_Level(-15)_Complexity(6)_Time(148)_SongNr(83).wav</t>
  </si>
  <si>
    <t>Bass_ItemNr(2769)_SetNr(977)_WiT_Level(-15)_Complexity(6)_Time(148)_SongNr(49).wav</t>
  </si>
  <si>
    <t>Guitar_ItemNr(3796)_SetNr(1079)_WiT_Level(-15)_Complexity(6)_Time(148)_SongNr(48).wav</t>
  </si>
  <si>
    <t>Bass_ItemNr(57)_SetNr(030)_WiT_Level(-15)_Complexity(6)_Time(148)_SongNr(3).wav</t>
  </si>
  <si>
    <t>Guitar_ItemNr(1901)_SetNr(576)_WiT_Level(-15)_Complexity(6)_Time(148)_SongNr(19).wav</t>
  </si>
  <si>
    <t>Bass_ItemNr(3414)_SetNr(1098)_WiT_Level(-15)_Complexity(6)_Time(148)_SongNr(14).wav</t>
  </si>
  <si>
    <t>Piano_ItemNr(1943)_SetNr(185)_WiT_Level(-15)_Complexity(6)_Time(148)_SongNr(111).wav</t>
  </si>
  <si>
    <t>Lead_ItemNr(3606)_SetNr(962)_WiT_Level(-15)_Complexity(6)_Time(148)_SongNr(1).wav</t>
  </si>
  <si>
    <t>Bass_ItemNr(877)_SetNr(388)_WiT_Level(-15)_Complexity(6)_Time(146)_SongNr(83).wav</t>
  </si>
  <si>
    <t>Guitar_ItemNr(588)_SetNr(189)_WiT_Level(-15)_Complexity(6)_Time(146)_SongNr(49).wav</t>
  </si>
  <si>
    <t>Bass_ItemNr(3406)_SetNr(1097)_WiT_Level(-15)_Complexity(6)_Time(146)_SongNr(32).wav</t>
  </si>
  <si>
    <t>Piano_ItemNr(2719)_SetNr(280)_WiT_Level(-15)_Complexity(6)_Time(146)_SongNr(3).wav</t>
  </si>
  <si>
    <t>Guitar_ItemNr(2789)_SetNr(919)_WiT_Level(-15)_Complexity(6)_Time(146)_SongNr(19).wav</t>
  </si>
  <si>
    <t>Lead_ItemNr(3781)_SetNr(1023)_WiT_Level(-15)_Complexity(6)_Time(146)_SongNr(14).wav</t>
  </si>
  <si>
    <t>Guitar_ItemNr(425)_SetNr(135)_WiT_Level(-15)_Complexity(6)_Time(146)_SongNr(111).wav</t>
  </si>
  <si>
    <t>Bass_ItemNr(3574)_SetNr(1135)_WiT_Level(-15)_Complexity(6)_Time(146)_SongNr(1).wav</t>
  </si>
  <si>
    <t>Piano_ItemNr(1880)_SetNr(172)_WiT_Level(-15)_Complexity(6)_Time(144)_SongNr(83).wav</t>
  </si>
  <si>
    <t>Lead_ItemNr(2957)_SetNr(661)_WiT_Level(-15)_Complexity(6)_Time(144)_SongNr(49).wav</t>
  </si>
  <si>
    <t>Bass_ItemNr(3348)_SetNr(1082)_WiT_Level(-15)_Complexity(6)_Time(144)_SongNr(3).wav</t>
  </si>
  <si>
    <t>Piano_ItemNr(1420)_SetNr(132)_WiT_Level(-15)_Complexity(6)_Time(144)_SongNr(19).wav</t>
  </si>
  <si>
    <t>Guitar_ItemNr(3111)_SetNr(975)_WiT_Level(-15)_Complexity(6)_Time(144)_SongNr(14).wav</t>
  </si>
  <si>
    <t>Lead_ItemNr(641)_SetNr(111)_WiT_Level(-15)_Complexity(6)_Time(144)_SongNr(13).wav</t>
  </si>
  <si>
    <t>Lead_ItemNr(2831)_SetNr(614)_WiT_Level(-15)_Complexity(6)_Time(144)_SongNr(115).wav</t>
  </si>
  <si>
    <t>Piano_ItemNr(872)_SetNr(069)_WiT_Level(-15)_Complexity(6)_Time(144)_SongNr(111).wav</t>
  </si>
  <si>
    <t>Bass_ItemNr(3480)_SetNr(1111)_WiT_Level(-15)_Complexity(6)_Time(144)_SongNr(101).wav</t>
  </si>
  <si>
    <t>Bass_ItemNr(2847)_SetNr(988)_WiT_Level(-15)_Complexity(6)_Time(144)_SongNr(1).wav</t>
  </si>
  <si>
    <t>Lead_ItemNr(3157)_SetNr(749)_WiT_Level(-15)_Complexity(6)_Time(142)_SongNr(49).wav</t>
  </si>
  <si>
    <t>Bass_ItemNr(1177)_SetNr(522)_WiT_Level(-15)_Complexity(6)_Time(142)_SongNr(3).wav</t>
  </si>
  <si>
    <t>Lead_ItemNr(3464)_SetNr(908)_WiT_Level(-15)_Complexity(6)_Time(142)_SongNr(14).wav</t>
  </si>
  <si>
    <t>Piano_ItemNr(971)_SetNr(079)_WiT_Level(-15)_Complexity(6)_Time(142)_SongNr(13).wav</t>
  </si>
  <si>
    <t>Guitar_ItemNr(11)_SetNr(004)_WiT_Level(-15)_Complexity(6)_Time(142)_SongNr(111).wav</t>
  </si>
  <si>
    <t>Lead_ItemNr(2470)_SetNr(473)_WiT_Level(-15)_Complexity(6)_Time(142)_SongNr(101).wav</t>
  </si>
  <si>
    <t>Guitar_ItemNr(2416)_SetNr(776)_WiT_Level(-15)_Complexity(6)_Time(142)_SongNr(1).wav</t>
  </si>
  <si>
    <t>Lead_ItemNr(3188)_SetNr(764)_WiT_Level(-15)_Complexity(6)_Time(140)_SongNr(49).wav</t>
  </si>
  <si>
    <t>Lead_ItemNr(594)_SetNr(105)_WiT_Level(-15)_Complexity(6)_Time(140)_SongNr(48).wav</t>
  </si>
  <si>
    <t>Guitar_ItemNr(739)_SetNr(228)_WiT_Level(-15)_Complexity(6)_Time(140)_SongNr(3).wav</t>
  </si>
  <si>
    <t>Guitar_ItemNr(2656)_SetNr(880)_WiT_Level(-15)_Complexity(6)_Time(140)_SongNr(26).wav</t>
  </si>
  <si>
    <t>Guitar_ItemNr(920)_SetNr(281)_WiT_Level(-15)_Complexity(6)_Time(140)_SongNr(14).wav</t>
  </si>
  <si>
    <t>Piano_ItemNr(1824)_SetNr(168)_WiT_Level(-15)_Complexity(6)_Time(140)_SongNr(13).wav</t>
  </si>
  <si>
    <t>Piano_ItemNr(2431)_SetNr(233)_WiT_Level(-15)_Complexity(6)_Time(140)_SongNr(111).wav</t>
  </si>
  <si>
    <t>Bass_ItemNr(3458)_SetNr(1106)_WiT_Level(-15)_Complexity(6)_Time(140)_SongNr(101).wav</t>
  </si>
  <si>
    <t>Bass_ItemNr(3143)_SetNr(1047)_WiT_Level(-15)_Complexity(6)_Time(14)_SongNr(1).wav</t>
  </si>
  <si>
    <t>Bass_ItemNr(2934)_SetNr(1004)_WiT_Level(-15)_Complexity(6)_Time(138)_SongNr(49).wav</t>
  </si>
  <si>
    <t>Lead_ItemNr(3543)_SetNr(938)_WiT_Level(-15)_Complexity(6)_Time(138)_SongNr(48).wav</t>
  </si>
  <si>
    <t>Guitar_ItemNr(2876)_SetNr(943)_WiT_Level(-15)_Complexity(6)_Time(138)_SongNr(33).wav</t>
  </si>
  <si>
    <t>Piano_ItemNr(1875)_SetNr(171)_WiT_Level(-15)_Complexity(6)_Time(138)_SongNr(3).wav</t>
  </si>
  <si>
    <t>Lead_ItemNr(1653)_SetNr(286)_WiT_Level(-15)_Complexity(6)_Time(138)_SongNr(26).wav</t>
  </si>
  <si>
    <t>Bass_ItemNr(3829)_SetNr(1218)_WiT_Level(-15)_Complexity(6)_Time(138)_SongNr(14).wav</t>
  </si>
  <si>
    <t>Guitar_ItemNr(3508)_SetNr(1023)_WiT_Level(-15)_Complexity(6)_Time(138)_SongNr(111).wav</t>
  </si>
  <si>
    <t>Piano_ItemNr(3378)_SetNr(422)_WiT_Level(-15)_Complexity(6)_Time(138)_SongNr(102).wav</t>
  </si>
  <si>
    <t>Guitar_ItemNr(2796)_SetNr(921)_WiT_Level(-15)_Complexity(6)_Time(138)_SongNr(101).wav</t>
  </si>
  <si>
    <t>Lead_ItemNr(2619)_SetNr(527)_WiT_Level(-15)_Complexity(6)_Time(138)_SongNr(1).wav</t>
  </si>
  <si>
    <t>Guitar_ItemNr(1400)_SetNr(425)_WiT_Level(-15)_Complexity(6)_Time(136)_SongNr(49).wav</t>
  </si>
  <si>
    <t>Guitar_ItemNr(2670)_SetNr(888)_WiT_Level(-15)_Complexity(6)_Time(136)_SongNr(48).wav</t>
  </si>
  <si>
    <t>Bass_ItemNr(3602)_SetNr(1142)_WiT_Level(-15)_Complexity(6)_Time(136)_SongNr(39).wav</t>
  </si>
  <si>
    <t>Bass_ItemNr(961)_SetNr(424)_WiT_Level(-15)_Complexity(6)_Time(136)_SongNr(34).wav</t>
  </si>
  <si>
    <t>Bass_ItemNr(2627)_SetNr(970)_WiT_Level(-15)_Complexity(6)_Time(136)_SongNr(3).wav</t>
  </si>
  <si>
    <t>Bass_ItemNr(2841)_SetNr(987)_WiT_Level(-15)_Complexity(6)_Time(136)_SongNr(21).wav</t>
  </si>
  <si>
    <t>Lead_ItemNr(3306)_SetNr(832)_WiT_Level(-15)_Complexity(6)_Time(136)_SongNr(14).wav</t>
  </si>
  <si>
    <t>Piano_ItemNr(3207)_SetNr(394)_WiT_Level(-15)_Complexity(6)_Time(136)_SongNr(115).wav</t>
  </si>
  <si>
    <t>Piano_ItemNr(3416)_SetNr(427)_WiT_Level(-15)_Complexity(6)_Time(136)_SongNr(111).wav</t>
  </si>
  <si>
    <t>Piano_ItemNr(3753)_SetNr(476)_WiT_Level(-15)_Complexity(6)_Time(136)_SongNr(102).wav</t>
  </si>
  <si>
    <t>Guitar_ItemNr(494)_SetNr(160)_WiT_Level(-15)_Complexity(6)_Time(136)_SongNr(101).wav</t>
  </si>
  <si>
    <t>Guitar_ItemNr(3736)_SetNr(1066)_WiT_Level(-15)_Complexity(6)_Time(136)_SongNr(1).wav</t>
  </si>
  <si>
    <t>Bass_ItemNr(2893)_SetNr(998)_WiT_Level(-15)_Complexity(6)_Time(134)_SongNr(49).wav</t>
  </si>
  <si>
    <t>Bass_ItemNr(1724)_SetNr(749)_WiT_Level(-15)_Complexity(6)_Time(134)_SongNr(39).wav</t>
  </si>
  <si>
    <t>Guitar_ItemNr(1718)_SetNr(521)_WiT_Level(-15)_Complexity(6)_Time(134)_SongNr(34).wav</t>
  </si>
  <si>
    <t>Bass_ItemNr(92)_SetNr(044)_WiT_Level(-15)_Complexity(6)_Time(134)_SongNr(33).wav</t>
  </si>
  <si>
    <t>Piano_ItemNr(357)_SetNr(032)_WiT_Level(-15)_Complexity(6)_Time(134)_SongNr(3).wav</t>
  </si>
  <si>
    <t>Bass_ItemNr(109)_SetNr(051)_WiT_Level(-15)_Complexity(6)_Time(134)_SongNr(27).wav</t>
  </si>
  <si>
    <t>Lead_ItemNr(2767)_SetNr(590)_WiT_Level(-15)_Complexity(6)_Time(134)_SongNr(21).wav</t>
  </si>
  <si>
    <t>Guitar_ItemNr(2027)_SetNr(617)_WiT_Level(-15)_Complexity(6)_Time(134)_SongNr(14).wav</t>
  </si>
  <si>
    <t>Bass_ItemNr(978)_SetNr(433)_WiT_Level(-15)_Complexity(6)_Time(134)_SongNr(111).wav</t>
  </si>
  <si>
    <t>Lead_ItemNr(1026)_SetNr(180)_WiT_Level(-15)_Complexity(6)_Time(134)_SongNr(102).wav</t>
  </si>
  <si>
    <t>Bass_ItemNr(242)_SetNr(104)_WiT_Level(-15)_Complexity(6)_Time(134)_SongNr(101).wav</t>
  </si>
  <si>
    <t>Guitar_ItemNr(445)_SetNr(139)_WiT_Level(-15)_Complexity(6)_Time(134)_SongNr(1).wav</t>
  </si>
  <si>
    <t>Guitar_ItemNr(3290)_SetNr(993)_WiT_Level(-15)_Complexity(6)_Time(132)_SongNr(49).wav</t>
  </si>
  <si>
    <t>Guitar_ItemNr(3004)_SetNr(961)_WiT_Level(-15)_Complexity(6)_Time(132)_SongNr(48).wav</t>
  </si>
  <si>
    <t>Lead_ItemNr(1474)_SetNr(247)_WiT_Level(-15)_Complexity(6)_Time(132)_SongNr(39).wav</t>
  </si>
  <si>
    <t>Guitar_ItemNr(3568)_SetNr(1033)_WiT_Level(-15)_Complexity(6)_Time(132)_SongNr(34).wav</t>
  </si>
  <si>
    <t>Bass_ItemNr(2504)_SetNr(962)_WiT_Level(-15)_Complexity(6)_Time(132)_SongNr(33).wav</t>
  </si>
  <si>
    <t>Guitar_ItemNr(303)_SetNr(092)_WiT_Level(-15)_Complexity(6)_Time(132)_SongNr(3).wav</t>
  </si>
  <si>
    <t>Lead_ItemNr(2949)_SetNr(657)_WiT_Level(-15)_Complexity(6)_Time(132)_SongNr(21).wav</t>
  </si>
  <si>
    <t>Lead_ItemNr(2053)_SetNr(361)_WiT_Level(-15)_Complexity(6)_Time(132)_SongNr(19).wav</t>
  </si>
  <si>
    <t>Lead_ItemNr(1698)_SetNr(290)_WiT_Level(-15)_Complexity(6)_Time(132)_SongNr(115).wav</t>
  </si>
  <si>
    <t>Bass_ItemNr(1365)_SetNr(596)_WiT_Level(-15)_Complexity(6)_Time(132)_SongNr(111).wav</t>
  </si>
  <si>
    <t>Bass_ItemNr(3515)_SetNr(1121)_WiT_Level(-15)_Complexity(6)_Time(132)_SongNr(103).wav</t>
  </si>
  <si>
    <t>Bass_ItemNr(421)_SetNr(178)_WiT_Level(-15)_Complexity(6)_Time(132)_SongNr(101).wav</t>
  </si>
  <si>
    <t>Guitar_ItemNr(3600)_SetNr(1042)_WiT_Level(-15)_Complexity(6)_Time(132)_SongNr(1).wav</t>
  </si>
  <si>
    <t>Bass_ItemNr(3237)_SetNr(1061)_WiT_Level(-15)_Complexity(6)_Time(130)_SongNr(49).wav</t>
  </si>
  <si>
    <t>Lead_ItemNr(3182)_SetNr(763)_WiT_Level(-15)_Complexity(6)_Time(130)_SongNr(48).wav</t>
  </si>
  <si>
    <t>Guitar_ItemNr(3230)_SetNr(987)_WiT_Level(-15)_Complexity(6)_Time(130)_SongNr(39).wav</t>
  </si>
  <si>
    <t>Guitar_ItemNr(3390)_SetNr(1007)_WiT_Level(-15)_Complexity(6)_Time(130)_SongNr(34).wav</t>
  </si>
  <si>
    <t>Bass_ItemNr(2953)_SetNr(1010)_WiT_Level(-15)_Complexity(6)_Time(130)_SongNr(33).wav</t>
  </si>
  <si>
    <t>Piano_ItemNr(3477)_SetNr(438)_WiT_Level(-15)_Complexity(6)_Time(130)_SongNr(3).wav</t>
  </si>
  <si>
    <t>Lead_ItemNr(3330)_SetNr(840)_WiT_Level(-15)_Complexity(6)_Time(130)_SongNr(27).wav</t>
  </si>
  <si>
    <t>Bass_ItemNr(560)_SetNr(239)_WiT_Level(-15)_Complexity(6)_Time(130)_SongNr(21).wav</t>
  </si>
  <si>
    <t>Bass_ItemNr(2427)_SetNr(956)_WiT_Level(-15)_Complexity(6)_Time(130)_SongNr(19).wav</t>
  </si>
  <si>
    <t>Lead_ItemNr(3819)_SetNr(1038)_WiT_Level(-15)_Complexity(6)_Time(130)_SongNr(14).wav</t>
  </si>
  <si>
    <t>Piano_ItemNr(1909)_SetNr(179)_WiT_Level(-15)_Complexity(6)_Time(130)_SongNr(115).wav</t>
  </si>
  <si>
    <t>Piano_ItemNr(1191)_SetNr(103)_WiT_Level(-15)_Complexity(6)_Time(130)_SongNr(111).wav</t>
  </si>
  <si>
    <t>Guitar_ItemNr(1359)_SetNr(413)_WiT_Level(-15)_Complexity(6)_Time(130)_SongNr(110).wav</t>
  </si>
  <si>
    <t>Piano_ItemNr(3300)_SetNr(407)_WiT_Level(-15)_Complexity(6)_Time(130)_SongNr(103).wav</t>
  </si>
  <si>
    <t>Lead_ItemNr(3371)_SetNr(861)_WiT_Level(-15)_Complexity(6)_Time(130)_SongNr(101).wav</t>
  </si>
  <si>
    <t>Guitar_ItemNr(1216)_SetNr(366)_WiT_Level(-15)_Complexity(6)_Time(128)_SongNr(49).wav</t>
  </si>
  <si>
    <t>Guitar_ItemNr(3681)_SetNr(1055)_WiT_Level(-15)_Complexity(6)_Time(128)_SongNr(48).wav</t>
  </si>
  <si>
    <t>Bass_ItemNr(2536)_SetNr(964)_WiT_Level(-15)_Complexity(6)_Time(128)_SongNr(34).wav</t>
  </si>
  <si>
    <t>Piano_ItemNr(1382)_SetNr(126)_WiT_Level(-15)_Complexity(6)_Time(128)_SongNr(3).wav</t>
  </si>
  <si>
    <t>Guitar_ItemNr(2645)_SetNr(875)_WiT_Level(-15)_Complexity(6)_Time(128)_SongNr(27).wav</t>
  </si>
  <si>
    <t>Piano_ItemNr(2679)_SetNr(269)_WiT_Level(-15)_Complexity(6)_Time(128)_SongNr(21).wav</t>
  </si>
  <si>
    <t>Lead_ItemNr(2406)_SetNr(453)_WiT_Level(-15)_Complexity(6)_Time(128)_SongNr(14).wav</t>
  </si>
  <si>
    <t>Bass_ItemNr(3076)_SetNr(1035)_WiT_Level(-15)_Complexity(6)_Time(128)_SongNr(111).wav</t>
  </si>
  <si>
    <t>Bass_ItemNr(3479)_SetNr(1110)_WiT_Level(-15)_Complexity(6)_Time(128)_SongNr(110).wav</t>
  </si>
  <si>
    <t>Lead_ItemNr(3535)_SetNr(933)_WiT_Level(-15)_Complexity(6)_Time(128)_SongNr(103).wav</t>
  </si>
  <si>
    <t>Piano_ItemNr(3552)_SetNr(450)_WiT_Level(-15)_Complexity(6)_Time(128)_SongNr(102).wav</t>
  </si>
  <si>
    <t>Guitar_ItemNr(785)_SetNr(241)_WiT_Level(-15)_Complexity(6)_Time(126)_SongNr(49).wav</t>
  </si>
  <si>
    <t>Bass_ItemNr(3249)_SetNr(1064)_WiT_Level(-15)_Complexity(6)_Time(126)_SongNr(39).wav</t>
  </si>
  <si>
    <t>Guitar_ItemNr(3310)_SetNr(996)_WiT_Level(-15)_Complexity(6)_Time(126)_SongNr(34).wav</t>
  </si>
  <si>
    <t>Bass_ItemNr(3499)_SetNr(1116)_WiT_Level(-15)_Complexity(6)_Time(126)_SongNr(33).wav</t>
  </si>
  <si>
    <t>Guitar_ItemNr(1988)_SetNr(600)_WiT_Level(-15)_Complexity(6)_Time(126)_SongNr(32).wav</t>
  </si>
  <si>
    <t>Bass_ItemNr(2997)_SetNr(1017)_WiT_Level(-15)_Complexity(6)_Time(126)_SongNr(3).wav</t>
  </si>
  <si>
    <t>Lead_ItemNr(2561)_SetNr(512)_WiT_Level(-15)_Complexity(6)_Time(126)_SongNr(19).wav</t>
  </si>
  <si>
    <t>Piano_ItemNr(3119)_SetNr(368)_WiT_Level(-15)_Complexity(6)_Time(126)_SongNr(115).wav</t>
  </si>
  <si>
    <t>Bass_ItemNr(3373)_SetNr(1087)_WiT_Level(-15)_Complexity(6)_Time(126)_SongNr(110).wav</t>
  </si>
  <si>
    <t>Lead_ItemNr(3276)_SetNr(817)_WiT_Level(-15)_Complexity(6)_Time(126)_SongNr(103).wav</t>
  </si>
  <si>
    <t>Bass_ItemNr(2030)_SetNr(866)_WiT_Level(-15)_Complexity(6)_Time(126)_SongNr(102).wav</t>
  </si>
  <si>
    <t>Bass_ItemNr(3025)_SetNr(1025)_WiT_Level(-15)_Complexity(6)_Time(124)_SongNr(49).wav</t>
  </si>
  <si>
    <t>Guitar_ItemNr(495)_SetNr(161)_WiT_Level(-15)_Complexity(6)_Time(124)_SongNr(39).wav</t>
  </si>
  <si>
    <t>Guitar_ItemNr(3029)_SetNr(963)_WiT_Level(-15)_Complexity(6)_Time(124)_SongNr(34).wav</t>
  </si>
  <si>
    <t>Guitar_ItemNr(1820)_SetNr(549)_WiT_Level(-15)_Complexity(6)_Time(124)_SongNr(33).wav</t>
  </si>
  <si>
    <t>Piano_ItemNr(3069)_SetNr(355)_WiT_Level(-15)_Complexity(6)_Time(124)_SongNr(3).wav</t>
  </si>
  <si>
    <t>Bass_ItemNr(1055)_SetNr(466)_WiT_Level(-15)_Complexity(6)_Time(124)_SongNr(19).wav</t>
  </si>
  <si>
    <t>Guitar_ItemNr(3169)_SetNr(981)_WiT_Level(-15)_Complexity(6)_Time(124)_SongNr(14).wav</t>
  </si>
  <si>
    <t>Lead_ItemNr(1497)_SetNr(249)_WiT_Level(-15)_Complexity(6)_Time(124)_SongNr(115).wav</t>
  </si>
  <si>
    <t>Bass_ItemNr(1329)_SetNr(579)_WiT_Level(-15)_Complexity(6)_Time(124)_SongNr(110).wav</t>
  </si>
  <si>
    <t>Lead_ItemNr(2183)_SetNr(398)_WiT_Level(-15)_Complexity(6)_Time(124)_SongNr(102).wav</t>
  </si>
  <si>
    <t>Guitar_ItemNr(1266)_SetNr(383)_WiT_Level(-15)_Complexity(6)_Time(124)_SongNr(101).wav</t>
  </si>
  <si>
    <t>Guitar_ItemNr(1331)_SetNr(405)_WiT_Level(-15)_Complexity(6)_Time(122)_SongNr(49).wav</t>
  </si>
  <si>
    <t>Lead_ItemNr(3649)_SetNr(977)_WiT_Level(-15)_Complexity(6)_Time(122)_SongNr(39).wav</t>
  </si>
  <si>
    <t>Guitar_ItemNr(2274)_SetNr(710)_WiT_Level(-15)_Complexity(6)_Time(122)_SongNr(34).wav</t>
  </si>
  <si>
    <t>Lead_ItemNr(869)_SetNr(153)_WiT_Level(-15)_Complexity(6)_Time(122)_SongNr(32).wav</t>
  </si>
  <si>
    <t>Bass_ItemNr(1251)_SetNr(548)_WiT_Level(-15)_Complexity(6)_Time(122)_SongNr(3).wav</t>
  </si>
  <si>
    <t>Bass_ItemNr(3078)_SetNr(1037)_WiT_Level(-15)_Complexity(6)_Time(122)_SongNr(21).wav</t>
  </si>
  <si>
    <t>Guitar_ItemNr(1312)_SetNr(401)_WiT_Level(-15)_Complexity(6)_Time(122)_SongNr(19).wav</t>
  </si>
  <si>
    <t>Guitar_ItemNr(2235)_SetNr(692)_WiT_Level(-15)_Complexity(6)_Time(122)_SongNr(14).wav</t>
  </si>
  <si>
    <t>Bass_ItemNr(3359)_SetNr(1086)_WiT_Level(-15)_Complexity(6)_Time(122)_SongNr(13).wav</t>
  </si>
  <si>
    <t>Guitar_ItemNr(71)_SetNr(021)_WiT_Level(-15)_Complexity(6)_Time(122)_SongNr(110).wav</t>
  </si>
  <si>
    <t>Bass_ItemNr(2079)_SetNr(880)_WiT_Level(-15)_Complexity(6)_Time(122)_SongNr(103).wav</t>
  </si>
  <si>
    <t>Lead_ItemNr(2989)_SetNr(681)_WiT_Level(-15)_Complexity(6)_Time(122)_SongNr(101).wav</t>
  </si>
  <si>
    <t>Bass_ItemNr(2968)_SetNr(1011)_WiT_Level(-15)_Complexity(6)_Time(120)_SongNr(49).wav</t>
  </si>
  <si>
    <t>Lead_ItemNr(2394)_SetNr(449)_WiT_Level(-15)_Complexity(6)_Time(120)_SongNr(39).wav</t>
  </si>
  <si>
    <t>Bass_ItemNr(2047)_SetNr(873)_WiT_Level(-15)_Complexity(6)_Time(120)_SongNr(34).wav</t>
  </si>
  <si>
    <t>Bass_ItemNr(1970)_SetNr(852)_WiT_Level(-15)_Complexity(6)_Time(120)_SongNr(33).wav</t>
  </si>
  <si>
    <t>Lead_ItemNr(686)_SetNr(122)_WiT_Level(-15)_Complexity(6)_Time(120)_SongNr(32).wav</t>
  </si>
  <si>
    <t>Bass_ItemNr(3026)_SetNr(1026)_WiT_Level(-15)_Complexity(6)_Time(120)_SongNr(3).wav</t>
  </si>
  <si>
    <t>Lead_ItemNr(1335)_SetNr(229)_WiT_Level(-15)_Complexity(6)_Time(120)_SongNr(21).wav</t>
  </si>
  <si>
    <t>Bass_ItemNr(2172)_SetNr(905)_WiT_Level(-15)_Complexity(6)_Time(120)_SongNr(2).wav</t>
  </si>
  <si>
    <t>Piano_ItemNr(2823)_SetNr(303)_WiT_Level(-15)_Complexity(6)_Time(120)_SongNr(115).wav</t>
  </si>
  <si>
    <t>Piano_ItemNr(802)_SetNr(060)_WiT_Level(-15)_Complexity(6)_Time(120)_SongNr(103).wav</t>
  </si>
  <si>
    <t>Bass_ItemNr(3162)_SetNr(1050)_WiT_Level(-15)_Complexity(6)_Time(120)_SongNr(101).wav</t>
  </si>
  <si>
    <t>Guitar_ItemNr(3433)_SetNr(1011)_WiT_Level(-15)_Complexity(6)_Time(12)_SongNr(1).wav</t>
  </si>
  <si>
    <t>Lead_ItemNr(2909)_SetNr(640)_WiT_Level(-15)_Complexity(6)_Time(118)_SongNr(8).wav</t>
  </si>
  <si>
    <t>Lead_ItemNr(2750)_SetNr(583)_WiT_Level(-15)_Complexity(6)_Time(118)_SongNr(34).wav</t>
  </si>
  <si>
    <t>Bass_ItemNr(339)_SetNr(141)_WiT_Level(-15)_Complexity(6)_Time(118)_SongNr(33).wav</t>
  </si>
  <si>
    <t>Lead_ItemNr(2926)_SetNr(649)_WiT_Level(-15)_Complexity(6)_Time(118)_SongNr(32).wav</t>
  </si>
  <si>
    <t>Bass_ItemNr(2832)_SetNr(984)_WiT_Level(-15)_Complexity(6)_Time(118)_SongNr(3).wav</t>
  </si>
  <si>
    <t>Lead_ItemNr(934)_SetNr(166)_WiT_Level(-15)_Complexity(6)_Time(118)_SongNr(21).wav</t>
  </si>
  <si>
    <t>Lead_ItemNr(681)_SetNr(120)_WiT_Level(-15)_Complexity(6)_Time(118)_SongNr(20).wav</t>
  </si>
  <si>
    <t>Lead_ItemNr(2477)_SetNr(477)_WiT_Level(-15)_Complexity(6)_Time(118)_SongNr(2).wav</t>
  </si>
  <si>
    <t>Guitar_ItemNr(174)_SetNr(055)_WiT_Level(-15)_Complexity(6)_Time(118)_SongNr(19).wav</t>
  </si>
  <si>
    <t>Bass_ItemNr(3756)_SetNr(1194)_WiT_Level(-15)_Complexity(6)_Time(118)_SongNr(14).wav</t>
  </si>
  <si>
    <t>Piano_ItemNr(1635)_SetNr(148)_WiT_Level(-15)_Complexity(6)_Time(118)_SongNr(13).wav</t>
  </si>
  <si>
    <t>Piano_ItemNr(2242)_SetNr(215)_WiT_Level(-15)_Complexity(6)_Time(118)_SongNr(115).wav</t>
  </si>
  <si>
    <t>Bass_ItemNr(466)_SetNr(195)_WiT_Level(-15)_Complexity(6)_Time(118)_SongNr(104).wav</t>
  </si>
  <si>
    <t>Bass_ItemNr(3257)_SetNr(1067)_WiT_Level(-15)_Complexity(6)_Time(118)_SongNr(103).wav</t>
  </si>
  <si>
    <t>Piano_ItemNr(3506)_SetNr(444)_WiT_Level(-15)_Complexity(6)_Time(118)_SongNr(102).wav</t>
  </si>
  <si>
    <t>Lead_ItemNr(3013)_SetNr(688)_WiT_Level(-15)_Complexity(6)_Time(118)_SongNr(101).wav</t>
  </si>
  <si>
    <t>Guitar_ItemNr(3608)_SetNr(1043)_WiT_Level(-15)_Complexity(6)_Time(116)_SongNr(8).wav</t>
  </si>
  <si>
    <t>Guitar_ItemNr(1558)_SetNr(477)_WiT_Level(-15)_Complexity(6)_Time(116)_SongNr(49).wav</t>
  </si>
  <si>
    <t>Guitar_ItemNr(473)_SetNr(150)_WiT_Level(-15)_Complexity(6)_Time(116)_SongNr(34).wav</t>
  </si>
  <si>
    <t>Bass_ItemNr(3325)_SetNr(1075)_WiT_Level(-15)_Complexity(6)_Time(116)_SongNr(33).wav</t>
  </si>
  <si>
    <t>Lead_ItemNr(3486)_SetNr(916)_WiT_Level(-15)_Complexity(6)_Time(116)_SongNr(32).wav</t>
  </si>
  <si>
    <t>Guitar_ItemNr(3166)_SetNr(980)_WiT_Level(-15)_Complexity(6)_Time(116)_SongNr(3).wav</t>
  </si>
  <si>
    <t>Lead_ItemNr(767)_SetNr(131)_WiT_Level(-15)_Complexity(6)_Time(116)_SongNr(21).wav</t>
  </si>
  <si>
    <t>Piano_ItemNr(2862)_SetNr(309)_WiT_Level(-15)_Complexity(6)_Time(116)_SongNr(20).wav</t>
  </si>
  <si>
    <t>Piano_ItemNr(3156)_SetNr(381)_WiT_Level(-15)_Complexity(6)_Time(116)_SongNr(2).wav</t>
  </si>
  <si>
    <t>Lead_ItemNr(2090)_SetNr(373)_WiT_Level(-15)_Complexity(6)_Time(116)_SongNr(19).wav</t>
  </si>
  <si>
    <t>Bass_ItemNr(2419)_SetNr(955)_WiT_Level(-15)_Complexity(6)_Time(116)_SongNr(103).wav</t>
  </si>
  <si>
    <t>Piano_ItemNr(3671)_SetNr(468)_WiT_Level(-15)_Complexity(6)_Time(116)_SongNr(102).wav</t>
  </si>
  <si>
    <t>Bass_ItemNr(2410)_SetNr(954)_WiT_Level(-15)_Complexity(6)_Time(116)_SongNr(101).wav</t>
  </si>
  <si>
    <t>Guitar_ItemNr(2562)_SetNr(831)_WiT_Level(-15)_Complexity(6)_Time(114)_SongNr(49).wav</t>
  </si>
  <si>
    <t>Guitar_ItemNr(3579)_SetNr(1035)_WiT_Level(-15)_Complexity(6)_Time(114)_SongNr(34).wav</t>
  </si>
  <si>
    <t>Lead_ItemNr(3242)_SetNr(796)_WiT_Level(-15)_Complexity(6)_Time(114)_SongNr(32).wav</t>
  </si>
  <si>
    <t>Guitar_ItemNr(3785)_SetNr(1077)_WiT_Level(-15)_Complexity(6)_Time(114)_SongNr(31).wav</t>
  </si>
  <si>
    <t>Bass_ItemNr(1002)_SetNr(444)_WiT_Level(-15)_Complexity(6)_Time(114)_SongNr(27).wav</t>
  </si>
  <si>
    <t>Bass_ItemNr(2992)_SetNr(1016)_WiT_Level(-15)_Complexity(6)_Time(114)_SongNr(21).wav</t>
  </si>
  <si>
    <t>Lead_ItemNr(787)_SetNr(137)_WiT_Level(-15)_Complexity(6)_Time(114)_SongNr(20).wav</t>
  </si>
  <si>
    <t>Lead_ItemNr(786)_SetNr(136)_WiT_Level(-15)_Complexity(6)_Time(114)_SongNr(19).wav</t>
  </si>
  <si>
    <t>Bass_ItemNr(3398)_SetNr(1093)_WiT_Level(-15)_Complexity(6)_Time(114)_SongNr(103).wav</t>
  </si>
  <si>
    <t>Piano_ItemNr(2970)_SetNr(334)_WiT_Level(-15)_Complexity(6)_Time(114)_SongNr(102).wav</t>
  </si>
  <si>
    <t>Guitar_ItemNr(3294)_SetNr(994)_WiT_Level(-15)_Complexity(6)_Time(114)_SongNr(101).wav</t>
  </si>
  <si>
    <t>Piano_ItemNr(1017)_SetNr(083)_WiT_Level(-15)_Complexity(6)_Time(112)_SongNr(83).wav</t>
  </si>
  <si>
    <t>Bass_ItemNr(586)_SetNr(251)_WiT_Level(-15)_Complexity(6)_Time(112)_SongNr(8).wav</t>
  </si>
  <si>
    <t>Bass_ItemNr(42)_SetNr(020)_WiT_Level(-15)_Complexity(6)_Time(112)_SongNr(49).wav</t>
  </si>
  <si>
    <t>Piano_ItemNr(1181)_SetNr(101)_WiT_Level(-15)_Complexity(6)_Time(112)_SongNr(39).wav</t>
  </si>
  <si>
    <t>Lead_ItemNr(1302)_SetNr(222)_WiT_Level(-15)_Complexity(6)_Time(112)_SongNr(33).wav</t>
  </si>
  <si>
    <t>Bass_ItemNr(3194)_SetNr(1054)_WiT_Level(-15)_Complexity(6)_Time(112)_SongNr(32).wav</t>
  </si>
  <si>
    <t>Guitar_ItemNr(3387)_SetNr(1006)_WiT_Level(-15)_Complexity(6)_Time(112)_SongNr(3).wav</t>
  </si>
  <si>
    <t>Piano_ItemNr(2260)_SetNr(217)_WiT_Level(-15)_Complexity(6)_Time(112)_SongNr(20).wav</t>
  </si>
  <si>
    <t>Bass_ItemNr(1014)_SetNr(450)_WiT_Level(-15)_Complexity(6)_Time(112)_SongNr(19).wav</t>
  </si>
  <si>
    <t>Lead_ItemNr(3851)_SetNr(1048)_WiT_Level(-15)_Complexity(6)_Time(112)_SongNr(14).wav</t>
  </si>
  <si>
    <t>Guitar_ItemNr(3545)_SetNr(1030)_WiT_Level(-15)_Complexity(6)_Time(112)_SongNr(13).wav</t>
  </si>
  <si>
    <t>Bass_ItemNr(2531)_SetNr(963)_WiT_Level(-15)_Complexity(6)_Time(112)_SongNr(115).wav</t>
  </si>
  <si>
    <t>Bass_ItemNr(3821)_SetNr(1213)_WiT_Level(-15)_Complexity(6)_Time(112)_SongNr(102).wav</t>
  </si>
  <si>
    <t>Lead_ItemNr(3218)_SetNr(781)_WiT_Level(-15)_Complexity(6)_Time(112)_SongNr(101).wav</t>
  </si>
  <si>
    <t>Bass_ItemNr(2439)_SetNr(957)_WiT_Level(-15)_Complexity(6)_Time(110)_SongNr(49).wav</t>
  </si>
  <si>
    <t>Bass_ItemNr(3180)_SetNr(1051)_WiT_Level(-15)_Complexity(6)_Time(110)_SongNr(39).wav</t>
  </si>
  <si>
    <t>Lead_ItemNr(933)_SetNr(165)_WiT_Level(-15)_Complexity(6)_Time(110)_SongNr(33).wav</t>
  </si>
  <si>
    <t>Piano_ItemNr(2786)_SetNr(294)_WiT_Level(-15)_Complexity(6)_Time(110)_SongNr(3).wav</t>
  </si>
  <si>
    <t>Lead_ItemNr(1129)_SetNr(192)_WiT_Level(-15)_Complexity(6)_Time(110)_SongNr(20).wav</t>
  </si>
  <si>
    <t>Bass_ItemNr(1094)_SetNr(485)_WiT_Level(-15)_Complexity(6)_Time(110)_SongNr(2).wav</t>
  </si>
  <si>
    <t>Guitar_ItemNr(2480)_SetNr(804)_WiT_Level(-15)_Complexity(6)_Time(110)_SongNr(19).wav</t>
  </si>
  <si>
    <t>Bass_ItemNr(17)_SetNr(006)_WiT_Level(-15)_Complexity(6)_Time(110)_SongNr(14).wav</t>
  </si>
  <si>
    <t>Piano_ItemNr(3376)_SetNr(420)_WiT_Level(-15)_Complexity(6)_Time(110)_SongNr(13).wav</t>
  </si>
  <si>
    <t>Bass_ItemNr(1678)_SetNr(734)_WiT_Level(-15)_Complexity(6)_Time(110)_SongNr(104).wav</t>
  </si>
  <si>
    <t>Lead_ItemNr(1850)_SetNr(319)_WiT_Level(-15)_Complexity(6)_Time(110)_SongNr(101).wav</t>
  </si>
  <si>
    <t>Guitar_ItemNr(2908)_SetNr(949)_WiT_Level(-15)_Complexity(6)_Time(108)_SongNr(39).wav</t>
  </si>
  <si>
    <t>Guitar_ItemNr(3612)_SetNr(1045)_WiT_Level(-15)_Complexity(6)_Time(108)_SongNr(33).wav</t>
  </si>
  <si>
    <t>Piano_ItemNr(3125)_SetNr(370)_WiT_Level(-15)_Complexity(6)_Time(108)_SongNr(3).wav</t>
  </si>
  <si>
    <t>Piano_ItemNr(1906)_SetNr(177)_WiT_Level(-15)_Complexity(6)_Time(108)_SongNr(20).wav</t>
  </si>
  <si>
    <t>Guitar_ItemNr(1467)_SetNr(445)_WiT_Level(-15)_Complexity(6)_Time(108)_SongNr(19).wav</t>
  </si>
  <si>
    <t>Piano_ItemNr(220)_SetNr(018)_WiT_Level(-15)_Complexity(6)_Time(108)_SongNr(104).wav</t>
  </si>
  <si>
    <t>Bass_ItemNr(2299)_SetNr(941)_WiT_Level(-15)_Complexity(6)_Time(108)_SongNr(102).wav</t>
  </si>
  <si>
    <t>Lead_ItemNr(2960)_SetNr(664)_WiT_Level(-15)_Complexity(6)_Time(108)_SongNr(101).wav</t>
  </si>
  <si>
    <t>Bass_ItemNr(3254)_SetNr(1066)_WiT_Level(-15)_Complexity(6)_Time(106)_SongNr(31).wav</t>
  </si>
  <si>
    <t>Piano_ItemNr(3212)_SetNr(395)_WiT_Level(-15)_Complexity(6)_Time(106)_SongNr(3).wav</t>
  </si>
  <si>
    <t>Piano_ItemNr(2636)_SetNr(261)_WiT_Level(-15)_Complexity(6)_Time(106)_SongNr(20).wav</t>
  </si>
  <si>
    <t>Piano_ItemNr(874)_SetNr(070)_WiT_Level(-15)_Complexity(6)_Time(106)_SongNr(19).wav</t>
  </si>
  <si>
    <t>Lead_ItemNr(534)_SetNr(093)_WiT_Level(-15)_Complexity(6)_Time(106)_SongNr(14).wav</t>
  </si>
  <si>
    <t>Lead_ItemNr(3090)_SetNr(723)_WiT_Level(-15)_Complexity(6)_Time(106)_SongNr(13).wav</t>
  </si>
  <si>
    <t>Bass_ItemNr(3338)_SetNr(1078)_WiT_Level(-15)_Complexity(6)_Time(106)_SongNr(102).wav</t>
  </si>
  <si>
    <t>Piano_ItemNr(1656)_SetNr(150)_WiT_Level(-15)_Complexity(6)_Time(104)_SongNr(53).wav</t>
  </si>
  <si>
    <t>Lead_ItemNr(3112)_SetNr(729)_WiT_Level(-15)_Complexity(6)_Time(104)_SongNr(49).wav</t>
  </si>
  <si>
    <t>Piano_ItemNr(3562)_SetNr(453)_WiT_Level(-15)_Complexity(6)_Time(104)_SongNr(39).wav</t>
  </si>
  <si>
    <t>Lead_ItemNr(3565)_SetNr(946)_WiT_Level(-15)_Complexity(6)_Time(104)_SongNr(32).wav</t>
  </si>
  <si>
    <t>Piano_ItemNr(2304)_SetNr(222)_WiT_Level(-15)_Complexity(6)_Time(104)_SongNr(20).wav</t>
  </si>
  <si>
    <t>Piano_ItemNr(624)_SetNr(051)_WiT_Level(-15)_Complexity(6)_Time(104)_SongNr(19).wav</t>
  </si>
  <si>
    <t>Lead_ItemNr(3674)_SetNr(987)_WiT_Level(-15)_Complexity(6)_Time(104)_SongNr(14).wav</t>
  </si>
  <si>
    <t>Bass_ItemNr(248)_SetNr(107)_WiT_Level(-15)_Complexity(6)_Time(104)_SongNr(102).wav</t>
  </si>
  <si>
    <t>Lead_ItemNr(253)_SetNr(049)_WiT_Level(-15)_Complexity(6)_Time(102)_SongNr(53).wav</t>
  </si>
  <si>
    <t>Lead_ItemNr(181)_SetNr(035)_WiT_Level(-15)_Complexity(6)_Time(102)_SongNr(49).wav</t>
  </si>
  <si>
    <t>Guitar_ItemNr(1194)_SetNr(362)_WiT_Level(-15)_Complexity(6)_Time(102)_SongNr(32).wav</t>
  </si>
  <si>
    <t>Guitar_ItemNr(3283)_SetNr(991)_WiT_Level(-15)_Complexity(6)_Time(102)_SongNr(3).wav</t>
  </si>
  <si>
    <t>Bass_ItemNr(2704)_SetNr(971)_WiT_Level(-15)_Complexity(6)_Time(102)_SongNr(21).wav</t>
  </si>
  <si>
    <t>Lead_ItemNr(2766)_SetNr(589)_WiT_Level(-15)_Complexity(6)_Time(102)_SongNr(20).wav</t>
  </si>
  <si>
    <t>Guitar_ItemNr(467)_SetNr(148)_WiT_Level(-15)_Complexity(6)_Time(102)_SongNr(19).wav</t>
  </si>
  <si>
    <t>Piano_ItemNr(1025)_SetNr(085)_WiT_Level(-15)_Complexity(6)_Time(102)_SongNr(104).wav</t>
  </si>
  <si>
    <t>Piano_ItemNr(1990)_SetNr(190)_WiT_Level(-15)_Complexity(6)_Time(102)_SongNr(102).wav</t>
  </si>
  <si>
    <t>Bass_ItemNr(3077)_SetNr(1036)_WiT_Level(-15)_Complexity(6)_Time(100)_SongNr(84).wav</t>
  </si>
  <si>
    <t>Guitar_ItemNr(2570)_SetNr(836)_WiT_Level(-15)_Complexity(6)_Time(100)_SongNr(83).wav</t>
  </si>
  <si>
    <t>Guitar_ItemNr(1554)_SetNr(475)_WiT_Level(-15)_Complexity(6)_Time(100)_SongNr(8).wav</t>
  </si>
  <si>
    <t>Bass_ItemNr(794)_SetNr(356)_WiT_Level(-15)_Complexity(6)_Time(100)_SongNr(53).wav</t>
  </si>
  <si>
    <t>Bass_ItemNr(1058)_SetNr(467)_WiT_Level(-15)_Complexity(6)_Time(100)_SongNr(49).wav</t>
  </si>
  <si>
    <t>Guitar_ItemNr(3514)_SetNr(1025)_WiT_Level(-15)_Complexity(6)_Time(100)_SongNr(39).wav</t>
  </si>
  <si>
    <t>Bass_ItemNr(3044)_SetNr(1030)_WiT_Level(-15)_Complexity(6)_Time(100)_SongNr(38).wav</t>
  </si>
  <si>
    <t>Lead_ItemNr(3061)_SetNr(709)_WiT_Level(-15)_Complexity(6)_Time(100)_SongNr(32).wav</t>
  </si>
  <si>
    <t>Piano_ItemNr(2461)_SetNr(237)_WiT_Level(-15)_Complexity(6)_Time(100)_SongNr(21).wav</t>
  </si>
  <si>
    <t>Piano_ItemNr(2539)_SetNr(250)_WiT_Level(-15)_Complexity(6)_Time(100)_SongNr(20).wav</t>
  </si>
  <si>
    <t>Lead_ItemNr(2883)_SetNr(631)_WiT_Level(-15)_Complexity(6)_Time(10)_SongNr(102).wav</t>
  </si>
  <si>
    <t>Lead_ItemNr(3282)_SetNr(822)_WiT_Level(-15)_Complexity(6)_Time(10)_SongNr(1).wav</t>
  </si>
  <si>
    <t>Bass_ItemNr(3203)_SetNr(1056)_WiT_Level(-15)_Complexity(6)_Time(0)_SongNr(1).wav</t>
  </si>
  <si>
    <t>Guitar_ItemNr(928)_SetNr(284)_WoT_Level(0)_Complexity(4)_Time(98)_SongNr(93).wav</t>
  </si>
  <si>
    <t>Bass_ItemNr(697)_SetNr(303)_WoT_Level(0)_Complexity(4)_Time(98)_SongNr(69).wav</t>
  </si>
  <si>
    <t>Lead_ItemNr(2778)_SetNr(595)_WoT_Level(0)_Complexity(4)_Time(98)_SongNr(66).wav</t>
  </si>
  <si>
    <t>Piano_ItemNr(2813)_SetNr(300)_WoT_Level(0)_Complexity(4)_Time(98)_SongNr(57).wav</t>
  </si>
  <si>
    <t>Lead_ItemNr(1004)_SetNr(178)_WoT_Level(0)_Complexity(4)_Time(98)_SongNr(40).wav</t>
  </si>
  <si>
    <t>Lead_ItemNr(3269)_SetNr(812)_WoT_Level(0)_Complexity(4)_Time(98)_SongNr(34).wav</t>
  </si>
  <si>
    <t>Lead_ItemNr(2013)_SetNr(347)_WoT_Level(0)_Complexity(4)_Time(98)_SongNr(23).wav</t>
  </si>
  <si>
    <t>Piano_ItemNr(2548)_SetNr(251)_WoT_Level(0)_Complexity(4)_Time(98)_SongNr(21).wav</t>
  </si>
  <si>
    <t>Lead_ItemNr(2082)_SetNr(370)_WoT_Level(0)_Complexity(4)_Time(98)_SongNr(15).wav</t>
  </si>
  <si>
    <t>Lead_ItemNr(1037)_SetNr(181)_WoT_Level(0)_Complexity(4)_Time(98)_SongNr(116).wav</t>
  </si>
  <si>
    <t>Lead_ItemNr(2325)_SetNr(425)_WoT_Level(0)_Complexity(4)_Time(98)_SongNr(110).wav</t>
  </si>
  <si>
    <t>Guitar_ItemNr(2186)_SetNr(672)_WoT_Level(0)_Complexity(4)_Time(98)_SongNr(107).wav</t>
  </si>
  <si>
    <t>Piano_ItemNr(2070)_SetNr(199)_WoT_Level(0)_Complexity(4)_Time(98)_SongNr(103).wav</t>
  </si>
  <si>
    <t>Bass_ItemNr(931)_SetNr(407)_WoT_Level(0)_Complexity(4)_Time(98)_SongNr(1).wav</t>
  </si>
  <si>
    <t>Bass_ItemNr(224)_SetNr(094)_WoT_Level(0)_Complexity(4)_Time(96)_SongNr(74).wav</t>
  </si>
  <si>
    <t>Lead_ItemNr(3070)_SetNr(713)_WoT_Level(0)_Complexity(4)_Time(96)_SongNr(66).wav</t>
  </si>
  <si>
    <t>Bass_ItemNr(1341)_SetNr(585)_WoT_Level(0)_Complexity(4)_Time(96)_SongNr(61).wav</t>
  </si>
  <si>
    <t>Lead_ItemNr(2967)_SetNr(668)_WoT_Level(0)_Complexity(4)_Time(96)_SongNr(41).wav</t>
  </si>
  <si>
    <t>Piano_ItemNr(2783)_SetNr(293)_WoT_Level(0)_Complexity(4)_Time(96)_SongNr(40).wav</t>
  </si>
  <si>
    <t>Guitar_ItemNr(720)_SetNr(223)_WoT_Level(0)_Complexity(4)_Time(96)_SongNr(34).wav</t>
  </si>
  <si>
    <t>Piano_ItemNr(2653)_SetNr(263)_WoT_Level(0)_Complexity(4)_Time(96)_SongNr(20).wav</t>
  </si>
  <si>
    <t>Guitar_ItemNr(2669)_SetNr(887)_WoT_Level(0)_Complexity(4)_Time(96)_SongNr(19).wav</t>
  </si>
  <si>
    <t>Piano_ItemNr(2898)_SetNr(318)_WoT_Level(0)_Complexity(4)_Time(96)_SongNr(115).wav</t>
  </si>
  <si>
    <t>Bass_ItemNr(14)_SetNr(004)_WoT_Level(0)_Complexity(4)_Time(96)_SongNr(114).wav</t>
  </si>
  <si>
    <t>Bass_ItemNr(687)_SetNr(300)_WoT_Level(0)_Complexity(4)_Time(96)_SongNr(103).wav</t>
  </si>
  <si>
    <t>Lead_ItemNr(2582)_SetNr(519)_WoT_Level(0)_Complexity(4)_Time(94)_SongNr(93).wav</t>
  </si>
  <si>
    <t>Lead_ItemNr(3304)_SetNr(830)_WoT_Level(0)_Complexity(4)_Time(94)_SongNr(8).wav</t>
  </si>
  <si>
    <t>Bass_ItemNr(766)_SetNr(343)_WoT_Level(0)_Complexity(4)_Time(94)_SongNr(63).wav</t>
  </si>
  <si>
    <t>Piano_ItemNr(565)_SetNr(046)_WoT_Level(0)_Complexity(4)_Time(94)_SongNr(61).wav</t>
  </si>
  <si>
    <t>Piano_ItemNr(3788)_SetNr(482)_WoT_Level(0)_Complexity(4)_Time(94)_SongNr(57).wav</t>
  </si>
  <si>
    <t>Bass_ItemNr(1496)_SetNr(657)_WoT_Level(0)_Complexity(4)_Time(94)_SongNr(43).wav</t>
  </si>
  <si>
    <t>Guitar_ItemNr(1066)_SetNr(319)_WoT_Level(0)_Complexity(4)_Time(94)_SongNr(41).wav</t>
  </si>
  <si>
    <t>Guitar_ItemNr(310)_SetNr(095)_WoT_Level(0)_Complexity(4)_Time(94)_SongNr(25).wav</t>
  </si>
  <si>
    <t>Piano_ItemNr(1945)_SetNr(186)_WoT_Level(0)_Complexity(4)_Time(94)_SongNr(23).wav</t>
  </si>
  <si>
    <t>Piano_ItemNr(1767)_SetNr(162)_WoT_Level(0)_Complexity(4)_Time(94)_SongNr(20).wav</t>
  </si>
  <si>
    <t>Bass_ItemNr(737)_SetNr(324)_WoT_Level(0)_Complexity(4)_Time(94)_SongNr(17).wav</t>
  </si>
  <si>
    <t>Piano_ItemNr(3557)_SetNr(451)_WoT_Level(0)_Complexity(4)_Time(94)_SongNr(103).wav</t>
  </si>
  <si>
    <t>Piano_ItemNr(471)_SetNr(040)_WoT_Level(0)_Complexity(4)_Time(92)_SongNr(93).wav</t>
  </si>
  <si>
    <t>Bass_ItemNr(28)_SetNr(011)_WoT_Level(0)_Complexity(4)_Time(92)_SongNr(46).wav</t>
  </si>
  <si>
    <t>Guitar_ItemNr(1325)_SetNr(403)_WoT_Level(0)_Complexity(4)_Time(92)_SongNr(43).wav</t>
  </si>
  <si>
    <t>Lead_ItemNr(2655)_SetNr(543)_WoT_Level(0)_Complexity(4)_Time(92)_SongNr(41).wav</t>
  </si>
  <si>
    <t>Lead_ItemNr(1136)_SetNr(195)_WoT_Level(0)_Complexity(4)_Time(92)_SongNr(34).wav</t>
  </si>
  <si>
    <t>Lead_ItemNr(3144)_SetNr(741)_WoT_Level(0)_Complexity(4)_Time(92)_SongNr(32).wav</t>
  </si>
  <si>
    <t>Piano_ItemNr(2717)_SetNr(278)_WoT_Level(0)_Complexity(4)_Time(92)_SongNr(20).wav</t>
  </si>
  <si>
    <t>Bass_ItemNr(1074)_SetNr(476)_WoT_Level(0)_Complexity(4)_Time(92)_SongNr(17).wav</t>
  </si>
  <si>
    <t>Piano_ItemNr(2675)_SetNr(268)_WoT_Level(0)_Complexity(4)_Time(92)_SongNr(115).wav</t>
  </si>
  <si>
    <t>Piano_ItemNr(1982)_SetNr(189)_WoT_Level(0)_Complexity(4)_Time(92)_SongNr(103).wav</t>
  </si>
  <si>
    <t>Piano_ItemNr(3293)_SetNr(405)_WoT_Level(0)_Complexity(4)_Time(90)_SongNr(97).wav</t>
  </si>
  <si>
    <t>Guitar_ItemNr(871)_SetNr(264)_WoT_Level(0)_Complexity(4)_Time(90)_SongNr(94).wav</t>
  </si>
  <si>
    <t>Bass_ItemNr(1337)_SetNr(583)_WoT_Level(0)_Complexity(4)_Time(90)_SongNr(74).wav</t>
  </si>
  <si>
    <t>Bass_ItemNr(370)_SetNr(155)_WoT_Level(0)_Complexity(4)_Time(90)_SongNr(69).wav</t>
  </si>
  <si>
    <t>Lead_ItemNr(2794)_SetNr(601)_WoT_Level(0)_Complexity(4)_Time(90)_SongNr(66).wav</t>
  </si>
  <si>
    <t>Piano_ItemNr(909)_SetNr(074)_WoT_Level(0)_Complexity(4)_Time(90)_SongNr(63).wav</t>
  </si>
  <si>
    <t>Lead_ItemNr(1086)_SetNr(186)_WoT_Level(0)_Complexity(4)_Time(90)_SongNr(57).wav</t>
  </si>
  <si>
    <t>Bass_ItemNr(1542)_SetNr(672)_WoT_Level(0)_Complexity(4)_Time(90)_SongNr(55).wav</t>
  </si>
  <si>
    <t>Lead_ItemNr(2142)_SetNr(386)_WoT_Level(0)_Complexity(4)_Time(90)_SongNr(49).wav</t>
  </si>
  <si>
    <t>Bass_ItemNr(1817)_SetNr(790)_WoT_Level(0)_Complexity(4)_Time(90)_SongNr(43).wav</t>
  </si>
  <si>
    <t>Piano_ItemNr(3677)_SetNr(469)_WoT_Level(0)_Complexity(4)_Time(90)_SongNr(40).wav</t>
  </si>
  <si>
    <t>Lead_ItemNr(3118)_SetNr(733)_WoT_Level(0)_Complexity(4)_Time(90)_SongNr(34).wav</t>
  </si>
  <si>
    <t>Lead_ItemNr(3124)_SetNr(735)_WoT_Level(0)_Complexity(4)_Time(90)_SongNr(32).wav</t>
  </si>
  <si>
    <t>Bass_ItemNr(1557)_SetNr(679)_WoT_Level(0)_Complexity(4)_Time(90)_SongNr(3).wav</t>
  </si>
  <si>
    <t>Lead_ItemNr(2959)_SetNr(663)_WoT_Level(0)_Complexity(4)_Time(90)_SongNr(26).wav</t>
  </si>
  <si>
    <t>Bass_ItemNr(1461)_SetNr(639)_WoT_Level(0)_Complexity(4)_Time(90)_SongNr(23).wav</t>
  </si>
  <si>
    <t>Piano_ItemNr(640)_SetNr(052)_WoT_Level(0)_Complexity(4)_Time(90)_SongNr(20).wav</t>
  </si>
  <si>
    <t>Piano_ItemNr(1276)_SetNr(116)_WoT_Level(0)_Complexity(4)_Time(90)_SongNr(115).wav</t>
  </si>
  <si>
    <t>Lead_ItemNr(2546)_SetNr(505)_WoT_Level(0)_Complexity(4)_Time(90)_SongNr(113).wav</t>
  </si>
  <si>
    <t>Lead_ItemNr(2947)_SetNr(656)_WoT_Level(0)_Complexity(4)_Time(90)_SongNr(110).wav</t>
  </si>
  <si>
    <t>Lead_ItemNr(2736)_SetNr(577)_WoT_Level(0)_Complexity(4)_Time(88)_SongNr(83).wav</t>
  </si>
  <si>
    <t>Lead_ItemNr(693)_SetNr(126)_WoT_Level(0)_Complexity(4)_Time(88)_SongNr(8).wav</t>
  </si>
  <si>
    <t>Bass_ItemNr(967)_SetNr(427)_WoT_Level(0)_Complexity(4)_Time(88)_SongNr(74).wav</t>
  </si>
  <si>
    <t>Bass_ItemNr(1465)_SetNr(642)_WoT_Level(0)_Complexity(4)_Time(88)_SongNr(66).wav</t>
  </si>
  <si>
    <t>Piano_ItemNr(2617)_SetNr(260)_WoT_Level(0)_Complexity(4)_Time(88)_SongNr(63).wav</t>
  </si>
  <si>
    <t>Lead_ItemNr(945)_SetNr(168)_WoT_Level(0)_Complexity(4)_Time(88)_SongNr(55).wav</t>
  </si>
  <si>
    <t>Bass_ItemNr(769)_SetNr(344)_WoT_Level(0)_Complexity(4)_Time(88)_SongNr(43).wav</t>
  </si>
  <si>
    <t>Guitar_ItemNr(1937)_SetNr(587)_WoT_Level(0)_Complexity(4)_Time(88)_SongNr(41).wav</t>
  </si>
  <si>
    <t>Piano_ItemNr(2120)_SetNr(201)_WoT_Level(0)_Complexity(4)_Time(88)_SongNr(40).wav</t>
  </si>
  <si>
    <t>Lead_ItemNr(2544)_SetNr(504)_WoT_Level(0)_Complexity(4)_Time(88)_SongNr(26).wav</t>
  </si>
  <si>
    <t>Piano_ItemNr(3333)_SetNr(415)_WoT_Level(0)_Complexity(4)_Time(88)_SongNr(23).wav</t>
  </si>
  <si>
    <t>Piano_ItemNr(346)_SetNr(031)_WoT_Level(0)_Complexity(4)_Time(88)_SongNr(20).wav</t>
  </si>
  <si>
    <t>Piano_ItemNr(305)_SetNr(027)_WoT_Level(0)_Complexity(4)_Time(88)_SongNr(19).wav</t>
  </si>
  <si>
    <t>Piano_ItemNr(2662)_SetNr(265)_WoT_Level(0)_Complexity(4)_Time(86)_SongNr(93).wav</t>
  </si>
  <si>
    <t>Bass_ItemNr(304)_SetNr(129)_WoT_Level(0)_Complexity(4)_Time(86)_SongNr(81).wav</t>
  </si>
  <si>
    <t>Bass_ItemNr(634)_SetNr(274)_WoT_Level(0)_Complexity(4)_Time(86)_SongNr(63).wav</t>
  </si>
  <si>
    <t>Piano_ItemNr(3247)_SetNr(398)_WoT_Level(0)_Complexity(4)_Time(86)_SongNr(61).wav</t>
  </si>
  <si>
    <t>Piano_ItemNr(3130)_SetNr(373)_WoT_Level(0)_Complexity(4)_Time(86)_SongNr(40).wav</t>
  </si>
  <si>
    <t>Bass_ItemNr(1326)_SetNr(577)_WoT_Level(0)_Complexity(4)_Time(86)_SongNr(37).wav</t>
  </si>
  <si>
    <t>Piano_ItemNr(2672)_SetNr(266)_WoT_Level(0)_Complexity(4)_Time(86)_SongNr(23).wav</t>
  </si>
  <si>
    <t>Piano_ItemNr(1019)_SetNr(084)_WoT_Level(0)_Complexity(4)_Time(86)_SongNr(20).wav</t>
  </si>
  <si>
    <t>Lead_ItemNr(2962)_SetNr(665)_WoT_Level(0)_Complexity(4)_Time(86)_SongNr(14).wav</t>
  </si>
  <si>
    <t>Lead_ItemNr(3394)_SetNr(874)_WoT_Level(0)_Complexity(4)_Time(86)_SongNr(116).wav</t>
  </si>
  <si>
    <t>Lead_ItemNr(2080)_SetNr(369)_WoT_Level(0)_Complexity(4)_Time(86)_SongNr(113).wav</t>
  </si>
  <si>
    <t>Bass_ItemNr(962)_SetNr(425)_WoT_Level(0)_Complexity(4)_Time(84)_SongNr(81).wav</t>
  </si>
  <si>
    <t>Bass_ItemNr(1039)_SetNr(459)_WoT_Level(0)_Complexity(4)_Time(84)_SongNr(69).wav</t>
  </si>
  <si>
    <t>Lead_ItemNr(2936)_SetNr(654)_WoT_Level(0)_Complexity(4)_Time(84)_SongNr(66).wav</t>
  </si>
  <si>
    <t>Piano_ItemNr(966)_SetNr(078)_WoT_Level(0)_Complexity(4)_Time(84)_SongNr(61).wav</t>
  </si>
  <si>
    <t>Lead_ItemNr(2924)_SetNr(647)_WoT_Level(0)_Complexity(4)_Time(84)_SongNr(57).wav</t>
  </si>
  <si>
    <t>Lead_ItemNr(3284)_SetNr(823)_WoT_Level(0)_Complexity(4)_Time(84)_SongNr(55).wav</t>
  </si>
  <si>
    <t>Guitar_ItemNr(1849)_SetNr(558)_WoT_Level(0)_Complexity(4)_Time(84)_SongNr(43).wav</t>
  </si>
  <si>
    <t>Piano_ItemNr(1568)_SetNr(143)_WoT_Level(0)_Complexity(4)_Time(84)_SongNr(20).wav</t>
  </si>
  <si>
    <t>Piano_ItemNr(3181)_SetNr(387)_WoT_Level(0)_Complexity(4)_Time(84)_SongNr(115).wav</t>
  </si>
  <si>
    <t>Lead_ItemNr(691)_SetNr(124)_WoT_Level(0)_Complexity(4)_Time(84)_SongNr(113).wav</t>
  </si>
  <si>
    <t>Guitar_ItemNr(2495)_SetNr(809)_WoT_Level(0)_Complexity(4)_Time(84)_SongNr(105).wav</t>
  </si>
  <si>
    <t>Bass_ItemNr(1677)_SetNr(733)_WoT_Level(0)_Complexity(4)_Time(84)_SongNr(10).wav</t>
  </si>
  <si>
    <t>Bass_ItemNr(1117)_SetNr(500)_WoT_Level(0)_Complexity(4)_Time(82)_SongNr(85).wav</t>
  </si>
  <si>
    <t>Bass_ItemNr(149)_SetNr(066)_WoT_Level(0)_Complexity(4)_Time(82)_SongNr(69).wav</t>
  </si>
  <si>
    <t>Lead_ItemNr(894)_SetNr(156)_WoT_Level(0)_Complexity(4)_Time(82)_SongNr(66).wav</t>
  </si>
  <si>
    <t>Piano_ItemNr(2008)_SetNr(192)_WoT_Level(0)_Complexity(4)_Time(82)_SongNr(63).wav</t>
  </si>
  <si>
    <t>Bass_ItemNr(537)_SetNr(226)_WoT_Level(0)_Complexity(4)_Time(82)_SongNr(61).wav</t>
  </si>
  <si>
    <t>Bass_ItemNr(676)_SetNr(294)_WoT_Level(0)_Complexity(4)_Time(82)_SongNr(55).wav</t>
  </si>
  <si>
    <t>Lead_ItemNr(602)_SetNr(107)_WoT_Level(0)_Complexity(4)_Time(82)_SongNr(40).wav</t>
  </si>
  <si>
    <t>Lead_ItemNr(506)_SetNr(091)_WoT_Level(0)_Complexity(4)_Time(82)_SongNr(36).wav</t>
  </si>
  <si>
    <t>Lead_ItemNr(2069)_SetNr(367)_WoT_Level(0)_Complexity(4)_Time(82)_SongNr(35).wav</t>
  </si>
  <si>
    <t>Bass_ItemNr(1944)_SetNr(838)_WoT_Level(0)_Complexity(4)_Time(82)_SongNr(34).wav</t>
  </si>
  <si>
    <t>Bass_ItemNr(1717)_SetNr(748)_WoT_Level(0)_Complexity(4)_Time(82)_SongNr(3).wav</t>
  </si>
  <si>
    <t>Lead_ItemNr(1859)_SetNr(320)_WoT_Level(0)_Complexity(4)_Time(82)_SongNr(26).wav</t>
  </si>
  <si>
    <t>Piano_ItemNr(652)_SetNr(053)_WoT_Level(0)_Complexity(4)_Time(82)_SongNr(23).wav</t>
  </si>
  <si>
    <t>Piano_ItemNr(2511)_SetNr(246)_WoT_Level(0)_Complexity(4)_Time(82)_SongNr(21).wav</t>
  </si>
  <si>
    <t>Bass_ItemNr(1750)_SetNr(763)_WoT_Level(0)_Complexity(4)_Time(82)_SongNr(115).wav</t>
  </si>
  <si>
    <t>Lead_ItemNr(3214)_SetNr(778)_WoT_Level(0)_Complexity(4)_Time(82)_SongNr(113).wav</t>
  </si>
  <si>
    <t>Lead_ItemNr(106)_SetNr(019)_WoT_Level(0)_Complexity(4)_Time(82)_SongNr(112).wav</t>
  </si>
  <si>
    <t>Guitar_ItemNr(318)_SetNr(099)_WoT_Level(0)_Complexity(4)_Time(82)_SongNr(107).wav</t>
  </si>
  <si>
    <t>Lead_ItemNr(1182)_SetNr(202)_WoT_Level(0)_Complexity(4)_Time(82)_SongNr(10).wav</t>
  </si>
  <si>
    <t>Bass_ItemNr(1451)_SetNr(634)_WoT_Level(0)_Complexity(4)_Time(80)_SongNr(74).wav</t>
  </si>
  <si>
    <t>Piano_ItemNr(3273)_SetNr(400)_WoT_Level(0)_Complexity(4)_Time(80)_SongNr(61).wav</t>
  </si>
  <si>
    <t>Guitar_ItemNr(2009)_SetNr(611)_WoT_Level(0)_Complexity(4)_Time(80)_SongNr(45).wav</t>
  </si>
  <si>
    <t>Lead_ItemNr(3085)_SetNr(720)_WoT_Level(0)_Complexity(4)_Time(80)_SongNr(36).wav</t>
  </si>
  <si>
    <t>Bass_ItemNr(1411)_SetNr(619)_WoT_Level(0)_Complexity(4)_Time(80)_SongNr(32).wav</t>
  </si>
  <si>
    <t>Bass_ItemNr(1812)_SetNr(787)_WoT_Level(0)_Complexity(4)_Time(80)_SongNr(26).wav</t>
  </si>
  <si>
    <t>Lead_ItemNr(96)_SetNr(018)_WoT_Level(0)_Complexity(4)_Time(80)_SongNr(25).wav</t>
  </si>
  <si>
    <t>Lead_ItemNr(2975)_SetNr(672)_WoT_Level(0)_Complexity(4)_Time(80)_SongNr(23).wav</t>
  </si>
  <si>
    <t>Bass_ItemNr(215)_SetNr(089)_WoT_Level(0)_Complexity(4)_Time(80)_SongNr(21).wav</t>
  </si>
  <si>
    <t>Guitar_ItemNr(1683)_SetNr(508)_WoT_Level(0)_Complexity(4)_Time(80)_SongNr(15).wav</t>
  </si>
  <si>
    <t>Guitar_ItemNr(954)_SetNr(289)_WoT_Level(0)_Complexity(4)_Time(8)_SongNr(78).wav</t>
  </si>
  <si>
    <t>Bass_ItemNr(107)_SetNr(050)_WoT_Level(0)_Complexity(4)_Time(8)_SongNr(77).wav</t>
  </si>
  <si>
    <t>Lead_ItemNr(382)_SetNr(067)_WoT_Level(0)_Complexity(4)_Time(8)_SongNr(76).wav</t>
  </si>
  <si>
    <t>Bass_ItemNr(69)_SetNr(036)_WoT_Level(0)_Complexity(4)_Time(8)_SongNr(75).wav</t>
  </si>
  <si>
    <t>Bass_ItemNr(1116)_SetNr(499)_WoT_Level(0)_Complexity(4)_Time(8)_SongNr(73).wav</t>
  </si>
  <si>
    <t>Lead_ItemNr(598)_SetNr(106)_WoT_Level(0)_Complexity(4)_Time(8)_SongNr(72).wav</t>
  </si>
  <si>
    <t>Guitar_ItemNr(393)_SetNr(125)_WoT_Level(0)_Complexity(4)_Time(8)_SongNr(71).wav</t>
  </si>
  <si>
    <t>Bass_ItemNr(1485)_SetNr(651)_WoT_Level(0)_Complexity(4)_Time(8)_SongNr(68).wav</t>
  </si>
  <si>
    <t>Lead_ItemNr(621)_SetNr(109)_WoT_Level(0)_Complexity(4)_Time(8)_SongNr(66).wav</t>
  </si>
  <si>
    <t>Bass_ItemNr(833)_SetNr(374)_WoT_Level(0)_Complexity(4)_Time(8)_SongNr(65).wav</t>
  </si>
  <si>
    <t>Lead_ItemNr(1624)_SetNr(282)_WoT_Level(0)_Complexity(4)_Time(8)_SongNr(64).wav</t>
  </si>
  <si>
    <t>Guitar_ItemNr(58)_SetNr(016)_WoT_Level(0)_Complexity(4)_Time(8)_SongNr(60).wav</t>
  </si>
  <si>
    <t>Guitar_ItemNr(1873)_SetNr(565)_WoT_Level(0)_Complexity(4)_Time(8)_SongNr(59).wav</t>
  </si>
  <si>
    <t>Bass_ItemNr(162)_SetNr(069)_WoT_Level(0)_Complexity(4)_Time(8)_SongNr(47).wav</t>
  </si>
  <si>
    <t>Lead_ItemNr(266)_SetNr(051)_WoT_Level(0)_Complexity(4)_Time(8)_SongNr(117).wav</t>
  </si>
  <si>
    <t>Guitar_ItemNr(1138)_SetNr(341)_WoT_Level(0)_Complexity(4)_Time(8)_SongNr(1).wav</t>
  </si>
  <si>
    <t>Lead_ItemNr(571)_SetNr(099)_WoT_Level(0)_Complexity(4)_Time(78)_SongNr(97).wav</t>
  </si>
  <si>
    <t>Bass_ItemNr(1560)_SetNr(680)_WoT_Level(0)_Complexity(4)_Time(78)_SongNr(89).wav</t>
  </si>
  <si>
    <t>Piano_ItemNr(2037)_SetNr(193)_WoT_Level(0)_Complexity(4)_Time(78)_SongNr(81).wav</t>
  </si>
  <si>
    <t>Piano_ItemNr(3222)_SetNr(396)_WoT_Level(0)_Complexity(4)_Time(78)_SongNr(63).wav</t>
  </si>
  <si>
    <t>Guitar_ItemNr(1215)_SetNr(365)_WoT_Level(0)_Complexity(4)_Time(78)_SongNr(43).wav</t>
  </si>
  <si>
    <t>Lead_ItemNr(3138)_SetNr(739)_WoT_Level(0)_Complexity(4)_Time(78)_SongNr(40).wav</t>
  </si>
  <si>
    <t>Lead_ItemNr(2981)_SetNr(675)_WoT_Level(0)_Complexity(4)_Time(78)_SongNr(36).wav</t>
  </si>
  <si>
    <t>Lead_ItemNr(1768)_SetNr(307)_WoT_Level(0)_Complexity(4)_Time(78)_SongNr(32).wav</t>
  </si>
  <si>
    <t>Bass_ItemNr(1455)_SetNr(636)_WoT_Level(0)_Complexity(4)_Time(78)_SongNr(25).wav</t>
  </si>
  <si>
    <t>Guitar_ItemNr(2021)_SetNr(614)_WoT_Level(0)_Complexity(4)_Time(78)_SongNr(116).wav</t>
  </si>
  <si>
    <t>Piano_ItemNr(2731)_SetNr(281)_WoT_Level(0)_Complexity(4)_Time(78)_SongNr(115).wav</t>
  </si>
  <si>
    <t>Guitar_ItemNr(708)_SetNr(216)_WoT_Level(0)_Complexity(4)_Time(78)_SongNr(107).wav</t>
  </si>
  <si>
    <t>Bass_ItemNr(1665)_SetNr(727)_WoT_Level(0)_Complexity(4)_Time(76)_SongNr(89).wav</t>
  </si>
  <si>
    <t>Lead_ItemNr(2822)_SetNr(611)_WoT_Level(0)_Complexity(4)_Time(76)_SongNr(85).wav</t>
  </si>
  <si>
    <t>Bass_ItemNr(1308)_SetNr(567)_WoT_Level(0)_Complexity(4)_Time(76)_SongNr(69).wav</t>
  </si>
  <si>
    <t>Guitar_ItemNr(2641)_SetNr(873)_WoT_Level(0)_Complexity(4)_Time(76)_SongNr(66).wav</t>
  </si>
  <si>
    <t>Piano_ItemNr(3037)_SetNr(350)_WoT_Level(0)_Complexity(4)_Time(76)_SongNr(63).wav</t>
  </si>
  <si>
    <t>Piano_ItemNr(108)_SetNr(007)_WoT_Level(0)_Complexity(4)_Time(76)_SongNr(61).wav</t>
  </si>
  <si>
    <t>Bass_ItemNr(213)_SetNr(087)_WoT_Level(0)_Complexity(4)_Time(76)_SongNr(43).wav</t>
  </si>
  <si>
    <t>Lead_ItemNr(463)_SetNr(085)_WoT_Level(0)_Complexity(4)_Time(76)_SongNr(40).wav</t>
  </si>
  <si>
    <t>Lead_ItemNr(2445)_SetNr(466)_WoT_Level(0)_Complexity(4)_Time(76)_SongNr(36).wav</t>
  </si>
  <si>
    <t>Guitar_ItemNr(2363)_SetNr(752)_WoT_Level(0)_Complexity(4)_Time(76)_SongNr(33).wav</t>
  </si>
  <si>
    <t>Lead_ItemNr(2721)_SetNr(568)_WoT_Level(0)_Complexity(4)_Time(76)_SongNr(32).wav</t>
  </si>
  <si>
    <t>Bass_ItemNr(381)_SetNr(160)_WoT_Level(0)_Complexity(4)_Time(76)_SongNr(30).wav</t>
  </si>
  <si>
    <t>Piano_ItemNr(1852)_SetNr(169)_WoT_Level(0)_Complexity(4)_Time(76)_SongNr(23).wav</t>
  </si>
  <si>
    <t>Bass_ItemNr(843)_SetNr(379)_WoT_Level(0)_Complexity(4)_Time(76)_SongNr(2).wav</t>
  </si>
  <si>
    <t>Guitar_ItemNr(1593)_SetNr(485)_WoT_Level(0)_Complexity(4)_Time(76)_SongNr(19).wav</t>
  </si>
  <si>
    <t>Lead_ItemNr(3341)_SetNr(845)_WoT_Level(0)_Complexity(4)_Time(76)_SongNr(110).wav</t>
  </si>
  <si>
    <t>Bass_ItemNr(1322)_SetNr(575)_WoT_Level(0)_Complexity(4)_Time(748)_SongNr(54).wav</t>
  </si>
  <si>
    <t>Bass_ItemNr(1809)_SetNr(785)_WoT_Level(0)_Complexity(4)_Time(74)_SongNr(81).wav</t>
  </si>
  <si>
    <t>Guitar_ItemNr(751)_SetNr(231)_WoT_Level(0)_Complexity(4)_Time(74)_SongNr(66).wav</t>
  </si>
  <si>
    <t>Lead_ItemNr(3080)_SetNr(716)_WoT_Level(0)_Complexity(4)_Time(74)_SongNr(38).wav</t>
  </si>
  <si>
    <t>Bass_ItemNr(1426)_SetNr(624)_WoT_Level(0)_Complexity(4)_Time(74)_SongNr(34).wav</t>
  </si>
  <si>
    <t>Lead_ItemNr(3342)_SetNr(846)_WoT_Level(0)_Complexity(4)_Time(74)_SongNr(25).wav</t>
  </si>
  <si>
    <t>Guitar_ItemNr(1268)_SetNr(384)_WoT_Level(0)_Complexity(4)_Time(74)_SongNr(24).wav</t>
  </si>
  <si>
    <t>Lead_ItemNr(854)_SetNr(149)_WoT_Level(0)_Complexity(4)_Time(74)_SongNr(23).wav</t>
  </si>
  <si>
    <t>Lead_ItemNr(3201)_SetNr(771)_WoT_Level(0)_Complexity(4)_Time(74)_SongNr(2).wav</t>
  </si>
  <si>
    <t>Lead_ItemNr(3136)_SetNr(738)_WoT_Level(0)_Complexity(4)_Time(74)_SongNr(15).wav</t>
  </si>
  <si>
    <t>Bass_ItemNr(773)_SetNr(346)_WoT_Level(0)_Complexity(4)_Time(74)_SongNr(113).wav</t>
  </si>
  <si>
    <t>Piano_ItemNr(2192)_SetNr(209)_WoT_Level(0)_Complexity(4)_Time(72)_SongNr(81).wav</t>
  </si>
  <si>
    <t>Bass_ItemNr(1380)_SetNr(604)_WoT_Level(0)_Complexity(4)_Time(72)_SongNr(69).wav</t>
  </si>
  <si>
    <t>Piano_ItemNr(2553)_SetNr(252)_WoT_Level(0)_Complexity(4)_Time(72)_SongNr(63).wav</t>
  </si>
  <si>
    <t>Guitar_ItemNr(885)_SetNr(268)_WoT_Level(0)_Complexity(4)_Time(72)_SongNr(41).wav</t>
  </si>
  <si>
    <t>Lead_ItemNr(2894)_SetNr(634)_WoT_Level(0)_Complexity(4)_Time(72)_SongNr(40).wav</t>
  </si>
  <si>
    <t>Guitar_ItemNr(1991)_SetNr(602)_WoT_Level(0)_Complexity(4)_Time(72)_SongNr(39).wav</t>
  </si>
  <si>
    <t>Piano_ItemNr(2980)_SetNr(336)_WoT_Level(0)_Complexity(4)_Time(72)_SongNr(13).wav</t>
  </si>
  <si>
    <t>Lead_ItemNr(2565)_SetNr(513)_WoT_Level(0)_Complexity(4)_Time(72)_SongNr(116).wav</t>
  </si>
  <si>
    <t>Lead_ItemNr(1777)_SetNr(308)_WoT_Level(0)_Complexity(4)_Time(72)_SongNr(113).wav</t>
  </si>
  <si>
    <t>Guitar_ItemNr(915)_SetNr(279)_WoT_Level(0)_Complexity(4)_Time(72)_SongNr(105).wav</t>
  </si>
  <si>
    <t>Piano_ItemNr(3837)_SetNr(489)_WoT_Level(0)_Complexity(4)_Time(72)_SongNr(102).wav</t>
  </si>
  <si>
    <t>Bass_ItemNr(675)_SetNr(293)_WoT_Level(0)_Complexity(4)_Time(70)_SongNr(97).wav</t>
  </si>
  <si>
    <t>Lead_ItemNr(3274)_SetNr(815)_WoT_Level(0)_Complexity(4)_Time(70)_SongNr(94).wav</t>
  </si>
  <si>
    <t>Guitar_ItemNr(2376)_SetNr(757)_WoT_Level(0)_Complexity(4)_Time(70)_SongNr(89).wav</t>
  </si>
  <si>
    <t>Piano_ItemNr(2331)_SetNr(225)_WoT_Level(0)_Complexity(4)_Time(70)_SongNr(81).wav</t>
  </si>
  <si>
    <t>Bass_ItemNr(70)_SetNr(037)_WoT_Level(0)_Complexity(4)_Time(70)_SongNr(70).wav</t>
  </si>
  <si>
    <t>Guitar_ItemNr(2414)_SetNr(774)_WoT_Level(0)_Complexity(4)_Time(70)_SongNr(66).wav</t>
  </si>
  <si>
    <t>Piano_ItemNr(2897)_SetNr(317)_WoT_Level(0)_Complexity(4)_Time(70)_SongNr(63).wav</t>
  </si>
  <si>
    <t>Bass_ItemNr(1010)_SetNr(446)_WoT_Level(0)_Complexity(4)_Time(70)_SongNr(49).wav</t>
  </si>
  <si>
    <t>Guitar_ItemNr(1784)_SetNr(538)_WoT_Level(0)_Complexity(4)_Time(70)_SongNr(46).wav</t>
  </si>
  <si>
    <t>Piano_ItemNr(3001)_SetNr(339)_WoT_Level(0)_Complexity(4)_Time(70)_SongNr(40).wav</t>
  </si>
  <si>
    <t>Bass_ItemNr(1221)_SetNr(538)_WoT_Level(0)_Complexity(4)_Time(70)_SongNr(30).wav</t>
  </si>
  <si>
    <t>Lead_ItemNr(1338)_SetNr(230)_WoT_Level(0)_Complexity(4)_Time(70)_SongNr(25).wav</t>
  </si>
  <si>
    <t>Guitar_ItemNr(625)_SetNr(197)_WoT_Level(0)_Complexity(4)_Time(70)_SongNr(24).wav</t>
  </si>
  <si>
    <t>Piano_ItemNr(723)_SetNr(057)_WoT_Level(0)_Complexity(4)_Time(70)_SongNr(21).wav</t>
  </si>
  <si>
    <t>Bass_ItemNr(192)_SetNr(079)_WoT_Level(0)_Complexity(4)_Time(70)_SongNr(18).wav</t>
  </si>
  <si>
    <t>Bass_ItemNr(1422)_SetNr(623)_WoT_Level(0)_Complexity(4)_Time(70)_SongNr(15).wav</t>
  </si>
  <si>
    <t>Lead_ItemNr(925)_SetNr(161)_WoT_Level(0)_Complexity(4)_Time(70)_SongNr(115).wav</t>
  </si>
  <si>
    <t>Guitar_ItemNr(1869)_SetNr(564)_WoT_Level(0)_Complexity(4)_Time(70)_SongNr(107).wav</t>
  </si>
  <si>
    <t>Bass_ItemNr(1855)_SetNr(808)_WoT_Level(0)_Complexity(4)_Time(696)_SongNr(54).wav</t>
  </si>
  <si>
    <t>Lead_ItemNr(9)_SetNr(003)_WoT_Level(0)_Complexity(4)_Time(68)_SongNr(85).wav</t>
  </si>
  <si>
    <t>Piano_ItemNr(840)_SetNr(063)_WoT_Level(0)_Complexity(4)_Time(68)_SongNr(83).wav</t>
  </si>
  <si>
    <t>Bass_ItemNr(1185)_SetNr(526)_WoT_Level(0)_Complexity(4)_Time(68)_SongNr(81).wav</t>
  </si>
  <si>
    <t>Bass_ItemNr(1705)_SetNr(745)_WoT_Level(0)_Complexity(4)_Time(68)_SongNr(69).wav</t>
  </si>
  <si>
    <t>Lead_ItemNr(2567)_SetNr(514)_WoT_Level(0)_Complexity(4)_Time(68)_SongNr(66).wav</t>
  </si>
  <si>
    <t>Piano_ItemNr(518)_SetNr(043)_WoT_Level(0)_Complexity(4)_Time(68)_SongNr(63).wav</t>
  </si>
  <si>
    <t>Lead_ItemNr(2872)_SetNr(627)_WoT_Level(0)_Complexity(4)_Time(68)_SongNr(57).wav</t>
  </si>
  <si>
    <t>Lead_ItemNr(2658)_SetNr(544)_WoT_Level(0)_Complexity(4)_Time(68)_SongNr(56).wav</t>
  </si>
  <si>
    <t>Lead_ItemNr(2571)_SetNr(516)_WoT_Level(0)_Complexity(4)_Time(68)_SongNr(55).wav</t>
  </si>
  <si>
    <t>Lead_ItemNr(2756)_SetNr(586)_WoT_Level(0)_Complexity(4)_Time(68)_SongNr(40).wav</t>
  </si>
  <si>
    <t>Guitar_ItemNr(118)_SetNr(034)_WoT_Level(0)_Complexity(4)_Time(68)_SongNr(39).wav</t>
  </si>
  <si>
    <t>Lead_ItemNr(2797)_SetNr(602)_WoT_Level(0)_Complexity(4)_Time(68)_SongNr(33).wav</t>
  </si>
  <si>
    <t>Guitar_ItemNr(1479)_SetNr(449)_WoT_Level(0)_Complexity(4)_Time(68)_SongNr(2).wav</t>
  </si>
  <si>
    <t>Lead_ItemNr(1412)_SetNr(235)_WoT_Level(0)_Complexity(4)_Time(66)_SongNr(97).wav</t>
  </si>
  <si>
    <t>Guitar_ItemNr(2300)_SetNr(721)_WoT_Level(0)_Complexity(4)_Time(66)_SongNr(94).wav</t>
  </si>
  <si>
    <t>Bass_ItemNr(639)_SetNr(278)_WoT_Level(0)_Complexity(4)_Time(66)_SongNr(89).wav</t>
  </si>
  <si>
    <t>Bass_ItemNr(447)_SetNr(188)_WoT_Level(0)_Complexity(4)_Time(66)_SongNr(85).wav</t>
  </si>
  <si>
    <t>Piano_ItemNr(2818)_SetNr(302)_WoT_Level(0)_Complexity(4)_Time(66)_SongNr(81).wav</t>
  </si>
  <si>
    <t>Piano_ItemNr(2347)_SetNr(226)_WoT_Level(0)_Complexity(4)_Time(66)_SongNr(63).wav</t>
  </si>
  <si>
    <t>Piano_ItemNr(2060)_SetNr(197)_WoT_Level(0)_Complexity(4)_Time(66)_SongNr(61).wav</t>
  </si>
  <si>
    <t>Lead_ItemNr(2643)_SetNr(538)_WoT_Level(0)_Complexity(4)_Time(66)_SongNr(35).wav</t>
  </si>
  <si>
    <t>Guitar_ItemNr(709)_SetNr(217)_WoT_Level(0)_Complexity(4)_Time(66)_SongNr(33).wav</t>
  </si>
  <si>
    <t>Lead_ItemNr(2089)_SetNr(372)_WoT_Level(0)_Complexity(4)_Time(66)_SongNr(31).wav</t>
  </si>
  <si>
    <t>Bass_ItemNr(679)_SetNr(296)_WoT_Level(0)_Complexity(4)_Time(66)_SongNr(26).wav</t>
  </si>
  <si>
    <t>Guitar_ItemNr(77)_SetNr(023)_WoT_Level(0)_Complexity(4)_Time(66)_SongNr(2).wav</t>
  </si>
  <si>
    <t>Piano_ItemNr(3105)_SetNr(364)_WoT_Level(0)_Complexity(4)_Time(66)_SongNr(115).wav</t>
  </si>
  <si>
    <t>Guitar_ItemNr(1459)_SetNr(443)_WoT_Level(0)_Complexity(4)_Time(66)_SongNr(107).wav</t>
  </si>
  <si>
    <t>Bass_ItemNr(89)_SetNr(043)_WoT_Level(0)_Complexity(4)_Time(64)_SongNr(69).wav</t>
  </si>
  <si>
    <t>Bass_ItemNr(1751)_SetNr(764)_WoT_Level(0)_Complexity(4)_Time(64)_SongNr(66).wav</t>
  </si>
  <si>
    <t>Lead_ItemNr(197)_SetNr(042)_WoT_Level(0)_Complexity(4)_Time(64)_SongNr(48).wav</t>
  </si>
  <si>
    <t>Guitar_ItemNr(2059)_SetNr(625)_WoT_Level(0)_Complexity(4)_Time(64)_SongNr(43).wav</t>
  </si>
  <si>
    <t>Guitar_ItemNr(559)_SetNr(180)_WoT_Level(0)_Complexity(4)_Time(64)_SongNr(33).wav</t>
  </si>
  <si>
    <t>Lead_ItemNr(2782)_SetNr(597)_WoT_Level(0)_Complexity(4)_Time(64)_SongNr(2).wav</t>
  </si>
  <si>
    <t>Bass_ItemNr(267)_SetNr(114)_WoT_Level(0)_Complexity(4)_Time(64)_SongNr(17).wav</t>
  </si>
  <si>
    <t>Bass_ItemNr(1618)_SetNr(701)_WoT_Level(0)_Complexity(4)_Time(64)_SongNr(115).wav</t>
  </si>
  <si>
    <t>Guitar_ItemNr(2634)_SetNr(871)_WoT_Level(0)_Complexity(4)_Time(64)_SongNr(110).wav</t>
  </si>
  <si>
    <t>Guitar_ItemNr(1059)_SetNr(318)_WoT_Level(0)_Complexity(4)_Time(64)_SongNr(101).wav</t>
  </si>
  <si>
    <t>Lead_ItemNr(3403)_SetNr(877)_WoT_Level(0)_Complexity(4)_Time(62)_SongNr(94).wav</t>
  </si>
  <si>
    <t>Bass_ItemNr(1162)_SetNr(517)_WoT_Level(0)_Complexity(4)_Time(62)_SongNr(89).wav</t>
  </si>
  <si>
    <t>Guitar_ItemNr(2118)_SetNr(648)_WoT_Level(0)_Complexity(4)_Time(62)_SongNr(85).wav</t>
  </si>
  <si>
    <t>Bass_ItemNr(400)_SetNr(170)_WoT_Level(0)_Complexity(4)_Time(62)_SongNr(81).wav</t>
  </si>
  <si>
    <t>Bass_ItemNr(1082)_SetNr(480)_WoT_Level(0)_Complexity(4)_Time(62)_SongNr(74).wav</t>
  </si>
  <si>
    <t>Bass_ItemNr(1524)_SetNr(667)_WoT_Level(0)_Complexity(4)_Time(62)_SongNr(63).wav</t>
  </si>
  <si>
    <t>Piano_ItemNr(1171)_SetNr(100)_WoT_Level(0)_Complexity(4)_Time(62)_SongNr(61).wav</t>
  </si>
  <si>
    <t>Lead_ItemNr(431)_SetNr(078)_WoT_Level(0)_Complexity(4)_Time(62)_SongNr(49).wav</t>
  </si>
  <si>
    <t>Guitar_ItemNr(2109)_SetNr(642)_WoT_Level(0)_Complexity(4)_Time(62)_SongNr(46).wav</t>
  </si>
  <si>
    <t>Guitar_ItemNr(2443)_SetNr(786)_WoT_Level(0)_Complexity(4)_Time(62)_SongNr(43).wav</t>
  </si>
  <si>
    <t>Lead_ItemNr(829)_SetNr(143)_WoT_Level(0)_Complexity(4)_Time(62)_SongNr(35).wav</t>
  </si>
  <si>
    <t>Guitar_ItemNr(1522)_SetNr(464)_WoT_Level(0)_Complexity(4)_Time(62)_SongNr(33).wav</t>
  </si>
  <si>
    <t>Bass_ItemNr(901)_SetNr(401)_WoT_Level(0)_Complexity(4)_Time(62)_SongNr(30).wav</t>
  </si>
  <si>
    <t>Piano_ItemNr(2877)_SetNr(311)_WoT_Level(0)_Complexity(4)_Time(62)_SongNr(21).wav</t>
  </si>
  <si>
    <t>Lead_ItemNr(1997)_SetNr(342)_WoT_Level(0)_Complexity(4)_Time(62)_SongNr(20).wav</t>
  </si>
  <si>
    <t>Lead_ItemNr(2995)_SetNr(682)_WoT_Level(0)_Complexity(4)_Time(62)_SongNr(2).wav</t>
  </si>
  <si>
    <t>Lead_ItemNr(1699)_SetNr(291)_WoT_Level(0)_Complexity(4)_Time(62)_SongNr(116).wav</t>
  </si>
  <si>
    <t>Bass_ItemNr(553)_SetNr(235)_WoT_Level(0)_Complexity(4)_Time(62)_SongNr(110).wav</t>
  </si>
  <si>
    <t>Lead_ItemNr(2343)_SetNr(430)_WoT_Level(0)_Complexity(4)_Time(60)_SongNr(95).wav</t>
  </si>
  <si>
    <t>Guitar_ItemNr(2408)_SetNr(771)_WoT_Level(0)_Complexity(4)_Time(60)_SongNr(85).wav</t>
  </si>
  <si>
    <t>Bass_ItemNr(859)_SetNr(384)_WoT_Level(0)_Complexity(4)_Time(60)_SongNr(84).wav</t>
  </si>
  <si>
    <t>Piano_ItemNr(2519)_SetNr(249)_WoT_Level(0)_Complexity(4)_Time(60)_SongNr(81).wav</t>
  </si>
  <si>
    <t>Bass_ItemNr(776)_SetNr(348)_WoT_Level(0)_Complexity(4)_Time(60)_SongNr(74).wav</t>
  </si>
  <si>
    <t>Bass_ItemNr(891)_SetNr(395)_WoT_Level(0)_Complexity(4)_Time(60)_SongNr(73).wav</t>
  </si>
  <si>
    <t>Bass_ItemNr(1318)_SetNr(571)_WoT_Level(0)_Complexity(4)_Time(60)_SongNr(66).wav</t>
  </si>
  <si>
    <t>Bass_ItemNr(1608)_SetNr(695)_WoT_Level(0)_Complexity(4)_Time(60)_SongNr(63).wav</t>
  </si>
  <si>
    <t>Piano_ItemNr(3178)_SetNr(386)_WoT_Level(0)_Complexity(4)_Time(60)_SongNr(61).wav</t>
  </si>
  <si>
    <t>Guitar_ItemNr(2449)_SetNr(789)_WoT_Level(0)_Complexity(4)_Time(60)_SongNr(58).wav</t>
  </si>
  <si>
    <t>Lead_ItemNr(2018)_SetNr(351)_WoT_Level(0)_Complexity(4)_Time(60)_SongNr(48).wav</t>
  </si>
  <si>
    <t>Guitar_ItemNr(2563)_SetNr(832)_WoT_Level(0)_Complexity(4)_Time(60)_SongNr(46).wav</t>
  </si>
  <si>
    <t>Bass_ItemNr(336)_SetNr(139)_WoT_Level(0)_Complexity(4)_Time(60)_SongNr(43).wav</t>
  </si>
  <si>
    <t>Guitar_ItemNr(1424)_SetNr(430)_WoT_Level(0)_Complexity(4)_Time(60)_SongNr(41).wav</t>
  </si>
  <si>
    <t>Lead_ItemNr(1364)_SetNr(231)_WoT_Level(0)_Complexity(4)_Time(60)_SongNr(38).wav</t>
  </si>
  <si>
    <t>Lead_ItemNr(3372)_SetNr(862)_WoT_Level(0)_Complexity(4)_Time(60)_SongNr(33).wav</t>
  </si>
  <si>
    <t>Lead_ItemNr(428)_SetNr(076)_WoT_Level(0)_Complexity(4)_Time(60)_SongNr(25).wav</t>
  </si>
  <si>
    <t>Piano_ItemNr(2138)_SetNr(204)_WoT_Level(0)_Complexity(4)_Time(60)_SongNr(23).wav</t>
  </si>
  <si>
    <t>Bass_ItemNr(1669)_SetNr(729)_WoT_Level(0)_Complexity(4)_Time(60)_SongNr(21).wav</t>
  </si>
  <si>
    <t>Lead_ItemNr(2979)_SetNr(674)_WoT_Level(0)_Complexity(4)_Time(60)_SongNr(2).wav</t>
  </si>
  <si>
    <t>Bass_ItemNr(1296)_SetNr(563)_WoT_Level(0)_Complexity(4)_Time(60)_SongNr(18).wav</t>
  </si>
  <si>
    <t>Lead_ItemNr(2292)_SetNr(417)_WoT_Level(0)_Complexity(4)_Time(60)_SongNr(110).wav</t>
  </si>
  <si>
    <t>Guitar_ItemNr(56)_SetNr(015)_WoT_Level(0)_Complexity(4)_Time(60)_SongNr(105).wav</t>
  </si>
  <si>
    <t>Lead_ItemNr(2985)_SetNr(678)_WoT_Level(0)_Complexity(4)_Time(60)_SongNr(103).wav</t>
  </si>
  <si>
    <t>Piano_ItemNr(3708)_SetNr(471)_WoT_Level(0)_Complexity(4)_Time(6)_SongNr(97).wav</t>
  </si>
  <si>
    <t>Guitar_ItemNr(1263)_SetNr(382)_WoT_Level(0)_Complexity(4)_Time(6)_SongNr(78).wav</t>
  </si>
  <si>
    <t>Guitar_ItemNr(568)_SetNr(183)_WoT_Level(0)_Complexity(4)_Time(6)_SongNr(77).wav</t>
  </si>
  <si>
    <t>Guitar_ItemNr(911)_SetNr(277)_WoT_Level(0)_Complexity(4)_Time(6)_SongNr(76).wav</t>
  </si>
  <si>
    <t>Lead_ItemNr(806)_SetNr(138)_WoT_Level(0)_Complexity(4)_Time(6)_SongNr(75).wav</t>
  </si>
  <si>
    <t>Bass_ItemNr(1947)_SetNr(840)_WoT_Level(0)_Complexity(4)_Time(6)_SongNr(73).wav</t>
  </si>
  <si>
    <t>Guitar_ItemNr(808)_SetNr(246)_WoT_Level(0)_Complexity(4)_Time(6)_SongNr(72).wav</t>
  </si>
  <si>
    <t>Bass_ItemNr(29)_SetNr(012)_WoT_Level(0)_Complexity(4)_Time(6)_SongNr(71).wav</t>
  </si>
  <si>
    <t>Bass_ItemNr(38)_SetNr(018)_WoT_Level(0)_Complexity(4)_Time(6)_SongNr(66).wav</t>
  </si>
  <si>
    <t>Lead_ItemNr(146)_SetNr(026)_WoT_Level(0)_Complexity(4)_Time(6)_SongNr(65).wav</t>
  </si>
  <si>
    <t>Lead_ItemNr(298)_SetNr(057)_WoT_Level(0)_Complexity(4)_Time(6)_SongNr(64).wav</t>
  </si>
  <si>
    <t>Piano_ItemNr(112)_SetNr(008)_WoT_Level(0)_Complexity(4)_Time(6)_SongNr(63).wav</t>
  </si>
  <si>
    <t>Lead_ItemNr(156)_SetNr(029)_WoT_Level(0)_Complexity(4)_Time(6)_SongNr(62).wav</t>
  </si>
  <si>
    <t>Lead_ItemNr(1237)_SetNr(213)_WoT_Level(0)_Complexity(4)_Time(6)_SongNr(60).wav</t>
  </si>
  <si>
    <t>Lead_ItemNr(26)_SetNr(005)_WoT_Level(0)_Complexity(4)_Time(6)_SongNr(59).wav</t>
  </si>
  <si>
    <t>Bass_ItemNr(210)_SetNr(085)_WoT_Level(0)_Complexity(4)_Time(6)_SongNr(33).wav</t>
  </si>
  <si>
    <t>Bass_ItemNr(427)_SetNr(181)_WoT_Level(0)_Complexity(4)_Time(6)_SongNr(117).wav</t>
  </si>
  <si>
    <t>Bass_ItemNr(497)_SetNr(204)_WoT_Level(0)_Complexity(4)_Time(58)_SongNr(74).wav</t>
  </si>
  <si>
    <t>Bass_ItemNr(1884)_SetNr(820)_WoT_Level(0)_Complexity(4)_Time(58)_SongNr(73).wav</t>
  </si>
  <si>
    <t>Lead_ItemNr(2983)_SetNr(677)_WoT_Level(0)_Complexity(4)_Time(58)_SongNr(66).wav</t>
  </si>
  <si>
    <t>Bass_ItemNr(94)_SetNr(045)_WoT_Level(0)_Complexity(4)_Time(58)_SongNr(63).wav</t>
  </si>
  <si>
    <t>Piano_ItemNr(3316)_SetNr(410)_WoT_Level(0)_Complexity(4)_Time(58)_SongNr(61).wav</t>
  </si>
  <si>
    <t>Bass_ItemNr(861)_SetNr(385)_WoT_Level(0)_Complexity(4)_Time(58)_SongNr(57).wav</t>
  </si>
  <si>
    <t>Guitar_ItemNr(830)_SetNr(253)_WoT_Level(0)_Complexity(4)_Time(58)_SongNr(56).wav</t>
  </si>
  <si>
    <t>Guitar_ItemNr(1230)_SetNr(372)_WoT_Level(0)_Complexity(4)_Time(58)_SongNr(33).wav</t>
  </si>
  <si>
    <t>Piano_ItemNr(2589)_SetNr(258)_WoT_Level(0)_Complexity(4)_Time(58)_SongNr(23).wav</t>
  </si>
  <si>
    <t>Guitar_ItemNr(369)_SetNr(118)_WoT_Level(0)_Complexity(4)_Time(58)_SongNr(19).wav</t>
  </si>
  <si>
    <t>Bass_ItemNr(1640)_SetNr(715)_WoT_Level(0)_Complexity(4)_Time(58)_SongNr(18).wav</t>
  </si>
  <si>
    <t>Bass_ItemNr(1623)_SetNr(705)_WoT_Level(0)_Complexity(4)_Time(58)_SongNr(17).wav</t>
  </si>
  <si>
    <t>Guitar_ItemNr(324)_SetNr(101)_WoT_Level(0)_Complexity(4)_Time(58)_SongNr(14).wav</t>
  </si>
  <si>
    <t>Guitar_ItemNr(2002)_SetNr(608)_WoT_Level(0)_Complexity(4)_Time(58)_SongNr(112).wav</t>
  </si>
  <si>
    <t>Guitar_ItemNr(1622)_SetNr(490)_WoT_Level(0)_Complexity(4)_Time(56)_SongNr(94).wav</t>
  </si>
  <si>
    <t>Bass_ItemNr(936)_SetNr(408)_WoT_Level(0)_Complexity(4)_Time(56)_SongNr(89).wav</t>
  </si>
  <si>
    <t>Lead_ItemNr(2526)_SetNr(494)_WoT_Level(0)_Complexity(4)_Time(56)_SongNr(85).wav</t>
  </si>
  <si>
    <t>Piano_ItemNr(2699)_SetNr(274)_WoT_Level(0)_Complexity(4)_Time(56)_SongNr(81).wav</t>
  </si>
  <si>
    <t>Bass_ItemNr(674)_SetNr(292)_WoT_Level(0)_Complexity(4)_Time(56)_SongNr(73).wav</t>
  </si>
  <si>
    <t>Lead_ItemNr(3108)_SetNr(728)_WoT_Level(0)_Complexity(4)_Time(56)_SongNr(66).wav</t>
  </si>
  <si>
    <t>Piano_ItemNr(3126)_SetNr(371)_WoT_Level(0)_Complexity(4)_Time(56)_SongNr(63).wav</t>
  </si>
  <si>
    <t>Bass_ItemNr(702)_SetNr(306)_WoT_Level(0)_Complexity(4)_Time(56)_SongNr(61).wav</t>
  </si>
  <si>
    <t>Bass_ItemNr(719)_SetNr(315)_WoT_Level(0)_Complexity(4)_Time(56)_SongNr(56).wav</t>
  </si>
  <si>
    <t>Lead_ItemNr(3332)_SetNr(841)_WoT_Level(0)_Complexity(4)_Time(56)_SongNr(39).wav</t>
  </si>
  <si>
    <t>Lead_ItemNr(2413)_SetNr(454)_WoT_Level(0)_Complexity(4)_Time(56)_SongNr(23).wav</t>
  </si>
  <si>
    <t>Lead_ItemNr(3073)_SetNr(714)_WoT_Level(0)_Complexity(4)_Time(56)_SongNr(10).wav</t>
  </si>
  <si>
    <t>Lead_ItemNr(185)_SetNr(038)_WoT_Level(0)_Complexity(4)_Time(54)_SongNr(85).wav</t>
  </si>
  <si>
    <t>Piano_ItemNr(2578)_SetNr(255)_WoT_Level(0)_Complexity(4)_Time(54)_SongNr(81).wav</t>
  </si>
  <si>
    <t>Bass_ItemNr(1860)_SetNr(811)_WoT_Level(0)_Complexity(4)_Time(54)_SongNr(74).wav</t>
  </si>
  <si>
    <t>Lead_ItemNr(2621)_SetNr(528)_WoT_Level(0)_Complexity(4)_Time(54)_SongNr(7).wav</t>
  </si>
  <si>
    <t>Piano_ItemNr(329)_SetNr(028)_WoT_Level(0)_Complexity(4)_Time(54)_SongNr(63).wav</t>
  </si>
  <si>
    <t>Bass_ItemNr(1638)_SetNr(713)_WoT_Level(0)_Complexity(4)_Time(54)_SongNr(61).wav</t>
  </si>
  <si>
    <t>Guitar_ItemNr(2555)_SetNr(828)_WoT_Level(0)_Complexity(4)_Time(54)_SongNr(57).wav</t>
  </si>
  <si>
    <t>Lead_ItemNr(128)_SetNr(024)_WoT_Level(0)_Complexity(4)_Time(54)_SongNr(55).wav</t>
  </si>
  <si>
    <t>Guitar_ItemNr(2052)_SetNr(622)_WoT_Level(0)_Complexity(4)_Time(54)_SongNr(46).wav</t>
  </si>
  <si>
    <t>Lead_ItemNr(1245)_SetNr(215)_WoT_Level(0)_Complexity(4)_Time(54)_SongNr(21).wav</t>
  </si>
  <si>
    <t>Lead_ItemNr(2763)_SetNr(588)_WoT_Level(0)_Complexity(4)_Time(54)_SongNr(2).wav</t>
  </si>
  <si>
    <t>Lead_ItemNr(2462)_SetNr(470)_WoT_Level(0)_Complexity(4)_Time(54)_SongNr(13).wav</t>
  </si>
  <si>
    <t>Lead_ItemNr(941)_SetNr(167)_WoT_Level(0)_Complexity(4)_Time(54)_SongNr(10).wav</t>
  </si>
  <si>
    <t>Lead_ItemNr(1967)_SetNr(335)_WoT_Level(0)_Complexity(4)_Time(52)_SongNr(95).wav</t>
  </si>
  <si>
    <t>Bass_ItemNr(1454)_SetNr(635)_WoT_Level(0)_Complexity(4)_Time(52)_SongNr(94).wav</t>
  </si>
  <si>
    <t>Lead_ItemNr(1305)_SetNr(223)_WoT_Level(0)_Complexity(4)_Time(52)_SongNr(85).wav</t>
  </si>
  <si>
    <t>Bass_ItemNr(321)_SetNr(135)_WoT_Level(0)_Complexity(4)_Time(52)_SongNr(84).wav</t>
  </si>
  <si>
    <t>Piano_ItemNr(133)_SetNr(010)_WoT_Level(0)_Complexity(4)_Time(52)_SongNr(81).wav</t>
  </si>
  <si>
    <t>Bass_ItemNr(282)_SetNr(119)_WoT_Level(0)_Complexity(4)_Time(52)_SongNr(73).wav</t>
  </si>
  <si>
    <t>Bass_ItemNr(1629)_SetNr(707)_WoT_Level(0)_Complexity(4)_Time(52)_SongNr(66).wav</t>
  </si>
  <si>
    <t>Lead_ItemNr(75)_SetNr(012)_WoT_Level(0)_Complexity(4)_Time(52)_SongNr(55).wav</t>
  </si>
  <si>
    <t>Guitar_ItemNr(2591)_SetNr(846)_WoT_Level(0)_Complexity(4)_Time(52)_SongNr(43).wav</t>
  </si>
  <si>
    <t>Lead_ItemNr(2535)_SetNr(500)_WoT_Level(0)_Complexity(4)_Time(52)_SongNr(41).wav</t>
  </si>
  <si>
    <t>Bass_ItemNr(1125)_SetNr(502)_WoT_Level(0)_Complexity(4)_Time(52)_SongNr(32).wav</t>
  </si>
  <si>
    <t>Bass_ItemNr(1390)_SetNr(606)_WoT_Level(0)_Complexity(4)_Time(52)_SongNr(26).wav</t>
  </si>
  <si>
    <t>Lead_ItemNr(2874)_SetNr(629)_WoT_Level(0)_Complexity(4)_Time(52)_SongNr(23).wav</t>
  </si>
  <si>
    <t>Lead_ItemNr(1566)_SetNr(264)_WoT_Level(0)_Complexity(4)_Time(52)_SongNr(2).wav</t>
  </si>
  <si>
    <t>Guitar_ItemNr(2097)_SetNr(637)_WoT_Level(0)_Complexity(4)_Time(52)_SongNr(105).wav</t>
  </si>
  <si>
    <t>Lead_ItemNr(2398)_SetNr(452)_WoT_Level(0)_Complexity(4)_Time(52)_SongNr(10).wav</t>
  </si>
  <si>
    <t>Guitar_ItemNr(2145)_SetNr(655)_WoT_Level(0)_Complexity(4)_Time(50)_SongNr(7).wav</t>
  </si>
  <si>
    <t>Lead_ItemNr(2716)_SetNr(567)_WoT_Level(0)_Complexity(4)_Time(50)_SongNr(66).wav</t>
  </si>
  <si>
    <t>Piano_ItemNr(2387)_SetNr(231)_WoT_Level(0)_Complexity(4)_Time(50)_SongNr(61).wav</t>
  </si>
  <si>
    <t>Lead_ItemNr(2523)_SetNr(491)_WoT_Level(0)_Complexity(4)_Time(50)_SongNr(58).wav</t>
  </si>
  <si>
    <t>Lead_ItemNr(2592)_SetNr(520)_WoT_Level(0)_Complexity(4)_Time(50)_SongNr(55).wav</t>
  </si>
  <si>
    <t>Bass_ItemNr(678)_SetNr(295)_WoT_Level(0)_Complexity(4)_Time(50)_SongNr(43).wav</t>
  </si>
  <si>
    <t>Bass_ItemNr(148)_SetNr(065)_WoT_Level(0)_Complexity(4)_Time(50)_SongNr(41).wav</t>
  </si>
  <si>
    <t>Guitar_ItemNr(572)_SetNr(185)_WoT_Level(0)_Complexity(4)_Time(50)_SongNr(38).wav</t>
  </si>
  <si>
    <t>Bass_ItemNr(300)_SetNr(127)_WoT_Level(0)_Complexity(4)_Time(50)_SongNr(32).wav</t>
  </si>
  <si>
    <t>Piano_ItemNr(1240)_SetNr(111)_WoT_Level(0)_Complexity(4)_Time(50)_SongNr(23).wav</t>
  </si>
  <si>
    <t>Bass_ItemNr(182)_SetNr(076)_WoT_Level(0)_Complexity(4)_Time(50)_SongNr(2).wav</t>
  </si>
  <si>
    <t>Bass_ItemNr(127)_SetNr(057)_WoT_Level(0)_Complexity(4)_Time(50)_SongNr(116).wav</t>
  </si>
  <si>
    <t>Guitar_ItemNr(2420)_SetNr(778)_WoT_Level(0)_Complexity(4)_Time(50)_SongNr(109).wav</t>
  </si>
  <si>
    <t>Guitar_ItemNr(1664)_SetNr(501)_WoT_Level(0)_Complexity(4)_Time(488)_SongNr(5).wav</t>
  </si>
  <si>
    <t>Lead_ItemNr(3305)_SetNr(831)_WoT_Level(0)_Complexity(4)_Time(48)_SongNr(94).wav</t>
  </si>
  <si>
    <t>Bass_ItemNr(1839)_SetNr(800)_WoT_Level(0)_Complexity(4)_Time(48)_SongNr(85).wav</t>
  </si>
  <si>
    <t>Bass_ItemNr(1748)_SetNr(762)_WoT_Level(0)_Complexity(4)_Time(48)_SongNr(8).wav</t>
  </si>
  <si>
    <t>Bass_ItemNr(1744)_SetNr(759)_WoT_Level(0)_Complexity(4)_Time(48)_SongNr(73).wav</t>
  </si>
  <si>
    <t>Guitar_ItemNr(2098)_SetNr(638)_WoT_Level(0)_Complexity(4)_Time(48)_SongNr(66).wav</t>
  </si>
  <si>
    <t>Piano_ItemNr(1690)_SetNr(153)_WoT_Level(0)_Complexity(4)_Time(48)_SongNr(63).wav</t>
  </si>
  <si>
    <t>Piano_ItemNr(1903)_SetNr(176)_WoT_Level(0)_Complexity(4)_Time(48)_SongNr(61).wav</t>
  </si>
  <si>
    <t>Bass_ItemNr(551)_SetNr(234)_WoT_Level(0)_Complexity(4)_Time(48)_SongNr(43).wav</t>
  </si>
  <si>
    <t>Lead_ItemNr(184)_SetNr(037)_WoT_Level(0)_Complexity(4)_Time(48)_SongNr(26).wav</t>
  </si>
  <si>
    <t>Lead_ItemNr(2015)_SetNr(349)_WoT_Level(0)_Complexity(4)_Time(48)_SongNr(2).wav</t>
  </si>
  <si>
    <t>Lead_ItemNr(2723)_SetNr(570)_WoT_Level(0)_Complexity(4)_Time(48)_SongNr(116).wav</t>
  </si>
  <si>
    <t>Lead_ItemNr(2251)_SetNr(411)_WoT_Level(0)_Complexity(4)_Time(48)_SongNr(111).wav</t>
  </si>
  <si>
    <t>Piano_ItemNr(2581)_SetNr(256)_WoT_Level(0)_Complexity(4)_Time(48)_SongNr(103).wav</t>
  </si>
  <si>
    <t>Bass_ItemNr(1394)_SetNr(609)_WoT_Level(0)_Complexity(4)_Time(478)_SongNr(54).wav</t>
  </si>
  <si>
    <t>Guitar_ItemNr(1193)_SetNr(361)_WoT_Level(0)_Complexity(4)_Time(46)_SongNr(85).wav</t>
  </si>
  <si>
    <t>Guitar_ItemNr(1938)_SetNr(588)_WoT_Level(0)_Complexity(4)_Time(46)_SongNr(8).wav</t>
  </si>
  <si>
    <t>Bass_ItemNr(1548)_SetNr(674)_WoT_Level(0)_Complexity(4)_Time(46)_SongNr(73).wav</t>
  </si>
  <si>
    <t>Guitar_ItemNr(2401)_SetNr(766)_WoT_Level(0)_Complexity(4)_Time(46)_SongNr(7).wav</t>
  </si>
  <si>
    <t>Bass_ItemNr(173)_SetNr(073)_WoT_Level(0)_Complexity(4)_Time(46)_SongNr(68).wav</t>
  </si>
  <si>
    <t>Piano_ItemNr(383)_SetNr(034)_WoT_Level(0)_Complexity(4)_Time(46)_SongNr(61).wav</t>
  </si>
  <si>
    <t>Lead_ItemNr(660)_SetNr(115)_WoT_Level(0)_Complexity(4)_Time(46)_SongNr(4).wav</t>
  </si>
  <si>
    <t>Lead_ItemNr(293)_SetNr(055)_WoT_Level(0)_Complexity(4)_Time(46)_SongNr(20).wav</t>
  </si>
  <si>
    <t>Lead_ItemNr(392)_SetNr(070)_WoT_Level(0)_Complexity(4)_Time(46)_SongNr(2).wav</t>
  </si>
  <si>
    <t>Bass_ItemNr(1754)_SetNr(765)_WoT_Level(0)_Complexity(4)_Time(46)_SongNr(17).wav</t>
  </si>
  <si>
    <t>Lead_ItemNr(2740)_SetNr(578)_WoT_Level(0)_Complexity(4)_Time(46)_SongNr(115).wav</t>
  </si>
  <si>
    <t>Lead_ItemNr(3229)_SetNr(787)_WoT_Level(0)_Complexity(4)_Time(46)_SongNr(10).wav</t>
  </si>
  <si>
    <t>Bass_ItemNr(1222)_SetNr(539)_WoT_Level(0)_Complexity(4)_Time(44)_SongNr(74).wav</t>
  </si>
  <si>
    <t>Guitar_ItemNr(2465)_SetNr(799)_WoT_Level(0)_Complexity(4)_Time(44)_SongNr(7).wav</t>
  </si>
  <si>
    <t>Bass_ItemNr(1011)_SetNr(447)_WoT_Level(0)_Complexity(4)_Time(44)_SongNr(68).wav</t>
  </si>
  <si>
    <t>Bass_ItemNr(264)_SetNr(113)_WoT_Level(0)_Complexity(4)_Time(44)_SongNr(63).wav</t>
  </si>
  <si>
    <t>Bass_ItemNr(1509)_SetNr(661)_WoT_Level(0)_Complexity(4)_Time(44)_SongNr(61).wav</t>
  </si>
  <si>
    <t>Lead_ItemNr(2804)_SetNr(605)_WoT_Level(0)_Complexity(4)_Time(44)_SongNr(49).wav</t>
  </si>
  <si>
    <t>Lead_ItemNr(2969)_SetNr(669)_WoT_Level(0)_Complexity(4)_Time(44)_SongNr(39).wav</t>
  </si>
  <si>
    <t>Lead_ItemNr(2370)_SetNr(438)_WoT_Level(0)_Complexity(4)_Time(44)_SongNr(26).wav</t>
  </si>
  <si>
    <t>Guitar_ItemNr(2123)_SetNr(649)_WoT_Level(0)_Complexity(4)_Time(44)_SongNr(25).wav</t>
  </si>
  <si>
    <t>Piano_ItemNr(2759)_SetNr(287)_WoT_Level(0)_Complexity(4)_Time(44)_SongNr(23).wav</t>
  </si>
  <si>
    <t>Lead_ItemNr(873)_SetNr(154)_WoT_Level(0)_Complexity(4)_Time(44)_SongNr(20).wav</t>
  </si>
  <si>
    <t>Lead_ItemNr(2430)_SetNr(460)_WoT_Level(0)_Complexity(4)_Time(44)_SongNr(110).wav</t>
  </si>
  <si>
    <t>Guitar_ItemNr(1752)_SetNr(526)_WoT_Level(0)_Complexity(4)_Time(44)_SongNr(107).wav</t>
  </si>
  <si>
    <t>Guitar_ItemNr(1941)_SetNr(589)_WoT_Level(0)_Complexity(4)_Time(44)_SongNr(10).wav</t>
  </si>
  <si>
    <t>Piano_ItemNr(825)_SetNr(062)_WoT_Level(0)_Complexity(4)_Time(42)_SongNr(81).wav</t>
  </si>
  <si>
    <t>Guitar_ItemNr(1661)_SetNr(500)_WoT_Level(0)_Complexity(4)_Time(42)_SongNr(8).wav</t>
  </si>
  <si>
    <t>Bass_ItemNr(549)_SetNr(232)_WoT_Level(0)_Complexity(4)_Time(42)_SongNr(74).wav</t>
  </si>
  <si>
    <t>Bass_ItemNr(1736)_SetNr(755)_WoT_Level(0)_Complexity(4)_Time(42)_SongNr(7).wav</t>
  </si>
  <si>
    <t>Bass_ItemNr(699)_SetNr(304)_WoT_Level(0)_Complexity(4)_Time(42)_SongNr(68).wav</t>
  </si>
  <si>
    <t>Bass_ItemNr(1099)_SetNr(488)_WoT_Level(0)_Complexity(4)_Time(42)_SongNr(66).wav</t>
  </si>
  <si>
    <t>Piano_ItemNr(2946)_SetNr(330)_WoT_Level(0)_Complexity(4)_Time(42)_SongNr(63).wav</t>
  </si>
  <si>
    <t>Bass_ItemNr(1805)_SetNr(784)_WoT_Level(0)_Complexity(4)_Time(42)_SongNr(58).wav</t>
  </si>
  <si>
    <t>Lead_ItemNr(3092)_SetNr(725)_WoT_Level(0)_Complexity(4)_Time(42)_SongNr(57).wav</t>
  </si>
  <si>
    <t>Lead_ItemNr(530)_SetNr(092)_WoT_Level(0)_Complexity(4)_Time(42)_SongNr(55).wav</t>
  </si>
  <si>
    <t>Lead_ItemNr(1800)_SetNr(310)_WoT_Level(0)_Complexity(4)_Time(42)_SongNr(39).wav</t>
  </si>
  <si>
    <t>Lead_ItemNr(2509)_SetNr(488)_WoT_Level(0)_Complexity(4)_Time(42)_SongNr(32).wav</t>
  </si>
  <si>
    <t>Guitar_ItemNr(361)_SetNr(114)_WoT_Level(0)_Complexity(4)_Time(42)_SongNr(108).wav</t>
  </si>
  <si>
    <t>Lead_ItemNr(3275)_SetNr(816)_WoT_Level(0)_Complexity(4)_Time(42)_SongNr(10).wav</t>
  </si>
  <si>
    <t>Lead_ItemNr(2424)_SetNr(457)_WoT_Level(0)_Complexity(4)_Time(40)_SongNr(95).wav</t>
  </si>
  <si>
    <t>Guitar_ItemNr(464)_SetNr(147)_WoT_Level(0)_Complexity(4)_Time(40)_SongNr(94).wav</t>
  </si>
  <si>
    <t>Piano_ItemNr(1388)_SetNr(127)_WoT_Level(0)_Complexity(4)_Time(40)_SongNr(81).wav</t>
  </si>
  <si>
    <t>Bass_ItemNr(191)_SetNr(078)_WoT_Level(0)_Complexity(4)_Time(40)_SongNr(73).wav</t>
  </si>
  <si>
    <t>Bass_ItemNr(1075)_SetNr(477)_WoT_Level(0)_Complexity(4)_Time(40)_SongNr(63).wav</t>
  </si>
  <si>
    <t>Piano_ItemNr(1106)_SetNr(094)_WoT_Level(0)_Complexity(4)_Time(40)_SongNr(61).wav</t>
  </si>
  <si>
    <t>Lead_ItemNr(1600)_SetNr(276)_WoT_Level(0)_Complexity(4)_Time(40)_SongNr(59).wav</t>
  </si>
  <si>
    <t>Guitar_ItemNr(1070)_SetNr(321)_WoT_Level(0)_Complexity(4)_Time(40)_SongNr(58).wav</t>
  </si>
  <si>
    <t>Guitar_ItemNr(190)_SetNr(059)_WoT_Level(0)_Complexity(4)_Time(40)_SongNr(57).wav</t>
  </si>
  <si>
    <t>Guitar_ItemNr(2491)_SetNr(806)_WoT_Level(0)_Complexity(4)_Time(40)_SongNr(46).wav</t>
  </si>
  <si>
    <t>Bass_ItemNr(1918)_SetNr(830)_WoT_Level(0)_Complexity(4)_Time(40)_SongNr(41).wav</t>
  </si>
  <si>
    <t>Bass_ItemNr(367)_SetNr(153)_WoT_Level(0)_Complexity(4)_Time(40)_SongNr(39).wav</t>
  </si>
  <si>
    <t>Lead_ItemNr(3270)_SetNr(813)_WoT_Level(0)_Complexity(4)_Time(40)_SongNr(32).wav</t>
  </si>
  <si>
    <t>Bass_ItemNr(1739)_SetNr(757)_WoT_Level(0)_Complexity(4)_Time(40)_SongNr(30).wav</t>
  </si>
  <si>
    <t>Lead_ItemNr(3224)_SetNr(785)_WoT_Level(0)_Complexity(4)_Time(40)_SongNr(2).wav</t>
  </si>
  <si>
    <t>Bass_ItemNr(1679)_SetNr(735)_WoT_Level(0)_Complexity(4)_Time(40)_SongNr(113).wav</t>
  </si>
  <si>
    <t>Piano_ItemNr(2903)_SetNr(319)_WoT_Level(0)_Complexity(4)_Time(40)_SongNr(111).wav</t>
  </si>
  <si>
    <t>Guitar_ItemNr(1844)_SetNr(557)_WoT_Level(0)_Complexity(4)_Time(40)_SongNr(10).wav</t>
  </si>
  <si>
    <t>Guitar_ItemNr(1250)_SetNr(377)_WoT_Level(0)_Complexity(4)_Time(40)_SongNr(1).wav</t>
  </si>
  <si>
    <t>Guitar_ItemNr(349)_SetNr(108)_WoT_Level(0)_Complexity(4)_Time(4)_SongNr(78).wav</t>
  </si>
  <si>
    <t>Guitar_ItemNr(134)_SetNr(041)_WoT_Level(0)_Complexity(4)_Time(4)_SongNr(77).wav</t>
  </si>
  <si>
    <t>Guitar_ItemNr(665)_SetNr(208)_WoT_Level(0)_Complexity(4)_Time(4)_SongNr(76).wav</t>
  </si>
  <si>
    <t>Bass_ItemNr(1483)_SetNr(649)_WoT_Level(0)_Complexity(4)_Time(4)_SongNr(73).wav</t>
  </si>
  <si>
    <t>Guitar_ItemNr(472)_SetNr(149)_WoT_Level(0)_Complexity(4)_Time(4)_SongNr(72).wav</t>
  </si>
  <si>
    <t>Bass_ItemNr(1202)_SetNr(532)_WoT_Level(0)_Complexity(4)_Time(4)_SongNr(71).wav</t>
  </si>
  <si>
    <t>Bass_ItemNr(688)_SetNr(301)_WoT_Level(0)_Complexity(4)_Time(4)_SongNr(66).wav</t>
  </si>
  <si>
    <t>Lead_ItemNr(277)_SetNr(052)_WoT_Level(0)_Complexity(4)_Time(4)_SongNr(65).wav</t>
  </si>
  <si>
    <t>Lead_ItemNr(926)_SetNr(162)_WoT_Level(0)_Complexity(4)_Time(4)_SongNr(64).wav</t>
  </si>
  <si>
    <t>Piano_ItemNr(1731)_SetNr(158)_WoT_Level(0)_Complexity(4)_Time(4)_SongNr(61).wav</t>
  </si>
  <si>
    <t>Guitar_ItemNr(1695)_SetNr(512)_WoT_Level(0)_Complexity(4)_Time(4)_SongNr(60).wav</t>
  </si>
  <si>
    <t>Lead_ItemNr(2006)_SetNr(345)_WoT_Level(0)_Complexity(4)_Time(4)_SongNr(59).wav</t>
  </si>
  <si>
    <t>Guitar_ItemNr(1172)_SetNr(353)_WoT_Level(0)_Complexity(4)_Time(4)_SongNr(47).wav</t>
  </si>
  <si>
    <t>Guitar_ItemNr(498)_SetNr(163)_WoT_Level(0)_Complexity(4)_Time(4)_SongNr(33).wav</t>
  </si>
  <si>
    <t>Lead_ItemNr(780)_SetNr(134)_WoT_Level(0)_Complexity(4)_Time(4)_SongNr(117).wav</t>
  </si>
  <si>
    <t>Lead_ItemNr(3193)_SetNr(767)_WoT_Level(0)_Complexity(4)_Time(392)_SongNr(5).wav</t>
  </si>
  <si>
    <t>Guitar_ItemNr(168)_SetNr(053)_WoT_Level(0)_Complexity(4)_Time(382)_SongNr(109).wav</t>
  </si>
  <si>
    <t>Bass_ItemNr(142)_SetNr(060)_WoT_Level(0)_Complexity(4)_Time(38)_SongNr(8).wav</t>
  </si>
  <si>
    <t>Bass_ItemNr(441)_SetNr(185)_WoT_Level(0)_Complexity(4)_Time(38)_SongNr(68).wav</t>
  </si>
  <si>
    <t>Piano_ItemNr(1440)_SetNr(134)_WoT_Level(0)_Complexity(4)_Time(38)_SongNr(63).wav</t>
  </si>
  <si>
    <t>Bass_ItemNr(952)_SetNr(419)_WoT_Level(0)_Complexity(4)_Time(38)_SongNr(61).wav</t>
  </si>
  <si>
    <t>Lead_ItemNr(1978)_SetNr(338)_WoT_Level(0)_Complexity(4)_Time(38)_SongNr(59).wav</t>
  </si>
  <si>
    <t>Guitar_ItemNr(1668)_SetNr(503)_WoT_Level(0)_Complexity(4)_Time(38)_SongNr(48).wav</t>
  </si>
  <si>
    <t>Lead_ItemNr(1527)_SetNr(255)_WoT_Level(0)_Complexity(4)_Time(38)_SongNr(4).wav</t>
  </si>
  <si>
    <t>Guitar_ItemNr(783)_SetNr(239)_WoT_Level(0)_Complexity(4)_Time(38)_SongNr(39).wav</t>
  </si>
  <si>
    <t>Guitar_ItemNr(1309)_SetNr(400)_WoT_Level(0)_Complexity(4)_Time(38)_SongNr(38).wav</t>
  </si>
  <si>
    <t>Guitar_ItemNr(47)_SetNr(013)_WoT_Level(0)_Complexity(4)_Time(38)_SongNr(37).wav</t>
  </si>
  <si>
    <t>Lead_ItemNr(2003)_SetNr(343)_WoT_Level(0)_Complexity(4)_Time(38)_SongNr(26).wav</t>
  </si>
  <si>
    <t>Lead_ItemNr(1430)_SetNr(241)_WoT_Level(0)_Complexity(4)_Time(38)_SongNr(23).wav</t>
  </si>
  <si>
    <t>Piano_ItemNr(2896)_SetNr(316)_WoT_Level(0)_Complexity(4)_Time(38)_SongNr(20).wav</t>
  </si>
  <si>
    <t>Bass_ItemNr(1799)_SetNr(782)_WoT_Level(0)_Complexity(4)_Time(38)_SongNr(2).wav</t>
  </si>
  <si>
    <t>Lead_ItemNr(781)_SetNr(135)_WoT_Level(0)_Complexity(4)_Time(38)_SongNr(116).wav</t>
  </si>
  <si>
    <t>Bass_ItemNr(1746)_SetNr(761)_WoT_Level(0)_Complexity(4)_Time(38)_SongNr(111).wav</t>
  </si>
  <si>
    <t>Bass_ItemNr(1634)_SetNr(710)_WoT_Level(0)_Complexity(4)_Time(38)_SongNr(109).wav</t>
  </si>
  <si>
    <t>Guitar_ItemNr(387)_SetNr(123)_WoT_Level(0)_Complexity(4)_Time(38)_SongNr(10).wav</t>
  </si>
  <si>
    <t>Lead_ItemNr(1965)_SetNr(334)_WoT_Level(0)_Complexity(4)_Time(372)_SongNr(5).wav</t>
  </si>
  <si>
    <t>Bass_ItemNr(147)_SetNr(064)_WoT_Level(0)_Complexity(4)_Time(370)_SongNr(54).wav</t>
  </si>
  <si>
    <t>Bass_ItemNr(78)_SetNr(039)_WoT_Level(0)_Complexity(4)_Time(368)_SongNr(5).wav</t>
  </si>
  <si>
    <t>Guitar_ItemNr(260)_SetNr(077)_WoT_Level(0)_Complexity(4)_Time(366)_SongNr(5).wav</t>
  </si>
  <si>
    <t>Bass_ItemNr(839)_SetNr(378)_WoT_Level(0)_Complexity(4)_Time(362)_SongNr(54).wav</t>
  </si>
  <si>
    <t>Bass_ItemNr(943)_SetNr(412)_WoT_Level(0)_Complexity(4)_Time(360)_SongNr(54).wav</t>
  </si>
  <si>
    <t>Lead_ItemNr(3381)_SetNr(866)_WoT_Level(0)_Complexity(4)_Time(36)_SongNr(85).wav</t>
  </si>
  <si>
    <t>Bass_ItemNr(1342)_SetNr(586)_WoT_Level(0)_Complexity(4)_Time(36)_SongNr(81).wav</t>
  </si>
  <si>
    <t>Bass_ItemNr(1399)_SetNr(613)_WoT_Level(0)_Complexity(4)_Time(36)_SongNr(71).wav</t>
  </si>
  <si>
    <t>Bass_ItemNr(1207)_SetNr(533)_WoT_Level(0)_Complexity(4)_Time(36)_SongNr(68).wav</t>
  </si>
  <si>
    <t>Lead_ItemNr(3297)_SetNr(826)_WoT_Level(0)_Complexity(4)_Time(36)_SongNr(66).wav</t>
  </si>
  <si>
    <t>Piano_ItemNr(2493)_SetNr(243)_WoT_Level(0)_Complexity(4)_Time(36)_SongNr(63).wav</t>
  </si>
  <si>
    <t>Piano_ItemNr(3135)_SetNr(375)_WoT_Level(0)_Complexity(4)_Time(36)_SongNr(61).wav</t>
  </si>
  <si>
    <t>Guitar_ItemNr(726)_SetNr(226)_WoT_Level(0)_Complexity(4)_Time(36)_SongNr(59).wav</t>
  </si>
  <si>
    <t>Guitar_ItemNr(454)_SetNr(142)_WoT_Level(0)_Complexity(4)_Time(36)_SongNr(48).wav</t>
  </si>
  <si>
    <t>Lead_ItemNr(3278)_SetNr(818)_WoT_Level(0)_Complexity(4)_Time(36)_SongNr(4).wav</t>
  </si>
  <si>
    <t>Guitar_ItemNr(1687)_SetNr(510)_WoT_Level(0)_Complexity(4)_Time(36)_SongNr(37).wav</t>
  </si>
  <si>
    <t>Lead_ItemNr(3191)_SetNr(765)_WoT_Level(0)_Complexity(4)_Time(36)_SongNr(33).wav</t>
  </si>
  <si>
    <t>Piano_ItemNr(2209)_SetNr(211)_WoT_Level(0)_Complexity(4)_Time(36)_SongNr(20).wav</t>
  </si>
  <si>
    <t>Guitar_ItemNr(2609)_SetNr(857)_WoT_Level(0)_Complexity(4)_Time(36)_SongNr(2).wav</t>
  </si>
  <si>
    <t>Bass_ItemNr(1324)_SetNr(576)_WoT_Level(0)_Complexity(4)_Time(36)_SongNr(15).wav</t>
  </si>
  <si>
    <t>Guitar_ItemNr(2454)_SetNr(793)_WoT_Level(0)_Complexity(4)_Time(36)_SongNr(10).wav</t>
  </si>
  <si>
    <t>Lead_ItemNr(2137)_SetNr(384)_WoT_Level(0)_Complexity(4)_Time(356)_SongNr(5).wav</t>
  </si>
  <si>
    <t>Guitar_ItemNr(848)_SetNr(257)_WoT_Level(0)_Complexity(4)_Time(346)_SongNr(52).wav</t>
  </si>
  <si>
    <t>Bass_ItemNr(1405)_SetNr(616)_WoT_Level(0)_Complexity(4)_Time(342)_SongNr(109).wav</t>
  </si>
  <si>
    <t>Lead_ItemNr(2067)_SetNr(366)_WoT_Level(0)_Complexity(4)_Time(34)_SongNr(85).wav</t>
  </si>
  <si>
    <t>Bass_ItemNr(1835)_SetNr(797)_WoT_Level(0)_Complexity(4)_Time(34)_SongNr(81).wav</t>
  </si>
  <si>
    <t>Guitar_ItemNr(1783)_SetNr(537)_WoT_Level(0)_Complexity(4)_Time(34)_SongNr(71).wav</t>
  </si>
  <si>
    <t>Bass_ItemNr(317)_SetNr(133)_WoT_Level(0)_Complexity(4)_Time(34)_SongNr(68).wav</t>
  </si>
  <si>
    <t>Lead_ItemNr(3171)_SetNr(757)_WoT_Level(0)_Complexity(4)_Time(34)_SongNr(66).wav</t>
  </si>
  <si>
    <t>Piano_ItemNr(3176)_SetNr(384)_WoT_Level(0)_Complexity(4)_Time(34)_SongNr(63).wav</t>
  </si>
  <si>
    <t>Bass_ItemNr(1046)_SetNr(463)_WoT_Level(0)_Complexity(4)_Time(34)_SongNr(60).wav</t>
  </si>
  <si>
    <t>Guitar_ItemNr(1759)_SetNr(528)_WoT_Level(0)_Complexity(4)_Time(34)_SongNr(59).wav</t>
  </si>
  <si>
    <t>Guitar_ItemNr(2503)_SetNr(810)_WoT_Level(0)_Complexity(4)_Time(34)_SongNr(49).wav</t>
  </si>
  <si>
    <t>Guitar_ItemNr(2243)_SetNr(695)_WoT_Level(0)_Complexity(4)_Time(34)_SongNr(46).wav</t>
  </si>
  <si>
    <t>Bass_ItemNr(803)_SetNr(362)_WoT_Level(0)_Complexity(4)_Time(34)_SongNr(38).wav</t>
  </si>
  <si>
    <t>Piano_ItemNr(2801)_SetNr(296)_WoT_Level(0)_Complexity(4)_Time(34)_SongNr(20).wav</t>
  </si>
  <si>
    <t>Bass_ItemNr(636)_SetNr(276)_WoT_Level(0)_Complexity(4)_Time(34)_SongNr(2).wav</t>
  </si>
  <si>
    <t>Lead_ItemNr(3234)_SetNr(791)_WoT_Level(0)_Complexity(4)_Time(34)_SongNr(15).wav</t>
  </si>
  <si>
    <t>Guitar_ItemNr(1865)_SetNr(561)_WoT_Level(0)_Complexity(4)_Time(34)_SongNr(110).wav</t>
  </si>
  <si>
    <t>Piano_ItemNr(2952)_SetNr(332)_WoT_Level(0)_Complexity(4)_Time(34)_SongNr(104).wav</t>
  </si>
  <si>
    <t>Bass_ItemNr(1616)_SetNr(699)_WoT_Level(0)_Complexity(4)_Time(34)_SongNr(10).wav</t>
  </si>
  <si>
    <t>Guitar_ItemNr(103)_SetNr(031)_WoT_Level(0)_Complexity(4)_Time(328)_SongNr(109).wav</t>
  </si>
  <si>
    <t>Guitar_ItemNr(1590)_SetNr(484)_WoT_Level(0)_Complexity(4)_Time(328)_SongNr(107).wav</t>
  </si>
  <si>
    <t>Bass_ItemNr(1000)_SetNr(443)_WoT_Level(0)_Complexity(4)_Time(326)_SongNr(5).wav</t>
  </si>
  <si>
    <t>Bass_ItemNr(759)_SetNr(339)_WoT_Level(0)_Complexity(4)_Time(32)_SongNr(73).wav</t>
  </si>
  <si>
    <t>Lead_ItemNr(1713)_SetNr(294)_WoT_Level(0)_Complexity(4)_Time(32)_SongNr(71).wav</t>
  </si>
  <si>
    <t>Piano_ItemNr(3014)_SetNr(344)_WoT_Level(0)_Complexity(4)_Time(32)_SongNr(63).wav</t>
  </si>
  <si>
    <t>Piano_ItemNr(3109)_SetNr(366)_WoT_Level(0)_Complexity(4)_Time(32)_SongNr(61).wav</t>
  </si>
  <si>
    <t>Lead_ItemNr(755)_SetNr(129)_WoT_Level(0)_Complexity(4)_Time(32)_SongNr(59).wav</t>
  </si>
  <si>
    <t>Lead_ItemNr(2115)_SetNr(379)_WoT_Level(0)_Complexity(4)_Time(32)_SongNr(57).wav</t>
  </si>
  <si>
    <t>Bass_ItemNr(415)_SetNr(176)_WoT_Level(0)_Complexity(4)_Time(32)_SongNr(41).wav</t>
  </si>
  <si>
    <t>Lead_ItemNr(1579)_SetNr(271)_WoT_Level(0)_Complexity(4)_Time(32)_SongNr(39).wav</t>
  </si>
  <si>
    <t>Bass_ItemNr(1174)_SetNr(520)_WoT_Level(0)_Complexity(4)_Time(32)_SongNr(38).wav</t>
  </si>
  <si>
    <t>Lead_ItemNr(2552)_SetNr(509)_WoT_Level(0)_Complexity(4)_Time(32)_SongNr(36).wav</t>
  </si>
  <si>
    <t>Lead_ItemNr(2744)_SetNr(580)_WoT_Level(0)_Complexity(4)_Time(32)_SongNr(33).wav</t>
  </si>
  <si>
    <t>Lead_ItemNr(3228)_SetNr(786)_WoT_Level(0)_Complexity(4)_Time(32)_SongNr(16).wav</t>
  </si>
  <si>
    <t>Guitar_ItemNr(257)_SetNr(076)_WoT_Level(0)_Complexity(4)_Time(32)_SongNr(113).wav</t>
  </si>
  <si>
    <t>Lead_ItemNr(906)_SetNr(157)_WoT_Level(0)_Complexity(4)_Time(32)_SongNr(110).wav</t>
  </si>
  <si>
    <t>Guitar_ItemNr(866)_SetNr(262)_WoT_Level(0)_Complexity(4)_Time(318)_SongNr(109).wav</t>
  </si>
  <si>
    <t>Bass_ItemNr(1911)_SetNr(827)_WoT_Level(0)_Complexity(4)_Time(316)_SongNr(109).wav</t>
  </si>
  <si>
    <t>Guitar_ItemNr(419)_SetNr(133)_WoT_Level(0)_Complexity(4)_Time(314)_SongNr(48).wav</t>
  </si>
  <si>
    <t>Guitar_ItemNr(2185)_SetNr(671)_WoT_Level(0)_Complexity(4)_Time(314)_SongNr(108).wav</t>
  </si>
  <si>
    <t>Guitar_ItemNr(2170)_SetNr(665)_WoT_Level(0)_Complexity(4)_Time(312)_SongNr(48).wav</t>
  </si>
  <si>
    <t>Guitar_ItemNr(2620)_SetNr(864)_WoT_Level(0)_Complexity(4)_Time(312)_SongNr(25).wav</t>
  </si>
  <si>
    <t>Guitar_ItemNr(758)_SetNr(233)_WoT_Level(0)_Complexity(4)_Time(308)_SongNr(48).wav</t>
  </si>
  <si>
    <t>Guitar_ItemNr(2404)_SetNr(768)_WoT_Level(0)_Complexity(4)_Time(306)_SongNr(108).wav</t>
  </si>
  <si>
    <t>Guitar_ItemNr(673)_SetNr(210)_WoT_Level(0)_Complexity(4)_Time(302)_SongNr(48).wav</t>
  </si>
  <si>
    <t>Guitar_ItemNr(2513)_SetNr(816)_WoT_Level(0)_Complexity(4)_Time(300)_SongNr(48).wav</t>
  </si>
  <si>
    <t>Bass_ItemNr(1333)_SetNr(581)_WoT_Level(0)_Complexity(4)_Time(30)_SongNr(73).wav</t>
  </si>
  <si>
    <t>Guitar_ItemNr(761)_SetNr(235)_WoT_Level(0)_Complexity(4)_Time(30)_SongNr(71).wav</t>
  </si>
  <si>
    <t>Bass_ItemNr(916)_SetNr(403)_WoT_Level(0)_Complexity(4)_Time(30)_SongNr(69).wav</t>
  </si>
  <si>
    <t>Bass_ItemNr(550)_SetNr(233)_WoT_Level(0)_Complexity(4)_Time(30)_SongNr(68).wav</t>
  </si>
  <si>
    <t>Bass_ItemNr(1396)_SetNr(610)_WoT_Level(0)_Complexity(4)_Time(30)_SongNr(64).wav</t>
  </si>
  <si>
    <t>Piano_ItemNr(1933)_SetNr(182)_WoT_Level(0)_Complexity(4)_Time(30)_SongNr(63).wav</t>
  </si>
  <si>
    <t>Piano_ItemNr(1743)_SetNr(159)_WoT_Level(0)_Complexity(4)_Time(30)_SongNr(61).wav</t>
  </si>
  <si>
    <t>Guitar_ItemNr(1449)_SetNr(440)_WoT_Level(0)_Complexity(4)_Time(30)_SongNr(60).wav</t>
  </si>
  <si>
    <t>Lead_ItemNr(993)_SetNr(175)_WoT_Level(0)_Complexity(4)_Time(30)_SongNr(59).wav</t>
  </si>
  <si>
    <t>Lead_ItemNr(2034)_SetNr(358)_WoT_Level(0)_Complexity(4)_Time(30)_SongNr(33).wav</t>
  </si>
  <si>
    <t>Bass_ItemNr(218)_SetNr(091)_WoT_Level(0)_Complexity(4)_Time(298)_SongNr(18).wav</t>
  </si>
  <si>
    <t>Guitar_ItemNr(1032)_SetNr(310)_WoT_Level(0)_Complexity(4)_Time(296)_SongNr(48).wav</t>
  </si>
  <si>
    <t>Guitar_ItemNr(1491)_SetNr(454)_WoT_Level(0)_Complexity(4)_Time(296)_SongNr(108).wav</t>
  </si>
  <si>
    <t>Guitar_ItemNr(80)_SetNr(024)_WoT_Level(0)_Complexity(4)_Time(294)_SongNr(108).wav</t>
  </si>
  <si>
    <t>Guitar_ItemNr(937)_SetNr(287)_WoT_Level(0)_Complexity(4)_Time(292)_SongNr(108).wav</t>
  </si>
  <si>
    <t>Guitar_ItemNr(359)_SetNr(112)_WoT_Level(0)_Complexity(4)_Time(292)_SongNr(107).wav</t>
  </si>
  <si>
    <t>Bass_ItemNr(1728)_SetNr(750)_WoT_Level(0)_Complexity(4)_Time(290)_SongNr(25).wav</t>
  </si>
  <si>
    <t>Guitar_ItemNr(1958)_SetNr(592)_WoT_Level(0)_Complexity(4)_Time(288)_SongNr(114).wav</t>
  </si>
  <si>
    <t>Guitar_ItemNr(288)_SetNr(088)_WoT_Level(0)_Complexity(4)_Time(286)_SongNr(48).wav</t>
  </si>
  <si>
    <t>Guitar_ItemNr(2446)_SetNr(788)_WoT_Level(0)_Complexity(4)_Time(286)_SongNr(25).wav</t>
  </si>
  <si>
    <t>Guitar_ItemNr(479)_SetNr(153)_WoT_Level(0)_Complexity(4)_Time(286)_SongNr(114).wav</t>
  </si>
  <si>
    <t>Guitar_ItemNr(2415)_SetNr(775)_WoT_Level(0)_Complexity(4)_Time(286)_SongNr(107).wav</t>
  </si>
  <si>
    <t>Bass_ItemNr(1596)_SetNr(690)_WoT_Level(0)_Complexity(4)_Time(284)_SongNr(52).wav</t>
  </si>
  <si>
    <t>Guitar_ItemNr(158)_SetNr(050)_WoT_Level(0)_Complexity(4)_Time(284)_SongNr(45).wav</t>
  </si>
  <si>
    <t>Bass_ItemNr(1478)_SetNr(647)_WoT_Level(0)_Complexity(4)_Time(284)_SongNr(18).wav</t>
  </si>
  <si>
    <t>Bass_ItemNr(856)_SetNr(382)_WoT_Level(0)_Complexity(4)_Time(284)_SongNr(114).wav</t>
  </si>
  <si>
    <t>Guitar_ItemNr(2150)_SetNr(657)_WoT_Level(0)_Complexity(4)_Time(282)_SongNr(48).wav</t>
  </si>
  <si>
    <t>Guitar_ItemNr(2612)_SetNr(859)_WoT_Level(0)_Complexity(4)_Time(282)_SongNr(45).wav</t>
  </si>
  <si>
    <t>Bass_ItemNr(23)_SetNr(008)_WoT_Level(0)_Complexity(4)_Time(282)_SongNr(18).wav</t>
  </si>
  <si>
    <t>Bass_ItemNr(311)_SetNr(131)_WoT_Level(0)_Complexity(4)_Time(282)_SongNr(109).wav</t>
  </si>
  <si>
    <t>Guitar_ItemNr(2252)_SetNr(700)_WoT_Level(0)_Complexity(4)_Time(282)_SongNr(107).wav</t>
  </si>
  <si>
    <t>Guitar_ItemNr(1056)_SetNr(316)_WoT_Level(0)_Complexity(4)_Time(280)_SongNr(48).wav</t>
  </si>
  <si>
    <t>Guitar_ItemNr(1179)_SetNr(355)_WoT_Level(0)_Complexity(4)_Time(280)_SongNr(45).wav</t>
  </si>
  <si>
    <t>Piano_ItemNr(3633)_SetNr(462)_WoT_Level(0)_Complexity(4)_Time(28)_SongNr(97).wav</t>
  </si>
  <si>
    <t>Bass_ItemNr(777)_SetNr(349)_WoT_Level(0)_Complexity(4)_Time(28)_SongNr(89).wav</t>
  </si>
  <si>
    <t>Bass_ItemNr(1692)_SetNr(740)_WoT_Level(0)_Complexity(4)_Time(28)_SongNr(85).wav</t>
  </si>
  <si>
    <t>Lead_ItemNr(683)_SetNr(121)_WoT_Level(0)_Complexity(4)_Time(28)_SongNr(84).wav</t>
  </si>
  <si>
    <t>Piano_ItemNr(927)_SetNr(076)_WoT_Level(0)_Complexity(4)_Time(28)_SongNr(81).wav</t>
  </si>
  <si>
    <t>Bass_ItemNr(1198)_SetNr(529)_WoT_Level(0)_Complexity(4)_Time(28)_SongNr(73).wav</t>
  </si>
  <si>
    <t>Lead_ItemNr(1020)_SetNr(179)_WoT_Level(0)_Complexity(4)_Time(28)_SongNr(71).wav</t>
  </si>
  <si>
    <t>Bass_ItemNr(453)_SetNr(191)_WoT_Level(0)_Complexity(4)_Time(28)_SongNr(69).wav</t>
  </si>
  <si>
    <t>Bass_ItemNr(1821)_SetNr(792)_WoT_Level(0)_Complexity(4)_Time(28)_SongNr(68).wav</t>
  </si>
  <si>
    <t>Bass_ItemNr(1137)_SetNr(505)_WoT_Level(0)_Complexity(4)_Time(28)_SongNr(64).wav</t>
  </si>
  <si>
    <t>Bass_ItemNr(1256)_SetNr(549)_WoT_Level(0)_Complexity(4)_Time(28)_SongNr(63).wav</t>
  </si>
  <si>
    <t>Bass_ItemNr(1594)_SetNr(689)_WoT_Level(0)_Complexity(4)_Time(28)_SongNr(60).wav</t>
  </si>
  <si>
    <t>Bass_ItemNr(881)_SetNr(391)_WoT_Level(0)_Complexity(4)_Time(28)_SongNr(59).wav</t>
  </si>
  <si>
    <t>Guitar_ItemNr(627)_SetNr(198)_WoT_Level(0)_Complexity(4)_Time(28)_SongNr(46).wav</t>
  </si>
  <si>
    <t>Bass_ItemNr(536)_SetNr(225)_WoT_Level(0)_Complexity(4)_Time(28)_SongNr(41).wav</t>
  </si>
  <si>
    <t>Guitar_ItemNr(924)_SetNr(283)_WoT_Level(0)_Complexity(4)_Time(28)_SongNr(4).wav</t>
  </si>
  <si>
    <t>Guitar_ItemNr(1164)_SetNr(349)_WoT_Level(0)_Complexity(4)_Time(28)_SongNr(25).wav</t>
  </si>
  <si>
    <t>Lead_ItemNr(1204)_SetNr(206)_WoT_Level(0)_Complexity(4)_Time(28)_SongNr(2).wav</t>
  </si>
  <si>
    <t>Guitar_ItemNr(2219)_SetNr(685)_WoT_Level(0)_Complexity(4)_Time(28)_SongNr(16).wav</t>
  </si>
  <si>
    <t>Guitar_ItemNr(2339)_SetNr(740)_WoT_Level(0)_Complexity(4)_Time(28)_SongNr(113).wav</t>
  </si>
  <si>
    <t>Lead_ItemNr(2629)_SetNr(532)_WoT_Level(0)_Complexity(4)_Time(28)_SongNr(111).wav</t>
  </si>
  <si>
    <t>Lead_ItemNr(592)_SetNr(104)_WoT_Level(0)_Complexity(4)_Time(28)_SongNr(10).wav</t>
  </si>
  <si>
    <t>Bass_ItemNr(195)_SetNr(080)_WoT_Level(0)_Complexity(4)_Time(28)_SongNr(1).wav</t>
  </si>
  <si>
    <t>Guitar_ItemNr(957)_SetNr(290)_WoT_Level(0)_Complexity(4)_Time(278)_SongNr(108).wav</t>
  </si>
  <si>
    <t>Guitar_ItemNr(1146)_SetNr(343)_WoT_Level(0)_Complexity(4)_Time(278)_SongNr(107).wav</t>
  </si>
  <si>
    <t>Guitar_ItemNr(1546)_SetNr(471)_WoT_Level(0)_Complexity(4)_Time(276)_SongNr(45).wav</t>
  </si>
  <si>
    <t>Bass_ItemNr(1619)_SetNr(702)_WoT_Level(0)_Complexity(4)_Time(276)_SongNr(114).wav</t>
  </si>
  <si>
    <t>Guitar_ItemNr(2000)_SetNr(606)_WoT_Level(0)_Complexity(4)_Time(276)_SongNr(108).wav</t>
  </si>
  <si>
    <t>Guitar_ItemNr(1445)_SetNr(437)_WoT_Level(0)_Complexity(4)_Time(276)_SongNr(107).wav</t>
  </si>
  <si>
    <t>Guitar_ItemNr(1477)_SetNr(448)_WoT_Level(0)_Complexity(4)_Time(274)_SongNr(45).wav</t>
  </si>
  <si>
    <t>Guitar_ItemNr(796)_SetNr(244)_WoT_Level(0)_Complexity(4)_Time(274)_SongNr(24).wav</t>
  </si>
  <si>
    <t>Bass_ItemNr(1791)_SetNr(777)_WoT_Level(0)_Complexity(4)_Time(274)_SongNr(114).wav</t>
  </si>
  <si>
    <t>Guitar_ItemNr(402)_SetNr(126)_WoT_Level(0)_Complexity(4)_Time(272)_SongNr(24).wav</t>
  </si>
  <si>
    <t>Bass_ItemNr(956)_SetNr(422)_WoT_Level(0)_Complexity(4)_Time(270)_SongNr(45).wav</t>
  </si>
  <si>
    <t>Lead_ItemNr(2694)_SetNr(557)_WoT_Level(0)_Complexity(4)_Time(270)_SongNr(34).wav</t>
  </si>
  <si>
    <t>Lead_ItemNr(2722)_SetNr(569)_WoT_Level(0)_Complexity(4)_Time(270)_SongNr(25).wav</t>
  </si>
  <si>
    <t>Guitar_ItemNr(2365)_SetNr(753)_WoT_Level(0)_Complexity(4)_Time(270)_SongNr(24).wav</t>
  </si>
  <si>
    <t>Guitar_ItemNr(2649)_SetNr(878)_WoT_Level(0)_Complexity(4)_Time(268)_SongNr(112).wav</t>
  </si>
  <si>
    <t>Guitar_ItemNr(322)_SetNr(100)_WoT_Level(0)_Complexity(4)_Time(266)_SongNr(24).wav</t>
  </si>
  <si>
    <t>Bass_ItemNr(668)_SetNr(289)_WoT_Level(0)_Complexity(4)_Time(266)_SongNr(112).wav</t>
  </si>
  <si>
    <t>Guitar_ItemNr(2042)_SetNr(618)_WoT_Level(0)_Complexity(4)_Time(266)_SongNr(108).wav</t>
  </si>
  <si>
    <t>Lead_ItemNr(3264)_SetNr(808)_WoT_Level(0)_Complexity(4)_Time(264)_SongNr(48).wav</t>
  </si>
  <si>
    <t>Guitar_ItemNr(1131)_SetNr(339)_WoT_Level(0)_Complexity(4)_Time(264)_SongNr(108).wav</t>
  </si>
  <si>
    <t>Lead_ItemNr(2557)_SetNr(510)_WoT_Level(0)_Complexity(4)_Time(262)_SongNr(48).wav</t>
  </si>
  <si>
    <t>Lead_ItemNr(2341)_SetNr(429)_WoT_Level(0)_Complexity(4)_Time(262)_SongNr(25).wav</t>
  </si>
  <si>
    <t>Guitar_ItemNr(1234)_SetNr(373)_WoT_Level(0)_Complexity(4)_Time(262)_SongNr(114).wav</t>
  </si>
  <si>
    <t>Guitar_ItemNr(2312)_SetNr(726)_WoT_Level(0)_Complexity(4)_Time(26)_SongNr(89).wav</t>
  </si>
  <si>
    <t>Piano_ItemNr(2603)_SetNr(259)_WoT_Level(0)_Complexity(4)_Time(26)_SongNr(81).wav</t>
  </si>
  <si>
    <t>Bass_ItemNr(1286)_SetNr(559)_WoT_Level(0)_Complexity(4)_Time(26)_SongNr(75).wav</t>
  </si>
  <si>
    <t>Bass_ItemNr(1628)_SetNr(706)_WoT_Level(0)_Complexity(4)_Time(26)_SongNr(74).wav</t>
  </si>
  <si>
    <t>Bass_ItemNr(487)_SetNr(201)_WoT_Level(0)_Complexity(4)_Time(26)_SongNr(73).wav</t>
  </si>
  <si>
    <t>Guitar_ItemNr(1092)_SetNr(328)_WoT_Level(0)_Complexity(4)_Time(26)_SongNr(71).wav</t>
  </si>
  <si>
    <t>Bass_ItemNr(986)_SetNr(438)_WoT_Level(0)_Complexity(4)_Time(26)_SongNr(66).wav</t>
  </si>
  <si>
    <t>Guitar_ItemNr(771)_SetNr(237)_WoT_Level(0)_Complexity(4)_Time(26)_SongNr(64).wav</t>
  </si>
  <si>
    <t>Bass_ItemNr(1830)_SetNr(794)_WoT_Level(0)_Complexity(4)_Time(26)_SongNr(63).wav</t>
  </si>
  <si>
    <t>Piano_ItemNr(2919)_SetNr(322)_WoT_Level(0)_Complexity(4)_Time(26)_SongNr(61).wav</t>
  </si>
  <si>
    <t>Bass_ItemNr(619)_SetNr(266)_WoT_Level(0)_Complexity(4)_Time(26)_SongNr(60).wav</t>
  </si>
  <si>
    <t>Guitar_ItemNr(1437)_SetNr(435)_WoT_Level(0)_Complexity(4)_Time(26)_SongNr(59).wav</t>
  </si>
  <si>
    <t>Bass_ItemNr(749)_SetNr(333)_WoT_Level(0)_Complexity(4)_Time(26)_SongNr(57).wav</t>
  </si>
  <si>
    <t>Lead_ItemNr(2298)_SetNr(418)_WoT_Level(0)_Complexity(4)_Time(26)_SongNr(4).wav</t>
  </si>
  <si>
    <t>Lead_ItemNr(1258)_SetNr(216)_WoT_Level(0)_Complexity(4)_Time(26)_SongNr(39).wav</t>
  </si>
  <si>
    <t>Lead_ItemNr(2602)_SetNr(522)_WoT_Level(0)_Complexity(4)_Time(26)_SongNr(33).wav</t>
  </si>
  <si>
    <t>Lead_ItemNr(2226)_SetNr(406)_WoT_Level(0)_Complexity(4)_Time(26)_SongNr(2).wav</t>
  </si>
  <si>
    <t>Lead_ItemNr(1169)_SetNr(199)_WoT_Level(0)_Complexity(4)_Time(26)_SongNr(113).wav</t>
  </si>
  <si>
    <t>Bass_ItemNr(137)_SetNr(059)_WoT_Level(0)_Complexity(4)_Time(26)_SongNr(10).wav</t>
  </si>
  <si>
    <t>Guitar_ItemNr(814)_SetNr(247)_WoT_Level(0)_Complexity(4)_Time(258)_SongNr(34).wav</t>
  </si>
  <si>
    <t>Bass_ItemNr(1065)_SetNr(472)_WoT_Level(0)_Complexity(4)_Time(258)_SongNr(115).wav</t>
  </si>
  <si>
    <t>Lead_ItemNr(540)_SetNr(094)_WoT_Level(0)_Complexity(4)_Time(256)_SongNr(25).wav</t>
  </si>
  <si>
    <t>Guitar_ItemNr(1224)_SetNr(370)_WoT_Level(0)_Complexity(4)_Time(256)_SongNr(112).wav</t>
  </si>
  <si>
    <t>Bass_ItemNr(977)_SetNr(432)_WoT_Level(0)_Complexity(4)_Time(254)_SongNr(115).wav</t>
  </si>
  <si>
    <t>Guitar_ItemNr(2529)_SetNr(822)_WoT_Level(0)_Complexity(4)_Time(254)_SongNr(107).wav</t>
  </si>
  <si>
    <t>Lead_ItemNr(171)_SetNr(032)_WoT_Level(0)_Complexity(4)_Time(252)_SongNr(34).wav</t>
  </si>
  <si>
    <t>Bass_ItemNr(1856)_SetNr(809)_WoT_Level(0)_Complexity(4)_Time(252)_SongNr(25).wav</t>
  </si>
  <si>
    <t>Bass_ItemNr(857)_SetNr(383)_WoT_Level(0)_Complexity(4)_Time(250)_SongNr(38).wav</t>
  </si>
  <si>
    <t>Bass_ItemNr(607)_SetNr(260)_WoT_Level(0)_Complexity(4)_Time(250)_SongNr(112).wav</t>
  </si>
  <si>
    <t>Guitar_ItemNr(2538)_SetNr(825)_WoT_Level(0)_Complexity(4)_Time(248)_SongNr(108).wav</t>
  </si>
  <si>
    <t>Guitar_ItemNr(1726)_SetNr(524)_WoT_Level(0)_Complexity(4)_Time(244)_SongNr(95).wav</t>
  </si>
  <si>
    <t>Guitar_ItemNr(578)_SetNr(186)_WoT_Level(0)_Complexity(4)_Time(244)_SongNr(94).wav</t>
  </si>
  <si>
    <t>Guitar_ItemNr(2594)_SetNr(848)_WoT_Level(0)_Complexity(4)_Time(244)_SongNr(108).wav</t>
  </si>
  <si>
    <t>Lead_ItemNr(3175)_SetNr(761)_WoT_Level(0)_Complexity(4)_Time(242)_SongNr(94).wav</t>
  </si>
  <si>
    <t>Bass_ItemNr(3)_SetNr(001)_WoT_Level(0)_Complexity(4)_Time(242)_SongNr(17).wav</t>
  </si>
  <si>
    <t>Guitar_ItemNr(206)_SetNr(063)_WoT_Level(0)_Complexity(4)_Time(242)_SongNr(114).wav</t>
  </si>
  <si>
    <t>Guitar_ItemNr(489)_SetNr(158)_WoT_Level(0)_Complexity(4)_Time(242)_SongNr(107).wav</t>
  </si>
  <si>
    <t>Guitar_ItemNr(1166)_SetNr(350)_WoT_Level(0)_Complexity(4)_Time(240)_SongNr(108).wav</t>
  </si>
  <si>
    <t>Bass_ItemNr(948)_SetNr(416)_WoT_Level(0)_Complexity(4)_Time(240)_SongNr(103).wav</t>
  </si>
  <si>
    <t>Piano_ItemNr(434)_SetNr(037)_WoT_Level(0)_Complexity(4)_Time(24)_SongNr(81).wav</t>
  </si>
  <si>
    <t>Lead_ItemNr(1176)_SetNr(201)_WoT_Level(0)_Complexity(4)_Time(24)_SongNr(78).wav</t>
  </si>
  <si>
    <t>Guitar_ItemNr(208)_SetNr(064)_WoT_Level(0)_Complexity(4)_Time(24)_SongNr(75).wav</t>
  </si>
  <si>
    <t>Bass_ItemNr(385)_SetNr(161)_WoT_Level(0)_Complexity(4)_Time(24)_SongNr(73).wav</t>
  </si>
  <si>
    <t>Guitar_ItemNr(564)_SetNr(182)_WoT_Level(0)_Complexity(4)_Time(24)_SongNr(71).wav</t>
  </si>
  <si>
    <t>Bass_ItemNr(1735)_SetNr(754)_WoT_Level(0)_Complexity(4)_Time(24)_SongNr(69).wav</t>
  </si>
  <si>
    <t>Lead_ItemNr(3091)_SetNr(724)_WoT_Level(0)_Complexity(4)_Time(24)_SongNr(66).wav</t>
  </si>
  <si>
    <t>Guitar_ItemNr(593)_SetNr(190)_WoT_Level(0)_Complexity(4)_Time(24)_SongNr(64).wav</t>
  </si>
  <si>
    <t>Bass_ItemNr(743)_SetNr(328)_WoT_Level(0)_Complexity(4)_Time(24)_SongNr(63).wav</t>
  </si>
  <si>
    <t>Bass_ItemNr(1354)_SetNr(592)_WoT_Level(0)_Complexity(4)_Time(24)_SongNr(61).wav</t>
  </si>
  <si>
    <t>Guitar_ItemNr(1353)_SetNr(411)_WoT_Level(0)_Complexity(4)_Time(24)_SongNr(60).wav</t>
  </si>
  <si>
    <t>Lead_ItemNr(167)_SetNr(031)_WoT_Level(0)_Complexity(4)_Time(24)_SongNr(59).wav</t>
  </si>
  <si>
    <t>Bass_ItemNr(704)_SetNr(308)_WoT_Level(0)_Complexity(4)_Time(24)_SongNr(57).wav</t>
  </si>
  <si>
    <t>Guitar_ItemNr(68)_SetNr(020)_WoT_Level(0)_Complexity(4)_Time(24)_SongNr(48).wav</t>
  </si>
  <si>
    <t>Bass_ItemNr(1659)_SetNr(725)_WoT_Level(0)_Complexity(4)_Time(24)_SongNr(43).wav</t>
  </si>
  <si>
    <t>Lead_ItemNr(2697)_SetNr(560)_WoT_Level(0)_Complexity(4)_Time(24)_SongNr(36).wav</t>
  </si>
  <si>
    <t>Lead_ItemNr(2084)_SetNr(371)_WoT_Level(0)_Complexity(4)_Time(24)_SongNr(33).wav</t>
  </si>
  <si>
    <t>Lead_ItemNr(2433)_SetNr(461)_WoT_Level(0)_Complexity(4)_Time(24)_SongNr(14).wav</t>
  </si>
  <si>
    <t>Guitar_ItemNr(1367)_SetNr(414)_WoT_Level(0)_Complexity(4)_Time(24)_SongNr(113).wav</t>
  </si>
  <si>
    <t>Lead_ItemNr(13)_SetNr(004)_WoT_Level(0)_Complexity(4)_Time(24)_SongNr(102).wav</t>
  </si>
  <si>
    <t>Lead_ItemNr(2527)_SetNr(495)_WoT_Level(0)_Complexity(4)_Time(24)_SongNr(10).wav</t>
  </si>
  <si>
    <t>Guitar_ItemNr(2483)_SetNr(805)_WoT_Level(0)_Complexity(4)_Time(238)_SongNr(94).wav</t>
  </si>
  <si>
    <t>Lead_ItemNr(2916)_SetNr(644)_WoT_Level(0)_Complexity(4)_Time(238)_SongNr(86).wav</t>
  </si>
  <si>
    <t>Lead_ItemNr(1741)_SetNr(302)_WoT_Level(0)_Complexity(4)_Time(238)_SongNr(55).wav</t>
  </si>
  <si>
    <t>Lead_ItemNr(3146)_SetNr(742)_WoT_Level(0)_Complexity(4)_Time(238)_SongNr(25).wav</t>
  </si>
  <si>
    <t>Bass_ItemNr(1450)_SetNr(633)_WoT_Level(0)_Complexity(4)_Time(238)_SongNr(17).wav</t>
  </si>
  <si>
    <t>Bass_ItemNr(1081)_SetNr(479)_WoT_Level(0)_Complexity(4)_Time(236)_SongNr(95).wav</t>
  </si>
  <si>
    <t>Bass_ItemNr(828)_SetNr(372)_WoT_Level(0)_Complexity(4)_Time(236)_SongNr(87).wav</t>
  </si>
  <si>
    <t>Lead_ItemNr(1203)_SetNr(205)_WoT_Level(0)_Complexity(4)_Time(236)_SongNr(86).wav</t>
  </si>
  <si>
    <t>Guitar_ItemNr(1625)_SetNr(491)_WoT_Level(0)_Complexity(4)_Time(236)_SongNr(55).wav</t>
  </si>
  <si>
    <t>Bass_ItemNr(529)_SetNr(224)_WoT_Level(0)_Complexity(4)_Time(236)_SongNr(4).wav</t>
  </si>
  <si>
    <t>Guitar_ItemNr(344)_SetNr(107)_WoT_Level(0)_Complexity(4)_Time(236)_SongNr(114).wav</t>
  </si>
  <si>
    <t>Guitar_ItemNr(1755)_SetNr(527)_WoT_Level(0)_Complexity(4)_Time(236)_SongNr(108).wav</t>
  </si>
  <si>
    <t>Guitar_ItemNr(965)_SetNr(292)_WoT_Level(0)_Complexity(4)_Time(236)_SongNr(107).wav</t>
  </si>
  <si>
    <t>Lead_ItemNr(2829)_SetNr(613)_WoT_Level(0)_Complexity(4)_Time(234)_SongNr(86).wav</t>
  </si>
  <si>
    <t>Bass_ItemNr(905)_SetNr(402)_WoT_Level(0)_Complexity(4)_Time(234)_SongNr(25).wav</t>
  </si>
  <si>
    <t>Lead_ItemNr(91)_SetNr(017)_WoT_Level(0)_Complexity(4)_Time(232)_SongNr(86).wav</t>
  </si>
  <si>
    <t>Bass_ItemNr(1666)_SetNr(728)_WoT_Level(0)_Complexity(4)_Time(232)_SongNr(30).wav</t>
  </si>
  <si>
    <t>Guitar_ItemNr(1372)_SetNr(416)_WoT_Level(0)_Complexity(4)_Time(230)_SongNr(52).wav</t>
  </si>
  <si>
    <t>Guitar_ItemNr(1549)_SetNr(473)_WoT_Level(0)_Complexity(4)_Time(230)_SongNr(38).wav</t>
  </si>
  <si>
    <t>Lead_ItemNr(461)_SetNr(084)_WoT_Level(0)_Complexity(4)_Time(228)_SongNr(86).wav</t>
  </si>
  <si>
    <t>Guitar_ItemNr(2545)_SetNr(826)_WoT_Level(0)_Complexity(4)_Time(228)_SongNr(105).wav</t>
  </si>
  <si>
    <t>Guitar_ItemNr(532)_SetNr(171)_WoT_Level(0)_Complexity(4)_Time(226)_SongNr(95).wav</t>
  </si>
  <si>
    <t>Lead_ItemNr(1730)_SetNr(298)_WoT_Level(0)_Complexity(4)_Time(226)_SongNr(86).wav</t>
  </si>
  <si>
    <t>Bass_ItemNr(274)_SetNr(118)_WoT_Level(0)_Complexity(4)_Time(226)_SongNr(45).wav</t>
  </si>
  <si>
    <t>Guitar_ItemNr(2223)_SetNr(688)_WoT_Level(0)_Complexity(4)_Time(226)_SongNr(116).wav</t>
  </si>
  <si>
    <t>Lead_ItemNr(3065)_SetNr(711)_WoT_Level(0)_Complexity(4)_Time(224)_SongNr(95).wav</t>
  </si>
  <si>
    <t>Lead_ItemNr(2448)_SetNr(468)_WoT_Level(0)_Complexity(4)_Time(224)_SongNr(55).wav</t>
  </si>
  <si>
    <t>Lead_ItemNr(438)_SetNr(081)_WoT_Level(0)_Complexity(4)_Time(224)_SongNr(25).wav</t>
  </si>
  <si>
    <t>Bass_ItemNr(1639)_SetNr(714)_WoT_Level(0)_Complexity(4)_Time(224)_SongNr(109).wav</t>
  </si>
  <si>
    <t>Guitar_ItemNr(281)_SetNr(086)_WoT_Level(0)_Complexity(4)_Time(224)_SongNr(108).wav</t>
  </si>
  <si>
    <t>Lead_ItemNr(812)_SetNr(141)_WoT_Level(0)_Complexity(4)_Time(222)_SongNr(95).wav</t>
  </si>
  <si>
    <t>Lead_ItemNr(2173)_SetNr(395)_WoT_Level(0)_Complexity(4)_Time(222)_SongNr(86).wav</t>
  </si>
  <si>
    <t>Lead_ItemNr(2487)_SetNr(479)_WoT_Level(0)_Complexity(4)_Time(222)_SongNr(8).wav</t>
  </si>
  <si>
    <t>Bass_ItemNr(1419)_SetNr(621)_WoT_Level(0)_Complexity(4)_Time(222)_SongNr(4).wav</t>
  </si>
  <si>
    <t>Lead_ItemNr(2685)_SetNr(553)_WoT_Level(0)_Complexity(4)_Time(220)_SongNr(86).wav</t>
  </si>
  <si>
    <t>Lead_ItemNr(569)_SetNr(098)_WoT_Level(0)_Complexity(4)_Time(220)_SongNr(57).wav</t>
  </si>
  <si>
    <t>Lead_ItemNr(241)_SetNr(047)_WoT_Level(0)_Complexity(4)_Time(220)_SongNr(116).wav</t>
  </si>
  <si>
    <t>Guitar_ItemNr(1040)_SetNr(312)_WoT_Level(0)_Complexity(4)_Time(220)_SongNr(105).wav</t>
  </si>
  <si>
    <t>Lead_ItemNr(3309)_SetNr(835)_WoT_Level(0)_Complexity(4)_Time(22)_SongNr(85).wav</t>
  </si>
  <si>
    <t>Guitar_ItemNr(2262)_SetNr(703)_WoT_Level(0)_Complexity(4)_Time(22)_SongNr(8).wav</t>
  </si>
  <si>
    <t>Bass_ItemNr(818)_SetNr(368)_WoT_Level(0)_Complexity(4)_Time(22)_SongNr(78).wav</t>
  </si>
  <si>
    <t>Bass_ItemNr(450)_SetNr(189)_WoT_Level(0)_Complexity(4)_Time(22)_SongNr(75).wav</t>
  </si>
  <si>
    <t>Guitar_ItemNr(481)_SetNr(154)_WoT_Level(0)_Complexity(4)_Time(22)_SongNr(71).wav</t>
  </si>
  <si>
    <t>Bass_ItemNr(46)_SetNr(023)_WoT_Level(0)_Complexity(4)_Time(22)_SongNr(68).wav</t>
  </si>
  <si>
    <t>Guitar_ItemNr(114)_SetNr(033)_WoT_Level(0)_Complexity(4)_Time(22)_SongNr(64).wav</t>
  </si>
  <si>
    <t>Piano_ItemNr(3240)_SetNr(397)_WoT_Level(0)_Complexity(4)_Time(22)_SongNr(63).wav</t>
  </si>
  <si>
    <t>Piano_ItemNr(258)_SetNr(024)_WoT_Level(0)_Complexity(4)_Time(22)_SongNr(61).wav</t>
  </si>
  <si>
    <t>Bass_ItemNr(398)_SetNr(168)_WoT_Level(0)_Complexity(4)_Time(22)_SongNr(60).wav</t>
  </si>
  <si>
    <t>Guitar_ItemNr(1502)_SetNr(458)_WoT_Level(0)_Complexity(4)_Time(22)_SongNr(59).wav</t>
  </si>
  <si>
    <t>Bass_ItemNr(1929)_SetNr(834)_WoT_Level(0)_Complexity(4)_Time(22)_SongNr(49).wav</t>
  </si>
  <si>
    <t>Guitar_ItemNr(2616)_SetNr(863)_WoT_Level(0)_Complexity(4)_Time(22)_SongNr(48).wav</t>
  </si>
  <si>
    <t>Guitar_ItemNr(725)_SetNr(225)_WoT_Level(0)_Complexity(4)_Time(22)_SongNr(47).wav</t>
  </si>
  <si>
    <t>Guitar_ItemNr(2587)_SetNr(843)_WoT_Level(0)_Complexity(4)_Time(22)_SongNr(33).wav</t>
  </si>
  <si>
    <t>Guitar_ItemNr(2197)_SetNr(678)_WoT_Level(0)_Complexity(4)_Time(22)_SongNr(15).wav</t>
  </si>
  <si>
    <t>Guitar_ItemNr(2409)_SetNr(772)_WoT_Level(0)_Complexity(4)_Time(22)_SongNr(113).wav</t>
  </si>
  <si>
    <t>Piano_ItemNr(3661)_SetNr(466)_WoT_Level(0)_Complexity(4)_Time(22)_SongNr(102).wav</t>
  </si>
  <si>
    <t>Lead_ItemNr(1633)_SetNr(284)_WoT_Level(0)_Complexity(4)_Time(218)_SongNr(57).wav</t>
  </si>
  <si>
    <t>Bass_ItemNr(399)_SetNr(169)_WoT_Level(0)_Complexity(4)_Time(218)_SongNr(52).wav</t>
  </si>
  <si>
    <t>Guitar_ItemNr(1161)_SetNr(348)_WoT_Level(0)_Complexity(4)_Time(218)_SongNr(116).wav</t>
  </si>
  <si>
    <t>Bass_ItemNr(394)_SetNr(165)_WoT_Level(0)_Complexity(4)_Time(216)_SongNr(94).wav</t>
  </si>
  <si>
    <t>Guitar_ItemNr(307)_SetNr(093)_WoT_Level(0)_Complexity(4)_Time(216)_SongNr(87).wav</t>
  </si>
  <si>
    <t>Lead_ItemNr(622)_SetNr(110)_WoT_Level(0)_Complexity(4)_Time(216)_SongNr(86).wav</t>
  </si>
  <si>
    <t>Bass_ItemNr(645)_SetNr(279)_WoT_Level(0)_Complexity(4)_Time(216)_SongNr(52).wav</t>
  </si>
  <si>
    <t>Bass_ItemNr(597)_SetNr(255)_WoT_Level(0)_Complexity(4)_Time(216)_SongNr(17).wav</t>
  </si>
  <si>
    <t>Lead_ItemNr(841)_SetNr(146)_WoT_Level(0)_Complexity(4)_Time(214)_SongNr(86).wav</t>
  </si>
  <si>
    <t>Bass_ItemNr(200)_SetNr(081)_WoT_Level(0)_Complexity(4)_Time(214)_SongNr(52).wav</t>
  </si>
  <si>
    <t>Bass_ItemNr(74)_SetNr(038)_WoT_Level(0)_Complexity(4)_Time(214)_SongNr(26).wav</t>
  </si>
  <si>
    <t>Bass_ItemNr(923)_SetNr(406)_WoT_Level(0)_Complexity(4)_Time(214)_SongNr(17).wav</t>
  </si>
  <si>
    <t>Guitar_ItemNr(2338)_SetNr(739)_WoT_Level(0)_Complexity(4)_Time(214)_SongNr(116).wav</t>
  </si>
  <si>
    <t>Lead_ItemNr(988)_SetNr(174)_WoT_Level(0)_Complexity(4)_Time(212)_SongNr(95).wav</t>
  </si>
  <si>
    <t>Guitar_ItemNr(2247)_SetNr(696)_WoT_Level(0)_Complexity(4)_Time(212)_SongNr(55).wav</t>
  </si>
  <si>
    <t>Bass_ItemNr(1786)_SetNr(775)_WoT_Level(0)_Complexity(4)_Time(212)_SongNr(52).wav</t>
  </si>
  <si>
    <t>Lead_ItemNr(1135)_SetNr(194)_WoT_Level(0)_Complexity(4)_Time(210)_SongNr(86).wav</t>
  </si>
  <si>
    <t>Guitar_ItemNr(2358)_SetNr(750)_WoT_Level(0)_Complexity(4)_Time(210)_SongNr(48).wav</t>
  </si>
  <si>
    <t>Guitar_ItemNr(1489)_SetNr(452)_WoT_Level(0)_Complexity(4)_Time(210)_SongNr(24).wav</t>
  </si>
  <si>
    <t>Guitar_ItemNr(1719)_SetNr(522)_WoT_Level(0)_Complexity(4)_Time(210)_SongNr(105).wav</t>
  </si>
  <si>
    <t>Guitar_ItemNr(135)_SetNr(042)_WoT_Level(0)_Complexity(4)_Time(208)_SongNr(87).wav</t>
  </si>
  <si>
    <t>Lead_ItemNr(2499)_SetNr(484)_WoT_Level(0)_Complexity(4)_Time(208)_SongNr(86).wav</t>
  </si>
  <si>
    <t>Guitar_ItemNr(2438)_SetNr(784)_WoT_Level(0)_Complexity(4)_Time(208)_SongNr(48).wav</t>
  </si>
  <si>
    <t>Guitar_ItemNr(360)_SetNr(113)_WoT_Level(0)_Complexity(4)_Time(206)_SongNr(113).wav</t>
  </si>
  <si>
    <t>Guitar_ItemNr(601)_SetNr(192)_WoT_Level(0)_Complexity(4)_Time(206)_SongNr(109).wav</t>
  </si>
  <si>
    <t>Guitar_ItemNr(694)_SetNr(213)_WoT_Level(0)_Complexity(4)_Time(206)_SongNr(105).wav</t>
  </si>
  <si>
    <t>Lead_ItemNr(1826)_SetNr(315)_WoT_Level(0)_Complexity(4)_Time(204)_SongNr(86).wav</t>
  </si>
  <si>
    <t>Lead_ItemNr(3231)_SetNr(788)_WoT_Level(0)_Complexity(4)_Time(204)_SongNr(55).wav</t>
  </si>
  <si>
    <t>Bass_ItemNr(695)_SetNr(302)_WoT_Level(0)_Complexity(4)_Time(204)_SongNr(45).wav</t>
  </si>
  <si>
    <t>Guitar_ItemNr(1343)_SetNr(408)_WoT_Level(0)_Complexity(4)_Time(204)_SongNr(113).wav</t>
  </si>
  <si>
    <t>Guitar_ItemNr(2171)_SetNr(666)_WoT_Level(0)_Complexity(4)_Time(204)_SongNr(105).wav</t>
  </si>
  <si>
    <t>Lead_ItemNr(1395)_SetNr(234)_WoT_Level(0)_Complexity(4)_Time(202)_SongNr(86).wav</t>
  </si>
  <si>
    <t>Bass_ItemNr(1936)_SetNr(837)_WoT_Level(0)_Complexity(4)_Time(202)_SongNr(55).wav</t>
  </si>
  <si>
    <t>Guitar_ItemNr(842)_SetNr(255)_WoT_Level(0)_Complexity(4)_Time(202)_SongNr(45).wav</t>
  </si>
  <si>
    <t>Bass_ItemNr(982)_SetNr(435)_WoT_Level(0)_Complexity(4)_Time(202)_SongNr(33).wav</t>
  </si>
  <si>
    <t>Bass_ItemNr(543)_SetNr(227)_WoT_Level(0)_Complexity(4)_Time(202)_SongNr(113).wav</t>
  </si>
  <si>
    <t>Lead_ItemNr(3155)_SetNr(748)_WoT_Level(0)_Complexity(4)_Time(202)_SongNr(110).wav</t>
  </si>
  <si>
    <t>Guitar_ItemNr(1243)_SetNr(375)_WoT_Level(0)_Complexity(4)_Time(202)_SongNr(105).wav</t>
  </si>
  <si>
    <t>Lead_ItemNr(2383)_SetNr(446)_WoT_Level(0)_Complexity(4)_Time(200)_SongNr(94).wav</t>
  </si>
  <si>
    <t>Lead_ItemNr(1846)_SetNr(318)_WoT_Level(0)_Complexity(4)_Time(200)_SongNr(86).wav</t>
  </si>
  <si>
    <t>Bass_ItemNr(810)_SetNr(363)_WoT_Level(0)_Complexity(4)_Time(200)_SongNr(46).wav</t>
  </si>
  <si>
    <t>Piano_ItemNr(3577)_SetNr(455)_WoT_Level(0)_Complexity(4)_Time(200)_SongNr(39).wav</t>
  </si>
  <si>
    <t>Bass_ItemNr(285)_SetNr(121)_WoT_Level(0)_Complexity(4)_Time(200)_SongNr(33).wav</t>
  </si>
  <si>
    <t>Guitar_ItemNr(1526)_SetNr(466)_WoT_Level(0)_Complexity(4)_Time(200)_SongNr(15).wav</t>
  </si>
  <si>
    <t>Guitar_ItemNr(1271)_SetNr(386)_WoT_Level(0)_Complexity(4)_Time(200)_SongNr(114).wav</t>
  </si>
  <si>
    <t>Lead_ItemNr(2501)_SetNr(486)_WoT_Level(0)_Complexity(4)_Time(200)_SongNr(110).wav</t>
  </si>
  <si>
    <t>Lead_ItemNr(2207)_SetNr(400)_WoT_Level(0)_Complexity(4)_Time(20)_SongNr(85).wav</t>
  </si>
  <si>
    <t>Piano_ItemNr(2746)_SetNr(283)_WoT_Level(0)_Complexity(4)_Time(20)_SongNr(81).wav</t>
  </si>
  <si>
    <t>Guitar_ItemNr(1212)_SetNr(364)_WoT_Level(0)_Complexity(4)_Time(20)_SongNr(8).wav</t>
  </si>
  <si>
    <t>Guitar_ItemNr(1100)_SetNr(331)_WoT_Level(0)_Complexity(4)_Time(20)_SongNr(78).wav</t>
  </si>
  <si>
    <t>Bass_ItemNr(1035)_SetNr(456)_WoT_Level(0)_Complexity(4)_Time(20)_SongNr(75).wav</t>
  </si>
  <si>
    <t>Bass_ItemNr(878)_SetNr(389)_WoT_Level(0)_Complexity(4)_Time(20)_SongNr(71).wav</t>
  </si>
  <si>
    <t>Bass_ItemNr(635)_SetNr(275)_WoT_Level(0)_Complexity(4)_Time(20)_SongNr(69).wav</t>
  </si>
  <si>
    <t>Bass_ItemNr(1555)_SetNr(678)_WoT_Level(0)_Complexity(4)_Time(20)_SongNr(68).wav</t>
  </si>
  <si>
    <t>Guitar_ItemNr(1189)_SetNr(359)_WoT_Level(0)_Complexity(4)_Time(20)_SongNr(66).wav</t>
  </si>
  <si>
    <t>Lead_ItemNr(331)_SetNr(062)_WoT_Level(0)_Complexity(4)_Time(20)_SongNr(64).wav</t>
  </si>
  <si>
    <t>Piano_ItemNr(2384)_SetNr(229)_WoT_Level(0)_Complexity(4)_Time(20)_SongNr(63).wav</t>
  </si>
  <si>
    <t>Piano_ItemNr(2322)_SetNr(223)_WoT_Level(0)_Complexity(4)_Time(20)_SongNr(61).wav</t>
  </si>
  <si>
    <t>Bass_ItemNr(284)_SetNr(120)_WoT_Level(0)_Complexity(4)_Time(20)_SongNr(60).wav</t>
  </si>
  <si>
    <t>Guitar_ItemNr(460)_SetNr(145)_WoT_Level(0)_Complexity(4)_Time(20)_SongNr(59).wav</t>
  </si>
  <si>
    <t>Lead_ItemNr(3038)_SetNr(696)_WoT_Level(0)_Complexity(4)_Time(20)_SongNr(57).wav</t>
  </si>
  <si>
    <t>Bass_ItemNr(86)_SetNr(040)_WoT_Level(0)_Complexity(4)_Time(20)_SongNr(47).wav</t>
  </si>
  <si>
    <t>Lead_ItemNr(2216)_SetNr(401)_WoT_Level(0)_Complexity(4)_Time(20)_SongNr(41).wav</t>
  </si>
  <si>
    <t>Bass_ItemNr(1878)_SetNr(818)_WoT_Level(0)_Complexity(4)_Time(20)_SongNr(38).wav</t>
  </si>
  <si>
    <t>Lead_ItemNr(2840)_SetNr(616)_WoT_Level(0)_Complexity(4)_Time(20)_SongNr(33).wav</t>
  </si>
  <si>
    <t>Lead_ItemNr(43)_SetNr(008)_WoT_Level(0)_Complexity(4)_Time(20)_SongNr(113).wav</t>
  </si>
  <si>
    <t>Guitar_ItemNr(2340)_SetNr(741)_WoT_Level(0)_Complexity(4)_Time(2)_SongNr(8).wav</t>
  </si>
  <si>
    <t>Guitar_ItemNr(462)_SetNr(146)_WoT_Level(0)_Complexity(4)_Time(2)_SongNr(78).wav</t>
  </si>
  <si>
    <t>Bass_ItemNr(444)_SetNr(187)_WoT_Level(0)_Complexity(4)_Time(2)_SongNr(77).wav</t>
  </si>
  <si>
    <t>Bass_ItemNr(1495)_SetNr(656)_WoT_Level(0)_Complexity(4)_Time(2)_SongNr(75).wav</t>
  </si>
  <si>
    <t>Bass_ItemNr(729)_SetNr(317)_WoT_Level(0)_Complexity(4)_Time(2)_SongNr(74).wav</t>
  </si>
  <si>
    <t>Guitar_ItemNr(379)_SetNr(122)_WoT_Level(0)_Complexity(4)_Time(2)_SongNr(72).wav</t>
  </si>
  <si>
    <t>Lead_ItemNr(1574)_SetNr(267)_WoT_Level(0)_Complexity(4)_Time(2)_SongNr(71).wav</t>
  </si>
  <si>
    <t>Bass_ItemNr(297)_SetNr(125)_WoT_Level(0)_Complexity(4)_Time(2)_SongNr(69).wav</t>
  </si>
  <si>
    <t>Guitar_ItemNr(527)_SetNr(170)_WoT_Level(0)_Complexity(4)_Time(2)_SongNr(65).wav</t>
  </si>
  <si>
    <t>Guitar_ItemNr(485)_SetNr(155)_WoT_Level(0)_Complexity(4)_Time(2)_SongNr(64).wav</t>
  </si>
  <si>
    <t>Piano_ItemNr(2573)_SetNr(254)_WoT_Level(0)_Complexity(4)_Time(2)_SongNr(61).wav</t>
  </si>
  <si>
    <t>Bass_ItemNr(524)_SetNr(221)_WoT_Level(0)_Complexity(4)_Time(2)_SongNr(60).wav</t>
  </si>
  <si>
    <t>Bass_ItemNr(261)_SetNr(111)_WoT_Level(0)_Complexity(4)_Time(2)_SongNr(59).wav</t>
  </si>
  <si>
    <t>Bass_ItemNr(654)_SetNr(283)_WoT_Level(0)_Complexity(4)_Time(2)_SongNr(49).wav</t>
  </si>
  <si>
    <t>Guitar_ItemNr(940)_SetNr(288)_WoT_Level(0)_Complexity(4)_Time(2)_SongNr(47).wav</t>
  </si>
  <si>
    <t>Bass_ItemNr(1819)_SetNr(791)_WoT_Level(0)_Complexity(4)_Time(2)_SongNr(45).wav</t>
  </si>
  <si>
    <t>Bass_ItemNr(1946)_SetNr(839)_WoT_Level(0)_Complexity(4)_Time(2)_SongNr(26).wav</t>
  </si>
  <si>
    <t>Guitar_ItemNr(860)_SetNr(260)_WoT_Level(0)_Complexity(4)_Time(2)_SongNr(117).wav</t>
  </si>
  <si>
    <t>Lead_ItemNr(2321)_SetNr(423)_WoT_Level(0)_Complexity(4)_Time(198)_SongNr(86).wav</t>
  </si>
  <si>
    <t>Guitar_ItemNr(1511)_SetNr(461)_WoT_Level(0)_Complexity(4)_Time(198)_SongNr(48).wav</t>
  </si>
  <si>
    <t>Bass_ItemNr(513)_SetNr(214)_WoT_Level(0)_Complexity(4)_Time(198)_SongNr(17).wav</t>
  </si>
  <si>
    <t>Guitar_ItemNr(1387)_SetNr(423)_WoT_Level(0)_Complexity(4)_Time(198)_SongNr(108).wav</t>
  </si>
  <si>
    <t>Lead_ItemNr(2396)_SetNr(451)_WoT_Level(0)_Complexity(4)_Time(196)_SongNr(86).wav</t>
  </si>
  <si>
    <t>Lead_ItemNr(2488)_SetNr(480)_WoT_Level(0)_Complexity(4)_Time(196)_SongNr(52).wav</t>
  </si>
  <si>
    <t>Bass_ItemNr(1327)_SetNr(578)_WoT_Level(0)_Complexity(4)_Time(196)_SongNr(4).wav</t>
  </si>
  <si>
    <t>Lead_ItemNr(1987)_SetNr(341)_WoT_Level(0)_Complexity(4)_Time(196)_SongNr(35).wav</t>
  </si>
  <si>
    <t>Bass_ItemNr(1641)_SetNr(716)_WoT_Level(0)_Complexity(4)_Time(196)_SongNr(17).wav</t>
  </si>
  <si>
    <t>Guitar_ItemNr(826)_SetNr(251)_WoT_Level(0)_Complexity(4)_Time(196)_SongNr(107).wav</t>
  </si>
  <si>
    <t>Lead_ItemNr(2637)_SetNr(535)_WoT_Level(0)_Complexity(4)_Time(194)_SongNr(86).wav</t>
  </si>
  <si>
    <t>Guitar_ItemNr(1417)_SetNr(429)_WoT_Level(0)_Complexity(4)_Time(194)_SongNr(85).wav</t>
  </si>
  <si>
    <t>Piano_ItemNr(2812)_SetNr(299)_WoT_Level(0)_Complexity(4)_Time(194)_SongNr(39).wav</t>
  </si>
  <si>
    <t>Lead_ItemNr(3265)_SetNr(809)_WoT_Level(0)_Complexity(4)_Time(194)_SongNr(35).wav</t>
  </si>
  <si>
    <t>Lead_ItemNr(2095)_SetNr(374)_WoT_Level(0)_Complexity(4)_Time(194)_SongNr(26).wav</t>
  </si>
  <si>
    <t>Lead_ItemNr(1931)_SetNr(330)_WoT_Level(0)_Complexity(4)_Time(194)_SongNr(15).wav</t>
  </si>
  <si>
    <t>Guitar_ItemNr(308)_SetNr(094)_WoT_Level(0)_Complexity(4)_Time(194)_SongNr(114).wav</t>
  </si>
  <si>
    <t>Guitar_ItemNr(1093)_SetNr(329)_WoT_Level(0)_Complexity(4)_Time(194)_SongNr(109).wav</t>
  </si>
  <si>
    <t>Guitar_ItemNr(1626)_SetNr(492)_WoT_Level(0)_Complexity(4)_Time(194)_SongNr(105).wav</t>
  </si>
  <si>
    <t>Lead_ItemNr(3355)_SetNr(853)_WoT_Level(0)_Complexity(4)_Time(192)_SongNr(87).wav</t>
  </si>
  <si>
    <t>Lead_ItemNr(696)_SetNr(127)_WoT_Level(0)_Complexity(4)_Time(192)_SongNr(86).wav</t>
  </si>
  <si>
    <t>Guitar_ItemNr(1975)_SetNr(597)_WoT_Level(0)_Complexity(4)_Time(192)_SongNr(85).wav</t>
  </si>
  <si>
    <t>Bass_ItemNr(64)_SetNr(032)_WoT_Level(0)_Complexity(4)_Time(192)_SongNr(58).wav</t>
  </si>
  <si>
    <t>Guitar_ItemNr(1248)_SetNr(376)_WoT_Level(0)_Complexity(4)_Time(192)_SongNr(48).wav</t>
  </si>
  <si>
    <t>Lead_ItemNr(2521)_SetNr(490)_WoT_Level(0)_Complexity(4)_Time(192)_SongNr(35).wav</t>
  </si>
  <si>
    <t>Guitar_ItemNr(2310)_SetNr(725)_WoT_Level(0)_Complexity(4)_Time(192)_SongNr(33).wav</t>
  </si>
  <si>
    <t>Guitar_ItemNr(2422)_SetNr(779)_WoT_Level(0)_Complexity(4)_Time(192)_SongNr(113).wav</t>
  </si>
  <si>
    <t>Guitar_ItemNr(295)_SetNr(091)_WoT_Level(0)_Complexity(4)_Time(192)_SongNr(105).wav</t>
  </si>
  <si>
    <t>Bass_ItemNr(244)_SetNr(105)_WoT_Level(0)_Complexity(4)_Time(190)_SongNr(35).wav</t>
  </si>
  <si>
    <t>Bass_ItemNr(1617)_SetNr(700)_WoT_Level(0)_Complexity(4)_Time(190)_SongNr(30).wav</t>
  </si>
  <si>
    <t>Lead_ItemNr(1122)_SetNr(191)_WoT_Level(0)_Complexity(4)_Time(190)_SongNr(26).wav</t>
  </si>
  <si>
    <t>Lead_ItemNr(356)_SetNr(065)_WoT_Level(0)_Complexity(4)_Time(190)_SongNr(15).wav</t>
  </si>
  <si>
    <t>Bass_ItemNr(998)_SetNr(442)_WoT_Level(0)_Complexity(4)_Time(190)_SongNr(113).wav</t>
  </si>
  <si>
    <t>Guitar_ItemNr(420)_SetNr(134)_WoT_Level(0)_Complexity(4)_Time(190)_SongNr(105).wav</t>
  </si>
  <si>
    <t>Piano_ItemNr(2990)_SetNr(337)_WoT_Level(0)_Complexity(4)_Time(188)_SongNr(97).wav</t>
  </si>
  <si>
    <t>Lead_ItemNr(1517)_SetNr(254)_WoT_Level(0)_Complexity(4)_Time(188)_SongNr(86).wav</t>
  </si>
  <si>
    <t>Guitar_ItemNr(935)_SetNr(286)_WoT_Level(0)_Complexity(4)_Time(188)_SongNr(58).wav</t>
  </si>
  <si>
    <t>Lead_ItemNr(1763)_SetNr(305)_WoT_Level(0)_Complexity(4)_Time(188)_SongNr(35).wav</t>
  </si>
  <si>
    <t>Lead_ItemNr(2626)_SetNr(531)_WoT_Level(0)_Complexity(4)_Time(188)_SongNr(26).wav</t>
  </si>
  <si>
    <t>Guitar_ItemNr(1080)_SetNr(324)_WoT_Level(0)_Complexity(4)_Time(188)_SongNr(110).wav</t>
  </si>
  <si>
    <t>Guitar_ItemNr(2194)_SetNr(675)_WoT_Level(0)_Complexity(4)_Time(186)_SongNr(95).wav</t>
  </si>
  <si>
    <t>Guitar_ItemNr(1531)_SetNr(467)_WoT_Level(0)_Complexity(4)_Time(186)_SongNr(58).wav</t>
  </si>
  <si>
    <t>Guitar_ItemNr(1902)_SetNr(577)_WoT_Level(0)_Complexity(4)_Time(186)_SongNr(49).wav</t>
  </si>
  <si>
    <t>Guitar_ItemNr(2386)_SetNr(760)_WoT_Level(0)_Complexity(4)_Time(186)_SongNr(48).wav</t>
  </si>
  <si>
    <t>Piano_ItemNr(3027)_SetNr(348)_WoT_Level(0)_Complexity(4)_Time(186)_SongNr(35).wav</t>
  </si>
  <si>
    <t>Bass_ItemNr(1210)_SetNr(535)_WoT_Level(0)_Complexity(4)_Time(186)_SongNr(17).wav</t>
  </si>
  <si>
    <t>Guitar_ItemNr(2112)_SetNr(645)_WoT_Level(0)_Complexity(4)_Time(186)_SongNr(108).wav</t>
  </si>
  <si>
    <t>Guitar_ItemNr(21)_SetNr(007)_WoT_Level(0)_Complexity(4)_Time(184)_SongNr(95).wav</t>
  </si>
  <si>
    <t>Guitar_ItemNr(1714)_SetNr(519)_WoT_Level(0)_Complexity(4)_Time(184)_SongNr(52).wav</t>
  </si>
  <si>
    <t>Bass_ItemNr(1513)_SetNr(663)_WoT_Level(0)_Complexity(4)_Time(184)_SongNr(113).wav</t>
  </si>
  <si>
    <t>Guitar_ItemNr(2308)_SetNr(724)_WoT_Level(0)_Complexity(4)_Time(182)_SongNr(87).wav</t>
  </si>
  <si>
    <t>Lead_ItemNr(2808)_SetNr(608)_WoT_Level(0)_Complexity(4)_Time(182)_SongNr(86).wav</t>
  </si>
  <si>
    <t>Guitar_ItemNr(1504)_SetNr(459)_WoT_Level(0)_Complexity(4)_Time(182)_SongNr(49).wav</t>
  </si>
  <si>
    <t>Guitar_ItemNr(2261)_SetNr(702)_WoT_Level(0)_Complexity(4)_Time(182)_SongNr(39).wav</t>
  </si>
  <si>
    <t>Piano_ItemNr(2939)_SetNr(326)_WoT_Level(0)_Complexity(4)_Time(182)_SongNr(35).wav</t>
  </si>
  <si>
    <t>Lead_ItemNr(2880)_SetNr(630)_WoT_Level(0)_Complexity(4)_Time(182)_SongNr(113).wav</t>
  </si>
  <si>
    <t>Lead_ItemNr(2099)_SetNr(375)_WoT_Level(0)_Complexity(4)_Time(182)_SongNr(110).wav</t>
  </si>
  <si>
    <t>Guitar_ItemNr(2564)_SetNr(833)_WoT_Level(0)_Complexity(4)_Time(180)_SongNr(95).wav</t>
  </si>
  <si>
    <t>Bass_ItemNr(1024)_SetNr(454)_WoT_Level(0)_Complexity(4)_Time(180)_SongNr(87).wav</t>
  </si>
  <si>
    <t>Lead_ItemNr(2025)_SetNr(353)_WoT_Level(0)_Complexity(4)_Time(180)_SongNr(86).wav</t>
  </si>
  <si>
    <t>Guitar_ItemNr(198)_SetNr(061)_WoT_Level(0)_Complexity(4)_Time(180)_SongNr(58).wav</t>
  </si>
  <si>
    <t>Guitar_ItemNr(2362)_SetNr(751)_WoT_Level(0)_Complexity(4)_Time(180)_SongNr(52).wav</t>
  </si>
  <si>
    <t>Guitar_ItemNr(1776)_SetNr(534)_WoT_Level(0)_Complexity(4)_Time(180)_SongNr(25).wav</t>
  </si>
  <si>
    <t>Guitar_ItemNr(1876)_SetNr(567)_WoT_Level(0)_Complexity(4)_Time(180)_SongNr(114).wav</t>
  </si>
  <si>
    <t>Guitar_ItemNr(2306)_SetNr(722)_WoT_Level(0)_Complexity(4)_Time(180)_SongNr(108).wav</t>
  </si>
  <si>
    <t>Lead_ItemNr(613)_SetNr(108)_WoT_Level(0)_Complexity(4)_Time(18)_SongNr(83).wav</t>
  </si>
  <si>
    <t>Piano_ItemNr(2940)_SetNr(327)_WoT_Level(0)_Complexity(4)_Time(18)_SongNr(81).wav</t>
  </si>
  <si>
    <t>Guitar_ItemNr(24)_SetNr(009)_WoT_Level(0)_Complexity(4)_Time(18)_SongNr(78).wav</t>
  </si>
  <si>
    <t>Lead_ItemNr(646)_SetNr(113)_WoT_Level(0)_Complexity(4)_Time(18)_SongNr(75).wav</t>
  </si>
  <si>
    <t>Bass_ItemNr(546)_SetNr(229)_WoT_Level(0)_Complexity(4)_Time(18)_SongNr(73).wav</t>
  </si>
  <si>
    <t>Lead_ItemNr(193)_SetNr(040)_WoT_Level(0)_Complexity(4)_Time(18)_SongNr(71).wav</t>
  </si>
  <si>
    <t>Bass_ItemNr(1848)_SetNr(805)_WoT_Level(0)_Complexity(4)_Time(18)_SongNr(68).wav</t>
  </si>
  <si>
    <t>Lead_ItemNr(3391)_SetNr(872)_WoT_Level(0)_Complexity(4)_Time(18)_SongNr(66).wav</t>
  </si>
  <si>
    <t>Guitar_ItemNr(1005)_SetNr(302)_WoT_Level(0)_Complexity(4)_Time(18)_SongNr(64).wav</t>
  </si>
  <si>
    <t>Piano_ItemNr(1223)_SetNr(106)_WoT_Level(0)_Complexity(4)_Time(18)_SongNr(63).wav</t>
  </si>
  <si>
    <t>Bass_ItemNr(1797)_SetNr(781)_WoT_Level(0)_Complexity(4)_Time(18)_SongNr(60).wav</t>
  </si>
  <si>
    <t>Lead_ItemNr(554)_SetNr(096)_WoT_Level(0)_Complexity(4)_Time(18)_SongNr(59).wav</t>
  </si>
  <si>
    <t>Lead_ItemNr(3364)_SetNr(857)_WoT_Level(0)_Complexity(4)_Time(18)_SongNr(57).wav</t>
  </si>
  <si>
    <t>Guitar_ItemNr(552)_SetNr(178)_WoT_Level(0)_Complexity(4)_Time(18)_SongNr(47).wav</t>
  </si>
  <si>
    <t>Guitar_ItemNr(717)_SetNr(221)_WoT_Level(0)_Complexity(4)_Time(18)_SongNr(41).wav</t>
  </si>
  <si>
    <t>Guitar_ItemNr(1897)_SetNr(574)_WoT_Level(0)_Complexity(4)_Time(18)_SongNr(33).wav</t>
  </si>
  <si>
    <t>Lead_ItemNr(201)_SetNr(043)_WoT_Level(0)_Complexity(4)_Time(18)_SongNr(32).wav</t>
  </si>
  <si>
    <t>Guitar_ItemNr(657)_SetNr(206)_WoT_Level(0)_Complexity(4)_Time(18)_SongNr(101).wav</t>
  </si>
  <si>
    <t>Guitar_ItemNr(1804)_SetNr(545)_WoT_Level(0)_Complexity(4)_Time(178)_SongNr(89).wav</t>
  </si>
  <si>
    <t>Guitar_ItemNr(204)_SetNr(062)_WoT_Level(0)_Complexity(4)_Time(178)_SongNr(25).wav</t>
  </si>
  <si>
    <t>Bass_ItemNr(1519)_SetNr(664)_WoT_Level(0)_Complexity(4)_Time(178)_SongNr(21).wav</t>
  </si>
  <si>
    <t>Guitar_ItemNr(1139)_SetNr(342)_WoT_Level(0)_Complexity(4)_Time(178)_SongNr(105).wav</t>
  </si>
  <si>
    <t>Lead_ItemNr(2664)_SetNr(546)_WoT_Level(0)_Complexity(4)_Time(176)_SongNr(52).wav</t>
  </si>
  <si>
    <t>Guitar_ItemNr(1905)_SetNr(578)_WoT_Level(0)_Complexity(4)_Time(176)_SongNr(113).wav</t>
  </si>
  <si>
    <t>Guitar_ItemNr(125)_SetNr(038)_WoT_Level(0)_Complexity(4)_Time(176)_SongNr(108).wav</t>
  </si>
  <si>
    <t>Guitar_ItemNr(1889)_SetNr(572)_WoT_Level(0)_Complexity(4)_Time(174)_SongNr(45).wav</t>
  </si>
  <si>
    <t>Guitar_ItemNr(1879)_SetNr(569)_WoT_Level(0)_Complexity(4)_Time(174)_SongNr(108).wav</t>
  </si>
  <si>
    <t>Guitar_ItemNr(2111)_SetNr(644)_WoT_Level(0)_Complexity(4)_Time(174)_SongNr(107).wav</t>
  </si>
  <si>
    <t>Guitar_ItemNr(1886)_SetNr(571)_WoT_Level(0)_Complexity(4)_Time(172)_SongNr(48).wav</t>
  </si>
  <si>
    <t>Bass_ItemNr(1472)_SetNr(644)_WoT_Level(0)_Complexity(4)_Time(172)_SongNr(13).wav</t>
  </si>
  <si>
    <t>Guitar_ItemNr(2203)_SetNr(681)_WoT_Level(0)_Complexity(4)_Time(172)_SongNr(109).wav</t>
  </si>
  <si>
    <t>Piano_ItemNr(2755)_SetNr(285)_WoT_Level(0)_Complexity(4)_Time(172)_SongNr(104).wav</t>
  </si>
  <si>
    <t>Bass_ItemNr(1038)_SetNr(458)_WoT_Level(0)_Complexity(4)_Time(172)_SongNr(103).wav</t>
  </si>
  <si>
    <t>Guitar_ItemNr(1253)_SetNr(379)_WoT_Level(0)_Complexity(4)_Time(170)_SongNr(89).wav</t>
  </si>
  <si>
    <t>Piano_ItemNr(852)_SetNr(066)_WoT_Level(0)_Complexity(4)_Time(170)_SongNr(35).wav</t>
  </si>
  <si>
    <t>Lead_ItemNr(2677)_SetNr(549)_WoT_Level(0)_Complexity(4)_Time(170)_SongNr(27).wav</t>
  </si>
  <si>
    <t>Bass_ItemNr(511)_SetNr(212)_WoT_Level(0)_Complexity(4)_Time(170)_SongNr(15).wav</t>
  </si>
  <si>
    <t>Lead_ItemNr(3041)_SetNr(698)_WoT_Level(0)_Complexity(4)_Time(170)_SongNr(113).wav</t>
  </si>
  <si>
    <t>Guitar_ItemNr(2600)_SetNr(853)_WoT_Level(0)_Complexity(4)_Time(170)_SongNr(104).wav</t>
  </si>
  <si>
    <t>Bass_ItemNr(1030)_SetNr(455)_WoT_Level(0)_Complexity(4)_Time(168)_SongNr(84).wav</t>
  </si>
  <si>
    <t>Guitar_ItemNr(1810)_SetNr(548)_WoT_Level(0)_Complexity(4)_Time(168)_SongNr(37).wav</t>
  </si>
  <si>
    <t>Lead_ItemNr(1569)_SetNr(265)_WoT_Level(0)_Complexity(4)_Time(168)_SongNr(35).wav</t>
  </si>
  <si>
    <t>Bass_ItemNr(1832)_SetNr(795)_WoT_Level(0)_Complexity(4)_Time(168)_SongNr(30).wav</t>
  </si>
  <si>
    <t>Bass_ItemNr(819)_SetNr(369)_WoT_Level(0)_Complexity(4)_Time(168)_SongNr(25).wav</t>
  </si>
  <si>
    <t>Guitar_ItemNr(493)_SetNr(159)_WoT_Level(0)_Complexity(4)_Time(168)_SongNr(113).wav</t>
  </si>
  <si>
    <t>Guitar_ItemNr(2429)_SetNr(782)_WoT_Level(0)_Complexity(4)_Time(168)_SongNr(108).wav</t>
  </si>
  <si>
    <t>Guitar_ItemNr(637)_SetNr(200)_WoT_Level(0)_Complexity(4)_Time(168)_SongNr(107).wav</t>
  </si>
  <si>
    <t>Piano_ItemNr(3826)_SetNr(486)_WoT_Level(0)_Complexity(4)_Time(168)_SongNr(104).wav</t>
  </si>
  <si>
    <t>Guitar_ItemNr(154)_SetNr(049)_WoT_Level(0)_Complexity(4)_Time(166)_SongNr(95).wav</t>
  </si>
  <si>
    <t>Guitar_ItemNr(1192)_SetNr(360)_WoT_Level(0)_Complexity(4)_Time(166)_SongNr(94).wav</t>
  </si>
  <si>
    <t>Bass_ItemNr(306)_SetNr(130)_WoT_Level(0)_Complexity(4)_Time(166)_SongNr(89).wav</t>
  </si>
  <si>
    <t>Lead_ItemNr(2033)_SetNr(357)_WoT_Level(0)_Complexity(4)_Time(166)_SongNr(57).wav</t>
  </si>
  <si>
    <t>Lead_ItemNr(1788)_SetNr(309)_WoT_Level(0)_Complexity(4)_Time(166)_SongNr(48).wav</t>
  </si>
  <si>
    <t>Guitar_ItemNr(2334)_SetNr(737)_WoT_Level(0)_Complexity(4)_Time(166)_SongNr(46).wav</t>
  </si>
  <si>
    <t>Piano_ItemNr(1406)_SetNr(131)_WoT_Level(0)_Complexity(4)_Time(166)_SongNr(35).wav</t>
  </si>
  <si>
    <t>Piano_ItemNr(2275)_SetNr(219)_WoT_Level(0)_Complexity(4)_Time(166)_SongNr(21).wav</t>
  </si>
  <si>
    <t>Bass_ItemNr(177)_SetNr(075)_WoT_Level(0)_Complexity(4)_Time(166)_SongNr(17).wav</t>
  </si>
  <si>
    <t>Bass_ItemNr(1499)_SetNr(658)_WoT_Level(0)_Complexity(4)_Time(164)_SongNr(89).wav</t>
  </si>
  <si>
    <t>Lead_ItemNr(1932)_SetNr(331)_WoT_Level(0)_Complexity(4)_Time(164)_SongNr(86).wav</t>
  </si>
  <si>
    <t>Guitar_ItemNr(160)_SetNr(051)_WoT_Level(0)_Complexity(4)_Time(164)_SongNr(46).wav</t>
  </si>
  <si>
    <t>Guitar_ItemNr(2184)_SetNr(670)_WoT_Level(0)_Complexity(4)_Time(164)_SongNr(37).wav</t>
  </si>
  <si>
    <t>Piano_ItemNr(3096)_SetNr(360)_WoT_Level(0)_Complexity(4)_Time(164)_SongNr(35).wav</t>
  </si>
  <si>
    <t>Bass_ItemNr(1154)_SetNr(514)_WoT_Level(0)_Complexity(4)_Time(164)_SongNr(18).wav</t>
  </si>
  <si>
    <t>Guitar_ItemNr(1825)_SetNr(551)_WoT_Level(0)_Complexity(4)_Time(164)_SongNr(105).wav</t>
  </si>
  <si>
    <t>Lead_ItemNr(3052)_SetNr(703)_WoT_Level(0)_Complexity(4)_Time(162)_SongNr(94).wav</t>
  </si>
  <si>
    <t>Lead_ItemNr(2058)_SetNr(363)_WoT_Level(0)_Complexity(4)_Time(162)_SongNr(83).wav</t>
  </si>
  <si>
    <t>Bass_ItemNr(320)_SetNr(134)_WoT_Level(0)_Complexity(4)_Time(162)_SongNr(49).wav</t>
  </si>
  <si>
    <t>Lead_ItemNr(2846)_SetNr(618)_WoT_Level(0)_Complexity(4)_Time(162)_SongNr(35).wav</t>
  </si>
  <si>
    <t>Bass_ItemNr(35)_SetNr(016)_WoT_Level(0)_Complexity(4)_Time(162)_SongNr(21).wav</t>
  </si>
  <si>
    <t>Lead_ItemNr(2611)_SetNr(525)_WoT_Level(0)_Complexity(4)_Time(162)_SongNr(116).wav</t>
  </si>
  <si>
    <t>Lead_ItemNr(2236)_SetNr(408)_WoT_Level(0)_Complexity(4)_Time(160)_SongNr(93).wav</t>
  </si>
  <si>
    <t>Bass_ItemNr(1036)_SetNr(457)_WoT_Level(0)_Complexity(4)_Time(160)_SongNr(89).wav</t>
  </si>
  <si>
    <t>Lead_ItemNr(910)_SetNr(158)_WoT_Level(0)_Complexity(4)_Time(160)_SongNr(85).wav</t>
  </si>
  <si>
    <t>Lead_ItemNr(1458)_SetNr(245)_WoT_Level(0)_Complexity(4)_Time(160)_SongNr(57).wav</t>
  </si>
  <si>
    <t>Guitar_ItemNr(332)_SetNr(105)_WoT_Level(0)_Complexity(4)_Time(160)_SongNr(46).wav</t>
  </si>
  <si>
    <t>Bass_ItemNr(615)_SetNr(264)_WoT_Level(0)_Complexity(4)_Time(160)_SongNr(41).wav</t>
  </si>
  <si>
    <t>Bass_ItemNr(583)_SetNr(249)_WoT_Level(0)_Complexity(4)_Time(160)_SongNr(37).wav</t>
  </si>
  <si>
    <t>Lead_ItemNr(3233)_SetNr(790)_WoT_Level(0)_Complexity(4)_Time(160)_SongNr(36).wav</t>
  </si>
  <si>
    <t>Lead_ItemNr(1104)_SetNr(189)_WoT_Level(0)_Complexity(4)_Time(160)_SongNr(35).wav</t>
  </si>
  <si>
    <t>Guitar_ItemNr(59)_SetNr(017)_WoT_Level(0)_Complexity(4)_Time(160)_SongNr(31).wav</t>
  </si>
  <si>
    <t>Bass_ItemNr(1012)_SetNr(448)_WoT_Level(0)_Complexity(4)_Time(160)_SongNr(17).wav</t>
  </si>
  <si>
    <t>Bass_ItemNr(798)_SetNr(359)_WoT_Level(0)_Complexity(4)_Time(160)_SongNr(114).wav</t>
  </si>
  <si>
    <t>Bass_ItemNr(1642)_SetNr(717)_WoT_Level(0)_Complexity(4)_Time(160)_SongNr(103).wav</t>
  </si>
  <si>
    <t>Guitar_ItemNr(724)_SetNr(224)_WoT_Level(0)_Complexity(4)_Time(16)_SongNr(95).wav</t>
  </si>
  <si>
    <t>Bass_ItemNr(1532)_SetNr(670)_WoT_Level(0)_Complexity(4)_Time(16)_SongNr(85).wav</t>
  </si>
  <si>
    <t>Guitar_ItemNr(2593)_SetNr(847)_WoT_Level(0)_Complexity(4)_Time(16)_SongNr(83).wav</t>
  </si>
  <si>
    <t>Piano_ItemNr(698)_SetNr(055)_WoT_Level(0)_Complexity(4)_Time(16)_SongNr(81).wav</t>
  </si>
  <si>
    <t>Bass_ItemNr(548)_SetNr(231)_WoT_Level(0)_Complexity(4)_Time(16)_SongNr(78).wav</t>
  </si>
  <si>
    <t>Bass_ItemNr(499)_SetNr(205)_WoT_Level(0)_Complexity(4)_Time(16)_SongNr(76).wav</t>
  </si>
  <si>
    <t>Lead_ItemNr(1383)_SetNr(232)_WoT_Level(0)_Complexity(4)_Time(16)_SongNr(75).wav</t>
  </si>
  <si>
    <t>Bass_ItemNr(1710)_SetNr(747)_WoT_Level(0)_Complexity(4)_Time(16)_SongNr(74).wav</t>
  </si>
  <si>
    <t>Bass_ItemNr(44)_SetNr(021)_WoT_Level(0)_Complexity(4)_Time(16)_SongNr(73).wav</t>
  </si>
  <si>
    <t>Lead_ItemNr(868)_SetNr(152)_WoT_Level(0)_Complexity(4)_Time(16)_SongNr(72).wav</t>
  </si>
  <si>
    <t>Guitar_ItemNr(1686)_SetNr(509)_WoT_Level(0)_Complexity(4)_Time(16)_SongNr(66).wav</t>
  </si>
  <si>
    <t>Bass_ItemNr(113)_SetNr(052)_WoT_Level(0)_Complexity(4)_Time(16)_SongNr(60).wav</t>
  </si>
  <si>
    <t>Bass_ItemNr(1652)_SetNr(722)_WoT_Level(0)_Complexity(4)_Time(16)_SongNr(59).wav</t>
  </si>
  <si>
    <t>Guitar_ItemNr(1385)_SetNr(422)_WoT_Level(0)_Complexity(4)_Time(16)_SongNr(48).wav</t>
  </si>
  <si>
    <t>Bass_ItemNr(371)_SetNr(156)_WoT_Level(0)_Complexity(4)_Time(16)_SongNr(47).wav</t>
  </si>
  <si>
    <t>Bass_ItemNr(1067)_SetNr(473)_WoT_Level(0)_Complexity(4)_Time(16)_SongNr(15).wav</t>
  </si>
  <si>
    <t>Bass_ItemNr(680)_SetNr(297)_WoT_Level(0)_Complexity(4)_Time(16)_SongNr(117).wav</t>
  </si>
  <si>
    <t>Lead_ItemNr(2663)_SetNr(545)_WoT_Level(0)_Complexity(4)_Time(16)_SongNr(113).wav</t>
  </si>
  <si>
    <t>Bass_ItemNr(976)_SetNr(431)_WoT_Level(0)_Complexity(4)_Time(16)_SongNr(10).wav</t>
  </si>
  <si>
    <t>Lead_ItemNr(1757)_SetNr(304)_WoT_Level(0)_Complexity(4)_Time(158)_SongNr(85).wav</t>
  </si>
  <si>
    <t>Lead_ItemNr(3321)_SetNr(838)_WoT_Level(0)_Complexity(4)_Time(158)_SongNr(57).wav</t>
  </si>
  <si>
    <t>Bass_ItemNr(1732)_SetNr(752)_WoT_Level(0)_Complexity(4)_Time(158)_SongNr(4).wav</t>
  </si>
  <si>
    <t>Guitar_ItemNr(2353)_SetNr(747)_WoT_Level(0)_Complexity(4)_Time(158)_SongNr(37).wav</t>
  </si>
  <si>
    <t>Lead_ItemNr(2735)_SetNr(576)_WoT_Level(0)_Complexity(4)_Time(158)_SongNr(31).wav</t>
  </si>
  <si>
    <t>Bass_ItemNr(1008)_SetNr(445)_WoT_Level(0)_Complexity(4)_Time(158)_SongNr(30).wav</t>
  </si>
  <si>
    <t>Bass_ItemNr(648)_SetNr(280)_WoT_Level(0)_Complexity(4)_Time(158)_SongNr(25).wav</t>
  </si>
  <si>
    <t>Piano_ItemNr(2911)_SetNr(320)_WoT_Level(0)_Complexity(4)_Time(158)_SongNr(2).wav</t>
  </si>
  <si>
    <t>Guitar_ItemNr(249)_SetNr(071)_WoT_Level(0)_Complexity(4)_Time(158)_SongNr(15).wav</t>
  </si>
  <si>
    <t>Guitar_ItemNr(656)_SetNr(205)_WoT_Level(0)_Complexity(4)_Time(158)_SongNr(108).wav</t>
  </si>
  <si>
    <t>Guitar_ItemNr(1446)_SetNr(438)_WoT_Level(0)_Complexity(4)_Time(156)_SongNr(95).wav</t>
  </si>
  <si>
    <t>Lead_ItemNr(2873)_SetNr(628)_WoT_Level(0)_Complexity(4)_Time(156)_SongNr(86).wav</t>
  </si>
  <si>
    <t>Lead_ItemNr(2475)_SetNr(476)_WoT_Level(0)_Complexity(4)_Time(156)_SongNr(8).wav</t>
  </si>
  <si>
    <t>Guitar_ItemNr(535)_SetNr(173)_WoT_Level(0)_Complexity(4)_Time(156)_SongNr(57).wav</t>
  </si>
  <si>
    <t>Lead_ItemNr(2899)_SetNr(635)_WoT_Level(0)_Complexity(4)_Time(156)_SongNr(36).wav</t>
  </si>
  <si>
    <t>Guitar_ItemNr(1351)_SetNr(410)_WoT_Level(0)_Complexity(4)_Time(156)_SongNr(25).wav</t>
  </si>
  <si>
    <t>Piano_ItemNr(3329)_SetNr(413)_WoT_Level(0)_Complexity(4)_Time(156)_SongNr(111).wav</t>
  </si>
  <si>
    <t>Guitar_ItemNr(2265)_SetNr(705)_WoT_Level(0)_Complexity(4)_Time(154)_SongNr(85).wav</t>
  </si>
  <si>
    <t>Bass_ItemNr(25)_SetNr(009)_WoT_Level(0)_Complexity(4)_Time(154)_SongNr(57).wav</t>
  </si>
  <si>
    <t>Bass_ItemNr(889)_SetNr(394)_WoT_Level(0)_Complexity(4)_Time(154)_SongNr(56).wav</t>
  </si>
  <si>
    <t>Guitar_ItemNr(545)_SetNr(177)_WoT_Level(0)_Complexity(4)_Time(154)_SongNr(55).wav</t>
  </si>
  <si>
    <t>Guitar_ItemNr(1084)_SetNr(325)_WoT_Level(0)_Complexity(4)_Time(154)_SongNr(46).wav</t>
  </si>
  <si>
    <t>Guitar_ItemNr(1798)_SetNr(542)_WoT_Level(0)_Complexity(4)_Time(154)_SongNr(41).wav</t>
  </si>
  <si>
    <t>Lead_ItemNr(1540)_SetNr(259)_WoT_Level(0)_Complexity(4)_Time(154)_SongNr(36).wav</t>
  </si>
  <si>
    <t>Piano_ItemNr(3003)_SetNr(341)_WoT_Level(0)_Complexity(4)_Time(154)_SongNr(35).wav</t>
  </si>
  <si>
    <t>Piano_ItemNr(2833)_SetNr(305)_WoT_Level(0)_Complexity(4)_Time(154)_SongNr(2).wav</t>
  </si>
  <si>
    <t>Bass_ItemNr(1444)_SetNr(631)_WoT_Level(0)_Complexity(4)_Time(154)_SongNr(17).wav</t>
  </si>
  <si>
    <t>Guitar_ItemNr(650)_SetNr(203)_WoT_Level(0)_Complexity(4)_Time(154)_SongNr(111).wav</t>
  </si>
  <si>
    <t>Guitar_ItemNr(2584)_SetNr(841)_WoT_Level(0)_Complexity(4)_Time(152)_SongNr(89).wav</t>
  </si>
  <si>
    <t>Bass_ItemNr(1257)_SetNr(550)_WoT_Level(0)_Complexity(4)_Time(152)_SongNr(46).wav</t>
  </si>
  <si>
    <t>Lead_ItemNr(1816)_SetNr(312)_WoT_Level(0)_Complexity(4)_Time(152)_SongNr(4).wav</t>
  </si>
  <si>
    <t>Guitar_ItemNr(93)_SetNr(026)_WoT_Level(0)_Complexity(4)_Time(152)_SongNr(38).wav</t>
  </si>
  <si>
    <t>Lead_ItemNr(280)_SetNr(053)_WoT_Level(0)_Complexity(4)_Time(152)_SongNr(36).wav</t>
  </si>
  <si>
    <t>Piano_ItemNr(2301)_SetNr(221)_WoT_Level(0)_Complexity(4)_Time(152)_SongNr(35).wav</t>
  </si>
  <si>
    <t>Bass_ItemNr(1510)_SetNr(662)_WoT_Level(0)_Complexity(4)_Time(152)_SongNr(30).wav</t>
  </si>
  <si>
    <t>Guitar_ItemNr(2248)_SetNr(697)_WoT_Level(0)_Complexity(4)_Time(152)_SongNr(25).wav</t>
  </si>
  <si>
    <t>Piano_ItemNr(3048)_SetNr(353)_WoT_Level(0)_Complexity(4)_Time(152)_SongNr(2).wav</t>
  </si>
  <si>
    <t>Bass_ItemNr(1475)_SetNr(646)_WoT_Level(0)_Complexity(4)_Time(152)_SongNr(116).wav</t>
  </si>
  <si>
    <t>Guitar_ItemNr(827)_SetNr(252)_WoT_Level(0)_Complexity(4)_Time(152)_SongNr(108).wav</t>
  </si>
  <si>
    <t>Bass_ItemNr(144)_SetNr(062)_WoT_Level(0)_Complexity(4)_Time(152)_SongNr(104).wav</t>
  </si>
  <si>
    <t>Lead_ItemNr(2246)_SetNr(410)_WoT_Level(0)_Complexity(4)_Time(150)_SongNr(56).wav</t>
  </si>
  <si>
    <t>Lead_ItemNr(2901)_SetNr(636)_WoT_Level(0)_Complexity(4)_Time(150)_SongNr(48).wav</t>
  </si>
  <si>
    <t>Guitar_ItemNr(388)_SetNr(124)_WoT_Level(0)_Complexity(4)_Time(150)_SongNr(45).wav</t>
  </si>
  <si>
    <t>Guitar_ItemNr(194)_SetNr(060)_WoT_Level(0)_Complexity(4)_Time(150)_SongNr(4).wav</t>
  </si>
  <si>
    <t>Bass_ItemNr(666)_SetNr(287)_WoT_Level(0)_Complexity(4)_Time(150)_SongNr(39).wav</t>
  </si>
  <si>
    <t>Guitar_ItemNr(1085)_SetNr(326)_WoT_Level(0)_Complexity(4)_Time(150)_SongNr(38).wav</t>
  </si>
  <si>
    <t>Lead_ItemNr(3370)_SetNr(860)_WoT_Level(0)_Complexity(4)_Time(150)_SongNr(36).wav</t>
  </si>
  <si>
    <t>Piano_ItemNr(3117)_SetNr(367)_WoT_Level(0)_Complexity(4)_Time(150)_SongNr(35).wav</t>
  </si>
  <si>
    <t>Lead_ItemNr(2393)_SetNr(448)_WoT_Level(0)_Complexity(4)_Time(150)_SongNr(31).wav</t>
  </si>
  <si>
    <t>Guitar_ItemNr(651)_SetNr(204)_WoT_Level(0)_Complexity(4)_Time(150)_SongNr(2).wav</t>
  </si>
  <si>
    <t>Piano_ItemNr(2922)_SetNr(323)_WoT_Level(0)_Complexity(4)_Time(150)_SongNr(13).wav</t>
  </si>
  <si>
    <t>Guitar_ItemNr(2654)_SetNr(879)_WoT_Level(0)_Complexity(4)_Time(148)_SongNr(89).wav</t>
  </si>
  <si>
    <t>Lead_ItemNr(2646)_SetNr(539)_WoT_Level(0)_Complexity(4)_Time(148)_SongNr(4).wav</t>
  </si>
  <si>
    <t>Guitar_ItemNr(1842)_SetNr(556)_WoT_Level(0)_Complexity(4)_Time(148)_SongNr(37).wav</t>
  </si>
  <si>
    <t>Lead_ItemNr(3049)_SetNr(702)_WoT_Level(0)_Complexity(4)_Time(148)_SongNr(36).wav</t>
  </si>
  <si>
    <t>Piano_ItemNr(3473)_SetNr(436)_WoT_Level(0)_Complexity(4)_Time(148)_SongNr(35).wav</t>
  </si>
  <si>
    <t>Piano_ItemNr(1894)_SetNr(175)_WoT_Level(0)_Complexity(4)_Time(148)_SongNr(2).wav</t>
  </si>
  <si>
    <t>Guitar_ItemNr(1274)_SetNr(387)_WoT_Level(0)_Complexity(4)_Time(148)_SongNr(108).wav</t>
  </si>
  <si>
    <t>Lead_ItemNr(2732)_SetNr(574)_WoT_Level(0)_Complexity(4)_Time(146)_SongNr(85).wav</t>
  </si>
  <si>
    <t>Bass_ItemNr(1734)_SetNr(753)_WoT_Level(0)_Complexity(4)_Time(146)_SongNr(5).wav</t>
  </si>
  <si>
    <t>Lead_ItemNr(1090)_SetNr(187)_WoT_Level(0)_Complexity(4)_Time(146)_SongNr(39).wav</t>
  </si>
  <si>
    <t>Lead_ItemNr(1727)_SetNr(297)_WoT_Level(0)_Complexity(4)_Time(146)_SongNr(38).wav</t>
  </si>
  <si>
    <t>Guitar_ItemNr(1567)_SetNr(479)_WoT_Level(0)_Complexity(4)_Time(146)_SongNr(37).wav</t>
  </si>
  <si>
    <t>Lead_ItemNr(2671)_SetNr(548)_WoT_Level(0)_Complexity(4)_Time(146)_SongNr(36).wav</t>
  </si>
  <si>
    <t>Piano_ItemNr(3598)_SetNr(459)_WoT_Level(0)_Complexity(4)_Time(146)_SongNr(35).wav</t>
  </si>
  <si>
    <t>Guitar_ItemNr(2277)_SetNr(712)_WoT_Level(0)_Complexity(4)_Time(146)_SongNr(31).wav</t>
  </si>
  <si>
    <t>Piano_ItemNr(1779)_SetNr(164)_WoT_Level(0)_Complexity(4)_Time(146)_SongNr(21).wav</t>
  </si>
  <si>
    <t>Guitar_ItemNr(279)_SetNr(085)_WoT_Level(0)_Complexity(4)_Time(146)_SongNr(2).wav</t>
  </si>
  <si>
    <t>Bass_ItemNr(845)_SetNr(380)_WoT_Level(0)_Complexity(4)_Time(146)_SongNr(17).wav</t>
  </si>
  <si>
    <t>Bass_ItemNr(655)_SetNr(284)_WoT_Level(0)_Complexity(4)_Time(144)_SongNr(89).wav</t>
  </si>
  <si>
    <t>Lead_ItemNr(692)_SetNr(125)_WoT_Level(0)_Complexity(4)_Time(144)_SongNr(85).wav</t>
  </si>
  <si>
    <t>Bass_ItemNr(477)_SetNr(198)_WoT_Level(0)_Complexity(4)_Time(144)_SongNr(56).wav</t>
  </si>
  <si>
    <t>Bass_ItemNr(892)_SetNr(396)_WoT_Level(0)_Complexity(4)_Time(144)_SongNr(46).wav</t>
  </si>
  <si>
    <t>Lead_ItemNr(3195)_SetNr(768)_WoT_Level(0)_Complexity(4)_Time(144)_SongNr(38).wav</t>
  </si>
  <si>
    <t>Guitar_ItemNr(2610)_SetNr(858)_WoT_Level(0)_Complexity(4)_Time(144)_SongNr(37).wav</t>
  </si>
  <si>
    <t>Lead_ItemNr(3149)_SetNr(744)_WoT_Level(0)_Complexity(4)_Time(144)_SongNr(36).wav</t>
  </si>
  <si>
    <t>Bass_ItemNr(509)_SetNr(210)_WoT_Level(0)_Complexity(4)_Time(144)_SongNr(35).wav</t>
  </si>
  <si>
    <t>Bass_ItemNr(762)_SetNr(340)_WoT_Level(0)_Complexity(4)_Time(144)_SongNr(30).wav</t>
  </si>
  <si>
    <t>Piano_ItemNr(2214)_SetNr(212)_WoT_Level(0)_Complexity(4)_Time(144)_SongNr(21).wav</t>
  </si>
  <si>
    <t>Bass_ItemNr(944)_SetNr(413)_WoT_Level(0)_Complexity(4)_Time(144)_SongNr(116).wav</t>
  </si>
  <si>
    <t>Bass_ItemNr(1708)_SetNr(746)_WoT_Level(0)_Complexity(4)_Time(142)_SongNr(94).wav</t>
  </si>
  <si>
    <t>Lead_ItemNr(2982)_SetNr(676)_WoT_Level(0)_Complexity(4)_Time(142)_SongNr(85).wav</t>
  </si>
  <si>
    <t>Lead_ItemNr(3395)_SetNr(875)_WoT_Level(0)_Complexity(4)_Time(142)_SongNr(36).wav</t>
  </si>
  <si>
    <t>Lead_ItemNr(3161)_SetNr(750)_WoT_Level(0)_Complexity(4)_Time(142)_SongNr(33).wav</t>
  </si>
  <si>
    <t>Lead_ItemNr(664)_SetNr(118)_WoT_Level(0)_Complexity(4)_Time(142)_SongNr(24).wav</t>
  </si>
  <si>
    <t>Lead_ItemNr(2153)_SetNr(391)_WoT_Level(0)_Complexity(4)_Time(142)_SongNr(21).wav</t>
  </si>
  <si>
    <t>Bass_ItemNr(1113)_SetNr(497)_WoT_Level(0)_Complexity(4)_Time(142)_SongNr(18).wav</t>
  </si>
  <si>
    <t>Lead_ItemNr(456)_SetNr(083)_WoT_Level(0)_Complexity(4)_Time(142)_SongNr(116).wav</t>
  </si>
  <si>
    <t>Guitar_ItemNr(608)_SetNr(194)_WoT_Level(0)_Complexity(4)_Time(142)_SongNr(108).wav</t>
  </si>
  <si>
    <t>Guitar_ItemNr(1453)_SetNr(442)_WoT_Level(0)_Complexity(4)_Time(140)_SongNr(97).wav</t>
  </si>
  <si>
    <t>Bass_ItemNr(429)_SetNr(182)_WoT_Level(0)_Complexity(4)_Time(140)_SongNr(85).wav</t>
  </si>
  <si>
    <t>Guitar_ItemNr(486)_SetNr(156)_WoT_Level(0)_Complexity(4)_Time(140)_SongNr(37).wav</t>
  </si>
  <si>
    <t>Lead_ItemNr(4)_SetNr(002)_WoT_Level(0)_Complexity(4)_Time(140)_SongNr(36).wav</t>
  </si>
  <si>
    <t>Lead_ItemNr(3235)_SetNr(792)_WoT_Level(0)_Complexity(4)_Time(140)_SongNr(24).wav</t>
  </si>
  <si>
    <t>Piano_ItemNr(1285)_SetNr(117)_WoT_Level(0)_Complexity(4)_Time(140)_SongNr(2).wav</t>
  </si>
  <si>
    <t>Bass_ItemNr(738)_SetNr(325)_WoT_Level(0)_Complexity(4)_Time(140)_SongNr(19).wav</t>
  </si>
  <si>
    <t>Bass_ItemNr(1321)_SetNr(574)_WoT_Level(0)_Complexity(4)_Time(140)_SongNr(17).wav</t>
  </si>
  <si>
    <t>Guitar_ItemNr(2091)_SetNr(635)_WoT_Level(0)_Complexity(4)_Time(140)_SongNr(114).wav</t>
  </si>
  <si>
    <t>Guitar_ItemNr(435)_SetNr(137)_WoT_Level(0)_Complexity(4)_Time(140)_SongNr(108).wav</t>
  </si>
  <si>
    <t>Bass_ItemNr(589)_SetNr(253)_WoT_Level(0)_Complexity(4)_Time(14)_SongNr(95).wav</t>
  </si>
  <si>
    <t>Guitar_ItemNr(740)_SetNr(229)_WoT_Level(0)_Complexity(4)_Time(14)_SongNr(83).wav</t>
  </si>
  <si>
    <t>Bass_ItemNr(99)_SetNr(048)_WoT_Level(0)_Complexity(4)_Time(14)_SongNr(8).wav</t>
  </si>
  <si>
    <t>Bass_ItemNr(205)_SetNr(083)_WoT_Level(0)_Complexity(4)_Time(14)_SongNr(78).wav</t>
  </si>
  <si>
    <t>Lead_ItemNr(296)_SetNr(056)_WoT_Level(0)_Complexity(4)_Time(14)_SongNr(76).wav</t>
  </si>
  <si>
    <t>Bass_ItemNr(573)_SetNr(243)_WoT_Level(0)_Complexity(4)_Time(14)_SongNr(75).wav</t>
  </si>
  <si>
    <t>Bass_ItemNr(919)_SetNr(405)_WoT_Level(0)_Complexity(4)_Time(14)_SongNr(74).wav</t>
  </si>
  <si>
    <t>Bass_ItemNr(1696)_SetNr(742)_WoT_Level(0)_Complexity(4)_Time(14)_SongNr(73).wav</t>
  </si>
  <si>
    <t>Bass_ItemNr(671)_SetNr(291)_WoT_Level(0)_Complexity(4)_Time(14)_SongNr(72).wav</t>
  </si>
  <si>
    <t>Guitar_ItemNr(1514)_SetNr(462)_WoT_Level(0)_Complexity(4)_Time(14)_SongNr(71).wav</t>
  </si>
  <si>
    <t>Lead_ItemNr(3047)_SetNr(701)_WoT_Level(0)_Complexity(4)_Time(14)_SongNr(66).wav</t>
  </si>
  <si>
    <t>Lead_ItemNr(661)_SetNr(116)_WoT_Level(0)_Complexity(4)_Time(14)_SongNr(65).wav</t>
  </si>
  <si>
    <t>Piano_ItemNr(996)_SetNr(081)_WoT_Level(0)_Complexity(4)_Time(14)_SongNr(63).wav</t>
  </si>
  <si>
    <t>Lead_ItemNr(1115)_SetNr(190)_WoT_Level(0)_Complexity(4)_Time(14)_SongNr(60).wav</t>
  </si>
  <si>
    <t>Bass_ItemNr(1291)_SetNr(560)_WoT_Level(0)_Complexity(4)_Time(14)_SongNr(59).wav</t>
  </si>
  <si>
    <t>Guitar_ItemNr(1120)_SetNr(334)_WoT_Level(0)_Complexity(4)_Time(14)_SongNr(47).wav</t>
  </si>
  <si>
    <t>Guitar_ItemNr(1375)_SetNr(418)_WoT_Level(0)_Complexity(4)_Time(14)_SongNr(45).wav</t>
  </si>
  <si>
    <t>Guitar_ItemNr(1391)_SetNr(424)_WoT_Level(0)_Complexity(4)_Time(14)_SongNr(33).wav</t>
  </si>
  <si>
    <t>Lead_ItemNr(2467)_SetNr(472)_WoT_Level(0)_Complexity(4)_Time(14)_SongNr(16).wav</t>
  </si>
  <si>
    <t>Lead_ItemNr(37)_SetNr(007)_WoT_Level(0)_Complexity(4)_Time(14)_SongNr(117).wav</t>
  </si>
  <si>
    <t>Bass_ItemNr(1428)_SetNr(625)_WoT_Level(0)_Complexity(4)_Time(14)_SongNr(101).wav</t>
  </si>
  <si>
    <t>Piano_ItemNr(1723)_SetNr(156)_WoT_Level(0)_Complexity(4)_Time(138)_SongNr(97).wav</t>
  </si>
  <si>
    <t>Lead_ItemNr(1158)_SetNr(197)_WoT_Level(0)_Complexity(4)_Time(138)_SongNr(95).wav</t>
  </si>
  <si>
    <t>Bass_ItemNr(166)_SetNr(071)_WoT_Level(0)_Complexity(4)_Time(138)_SongNr(89).wav</t>
  </si>
  <si>
    <t>Bass_ItemNr(1042)_SetNr(460)_WoT_Level(0)_Complexity(4)_Time(138)_SongNr(56).wav</t>
  </si>
  <si>
    <t>Bass_ItemNr(143)_SetNr(061)_WoT_Level(0)_Complexity(4)_Time(138)_SongNr(38).wav</t>
  </si>
  <si>
    <t>Lead_ItemNr(2127)_SetNr(381)_WoT_Level(0)_Complexity(4)_Time(138)_SongNr(34).wav</t>
  </si>
  <si>
    <t>Lead_ItemNr(1607)_SetNr(278)_WoT_Level(0)_Complexity(4)_Time(138)_SongNr(25).wav</t>
  </si>
  <si>
    <t>Piano_ItemNr(3093)_SetNr(359)_WoT_Level(0)_Complexity(4)_Time(138)_SongNr(2).wav</t>
  </si>
  <si>
    <t>Bass_ItemNr(1147)_SetNr(510)_WoT_Level(0)_Complexity(4)_Time(138)_SongNr(116).wav</t>
  </si>
  <si>
    <t>Guitar_ItemNr(1027)_SetNr(308)_WoT_Level(0)_Complexity(4)_Time(138)_SongNr(112).wav</t>
  </si>
  <si>
    <t>Guitar_ItemNr(1547)_SetNr(472)_WoT_Level(0)_Complexity(4)_Time(138)_SongNr(108).wav</t>
  </si>
  <si>
    <t>Guitar_ItemNr(870)_SetNr(263)_WoT_Level(0)_Complexity(4)_Time(138)_SongNr(107).wav</t>
  </si>
  <si>
    <t>Bass_ItemNr(1397)_SetNr(611)_WoT_Level(0)_Complexity(4)_Time(136)_SongNr(95).wav</t>
  </si>
  <si>
    <t>Guitar_ItemNr(1892)_SetNr(573)_WoT_Level(0)_Complexity(4)_Time(136)_SongNr(93).wav</t>
  </si>
  <si>
    <t>Bass_ItemNr(1899)_SetNr(824)_WoT_Level(0)_Complexity(4)_Time(136)_SongNr(89).wav</t>
  </si>
  <si>
    <t>Lead_ItemNr(2359)_SetNr(434)_WoT_Level(0)_Complexity(4)_Time(136)_SongNr(56).wav</t>
  </si>
  <si>
    <t>Bass_ItemNr(1213)_SetNr(536)_WoT_Level(0)_Complexity(4)_Time(136)_SongNr(55).wav</t>
  </si>
  <si>
    <t>Lead_ItemNr(377)_SetNr(066)_WoT_Level(0)_Complexity(4)_Time(136)_SongNr(4).wav</t>
  </si>
  <si>
    <t>Guitar_ItemNr(365)_SetNr(117)_WoT_Level(0)_Complexity(4)_Time(136)_SongNr(37).wav</t>
  </si>
  <si>
    <t>Lead_ItemNr(2225)_SetNr(405)_WoT_Level(0)_Complexity(4)_Time(136)_SongNr(36).wav</t>
  </si>
  <si>
    <t>Guitar_ItemNr(2457)_SetNr(795)_WoT_Level(0)_Complexity(4)_Time(136)_SongNr(33).wav</t>
  </si>
  <si>
    <t>Bass_ItemNr(1951)_SetNr(842)_WoT_Level(0)_Complexity(4)_Time(136)_SongNr(25).wav</t>
  </si>
  <si>
    <t>Guitar_ItemNr(1702)_SetNr(515)_WoT_Level(0)_Complexity(4)_Time(136)_SongNr(2).wav</t>
  </si>
  <si>
    <t>Lead_ItemNr(468)_SetNr(086)_WoT_Level(0)_Complexity(4)_Time(136)_SongNr(112).wav</t>
  </si>
  <si>
    <t>Piano_ItemNr(2834)_SetNr(306)_WoT_Level(0)_Complexity(4)_Time(136)_SongNr(104).wav</t>
  </si>
  <si>
    <t>Lead_ItemNr(2713)_SetNr(565)_WoT_Level(0)_Complexity(4)_Time(134)_SongNr(95).wav</t>
  </si>
  <si>
    <t>Guitar_ItemNr(815)_SetNr(248)_WoT_Level(0)_Complexity(4)_Time(134)_SongNr(85).wav</t>
  </si>
  <si>
    <t>Piano_ItemNr(3408)_SetNr(425)_WoT_Level(0)_Complexity(4)_Time(134)_SongNr(57).wav</t>
  </si>
  <si>
    <t>Guitar_ItemNr(2108)_SetNr(641)_WoT_Level(0)_Complexity(4)_Time(134)_SongNr(37).wav</t>
  </si>
  <si>
    <t>Lead_ItemNr(2853)_SetNr(619)_WoT_Level(0)_Complexity(4)_Time(134)_SongNr(36).wav</t>
  </si>
  <si>
    <t>Bass_ItemNr(504)_SetNr(207)_WoT_Level(0)_Complexity(4)_Time(134)_SongNr(30).wav</t>
  </si>
  <si>
    <t>Lead_ItemNr(778)_SetNr(133)_WoT_Level(0)_Complexity(4)_Time(134)_SongNr(112).wav</t>
  </si>
  <si>
    <t>Bass_ItemNr(653)_SetNr(282)_WoT_Level(0)_Complexity(4)_Time(134)_SongNr(110).wav</t>
  </si>
  <si>
    <t>Guitar_ItemNr(2512)_SetNr(815)_WoT_Level(0)_Complexity(4)_Time(134)_SongNr(109).wav</t>
  </si>
  <si>
    <t>Guitar_ItemNr(2455)_SetNr(794)_WoT_Level(0)_Complexity(4)_Time(134)_SongNr(107).wav</t>
  </si>
  <si>
    <t>Lead_ItemNr(2029)_SetNr(355)_WoT_Level(0)_Complexity(4)_Time(132)_SongNr(95).wav</t>
  </si>
  <si>
    <t>Bass_ItemNr(964)_SetNr(426)_WoT_Level(0)_Complexity(4)_Time(132)_SongNr(58).wav</t>
  </si>
  <si>
    <t>Piano_ItemNr(1363)_SetNr(125)_WoT_Level(0)_Complexity(4)_Time(132)_SongNr(57).wav</t>
  </si>
  <si>
    <t>Lead_ItemNr(3075)_SetNr(715)_WoT_Level(0)_Complexity(4)_Time(132)_SongNr(55).wav</t>
  </si>
  <si>
    <t>Piano_ItemNr(3099)_SetNr(361)_WoT_Level(0)_Complexity(4)_Time(132)_SongNr(40).wav</t>
  </si>
  <si>
    <t>Lead_ItemNr(1064)_SetNr(185)_WoT_Level(0)_Complexity(4)_Time(132)_SongNr(4).wav</t>
  </si>
  <si>
    <t>Lead_ItemNr(912)_SetNr(159)_WoT_Level(0)_Complexity(4)_Time(132)_SongNr(36).wav</t>
  </si>
  <si>
    <t>Bass_ItemNr(947)_SetNr(415)_WoT_Level(0)_Complexity(4)_Time(132)_SongNr(112).wav</t>
  </si>
  <si>
    <t>Piano_ItemNr(3020)_SetNr(347)_WoT_Level(0)_Complexity(4)_Time(132)_SongNr(104).wav</t>
  </si>
  <si>
    <t>Lead_ItemNr(2131)_SetNr(383)_WoT_Level(0)_Complexity(4)_Time(130)_SongNr(95).wav</t>
  </si>
  <si>
    <t>Guitar_ItemNr(1345)_SetNr(409)_WoT_Level(0)_Complexity(4)_Time(130)_SongNr(94).wav</t>
  </si>
  <si>
    <t>Guitar_ItemNr(2444)_SetNr(787)_WoT_Level(0)_Complexity(4)_Time(130)_SongNr(89).wav</t>
  </si>
  <si>
    <t>Piano_ItemNr(3640)_SetNr(464)_WoT_Level(0)_Complexity(4)_Time(130)_SongNr(40).wav</t>
  </si>
  <si>
    <t>Lead_ItemNr(1591)_SetNr(275)_WoT_Level(0)_Complexity(4)_Time(130)_SongNr(36).wav</t>
  </si>
  <si>
    <t>Lead_ItemNr(2753)_SetNr(585)_WoT_Level(0)_Complexity(4)_Time(130)_SongNr(26).wav</t>
  </si>
  <si>
    <t>Bass_ItemNr(1044)_SetNr(461)_WoT_Level(0)_Complexity(4)_Time(130)_SongNr(23).wav</t>
  </si>
  <si>
    <t>Guitar_ItemNr(1130)_SetNr(338)_WoT_Level(0)_Complexity(4)_Time(130)_SongNr(114).wav</t>
  </si>
  <si>
    <t>Piano_ItemNr(1957)_SetNr(188)_WoT_Level(0)_Complexity(4)_Time(130)_SongNr(104).wav</t>
  </si>
  <si>
    <t>Guitar_ItemNr(316)_SetNr(098)_WoT_Level(0)_Complexity(4)_Time(128)_SongNr(85).wav</t>
  </si>
  <si>
    <t>Guitar_ItemNr(522)_SetNr(168)_WoT_Level(0)_Complexity(4)_Time(128)_SongNr(46).wav</t>
  </si>
  <si>
    <t>Guitar_ItemNr(2220)_SetNr(686)_WoT_Level(0)_Complexity(4)_Time(128)_SongNr(43).wav</t>
  </si>
  <si>
    <t>Guitar_ItemNr(2068)_SetNr(628)_WoT_Level(0)_Complexity(4)_Time(128)_SongNr(41).wav</t>
  </si>
  <si>
    <t>Lead_ItemNr(1456)_SetNr(244)_WoT_Level(0)_Complexity(4)_Time(128)_SongNr(40).wav</t>
  </si>
  <si>
    <t>Bass_ItemNr(1703)_SetNr(744)_WoT_Level(0)_Complexity(4)_Time(128)_SongNr(35).wav</t>
  </si>
  <si>
    <t>Piano_ItemNr(3071)_SetNr(356)_WoT_Level(0)_Complexity(4)_Time(128)_SongNr(23).wav</t>
  </si>
  <si>
    <t>Bass_ItemNr(1368)_SetNr(598)_WoT_Level(0)_Complexity(4)_Time(128)_SongNr(114).wav</t>
  </si>
  <si>
    <t>Piano_ItemNr(3768)_SetNr(478)_WoT_Level(0)_Complexity(4)_Time(128)_SongNr(104).wav</t>
  </si>
  <si>
    <t>Guitar_ItemNr(2081)_SetNr(633)_WoT_Level(0)_Complexity(4)_Time(128)_SongNr(1).wav</t>
  </si>
  <si>
    <t>Lead_ItemNr(3114)_SetNr(731)_WoT_Level(0)_Complexity(4)_Time(126)_SongNr(95).wav</t>
  </si>
  <si>
    <t>Bass_ItemNr(577)_SetNr(245)_WoT_Level(0)_Complexity(4)_Time(126)_SongNr(58).wav</t>
  </si>
  <si>
    <t>Piano_ItemNr(1050)_SetNr(090)_WoT_Level(0)_Complexity(4)_Time(126)_SongNr(57).wav</t>
  </si>
  <si>
    <t>Lead_ItemNr(3299)_SetNr(828)_WoT_Level(0)_Complexity(4)_Time(126)_SongNr(40).wav</t>
  </si>
  <si>
    <t>Guitar_ItemNr(292)_SetNr(090)_WoT_Level(0)_Complexity(4)_Time(126)_SongNr(4).wav</t>
  </si>
  <si>
    <t>Lead_ItemNr(442)_SetNr(082)_WoT_Level(0)_Complexity(4)_Time(126)_SongNr(26).wav</t>
  </si>
  <si>
    <t>Guitar_ItemNr(1287)_SetNr(390)_WoT_Level(0)_Complexity(4)_Time(124)_SongNr(97).wav</t>
  </si>
  <si>
    <t>Piano_ItemNr(3147)_SetNr(380)_WoT_Level(0)_Complexity(4)_Time(124)_SongNr(57).wav</t>
  </si>
  <si>
    <t>Bass_ItemNr(20)_SetNr(007)_WoT_Level(0)_Complexity(4)_Time(124)_SongNr(43).wav</t>
  </si>
  <si>
    <t>Bass_ItemNr(896)_SetNr(398)_WoT_Level(0)_Complexity(4)_Time(124)_SongNr(26).wav</t>
  </si>
  <si>
    <t>Guitar_ItemNr(992)_SetNr(300)_WoT_Level(0)_Complexity(4)_Time(124)_SongNr(25).wav</t>
  </si>
  <si>
    <t>Piano_ItemNr(801)_SetNr(059)_WoT_Level(0)_Complexity(4)_Time(124)_SongNr(23).wav</t>
  </si>
  <si>
    <t>Lead_ItemNr(2806)_SetNr(607)_WoT_Level(0)_Complexity(4)_Time(124)_SongNr(112).wav</t>
  </si>
  <si>
    <t>Bass_ItemNr(732)_SetNr(320)_WoT_Level(0)_Complexity(4)_Time(122)_SongNr(94).wav</t>
  </si>
  <si>
    <t>Bass_ItemNr(1151)_SetNr(513)_WoT_Level(0)_Complexity(4)_Time(122)_SongNr(89).wav</t>
  </si>
  <si>
    <t>Piano_ItemNr(2432)_SetNr(234)_WoT_Level(0)_Complexity(4)_Time(122)_SongNr(57).wav</t>
  </si>
  <si>
    <t>Piano_ItemNr(3611)_SetNr(460)_WoT_Level(0)_Complexity(4)_Time(122)_SongNr(40).wav</t>
  </si>
  <si>
    <t>Bass_ItemNr(1854)_SetNr(807)_WoT_Level(0)_Complexity(4)_Time(122)_SongNr(4).wav</t>
  </si>
  <si>
    <t>Bass_ItemNr(33)_SetNr(015)_WoT_Level(0)_Complexity(4)_Time(122)_SongNr(35).wav</t>
  </si>
  <si>
    <t>Bass_ItemNr(711)_SetNr(312)_WoT_Level(0)_Complexity(4)_Time(122)_SongNr(30).wav</t>
  </si>
  <si>
    <t>Piano_ItemNr(3184)_SetNr(388)_WoT_Level(0)_Complexity(4)_Time(122)_SongNr(23).wav</t>
  </si>
  <si>
    <t>Guitar_ItemNr(2494)_SetNr(808)_WoT_Level(0)_Complexity(4)_Time(122)_SongNr(108).wav</t>
  </si>
  <si>
    <t>Lead_ItemNr(2368)_SetNr(437)_WoT_Level(0)_Complexity(4)_Time(120)_SongNr(95).wav</t>
  </si>
  <si>
    <t>Piano_ItemNr(2485)_SetNr(242)_WoT_Level(0)_Complexity(4)_Time(120)_SongNr(57).wav</t>
  </si>
  <si>
    <t>Lead_ItemNr(62)_SetNr(010)_WoT_Level(0)_Complexity(4)_Time(120)_SongNr(52).wav</t>
  </si>
  <si>
    <t>Lead_ItemNr(2259)_SetNr(413)_WoT_Level(0)_Complexity(4)_Time(120)_SongNr(40).wav</t>
  </si>
  <si>
    <t>Bass_ItemNr(145)_SetNr(063)_WoT_Level(0)_Complexity(4)_Time(120)_SongNr(30).wav</t>
  </si>
  <si>
    <t>Lead_ItemNr(2867)_SetNr(623)_WoT_Level(0)_Complexity(4)_Time(120)_SongNr(25).wav</t>
  </si>
  <si>
    <t>Lead_ItemNr(2524)_SetNr(492)_WoT_Level(0)_Complexity(4)_Time(120)_SongNr(20).wav</t>
  </si>
  <si>
    <t>Lead_ItemNr(929)_SetNr(163)_WoT_Level(0)_Complexity(4)_Time(120)_SongNr(15).wav</t>
  </si>
  <si>
    <t>Bass_ItemNr(1063)_SetNr(471)_WoT_Level(0)_Complexity(4)_Time(120)_SongNr(111).wav</t>
  </si>
  <si>
    <t>Bass_ItemNr(599)_SetNr(256)_WoT_Level(0)_Complexity(4)_Time(120)_SongNr(104).wav</t>
  </si>
  <si>
    <t>Guitar_ItemNr(353)_SetNr(111)_WoT_Level(0)_Complexity(4)_Time(120)_SongNr(1).wav</t>
  </si>
  <si>
    <t>Piano_ItemNr(1028)_SetNr(086)_WoT_Level(0)_Complexity(4)_Time(12)_SongNr(97).wav</t>
  </si>
  <si>
    <t>Guitar_ItemNr(100)_SetNr(028)_WoT_Level(0)_Complexity(4)_Time(12)_SongNr(96).wav</t>
  </si>
  <si>
    <t>Bass_ItemNr(1762)_SetNr(768)_WoT_Level(0)_Complexity(4)_Time(12)_SongNr(95).wav</t>
  </si>
  <si>
    <t>Guitar_ItemNr(2176)_SetNr(669)_WoT_Level(0)_Complexity(4)_Time(12)_SongNr(83).wav</t>
  </si>
  <si>
    <t>Bass_ItemNr(521)_SetNr(220)_WoT_Level(0)_Complexity(4)_Time(12)_SongNr(8).wav</t>
  </si>
  <si>
    <t>Guitar_ItemNr(917)_SetNr(280)_WoT_Level(0)_Complexity(4)_Time(12)_SongNr(78).wav</t>
  </si>
  <si>
    <t>Bass_ItemNr(942)_SetNr(411)_WoT_Level(0)_Complexity(4)_Time(12)_SongNr(75).wav</t>
  </si>
  <si>
    <t>Bass_ItemNr(189)_SetNr(077)_WoT_Level(0)_Complexity(4)_Time(12)_SongNr(74).wav</t>
  </si>
  <si>
    <t>Guitar_ItemNr(256)_SetNr(075)_WoT_Level(0)_Complexity(4)_Time(12)_SongNr(72).wav</t>
  </si>
  <si>
    <t>Bass_ItemNr(703)_SetNr(307)_WoT_Level(0)_Complexity(4)_Time(12)_SongNr(71).wav</t>
  </si>
  <si>
    <t>Bass_ItemNr(1950)_SetNr(841)_WoT_Level(0)_Complexity(4)_Time(12)_SongNr(68).wav</t>
  </si>
  <si>
    <t>Lead_ItemNr(2437)_SetNr(463)_WoT_Level(0)_Complexity(4)_Time(12)_SongNr(66).wav</t>
  </si>
  <si>
    <t>Lead_ItemNr(31)_SetNr(006)_WoT_Level(0)_Complexity(4)_Time(12)_SongNr(65).wav</t>
  </si>
  <si>
    <t>Guitar_ItemNr(1157)_SetNr(347)_WoT_Level(0)_Complexity(4)_Time(12)_SongNr(64).wav</t>
  </si>
  <si>
    <t>Piano_ItemNr(139)_SetNr(011)_WoT_Level(0)_Complexity(4)_Time(12)_SongNr(61).wav</t>
  </si>
  <si>
    <t>Bass_ItemNr(1330)_SetNr(580)_WoT_Level(0)_Complexity(4)_Time(12)_SongNr(60).wav</t>
  </si>
  <si>
    <t>Bass_ItemNr(1083)_SetNr(481)_WoT_Level(0)_Complexity(4)_Time(12)_SongNr(59).wav</t>
  </si>
  <si>
    <t>Guitar_ItemNr(1934)_SetNr(586)_WoT_Level(0)_Complexity(4)_Time(12)_SongNr(48).wav</t>
  </si>
  <si>
    <t>Lead_ItemNr(3167)_SetNr(754)_WoT_Level(0)_Complexity(4)_Time(12)_SongNr(4).wav</t>
  </si>
  <si>
    <t>Guitar_ItemNr(1785)_SetNr(539)_WoT_Level(0)_Complexity(4)_Time(12)_SongNr(15).wav</t>
  </si>
  <si>
    <t>Bass_ItemNr(557)_SetNr(237)_WoT_Level(0)_Complexity(4)_Time(12)_SongNr(117).wav</t>
  </si>
  <si>
    <t>Lead_ItemNr(2291)_SetNr(416)_WoT_Level(0)_Complexity(4)_Time(12)_SongNr(10).wav</t>
  </si>
  <si>
    <t>Lead_ItemNr(3163)_SetNr(751)_WoT_Level(0)_Complexity(4)_Time(118)_SongNr(52).wav</t>
  </si>
  <si>
    <t>Lead_ItemNr(2417)_SetNr(455)_WoT_Level(0)_Complexity(4)_Time(118)_SongNr(41).wav</t>
  </si>
  <si>
    <t>Piano_ItemNr(3578)_SetNr(456)_WoT_Level(0)_Complexity(4)_Time(118)_SongNr(40).wav</t>
  </si>
  <si>
    <t>Piano_ItemNr(3369)_SetNr(419)_WoT_Level(0)_Complexity(4)_Time(118)_SongNr(23).wav</t>
  </si>
  <si>
    <t>Lead_ItemNr(968)_SetNr(171)_WoT_Level(0)_Complexity(4)_Time(118)_SongNr(15).wav</t>
  </si>
  <si>
    <t>Lead_ItemNr(2978)_SetNr(673)_WoT_Level(0)_Complexity(4)_Time(118)_SongNr(113).wav</t>
  </si>
  <si>
    <t>Guitar_ItemNr(2391)_SetNr(763)_WoT_Level(0)_Complexity(4)_Time(118)_SongNr(110).wav</t>
  </si>
  <si>
    <t>Guitar_ItemNr(1487)_SetNr(451)_WoT_Level(0)_Complexity(4)_Time(118)_SongNr(1).wav</t>
  </si>
  <si>
    <t>Lead_ItemNr(2954)_SetNr(658)_WoT_Level(0)_Complexity(4)_Time(116)_SongNr(95).wav</t>
  </si>
  <si>
    <t>Lead_ItemNr(1887)_SetNr(324)_WoT_Level(0)_Complexity(4)_Time(116)_SongNr(66).wav</t>
  </si>
  <si>
    <t>Guitar_ItemNr(644)_SetNr(202)_WoT_Level(0)_Complexity(4)_Time(116)_SongNr(58).wav</t>
  </si>
  <si>
    <t>Piano_ItemNr(3583)_SetNr(458)_WoT_Level(0)_Complexity(4)_Time(116)_SongNr(57).wav</t>
  </si>
  <si>
    <t>Lead_ItemNr(2345)_SetNr(431)_WoT_Level(0)_Complexity(4)_Time(116)_SongNr(40).wav</t>
  </si>
  <si>
    <t>Lead_ItemNr(309)_SetNr(058)_WoT_Level(0)_Complexity(4)_Time(116)_SongNr(26).wav</t>
  </si>
  <si>
    <t>Guitar_ItemNr(1667)_SetNr(502)_WoT_Level(0)_Complexity(4)_Time(116)_SongNr(112).wav</t>
  </si>
  <si>
    <t>Piano_ItemNr(247)_SetNr(023)_WoT_Level(0)_Complexity(4)_Time(116)_SongNr(111).wav</t>
  </si>
  <si>
    <t>Guitar_ItemNr(1506)_SetNr(460)_WoT_Level(0)_Complexity(4)_Time(116)_SongNr(110).wav</t>
  </si>
  <si>
    <t>Guitar_ItemNr(1604)_SetNr(487)_WoT_Level(0)_Complexity(4)_Time(114)_SongNr(93).wav</t>
  </si>
  <si>
    <t>Piano_ItemNr(2674)_SetNr(267)_WoT_Level(0)_Complexity(4)_Time(114)_SongNr(83).wav</t>
  </si>
  <si>
    <t>Lead_ItemNr(3170)_SetNr(756)_WoT_Level(0)_Complexity(4)_Time(114)_SongNr(58).wav</t>
  </si>
  <si>
    <t>Piano_ItemNr(3475)_SetNr(437)_WoT_Level(0)_Complexity(4)_Time(114)_SongNr(57).wav</t>
  </si>
  <si>
    <t>Lead_ItemNr(3168)_SetNr(755)_WoT_Level(0)_Complexity(4)_Time(114)_SongNr(41).wav</t>
  </si>
  <si>
    <t>Guitar_ItemNr(682)_SetNr(212)_WoT_Level(0)_Complexity(4)_Time(114)_SongNr(38).wav</t>
  </si>
  <si>
    <t>Lead_ItemNr(3083)_SetNr(718)_WoT_Level(0)_Complexity(4)_Time(114)_SongNr(23).wav</t>
  </si>
  <si>
    <t>Lead_ItemNr(3380)_SetNr(865)_WoT_Level(0)_Complexity(4)_Time(112)_SongNr(95).wav</t>
  </si>
  <si>
    <t>Lead_ItemNr(2)_SetNr(001)_WoT_Level(0)_Complexity(4)_Time(112)_SongNr(93).wav</t>
  </si>
  <si>
    <t>Lead_ItemNr(2152)_SetNr(390)_WoT_Level(0)_Complexity(4)_Time(112)_SongNr(58).wav</t>
  </si>
  <si>
    <t>Lead_ItemNr(1706)_SetNr(293)_WoT_Level(0)_Complexity(4)_Time(112)_SongNr(55).wav</t>
  </si>
  <si>
    <t>Guitar_ItemNr(2266)_SetNr(706)_WoT_Level(0)_Complexity(4)_Time(112)_SongNr(48).wav</t>
  </si>
  <si>
    <t>Lead_ItemNr(2558)_SetNr(511)_WoT_Level(0)_Complexity(4)_Time(112)_SongNr(40).wav</t>
  </si>
  <si>
    <t>Bass_ItemNr(233)_SetNr(098)_WoT_Level(0)_Complexity(4)_Time(112)_SongNr(23).wav</t>
  </si>
  <si>
    <t>Guitar_ItemNr(745)_SetNr(230)_WoT_Level(0)_Complexity(4)_Time(112)_SongNr(15).wav</t>
  </si>
  <si>
    <t>Bass_ItemNr(733)_SetNr(321)_WoT_Level(0)_Complexity(4)_Time(112)_SongNr(116).wav</t>
  </si>
  <si>
    <t>Lead_ItemNr(3216)_SetNr(780)_WoT_Level(0)_Complexity(4)_Time(112)_SongNr(110).wav</t>
  </si>
  <si>
    <t>Guitar_ItemNr(1657)_SetNr(498)_WoT_Level(0)_Complexity(4)_Time(110)_SongNr(93).wav</t>
  </si>
  <si>
    <t>Lead_ItemNr(423)_SetNr(075)_WoT_Level(0)_Complexity(4)_Time(110)_SongNr(66).wav</t>
  </si>
  <si>
    <t>Piano_ItemNr(3424)_SetNr(429)_WoT_Level(0)_Complexity(4)_Time(110)_SongNr(40).wav</t>
  </si>
  <si>
    <t>Lead_ItemNr(3344)_SetNr(848)_WoT_Level(0)_Complexity(4)_Time(110)_SongNr(35).wav</t>
  </si>
  <si>
    <t>Bass_ItemNr(1197)_SetNr(528)_WoT_Level(0)_Complexity(4)_Time(110)_SongNr(34).wav</t>
  </si>
  <si>
    <t>Lead_ItemNr(3023)_SetNr(692)_WoT_Level(0)_Complexity(4)_Time(110)_SongNr(25).wav</t>
  </si>
  <si>
    <t>Piano_ItemNr(3522)_SetNr(447)_WoT_Level(0)_Complexity(4)_Time(110)_SongNr(23).wav</t>
  </si>
  <si>
    <t>Piano_ItemNr(1603)_SetNr(147)_WoT_Level(0)_Complexity(4)_Time(110)_SongNr(21).wav</t>
  </si>
  <si>
    <t>Bass_ItemNr(712)_SetNr(313)_WoT_Level(0)_Complexity(4)_Time(110)_SongNr(18).wav</t>
  </si>
  <si>
    <t>Lead_ItemNr(1576)_SetNr(268)_WoT_Level(0)_Complexity(4)_Time(110)_SongNr(110).wav</t>
  </si>
  <si>
    <t>Guitar_ItemNr(1654)_SetNr(497)_WoT_Level(0)_Complexity(4)_Time(110)_SongNr(108).wav</t>
  </si>
  <si>
    <t>Piano_ItemNr(3322)_SetNr(412)_WoT_Level(0)_Complexity(4)_Time(110)_SongNr(103).wav</t>
  </si>
  <si>
    <t>Guitar_ItemNr(2278)_SetNr(713)_WoT_Level(0)_Complexity(4)_Time(110)_SongNr(1).wav</t>
  </si>
  <si>
    <t>Lead_ItemNr(1323)_SetNr(227)_WoT_Level(0)_Complexity(4)_Time(108)_SongNr(95).wav</t>
  </si>
  <si>
    <t>Piano_ItemNr(2776)_SetNr(290)_WoT_Level(0)_Complexity(4)_Time(108)_SongNr(57).wav</t>
  </si>
  <si>
    <t>Lead_ItemNr(2224)_SetNr(404)_WoT_Level(0)_Complexity(4)_Time(108)_SongNr(52).wav</t>
  </si>
  <si>
    <t>Guitar_ItemNr(2227)_SetNr(689)_WoT_Level(0)_Complexity(4)_Time(108)_SongNr(43).wav</t>
  </si>
  <si>
    <t>Piano_ItemNr(3765)_SetNr(477)_WoT_Level(0)_Complexity(4)_Time(108)_SongNr(40).wav</t>
  </si>
  <si>
    <t>Lead_ItemNr(2925)_SetNr(648)_WoT_Level(0)_Complexity(4)_Time(108)_SongNr(25).wav</t>
  </si>
  <si>
    <t>Piano_ItemNr(2927)_SetNr(324)_WoT_Level(0)_Complexity(4)_Time(108)_SongNr(21).wav</t>
  </si>
  <si>
    <t>Bass_ItemNr(1872)_SetNr(817)_WoT_Level(0)_Complexity(4)_Time(108)_SongNr(116).wav</t>
  </si>
  <si>
    <t>Guitar_ItemNr(1290)_SetNr(393)_WoT_Level(0)_Complexity(4)_Time(108)_SongNr(1).wav</t>
  </si>
  <si>
    <t>Lead_ItemNr(2912)_SetNr(642)_WoT_Level(0)_Complexity(4)_Time(106)_SongNr(93).wav</t>
  </si>
  <si>
    <t>Lead_ItemNr(2169)_SetNr(394)_WoT_Level(0)_Complexity(4)_Time(106)_SongNr(66).wav</t>
  </si>
  <si>
    <t>Bass_ItemNr(1843)_SetNr(802)_WoT_Level(0)_Complexity(4)_Time(106)_SongNr(53).wav</t>
  </si>
  <si>
    <t>Guitar_ItemNr(858)_SetNr(259)_WoT_Level(0)_Complexity(4)_Time(106)_SongNr(48).wav</t>
  </si>
  <si>
    <t>Lead_ItemNr(3246)_SetNr(799)_WoT_Level(0)_Complexity(4)_Time(106)_SongNr(40).wav</t>
  </si>
  <si>
    <t>Guitar_ItemNr(1534)_SetNr(468)_WoT_Level(0)_Complexity(4)_Time(106)_SongNr(34).wav</t>
  </si>
  <si>
    <t>Lead_ItemNr(2464)_SetNr(471)_WoT_Level(0)_Complexity(4)_Time(106)_SongNr(23).wav</t>
  </si>
  <si>
    <t>Guitar_ItemNr(2599)_SetNr(852)_WoT_Level(0)_Complexity(4)_Time(106)_SongNr(15).wav</t>
  </si>
  <si>
    <t>Lead_ItemNr(2651)_SetNr(541)_WoT_Level(0)_Complexity(4)_Time(106)_SongNr(116).wav</t>
  </si>
  <si>
    <t>Bass_ItemNr(175)_SetNr(074)_WoT_Level(0)_Complexity(4)_Time(106)_SongNr(115).wav</t>
  </si>
  <si>
    <t>Bass_ItemNr(614)_SetNr(263)_WoT_Level(0)_Complexity(4)_Time(106)_SongNr(114).wav</t>
  </si>
  <si>
    <t>Lead_ItemNr(2064)_SetNr(364)_WoT_Level(0)_Complexity(4)_Time(106)_SongNr(111).wav</t>
  </si>
  <si>
    <t>Bass_ItemNr(250)_SetNr(108)_WoT_Level(0)_Complexity(4)_Time(106)_SongNr(110).wav</t>
  </si>
  <si>
    <t>Bass_ItemNr(1845)_SetNr(803)_WoT_Level(0)_Complexity(4)_Time(104)_SongNr(84).wav</t>
  </si>
  <si>
    <t>Bass_ItemNr(1184)_SetNr(525)_WoT_Level(0)_Complexity(4)_Time(104)_SongNr(69).wav</t>
  </si>
  <si>
    <t>Bass_ItemNr(235)_SetNr(100)_WoT_Level(0)_Complexity(4)_Time(104)_SongNr(55).wav</t>
  </si>
  <si>
    <t>Bass_ItemNr(41)_SetNr(019)_WoT_Level(0)_Complexity(4)_Time(104)_SongNr(41).wav</t>
  </si>
  <si>
    <t>Bass_ItemNr(575)_SetNr(244)_WoT_Level(0)_Complexity(4)_Time(104)_SongNr(4).wav</t>
  </si>
  <si>
    <t>Lead_ItemNr(401)_SetNr(071)_WoT_Level(0)_Complexity(4)_Time(104)_SongNr(35).wav</t>
  </si>
  <si>
    <t>Guitar_ItemNr(270)_SetNr(080)_WoT_Level(0)_Complexity(4)_Time(104)_SongNr(34).wav</t>
  </si>
  <si>
    <t>Lead_ItemNr(1208)_SetNr(208)_WoT_Level(0)_Complexity(4)_Time(104)_SongNr(16).wav</t>
  </si>
  <si>
    <t>Guitar_ItemNr(19)_SetNr(006)_WoT_Level(0)_Complexity(4)_Time(104)_SongNr(15).wav</t>
  </si>
  <si>
    <t>Guitar_ItemNr(338)_SetNr(106)_WoT_Level(0)_Complexity(4)_Time(104)_SongNr(110).wav</t>
  </si>
  <si>
    <t>Piano_ItemNr(3478)_SetNr(439)_WoT_Level(0)_Complexity(4)_Time(104)_SongNr(104).wav</t>
  </si>
  <si>
    <t>Bass_ItemNr(1631)_SetNr(709)_WoT_Level(0)_Complexity(4)_Time(1022)_SongNr(54).wav</t>
  </si>
  <si>
    <t>Guitar_ItemNr(1072)_SetNr(322)_WoT_Level(0)_Complexity(4)_Time(102)_SongNr(93).wav</t>
  </si>
  <si>
    <t>Lead_ItemNr(3308)_SetNr(834)_WoT_Level(0)_Complexity(4)_Time(102)_SongNr(87).wav</t>
  </si>
  <si>
    <t>Bass_ItemNr(1392)_SetNr(607)_WoT_Level(0)_Complexity(4)_Time(102)_SongNr(74).wav</t>
  </si>
  <si>
    <t>Lead_ItemNr(2255)_SetNr(412)_WoT_Level(0)_Complexity(4)_Time(102)_SongNr(66).wav</t>
  </si>
  <si>
    <t>Piano_ItemNr(3663)_SetNr(467)_WoT_Level(0)_Complexity(4)_Time(102)_SongNr(40).wav</t>
  </si>
  <si>
    <t>Guitar_ItemNr(81)_SetNr(025)_WoT_Level(0)_Complexity(4)_Time(102)_SongNr(4).wav</t>
  </si>
  <si>
    <t>Lead_ItemNr(1614)_SetNr(280)_WoT_Level(0)_Complexity(4)_Time(102)_SongNr(116).wav</t>
  </si>
  <si>
    <t>Bass_ItemNr(1729)_SetNr(751)_WoT_Level(0)_Complexity(4)_Time(102)_SongNr(110).wav</t>
  </si>
  <si>
    <t>Guitar_ItemNr(254)_SetNr(074)_WoT_Level(0)_Complexity(4)_Time(102)_SongNr(1).wav</t>
  </si>
  <si>
    <t>Piano_ItemNr(2516)_SetNr(248)_WoT_Level(0)_Complexity(4)_Time(100)_SongNr(93).wav</t>
  </si>
  <si>
    <t>Lead_ItemNr(1674)_SetNr(288)_WoT_Level(0)_Complexity(4)_Time(100)_SongNr(87).wav</t>
  </si>
  <si>
    <t>Guitar_ItemNr(290)_SetNr(089)_WoT_Level(0)_Complexity(4)_Time(100)_SongNr(66).wav</t>
  </si>
  <si>
    <t>Piano_ItemNr(2476)_SetNr(240)_WoT_Level(0)_Complexity(4)_Time(100)_SongNr(61).wav</t>
  </si>
  <si>
    <t>Piano_ItemNr(226)_SetNr(020)_WoT_Level(0)_Complexity(4)_Time(100)_SongNr(57).wav</t>
  </si>
  <si>
    <t>Guitar_ItemNr(2518)_SetNr(819)_WoT_Level(0)_Complexity(4)_Time(100)_SongNr(56).wav</t>
  </si>
  <si>
    <t>Guitar_ItemNr(1289)_SetNr(392)_WoT_Level(0)_Complexity(4)_Time(100)_SongNr(48).wav</t>
  </si>
  <si>
    <t>Bass_ItemNr(1101)_SetNr(489)_WoT_Level(0)_Complexity(4)_Time(100)_SongNr(43).wav</t>
  </si>
  <si>
    <t>Piano_ItemNr(3787)_SetNr(481)_WoT_Level(0)_Complexity(4)_Time(100)_SongNr(40).wav</t>
  </si>
  <si>
    <t>Lead_ItemNr(2973)_SetNr(670)_WoT_Level(0)_Complexity(4)_Time(100)_SongNr(25).wav</t>
  </si>
  <si>
    <t>Piano_ItemNr(1259)_SetNr(112)_WoT_Level(0)_Complexity(4)_Time(100)_SongNr(23).wav</t>
  </si>
  <si>
    <t>Guitar_ItemNr(1712)_SetNr(518)_WoT_Level(0)_Complexity(4)_Time(100)_SongNr(16).wav</t>
  </si>
  <si>
    <t>Guitar_ItemNr(2357)_SetNr(749)_WoT_Level(0)_Complexity(4)_Time(100)_SongNr(15).wav</t>
  </si>
  <si>
    <t>Lead_ItemNr(3210)_SetNr(775)_WoT_Level(0)_Complexity(4)_Time(100)_SongNr(116).wav</t>
  </si>
  <si>
    <t>Lead_ItemNr(2757)_SetNr(587)_WoT_Level(0)_Complexity(4)_Time(100)_SongNr(110).wav</t>
  </si>
  <si>
    <t>Piano_ItemNr(2943)_SetNr(329)_WoT_Level(0)_Complexity(4)_Time(100)_SongNr(103).wav</t>
  </si>
  <si>
    <t>Guitar_ItemNr(2508)_SetNr(814)_WoT_Level(0)_Complexity(4)_Time(100)_SongNr(1).wav</t>
  </si>
  <si>
    <t>Lead_ItemNr(1764)_SetNr(306)_WoT_Level(0)_Complexity(4)_Time(10)_SongNr(83).wav</t>
  </si>
  <si>
    <t>Piano_ItemNr(2258)_SetNr(216)_WoT_Level(0)_Complexity(4)_Time(10)_SongNr(81).wav</t>
  </si>
  <si>
    <t>Guitar_ItemNr(243)_SetNr(070)_WoT_Level(0)_Complexity(4)_Time(10)_SongNr(77).wav</t>
  </si>
  <si>
    <t>Bass_ItemNr(835)_SetNr(376)_WoT_Level(0)_Complexity(4)_Time(10)_SongNr(76).wav</t>
  </si>
  <si>
    <t>Bass_ItemNr(1155)_SetNr(515)_WoT_Level(0)_Complexity(4)_Time(10)_SongNr(75).wav</t>
  </si>
  <si>
    <t>Bass_ItemNr(1418)_SetNr(620)_WoT_Level(0)_Complexity(4)_Time(10)_SongNr(73).wav</t>
  </si>
  <si>
    <t>Guitar_ItemNr(1)_SetNr(001)_WoT_Level(0)_Complexity(4)_Time(10)_SongNr(72).wav</t>
  </si>
  <si>
    <t>Bass_ItemNr(1891)_SetNr(821)_WoT_Level(0)_Complexity(4)_Time(10)_SongNr(71).wav</t>
  </si>
  <si>
    <t>Bass_ItemNr(1111)_SetNr(495)_WoT_Level(0)_Complexity(4)_Time(10)_SongNr(68).wav</t>
  </si>
  <si>
    <t>Bass_ItemNr(327)_SetNr(136)_WoT_Level(0)_Complexity(4)_Time(10)_SongNr(65).wav</t>
  </si>
  <si>
    <t>Guitar_ItemNr(1701)_SetNr(514)_WoT_Level(0)_Complexity(4)_Time(10)_SongNr(64).wav</t>
  </si>
  <si>
    <t>Piano_ItemNr(1789)_SetNr(165)_WoT_Level(0)_Complexity(4)_Time(10)_SongNr(63).wav</t>
  </si>
  <si>
    <t>Lead_ItemNr(823)_SetNr(142)_WoT_Level(0)_Complexity(4)_Time(10)_SongNr(60).wav</t>
  </si>
  <si>
    <t>Lead_ItemNr(1206)_SetNr(207)_WoT_Level(0)_Complexity(4)_Time(10)_SongNr(59).wav</t>
  </si>
  <si>
    <t>Bass_ItemNr(1745)_SetNr(760)_WoT_Level(0)_Complexity(4)_Time(10)_SongNr(49).wav</t>
  </si>
  <si>
    <t>Bass_ItemNr(151)_SetNr(067)_WoT_Level(0)_Complexity(4)_Time(10)_SongNr(117).wav</t>
  </si>
  <si>
    <t>Guitar_ItemNr(1301)_SetNr(398)_WoT_Level(0)_Complexity(4)_Time(10)_SongNr(10).wav</t>
  </si>
  <si>
    <t>Guitar_ItemNr(286)_SetNr(087)_WoT_Level(0)_Complexity(4)_Time(0)_SongNr(78).wav</t>
  </si>
  <si>
    <t>Lead_ItemNr(418)_SetNr(073)_WoT_Level(0)_Complexity(4)_Time(0)_SongNr(77).wav</t>
  </si>
  <si>
    <t>Guitar_ItemNr(539)_SetNr(175)_WoT_Level(0)_Complexity(4)_Time(0)_SongNr(76).wav</t>
  </si>
  <si>
    <t>Bass_ItemNr(1811)_SetNr(786)_WoT_Level(0)_Complexity(4)_Time(0)_SongNr(74).wav</t>
  </si>
  <si>
    <t>Bass_ItemNr(116)_SetNr(053)_WoT_Level(0)_Complexity(4)_Time(0)_SongNr(72).wav</t>
  </si>
  <si>
    <t>Bass_ItemNr(587)_SetNr(252)_WoT_Level(0)_Complexity(4)_Time(0)_SongNr(65).wav</t>
  </si>
  <si>
    <t>Lead_ItemNr(690)_SetNr(123)_WoT_Level(0)_Complexity(4)_Time(0)_SongNr(64).wav</t>
  </si>
  <si>
    <t>Lead_ItemNr(55)_SetNr(009)_WoT_Level(0)_Complexity(4)_Time(0)_SongNr(62).wav</t>
  </si>
  <si>
    <t>Bass_ItemNr(800)_SetNr(361)_WoT_Level(0)_Complexity(4)_Time(0)_SongNr(61).wav</t>
  </si>
  <si>
    <t>Guitar_ItemNr(677)_SetNr(211)_WoT_Level(0)_Complexity(4)_Time(0)_SongNr(60).wav</t>
  </si>
  <si>
    <t>Bass_ItemNr(366)_SetNr(152)_WoT_Level(0)_Complexity(4)_Time(0)_SongNr(59).wav</t>
  </si>
  <si>
    <t>Bass_ItemNr(765)_SetNr(342)_WoT_Level(0)_Complexity(4)_Time(0)_SongNr(47).wav</t>
  </si>
  <si>
    <t>Bass_ItemNr(440)_SetNr(184)_WoT_Level(0)_Complexity(4)_Time(0)_SongNr(117).wav</t>
  </si>
  <si>
    <t>Bass_ItemNr(2167)_SetNr(904)_WiT_Level(-15)_Complexity(3)_Time(98)_SongNr(99).wav</t>
  </si>
  <si>
    <t>Bass_ItemNr(1802)_SetNr(783)_WiT_Level(-15)_Complexity(3)_Time(98)_SongNr(92).wav</t>
  </si>
  <si>
    <t>Guitar_ItemNr(1994)_SetNr(604)_WiT_Level(-15)_Complexity(3)_Time(98)_SongNr(89).wav</t>
  </si>
  <si>
    <t>Bass_ItemNr(1142)_SetNr(507)_WiT_Level(-15)_Complexity(3)_Time(98)_SongNr(67).wav</t>
  </si>
  <si>
    <t>Piano_ItemNr(689)_SetNr(054)_WiT_Level(-15)_Complexity(3)_Time(98)_SongNr(42).wav</t>
  </si>
  <si>
    <t>Lead_ItemNr(1307)_SetNr(224)_WiT_Level(-15)_Complexity(3)_Time(98)_SongNr(36).wav</t>
  </si>
  <si>
    <t>Piano_ItemNr(921)_SetNr(075)_WiT_Level(-15)_Complexity(3)_Time(98)_SongNr(28).wav</t>
  </si>
  <si>
    <t>Lead_ItemNr(3307)_SetNr(833)_WiT_Level(-15)_Complexity(3)_Time(98)_SongNr(112).wav</t>
  </si>
  <si>
    <t>Guitar_ItemNr(2702)_SetNr(897)_WiT_Level(-15)_Complexity(3)_Time(98)_SongNr(105).wav</t>
  </si>
  <si>
    <t>Bass_ItemNr(748)_SetNr(332)_WiT_Level(-15)_Complexity(3)_Time(98)_SongNr(10).wav</t>
  </si>
  <si>
    <t>Guitar_ItemNr(2442)_SetNr(785)_WiT_Level(-15)_Complexity(3)_Time(96)_SongNr(93).wav</t>
  </si>
  <si>
    <t>Guitar_ItemNr(1518)_SetNr(463)_WiT_Level(-15)_Complexity(3)_Time(96)_SongNr(91).wav</t>
  </si>
  <si>
    <t>Guitar_ItemNr(2294)_SetNr(718)_WiT_Level(-15)_Complexity(3)_Time(96)_SongNr(88).wav</t>
  </si>
  <si>
    <t>Piano_ItemNr(1360)_SetNr(124)_WiT_Level(-15)_Complexity(3)_Time(96)_SongNr(83).wav</t>
  </si>
  <si>
    <t>Piano_ItemNr(2738)_SetNr(282)_WiT_Level(-15)_Complexity(3)_Time(96)_SongNr(63).wav</t>
  </si>
  <si>
    <t>Lead_ItemNr(3436)_SetNr(889)_WiT_Level(-15)_Complexity(3)_Time(96)_SongNr(52).wav</t>
  </si>
  <si>
    <t>Piano_ItemNr(85)_SetNr(006)_WiT_Level(-15)_Complexity(3)_Time(96)_SongNr(42).wav</t>
  </si>
  <si>
    <t>Lead_ItemNr(2371)_SetNr(439)_WiT_Level(-15)_Complexity(3)_Time(96)_SongNr(36).wav</t>
  </si>
  <si>
    <t>Piano_ItemNr(1953)_SetNr(187)_WiT_Level(-15)_Complexity(3)_Time(96)_SongNr(28).wav</t>
  </si>
  <si>
    <t>Lead_ItemNr(2965)_SetNr(666)_WiT_Level(-15)_Complexity(3)_Time(96)_SongNr(112).wav</t>
  </si>
  <si>
    <t>Guitar_ItemNr(620)_SetNr(196)_WiT_Level(-15)_Complexity(3)_Time(96)_SongNr(105).wav</t>
  </si>
  <si>
    <t>Bass_ItemNr(1163)_SetNr(518)_WiT_Level(-15)_Complexity(3)_Time(96)_SongNr(100).wav</t>
  </si>
  <si>
    <t>Lead_ItemNr(3628)_SetNr(969)_WiT_Level(-15)_Complexity(3)_Time(94)_SongNr(52).wav</t>
  </si>
  <si>
    <t>Piano_ItemNr(898)_SetNr(071)_WiT_Level(-15)_Complexity(3)_Time(94)_SongNr(42).wav</t>
  </si>
  <si>
    <t>Lead_ItemNr(354)_SetNr(064)_WiT_Level(-15)_Complexity(3)_Time(94)_SongNr(36).wav</t>
  </si>
  <si>
    <t>Lead_ItemNr(2790)_SetNr(599)_WiT_Level(-15)_Complexity(3)_Time(94)_SongNr(35).wav</t>
  </si>
  <si>
    <t>Piano_ItemNr(18)_SetNr(003)_WiT_Level(-15)_Complexity(3)_Time(94)_SongNr(28).wav</t>
  </si>
  <si>
    <t>Bass_ItemNr(2038)_SetNr(869)_WiT_Level(-15)_Complexity(3)_Time(94)_SongNr(15).wav</t>
  </si>
  <si>
    <t>Lead_ItemNr(3549)_SetNr(941)_WiT_Level(-15)_Complexity(3)_Time(94)_SongNr(112).wav</t>
  </si>
  <si>
    <t>Guitar_ItemNr(1431)_SetNr(432)_WiT_Level(-15)_Complexity(3)_Time(92)_SongNr(94).wav</t>
  </si>
  <si>
    <t>Guitar_ItemNr(2175)_SetNr(668)_WiT_Level(-15)_Complexity(3)_Time(92)_SongNr(92).wav</t>
  </si>
  <si>
    <t>Guitar_ItemNr(1627)_SetNr(493)_WiT_Level(-15)_Complexity(3)_Time(92)_SongNr(88).wav</t>
  </si>
  <si>
    <t>Piano_ItemNr(2827)_SetNr(304)_WiT_Level(-15)_Complexity(3)_Time(92)_SongNr(83).wav</t>
  </si>
  <si>
    <t>Guitar_ItemNr(1864)_SetNr(560)_WiT_Level(-15)_Complexity(3)_Time(92)_SongNr(8).wav</t>
  </si>
  <si>
    <t>Lead_ItemNr(1984)_SetNr(339)_WiT_Level(-15)_Complexity(3)_Time(92)_SongNr(52).wav</t>
  </si>
  <si>
    <t>Lead_ItemNr(2775)_SetNr(593)_WiT_Level(-15)_Complexity(3)_Time(92)_SongNr(36).wav</t>
  </si>
  <si>
    <t>Piano_ItemNr(1507)_SetNr(137)_WiT_Level(-15)_Complexity(3)_Time(92)_SongNr(28).wav</t>
  </si>
  <si>
    <t>Lead_ItemNr(433)_SetNr(079)_WiT_Level(-15)_Complexity(3)_Time(92)_SongNr(12).wav</t>
  </si>
  <si>
    <t>Lead_ItemNr(2356)_SetNr(433)_WiT_Level(-15)_Complexity(3)_Time(92)_SongNr(112).wav</t>
  </si>
  <si>
    <t>Guitar_ItemNr(2850)_SetNr(937)_WiT_Level(-15)_Complexity(3)_Time(92)_SongNr(109).wav</t>
  </si>
  <si>
    <t>Guitar_ItemNr(2352)_SetNr(746)_WiT_Level(-15)_Complexity(3)_Time(92)_SongNr(107).wav</t>
  </si>
  <si>
    <t>Bass_ItemNr(1592)_SetNr(688)_WiT_Level(-15)_Complexity(3)_Time(92)_SongNr(100).wav</t>
  </si>
  <si>
    <t>Guitar_ItemNr(2843)_SetNr(934)_WiT_Level(-15)_Complexity(3)_Time(90)_SongNr(93).wav</t>
  </si>
  <si>
    <t>Guitar_ItemNr(455)_SetNr(143)_WiT_Level(-15)_Complexity(3)_Time(90)_SongNr(91).wav</t>
  </si>
  <si>
    <t>Bass_ItemNr(104)_SetNr(049)_WiT_Level(-15)_Complexity(3)_Time(90)_SongNr(89).wav</t>
  </si>
  <si>
    <t>Guitar_ItemNr(2630)_SetNr(868)_WiT_Level(-15)_Complexity(3)_Time(90)_SongNr(88).wav</t>
  </si>
  <si>
    <t>Bass_ItemNr(1376)_SetNr(602)_WiT_Level(-15)_Complexity(3)_Time(90)_SongNr(67).wav</t>
  </si>
  <si>
    <t>Lead_ItemNr(2551)_SetNr(508)_WiT_Level(-15)_Complexity(3)_Time(90)_SongNr(52).wav</t>
  </si>
  <si>
    <t>Lead_ItemNr(155)_SetNr(028)_WiT_Level(-15)_Complexity(3)_Time(90)_SongNr(35).wav</t>
  </si>
  <si>
    <t>Piano_ItemNr(1273)_SetNr(115)_WiT_Level(-15)_Complexity(3)_Time(90)_SongNr(28).wav</t>
  </si>
  <si>
    <t>Lead_ItemNr(1562)_SetNr(262)_WiT_Level(-15)_Complexity(3)_Time(90)_SongNr(112).wav</t>
  </si>
  <si>
    <t>Guitar_ItemNr(153)_SetNr(048)_WiT_Level(-15)_Complexity(3)_Time(90)_SongNr(111).wav</t>
  </si>
  <si>
    <t>Bass_ItemNr(16)_SetNr(005)_WiT_Level(-15)_Complexity(3)_Time(90)_SongNr(103).wav</t>
  </si>
  <si>
    <t>Bass_ItemNr(165)_SetNr(070)_WiT_Level(-15)_Complexity(3)_Time(90)_SongNr(100).wav</t>
  </si>
  <si>
    <t>Bass_ItemNr(1689)_SetNr(738)_WiT_Level(-15)_Complexity(3)_Time(88)_SongNr(99).wav</t>
  </si>
  <si>
    <t>Guitar_ItemNr(980)_SetNr(295)_WiT_Level(-15)_Complexity(3)_Time(88)_SongNr(91).wav</t>
  </si>
  <si>
    <t>Lead_ItemNr(2149)_SetNr(388)_WiT_Level(-15)_Complexity(3)_Time(88)_SongNr(52).wav</t>
  </si>
  <si>
    <t>Lead_ItemNr(2489)_SetNr(481)_WiT_Level(-15)_Complexity(3)_Time(88)_SongNr(36).wav</t>
  </si>
  <si>
    <t>Lead_ItemNr(2361)_SetNr(435)_WiT_Level(-15)_Complexity(3)_Time(88)_SongNr(35).wav</t>
  </si>
  <si>
    <t>Piano_ItemNr(2993)_SetNr(338)_WiT_Level(-15)_Complexity(3)_Time(88)_SongNr(28).wav</t>
  </si>
  <si>
    <t>Bass_ItemNr(259)_SetNr(110)_WiT_Level(-15)_Complexity(3)_Time(88)_SongNr(115).wav</t>
  </si>
  <si>
    <t>Bass_ItemNr(492)_SetNr(203)_WiT_Level(-15)_Complexity(3)_Time(88)_SongNr(106).wav</t>
  </si>
  <si>
    <t>Guitar_ItemNr(1168)_SetNr(352)_WiT_Level(-15)_Complexity(3)_Time(86)_SongNr(92).wav</t>
  </si>
  <si>
    <t>Lead_ItemNr(483)_SetNr(089)_WiT_Level(-15)_Complexity(3)_Time(86)_SongNr(83).wav</t>
  </si>
  <si>
    <t>Lead_ItemNr(2017)_SetNr(350)_WiT_Level(-15)_Complexity(3)_Time(86)_SongNr(52).wav</t>
  </si>
  <si>
    <t>Guitar_ItemNr(893)_SetNr(272)_WiT_Level(-15)_Complexity(3)_Time(86)_SongNr(51).wav</t>
  </si>
  <si>
    <t>Bass_ItemNr(480)_SetNr(199)_WiT_Level(-15)_Complexity(3)_Time(86)_SongNr(43).wav</t>
  </si>
  <si>
    <t>Lead_ItemNr(3352)_SetNr(852)_WiT_Level(-15)_Complexity(3)_Time(86)_SongNr(36).wav</t>
  </si>
  <si>
    <t>Lead_ItemNr(3151)_SetNr(746)_WiT_Level(-15)_Complexity(3)_Time(86)_SongNr(35).wav</t>
  </si>
  <si>
    <t>Lead_ItemNr(2680)_SetNr(550)_WiT_Level(-15)_Complexity(3)_Time(86)_SongNr(34).wav</t>
  </si>
  <si>
    <t>Guitar_ItemNr(1917)_SetNr(583)_WiT_Level(-15)_Complexity(3)_Time(86)_SongNr(32).wav</t>
  </si>
  <si>
    <t>Guitar_ItemNr(2189)_SetNr(673)_WiT_Level(-15)_Complexity(3)_Time(86)_SongNr(31).wav</t>
  </si>
  <si>
    <t>Piano_ItemNr(2933)_SetNr(325)_WiT_Level(-15)_Complexity(3)_Time(86)_SongNr(28).wav</t>
  </si>
  <si>
    <t>Guitar_ItemNr(2865)_SetNr(941)_WiT_Level(-15)_Complexity(3)_Time(84)_SongNr(88).wav</t>
  </si>
  <si>
    <t>Guitar_ItemNr(1254)_SetNr(380)_WiT_Level(-15)_Complexity(3)_Time(84)_SongNr(83).wav</t>
  </si>
  <si>
    <t>Lead_ItemNr(2323)_SetNr(424)_WiT_Level(-15)_Complexity(3)_Time(84)_SongNr(52).wav</t>
  </si>
  <si>
    <t>Lead_ItemNr(2327)_SetNr(426)_WiT_Level(-15)_Complexity(3)_Time(84)_SongNr(51).wav</t>
  </si>
  <si>
    <t>Bass_ItemNr(1061)_SetNr(469)_WiT_Level(-15)_Complexity(3)_Time(84)_SongNr(45).wav</t>
  </si>
  <si>
    <t>Piano_ItemNr(1352)_SetNr(121)_WiT_Level(-15)_Complexity(3)_Time(84)_SongNr(40).wav</t>
  </si>
  <si>
    <t>Lead_ItemNr(111)_SetNr(021)_WiT_Level(-15)_Complexity(3)_Time(84)_SongNr(36).wav</t>
  </si>
  <si>
    <t>Piano_ItemNr(850)_SetNr(065)_WiT_Level(-15)_Complexity(3)_Time(84)_SongNr(28).wav</t>
  </si>
  <si>
    <t>Bass_ItemNr(953)_SetNr(420)_WiT_Level(-15)_Complexity(3)_Time(84)_SongNr(114).wav</t>
  </si>
  <si>
    <t>Lead_ItemNr(3164)_SetNr(752)_WiT_Level(-15)_Complexity(3)_Time(84)_SongNr(112).wav</t>
  </si>
  <si>
    <t>Bass_ItemNr(1521)_SetNr(666)_WiT_Level(-15)_Complexity(3)_Time(84)_SongNr(106).wav</t>
  </si>
  <si>
    <t>Piano_ItemNr(3292)_SetNr(404)_WiT_Level(-15)_Complexity(3)_Time(82)_SongNr(93).wav</t>
  </si>
  <si>
    <t>Guitar_ItemNr(2647)_SetNr(876)_WiT_Level(-15)_Complexity(3)_Time(82)_SongNr(91).wav</t>
  </si>
  <si>
    <t>Lead_ItemNr(3530)_SetNr(930)_WiT_Level(-15)_Complexity(3)_Time(82)_SongNr(87).wav</t>
  </si>
  <si>
    <t>Lead_ItemNr(2788)_SetNr(598)_WiT_Level(-15)_Complexity(3)_Time(82)_SongNr(52).wav</t>
  </si>
  <si>
    <t>Lead_ItemNr(1972)_SetNr(336)_WiT_Level(-15)_Complexity(3)_Time(82)_SongNr(51).wav</t>
  </si>
  <si>
    <t>Guitar_ItemNr(2607)_SetNr(855)_WiT_Level(-15)_Complexity(3)_Time(82)_SongNr(43).wav</t>
  </si>
  <si>
    <t>Piano_ItemNr(2350)_SetNr(227)_WiT_Level(-15)_Complexity(3)_Time(82)_SongNr(28).wav</t>
  </si>
  <si>
    <t>Bass_ItemNr(1995)_SetNr(859)_WiT_Level(-15)_Complexity(3)_Time(82)_SongNr(110).wav</t>
  </si>
  <si>
    <t>Guitar_ItemNr(1439)_SetNr(436)_WiT_Level(-15)_Complexity(3)_Time(80)_SongNr(93).wav</t>
  </si>
  <si>
    <t>Guitar_ItemNr(2566)_SetNr(834)_WiT_Level(-15)_Complexity(3)_Time(80)_SongNr(88).wav</t>
  </si>
  <si>
    <t>Lead_ItemNr(2532)_SetNr(498)_WiT_Level(-15)_Complexity(3)_Time(80)_SongNr(86).wav</t>
  </si>
  <si>
    <t>Bass_ItemNr(1482)_SetNr(648)_WiT_Level(-15)_Complexity(3)_Time(80)_SongNr(67).wav</t>
  </si>
  <si>
    <t>Guitar_ItemNr(488)_SetNr(157)_WiT_Level(-15)_Complexity(3)_Time(80)_SongNr(66).wav</t>
  </si>
  <si>
    <t>Lead_ItemNr(3474)_SetNr(912)_WiT_Level(-15)_Complexity(3)_Time(80)_SongNr(52).wav</t>
  </si>
  <si>
    <t>Guitar_ItemNr(1415)_SetNr(428)_WiT_Level(-15)_Complexity(3)_Time(80)_SongNr(51).wav</t>
  </si>
  <si>
    <t>Lead_ItemNr(3783)_SetNr(1025)_WiT_Level(-15)_Complexity(3)_Time(80)_SongNr(48).wav</t>
  </si>
  <si>
    <t>Guitar_ItemNr(269)_SetNr(079)_WiT_Level(-15)_Complexity(3)_Time(80)_SongNr(43).wav</t>
  </si>
  <si>
    <t>Lead_ItemNr(2028)_SetNr(354)_WiT_Level(-15)_Complexity(3)_Time(80)_SongNr(31).wav</t>
  </si>
  <si>
    <t>Piano_ItemNr(2711)_SetNr(277)_WiT_Level(-15)_Complexity(3)_Time(80)_SongNr(28).wav</t>
  </si>
  <si>
    <t>Piano_ItemNr(2166)_SetNr(207)_WiT_Level(-15)_Complexity(3)_Time(80)_SongNr(115).wav</t>
  </si>
  <si>
    <t>Lead_ItemNr(3040)_SetNr(697)_WiT_Level(-15)_Complexity(3)_Time(80)_SongNr(112).wav</t>
  </si>
  <si>
    <t>Bass_ItemNr(1840)_SetNr(801)_WiT_Level(-15)_Complexity(3)_Time(8)_SongNr(94).wav</t>
  </si>
  <si>
    <t>Guitar_ItemNr(1293)_SetNr(395)_WiT_Level(-15)_Complexity(3)_Time(8)_SongNr(88).wav</t>
  </si>
  <si>
    <t>Bass_ItemNr(747)_SetNr(331)_WiT_Level(-15)_Complexity(3)_Time(8)_SongNr(82).wav</t>
  </si>
  <si>
    <t>Bass_ItemNr(1488)_SetNr(653)_WiT_Level(-15)_Complexity(3)_Time(8)_SongNr(81).wav</t>
  </si>
  <si>
    <t>Bass_ItemNr(1448)_SetNr(632)_WiT_Level(-15)_Complexity(3)_Time(8)_SongNr(80).wav</t>
  </si>
  <si>
    <t>Bass_ItemNr(358)_SetNr(150)_WiT_Level(-15)_Complexity(3)_Time(8)_SongNr(79).wav</t>
  </si>
  <si>
    <t>Bass_ItemNr(390)_SetNr(163)_WiT_Level(-15)_Complexity(3)_Time(8)_SongNr(67).wav</t>
  </si>
  <si>
    <t>Bass_ItemNr(1584)_SetNr(686)_WiT_Level(-15)_Complexity(3)_Time(8)_SongNr(46).wav</t>
  </si>
  <si>
    <t>Guitar_ItemNr(2344)_SetNr(743)_WiT_Level(-15)_Complexity(3)_Time(8)_SongNr(38).wav</t>
  </si>
  <si>
    <t>Lead_ItemNr(1441)_SetNr(243)_WiT_Level(-15)_Complexity(3)_Time(8)_SongNr(37).wav</t>
  </si>
  <si>
    <t>Guitar_ItemNr(1964)_SetNr(594)_WiT_Level(-15)_Complexity(3)_Time(8)_SongNr(113).wav</t>
  </si>
  <si>
    <t>Guitar_ItemNr(1228)_SetNr(371)_WiT_Level(-15)_Complexity(3)_Time(8)_SongNr(110).wav</t>
  </si>
  <si>
    <t>Guitar_ItemNr(2333)_SetNr(736)_WiT_Level(-15)_Complexity(3)_Time(8)_SongNr(101).wav</t>
  </si>
  <si>
    <t>Bass_ItemNr(2092)_SetNr(884)_WiT_Level(-15)_Complexity(3)_Time(8)_SongNr(10).wav</t>
  </si>
  <si>
    <t>Guitar_ItemNr(1103)_SetNr(332)_WiT_Level(-15)_Complexity(3)_Time(78)_SongNr(94).wav</t>
  </si>
  <si>
    <t>Piano_ItemNr(3002)_SetNr(340)_WiT_Level(-15)_Complexity(3)_Time(78)_SongNr(93).wav</t>
  </si>
  <si>
    <t>Bass_ItemNr(658)_SetNr(285)_WiT_Level(-15)_Complexity(3)_Time(78)_SongNr(92).wav</t>
  </si>
  <si>
    <t>Guitar_ItemNr(2094)_SetNr(636)_WiT_Level(-15)_Complexity(3)_Time(78)_SongNr(87).wav</t>
  </si>
  <si>
    <t>Lead_ItemNr(384)_SetNr(068)_WiT_Level(-15)_Complexity(3)_Time(78)_SongNr(86).wav</t>
  </si>
  <si>
    <t>Lead_ItemNr(3701)_SetNr(996)_WiT_Level(-15)_Complexity(3)_Time(78)_SongNr(52).wav</t>
  </si>
  <si>
    <t>Guitar_ItemNr(2507)_SetNr(813)_WiT_Level(-15)_Complexity(3)_Time(78)_SongNr(51).wav</t>
  </si>
  <si>
    <t>Bass_ItemNr(616)_SetNr(265)_WiT_Level(-15)_Complexity(3)_Time(78)_SongNr(45).wav</t>
  </si>
  <si>
    <t>Guitar_ItemNr(853)_SetNr(258)_WiT_Level(-15)_Complexity(3)_Time(78)_SongNr(31).wav</t>
  </si>
  <si>
    <t>Piano_ItemNr(1078)_SetNr(092)_WiT_Level(-15)_Complexity(3)_Time(78)_SongNr(28).wav</t>
  </si>
  <si>
    <t>Piano_ItemNr(3493)_SetNr(442)_WiT_Level(-15)_Complexity(3)_Time(78)_SongNr(23).wav</t>
  </si>
  <si>
    <t>Piano_ItemNr(3843)_SetNr(491)_WiT_Level(-15)_Complexity(3)_Time(78)_SongNr(102).wav</t>
  </si>
  <si>
    <t>Bass_ItemNr(302)_SetNr(128)_WiT_Level(-15)_Complexity(3)_Time(760)_SongNr(54).wav</t>
  </si>
  <si>
    <t>Bass_ItemNr(207)_SetNr(084)_WiT_Level(-15)_Complexity(3)_Time(76)_SongNr(99).wav</t>
  </si>
  <si>
    <t>Piano_ItemNr(3197)_SetNr(390)_WiT_Level(-15)_Complexity(3)_Time(76)_SongNr(93).wav</t>
  </si>
  <si>
    <t>Guitar_ItemNr(2073)_SetNr(631)_WiT_Level(-15)_Complexity(3)_Time(76)_SongNr(91).wav</t>
  </si>
  <si>
    <t>Bass_ItemNr(214)_SetNr(088)_WiT_Level(-15)_Complexity(3)_Time(76)_SongNr(56).wav</t>
  </si>
  <si>
    <t>Lead_ItemNr(1515)_SetNr(253)_WiT_Level(-15)_Complexity(3)_Time(76)_SongNr(52).wav</t>
  </si>
  <si>
    <t>Lead_ItemNr(3419)_SetNr(883)_WiT_Level(-15)_Complexity(3)_Time(76)_SongNr(51).wav</t>
  </si>
  <si>
    <t>Piano_ItemNr(411)_SetNr(036)_WiT_Level(-15)_Complexity(3)_Time(76)_SongNr(28).wav</t>
  </si>
  <si>
    <t>Guitar_ItemNr(2836)_SetNr(931)_WiT_Level(-15)_Complexity(3)_Time(76)_SongNr(116).wav</t>
  </si>
  <si>
    <t>Lead_ItemNr(2335)_SetNr(428)_WiT_Level(-15)_Complexity(3)_Time(76)_SongNr(115).wav</t>
  </si>
  <si>
    <t>Guitar_ItemNr(2158)_SetNr(661)_WiT_Level(-15)_Complexity(3)_Time(76)_SongNr(114).wav</t>
  </si>
  <si>
    <t>Bass_ItemNr(975)_SetNr(430)_WiT_Level(-15)_Complexity(3)_Time(76)_SongNr(106).wav</t>
  </si>
  <si>
    <t>Bass_ItemNr(1249)_SetNr(547)_WiT_Level(-15)_Complexity(3)_Time(76)_SongNr(102).wav</t>
  </si>
  <si>
    <t>Bass_ItemNr(508)_SetNr(209)_WiT_Level(-15)_Complexity(3)_Time(76)_SongNr(100).wav</t>
  </si>
  <si>
    <t>Bass_ItemNr(459)_SetNr(193)_WiT_Level(-15)_Complexity(3)_Time(754)_SongNr(54).wav</t>
  </si>
  <si>
    <t>Bass_ItemNr(1550)_SetNr(675)_WiT_Level(-15)_Complexity(3)_Time(74)_SongNr(99).wav</t>
  </si>
  <si>
    <t>Piano_ItemNr(2774)_SetNr(289)_WiT_Level(-15)_Complexity(3)_Time(74)_SongNr(93).wav</t>
  </si>
  <si>
    <t>Lead_ItemNr(3448)_SetNr(898)_WiT_Level(-15)_Complexity(3)_Time(74)_SongNr(87).wav</t>
  </si>
  <si>
    <t>Bass_ItemNr(2180)_SetNr(906)_WiT_Level(-15)_Complexity(3)_Time(74)_SongNr(67).wav</t>
  </si>
  <si>
    <t>Lead_ItemNr(844)_SetNr(147)_WiT_Level(-15)_Complexity(3)_Time(74)_SongNr(51).wav</t>
  </si>
  <si>
    <t>Lead_ItemNr(3281)_SetNr(821)_WiT_Level(-15)_Complexity(3)_Time(74)_SongNr(36).wav</t>
  </si>
  <si>
    <t>Lead_ItemNr(3426)_SetNr(886)_WiT_Level(-15)_Complexity(3)_Time(74)_SongNr(31).wav</t>
  </si>
  <si>
    <t>Guitar_ItemNr(2554)_SetNr(827)_WiT_Level(-15)_Complexity(3)_Time(74)_SongNr(3).wav</t>
  </si>
  <si>
    <t>Piano_ItemNr(2264)_SetNr(218)_WiT_Level(-15)_Complexity(3)_Time(74)_SongNr(28).wav</t>
  </si>
  <si>
    <t>Bass_ItemNr(1336)_SetNr(582)_WiT_Level(-15)_Complexity(3)_Time(74)_SongNr(106).wav</t>
  </si>
  <si>
    <t>Piano_ItemNr(3285)_SetNr(402)_WiT_Level(-15)_Complexity(3)_Time(74)_SongNr(102).wav</t>
  </si>
  <si>
    <t>Bass_ItemNr(405)_SetNr(173)_WiT_Level(-15)_Complexity(3)_Time(722)_SongNr(54).wav</t>
  </si>
  <si>
    <t>Guitar_ItemNr(2168)_SetNr(664)_WiT_Level(-15)_Complexity(3)_Time(72)_SongNr(91).wav</t>
  </si>
  <si>
    <t>Lead_ItemNr(3442)_SetNr(894)_WiT_Level(-15)_Complexity(3)_Time(72)_SongNr(8).wav</t>
  </si>
  <si>
    <t>Bass_ItemNr(403)_SetNr(171)_WiT_Level(-15)_Complexity(3)_Time(72)_SongNr(74).wav</t>
  </si>
  <si>
    <t>Bass_ItemNr(2032)_SetNr(867)_WiT_Level(-15)_Complexity(3)_Time(72)_SongNr(67).wav</t>
  </si>
  <si>
    <t>Lead_ItemNr(3409)_SetNr(879)_WiT_Level(-15)_Complexity(3)_Time(72)_SongNr(51).wav</t>
  </si>
  <si>
    <t>Bass_ItemNr(30)_SetNr(013)_WiT_Level(-15)_Complexity(3)_Time(72)_SongNr(45).wav</t>
  </si>
  <si>
    <t>Lead_ItemNr(3053)_SetNr(704)_WiT_Level(-15)_Complexity(3)_Time(72)_SongNr(36).wav</t>
  </si>
  <si>
    <t>Lead_ItemNr(969)_SetNr(172)_WiT_Level(-15)_Complexity(3)_Time(72)_SongNr(31).wav</t>
  </si>
  <si>
    <t>Piano_ItemNr(1890)_SetNr(173)_WiT_Level(-15)_Complexity(3)_Time(72)_SongNr(28).wav</t>
  </si>
  <si>
    <t>Bass_ItemNr(1091)_SetNr(484)_WiT_Level(-15)_Complexity(3)_Time(72)_SongNr(112).wav</t>
  </si>
  <si>
    <t>Guitar_ItemNr(2569)_SetNr(835)_WiT_Level(-15)_Complexity(3)_Time(72)_SongNr(107).wav</t>
  </si>
  <si>
    <t>Bass_ItemNr(2241)_SetNr(925)_WiT_Level(-15)_Complexity(3)_Time(72)_SongNr(100).wav</t>
  </si>
  <si>
    <t>Bass_ItemNr(2290)_SetNr(938)_WiT_Level(-15)_Complexity(3)_Time(718)_SongNr(54).wav</t>
  </si>
  <si>
    <t>Piano_ItemNr(3033)_SetNr(349)_WiT_Level(-15)_Complexity(3)_Time(70)_SongNr(93).wav</t>
  </si>
  <si>
    <t>Guitar_ItemNr(2706)_SetNr(898)_WiT_Level(-15)_Complexity(3)_Time(70)_SongNr(91).wav</t>
  </si>
  <si>
    <t>Guitar_ItemNr(2066)_SetNr(627)_WiT_Level(-15)_Complexity(3)_Time(70)_SongNr(88).wav</t>
  </si>
  <si>
    <t>Bass_ItemNr(1262)_SetNr(552)_WiT_Level(-15)_Complexity(3)_Time(70)_SongNr(67).wav</t>
  </si>
  <si>
    <t>Bass_ItemNr(2272)_SetNr(932)_WiT_Level(-15)_Complexity(3)_Time(70)_SongNr(61).wav</t>
  </si>
  <si>
    <t>Lead_ItemNr(2100)_SetNr(376)_WiT_Level(-15)_Complexity(3)_Time(70)_SongNr(53).wav</t>
  </si>
  <si>
    <t>Lead_ItemNr(3232)_SetNr(789)_WiT_Level(-15)_Complexity(3)_Time(70)_SongNr(51).wav</t>
  </si>
  <si>
    <t>Guitar_ItemNr(1015)_SetNr(306)_WiT_Level(-15)_Complexity(3)_Time(70)_SongNr(43).wav</t>
  </si>
  <si>
    <t>Lead_ItemNr(3534)_SetNr(932)_WiT_Level(-15)_Complexity(3)_Time(70)_SongNr(36).wav</t>
  </si>
  <si>
    <t>Guitar_ItemNr(2165)_SetNr(663)_WiT_Level(-15)_Complexity(3)_Time(70)_SongNr(32).wav</t>
  </si>
  <si>
    <t>Lead_ItemNr(3483)_SetNr(913)_WiT_Level(-15)_Complexity(3)_Time(70)_SongNr(31).wav</t>
  </si>
  <si>
    <t>Piano_ItemNr(3079)_SetNr(358)_WiT_Level(-15)_Complexity(3)_Time(70)_SongNr(28).wav</t>
  </si>
  <si>
    <t>Lead_ItemNr(1720)_SetNr(295)_WiT_Level(-15)_Complexity(3)_Time(70)_SongNr(20).wav</t>
  </si>
  <si>
    <t>Bass_ItemNr(979)_SetNr(434)_WiT_Level(-15)_Complexity(3)_Time(690)_SongNr(54).wav</t>
  </si>
  <si>
    <t>Piano_ItemNr(3133)_SetNr(374)_WiT_Level(-15)_Complexity(3)_Time(68)_SongNr(93).wav</t>
  </si>
  <si>
    <t>Lead_ItemNr(3421)_SetNr(884)_WiT_Level(-15)_Complexity(3)_Time(68)_SongNr(87).wav</t>
  </si>
  <si>
    <t>Bass_ItemNr(2256)_SetNr(929)_WiT_Level(-15)_Complexity(3)_Time(68)_SongNr(67).wav</t>
  </si>
  <si>
    <t>Lead_ItemNr(2140)_SetNr(385)_WiT_Level(-15)_Complexity(3)_Time(68)_SongNr(51).wav</t>
  </si>
  <si>
    <t>Bass_ItemNr(880)_SetNr(390)_WiT_Level(-15)_Complexity(3)_Time(68)_SongNr(45).wav</t>
  </si>
  <si>
    <t>Lead_ItemNr(1823)_SetNr(314)_WiT_Level(-15)_Complexity(3)_Time(68)_SongNr(36).wav</t>
  </si>
  <si>
    <t>Guitar_ItemNr(2661)_SetNr(883)_WiT_Level(-15)_Complexity(3)_Time(68)_SongNr(32).wav</t>
  </si>
  <si>
    <t>Guitar_ItemNr(770)_SetNr(236)_WiT_Level(-15)_Complexity(3)_Time(68)_SongNr(31).wav</t>
  </si>
  <si>
    <t>Piano_ItemNr(2976)_SetNr(335)_WiT_Level(-15)_Complexity(3)_Time(68)_SongNr(28).wav</t>
  </si>
  <si>
    <t>Piano_ItemNr(604)_SetNr(047)_WiT_Level(-15)_Complexity(3)_Time(68)_SongNr(23).wav</t>
  </si>
  <si>
    <t>Guitar_ItemNr(555)_SetNr(179)_WiT_Level(-15)_Complexity(3)_Time(68)_SongNr(15).wav</t>
  </si>
  <si>
    <t>Lead_ItemNr(3256)_SetNr(804)_WiT_Level(-15)_Complexity(3)_Time(68)_SongNr(113).wav</t>
  </si>
  <si>
    <t>Guitar_ItemNr(2450)_SetNr(790)_WiT_Level(-15)_Complexity(3)_Time(66)_SongNr(91).wav</t>
  </si>
  <si>
    <t>Lead_ItemNr(3019)_SetNr(690)_WiT_Level(-15)_Complexity(3)_Time(66)_SongNr(8).wav</t>
  </si>
  <si>
    <t>Bass_ItemNr(1871)_SetNr(816)_WiT_Level(-15)_Complexity(3)_Time(66)_SongNr(67).wav</t>
  </si>
  <si>
    <t>Lead_ItemNr(2727)_SetNr(571)_WiT_Level(-15)_Complexity(3)_Time(66)_SongNr(51).wav</t>
  </si>
  <si>
    <t>Bass_ItemNr(1384)_SetNr(605)_WiT_Level(-15)_Complexity(3)_Time(66)_SongNr(30).wav</t>
  </si>
  <si>
    <t>Piano_ItemNr(2515)_SetNr(247)_WiT_Level(-15)_Complexity(3)_Time(66)_SongNr(28).wav</t>
  </si>
  <si>
    <t>Guitar_ItemNr(2135)_SetNr(652)_WiT_Level(-15)_Complexity(3)_Time(64)_SongNr(91).wav</t>
  </si>
  <si>
    <t>Guitar_ItemNr(784)_SetNr(240)_WiT_Level(-15)_Complexity(3)_Time(64)_SongNr(88).wav</t>
  </si>
  <si>
    <t>Bass_ItemNr(5)_SetNr(002)_WiT_Level(-15)_Complexity(3)_Time(64)_SongNr(67).wav</t>
  </si>
  <si>
    <t>Lead_ItemNr(413)_SetNr(072)_WiT_Level(-15)_Complexity(3)_Time(64)_SongNr(51).wav</t>
  </si>
  <si>
    <t>Lead_ItemNr(3517)_SetNr(927)_WiT_Level(-15)_Complexity(3)_Time(64)_SongNr(36).wav</t>
  </si>
  <si>
    <t>Lead_ItemNr(3202)_SetNr(772)_WiT_Level(-15)_Complexity(3)_Time(64)_SongNr(35).wav</t>
  </si>
  <si>
    <t>Piano_ItemNr(3141)_SetNr(377)_WiT_Level(-15)_Complexity(3)_Time(64)_SongNr(28).wav</t>
  </si>
  <si>
    <t>Bass_ItemNr(756)_SetNr(337)_WiT_Level(-15)_Complexity(3)_Time(64)_SongNr(15).wav</t>
  </si>
  <si>
    <t>Lead_ItemNr(867)_SetNr(151)_WiT_Level(-15)_Complexity(3)_Time(64)_SongNr(13).wav</t>
  </si>
  <si>
    <t>Guitar_ItemNr(2063)_SetNr(626)_WiT_Level(-15)_Complexity(3)_Time(64)_SongNr(107).wav</t>
  </si>
  <si>
    <t>Guitar_ItemNr(1796)_SetNr(541)_WiT_Level(-15)_Complexity(3)_Time(64)_SongNr(10).wav</t>
  </si>
  <si>
    <t>Piano_ItemNr(1031)_SetNr(087)_WiT_Level(-15)_Complexity(3)_Time(62)_SongNr(93).wav</t>
  </si>
  <si>
    <t>Guitar_ItemNr(2316)_SetNr(729)_WiT_Level(-15)_Complexity(3)_Time(62)_SongNr(92).wav</t>
  </si>
  <si>
    <t>Guitar_ItemNr(1900)_SetNr(575)_WiT_Level(-15)_Complexity(3)_Time(62)_SongNr(91).wav</t>
  </si>
  <si>
    <t>Lead_ItemNr(246)_SetNr(048)_WiT_Level(-15)_Complexity(3)_Time(62)_SongNr(51).wav</t>
  </si>
  <si>
    <t>Lead_ItemNr(3445)_SetNr(896)_WiT_Level(-15)_Complexity(3)_Time(62)_SongNr(40).wav</t>
  </si>
  <si>
    <t>Lead_ItemNr(2624)_SetNr(530)_WiT_Level(-15)_Complexity(3)_Time(62)_SongNr(36).wav</t>
  </si>
  <si>
    <t>Piano_ItemNr(1753)_SetNr(160)_WiT_Level(-15)_Complexity(3)_Time(62)_SongNr(28).wav</t>
  </si>
  <si>
    <t>Bass_ItemNr(373)_SetNr(157)_WiT_Level(-15)_Complexity(3)_Time(62)_SongNr(23).wav</t>
  </si>
  <si>
    <t>Guitar_ItemNr(1913)_SetNr(581)_WiT_Level(-15)_Complexity(3)_Time(62)_SongNr(13).wav</t>
  </si>
  <si>
    <t>Piano_ItemNr(3266)_SetNr(399)_WiT_Level(-15)_Complexity(3)_Time(62)_SongNr(111).wav</t>
  </si>
  <si>
    <t>Bass_ItemNr(1792)_SetNr(778)_WiT_Level(-15)_Complexity(3)_Time(606)_SongNr(54).wav</t>
  </si>
  <si>
    <t>Bass_ItemNr(2088)_SetNr(883)_WiT_Level(-15)_Complexity(3)_Time(60)_SongNr(99).wav</t>
  </si>
  <si>
    <t>Guitar_ItemNr(164)_SetNr(052)_WiT_Level(-15)_Complexity(3)_Time(60)_SongNr(92).wav</t>
  </si>
  <si>
    <t>Guitar_ItemNr(1153)_SetNr(345)_WiT_Level(-15)_Complexity(3)_Time(60)_SongNr(91).wav</t>
  </si>
  <si>
    <t>Guitar_ItemNr(1183)_SetNr(356)_WiT_Level(-15)_Complexity(3)_Time(60)_SongNr(88).wav</t>
  </si>
  <si>
    <t>Lead_ItemNr(323)_SetNr(061)_WiT_Level(-15)_Complexity(3)_Time(60)_SongNr(8).wav</t>
  </si>
  <si>
    <t>Bass_ItemNr(816)_SetNr(366)_WiT_Level(-15)_Complexity(3)_Time(60)_SongNr(69).wav</t>
  </si>
  <si>
    <t>Lead_ItemNr(1615)_SetNr(281)_WiT_Level(-15)_Complexity(3)_Time(60)_SongNr(53).wav</t>
  </si>
  <si>
    <t>Piano_ItemNr(3353)_SetNr(417)_WiT_Level(-15)_Complexity(3)_Time(60)_SongNr(40).wav</t>
  </si>
  <si>
    <t>Lead_ItemNr(2022)_SetNr(352)_WiT_Level(-15)_Complexity(3)_Time(60)_SongNr(36).wav</t>
  </si>
  <si>
    <t>Bass_ItemNr(374)_SetNr(158)_WiT_Level(-15)_Complexity(3)_Time(60)_SongNr(32).wav</t>
  </si>
  <si>
    <t>Piano_ItemNr(2861)_SetNr(308)_WiT_Level(-15)_Complexity(3)_Time(60)_SongNr(28).wav</t>
  </si>
  <si>
    <t>Bass_ItemNr(754)_SetNr(336)_WiT_Level(-15)_Complexity(3)_Time(60)_SongNr(13).wav</t>
  </si>
  <si>
    <t>Guitar_ItemNr(10)_SetNr(003)_WiT_Level(-15)_Complexity(3)_Time(60)_SongNr(107).wav</t>
  </si>
  <si>
    <t>Bass_ItemNr(1470)_SetNr(643)_WiT_Level(-15)_Complexity(3)_Time(60)_SongNr(10).wav</t>
  </si>
  <si>
    <t>Guitar_ItemNr(2268)_SetNr(707)_WiT_Level(-15)_Complexity(3)_Time(6)_SongNr(94).wav</t>
  </si>
  <si>
    <t>Guitar_ItemNr(2844)_SetNr(935)_WiT_Level(-15)_Complexity(3)_Time(6)_SongNr(92).wav</t>
  </si>
  <si>
    <t>Guitar_ItemNr(276)_SetNr(083)_WiT_Level(-15)_Complexity(3)_Time(6)_SongNr(91).wav</t>
  </si>
  <si>
    <t>Guitar_ItemNr(449)_SetNr(140)_WiT_Level(-15)_Complexity(3)_Time(6)_SongNr(88).wav</t>
  </si>
  <si>
    <t>Lead_ItemNr(1648)_SetNr(285)_WiT_Level(-15)_Complexity(3)_Time(6)_SongNr(83).wav</t>
  </si>
  <si>
    <t>Guitar_ItemNr(410)_SetNr(130)_WiT_Level(-15)_Complexity(3)_Time(6)_SongNr(82).wav</t>
  </si>
  <si>
    <t>Bass_ItemNr(88)_SetNr(042)_WiT_Level(-15)_Complexity(3)_Time(6)_SongNr(81).wav</t>
  </si>
  <si>
    <t>Bass_ItemNr(1226)_SetNr(540)_WiT_Level(-15)_Complexity(3)_Time(6)_SongNr(80).wav</t>
  </si>
  <si>
    <t>Guitar_ItemNr(987)_SetNr(297)_WiT_Level(-15)_Complexity(3)_Time(6)_SongNr(79).wav</t>
  </si>
  <si>
    <t>Bass_ItemNr(1847)_SetNr(804)_WiT_Level(-15)_Complexity(3)_Time(6)_SongNr(69).wav</t>
  </si>
  <si>
    <t>Bass_ItemNr(821)_SetNr(370)_WiT_Level(-15)_Complexity(3)_Time(6)_SongNr(68).wav</t>
  </si>
  <si>
    <t>Bass_ItemNr(1610)_SetNr(697)_WiT_Level(-15)_Complexity(3)_Time(6)_SongNr(67).wav</t>
  </si>
  <si>
    <t>Bass_ItemNr(1691)_SetNr(739)_WiT_Level(-15)_Complexity(3)_Time(6)_SongNr(57).wav</t>
  </si>
  <si>
    <t>Bass_ItemNr(476)_SetNr(197)_WiT_Level(-15)_Complexity(3)_Time(6)_SongNr(47).wav</t>
  </si>
  <si>
    <t>Lead_ItemNr(2012)_SetNr(346)_WiT_Level(-15)_Complexity(3)_Time(6)_SongNr(37).wav</t>
  </si>
  <si>
    <t>Guitar_ItemNr(2196)_SetNr(677)_WiT_Level(-15)_Complexity(3)_Time(6)_SongNr(101).wav</t>
  </si>
  <si>
    <t>Guitar_ItemNr(2221)_SetNr(687)_WiT_Level(-15)_Complexity(3)_Time(6)_SongNr(10).wav</t>
  </si>
  <si>
    <t>Bass_ItemNr(1464)_SetNr(641)_WiT_Level(-15)_Complexity(3)_Time(58)_SongNr(99).wav</t>
  </si>
  <si>
    <t>Piano_ItemNr(3074)_SetNr(357)_WiT_Level(-15)_Complexity(3)_Time(58)_SongNr(97).wav</t>
  </si>
  <si>
    <t>Guitar_ItemNr(2633)_SetNr(870)_WiT_Level(-15)_Complexity(3)_Time(58)_SongNr(91).wav</t>
  </si>
  <si>
    <t>Lead_ItemNr(2036)_SetNr(359)_WiT_Level(-15)_Complexity(3)_Time(58)_SongNr(8).wav</t>
  </si>
  <si>
    <t>Bass_ItemNr(1088)_SetNr(483)_WiT_Level(-15)_Complexity(3)_Time(58)_SongNr(69).wav</t>
  </si>
  <si>
    <t>Guitar_ItemNr(2726)_SetNr(903)_WiT_Level(-15)_Complexity(3)_Time(58)_SongNr(43).wav</t>
  </si>
  <si>
    <t>Lead_ItemNr(3490)_SetNr(918)_WiT_Level(-15)_Complexity(3)_Time(58)_SongNr(35).wav</t>
  </si>
  <si>
    <t>Piano_ItemNr(727)_SetNr(058)_WiT_Level(-15)_Complexity(3)_Time(58)_SongNr(28).wav</t>
  </si>
  <si>
    <t>Lead_ItemNr(1923)_SetNr(329)_WiT_Level(-15)_Complexity(3)_Time(58)_SongNr(24).wav</t>
  </si>
  <si>
    <t>Lead_ItemNr(1272)_SetNr(218)_WiT_Level(-15)_Complexity(3)_Time(58)_SongNr(13).wav</t>
  </si>
  <si>
    <t>Bass_ItemNr(2244)_SetNr(926)_WiT_Level(-15)_Complexity(3)_Time(58)_SongNr(116).wav</t>
  </si>
  <si>
    <t>Guitar_ItemNr(1959)_SetNr(593)_WiT_Level(-15)_Complexity(3)_Time(58)_SongNr(107).wav</t>
  </si>
  <si>
    <t>Guitar_ItemNr(519)_SetNr(167)_WiT_Level(-15)_Complexity(3)_Time(58)_SongNr(10).wav</t>
  </si>
  <si>
    <t>Lead_ItemNr(262)_SetNr(050)_WiT_Level(-15)_Complexity(3)_Time(56)_SongNr(93).wav</t>
  </si>
  <si>
    <t>Lead_ItemNr(1140)_SetNr(196)_WiT_Level(-15)_Complexity(3)_Time(56)_SongNr(8).wav</t>
  </si>
  <si>
    <t>Bass_ItemNr(2106)_SetNr(889)_WiT_Level(-15)_Complexity(3)_Time(56)_SongNr(69).wav</t>
  </si>
  <si>
    <t>Bass_ItemNr(1227)_SetNr(541)_WiT_Level(-15)_Complexity(3)_Time(56)_SongNr(67).wav</t>
  </si>
  <si>
    <t>Guitar_ItemNr(1981)_SetNr(599)_WiT_Level(-15)_Complexity(3)_Time(56)_SongNr(43).wav</t>
  </si>
  <si>
    <t>Bass_ItemNr(2107)_SetNr(890)_WiT_Level(-15)_Complexity(3)_Time(56)_SongNr(4).wav</t>
  </si>
  <si>
    <t>Lead_ItemNr(2999)_SetNr(684)_WiT_Level(-15)_Complexity(3)_Time(56)_SongNr(36).wav</t>
  </si>
  <si>
    <t>Lead_ItemNr(1332)_SetNr(228)_WiT_Level(-15)_Complexity(3)_Time(56)_SongNr(35).wav</t>
  </si>
  <si>
    <t>Guitar_ItemNr(2460)_SetNr(798)_WiT_Level(-15)_Complexity(3)_Time(56)_SongNr(31).wav</t>
  </si>
  <si>
    <t>Piano_ItemNr(1433)_SetNr(133)_WiT_Level(-15)_Complexity(3)_Time(56)_SongNr(28).wav</t>
  </si>
  <si>
    <t>Bass_ItemNr(1180)_SetNr(524)_WiT_Level(-15)_Complexity(3)_Time(56)_SongNr(15).wav</t>
  </si>
  <si>
    <t>Bass_ItemNr(1561)_SetNr(681)_WiT_Level(-15)_Complexity(3)_Time(56)_SongNr(113).wav</t>
  </si>
  <si>
    <t>Guitar_ItemNr(1681)_SetNr(506)_WiT_Level(-15)_Complexity(3)_Time(56)_SongNr(107).wav</t>
  </si>
  <si>
    <t>Bass_ItemNr(1349)_SetNr(591)_WiT_Level(-15)_Complexity(3)_Time(54)_SongNr(98).wav</t>
  </si>
  <si>
    <t>Guitar_ItemNr(1053)_SetNr(315)_WiT_Level(-15)_Complexity(3)_Time(54)_SongNr(91).wav</t>
  </si>
  <si>
    <t>Bass_ItemNr(1636)_SetNr(711)_WiT_Level(-15)_Complexity(3)_Time(54)_SongNr(69).wav</t>
  </si>
  <si>
    <t>Piano_ItemNr(330)_SetNr(029)_WiT_Level(-15)_Complexity(3)_Time(54)_SongNr(53).wav</t>
  </si>
  <si>
    <t>Lead_ItemNr(2902)_SetNr(637)_WiT_Level(-15)_Complexity(3)_Time(54)_SongNr(51).wav</t>
  </si>
  <si>
    <t>Piano_ItemNr(1079)_SetNr(093)_WiT_Level(-15)_Complexity(3)_Time(54)_SongNr(40).wav</t>
  </si>
  <si>
    <t>Lead_ItemNr(3465)_SetNr(909)_WiT_Level(-15)_Complexity(3)_Time(54)_SongNr(36).wav</t>
  </si>
  <si>
    <t>Guitar_ItemNr(2754)_SetNr(910)_WiT_Level(-15)_Complexity(3)_Time(54)_SongNr(31).wav</t>
  </si>
  <si>
    <t>Piano_ItemNr(2644)_SetNr(262)_WiT_Level(-15)_Complexity(3)_Time(54)_SongNr(28).wav</t>
  </si>
  <si>
    <t>Lead_ItemNr(3507)_SetNr(923)_WiT_Level(-15)_Complexity(3)_Time(54)_SongNr(27).wav</t>
  </si>
  <si>
    <t>Lead_ItemNr(2472)_SetNr(474)_WiT_Level(-15)_Complexity(3)_Time(54)_SongNr(24).wav</t>
  </si>
  <si>
    <t>Guitar_ItemNr(1831)_SetNr(554)_WiT_Level(-15)_Complexity(3)_Time(54)_SongNr(15).wav</t>
  </si>
  <si>
    <t>Lead_ItemNr(1535)_SetNr(258)_WiT_Level(-15)_Complexity(3)_Time(52)_SongNr(93).wav</t>
  </si>
  <si>
    <t>Guitar_ItemNr(364)_SetNr(116)_WiT_Level(-15)_Complexity(3)_Time(52)_SongNr(91).wav</t>
  </si>
  <si>
    <t>Guitar_ItemNr(914)_SetNr(278)_WiT_Level(-15)_Complexity(3)_Time(52)_SongNr(88).wav</t>
  </si>
  <si>
    <t>Bass_ItemNr(516)_SetNr(217)_WiT_Level(-15)_Complexity(3)_Time(52)_SongNr(67).wav</t>
  </si>
  <si>
    <t>Guitar_ItemNr(2684)_SetNr(893)_WiT_Level(-15)_Complexity(3)_Time(52)_SongNr(51).wav</t>
  </si>
  <si>
    <t>Piano_ItemNr(1225)_SetNr(107)_WiT_Level(-15)_Complexity(3)_Time(52)_SongNr(40).wav</t>
  </si>
  <si>
    <t>Lead_ItemNr(807)_SetNr(139)_WiT_Level(-15)_Complexity(3)_Time(52)_SongNr(36).wav</t>
  </si>
  <si>
    <t>Lead_ItemNr(2871)_SetNr(626)_WiT_Level(-15)_Complexity(3)_Time(52)_SongNr(35).wav</t>
  </si>
  <si>
    <t>Bass_ItemNr(985)_SetNr(437)_WiT_Level(-15)_Complexity(3)_Time(52)_SongNr(3).wav</t>
  </si>
  <si>
    <t>Piano_ItemNr(2583)_SetNr(257)_WiT_Level(-15)_Complexity(3)_Time(52)_SongNr(28).wav</t>
  </si>
  <si>
    <t>Lead_ItemNr(3730)_SetNr(1007)_WiT_Level(-15)_Complexity(3)_Time(52)_SongNr(27).wav</t>
  </si>
  <si>
    <t>Lead_ItemNr(1564)_SetNr(263)_WiT_Level(-15)_Complexity(3)_Time(52)_SongNr(24).wav</t>
  </si>
  <si>
    <t>Bass_ItemNr(312)_SetNr(132)_WiT_Level(-15)_Complexity(3)_Time(52)_SongNr(13).wav</t>
  </si>
  <si>
    <t>Piano_ItemNr(2045)_SetNr(195)_WiT_Level(-15)_Complexity(3)_Time(52)_SongNr(115).wav</t>
  </si>
  <si>
    <t>Lead_ItemNr(809)_SetNr(140)_WiT_Level(-15)_Complexity(3)_Time(50)_SongNr(93).wav</t>
  </si>
  <si>
    <t>Guitar_ItemNr(2811)_SetNr(924)_WiT_Level(-15)_Complexity(3)_Time(50)_SongNr(88).wav</t>
  </si>
  <si>
    <t>Bass_ItemNr(1492)_SetNr(654)_WiT_Level(-15)_Complexity(3)_Time(50)_SongNr(87).wav</t>
  </si>
  <si>
    <t>Bass_ItemNr(1108)_SetNr(493)_WiT_Level(-15)_Complexity(3)_Time(50)_SongNr(81).wav</t>
  </si>
  <si>
    <t>Bass_ItemNr(87)_SetNr(041)_WiT_Level(-15)_Complexity(3)_Time(50)_SongNr(74).wav</t>
  </si>
  <si>
    <t>Lead_ItemNr(180)_SetNr(034)_WiT_Level(-15)_Complexity(3)_Time(50)_SongNr(51).wav</t>
  </si>
  <si>
    <t>Lead_ItemNr(1841)_SetNr(317)_WiT_Level(-15)_Complexity(3)_Time(50)_SongNr(40).wav</t>
  </si>
  <si>
    <t>Guitar_ItemNr(991)_SetNr(299)_WiT_Level(-15)_Complexity(3)_Time(50)_SongNr(39).wav</t>
  </si>
  <si>
    <t>Piano_ItemNr(3046)_SetNr(352)_WiT_Level(-15)_Complexity(3)_Time(50)_SongNr(28).wav</t>
  </si>
  <si>
    <t>Bass_ItemNr(7)_SetNr(003)_WiT_Level(-15)_Complexity(3)_Time(50)_SongNr(19).wav</t>
  </si>
  <si>
    <t>Guitar_ItemNr(1187)_SetNr(357)_WiT_Level(-15)_Complexity(3)_Time(50)_SongNr(107).wav</t>
  </si>
  <si>
    <t>Bass_ItemNr(2102)_SetNr(888)_WiT_Level(-15)_Complexity(3)_Time(48)_SongNr(98).wav</t>
  </si>
  <si>
    <t>Guitar_ItemNr(2390)_SetNr(762)_WiT_Level(-15)_Complexity(3)_Time(48)_SongNr(93).wav</t>
  </si>
  <si>
    <t>Piano_ItemNr(3016)_SetNr(345)_WiT_Level(-15)_Complexity(3)_Time(48)_SongNr(81).wav</t>
  </si>
  <si>
    <t>Bass_ItemNr(1955)_SetNr(845)_WiT_Level(-15)_Complexity(3)_Time(48)_SongNr(69).wav</t>
  </si>
  <si>
    <t>Bass_ItemNr(234)_SetNr(099)_WiT_Level(-15)_Complexity(3)_Time(48)_SongNr(67).wav</t>
  </si>
  <si>
    <t>Lead_ItemNr(183)_SetNr(036)_WiT_Level(-15)_Complexity(3)_Time(48)_SongNr(40).wav</t>
  </si>
  <si>
    <t>Lead_ItemNr(3220)_SetNr(782)_WiT_Level(-15)_Complexity(3)_Time(48)_SongNr(36).wav</t>
  </si>
  <si>
    <t>Lead_ItemNr(1530)_SetNr(256)_WiT_Level(-15)_Complexity(3)_Time(48)_SongNr(35).wav</t>
  </si>
  <si>
    <t>Lead_ItemNr(2956)_SetNr(660)_WiT_Level(-15)_Complexity(3)_Time(48)_SongNr(34).wav</t>
  </si>
  <si>
    <t>Piano_ItemNr(294)_SetNr(025)_WiT_Level(-15)_Complexity(3)_Time(48)_SongNr(28).wav</t>
  </si>
  <si>
    <t>Lead_ItemNr(3546)_SetNr(939)_WiT_Level(-15)_Complexity(3)_Time(48)_SongNr(27).wav</t>
  </si>
  <si>
    <t>Bass_ItemNr(211)_SetNr(086)_WiT_Level(-15)_Complexity(3)_Time(48)_SongNr(23).wav</t>
  </si>
  <si>
    <t>Piano_ItemNr(3042)_SetNr(351)_WiT_Level(-15)_Complexity(3)_Time(48)_SongNr(115).wav</t>
  </si>
  <si>
    <t>Bass_ItemNr(48)_SetNr(024)_WiT_Level(-15)_Complexity(3)_Time(46)_SongNr(98).wav</t>
  </si>
  <si>
    <t>Lead_ItemNr(1948)_SetNr(332)_WiT_Level(-15)_Complexity(3)_Time(46)_SongNr(93).wav</t>
  </si>
  <si>
    <t>Guitar_ItemNr(1068)_SetNr(320)_WiT_Level(-15)_Complexity(3)_Time(46)_SongNr(88).wav</t>
  </si>
  <si>
    <t>Piano_ItemNr(1570)_SetNr(144)_WiT_Level(-15)_Complexity(3)_Time(46)_SongNr(81).wav</t>
  </si>
  <si>
    <t>Bass_ItemNr(757)_SetNr(338)_WiT_Level(-15)_Complexity(3)_Time(46)_SongNr(67).wav</t>
  </si>
  <si>
    <t>Piano_ItemNr(1939)_SetNr(183)_WiT_Level(-15)_Complexity(3)_Time(46)_SongNr(53).wav</t>
  </si>
  <si>
    <t>Piano_ItemNr(3729)_SetNr(473)_WiT_Level(-15)_Complexity(3)_Time(46)_SongNr(40).wav</t>
  </si>
  <si>
    <t>Guitar_ItemNr(1822)_SetNr(550)_WiT_Level(-15)_Complexity(3)_Time(46)_SongNr(3).wav</t>
  </si>
  <si>
    <t>Piano_ItemNr(2062)_SetNr(198)_WiT_Level(-15)_Complexity(3)_Time(46)_SongNr(28).wav</t>
  </si>
  <si>
    <t>Lead_ItemNr(1588)_SetNr(273)_WiT_Level(-15)_Complexity(3)_Time(46)_SongNr(27).wav</t>
  </si>
  <si>
    <t>Piano_ItemNr(1150)_SetNr(099)_WiT_Level(-15)_Complexity(3)_Time(46)_SongNr(21).wav</t>
  </si>
  <si>
    <t>Guitar_ItemNr(2105)_SetNr(640)_WiT_Level(-15)_Complexity(3)_Time(46)_SongNr(112).wav</t>
  </si>
  <si>
    <t>Guitar_ItemNr(2606)_SetNr(854)_WiT_Level(-15)_Complexity(3)_Time(46)_SongNr(105).wav</t>
  </si>
  <si>
    <t>Guitar_ItemNr(701)_SetNr(214)_WiT_Level(-15)_Complexity(3)_Time(44)_SongNr(93).wav</t>
  </si>
  <si>
    <t>Guitar_ItemNr(570)_SetNr(184)_WiT_Level(-15)_Complexity(3)_Time(44)_SongNr(92).wav</t>
  </si>
  <si>
    <t>Guitar_ItemNr(888)_SetNr(270)_WiT_Level(-15)_Complexity(3)_Time(44)_SongNr(91).wav</t>
  </si>
  <si>
    <t>Lead_ItemNr(2707)_SetNr(563)_WiT_Level(-15)_Complexity(3)_Time(44)_SongNr(86).wav</t>
  </si>
  <si>
    <t>Bass_ItemNr(1658)_SetNr(724)_WiT_Level(-15)_Complexity(3)_Time(44)_SongNr(67).wav</t>
  </si>
  <si>
    <t>Piano_ItemNr(170)_SetNr(014)_WiT_Level(-15)_Complexity(3)_Time(44)_SongNr(53).wav</t>
  </si>
  <si>
    <t>Lead_ItemNr(2618)_SetNr(526)_WiT_Level(-15)_Complexity(3)_Time(44)_SongNr(51).wav</t>
  </si>
  <si>
    <t>Piano_ItemNr(1264)_SetNr(113)_WiT_Level(-15)_Complexity(3)_Time(44)_SongNr(40).wav</t>
  </si>
  <si>
    <t>Lead_ItemNr(1960)_SetNr(333)_WiT_Level(-15)_Complexity(3)_Time(44)_SongNr(36).wav</t>
  </si>
  <si>
    <t>Guitar_ItemNr(2046)_SetNr(619)_WiT_Level(-15)_Complexity(3)_Time(44)_SongNr(32).wav</t>
  </si>
  <si>
    <t>Guitar_ItemNr(2657)_SetNr(881)_WiT_Level(-15)_Complexity(3)_Time(44)_SongNr(31).wav</t>
  </si>
  <si>
    <t>Guitar_ItemNr(2380)_SetNr(758)_WiT_Level(-15)_Complexity(3)_Time(44)_SongNr(3).wav</t>
  </si>
  <si>
    <t>Piano_ItemNr(199)_SetNr(016)_WiT_Level(-15)_Complexity(3)_Time(44)_SongNr(28).wav</t>
  </si>
  <si>
    <t>Lead_ItemNr(3209)_SetNr(774)_WiT_Level(-15)_Complexity(3)_Time(42)_SongNr(93).wav</t>
  </si>
  <si>
    <t>Guitar_ItemNr(1778)_SetNr(535)_WiT_Level(-15)_Complexity(3)_Time(42)_SongNr(88).wav</t>
  </si>
  <si>
    <t>Bass_ItemNr(1765)_SetNr(769)_WiT_Level(-15)_Complexity(3)_Time(42)_SongNr(67).wav</t>
  </si>
  <si>
    <t>Lead_ItemNr(950)_SetNr(169)_WiT_Level(-15)_Complexity(3)_Time(42)_SongNr(53).wav</t>
  </si>
  <si>
    <t>Lead_ItemNr(3456)_SetNr(903)_WiT_Level(-15)_Complexity(3)_Time(42)_SongNr(51).wav</t>
  </si>
  <si>
    <t>Lead_ItemNr(2640)_SetNr(537)_WiT_Level(-15)_Complexity(3)_Time(42)_SongNr(49).wav</t>
  </si>
  <si>
    <t>Bass_ItemNr(955)_SetNr(421)_WiT_Level(-15)_Complexity(3)_Time(42)_SongNr(46).wav</t>
  </si>
  <si>
    <t>Lead_ItemNr(3752)_SetNr(1015)_WiT_Level(-15)_Complexity(3)_Time(42)_SongNr(40).wav</t>
  </si>
  <si>
    <t>Bass_ItemNr(700)_SetNr(305)_WiT_Level(-15)_Complexity(3)_Time(42)_SongNr(35).wav</t>
  </si>
  <si>
    <t>Guitar_ItemNr(1915)_SetNr(582)_WiT_Level(-15)_Complexity(3)_Time(42)_SongNr(34).wav</t>
  </si>
  <si>
    <t>Piano_ItemNr(1650)_SetNr(149)_WiT_Level(-15)_Complexity(3)_Time(42)_SongNr(28).wav</t>
  </si>
  <si>
    <t>Lead_ItemNr(1888)_SetNr(325)_WiT_Level(-15)_Complexity(3)_Time(42)_SongNr(27).wav</t>
  </si>
  <si>
    <t>Guitar_ItemNr(2802)_SetNr(922)_WiT_Level(-15)_Complexity(3)_Time(42)_SongNr(113).wav</t>
  </si>
  <si>
    <t>Bass_ItemNr(2218)_SetNr(919)_WiT_Level(-15)_Complexity(3)_Time(42)_SongNr(112).wav</t>
  </si>
  <si>
    <t>Lead_ItemNr(1737)_SetNr(300)_WiT_Level(-15)_Complexity(3)_Time(40)_SongNr(93).wav</t>
  </si>
  <si>
    <t>Bass_ItemNr(2282)_SetNr(935)_WiT_Level(-15)_Complexity(3)_Time(40)_SongNr(92).wav</t>
  </si>
  <si>
    <t>Bass_ItemNr(1049)_SetNr(465)_WiT_Level(-15)_Complexity(3)_Time(40)_SongNr(67).wav</t>
  </si>
  <si>
    <t>Guitar_ItemNr(122)_SetNr(035)_WiT_Level(-15)_Complexity(3)_Time(40)_SongNr(66).wav</t>
  </si>
  <si>
    <t>Lead_ItemNr(3801)_SetNr(1031)_WiT_Level(-15)_Complexity(3)_Time(40)_SongNr(56).wav</t>
  </si>
  <si>
    <t>Piano_ItemNr(1214)_SetNr(105)_WiT_Level(-15)_Complexity(3)_Time(40)_SongNr(53).wav</t>
  </si>
  <si>
    <t>Lead_ItemNr(3635)_SetNr(972)_WiT_Level(-15)_Complexity(3)_Time(40)_SongNr(40).wav</t>
  </si>
  <si>
    <t>Lead_ItemNr(1885)_SetNr(323)_WiT_Level(-15)_Complexity(3)_Time(40)_SongNr(36).wav</t>
  </si>
  <si>
    <t>Bass_ItemNr(1246)_SetNr(545)_WiT_Level(-15)_Complexity(3)_Time(40)_SongNr(35).wav</t>
  </si>
  <si>
    <t>Bass_ItemNr(584)_SetNr(250)_WiT_Level(-15)_Complexity(3)_Time(40)_SongNr(3).wav</t>
  </si>
  <si>
    <t>Piano_ItemNr(2791)_SetNr(295)_WiT_Level(-15)_Complexity(3)_Time(40)_SongNr(28).wav</t>
  </si>
  <si>
    <t>Lead_ItemNr(474)_SetNr(088)_WiT_Level(-15)_Complexity(3)_Time(40)_SongNr(27).wav</t>
  </si>
  <si>
    <t>Bass_ItemNr(2182)_SetNr(908)_WiT_Level(-15)_Complexity(3)_Time(4)_SongNr(94).wav</t>
  </si>
  <si>
    <t>Guitar_ItemNr(1716)_SetNr(520)_WiT_Level(-15)_Complexity(3)_Time(4)_SongNr(92).wav</t>
  </si>
  <si>
    <t>Guitar_ItemNr(2206)_SetNr(683)_WiT_Level(-15)_Complexity(3)_Time(4)_SongNr(88).wav</t>
  </si>
  <si>
    <t>Guitar_ItemNr(533)_SetNr(172)_WiT_Level(-15)_Complexity(3)_Time(4)_SongNr(82).wav</t>
  </si>
  <si>
    <t>Bass_ItemNr(603)_SetNr(258)_WiT_Level(-15)_Complexity(3)_Time(4)_SongNr(81).wav</t>
  </si>
  <si>
    <t>Bass_ItemNr(397)_SetNr(167)_WiT_Level(-15)_Complexity(3)_Time(4)_SongNr(80).wav</t>
  </si>
  <si>
    <t>Bass_ItemNr(1366)_SetNr(597)_WiT_Level(-15)_Complexity(3)_Time(4)_SongNr(79).wav</t>
  </si>
  <si>
    <t>Bass_ItemNr(389)_SetNr(162)_WiT_Level(-15)_Complexity(3)_Time(4)_SongNr(75).wav</t>
  </si>
  <si>
    <t>Bass_ItemNr(2019)_SetNr(864)_WiT_Level(-15)_Complexity(3)_Time(4)_SongNr(69).wav</t>
  </si>
  <si>
    <t>Bass_ItemNr(939)_SetNr(410)_WiT_Level(-15)_Complexity(3)_Time(4)_SongNr(68).wav</t>
  </si>
  <si>
    <t>Bass_ItemNr(2101)_SetNr(887)_WiT_Level(-15)_Complexity(3)_Time(4)_SongNr(67).wav</t>
  </si>
  <si>
    <t>Piano_ItemNr(2126)_SetNr(202)_WiT_Level(-15)_Complexity(3)_Time(4)_SongNr(63).wav</t>
  </si>
  <si>
    <t>Bass_ItemNr(470)_SetNr(196)_WiT_Level(-15)_Complexity(3)_Time(4)_SongNr(38).wav</t>
  </si>
  <si>
    <t>Lead_ItemNr(1211)_SetNr(209)_WiT_Level(-15)_Complexity(3)_Time(4)_SongNr(37).wav</t>
  </si>
  <si>
    <t>Guitar_ItemNr(1121)_SetNr(335)_WiT_Level(-15)_Complexity(3)_Time(4)_SongNr(25).wav</t>
  </si>
  <si>
    <t>Guitar_ItemNr(904)_SetNr(275)_WiT_Level(-15)_Complexity(3)_Time(4)_SongNr(113).wav</t>
  </si>
  <si>
    <t>Guitar_ItemNr(1587)_SetNr(483)_WiT_Level(-15)_Complexity(3)_Time(4)_SongNr(101).wav</t>
  </si>
  <si>
    <t>Bass_ItemNr(97)_SetNr(046)_WiT_Level(-15)_Complexity(3)_Time(4)_SongNr(10).wav</t>
  </si>
  <si>
    <t>Bass_ItemNr(1968)_SetNr(850)_WiT_Level(-15)_Complexity(3)_Time(398)_SongNr(56).wav</t>
  </si>
  <si>
    <t>Bass_ItemNr(465)_SetNr(194)_WiT_Level(-15)_Complexity(3)_Time(390)_SongNr(98).wav</t>
  </si>
  <si>
    <t>Guitar_ItemNr(2048)_SetNr(620)_WiT_Level(-15)_Complexity(3)_Time(390)_SongNr(5).wav</t>
  </si>
  <si>
    <t>Bass_ItemNr(734)_SetNr(322)_WiT_Level(-15)_Complexity(3)_Time(382)_SongNr(98).wav</t>
  </si>
  <si>
    <t>Lead_ItemNr(2605)_SetNr(524)_WiT_Level(-15)_Complexity(3)_Time(38)_SongNr(93).wav</t>
  </si>
  <si>
    <t>Guitar_ItemNr(2556)_SetNr(829)_WiT_Level(-15)_Complexity(3)_Time(38)_SongNr(91).wav</t>
  </si>
  <si>
    <t>Guitar_ItemNr(496)_SetNr(162)_WiT_Level(-15)_Complexity(3)_Time(38)_SongNr(87).wav</t>
  </si>
  <si>
    <t>Lead_ItemNr(1261)_SetNr(217)_WiT_Level(-15)_Complexity(3)_Time(38)_SongNr(71).wav</t>
  </si>
  <si>
    <t>Piano_ItemNr(2215)_SetNr(213)_WiT_Level(-15)_Complexity(3)_Time(38)_SongNr(53).wav</t>
  </si>
  <si>
    <t>Lead_ItemNr(3081)_SetNr(717)_WiT_Level(-15)_Complexity(3)_Time(38)_SongNr(49).wav</t>
  </si>
  <si>
    <t>Piano_ItemNr(3501)_SetNr(443)_WiT_Level(-15)_Complexity(3)_Time(38)_SongNr(40).wav</t>
  </si>
  <si>
    <t>Lead_ItemNr(3441)_SetNr(893)_WiT_Level(-15)_Complexity(3)_Time(38)_SongNr(36).wav</t>
  </si>
  <si>
    <t>Guitar_ItemNr(123)_SetNr(036)_WiT_Level(-15)_Complexity(3)_Time(38)_SongNr(3).wav</t>
  </si>
  <si>
    <t>Piano_ItemNr(2688)_SetNr(271)_WiT_Level(-15)_Complexity(3)_Time(38)_SongNr(28).wav</t>
  </si>
  <si>
    <t>Lead_ItemNr(2888)_SetNr(633)_WiT_Level(-15)_Complexity(3)_Time(38)_SongNr(27).wav</t>
  </si>
  <si>
    <t>Lead_ItemNr(314)_SetNr(059)_WiT_Level(-15)_Complexity(3)_Time(38)_SongNr(21).wav</t>
  </si>
  <si>
    <t>Lead_ItemNr(386)_SetNr(069)_WiT_Level(-15)_Complexity(3)_Time(38)_SongNr(103).wav</t>
  </si>
  <si>
    <t>Guitar_ItemNr(1236)_SetNr(374)_WiT_Level(-15)_Complexity(3)_Time(378)_SongNr(56).wav</t>
  </si>
  <si>
    <t>Guitar_ItemNr(605)_SetNr(193)_WiT_Level(-15)_Complexity(3)_Time(378)_SongNr(5).wav</t>
  </si>
  <si>
    <t>Bass_ItemNr(629)_SetNr(270)_WiT_Level(-15)_Complexity(3)_Time(372)_SongNr(98).wav</t>
  </si>
  <si>
    <t>Bass_ItemNr(779)_SetNr(350)_WiT_Level(-15)_Complexity(3)_Time(372)_SongNr(109).wav</t>
  </si>
  <si>
    <t>Bass_ItemNr(1583)_SetNr(685)_WiT_Level(-15)_Complexity(3)_Time(370)_SongNr(98).wav</t>
  </si>
  <si>
    <t>Bass_ItemNr(1742)_SetNr(758)_WiT_Level(-15)_Complexity(3)_Time(370)_SongNr(109).wav</t>
  </si>
  <si>
    <t>Bass_ItemNr(1242)_SetNr(544)_WiT_Level(-15)_Complexity(3)_Time(368)_SongNr(54).wav</t>
  </si>
  <si>
    <t>Bass_ItemNr(1620)_SetNr(703)_WiT_Level(-15)_Complexity(3)_Time(362)_SongNr(56).wav</t>
  </si>
  <si>
    <t>Bass_ItemNr(2161)_SetNr(902)_WiT_Level(-15)_Complexity(3)_Time(362)_SongNr(106).wav</t>
  </si>
  <si>
    <t>Bass_ItemNr(1241)_SetNr(543)_WiT_Level(-15)_Complexity(3)_Time(360)_SongNr(52).wav</t>
  </si>
  <si>
    <t>Guitar_ItemNr(178)_SetNr(056)_WiT_Level(-15)_Complexity(3)_Time(360)_SongNr(5).wav</t>
  </si>
  <si>
    <t>Bass_ItemNr(1022)_SetNr(453)_WiT_Level(-15)_Complexity(3)_Time(360)_SongNr(109).wav</t>
  </si>
  <si>
    <t>Lead_ItemNr(2800)_SetNr(604)_WiT_Level(-15)_Complexity(3)_Time(36)_SongNr(93).wav</t>
  </si>
  <si>
    <t>Guitar_ItemNr(1920)_SetNr(584)_WiT_Level(-15)_Complexity(3)_Time(36)_SongNr(91).wav</t>
  </si>
  <si>
    <t>Piano_ItemNr(722)_SetNr(056)_WiT_Level(-15)_Complexity(3)_Time(36)_SongNr(53).wav</t>
  </si>
  <si>
    <t>Piano_ItemNr(3519)_SetNr(445)_WiT_Level(-15)_Complexity(3)_Time(36)_SongNr(40).wav</t>
  </si>
  <si>
    <t>Lead_ItemNr(2958)_SetNr(662)_WiT_Level(-15)_Complexity(3)_Time(36)_SongNr(36).wav</t>
  </si>
  <si>
    <t>Lead_ItemNr(3422)_SetNr(885)_WiT_Level(-15)_Complexity(3)_Time(36)_SongNr(27).wav</t>
  </si>
  <si>
    <t>Bass_ItemNr(1294)_SetNr(561)_WiT_Level(-15)_Complexity(3)_Time(36)_SongNr(26).wav</t>
  </si>
  <si>
    <t>Lead_ItemNr(110)_SetNr(020)_WiT_Level(-15)_Complexity(3)_Time(36)_SongNr(103).wav</t>
  </si>
  <si>
    <t>Bass_ItemNr(52)_SetNr(027)_WiT_Level(-15)_Complexity(3)_Time(358)_SongNr(54).wav</t>
  </si>
  <si>
    <t>Bass_ItemNr(2302)_SetNr(942)_WiT_Level(-15)_Complexity(3)_Time(356)_SongNr(54).wav</t>
  </si>
  <si>
    <t>Bass_ItemNr(716)_SetNr(314)_WiT_Level(-15)_Complexity(3)_Time(354)_SongNr(54).wav</t>
  </si>
  <si>
    <t>Guitar_ItemNr(1089)_SetNr(327)_WiT_Level(-15)_Complexity(3)_Time(352)_SongNr(56).wav</t>
  </si>
  <si>
    <t>Bass_ItemNr(1693)_SetNr(741)_WiT_Level(-15)_Complexity(3)_Time(350)_SongNr(98).wav</t>
  </si>
  <si>
    <t>Lead_ItemNr(2436)_SetNr(462)_WiT_Level(-15)_Complexity(3)_Time(350)_SongNr(5).wav</t>
  </si>
  <si>
    <t>Guitar_ItemNr(1278)_SetNr(388)_WiT_Level(-15)_Complexity(3)_Time(350)_SongNr(107).wav</t>
  </si>
  <si>
    <t>Bass_ItemNr(544)_SetNr(228)_WiT_Level(-15)_Complexity(3)_Time(350)_SongNr(106).wav</t>
  </si>
  <si>
    <t>Bass_ItemNr(1738)_SetNr(756)_WiT_Level(-15)_Complexity(3)_Time(342)_SongNr(56).wav</t>
  </si>
  <si>
    <t>Guitar_ItemNr(328)_SetNr(104)_WiT_Level(-15)_Complexity(3)_Time(340)_SongNr(56).wav</t>
  </si>
  <si>
    <t>Bass_ItemNr(1962)_SetNr(848)_WiT_Level(-15)_Complexity(3)_Time(340)_SongNr(54).wav</t>
  </si>
  <si>
    <t>Guitar_ItemNr(2747)_SetNr(909)_WiT_Level(-15)_Complexity(3)_Time(34)_SongNr(92).wav</t>
  </si>
  <si>
    <t>Guitar_ItemNr(1565)_SetNr(478)_WiT_Level(-15)_Complexity(3)_Time(34)_SongNr(91).wav</t>
  </si>
  <si>
    <t>Guitar_ItemNr(2761)_SetNr(912)_WiT_Level(-15)_Complexity(3)_Time(34)_SongNr(88).wav</t>
  </si>
  <si>
    <t>Bass_ItemNr(1520)_SetNr(665)_WiT_Level(-15)_Complexity(3)_Time(34)_SongNr(69).wav</t>
  </si>
  <si>
    <t>Bass_ItemNr(1952)_SetNr(843)_WiT_Level(-15)_Complexity(3)_Time(34)_SongNr(67).wav</t>
  </si>
  <si>
    <t>Piano_ItemNr(1144)_SetNr(098)_WiT_Level(-15)_Complexity(3)_Time(34)_SongNr(53).wav</t>
  </si>
  <si>
    <t>Lead_ItemNr(3279)_SetNr(819)_WiT_Level(-15)_Complexity(3)_Time(34)_SongNr(39).wav</t>
  </si>
  <si>
    <t>Lead_ItemNr(3554)_SetNr(943)_WiT_Level(-15)_Complexity(3)_Time(34)_SongNr(32).wav</t>
  </si>
  <si>
    <t>Bass_ItemNr(2041)_SetNr(870)_WiT_Level(-15)_Complexity(3)_Time(34)_SongNr(30).wav</t>
  </si>
  <si>
    <t>Bass_ItemNr(1159)_SetNr(516)_WiT_Level(-15)_Complexity(3)_Time(34)_SongNr(26).wav</t>
  </si>
  <si>
    <t>Piano_ItemNr(2229)_SetNr(214)_WiT_Level(-15)_Complexity(3)_Time(34)_SongNr(23).wav</t>
  </si>
  <si>
    <t>Guitar_ItemNr(1828)_SetNr(553)_WiT_Level(-15)_Complexity(3)_Time(34)_SongNr(14).wav</t>
  </si>
  <si>
    <t>Lead_ItemNr(3430)_SetNr(888)_WiT_Level(-15)_Complexity(3)_Time(34)_SongNr(103).wav</t>
  </si>
  <si>
    <t>Bass_ItemNr(2130)_SetNr(896)_WiT_Level(-15)_Complexity(3)_Time(338)_SongNr(56).wav</t>
  </si>
  <si>
    <t>Guitar_ItemNr(2819)_SetNr(926)_WiT_Level(-15)_Complexity(3)_Time(336)_SongNr(56).wav</t>
  </si>
  <si>
    <t>Guitar_ItemNr(172)_SetNr(054)_WiT_Level(-15)_Complexity(3)_Time(336)_SongNr(107).wav</t>
  </si>
  <si>
    <t>Bass_ItemNr(1013)_SetNr(449)_WiT_Level(-15)_Complexity(3)_Time(334)_SongNr(98).wav</t>
  </si>
  <si>
    <t>Guitar_ItemNr(1500)_SetNr(456)_WiT_Level(-15)_Complexity(3)_Time(334)_SongNr(56).wav</t>
  </si>
  <si>
    <t>Bass_ItemNr(2044)_SetNr(872)_WiT_Level(-15)_Complexity(3)_Time(332)_SongNr(99).wav</t>
  </si>
  <si>
    <t>Piano_ItemNr(3277)_SetNr(401)_WiT_Level(-15)_Complexity(3)_Time(332)_SongNr(97).wav</t>
  </si>
  <si>
    <t>Bass_ItemNr(1954)_SetNr(844)_WiT_Level(-15)_Complexity(3)_Time(330)_SongNr(99).wav</t>
  </si>
  <si>
    <t>Piano_ItemNr(3453)_SetNr(434)_WiT_Level(-15)_Complexity(3)_Time(330)_SongNr(97).wav</t>
  </si>
  <si>
    <t>Piano_ItemNr(240)_SetNr(022)_WiT_Level(-15)_Complexity(3)_Time(328)_SongNr(97).wav</t>
  </si>
  <si>
    <t>Piano_ItemNr(3659)_SetNr(465)_WiT_Level(-15)_Complexity(3)_Time(326)_SongNr(97).wav</t>
  </si>
  <si>
    <t>Bass_ItemNr(2011)_SetNr(862)_WiT_Level(-15)_Complexity(3)_Time(324)_SongNr(106).wav</t>
  </si>
  <si>
    <t>Bass_ItemNr(865)_SetNr(386)_WiT_Level(-15)_Complexity(3)_Time(322)_SongNr(98).wav</t>
  </si>
  <si>
    <t>Bass_ItemNr(1362)_SetNr(595)_WiT_Level(-15)_Complexity(3)_Time(320)_SongNr(18).wav</t>
  </si>
  <si>
    <t>Guitar_ItemNr(2710)_SetNr(899)_WiT_Level(-15)_Complexity(3)_Time(32)_SongNr(88).wav</t>
  </si>
  <si>
    <t>Guitar_ItemNr(216)_SetNr(067)_WiT_Level(-15)_Complexity(3)_Time(32)_SongNr(80).wav</t>
  </si>
  <si>
    <t>Bass_ItemNr(2271)_SetNr(931)_WiT_Level(-15)_Complexity(3)_Time(32)_SongNr(68).wav</t>
  </si>
  <si>
    <t>Guitar_ItemNr(1490)_SetNr(453)_WiT_Level(-15)_Complexity(3)_Time(32)_SongNr(64).wav</t>
  </si>
  <si>
    <t>Guitar_ItemNr(932)_SetNr(285)_WiT_Level(-15)_Complexity(3)_Time(32)_SongNr(60).wav</t>
  </si>
  <si>
    <t>Lead_ItemNr(2421)_SetNr(456)_WiT_Level(-15)_Complexity(3)_Time(32)_SongNr(32).wav</t>
  </si>
  <si>
    <t>Bass_ItemNr(1976)_SetNr(855)_WiT_Level(-15)_Complexity(3)_Time(32)_SongNr(3).wav</t>
  </si>
  <si>
    <t>Lead_ItemNr(3301)_SetNr(829)_WiT_Level(-15)_Complexity(3)_Time(32)_SongNr(27).wav</t>
  </si>
  <si>
    <t>Bass_ItemNr(632)_SetNr(272)_WiT_Level(-15)_Complexity(3)_Time(32)_SongNr(26).wav</t>
  </si>
  <si>
    <t>Piano_ItemNr(2709)_SetNr(276)_WiT_Level(-15)_Complexity(3)_Time(32)_SongNr(23).wav</t>
  </si>
  <si>
    <t>Guitar_ItemNr(275)_SetNr(082)_WiT_Level(-15)_Complexity(3)_Time(32)_SongNr(10).wav</t>
  </si>
  <si>
    <t>Bass_ItemNr(501)_SetNr(206)_WiT_Level(-15)_Complexity(3)_Time(310)_SongNr(18).wav</t>
  </si>
  <si>
    <t>Bass_ItemNr(515)_SetNr(216)_WiT_Level(-15)_Complexity(3)_Time(310)_SongNr(109).wav</t>
  </si>
  <si>
    <t>Bass_ItemNr(2187)_SetNr(909)_WiT_Level(-15)_Complexity(3)_Time(302)_SongNr(98).wav</t>
  </si>
  <si>
    <t>Bass_ItemNr(1347)_SetNr(589)_WiT_Level(-15)_Complexity(3)_Time(302)_SongNr(109).wav</t>
  </si>
  <si>
    <t>Bass_ItemNr(883)_SetNr(392)_WiT_Level(-15)_Complexity(3)_Time(300)_SongNr(106).wav</t>
  </si>
  <si>
    <t>Bass_ItemNr(1851)_SetNr(806)_WiT_Level(-15)_Complexity(3)_Time(300)_SongNr(100).wav</t>
  </si>
  <si>
    <t>Bass_ItemNr(2016)_SetNr(863)_WiT_Level(-15)_Complexity(3)_Time(30)_SongNr(94).wav</t>
  </si>
  <si>
    <t>Lead_ItemNr(3350)_SetNr(851)_WiT_Level(-15)_Complexity(3)_Time(30)_SongNr(93).wav</t>
  </si>
  <si>
    <t>Guitar_ItemNr(2346)_SetNr(744)_WiT_Level(-15)_Complexity(3)_Time(30)_SongNr(88).wav</t>
  </si>
  <si>
    <t>Bass_ItemNr(237)_SetNr(102)_WiT_Level(-15)_Complexity(3)_Time(30)_SongNr(80).wav</t>
  </si>
  <si>
    <t>Bass_ItemNr(1069)_SetNr(474)_WiT_Level(-15)_Complexity(3)_Time(30)_SongNr(79).wav</t>
  </si>
  <si>
    <t>Guitar_ItemNr(2784)_SetNr(916)_WiT_Level(-15)_Complexity(3)_Time(30)_SongNr(58).wav</t>
  </si>
  <si>
    <t>Piano_ItemNr(618)_SetNr(050)_WiT_Level(-15)_Complexity(3)_Time(30)_SongNr(53).wav</t>
  </si>
  <si>
    <t>Bass_ItemNr(897)_SetNr(399)_WiT_Level(-15)_Complexity(3)_Time(30)_SongNr(43).wav</t>
  </si>
  <si>
    <t>Piano_ItemNr(3206)_SetNr(393)_WiT_Level(-15)_Complexity(3)_Time(30)_SongNr(40).wav</t>
  </si>
  <si>
    <t>Lead_ItemNr(999)_SetNr(176)_WiT_Level(-15)_Complexity(3)_Time(30)_SongNr(36).wav</t>
  </si>
  <si>
    <t>Bass_ItemNr(520)_SetNr(219)_WiT_Level(-15)_Complexity(3)_Time(30)_SongNr(3).wav</t>
  </si>
  <si>
    <t>Lead_ItemNr(2379)_SetNr(444)_WiT_Level(-15)_Complexity(3)_Time(30)_SongNr(27).wav</t>
  </si>
  <si>
    <t>Guitar_ItemNr(1034)_SetNr(311)_WiT_Level(-15)_Complexity(3)_Time(30)_SongNr(26).wav</t>
  </si>
  <si>
    <t>Bass_ItemNr(1700)_SetNr(743)_WiT_Level(-15)_Complexity(3)_Time(30)_SongNr(23).wav</t>
  </si>
  <si>
    <t>Piano_ItemNr(1462)_SetNr(135)_WiT_Level(-15)_Complexity(3)_Time(30)_SongNr(20).wav</t>
  </si>
  <si>
    <t>Lead_ItemNr(3540)_SetNr(936)_WiT_Level(-15)_Complexity(3)_Time(30)_SongNr(110).wav</t>
  </si>
  <si>
    <t>Bass_ItemNr(1781)_SetNr(774)_WiT_Level(-15)_Complexity(3)_Time(294)_SongNr(98).wav</t>
  </si>
  <si>
    <t>Guitar_ItemNr(2598)_SetNr(851)_WiT_Level(-15)_Complexity(3)_Time(294)_SongNr(24).wav</t>
  </si>
  <si>
    <t>Bass_ItemNr(983)_SetNr(436)_WiT_Level(-15)_Complexity(3)_Time(294)_SongNr(18).wav</t>
  </si>
  <si>
    <t>Bass_ItemNr(54)_SetNr(029)_WiT_Level(-15)_Complexity(3)_Time(292)_SongNr(56).wav</t>
  </si>
  <si>
    <t>Bass_ItemNr(245)_SetNr(106)_WiT_Level(-15)_Complexity(3)_Time(292)_SongNr(106).wav</t>
  </si>
  <si>
    <t>Bass_ItemNr(2043)_SetNr(871)_WiT_Level(-15)_Complexity(3)_Time(290)_SongNr(98).wav</t>
  </si>
  <si>
    <t>Bass_ItemNr(1281)_SetNr(556)_WiT_Level(-15)_Complexity(3)_Time(290)_SongNr(56).wav</t>
  </si>
  <si>
    <t>Guitar_ItemNr(1292)_SetNr(394)_WiT_Level(-15)_Complexity(3)_Time(288)_SongNr(45).wav</t>
  </si>
  <si>
    <t>Guitar_ItemNr(2596)_SetNr(849)_WiT_Level(-15)_Complexity(3)_Time(286)_SongNr(95).wav</t>
  </si>
  <si>
    <t>Bass_ItemNr(2124)_SetNr(894)_WiT_Level(-15)_Complexity(3)_Time(286)_SongNr(109).wav</t>
  </si>
  <si>
    <t>Bass_ItemNr(343)_SetNr(145)_WiT_Level(-15)_Complexity(3)_Time(284)_SongNr(106).wav</t>
  </si>
  <si>
    <t>Bass_ItemNr(391)_SetNr(164)_WiT_Level(-15)_Complexity(3)_Time(280)_SongNr(18).wav</t>
  </si>
  <si>
    <t>Guitar_ItemNr(140)_SetNr(045)_WiT_Level(-15)_Complexity(3)_Time(280)_SongNr(105).wav</t>
  </si>
  <si>
    <t>Bass_ItemNr(2117)_SetNr(891)_WiT_Level(-15)_Complexity(3)_Time(28)_SongNr(94).wav</t>
  </si>
  <si>
    <t>Guitar_ItemNr(2317)_SetNr(730)_WiT_Level(-15)_Complexity(3)_Time(28)_SongNr(93).wav</t>
  </si>
  <si>
    <t>Guitar_ItemNr(1711)_SetNr(517)_WiT_Level(-15)_Complexity(3)_Time(28)_SongNr(91).wav</t>
  </si>
  <si>
    <t>Bass_ItemNr(667)_SetNr(288)_WiT_Level(-15)_Complexity(3)_Time(28)_SongNr(80).wav</t>
  </si>
  <si>
    <t>Bass_ItemNr(822)_SetNr(371)_WiT_Level(-15)_Complexity(3)_Time(28)_SongNr(79).wav</t>
  </si>
  <si>
    <t>Bass_ItemNr(1071)_SetNr(475)_WiT_Level(-15)_Complexity(3)_Time(28)_SongNr(75).wav</t>
  </si>
  <si>
    <t>Guitar_ItemNr(1605)_SetNr(488)_WiT_Level(-15)_Complexity(3)_Time(28)_SongNr(7).wav</t>
  </si>
  <si>
    <t>Bass_ItemNr(710)_SetNr(311)_WiT_Level(-15)_Complexity(3)_Time(28)_SongNr(67).wav</t>
  </si>
  <si>
    <t>Bass_ItemNr(1393)_SetNr(608)_WiT_Level(-15)_Complexity(3)_Time(28)_SongNr(43).wav</t>
  </si>
  <si>
    <t>Lead_ItemNr(3179)_SetNr(762)_WiT_Level(-15)_Complexity(3)_Time(28)_SongNr(40).wav</t>
  </si>
  <si>
    <t>Lead_ItemNr(3165)_SetNr(753)_WiT_Level(-15)_Complexity(3)_Time(28)_SongNr(36).wav</t>
  </si>
  <si>
    <t>Lead_ItemNr(984)_SetNr(173)_WiT_Level(-15)_Complexity(3)_Time(28)_SongNr(35).wav</t>
  </si>
  <si>
    <t>Lead_ItemNr(3444)_SetNr(895)_WiT_Level(-15)_Complexity(3)_Time(28)_SongNr(34).wav</t>
  </si>
  <si>
    <t>Bass_ItemNr(2190)_SetNr(910)_WiT_Level(-15)_Complexity(3)_Time(28)_SongNr(3).wav</t>
  </si>
  <si>
    <t>Guitar_ItemNr(414)_SetNr(131)_WiT_Level(-15)_Complexity(3)_Time(28)_SongNr(26).wav</t>
  </si>
  <si>
    <t>Piano_ItemNr(2200)_SetNr(210)_WiT_Level(-15)_Complexity(3)_Time(28)_SongNr(23).wav</t>
  </si>
  <si>
    <t>Lead_ItemNr(2056)_SetNr(362)_WiT_Level(-15)_Complexity(3)_Time(28)_SongNr(20).wav</t>
  </si>
  <si>
    <t>Lead_ItemNr(2687)_SetNr(554)_WiT_Level(-15)_Complexity(3)_Time(28)_SongNr(103).wav</t>
  </si>
  <si>
    <t>Bass_ItemNr(775)_SetNr(347)_WiT_Level(-15)_Complexity(3)_Time(28)_SongNr(100).wav</t>
  </si>
  <si>
    <t>Bass_ItemNr(579)_SetNr(246)_WiT_Level(-15)_Complexity(3)_Time(278)_SongNr(18).wav</t>
  </si>
  <si>
    <t>Bass_ItemNr(2139)_SetNr(899)_WiT_Level(-15)_Complexity(3)_Time(278)_SongNr(106).wav</t>
  </si>
  <si>
    <t>Guitar_ItemNr(1942)_SetNr(590)_WiT_Level(-15)_Complexity(3)_Time(278)_SongNr(105).wav</t>
  </si>
  <si>
    <t>Bass_ItemNr(2181)_SetNr(907)_WiT_Level(-15)_Complexity(3)_Time(278)_SongNr(100).wav</t>
  </si>
  <si>
    <t>Bass_ItemNr(1503)_SetNr(659)_WiT_Level(-15)_Complexity(3)_Time(276)_SongNr(109).wav</t>
  </si>
  <si>
    <t>Bass_ItemNr(117)_SetNr(054)_WiT_Level(-15)_Complexity(3)_Time(276)_SongNr(106).wav</t>
  </si>
  <si>
    <t>Bass_ItemNr(1861)_SetNr(812)_WiT_Level(-15)_Complexity(3)_Time(274)_SongNr(56).wav</t>
  </si>
  <si>
    <t>Lead_ItemNr(3336)_SetNr(843)_WiT_Level(-15)_Complexity(3)_Time(274)_SongNr(34).wav</t>
  </si>
  <si>
    <t>Bass_ItemNr(1651)_SetNr(721)_WiT_Level(-15)_Complexity(3)_Time(274)_SongNr(100).wav</t>
  </si>
  <si>
    <t>Lead_ItemNr(3017)_SetNr(689)_WiT_Level(-15)_Complexity(3)_Time(272)_SongNr(34).wav</t>
  </si>
  <si>
    <t>Guitar_ItemNr(2452)_SetNr(792)_WiT_Level(-15)_Complexity(3)_Time(272)_SongNr(105).wav</t>
  </si>
  <si>
    <t>Bass_ItemNr(2133)_SetNr(897)_WiT_Level(-15)_Complexity(3)_Time(272)_SongNr(100).wav</t>
  </si>
  <si>
    <t>Lead_ItemNr(3412)_SetNr(881)_WiT_Level(-15)_Complexity(3)_Time(270)_SongNr(58).wav</t>
  </si>
  <si>
    <t>Bass_ItemNr(2210)_SetNr(916)_WiT_Level(-15)_Complexity(3)_Time(270)_SongNr(56).wav</t>
  </si>
  <si>
    <t>Bass_ItemNr(1143)_SetNr(508)_WiT_Level(-15)_Complexity(3)_Time(270)_SongNr(106).wav</t>
  </si>
  <si>
    <t>Bass_ItemNr(65)_SetNr(033)_WiT_Level(-15)_Complexity(3)_Time(268)_SongNr(99).wav</t>
  </si>
  <si>
    <t>Lead_ItemNr(3405)_SetNr(878)_WiT_Level(-15)_Complexity(3)_Time(268)_SongNr(58).wav</t>
  </si>
  <si>
    <t>Lead_ItemNr(2375)_SetNr(442)_WiT_Level(-15)_Complexity(3)_Time(268)_SongNr(51).wav</t>
  </si>
  <si>
    <t>Lead_ItemNr(1317)_SetNr(226)_WiT_Level(-15)_Complexity(3)_Time(268)_SongNr(34).wav</t>
  </si>
  <si>
    <t>Bass_ItemNr(744)_SetNr(329)_WiT_Level(-15)_Complexity(3)_Time(266)_SongNr(99).wav</t>
  </si>
  <si>
    <t>Lead_ItemNr(3741)_SetNr(1013)_WiT_Level(-15)_Complexity(3)_Time(266)_SongNr(58).wav</t>
  </si>
  <si>
    <t>Guitar_ItemNr(2458)_SetNr(796)_WiT_Level(-15)_Complexity(3)_Time(266)_SongNr(56).wav</t>
  </si>
  <si>
    <t>Guitar_ItemNr(1761)_SetNr(529)_WiT_Level(-15)_Complexity(3)_Time(266)_SongNr(51).wav</t>
  </si>
  <si>
    <t>Lead_ItemNr(3660)_SetNr(982)_WiT_Level(-15)_Complexity(3)_Time(266)_SongNr(34).wav</t>
  </si>
  <si>
    <t>Guitar_ItemNr(2514)_SetNr(817)_WiT_Level(-15)_Complexity(3)_Time(264)_SongNr(55).wav</t>
  </si>
  <si>
    <t>Bass_ItemNr(1837)_SetNr(798)_WiT_Level(-15)_Complexity(3)_Time(264)_SongNr(16).wav</t>
  </si>
  <si>
    <t>Lead_ItemNr(3498)_SetNr(920)_WiT_Level(-15)_Complexity(3)_Time(262)_SongNr(51).wav</t>
  </si>
  <si>
    <t>Bass_ItemNr(424)_SetNr(179)_WiT_Level(-15)_Complexity(3)_Time(260)_SongNr(98).wav</t>
  </si>
  <si>
    <t>Bass_ItemNr(638)_SetNr(277)_WiT_Level(-15)_Complexity(3)_Time(260)_SongNr(56).wav</t>
  </si>
  <si>
    <t>Lead_ItemNr(2839)_SetNr(615)_WiT_Level(-15)_Complexity(3)_Time(260)_SongNr(51).wav</t>
  </si>
  <si>
    <t>Lead_ItemNr(576)_SetNr(101)_WiT_Level(-15)_Complexity(3)_Time(260)_SongNr(34).wav</t>
  </si>
  <si>
    <t>Guitar_ItemNr(2005)_SetNr(609)_WiT_Level(-15)_Complexity(3)_Time(260)_SongNr(16).wav</t>
  </si>
  <si>
    <t>Bass_ItemNr(1436)_SetNr(628)_WiT_Level(-15)_Complexity(3)_Time(26)_SongNr(99).wav</t>
  </si>
  <si>
    <t>Bass_ItemNr(1961)_SetNr(847)_WiT_Level(-15)_Complexity(3)_Time(26)_SongNr(98).wav</t>
  </si>
  <si>
    <t>Bass_ItemNr(1606)_SetNr(694)_WiT_Level(-15)_Complexity(3)_Time(26)_SongNr(95).wav</t>
  </si>
  <si>
    <t>Guitar_ItemNr(1772)_SetNr(532)_WiT_Level(-15)_Complexity(3)_Time(26)_SongNr(91).wav</t>
  </si>
  <si>
    <t>Guitar_ItemNr(2128)_SetNr(650)_WiT_Level(-15)_Complexity(3)_Time(26)_SongNr(88).wav</t>
  </si>
  <si>
    <t>Lead_ItemNr(574)_SetNr(100)_WiT_Level(-15)_Complexity(3)_Time(26)_SongNr(84).wav</t>
  </si>
  <si>
    <t>Bass_ItemNr(938)_SetNr(409)_WiT_Level(-15)_Complexity(3)_Time(26)_SongNr(80).wav</t>
  </si>
  <si>
    <t>Guitar_ItemNr(126)_SetNr(039)_WiT_Level(-15)_Complexity(3)_Time(26)_SongNr(79).wav</t>
  </si>
  <si>
    <t>Guitar_ItemNr(1218)_SetNr(367)_WiT_Level(-15)_Complexity(3)_Time(26)_SongNr(58).wav</t>
  </si>
  <si>
    <t>Piano_ItemNr(849)_SetNr(064)_WiT_Level(-15)_Complexity(3)_Time(26)_SongNr(40).wav</t>
  </si>
  <si>
    <t>Lead_ItemNr(2217)_SetNr(402)_WiT_Level(-15)_Complexity(3)_Time(26)_SongNr(36).wav</t>
  </si>
  <si>
    <t>Lead_ItemNr(2425)_SetNr(458)_WiT_Level(-15)_Complexity(3)_Time(26)_SongNr(35).wav</t>
  </si>
  <si>
    <t>Lead_ItemNr(2805)_SetNr(606)_WiT_Level(-15)_Complexity(3)_Time(26)_SongNr(32).wav</t>
  </si>
  <si>
    <t>Bass_ItemNr(1062)_SetNr(470)_WiT_Level(-15)_Complexity(3)_Time(26)_SongNr(3).wav</t>
  </si>
  <si>
    <t>Guitar_ItemNr(2355)_SetNr(748)_WiT_Level(-15)_Complexity(3)_Time(26)_SongNr(26).wav</t>
  </si>
  <si>
    <t>Bass_ItemNr(1883)_SetNr(819)_WiT_Level(-15)_Complexity(3)_Time(26)_SongNr(17).wav</t>
  </si>
  <si>
    <t>Lead_ItemNr(319)_SetNr(060)_WiT_Level(-15)_Complexity(3)_Time(26)_SongNr(103).wav</t>
  </si>
  <si>
    <t>Bass_ItemNr(1320)_SetNr(573)_WiT_Level(-15)_Complexity(3)_Time(258)_SongNr(98).wav</t>
  </si>
  <si>
    <t>Bass_ItemNr(255)_SetNr(109)_WiT_Level(-15)_Complexity(3)_Time(258)_SongNr(56).wav</t>
  </si>
  <si>
    <t>Lead_ItemNr(3208)_SetNr(773)_WiT_Level(-15)_Complexity(3)_Time(258)_SongNr(51).wav</t>
  </si>
  <si>
    <t>Lead_ItemNr(3838)_SetNr(1044)_WiT_Level(-15)_Complexity(3)_Time(258)_SongNr(48).wav</t>
  </si>
  <si>
    <t>Guitar_ItemNr(970)_SetNr(293)_WiT_Level(-15)_Complexity(3)_Time(256)_SongNr(51).wav</t>
  </si>
  <si>
    <t>Lead_ItemNr(2441)_SetNr(465)_WiT_Level(-15)_Complexity(3)_Time(256)_SongNr(34).wav</t>
  </si>
  <si>
    <t>Guitar_ItemNr(101)_SetNr(029)_WiT_Level(-15)_Complexity(3)_Time(256)_SongNr(24).wav</t>
  </si>
  <si>
    <t>Bass_ItemNr(649)_SetNr(281)_WiT_Level(-15)_Complexity(3)_Time(256)_SongNr(16).wav</t>
  </si>
  <si>
    <t>Guitar_ItemNr(2678)_SetNr(891)_WiT_Level(-15)_Complexity(3)_Time(256)_SongNr(108).wav</t>
  </si>
  <si>
    <t>Guitar_ItemNr(2533)_SetNr(823)_WiT_Level(-15)_Complexity(3)_Time(254)_SongNr(51).wav</t>
  </si>
  <si>
    <t>Guitar_ItemNr(2141)_SetNr(653)_WiT_Level(-15)_Complexity(3)_Time(254)_SongNr(38).wav</t>
  </si>
  <si>
    <t>Lead_ItemNr(3607)_SetNr(963)_WiT_Level(-15)_Complexity(3)_Time(254)_SongNr(34).wav</t>
  </si>
  <si>
    <t>Guitar_ItemNr(2742)_SetNr(907)_WiT_Level(-15)_Complexity(3)_Time(254)_SongNr(16).wav</t>
  </si>
  <si>
    <t>Lead_ItemNr(3289)_SetNr(825)_WiT_Level(-15)_Complexity(3)_Time(252)_SongNr(51).wav</t>
  </si>
  <si>
    <t>Bass_ItemNr(272)_SetNr(116)_WiT_Level(-15)_Complexity(3)_Time(250)_SongNr(99).wav</t>
  </si>
  <si>
    <t>Guitar_ItemNr(2020)_SetNr(613)_WiT_Level(-15)_Complexity(3)_Time(250)_SongNr(55).wav</t>
  </si>
  <si>
    <t>Lead_ItemNr(3667)_SetNr(984)_WiT_Level(-15)_Complexity(3)_Time(250)_SongNr(40).wav</t>
  </si>
  <si>
    <t>Bass_ItemNr(53)_SetNr(028)_WiT_Level(-15)_Complexity(3)_Time(250)_SongNr(30).wav</t>
  </si>
  <si>
    <t>Lead_ItemNr(1170)_SetNr(200)_WiT_Level(-15)_Complexity(3)_Time(250)_SongNr(101).wav</t>
  </si>
  <si>
    <t>Lead_ItemNr(1275)_SetNr(219)_WiT_Level(-15)_Complexity(3)_Time(248)_SongNr(51).wav</t>
  </si>
  <si>
    <t>Guitar_ItemNr(862)_SetNr(261)_WiT_Level(-15)_Complexity(3)_Time(248)_SongNr(24).wav</t>
  </si>
  <si>
    <t>Guitar_ItemNr(2681)_SetNr(892)_WiT_Level(-15)_Complexity(3)_Time(248)_SongNr(101).wav</t>
  </si>
  <si>
    <t>Bass_ItemNr(1018)_SetNr(451)_WiT_Level(-15)_Complexity(3)_Time(246)_SongNr(99).wav</t>
  </si>
  <si>
    <t>Bass_ItemNr(121)_SetNr(056)_WiT_Level(-15)_Complexity(3)_Time(246)_SongNr(98).wav</t>
  </si>
  <si>
    <t>Guitar_ItemNr(1006)_SetNr(303)_WiT_Level(-15)_Complexity(3)_Time(246)_SongNr(94).wav</t>
  </si>
  <si>
    <t>Bass_ItemNr(2164)_SetNr(903)_WiT_Level(-15)_Complexity(3)_Time(246)_SongNr(55).wav</t>
  </si>
  <si>
    <t>Guitar_ItemNr(2026)_SetNr(616)_WiT_Level(-15)_Complexity(3)_Time(246)_SongNr(51).wav</t>
  </si>
  <si>
    <t>Bass_ItemNr(1310)_SetNr(568)_WiT_Level(-15)_Complexity(3)_Time(246)_SongNr(30).wav</t>
  </si>
  <si>
    <t>Guitar_ItemNr(2585)_SetNr(842)_WiT_Level(-15)_Complexity(3)_Time(246)_SongNr(16).wav</t>
  </si>
  <si>
    <t>Bass_ItemNr(741)_SetNr(326)_WiT_Level(-15)_Complexity(3)_Time(246)_SongNr(114).wav</t>
  </si>
  <si>
    <t>Bass_ItemNr(1098)_SetNr(487)_WiT_Level(-15)_Complexity(3)_Time(244)_SongNr(98).wav</t>
  </si>
  <si>
    <t>Lead_ItemNr(3268)_SetNr(811)_WiT_Level(-15)_Complexity(3)_Time(244)_SongNr(51).wav</t>
  </si>
  <si>
    <t>Lead_ItemNr(3767)_SetNr(1017)_WiT_Level(-15)_Complexity(3)_Time(244)_SongNr(40).wav</t>
  </si>
  <si>
    <t>Guitar_ItemNr(1649)_SetNr(496)_WiT_Level(-15)_Complexity(3)_Time(244)_SongNr(24).wav</t>
  </si>
  <si>
    <t>Lead_ItemNr(2440)_SetNr(464)_WiT_Level(-15)_Complexity(3)_Time(242)_SongNr(51).wav</t>
  </si>
  <si>
    <t>Lead_ItemNr(2364)_SetNr(436)_WiT_Level(-15)_Complexity(3)_Time(242)_SongNr(40).wav</t>
  </si>
  <si>
    <t>Piano_ItemNr(3487)_SetNr(440)_WiT_Level(-15)_Complexity(3)_Time(242)_SongNr(13).wav</t>
  </si>
  <si>
    <t>Guitar_ItemNr(432)_SetNr(136)_WiT_Level(-15)_Complexity(3)_Time(240)_SongNr(51).wav</t>
  </si>
  <si>
    <t>Lead_ItemNr(2696)_SetNr(559)_WiT_Level(-15)_Complexity(3)_Time(240)_SongNr(40).wav</t>
  </si>
  <si>
    <t>Guitar_ItemNr(2659)_SetNr(882)_WiT_Level(-15)_Complexity(3)_Time(240)_SongNr(38).wav</t>
  </si>
  <si>
    <t>Bass_ItemNr(596)_SetNr(254)_WiT_Level(-15)_Complexity(3)_Time(240)_SongNr(30).wav</t>
  </si>
  <si>
    <t>Lead_ItemNr(3870)_SetNr(1057)_WiT_Level(-15)_Complexity(3)_Time(240)_SongNr(25).wav</t>
  </si>
  <si>
    <t>Guitar_ItemNr(2342)_SetNr(742)_WiT_Level(-15)_Complexity(3)_Time(240)_SongNr(16).wav</t>
  </si>
  <si>
    <t>Bass_ItemNr(1643)_SetNr(718)_WiT_Level(-15)_Complexity(3)_Time(240)_SongNr(106).wav</t>
  </si>
  <si>
    <t>Bass_ItemNr(1898)_SetNr(823)_WiT_Level(-15)_Complexity(3)_Time(24)_SongNr(99).wav</t>
  </si>
  <si>
    <t>Guitar_ItemNr(1328)_SetNr(404)_WiT_Level(-15)_Complexity(3)_Time(24)_SongNr(93).wav</t>
  </si>
  <si>
    <t>Guitar_ItemNr(2369)_SetNr(756)_WiT_Level(-15)_Complexity(3)_Time(24)_SongNr(91).wav</t>
  </si>
  <si>
    <t>Guitar_ItemNr(2238)_SetNr(693)_WiT_Level(-15)_Complexity(3)_Time(24)_SongNr(89).wav</t>
  </si>
  <si>
    <t>Guitar_ItemNr(1980)_SetNr(598)_WiT_Level(-15)_Complexity(3)_Time(24)_SongNr(88).wav</t>
  </si>
  <si>
    <t>Guitar_ItemNr(451)_SetNr(141)_WiT_Level(-15)_Complexity(3)_Time(24)_SongNr(80).wav</t>
  </si>
  <si>
    <t>Guitar_ItemNr(1173)_SetNr(354)_WiT_Level(-15)_Complexity(3)_Time(24)_SongNr(79).wav</t>
  </si>
  <si>
    <t>Guitar_ItemNr(212)_SetNr(066)_WiT_Level(-15)_Complexity(3)_Time(24)_SongNr(7).wav</t>
  </si>
  <si>
    <t>Bass_ItemNr(1409)_SetNr(618)_WiT_Level(-15)_Complexity(3)_Time(24)_SongNr(68).wav</t>
  </si>
  <si>
    <t>Guitar_ItemNr(2326)_SetNr(734)_WiT_Level(-15)_Complexity(3)_Time(24)_SongNr(3).wav</t>
  </si>
  <si>
    <t>Guitar_ItemNr(2492)_SetNr(807)_WiT_Level(-15)_Complexity(3)_Time(24)_SongNr(26).wav</t>
  </si>
  <si>
    <t>Piano_ItemNr(1401)_SetNr(129)_WiT_Level(-15)_Complexity(3)_Time(24)_SongNr(20).wav</t>
  </si>
  <si>
    <t>Guitar_ItemNr(502)_SetNr(165)_WiT_Level(-15)_Complexity(3)_Time(24)_SongNr(2).wav</t>
  </si>
  <si>
    <t>Lead_ItemNr(3437)_SetNr(890)_WiT_Level(-15)_Complexity(3)_Time(24)_SongNr(13).wav</t>
  </si>
  <si>
    <t>Piano_ItemNr(380)_SetNr(033)_WiT_Level(-15)_Complexity(3)_Time(24)_SongNr(12).wav</t>
  </si>
  <si>
    <t>Lead_ItemNr(3148)_SetNr(743)_WiT_Level(-15)_Complexity(3)_Time(24)_SongNr(103).wav</t>
  </si>
  <si>
    <t>Lead_ItemNr(3771)_SetNr(1018)_WiT_Level(-15)_Complexity(3)_Time(238)_SongNr(40).wav</t>
  </si>
  <si>
    <t>Bass_ItemNr(268)_SetNr(115)_WiT_Level(-15)_Complexity(3)_Time(238)_SongNr(30).wav</t>
  </si>
  <si>
    <t>Guitar_ItemNr(2825)_SetNr(928)_WiT_Level(-15)_Complexity(3)_Time(238)_SongNr(16).wav</t>
  </si>
  <si>
    <t>Bass_ItemNr(1528)_SetNr(668)_WiT_Level(-15)_Complexity(3)_Time(236)_SongNr(98).wav</t>
  </si>
  <si>
    <t>Lead_ItemNr(2910)_SetNr(641)_WiT_Level(-15)_Complexity(3)_Time(236)_SongNr(40).wav</t>
  </si>
  <si>
    <t>Guitar_ItemNr(1827)_SetNr(552)_WiT_Level(-15)_Complexity(3)_Time(236)_SongNr(24).wav</t>
  </si>
  <si>
    <t>Bass_ItemNr(876)_SetNr(387)_WiT_Level(-15)_Complexity(3)_Time(234)_SongNr(99).wav</t>
  </si>
  <si>
    <t>Bass_ItemNr(202)_SetNr(082)_WiT_Level(-15)_Complexity(3)_Time(234)_SongNr(94).wav</t>
  </si>
  <si>
    <t>Lead_ItemNr(2530)_SetNr(497)_WiT_Level(-15)_Complexity(3)_Time(234)_SongNr(40).wav</t>
  </si>
  <si>
    <t>Guitar_ItemNr(2397)_SetNr(765)_WiT_Level(-15)_Complexity(3)_Time(234)_SongNr(16).wav</t>
  </si>
  <si>
    <t>Lead_ItemNr(3008)_SetNr(687)_WiT_Level(-15)_Complexity(3)_Time(232)_SongNr(51).wav</t>
  </si>
  <si>
    <t>Lead_ItemNr(3654)_SetNr(980)_WiT_Level(-15)_Complexity(3)_Time(232)_SongNr(40).wav</t>
  </si>
  <si>
    <t>Guitar_ItemNr(1023)_SetNr(307)_WiT_Level(-15)_Complexity(3)_Time(232)_SongNr(24).wav</t>
  </si>
  <si>
    <t>Lead_ItemNr(3782)_SetNr(1024)_WiT_Level(-15)_Complexity(3)_Time(230)_SongNr(40).wav</t>
  </si>
  <si>
    <t>Guitar_ItemNr(1219)_SetNr(368)_WiT_Level(-15)_Complexity(3)_Time(230)_SongNr(24).wav</t>
  </si>
  <si>
    <t>Guitar_ItemNr(2613)_SetNr(860)_WiT_Level(-15)_Complexity(3)_Time(230)_SongNr(16).wav</t>
  </si>
  <si>
    <t>Bass_ItemNr(1539)_SetNr(671)_WiT_Level(-15)_Complexity(3)_Time(230)_SongNr(114).wav</t>
  </si>
  <si>
    <t>Bass_ItemNr(1983)_SetNr(857)_WiT_Level(-15)_Complexity(3)_Time(228)_SongNr(58).wav</t>
  </si>
  <si>
    <t>Guitar_ItemNr(1119)_SetNr(333)_WiT_Level(-15)_Complexity(3)_Time(228)_SongNr(51).wav</t>
  </si>
  <si>
    <t>Lead_ItemNr(930)_SetNr(164)_WiT_Level(-15)_Complexity(3)_Time(228)_SongNr(40).wav</t>
  </si>
  <si>
    <t>Guitar_ItemNr(2821)_SetNr(927)_WiT_Level(-15)_Complexity(3)_Time(228)_SongNr(114).wav</t>
  </si>
  <si>
    <t>Lead_ItemNr(3005)_SetNr(686)_WiT_Level(-15)_Complexity(3)_Time(226)_SongNr(56).wav</t>
  </si>
  <si>
    <t>Lead_ItemNr(1232)_SetNr(210)_WiT_Level(-15)_Complexity(3)_Time(226)_SongNr(51).wav</t>
  </si>
  <si>
    <t>Lead_ItemNr(223)_SetNr(044)_WiT_Level(-15)_Complexity(3)_Time(226)_SongNr(40).wav</t>
  </si>
  <si>
    <t>Guitar_ItemNr(2336)_SetNr(738)_WiT_Level(-15)_Complexity(3)_Time(226)_SongNr(24).wav</t>
  </si>
  <si>
    <t>Guitar_ItemNr(1801)_SetNr(543)_WiT_Level(-15)_Complexity(3)_Time(226)_SongNr(16).wav</t>
  </si>
  <si>
    <t>Lead_ItemNr(3867)_SetNr(1056)_WiT_Level(-15)_Complexity(3)_Time(224)_SongNr(56).wav</t>
  </si>
  <si>
    <t>Lead_ItemNr(3196)_SetNr(769)_WiT_Level(-15)_Complexity(3)_Time(224)_SongNr(51).wav</t>
  </si>
  <si>
    <t>Lead_ItemNr(670)_SetNr(119)_WiT_Level(-15)_Complexity(3)_Time(224)_SongNr(40).wav</t>
  </si>
  <si>
    <t>Guitar_ItemNr(2787)_SetNr(918)_WiT_Level(-15)_Complexity(3)_Time(224)_SongNr(24).wav</t>
  </si>
  <si>
    <t>Guitar_ItemNr(563)_SetNr(181)_WiT_Level(-15)_Complexity(3)_Time(224)_SongNr(16).wav</t>
  </si>
  <si>
    <t>Bass_ItemNr(2253)_SetNr(927)_WiT_Level(-15)_Complexity(3)_Time(224)_SongNr(15).wav</t>
  </si>
  <si>
    <t>Lead_ItemNr(3596)_SetNr(959)_WiT_Level(-15)_Complexity(3)_Time(222)_SongNr(56).wav</t>
  </si>
  <si>
    <t>Guitar_ItemNr(713)_SetNr(218)_WiT_Level(-15)_Complexity(3)_Time(222)_SongNr(51).wav</t>
  </si>
  <si>
    <t>Lead_ItemNr(3287)_SetNr(824)_WiT_Level(-15)_Complexity(3)_Time(222)_SongNr(40).wav</t>
  </si>
  <si>
    <t>Guitar_ItemNr(265)_SetNr(078)_WiT_Level(-15)_Complexity(3)_Time(222)_SongNr(38).wav</t>
  </si>
  <si>
    <t>Guitar_ItemNr(1355)_SetNr(412)_WiT_Level(-15)_Complexity(3)_Time(222)_SongNr(24).wav</t>
  </si>
  <si>
    <t>Lead_ItemNr(590)_SetNr(102)_WiT_Level(-15)_Complexity(3)_Time(220)_SongNr(51).wav</t>
  </si>
  <si>
    <t>Lead_ItemNr(3618)_SetNr(965)_WiT_Level(-15)_Complexity(3)_Time(220)_SongNr(40).wav</t>
  </si>
  <si>
    <t>Guitar_ItemNr(2055)_SetNr(623)_WiT_Level(-15)_Complexity(3)_Time(220)_SongNr(24).wav</t>
  </si>
  <si>
    <t>Bass_ItemNr(1597)_SetNr(691)_WiT_Level(-15)_Complexity(3)_Time(220)_SongNr(18).wav</t>
  </si>
  <si>
    <t>Guitar_ItemNr(2007)_SetNr(610)_WiT_Level(-15)_Complexity(3)_Time(220)_SongNr(114).wav</t>
  </si>
  <si>
    <t>Guitar_ItemNr(2638)_SetNr(872)_WiT_Level(-15)_Complexity(3)_Time(220)_SongNr(107).wav</t>
  </si>
  <si>
    <t>Guitar_ItemNr(1836)_SetNr(555)_WiT_Level(-15)_Complexity(3)_Time(22)_SongNr(95).wav</t>
  </si>
  <si>
    <t>Bass_ItemNr(1095)_SetNr(486)_WiT_Level(-15)_Complexity(3)_Time(22)_SongNr(80).wav</t>
  </si>
  <si>
    <t>Guitar_ItemNr(1476)_SetNr(447)_WiT_Level(-15)_Complexity(3)_Time(22)_SongNr(79).wav</t>
  </si>
  <si>
    <t>Bass_ItemNr(566)_SetNr(242)_WiT_Level(-15)_Complexity(3)_Time(22)_SongNr(67).wav</t>
  </si>
  <si>
    <t>Bass_ItemNr(684)_SetNr(298)_WiT_Level(-15)_Complexity(3)_Time(22)_SongNr(46).wav</t>
  </si>
  <si>
    <t>Bass_ItemNr(1630)_SetNr(708)_WiT_Level(-15)_Complexity(3)_Time(22)_SongNr(43).wav</t>
  </si>
  <si>
    <t>Bass_ItemNr(1922)_SetNr(831)_WiT_Level(-15)_Complexity(3)_Time(22)_SongNr(4).wav</t>
  </si>
  <si>
    <t>Lead_ItemNr(1160)_SetNr(198)_WiT_Level(-15)_Complexity(3)_Time(22)_SongNr(36).wav</t>
  </si>
  <si>
    <t>Guitar_ItemNr(922)_SetNr(282)_WiT_Level(-15)_Complexity(3)_Time(22)_SongNr(34).wav</t>
  </si>
  <si>
    <t>Piano_ItemNr(3451)_SetNr(433)_WiT_Level(-15)_Complexity(3)_Time(22)_SongNr(23).wav</t>
  </si>
  <si>
    <t>Lead_ItemNr(3036)_SetNr(695)_WiT_Level(-15)_Complexity(3)_Time(22)_SongNr(103).wav</t>
  </si>
  <si>
    <t>Bass_ItemNr(299)_SetNr(126)_WiT_Level(-15)_Complexity(3)_Time(218)_SongNr(98).wav</t>
  </si>
  <si>
    <t>Lead_ItemNr(3582)_SetNr(953)_WiT_Level(-15)_Complexity(3)_Time(218)_SongNr(56).wav</t>
  </si>
  <si>
    <t>Lead_ItemNr(1003)_SetNr(177)_WiT_Level(-15)_Complexity(3)_Time(218)_SongNr(55).wav</t>
  </si>
  <si>
    <t>Guitar_ItemNr(2665)_SetNr(884)_WiT_Level(-15)_Complexity(3)_Time(218)_SongNr(24).wav</t>
  </si>
  <si>
    <t>Guitar_ItemNr(2854)_SetNr(938)_WiT_Level(-15)_Complexity(3)_Time(218)_SongNr(15).wav</t>
  </si>
  <si>
    <t>Lead_ItemNr(3616)_SetNr(964)_WiT_Level(-15)_Complexity(3)_Time(216)_SongNr(56).wav</t>
  </si>
  <si>
    <t>Lead_ItemNr(2748)_SetNr(581)_WiT_Level(-15)_Complexity(3)_Time(216)_SongNr(55).wav</t>
  </si>
  <si>
    <t>Guitar_ItemNr(2580)_SetNr(840)_WiT_Level(-15)_Complexity(3)_Time(216)_SongNr(24).wav</t>
  </si>
  <si>
    <t>Bass_ItemNr(1141)_SetNr(506)_WiT_Level(-15)_Complexity(3)_Time(216)_SongNr(16).wav</t>
  </si>
  <si>
    <t>Bass_ItemNr(610)_SetNr(261)_WiT_Level(-15)_Complexity(3)_Time(216)_SongNr(116).wav</t>
  </si>
  <si>
    <t>Guitar_ItemNr(1866)_SetNr(562)_WiT_Level(-15)_Complexity(3)_Time(214)_SongNr(92).wav</t>
  </si>
  <si>
    <t>Guitar_ItemNr(1867)_SetNr(563)_WiT_Level(-15)_Complexity(3)_Time(214)_SongNr(58).wav</t>
  </si>
  <si>
    <t>Lead_ItemNr(2374)_SetNr(441)_WiT_Level(-15)_Complexity(3)_Time(214)_SongNr(56).wav</t>
  </si>
  <si>
    <t>Lead_ItemNr(1704)_SetNr(292)_WiT_Level(-15)_Complexity(3)_Time(214)_SongNr(40).wav</t>
  </si>
  <si>
    <t>Bass_ItemNr(1896)_SetNr(822)_WiT_Level(-15)_Complexity(3)_Time(212)_SongNr(98).wav</t>
  </si>
  <si>
    <t>Lead_ItemNr(2074)_SetNr(368)_WiT_Level(-15)_Complexity(3)_Time(212)_SongNr(56).wav</t>
  </si>
  <si>
    <t>Lead_ItemNr(1571)_SetNr(266)_WiT_Level(-15)_Complexity(3)_Time(212)_SongNr(48).wav</t>
  </si>
  <si>
    <t>Lead_ItemNr(3337)_SetNr(844)_WiT_Level(-15)_Complexity(3)_Time(212)_SongNr(40).wav</t>
  </si>
  <si>
    <t>Guitar_ItemNr(890)_SetNr(271)_WiT_Level(-15)_Complexity(3)_Time(212)_SongNr(16).wav</t>
  </si>
  <si>
    <t>Guitar_ItemNr(2668)_SetNr(886)_WiT_Level(-15)_Complexity(3)_Time(212)_SongNr(15).wav</t>
  </si>
  <si>
    <t>Guitar_ItemNr(2575)_SetNr(837)_WiT_Level(-15)_Complexity(3)_Time(212)_SongNr(114).wav</t>
  </si>
  <si>
    <t>Lead_ItemNr(3034)_SetNr(694)_WiT_Level(-15)_Complexity(3)_Time(210)_SongNr(40).wav</t>
  </si>
  <si>
    <t>Guitar_ItemNr(2428)_SetNr(781)_WiT_Level(-15)_Complexity(3)_Time(210)_SongNr(116).wav</t>
  </si>
  <si>
    <t>Lead_ItemNr(3516)_SetNr(926)_WiT_Level(-15)_Complexity(3)_Time(208)_SongNr(95).wav</t>
  </si>
  <si>
    <t>Bass_ItemNr(443)_SetNr(186)_WiT_Level(-15)_Complexity(3)_Time(208)_SongNr(92).wav</t>
  </si>
  <si>
    <t>Guitar_ItemNr(409)_SetNr(129)_WiT_Level(-15)_Complexity(3)_Time(208)_SongNr(58).wav</t>
  </si>
  <si>
    <t>Lead_ItemNr(3063)_SetNr(710)_WiT_Level(-15)_Complexity(3)_Time(208)_SongNr(40).wav</t>
  </si>
  <si>
    <t>Guitar_ItemNr(1007)_SetNr(304)_WiT_Level(-15)_Complexity(3)_Time(208)_SongNr(16).wav</t>
  </si>
  <si>
    <t>Guitar_ItemNr(209)_SetNr(065)_WiT_Level(-15)_Complexity(3)_Time(208)_SongNr(113).wav</t>
  </si>
  <si>
    <t>Guitar_ItemNr(2388)_SetNr(761)_WiT_Level(-15)_Complexity(3)_Time(206)_SongNr(97).wav</t>
  </si>
  <si>
    <t>Guitar_ItemNr(34)_SetNr(010)_WiT_Level(-15)_Complexity(3)_Time(206)_SongNr(92).wav</t>
  </si>
  <si>
    <t>Bass_ItemNr(291)_SetNr(124)_WiT_Level(-15)_Complexity(3)_Time(206)_SongNr(58).wav</t>
  </si>
  <si>
    <t>Bass_ItemNr(2305)_SetNr(944)_WiT_Level(-15)_Complexity(3)_Time(206)_SongNr(34).wav</t>
  </si>
  <si>
    <t>Bass_ItemNr(1756)_SetNr(766)_WiT_Level(-15)_Complexity(3)_Time(206)_SongNr(112).wav</t>
  </si>
  <si>
    <t>Lead_ItemNr(2004)_SetNr(344)_WiT_Level(-15)_Complexity(3)_Time(204)_SongNr(97).wav</t>
  </si>
  <si>
    <t>Lead_ItemNr(283)_SetNr(054)_WiT_Level(-15)_Complexity(3)_Time(204)_SongNr(95).wav</t>
  </si>
  <si>
    <t>Bass_ItemNr(2093)_SetNr(885)_WiT_Level(-15)_Complexity(3)_Time(204)_SongNr(8).wav</t>
  </si>
  <si>
    <t>Lead_ItemNr(3755)_SetNr(1016)_WiT_Level(-15)_Complexity(3)_Time(204)_SongNr(40).wav</t>
  </si>
  <si>
    <t>Bass_ItemNr(2119)_SetNr(892)_WiT_Level(-15)_Complexity(3)_Time(204)_SongNr(16).wav</t>
  </si>
  <si>
    <t>Guitar_ItemNr(141)_SetNr(046)_WiT_Level(-15)_Complexity(3)_Time(204)_SongNr(15).wav</t>
  </si>
  <si>
    <t>Bass_ItemNr(32)_SetNr(014)_WiT_Level(-15)_Complexity(3)_Time(204)_SongNr(116).wav</t>
  </si>
  <si>
    <t>Lead_ItemNr(437)_SetNr(080)_WiT_Level(-15)_Complexity(3)_Time(202)_SongNr(97).wav</t>
  </si>
  <si>
    <t>Lead_ItemNr(2703)_SetNr(561)_WiT_Level(-15)_Complexity(3)_Time(202)_SongNr(93).wav</t>
  </si>
  <si>
    <t>Lead_ItemNr(2650)_SetNr(540)_WiT_Level(-15)_Complexity(3)_Time(202)_SongNr(40).wav</t>
  </si>
  <si>
    <t>Guitar_ItemNr(2289)_SetNr(717)_WiT_Level(-15)_Complexity(3)_Time(202)_SongNr(16).wav</t>
  </si>
  <si>
    <t>Bass_ItemNr(792)_SetNr(354)_WiT_Level(-15)_Complexity(3)_Time(202)_SongNr(111).wav</t>
  </si>
  <si>
    <t>Bass_ItemNr(1371)_SetNr(600)_WiT_Level(-15)_Complexity(3)_Time(200)_SongNr(92).wav</t>
  </si>
  <si>
    <t>Guitar_ItemNr(1255)_SetNr(381)_WiT_Level(-15)_Complexity(3)_Time(200)_SongNr(87).wav</t>
  </si>
  <si>
    <t>Bass_ItemNr(335)_SetNr(138)_WiT_Level(-15)_Complexity(3)_Time(200)_SongNr(38).wav</t>
  </si>
  <si>
    <t>Bass_ItemNr(1175)_SetNr(521)_WiT_Level(-15)_Complexity(3)_Time(200)_SongNr(106).wav</t>
  </si>
  <si>
    <t>Bass_ItemNr(1774)_SetNr(772)_WiT_Level(-15)_Complexity(3)_Time(20)_SongNr(99).wav</t>
  </si>
  <si>
    <t>Lead_ItemNr(422)_SetNr(074)_WiT_Level(-15)_Complexity(3)_Time(20)_SongNr(93).wav</t>
  </si>
  <si>
    <t>Bass_ItemNr(2035)_SetNr(868)_WiT_Level(-15)_Complexity(3)_Time(20)_SongNr(92).wav</t>
  </si>
  <si>
    <t>Guitar_ItemNr(1434)_SetNr(434)_WiT_Level(-15)_Complexity(3)_Time(20)_SongNr(80).wav</t>
  </si>
  <si>
    <t>Bass_ItemNr(623)_SetNr(267)_WiT_Level(-15)_Complexity(3)_Time(20)_SongNr(79).wav</t>
  </si>
  <si>
    <t>Piano_ItemNr(2456)_SetNr(236)_WiT_Level(-15)_Complexity(3)_Time(20)_SongNr(40).wav</t>
  </si>
  <si>
    <t>Piano_ItemNr(3303)_SetNr(408)_WiT_Level(-15)_Complexity(3)_Time(20)_SongNr(23).wav</t>
  </si>
  <si>
    <t>Lead_ItemNr(2389)_SetNr(447)_WiT_Level(-15)_Complexity(3)_Time(20)_SongNr(21).wav</t>
  </si>
  <si>
    <t>Lead_ItemNr(3174)_SetNr(760)_WiT_Level(-15)_Complexity(3)_Time(20)_SongNr(15).wav</t>
  </si>
  <si>
    <t>Bass_ItemNr(1217)_SetNr(537)_WiT_Level(-15)_Complexity(3)_Time(20)_SongNr(109).wav</t>
  </si>
  <si>
    <t>Guitar_ItemNr(760)_SetNr(234)_WiT_Level(-15)_Complexity(3)_Time(2)_SongNr(94).wav</t>
  </si>
  <si>
    <t>Guitar_ItemNr(1410)_SetNr(427)_WiT_Level(-15)_Complexity(3)_Time(2)_SongNr(88).wav</t>
  </si>
  <si>
    <t>Bass_ItemNr(230)_SetNr(096)_WiT_Level(-15)_Complexity(3)_Time(2)_SongNr(82).wav</t>
  </si>
  <si>
    <t>Piano_ItemNr(1709)_SetNr(154)_WiT_Level(-15)_Complexity(3)_Time(2)_SongNr(81).wav</t>
  </si>
  <si>
    <t>Guitar_ItemNr(40)_SetNr(012)_WiT_Level(-15)_Complexity(3)_Time(2)_SongNr(80).wav</t>
  </si>
  <si>
    <t>Bass_ItemNr(1270)_SetNr(554)_WiT_Level(-15)_Complexity(3)_Time(2)_SongNr(79).wav</t>
  </si>
  <si>
    <t>Guitar_ItemNr(39)_SetNr(011)_WiT_Level(-15)_Complexity(3)_Time(2)_SongNr(76).wav</t>
  </si>
  <si>
    <t>Bass_ItemNr(1021)_SetNr(452)_WiT_Level(-15)_Complexity(3)_Time(2)_SongNr(73).wav</t>
  </si>
  <si>
    <t>Bass_ItemNr(1671)_SetNr(730)_WiT_Level(-15)_Complexity(3)_Time(2)_SongNr(68).wav</t>
  </si>
  <si>
    <t>Bass_ItemNr(169)_SetNr(072)_WiT_Level(-15)_Complexity(3)_Time(2)_SongNr(67).wav</t>
  </si>
  <si>
    <t>Bass_ItemNr(1404)_SetNr(615)_WiT_Level(-15)_Complexity(3)_Time(2)_SongNr(66).wav</t>
  </si>
  <si>
    <t>Bass_ItemNr(1319)_SetNr(572)_WiT_Level(-15)_Complexity(3)_Time(2)_SongNr(32).wav</t>
  </si>
  <si>
    <t>Guitar_ItemNr(1029)_SetNr(309)_WiT_Level(-15)_Complexity(3)_Time(2)_SongNr(101).wav</t>
  </si>
  <si>
    <t>Bass_ItemNr(1599)_SetNr(693)_WiT_Level(-15)_Complexity(3)_Time(198)_SongNr(58).wav</t>
  </si>
  <si>
    <t>Guitar_ItemNr(1373)_SetNr(417)_WiT_Level(-15)_Complexity(3)_Time(198)_SongNr(56).wav</t>
  </si>
  <si>
    <t>Guitar_ItemNr(2279)_SetNr(714)_WiT_Level(-15)_Complexity(3)_Time(198)_SongNr(41).wav</t>
  </si>
  <si>
    <t>Lead_ItemNr(3150)_SetNr(745)_WiT_Level(-15)_Complexity(3)_Time(196)_SongNr(95).wav</t>
  </si>
  <si>
    <t>Guitar_ItemNr(2848)_SetNr(936)_WiT_Level(-15)_Complexity(3)_Time(196)_SongNr(41).wav</t>
  </si>
  <si>
    <t>Bass_ItemNr(63)_SetNr(031)_WiT_Level(-15)_Complexity(3)_Time(196)_SongNr(34).wav</t>
  </si>
  <si>
    <t>Guitar_ItemNr(352)_SetNr(110)_WiT_Level(-15)_Complexity(3)_Time(196)_SongNr(112).wav</t>
  </si>
  <si>
    <t>Bass_ItemNr(1998)_SetNr(861)_WiT_Level(-15)_Complexity(3)_Time(196)_SongNr(106).wav</t>
  </si>
  <si>
    <t>Bass_ItemNr(2281)_SetNr(934)_WiT_Level(-15)_Complexity(3)_Time(194)_SongNr(99).wav</t>
  </si>
  <si>
    <t>Bass_ItemNr(1680)_SetNr(736)_WiT_Level(-15)_Complexity(3)_Time(194)_SongNr(58).wav</t>
  </si>
  <si>
    <t>Bass_ItemNr(1838)_SetNr(799)_WiT_Level(-15)_Complexity(3)_Time(194)_SongNr(55).wav</t>
  </si>
  <si>
    <t>Guitar_ItemNr(1601)_SetNr(486)_WiT_Level(-15)_Complexity(3)_Time(194)_SongNr(41).wav</t>
  </si>
  <si>
    <t>Bass_ItemNr(348)_SetNr(147)_WiT_Level(-15)_Complexity(3)_Time(194)_SongNr(34).wav</t>
  </si>
  <si>
    <t>Lead_ItemNr(3496)_SetNr(919)_WiT_Level(-15)_Complexity(3)_Time(194)_SongNr(116).wav</t>
  </si>
  <si>
    <t>Bass_ItemNr(219)_SetNr(092)_WiT_Level(-15)_Complexity(3)_Time(192)_SongNr(94).wav</t>
  </si>
  <si>
    <t>Bass_ItemNr(1956)_SetNr(846)_WiT_Level(-15)_Complexity(3)_Time(192)_SongNr(45).wav</t>
  </si>
  <si>
    <t>Bass_ItemNr(1575)_SetNr(684)_WiT_Level(-15)_Complexity(3)_Time(192)_SongNr(16).wav</t>
  </si>
  <si>
    <t>Bass_ItemNr(1134)_SetNr(504)_WiT_Level(-15)_Complexity(3)_Time(190)_SongNr(99).wav</t>
  </si>
  <si>
    <t>Bass_ItemNr(1112)_SetNr(496)_WiT_Level(-15)_Complexity(3)_Time(190)_SongNr(55).wav</t>
  </si>
  <si>
    <t>Bass_ItemNr(834)_SetNr(375)_WiT_Level(-15)_Complexity(3)_Time(190)_SongNr(16).wav</t>
  </si>
  <si>
    <t>Guitar_ItemNr(2270)_SetNr(708)_WiT_Level(-15)_Complexity(3)_Time(188)_SongNr(45).wav</t>
  </si>
  <si>
    <t>Bass_ItemNr(1494)_SetNr(655)_WiT_Level(-15)_Complexity(3)_Time(188)_SongNr(16).wav</t>
  </si>
  <si>
    <t>Bass_ItemNr(2293)_SetNr(939)_WiT_Level(-15)_Complexity(3)_Time(188)_SongNr(112).wav</t>
  </si>
  <si>
    <t>Bass_ItemNr(832)_SetNr(373)_WiT_Level(-15)_Complexity(3)_Time(186)_SongNr(99).wav</t>
  </si>
  <si>
    <t>Guitar_ItemNr(1452)_SetNr(441)_WiT_Level(-15)_Complexity(3)_Time(186)_SongNr(92).wav</t>
  </si>
  <si>
    <t>Bass_ItemNr(1314)_SetNr(570)_WiT_Level(-15)_Complexity(3)_Time(186)_SongNr(57).wav</t>
  </si>
  <si>
    <t>Piano_ItemNr(1516)_SetNr(138)_WiT_Level(-15)_Complexity(3)_Time(186)_SongNr(42).wav</t>
  </si>
  <si>
    <t>Guitar_ItemNr(1123)_SetNr(336)_WiT_Level(-15)_Complexity(3)_Time(184)_SongNr(92).wav</t>
  </si>
  <si>
    <t>Guitar_ItemNr(1646)_SetNr(494)_WiT_Level(-15)_Complexity(3)_Time(184)_SongNr(56).wav</t>
  </si>
  <si>
    <t>Piano_ItemNr(334)_SetNr(030)_WiT_Level(-15)_Complexity(3)_Time(184)_SongNr(42).wav</t>
  </si>
  <si>
    <t>Bass_ItemNr(1209)_SetNr(534)_WiT_Level(-15)_Complexity(3)_Time(184)_SongNr(41).wav</t>
  </si>
  <si>
    <t>Bass_ItemNr(2287)_SetNr(936)_WiT_Level(-15)_Complexity(3)_Time(184)_SongNr(3).wav</t>
  </si>
  <si>
    <t>Bass_ItemNr(1260)_SetNr(551)_WiT_Level(-15)_Complexity(3)_Time(184)_SongNr(16).wav</t>
  </si>
  <si>
    <t>Guitar_ItemNr(2764)_SetNr(914)_WiT_Level(-15)_Complexity(3)_Time(182)_SongNr(94).wav</t>
  </si>
  <si>
    <t>Guitar_ItemNr(1425)_SetNr(431)_WiT_Level(-15)_Complexity(3)_Time(182)_SongNr(55).wav</t>
  </si>
  <si>
    <t>Guitar_ItemNr(875)_SetNr(265)_WiT_Level(-15)_Complexity(3)_Time(182)_SongNr(52).wav</t>
  </si>
  <si>
    <t>Piano_ItemNr(1893)_SetNr(174)_WiT_Level(-15)_Complexity(3)_Time(182)_SongNr(42).wav</t>
  </si>
  <si>
    <t>Guitar_ItemNr(820)_SetNr(249)_WiT_Level(-15)_Complexity(3)_Time(182)_SongNr(41).wav</t>
  </si>
  <si>
    <t>Guitar_ItemNr(2505)_SetNr(811)_WiT_Level(-15)_Complexity(3)_Time(182)_SongNr(24).wav</t>
  </si>
  <si>
    <t>Guitar_ItemNr(1381)_SetNr(421)_WiT_Level(-15)_Complexity(3)_Time(182)_SongNr(16).wav</t>
  </si>
  <si>
    <t>Lead_ItemNr(3692)_SetNr(993)_WiT_Level(-15)_Complexity(3)_Time(182)_SongNr(116).wav</t>
  </si>
  <si>
    <t>Bass_ItemNr(1280)_SetNr(555)_WiT_Level(-15)_Complexity(3)_Time(182)_SongNr(112).wav</t>
  </si>
  <si>
    <t>Bass_ItemNr(1969)_SetNr(851)_WiT_Level(-15)_Complexity(3)_Time(180)_SongNr(92).wav</t>
  </si>
  <si>
    <t>Guitar_ItemNr(1370)_SetNr(415)_WiT_Level(-15)_Complexity(3)_Time(180)_SongNr(89).wav</t>
  </si>
  <si>
    <t>Guitar_ItemNr(407)_SetNr(127)_WiT_Level(-15)_Complexity(3)_Time(180)_SongNr(57).wav</t>
  </si>
  <si>
    <t>Piano_ItemNr(1725)_SetNr(157)_WiT_Level(-15)_Complexity(3)_Time(180)_SongNr(42).wav</t>
  </si>
  <si>
    <t>Guitar_ItemNr(1749)_SetNr(525)_WiT_Level(-15)_Complexity(3)_Time(180)_SongNr(116).wav</t>
  </si>
  <si>
    <t>Guitar_ItemNr(372)_SetNr(119)_WiT_Level(-15)_Complexity(3)_Time(18)_SongNr(96).wav</t>
  </si>
  <si>
    <t>Lead_ItemNr(2691)_SetNr(555)_WiT_Level(-15)_Complexity(3)_Time(18)_SongNr(84).wav</t>
  </si>
  <si>
    <t>Bass_ItemNr(811)_SetNr(364)_WiT_Level(-15)_Complexity(3)_Time(18)_SongNr(80).wav</t>
  </si>
  <si>
    <t>Guitar_ItemNr(672)_SetNr(209)_WiT_Level(-15)_Complexity(3)_Time(18)_SongNr(79).wav</t>
  </si>
  <si>
    <t>Bass_ItemNr(1925)_SetNr(832)_WiT_Level(-15)_Complexity(3)_Time(18)_SongNr(74).wav</t>
  </si>
  <si>
    <t>Lead_ItemNr(73)_SetNr(011)_WiT_Level(-15)_Complexity(3)_Time(18)_SongNr(7).wav</t>
  </si>
  <si>
    <t>Guitar_ItemNr(2001)_SetNr(607)_WiT_Level(-15)_Complexity(3)_Time(18)_SongNr(58).wav</t>
  </si>
  <si>
    <t>Piano_ItemNr(3581)_SetNr(457)_WiT_Level(-15)_Complexity(3)_Time(18)_SongNr(23).wav</t>
  </si>
  <si>
    <t>Guitar_ItemNr(2104)_SetNr(639)_WiT_Level(-15)_Complexity(3)_Time(18)_SongNr(2).wav</t>
  </si>
  <si>
    <t>Bass_ItemNr(959)_SetNr(423)_WiT_Level(-15)_Complexity(3)_Time(18)_SongNr(117).wav</t>
  </si>
  <si>
    <t>Lead_ItemNr(2525)_SetNr(493)_WiT_Level(-15)_Complexity(3)_Time(18)_SongNr(112).wav</t>
  </si>
  <si>
    <t>Bass_ItemNr(2240)_SetNr(924)_WiT_Level(-15)_Complexity(3)_Time(178)_SongNr(98).wav</t>
  </si>
  <si>
    <t>Lead_ItemNr(2955)_SetNr(659)_WiT_Level(-15)_Complexity(3)_Time(178)_SongNr(86).wav</t>
  </si>
  <si>
    <t>Lead_ItemNr(3446)_SetNr(897)_WiT_Level(-15)_Complexity(3)_Time(178)_SongNr(58).wav</t>
  </si>
  <si>
    <t>Bass_ItemNr(2205)_SetNr(914)_WiT_Level(-15)_Complexity(3)_Time(178)_SongNr(57).wav</t>
  </si>
  <si>
    <t>Bass_ItemNr(416)_SetNr(177)_WiT_Level(-15)_Complexity(3)_Time(178)_SongNr(55).wav</t>
  </si>
  <si>
    <t>Guitar_ItemNr(1188)_SetNr(358)_WiT_Level(-15)_Complexity(3)_Time(178)_SongNr(46).wav</t>
  </si>
  <si>
    <t>Piano_ItemNr(805)_SetNr(061)_WiT_Level(-15)_Complexity(3)_Time(178)_SongNr(42).wav</t>
  </si>
  <si>
    <t>Piano_ItemNr(3319)_SetNr(411)_WiT_Level(-15)_Complexity(3)_Time(178)_SongNr(35).wav</t>
  </si>
  <si>
    <t>Bass_ItemNr(161)_SetNr(068)_WiT_Level(-15)_Complexity(3)_Time(178)_SongNr(16).wav</t>
  </si>
  <si>
    <t>Lead_ItemNr(232)_SetNr(046)_WiT_Level(-15)_Complexity(3)_Time(176)_SongNr(86).wav</t>
  </si>
  <si>
    <t>Lead_ItemNr(3665)_SetNr(983)_WiT_Level(-15)_Complexity(3)_Time(176)_SongNr(84).wav</t>
  </si>
  <si>
    <t>Lead_ItemNr(3097)_SetNr(726)_WiT_Level(-15)_Complexity(3)_Time(176)_SongNr(51).wav</t>
  </si>
  <si>
    <t>Guitar_ItemNr(2307)_SetNr(723)_WiT_Level(-15)_Complexity(3)_Time(176)_SongNr(49).wav</t>
  </si>
  <si>
    <t>Piano_ItemNr(1127)_SetNr(097)_WiT_Level(-15)_Complexity(3)_Time(176)_SongNr(42).wav</t>
  </si>
  <si>
    <t>Guitar_ItemNr(1001)_SetNr(301)_WiT_Level(-15)_Complexity(3)_Time(176)_SongNr(41).wav</t>
  </si>
  <si>
    <t>Guitar_ItemNr(2459)_SetNr(797)_WiT_Level(-15)_Complexity(3)_Time(176)_SongNr(114).wav</t>
  </si>
  <si>
    <t>Bass_ItemNr(1563)_SetNr(682)_WiT_Level(-15)_Complexity(3)_Time(176)_SongNr(106).wav</t>
  </si>
  <si>
    <t>Lead_ItemNr(913)_SetNr(160)_WiT_Level(-15)_Complexity(3)_Time(174)_SongNr(86).wav</t>
  </si>
  <si>
    <t>Lead_ItemNr(3253)_SetNr(802)_WiT_Level(-15)_Complexity(3)_Time(174)_SongNr(84).wav</t>
  </si>
  <si>
    <t>Bass_ItemNr(788)_SetNr(352)_WiT_Level(-15)_Complexity(3)_Time(174)_SongNr(58).wav</t>
  </si>
  <si>
    <t>Guitar_ItemNr(1874)_SetNr(566)_WiT_Level(-15)_Complexity(3)_Time(174)_SongNr(57).wav</t>
  </si>
  <si>
    <t>Lead_ItemNr(1498)_SetNr(250)_WiT_Level(-15)_Complexity(3)_Time(174)_SongNr(51).wav</t>
  </si>
  <si>
    <t>Piano_ItemNr(1229)_SetNr(108)_WiT_Level(-15)_Complexity(3)_Time(174)_SongNr(42).wav</t>
  </si>
  <si>
    <t>Guitar_ItemNr(1688)_SetNr(511)_WiT_Level(-15)_Complexity(3)_Time(174)_SongNr(41).wav</t>
  </si>
  <si>
    <t>Guitar_ItemNr(2830)_SetNr(930)_WiT_Level(-15)_Complexity(3)_Time(174)_SongNr(16).wav</t>
  </si>
  <si>
    <t>Bass_ItemNr(685)_SetNr(299)_WiT_Level(-15)_Complexity(3)_Time(174)_SongNr(106).wav</t>
  </si>
  <si>
    <t>Lead_ItemNr(2245)_SetNr(409)_WiT_Level(-15)_Complexity(3)_Time(172)_SongNr(86).wav</t>
  </si>
  <si>
    <t>Lead_ItemNr(1722)_SetNr(296)_WiT_Level(-15)_Complexity(3)_Time(172)_SongNr(84).wav</t>
  </si>
  <si>
    <t>Guitar_ItemNr(1300)_SetNr(397)_WiT_Level(-15)_Complexity(3)_Time(172)_SongNr(55).wav</t>
  </si>
  <si>
    <t>Lead_ItemNr(3518)_SetNr(928)_WiT_Level(-15)_Complexity(3)_Time(172)_SongNr(51).wav</t>
  </si>
  <si>
    <t>Bass_ItemNr(289)_SetNr(123)_WiT_Level(-15)_Complexity(3)_Time(172)_SongNr(41).wav</t>
  </si>
  <si>
    <t>Guitar_ItemNr(1807)_SetNr(546)_WiT_Level(-15)_Complexity(3)_Time(172)_SongNr(24).wav</t>
  </si>
  <si>
    <t>Bass_ItemNr(45)_SetNr(022)_WiT_Level(-15)_Complexity(3)_Time(172)_SongNr(16).wav</t>
  </si>
  <si>
    <t>Bass_ItemNr(1114)_SetNr(498)_WiT_Level(-15)_Complexity(3)_Time(172)_SongNr(113).wav</t>
  </si>
  <si>
    <t>Guitar_ItemNr(2418)_SetNr(777)_WiT_Level(-15)_Complexity(3)_Time(172)_SongNr(112).wav</t>
  </si>
  <si>
    <t>Bass_ItemNr(2228)_SetNr(920)_WiT_Level(-15)_Complexity(3)_Time(172)_SongNr(106).wav</t>
  </si>
  <si>
    <t>Bass_ItemNr(900)_SetNr(400)_WiT_Level(-15)_Complexity(3)_Time(170)_SongNr(92).wav</t>
  </si>
  <si>
    <t>Lead_ItemNr(3586)_SetNr(956)_WiT_Level(-15)_Complexity(3)_Time(170)_SongNr(84).wav</t>
  </si>
  <si>
    <t>Lead_ItemNr(3822)_SetNr(1039)_WiT_Level(-15)_Complexity(3)_Time(170)_SongNr(56).wav</t>
  </si>
  <si>
    <t>Bass_ItemNr(1473)_SetNr(645)_WiT_Level(-15)_Complexity(3)_Time(170)_SongNr(41).wav</t>
  </si>
  <si>
    <t>Guitar_ItemNr(2239)_SetNr(694)_WiT_Level(-15)_Complexity(3)_Time(170)_SongNr(24).wav</t>
  </si>
  <si>
    <t>Lead_ItemNr(2395)_SetNr(450)_WiT_Level(-15)_Complexity(3)_Time(170)_SongNr(115).wav</t>
  </si>
  <si>
    <t>Guitar_ItemNr(2579)_SetNr(839)_WiT_Level(-15)_Complexity(3)_Time(170)_SongNr(110).wav</t>
  </si>
  <si>
    <t>Guitar_ItemNr(714)_SetNr(219)_WiT_Level(-15)_Complexity(3)_Time(168)_SongNr(88).wav</t>
  </si>
  <si>
    <t>Guitar_ItemNr(1220)_SetNr(369)_WiT_Level(-15)_Complexity(3)_Time(168)_SongNr(57).wav</t>
  </si>
  <si>
    <t>Lead_ItemNr(3045)_SetNr(700)_WiT_Level(-15)_Complexity(3)_Time(168)_SongNr(51).wav</t>
  </si>
  <si>
    <t>Guitar_ItemNr(2195)_SetNr(676)_WiT_Level(-15)_Complexity(3)_Time(168)_SongNr(45).wav</t>
  </si>
  <si>
    <t>Guitar_ItemNr(2795)_SetNr(920)_WiT_Level(-15)_Complexity(3)_Time(168)_SongNr(38).wav</t>
  </si>
  <si>
    <t>Bass_ItemNr(1930)_SetNr(835)_WiT_Level(-15)_Complexity(3)_Time(168)_SongNr(116).wav</t>
  </si>
  <si>
    <t>Lead_ItemNr(83)_SetNr(015)_WiT_Level(-15)_Complexity(3)_Time(168)_SongNr(115).wav</t>
  </si>
  <si>
    <t>Guitar_ItemNr(6)_SetNr(002)_WiT_Level(-15)_Complexity(3)_Time(166)_SongNr(88).wav</t>
  </si>
  <si>
    <t>Lead_ItemNr(2771)_SetNr(591)_WiT_Level(-15)_Complexity(3)_Time(166)_SongNr(51).wav</t>
  </si>
  <si>
    <t>Lead_ItemNr(3650)_SetNr(978)_WiT_Level(-15)_Complexity(3)_Time(166)_SongNr(27).wav</t>
  </si>
  <si>
    <t>Guitar_ItemNr(2113)_SetNr(646)_WiT_Level(-15)_Complexity(3)_Time(166)_SongNr(24).wav</t>
  </si>
  <si>
    <t>Lead_ItemNr(3739)_SetNr(1011)_WiT_Level(-15)_Complexity(3)_Time(166)_SongNr(116).wav</t>
  </si>
  <si>
    <t>Lead_ItemNr(2635)_SetNr(534)_WiT_Level(-15)_Complexity(3)_Time(166)_SongNr(115).wav</t>
  </si>
  <si>
    <t>Bass_ItemNr(231)_SetNr(097)_WiT_Level(-15)_Complexity(3)_Time(166)_SongNr(100).wav</t>
  </si>
  <si>
    <t>Guitar_ItemNr(2143)_SetNr(654)_WiT_Level(-15)_Complexity(3)_Time(164)_SongNr(92).wav</t>
  </si>
  <si>
    <t>Guitar_ItemNr(1881)_SetNr(570)_WiT_Level(-15)_Complexity(3)_Time(164)_SongNr(88).wav</t>
  </si>
  <si>
    <t>Lead_ItemNr(2799)_SetNr(603)_WiT_Level(-15)_Complexity(3)_Time(164)_SongNr(51).wav</t>
  </si>
  <si>
    <t>Guitar_ItemNr(908)_SetNr(276)_WiT_Level(-15)_Complexity(3)_Time(164)_SongNr(3).wav</t>
  </si>
  <si>
    <t>Lead_ItemNr(179)_SetNr(033)_WiT_Level(-15)_Complexity(3)_Time(164)_SongNr(27).wav</t>
  </si>
  <si>
    <t>Guitar_ItemNr(2159)_SetNr(662)_WiT_Level(-15)_Complexity(3)_Time(164)_SongNr(24).wav</t>
  </si>
  <si>
    <t>Guitar_ItemNr(2517)_SetNr(818)_WiT_Level(-15)_Complexity(3)_Time(164)_SongNr(116).wav</t>
  </si>
  <si>
    <t>Lead_ItemNr(1413)_SetNr(236)_WiT_Level(-15)_Complexity(3)_Time(164)_SongNr(115).wav</t>
  </si>
  <si>
    <t>Guitar_ItemNr(1912)_SetNr(580)_WiT_Level(-15)_Complexity(3)_Time(164)_SongNr(112).wav</t>
  </si>
  <si>
    <t>Guitar_ItemNr(1773)_SetNr(533)_WiT_Level(-15)_Complexity(3)_Time(164)_SongNr(110).wav</t>
  </si>
  <si>
    <t>Bass_ItemNr(1178)_SetNr(523)_WiT_Level(-15)_Complexity(3)_Time(162)_SongNr(98).wav</t>
  </si>
  <si>
    <t>Bass_ItemNr(582)_SetNr(248)_WiT_Level(-15)_Complexity(3)_Time(162)_SongNr(93).wav</t>
  </si>
  <si>
    <t>Guitar_ItemNr(2250)_SetNr(699)_WiT_Level(-15)_Complexity(3)_Time(162)_SongNr(87).wav</t>
  </si>
  <si>
    <t>Bass_ItemNr(1460)_SetNr(638)_WiT_Level(-15)_Complexity(3)_Time(162)_SongNr(8).wav</t>
  </si>
  <si>
    <t>Guitar_ItemNr(2232)_SetNr(691)_WiT_Level(-15)_Complexity(3)_Time(162)_SongNr(51).wav</t>
  </si>
  <si>
    <t>Bass_ItemNr(1673)_SetNr(731)_WiT_Level(-15)_Complexity(3)_Time(162)_SongNr(45).wav</t>
  </si>
  <si>
    <t>Piano_ItemNr(301)_SetNr(026)_WiT_Level(-15)_Complexity(3)_Time(162)_SongNr(42).wav</t>
  </si>
  <si>
    <t>Guitar_ItemNr(2597)_SetNr(850)_WiT_Level(-15)_Complexity(3)_Time(162)_SongNr(40).wav</t>
  </si>
  <si>
    <t>Bass_ItemNr(836)_SetNr(377)_WiT_Level(-15)_Complexity(3)_Time(162)_SongNr(3).wav</t>
  </si>
  <si>
    <t>Guitar_ItemNr(1676)_SetNr(505)_WiT_Level(-15)_Complexity(3)_Time(162)_SongNr(114).wav</t>
  </si>
  <si>
    <t>Bass_ItemNr(1442)_SetNr(629)_WiT_Level(-15)_Complexity(3)_Time(162)_SongNr(112).wav</t>
  </si>
  <si>
    <t>Bass_ItemNr(974)_SetNr(429)_WiT_Level(-15)_Complexity(3)_Time(162)_SongNr(110).wav</t>
  </si>
  <si>
    <t>Bass_ItemNr(1963)_SetNr(849)_WiT_Level(-15)_Complexity(3)_Time(162)_SongNr(100).wav</t>
  </si>
  <si>
    <t>Guitar_ItemNr(2698)_SetNr(895)_WiT_Level(-15)_Complexity(3)_Time(160)_SongNr(92).wav</t>
  </si>
  <si>
    <t>Guitar_ItemNr(1877)_SetNr(568)_WiT_Level(-15)_Complexity(3)_Time(160)_SongNr(51).wav</t>
  </si>
  <si>
    <t>Piano_ItemNr(1358)_SetNr(123)_WiT_Level(-15)_Complexity(3)_Time(160)_SongNr(42).wav</t>
  </si>
  <si>
    <t>Guitar_ItemNr(95)_SetNr(027)_WiT_Level(-15)_Complexity(3)_Time(160)_SongNr(40).wav</t>
  </si>
  <si>
    <t>Guitar_ItemNr(1493)_SetNr(455)_WiT_Level(-15)_Complexity(3)_Time(160)_SongNr(3).wav</t>
  </si>
  <si>
    <t>Lead_ItemNr(3705)_SetNr(998)_WiT_Level(-15)_Complexity(3)_Time(160)_SongNr(27).wav</t>
  </si>
  <si>
    <t>Piano_ItemNr(864)_SetNr(068)_WiT_Level(-15)_Complexity(3)_Time(160)_SongNr(2).wav</t>
  </si>
  <si>
    <t>Bass_ItemNr(753)_SetNr(335)_WiT_Level(-15)_Complexity(3)_Time(160)_SongNr(115).wav</t>
  </si>
  <si>
    <t>Bass_ItemNr(1829)_SetNr(793)_WiT_Level(-15)_Complexity(3)_Time(160)_SongNr(106).wav</t>
  </si>
  <si>
    <t>Guitar_ItemNr(251)_SetNr(072)_WiT_Level(-15)_Complexity(3)_Time(16)_SongNr(96).wav</t>
  </si>
  <si>
    <t>Lead_ItemNr(2014)_SetNr(348)_WiT_Level(-15)_Complexity(3)_Time(16)_SongNr(93).wav</t>
  </si>
  <si>
    <t>Guitar_ItemNr(1052)_SetNr(314)_WiT_Level(-15)_Complexity(3)_Time(16)_SongNr(92).wav</t>
  </si>
  <si>
    <t>Guitar_ItemNr(2319)_SetNr(731)_WiT_Level(-15)_Complexity(3)_Time(16)_SongNr(91).wav</t>
  </si>
  <si>
    <t>Guitar_ItemNr(2700)_SetNr(896)_WiT_Level(-15)_Complexity(3)_Time(16)_SongNr(89).wav</t>
  </si>
  <si>
    <t>Lead_ItemNr(3526)_SetNr(929)_WiT_Level(-15)_Complexity(3)_Time(16)_SongNr(84).wav</t>
  </si>
  <si>
    <t>Guitar_ItemNr(1043)_SetNr(313)_WiT_Level(-15)_Complexity(3)_Time(16)_SongNr(80).wav</t>
  </si>
  <si>
    <t>Guitar_ItemNr(1582)_SetNr(481)_WiT_Level(-15)_Complexity(3)_Time(16)_SongNr(79).wav</t>
  </si>
  <si>
    <t>Guitar_ItemNr(229)_SetNr(069)_WiT_Level(-15)_Complexity(3)_Time(16)_SongNr(71).wav</t>
  </si>
  <si>
    <t>Bass_ItemNr(2125)_SetNr(895)_WiT_Level(-15)_Complexity(3)_Time(16)_SongNr(68).wav</t>
  </si>
  <si>
    <t>Guitar_ItemNr(15)_SetNr(005)_WiT_Level(-15)_Complexity(3)_Time(16)_SongNr(64).wav</t>
  </si>
  <si>
    <t>Guitar_ItemNr(2381)_SetNr(759)_WiT_Level(-15)_Complexity(3)_Time(16)_SongNr(58).wav</t>
  </si>
  <si>
    <t>Bass_ItemNr(2148)_SetNr(900)_WiT_Level(-15)_Complexity(3)_Time(16)_SongNr(55).wav</t>
  </si>
  <si>
    <t>Guitar_ItemNr(2676)_SetNr(890)_WiT_Level(-15)_Complexity(3)_Time(16)_SongNr(49).wav</t>
  </si>
  <si>
    <t>Guitar_ItemNr(2156)_SetNr(659)_WiT_Level(-15)_Complexity(3)_Time(16)_SongNr(4).wav</t>
  </si>
  <si>
    <t>Bass_ItemNr(2208)_SetNr(915)_WiT_Level(-15)_Complexity(3)_Time(16)_SongNr(39).wav</t>
  </si>
  <si>
    <t>Lead_ItemNr(2510)_SetNr(489)_WiT_Level(-15)_Complexity(3)_Time(16)_SongNr(34).wav</t>
  </si>
  <si>
    <t>Guitar_ItemNr(1697)_SetNr(513)_WiT_Level(-15)_Complexity(3)_Time(16)_SongNr(32).wav</t>
  </si>
  <si>
    <t>Piano_ItemNr(3349)_SetNr(416)_WiT_Level(-15)_Complexity(3)_Time(16)_SongNr(23).wav</t>
  </si>
  <si>
    <t>Lead_ItemNr(1244)_SetNr(214)_WiT_Level(-15)_Complexity(3)_Time(16)_SongNr(19).wav</t>
  </si>
  <si>
    <t>Lead_ItemNr(1533)_SetNr(257)_WiT_Level(-15)_Complexity(3)_Time(16)_SongNr(112).wav</t>
  </si>
  <si>
    <t>Bass_ItemNr(2078)_SetNr(879)_WiT_Level(-15)_Complexity(3)_Time(16)_SongNr(109).wav</t>
  </si>
  <si>
    <t>Guitar_ItemNr(2116)_SetNr(647)_WiT_Level(-15)_Complexity(3)_Time(158)_SongNr(93).wav</t>
  </si>
  <si>
    <t>Lead_ItemNr(3374)_SetNr(863)_WiT_Level(-15)_Complexity(3)_Time(158)_SongNr(51).wav</t>
  </si>
  <si>
    <t>Guitar_ItemNr(1536)_SetNr(469)_WiT_Level(-15)_Complexity(3)_Time(158)_SongNr(46).wav</t>
  </si>
  <si>
    <t>Guitar_ItemNr(2588)_SetNr(844)_WiT_Level(-15)_Complexity(3)_Time(158)_SongNr(45).wav</t>
  </si>
  <si>
    <t>Piano_ItemNr(1543)_SetNr(141)_WiT_Level(-15)_Complexity(3)_Time(158)_SongNr(42).wav</t>
  </si>
  <si>
    <t>Guitar_ItemNr(2213)_SetNr(684)_WiT_Level(-15)_Complexity(3)_Time(158)_SongNr(40).wav</t>
  </si>
  <si>
    <t>Lead_ItemNr(3450)_SetNr(900)_WiT_Level(-15)_Complexity(3)_Time(158)_SongNr(39).wav</t>
  </si>
  <si>
    <t>Lead_ItemNr(1672)_SetNr(287)_WiT_Level(-15)_Complexity(3)_Time(158)_SongNr(27).wav</t>
  </si>
  <si>
    <t>Bass_ItemNr(946)_SetNr(414)_WiT_Level(-15)_Complexity(3)_Time(158)_SongNr(18).wav</t>
  </si>
  <si>
    <t>Bass_ItemNr(736)_SetNr(323)_WiT_Level(-15)_Complexity(3)_Time(158)_SongNr(115).wav</t>
  </si>
  <si>
    <t>Bass_ItemNr(239)_SetNr(103)_WiT_Level(-15)_Complexity(3)_Time(156)_SongNr(92).wav</t>
  </si>
  <si>
    <t>Guitar_ItemNr(804)_SetNr(245)_WiT_Level(-15)_Complexity(3)_Time(156)_SongNr(55).wav</t>
  </si>
  <si>
    <t>Lead_ItemNr(3570)_SetNr(950)_WiT_Level(-15)_Complexity(3)_Time(156)_SongNr(51).wav</t>
  </si>
  <si>
    <t>Guitar_ItemNr(525)_SetNr(169)_WiT_Level(-15)_Complexity(3)_Time(156)_SongNr(45).wav</t>
  </si>
  <si>
    <t>Piano_ItemNr(1316)_SetNr(119)_WiT_Level(-15)_Complexity(3)_Time(156)_SongNr(42).wav</t>
  </si>
  <si>
    <t>Guitar_ItemNr(2057)_SetNr(624)_WiT_Level(-15)_Complexity(3)_Time(156)_SongNr(40).wav</t>
  </si>
  <si>
    <t>Guitar_ItemNr(2296)_SetNr(720)_WiT_Level(-15)_Complexity(3)_Time(156)_SongNr(4).wav</t>
  </si>
  <si>
    <t>Lead_ItemNr(2966)_SetNr(667)_WiT_Level(-15)_Complexity(3)_Time(156)_SongNr(27).wav</t>
  </si>
  <si>
    <t>Guitar_ItemNr(478)_SetNr(152)_WiT_Level(-15)_Complexity(3)_Time(156)_SongNr(24).wav</t>
  </si>
  <si>
    <t>Piano_ItemNr(990)_SetNr(080)_WiT_Level(-15)_Complexity(3)_Time(156)_SongNr(21).wav</t>
  </si>
  <si>
    <t>Bass_ItemNr(1910)_SetNr(826)_WiT_Level(-15)_Complexity(3)_Time(156)_SongNr(18).wav</t>
  </si>
  <si>
    <t>Guitar_ItemNr(1999)_SetNr(605)_WiT_Level(-15)_Complexity(3)_Time(156)_SongNr(16).wav</t>
  </si>
  <si>
    <t>Bass_ItemNr(514)_SetNr(215)_WiT_Level(-15)_Complexity(3)_Time(156)_SongNr(115).wav</t>
  </si>
  <si>
    <t>Guitar_ItemNr(188)_SetNr(058)_WiT_Level(-15)_Complexity(3)_Time(156)_SongNr(110).wav</t>
  </si>
  <si>
    <t>Bass_ItemNr(1304)_SetNr(565)_WiT_Level(-15)_Complexity(3)_Time(156)_SongNr(100).wav</t>
  </si>
  <si>
    <t>Bass_ItemNr(763)_SetNr(341)_WiT_Level(-15)_Complexity(3)_Time(154)_SongNr(92).wav</t>
  </si>
  <si>
    <t>Bass_ItemNr(404)_SetNr(172)_WiT_Level(-15)_Complexity(3)_Time(154)_SongNr(87).wav</t>
  </si>
  <si>
    <t>Lead_ItemNr(1578)_SetNr(270)_WiT_Level(-15)_Complexity(3)_Time(154)_SongNr(86).wav</t>
  </si>
  <si>
    <t>Guitar_ItemNr(2155)_SetNr(658)_WiT_Level(-15)_Complexity(3)_Time(154)_SongNr(8).wav</t>
  </si>
  <si>
    <t>Lead_ItemNr(1559)_SetNr(261)_WiT_Level(-15)_Complexity(3)_Time(154)_SongNr(51).wav</t>
  </si>
  <si>
    <t>Piano_ItemNr(531)_SetNr(045)_WiT_Level(-15)_Complexity(3)_Time(154)_SongNr(42).wav</t>
  </si>
  <si>
    <t>Lead_ItemNr(2354)_SetNr(432)_WiT_Level(-15)_Complexity(3)_Time(154)_SongNr(39).wav</t>
  </si>
  <si>
    <t>Guitar_ItemNr(1077)_SetNr(323)_WiT_Level(-15)_Complexity(3)_Time(154)_SongNr(33).wav</t>
  </si>
  <si>
    <t>Guitar_ItemNr(1132)_SetNr(340)_WiT_Level(-15)_Complexity(3)_Time(154)_SongNr(24).wav</t>
  </si>
  <si>
    <t>Bass_ItemNr(1794)_SetNr(779)_WiT_Level(-15)_Complexity(3)_Time(154)_SongNr(18).wav</t>
  </si>
  <si>
    <t>Bass_ItemNr(772)_SetNr(345)_WiT_Level(-15)_Complexity(3)_Time(154)_SongNr(110).wav</t>
  </si>
  <si>
    <t>Bass_ItemNr(362)_SetNr(151)_WiT_Level(-15)_Complexity(3)_Time(154)_SongNr(109).wav</t>
  </si>
  <si>
    <t>Bass_ItemNr(951)_SetNr(418)_WiT_Level(-15)_Complexity(3)_Time(154)_SongNr(100).wav</t>
  </si>
  <si>
    <t>Guitar_ItemNr(2072)_SetNr(630)_WiT_Level(-15)_Complexity(3)_Time(152)_SongNr(87).wav</t>
  </si>
  <si>
    <t>Piano_ItemNr(163)_SetNr(013)_WiT_Level(-15)_Complexity(3)_Time(152)_SongNr(42).wav</t>
  </si>
  <si>
    <t>Guitar_ItemNr(1992)_SetNr(603)_WiT_Level(-15)_Complexity(3)_Time(152)_SongNr(40).wav</t>
  </si>
  <si>
    <t>Lead_ItemNr(837)_SetNr(145)_WiT_Level(-15)_Complexity(3)_Time(152)_SongNr(27).wav</t>
  </si>
  <si>
    <t>Bass_ItemNr(412)_SetNr(175)_WiT_Level(-15)_Complexity(3)_Time(152)_SongNr(17).wav</t>
  </si>
  <si>
    <t>Guitar_ItemNr(500)_SetNr(164)_WiT_Level(-15)_Complexity(3)_Time(152)_SongNr(16).wav</t>
  </si>
  <si>
    <t>Lead_ItemNr(2930)_SetNr(651)_WiT_Level(-15)_Complexity(3)_Time(152)_SongNr(115).wav</t>
  </si>
  <si>
    <t>Bass_ItemNr(439)_SetNr(183)_WiT_Level(-15)_Complexity(3)_Time(152)_SongNr(110).wav</t>
  </si>
  <si>
    <t>Bass_ItemNr(1795)_SetNr(780)_WiT_Level(-15)_Complexity(3)_Time(152)_SongNr(106).wav</t>
  </si>
  <si>
    <t>Guitar_ItemNr(2411)_SetNr(773)_WiT_Level(-15)_Complexity(3)_Time(150)_SongNr(88).wav</t>
  </si>
  <si>
    <t>Lead_ItemNr(3343)_SetNr(847)_WiT_Level(-15)_Complexity(3)_Time(150)_SongNr(51).wav</t>
  </si>
  <si>
    <t>Lead_ItemNr(1233)_SetNr(211)_WiT_Level(-15)_Complexity(3)_Time(150)_SongNr(5).wav</t>
  </si>
  <si>
    <t>Piano_ItemNr(1016)_SetNr(082)_WiT_Level(-15)_Complexity(3)_Time(150)_SongNr(42).wav</t>
  </si>
  <si>
    <t>Bass_ItemNr(1551)_SetNr(676)_WiT_Level(-15)_Complexity(3)_Time(150)_SongNr(33).wav</t>
  </si>
  <si>
    <t>Lead_ItemNr(3680)_SetNr(990)_WiT_Level(-15)_Complexity(3)_Time(150)_SongNr(27).wav</t>
  </si>
  <si>
    <t>Bass_ItemNr(1107)_SetNr(492)_WiT_Level(-15)_Complexity(3)_Time(150)_SongNr(23).wav</t>
  </si>
  <si>
    <t>Guitar_ItemNr(1269)_SetNr(385)_WiT_Level(-15)_Complexity(3)_Time(150)_SongNr(105).wav</t>
  </si>
  <si>
    <t>Guitar_ItemNr(22)_SetNr(008)_WiT_Level(-15)_Complexity(3)_Time(148)_SongNr(91).wav</t>
  </si>
  <si>
    <t>Lead_ItemNr(3502)_SetNr(922)_WiT_Level(-15)_Complexity(3)_Time(148)_SongNr(8).wav</t>
  </si>
  <si>
    <t>Lead_ItemNr(1416)_SetNr(238)_WiT_Level(-15)_Complexity(3)_Time(148)_SongNr(5).wav</t>
  </si>
  <si>
    <t>Piano_ItemNr(2040)_SetNr(194)_WiT_Level(-15)_Complexity(3)_Time(148)_SongNr(42).wav</t>
  </si>
  <si>
    <t>Lead_ItemNr(3449)_SetNr(899)_WiT_Level(-15)_Complexity(3)_Time(148)_SongNr(39).wav</t>
  </si>
  <si>
    <t>Lead_ItemNr(3459)_SetNr(905)_WiT_Level(-15)_Complexity(3)_Time(148)_SongNr(27).wav</t>
  </si>
  <si>
    <t>Lead_ItemNr(3055)_SetNr(705)_WiT_Level(-15)_Complexity(3)_Time(148)_SongNr(25).wav</t>
  </si>
  <si>
    <t>Piano_ItemNr(3158)_SetNr(382)_WiT_Level(-15)_Complexity(3)_Time(148)_SongNr(23).wav</t>
  </si>
  <si>
    <t>Bass_ItemNr(2297)_SetNr(940)_WiT_Level(-15)_Complexity(3)_Time(148)_SongNr(21).wav</t>
  </si>
  <si>
    <t>Bass_ItemNr(1295)_SetNr(562)_WiT_Level(-15)_Complexity(3)_Time(148)_SongNr(116).wav</t>
  </si>
  <si>
    <t>Lead_ItemNr(2541)_SetNr(502)_WiT_Level(-15)_Complexity(3)_Time(148)_SongNr(115).wav</t>
  </si>
  <si>
    <t>Bass_ItemNr(51)_SetNr(026)_WiT_Level(-15)_Complexity(3)_Time(148)_SongNr(106).wav</t>
  </si>
  <si>
    <t>Bass_ItemNr(333)_SetNr(137)_WiT_Level(-15)_Complexity(3)_Time(148)_SongNr(100).wav</t>
  </si>
  <si>
    <t>Bass_ItemNr(340)_SetNr(142)_WiT_Level(-15)_Complexity(3)_Time(146)_SongNr(99).wav</t>
  </si>
  <si>
    <t>Bass_ItemNr(1609)_SetNr(696)_WiT_Level(-15)_Complexity(3)_Time(146)_SongNr(97).wav</t>
  </si>
  <si>
    <t>Piano_ItemNr(2136)_SetNr(203)_WiT_Level(-15)_Complexity(3)_Time(146)_SongNr(42).wav</t>
  </si>
  <si>
    <t>Guitar_ItemNr(1660)_SetNr(499)_WiT_Level(-15)_Complexity(3)_Time(146)_SongNr(33).wav</t>
  </si>
  <si>
    <t>Bass_ItemNr(1552)_SetNr(677)_WiT_Level(-15)_Complexity(3)_Time(146)_SongNr(15).wav</t>
  </si>
  <si>
    <t>Guitar_ItemNr(271)_SetNr(081)_WiT_Level(-15)_Complexity(3)_Time(146)_SongNr(112).wav</t>
  </si>
  <si>
    <t>Guitar_ItemNr(1009)_SetNr(305)_WiT_Level(-15)_Complexity(3)_Time(144)_SongNr(88).wav</t>
  </si>
  <si>
    <t>Guitar_ItemNr(1334)_SetNr(406)_WiT_Level(-15)_Complexity(3)_Time(144)_SongNr(8).wav</t>
  </si>
  <si>
    <t>Lead_ItemNr(3547)_SetNr(940)_WiT_Level(-15)_Complexity(3)_Time(144)_SongNr(51).wav</t>
  </si>
  <si>
    <t>Guitar_ItemNr(1556)_SetNr(476)_WiT_Level(-15)_Complexity(3)_Time(144)_SongNr(40).wav</t>
  </si>
  <si>
    <t>Piano_ItemNr(855)_SetNr(067)_WiT_Level(-15)_Complexity(3)_Time(144)_SongNr(39).wav</t>
  </si>
  <si>
    <t>Lead_ItemNr(1200)_SetNr(204)_WiT_Level(-15)_Complexity(3)_Time(144)_SongNr(27).wav</t>
  </si>
  <si>
    <t>Piano_ItemNr(8)_SetNr(001)_WiT_Level(-15)_Complexity(3)_Time(144)_SongNr(23).wav</t>
  </si>
  <si>
    <t>Bass_ItemNr(228)_SetNr(095)_WiT_Level(-15)_Complexity(3)_Time(144)_SongNr(16).wav</t>
  </si>
  <si>
    <t>Guitar_ItemNr(2608)_SetNr(856)_WiT_Level(-15)_Complexity(3)_Time(144)_SongNr(114).wav</t>
  </si>
  <si>
    <t>Bass_ItemNr(705)_SetNr(309)_WiT_Level(-15)_Complexity(3)_Time(144)_SongNr(109).wav</t>
  </si>
  <si>
    <t>Piano_ItemNr(448)_SetNr(039)_WiT_Level(-15)_Complexity(3)_Time(144)_SongNr(103).wav</t>
  </si>
  <si>
    <t>Bass_ItemNr(1299)_SetNr(564)_WiT_Level(-15)_Complexity(3)_Time(142)_SongNr(99).wav</t>
  </si>
  <si>
    <t>Lead_ItemNr(3267)_SetNr(810)_WiT_Level(-15)_Complexity(3)_Time(142)_SongNr(8).wav</t>
  </si>
  <si>
    <t>Guitar_ItemNr(102)_SetNr(030)_WiT_Level(-15)_Complexity(3)_Time(142)_SongNr(51).wav</t>
  </si>
  <si>
    <t>Bass_ItemNr(1833)_SetNr(796)_WiT_Level(-15)_Complexity(3)_Time(142)_SongNr(46).wav</t>
  </si>
  <si>
    <t>Guitar_ItemNr(408)_SetNr(128)_WiT_Level(-15)_Complexity(3)_Time(142)_SongNr(40).wav</t>
  </si>
  <si>
    <t>Piano_ItemNr(3288)_SetNr(403)_WiT_Level(-15)_Complexity(3)_Time(142)_SongNr(39).wav</t>
  </si>
  <si>
    <t>Bass_ItemNr(628)_SetNr(269)_WiT_Level(-15)_Complexity(3)_Time(142)_SongNr(35).wav</t>
  </si>
  <si>
    <t>Lead_ItemNr(3244)_SetNr(797)_WiT_Level(-15)_Complexity(3)_Time(142)_SongNr(27).wav</t>
  </si>
  <si>
    <t>Guitar_ItemNr(1408)_SetNr(426)_WiT_Level(-15)_Complexity(3)_Time(142)_SongNr(105).wav</t>
  </si>
  <si>
    <t>Bass_ItemNr(606)_SetNr(259)_WiT_Level(-15)_Complexity(3)_Time(142)_SongNr(100).wav</t>
  </si>
  <si>
    <t>Guitar_ItemNr(2024)_SetNr(615)_WiT_Level(-15)_Complexity(3)_Time(142)_SongNr(10).wav</t>
  </si>
  <si>
    <t>Lead_ItemNr(1051)_SetNr(183)_WiT_Level(-15)_Complexity(3)_Time(140)_SongNr(86).wav</t>
  </si>
  <si>
    <t>Lead_ItemNr(2154)_SetNr(392)_WiT_Level(-15)_Complexity(3)_Time(140)_SongNr(51).wav</t>
  </si>
  <si>
    <t>Lead_ItemNr(3386)_SetNr(869)_WiT_Level(-15)_Complexity(3)_Time(140)_SongNr(5).wav</t>
  </si>
  <si>
    <t>Piano_ItemNr(3425)_SetNr(430)_WiT_Level(-15)_Complexity(3)_Time(140)_SongNr(23).wav</t>
  </si>
  <si>
    <t>Guitar_ItemNr(2191)_SetNr(674)_WiT_Level(-15)_Complexity(3)_Time(140)_SongNr(110).wav</t>
  </si>
  <si>
    <t>Guitar_ItemNr(2314)_SetNr(728)_WiT_Level(-15)_Complexity(3)_Time(140)_SongNr(10).wav</t>
  </si>
  <si>
    <t>Guitar_ItemNr(136)_SetNr(043)_WiT_Level(-15)_Complexity(3)_Time(14)_SongNr(96).wav</t>
  </si>
  <si>
    <t>Lead_ItemNr(2886)_SetNr(632)_WiT_Level(-15)_Complexity(3)_Time(14)_SongNr(93).wav</t>
  </si>
  <si>
    <t>Guitar_ItemNr(2615)_SetNr(862)_WiT_Level(-15)_Complexity(3)_Time(14)_SongNr(92).wav</t>
  </si>
  <si>
    <t>Guitar_ItemNr(436)_SetNr(138)_WiT_Level(-15)_Complexity(3)_Time(14)_SongNr(89).wav</t>
  </si>
  <si>
    <t>Bass_ItemNr(731)_SetNr(319)_WiT_Level(-15)_Complexity(3)_Time(14)_SongNr(82).wav</t>
  </si>
  <si>
    <t>Bass_ItemNr(1645)_SetNr(720)_WiT_Level(-15)_Complexity(3)_Time(14)_SongNr(80).wav</t>
  </si>
  <si>
    <t>Bass_ItemNr(517)_SetNr(218)_WiT_Level(-15)_Complexity(3)_Time(14)_SongNr(79).wav</t>
  </si>
  <si>
    <t>Bass_ItemNr(1265)_SetNr(553)_WiT_Level(-15)_Complexity(3)_Time(14)_SongNr(68).wav</t>
  </si>
  <si>
    <t>Bass_ItemNr(887)_SetNr(393)_WiT_Level(-15)_Complexity(3)_Time(14)_SongNr(67).wav</t>
  </si>
  <si>
    <t>Guitar_ItemNr(1288)_SetNr(391)_WiT_Level(-15)_Complexity(3)_Time(14)_SongNr(64).wav</t>
  </si>
  <si>
    <t>Bass_ItemNr(2254)_SetNr(928)_WiT_Level(-15)_Complexity(3)_Time(14)_SongNr(58).wav</t>
  </si>
  <si>
    <t>Guitar_ItemNr(2328)_SetNr(735)_WiT_Level(-15)_Complexity(3)_Time(14)_SongNr(41).wav</t>
  </si>
  <si>
    <t>Lead_ItemNr(3360)_SetNr(855)_WiT_Level(-15)_Complexity(3)_Time(14)_SongNr(39).wav</t>
  </si>
  <si>
    <t>Lead_ItemNr(1985)_SetNr(340)_WiT_Level(-15)_Complexity(3)_Time(14)_SongNr(37).wav</t>
  </si>
  <si>
    <t>Lead_ItemNr(2712)_SetNr(564)_WiT_Level(-15)_Complexity(3)_Time(14)_SongNr(35).wav</t>
  </si>
  <si>
    <t>Lead_ItemNr(2151)_SetNr(389)_WiT_Level(-15)_Complexity(3)_Time(14)_SongNr(32).wav</t>
  </si>
  <si>
    <t>Bass_ItemNr(1986)_SetNr(858)_WiT_Level(-15)_Complexity(3)_Time(14)_SongNr(30).wav</t>
  </si>
  <si>
    <t>Piano_ItemNr(2329)_SetNr(224)_WiT_Level(-15)_Complexity(3)_Time(14)_SongNr(23).wav</t>
  </si>
  <si>
    <t>Bass_ItemNr(1045)_SetNr(462)_WiT_Level(-15)_Complexity(3)_Time(14)_SongNr(2).wav</t>
  </si>
  <si>
    <t>Lead_ItemNr(3824)_SetNr(1040)_WiT_Level(-15)_Complexity(3)_Time(14)_SongNr(15).wav</t>
  </si>
  <si>
    <t>Guitar_ItemNr(585)_SetNr(188)_WiT_Level(-15)_Complexity(3)_Time(138)_SongNr(88).wav</t>
  </si>
  <si>
    <t>Lead_ItemNr(1277)_SetNr(220)_WiT_Level(-15)_Complexity(3)_Time(138)_SongNr(86).wav</t>
  </si>
  <si>
    <t>Bass_ItemNr(236)_SetNr(101)_WiT_Level(-15)_Complexity(3)_Time(138)_SongNr(46).wav</t>
  </si>
  <si>
    <t>Lead_ItemNr(115)_SetNr(022)_WiT_Level(-15)_Complexity(3)_Time(138)_SongNr(24).wav</t>
  </si>
  <si>
    <t>Piano_ItemNr(2497)_SetNr(244)_WiT_Level(-15)_Complexity(3)_Time(138)_SongNr(23).wav</t>
  </si>
  <si>
    <t>Piano_ItemNr(3431)_SetNr(431)_WiT_Level(-15)_Complexity(3)_Time(138)_SongNr(103).wav</t>
  </si>
  <si>
    <t>Bass_ItemNr(997)_SetNr(441)_WiT_Level(-15)_Complexity(3)_Time(138)_SongNr(100).wav</t>
  </si>
  <si>
    <t>Bass_ItemNr(797)_SetNr(358)_WiT_Level(-15)_Complexity(3)_Time(136)_SongNr(98).wav</t>
  </si>
  <si>
    <t>Lead_ItemNr(2543)_SetNr(503)_WiT_Level(-15)_Complexity(3)_Time(136)_SongNr(87).wav</t>
  </si>
  <si>
    <t>Guitar_ItemNr(1297)_SetNr(396)_WiT_Level(-15)_Complexity(3)_Time(136)_SongNr(41).wav</t>
  </si>
  <si>
    <t>Guitar_ItemNr(1803)_SetNr(544)_WiT_Level(-15)_Complexity(3)_Time(136)_SongNr(40).wav</t>
  </si>
  <si>
    <t>Lead_ItemNr(3000)_SetNr(685)_WiT_Level(-15)_Complexity(3)_Time(136)_SongNr(24).wav</t>
  </si>
  <si>
    <t>Bass_ItemNr(452)_SetNr(190)_WiT_Level(-15)_Complexity(3)_Time(136)_SongNr(23).wav</t>
  </si>
  <si>
    <t>Lead_ItemNr(2453)_SetNr(469)_WiT_Level(-15)_Complexity(3)_Time(134)_SongNr(86).wav</t>
  </si>
  <si>
    <t>Bass_ItemNr(1758)_SetNr(767)_WiT_Level(-15)_Complexity(3)_Time(134)_SongNr(23).wav</t>
  </si>
  <si>
    <t>Guitar_ItemNr(475)_SetNr(151)_WiT_Level(-15)_Complexity(3)_Time(134)_SongNr(105).wav</t>
  </si>
  <si>
    <t>Lead_ItemNr(1386)_SetNr(233)_WiT_Level(-15)_Complexity(3)_Time(134)_SongNr(103).wav</t>
  </si>
  <si>
    <t>Bass_ItemNr(1435)_SetNr(627)_WiT_Level(-15)_Complexity(3)_Time(134)_SongNr(100).wav</t>
  </si>
  <si>
    <t>Lead_ItemNr(3388)_SetNr(870)_WiT_Level(-15)_Complexity(3)_Time(132)_SongNr(87).wav</t>
  </si>
  <si>
    <t>Lead_ItemNr(159)_SetNr(030)_WiT_Level(-15)_Complexity(3)_Time(132)_SongNr(86).wav</t>
  </si>
  <si>
    <t>Lead_ItemNr(3084)_SetNr(719)_WiT_Level(-15)_Complexity(3)_Time(132)_SongNr(56).wav</t>
  </si>
  <si>
    <t>Guitar_ItemNr(1682)_SetNr(507)_WiT_Level(-15)_Complexity(3)_Time(132)_SongNr(51).wav</t>
  </si>
  <si>
    <t>Bass_ItemNr(1870)_SetNr(815)_WiT_Level(-15)_Complexity(3)_Time(132)_SongNr(35).wav</t>
  </si>
  <si>
    <t>Guitar_ItemNr(838)_SetNr(254)_WiT_Level(-15)_Complexity(3)_Time(132)_SongNr(105).wav</t>
  </si>
  <si>
    <t>Guitar_ItemNr(1378)_SetNr(419)_WiT_Level(-15)_Complexity(3)_Time(130)_SongNr(91).wav</t>
  </si>
  <si>
    <t>Guitar_ItemNr(187)_SetNr(057)_WiT_Level(-15)_Complexity(3)_Time(130)_SongNr(88).wav</t>
  </si>
  <si>
    <t>Bass_ItemNr(799)_SetNr(360)_WiT_Level(-15)_Complexity(3)_Time(130)_SongNr(18).wav</t>
  </si>
  <si>
    <t>Guitar_ItemNr(375)_SetNr(120)_WiT_Level(-15)_Complexity(3)_Time(130)_SongNr(116).wav</t>
  </si>
  <si>
    <t>Guitar_ItemNr(2745)_SetNr(908)_WiT_Level(-15)_Complexity(3)_Time(128)_SongNr(91).wav</t>
  </si>
  <si>
    <t>Lead_ItemNr(2779)_SetNr(596)_WiT_Level(-15)_Complexity(3)_Time(128)_SongNr(86).wav</t>
  </si>
  <si>
    <t>Guitar_ItemNr(1766)_SetNr(530)_WiT_Level(-15)_Complexity(3)_Time(128)_SongNr(57).wav</t>
  </si>
  <si>
    <t>Bass_ItemNr(562)_SetNr(241)_WiT_Level(-15)_Complexity(3)_Time(128)_SongNr(54).wav</t>
  </si>
  <si>
    <t>Lead_ItemNr(2144)_SetNr(387)_WiT_Level(-15)_Complexity(3)_Time(128)_SongNr(36).wav</t>
  </si>
  <si>
    <t>Bass_ItemNr(1356)_SetNr(593)_WiT_Level(-15)_Complexity(3)_Time(128)_SongNr(116).wav</t>
  </si>
  <si>
    <t>Guitar_ItemNr(2010)_SetNr(612)_WiT_Level(-15)_Complexity(3)_Time(128)_SongNr(105).wav</t>
  </si>
  <si>
    <t>Piano_ItemNr(2810)_SetNr(298)_WiT_Level(-15)_Complexity(3)_Time(126)_SongNr(97).wav</t>
  </si>
  <si>
    <t>Guitar_ItemNr(791)_SetNr(243)_WiT_Level(-15)_Complexity(3)_Time(126)_SongNr(91).wav</t>
  </si>
  <si>
    <t>Lead_ItemNr(2103)_SetNr(377)_WiT_Level(-15)_Complexity(3)_Time(126)_SongNr(86).wav</t>
  </si>
  <si>
    <t>Bass_ItemNr(1048)_SetNr(464)_WiT_Level(-15)_Complexity(3)_Time(126)_SongNr(85).wav</t>
  </si>
  <si>
    <t>Lead_ItemNr(1589)_SetNr(274)_WiT_Level(-15)_Complexity(3)_Time(126)_SongNr(5).wav</t>
  </si>
  <si>
    <t>Guitar_ItemNr(2110)_SetNr(643)_WiT_Level(-15)_Complexity(3)_Time(126)_SongNr(43).wav</t>
  </si>
  <si>
    <t>Lead_ItemNr(721)_SetNr(128)_WiT_Level(-15)_Complexity(3)_Time(126)_SongNr(36).wav</t>
  </si>
  <si>
    <t>Piano_ItemNr(2941)_SetNr(328)_WiT_Level(-15)_Complexity(3)_Time(126)_SongNr(28).wav</t>
  </si>
  <si>
    <t>Guitar_ItemNr(1908)_SetNr(579)_WiT_Level(-15)_Complexity(3)_Time(126)_SongNr(105).wav</t>
  </si>
  <si>
    <t>Piano_ItemNr(3719)_SetNr(472)_WiT_Level(-15)_Complexity(3)_Time(126)_SongNr(104).wav</t>
  </si>
  <si>
    <t>Bass_ItemNr(510)_SetNr(211)_WiT_Level(-15)_Complexity(3)_Time(124)_SongNr(99).wav</t>
  </si>
  <si>
    <t>Bass_ItemNr(895)_SetNr(397)_WiT_Level(-15)_Complexity(3)_Time(124)_SongNr(95).wav</t>
  </si>
  <si>
    <t>Guitar_ItemNr(2474)_SetNr(802)_WiT_Level(-15)_Complexity(3)_Time(124)_SongNr(88).wav</t>
  </si>
  <si>
    <t>Bass_ItemNr(633)_SetNr(273)_WiT_Level(-15)_Complexity(3)_Time(124)_SongNr(85).wav</t>
  </si>
  <si>
    <t>Piano_ItemNr(3368)_SetNr(418)_WiT_Level(-15)_Complexity(3)_Time(124)_SongNr(40).wav</t>
  </si>
  <si>
    <t>Lead_ItemNr(3471)_SetNr(910)_WiT_Level(-15)_Complexity(3)_Time(124)_SongNr(36).wav</t>
  </si>
  <si>
    <t>Piano_ItemNr(2891)_SetNr(315)_WiT_Level(-15)_Complexity(3)_Time(124)_SongNr(28).wav</t>
  </si>
  <si>
    <t>Lead_ItemNr(119)_SetNr(023)_WiT_Level(-15)_Complexity(3)_Time(124)_SongNr(12).wav</t>
  </si>
  <si>
    <t>Guitar_ItemNr(1537)_SetNr(470)_WiT_Level(-15)_Complexity(3)_Time(124)_SongNr(105).wav</t>
  </si>
  <si>
    <t>Bass_ItemNr(742)_SetNr(327)_WiT_Level(-15)_Complexity(3)_Time(124)_SongNr(100).wav</t>
  </si>
  <si>
    <t>Guitar_ItemNr(663)_SetNr(207)_WiT_Level(-15)_Complexity(3)_Time(122)_SongNr(91).wav</t>
  </si>
  <si>
    <t>Guitar_ItemNr(1647)_SetNr(495)_WiT_Level(-15)_Complexity(3)_Time(122)_SongNr(46).wav</t>
  </si>
  <si>
    <t>Lead_ItemNr(3313)_SetNr(836)_WiT_Level(-15)_Complexity(3)_Time(122)_SongNr(36).wav</t>
  </si>
  <si>
    <t>Piano_ItemNr(2780)_SetNr(291)_WiT_Level(-15)_Complexity(3)_Time(122)_SongNr(28).wav</t>
  </si>
  <si>
    <t>Lead_ItemNr(2121)_SetNr(380)_WiT_Level(-15)_Complexity(3)_Time(122)_SongNr(20).wav</t>
  </si>
  <si>
    <t>Piano_ItemNr(238)_SetNr(021)_WiT_Level(-15)_Complexity(3)_Time(122)_SongNr(12).wav</t>
  </si>
  <si>
    <t>Lead_ItemNr(2729)_SetNr(572)_WiT_Level(-15)_Complexity(3)_Time(122)_SongNr(111).wav</t>
  </si>
  <si>
    <t>Piano_ItemNr(3775)_SetNr(480)_WiT_Level(-15)_Complexity(3)_Time(122)_SongNr(104).wav</t>
  </si>
  <si>
    <t>Bass_ItemNr(1148)_SetNr(511)_WiT_Level(-15)_Complexity(3)_Time(122)_SongNr(100).wav</t>
  </si>
  <si>
    <t>Bass_ItemNr(351)_SetNr(148)_WiT_Level(-15)_Complexity(3)_Time(120)_SongNr(92).wav</t>
  </si>
  <si>
    <t>Guitar_ItemNr(2828)_SetNr(929)_WiT_Level(-15)_Complexity(3)_Time(120)_SongNr(91).wav</t>
  </si>
  <si>
    <t>Guitar_ItemNr(363)_SetNr(115)_WiT_Level(-15)_Complexity(3)_Time(120)_SongNr(88).wav</t>
  </si>
  <si>
    <t>Lead_ItemNr(3510)_SetNr(924)_WiT_Level(-15)_Complexity(3)_Time(120)_SongNr(87).wav</t>
  </si>
  <si>
    <t>Guitar_ItemNr(2522)_SetNr(821)_WiT_Level(-15)_Complexity(3)_Time(120)_SongNr(66).wav</t>
  </si>
  <si>
    <t>Lead_ItemNr(1097)_SetNr(188)_WiT_Level(-15)_Complexity(3)_Time(120)_SongNr(36).wav</t>
  </si>
  <si>
    <t>Piano_ItemNr(2468)_SetNr(239)_WiT_Level(-15)_Complexity(3)_Time(120)_SongNr(28).wav</t>
  </si>
  <si>
    <t>Lead_ItemNr(3392)_SetNr(873)_WiT_Level(-15)_Complexity(3)_Time(120)_SongNr(23).wav</t>
  </si>
  <si>
    <t>Bass_ItemNr(1771)_SetNr(771)_WiT_Level(-15)_Complexity(3)_Time(120)_SongNr(100).wav</t>
  </si>
  <si>
    <t>Guitar_ItemNr(1096)_SetNr(330)_WiT_Level(-15)_Complexity(3)_Time(120)_SongNr(10).wav</t>
  </si>
  <si>
    <t>Guitar_ItemNr(132)_SetNr(040)_WiT_Level(-15)_Complexity(3)_Time(12)_SongNr(93).wav</t>
  </si>
  <si>
    <t>Bass_ItemNr(2198)_SetNr(912)_WiT_Level(-15)_Complexity(3)_Time(12)_SongNr(89).wav</t>
  </si>
  <si>
    <t>Lead_ItemNr(3365)_SetNr(858)_WiT_Level(-15)_Complexity(3)_Time(12)_SongNr(84).wav</t>
  </si>
  <si>
    <t>Bass_ItemNr(66)_SetNr(034)_WiT_Level(-15)_Complexity(3)_Time(12)_SongNr(82).wav</t>
  </si>
  <si>
    <t>Guitar_ItemNr(609)_SetNr(195)_WiT_Level(-15)_Complexity(3)_Time(12)_SongNr(80).wav</t>
  </si>
  <si>
    <t>Bass_ItemNr(918)_SetNr(404)_WiT_Level(-15)_Complexity(3)_Time(12)_SongNr(79).wav</t>
  </si>
  <si>
    <t>Guitar_ItemNr(124)_SetNr(037)_WiT_Level(-15)_Complexity(3)_Time(12)_SongNr(76).wav</t>
  </si>
  <si>
    <t>Bass_ItemNr(1973)_SetNr(854)_WiT_Level(-15)_Complexity(3)_Time(12)_SongNr(57).wav</t>
  </si>
  <si>
    <t>Guitar_ItemNr(958)_SetNr(291)_WiT_Level(-15)_Complexity(3)_Time(12)_SongNr(47).wav</t>
  </si>
  <si>
    <t>Bass_ItemNr(1935)_SetNr(836)_WiT_Level(-15)_Complexity(3)_Time(12)_SongNr(46).wav</t>
  </si>
  <si>
    <t>Lead_ItemNr(3417)_SetNr(882)_WiT_Level(-15)_Complexity(3)_Time(12)_SongNr(37).wav</t>
  </si>
  <si>
    <t>Bass_ItemNr(1102)_SetNr(490)_WiT_Level(-15)_Complexity(3)_Time(12)_SongNr(30).wav</t>
  </si>
  <si>
    <t>Bass_ItemNr(1545)_SetNr(673)_WiT_Level(-15)_Complexity(3)_Time(12)_SongNr(23).wav</t>
  </si>
  <si>
    <t>Piano_ItemNr(157)_SetNr(012)_WiT_Level(-15)_Complexity(3)_Time(12)_SongNr(20).wav</t>
  </si>
  <si>
    <t>Guitar_ItemNr(2174)_SetNr(667)_WiT_Level(-15)_Complexity(3)_Time(12)_SongNr(113).wav</t>
  </si>
  <si>
    <t>Bass_ItemNr(2075)_SetNr(877)_WiT_Level(-15)_Complexity(3)_Time(12)_SongNr(100).wav</t>
  </si>
  <si>
    <t>Bass_ItemNr(556)_SetNr(236)_WiT_Level(-15)_Complexity(3)_Time(118)_SongNr(99).wav</t>
  </si>
  <si>
    <t>Guitar_ItemNr(1721)_SetNr(523)_WiT_Level(-15)_Complexity(3)_Time(118)_SongNr(88).wav</t>
  </si>
  <si>
    <t>Lead_ItemNr(1632)_SetNr(283)_WiT_Level(-15)_Complexity(3)_Time(118)_SongNr(87).wav</t>
  </si>
  <si>
    <t>Bass_ItemNr(1621)_SetNr(704)_WiT_Level(-15)_Complexity(3)_Time(118)_SongNr(84).wav</t>
  </si>
  <si>
    <t>Bass_ItemNr(1979)_SetNr(856)_WiT_Level(-15)_Complexity(3)_Time(118)_SongNr(66).wav</t>
  </si>
  <si>
    <t>Guitar_ItemNr(2720)_SetNr(900)_WiT_Level(-15)_Complexity(3)_Time(118)_SongNr(57).wav</t>
  </si>
  <si>
    <t>Lead_ItemNr(3860)_SetNr(1052)_WiT_Level(-15)_Complexity(3)_Time(118)_SongNr(56).wav</t>
  </si>
  <si>
    <t>Lead_ItemNr(3584)_SetNr(954)_WiT_Level(-15)_Complexity(3)_Time(118)_SongNr(5).wav</t>
  </si>
  <si>
    <t>Guitar_ItemNr(2506)_SetNr(812)_WiT_Level(-15)_Complexity(3)_Time(118)_SongNr(43).wav</t>
  </si>
  <si>
    <t>Lead_ItemNr(2931)_SetNr(652)_WiT_Level(-15)_Complexity(3)_Time(118)_SongNr(36).wav</t>
  </si>
  <si>
    <t>Bass_ItemNr(2083)_SetNr(881)_WiT_Level(-15)_Complexity(3)_Time(118)_SongNr(35).wav</t>
  </si>
  <si>
    <t>Piano_ItemNr(2372)_SetNr(228)_WiT_Level(-15)_Complexity(3)_Time(118)_SongNr(28).wav</t>
  </si>
  <si>
    <t>Bass_ItemNr(1165)_SetNr(519)_WiT_Level(-15)_Complexity(3)_Time(116)_SongNr(99).wav</t>
  </si>
  <si>
    <t>Bass_ItemNr(2134)_SetNr(898)_WiT_Level(-15)_Complexity(3)_Time(116)_SongNr(84).wav</t>
  </si>
  <si>
    <t>Bass_ItemNr(1377)_SetNr(603)_WiT_Level(-15)_Complexity(3)_Time(116)_SongNr(46).wav</t>
  </si>
  <si>
    <t>Lead_ItemNr(591)_SetNr(103)_WiT_Level(-15)_Complexity(3)_Time(116)_SongNr(36).wav</t>
  </si>
  <si>
    <t>Piano_ItemNr(446)_SetNr(038)_WiT_Level(-15)_Complexity(3)_Time(116)_SongNr(28).wav</t>
  </si>
  <si>
    <t>Bass_ItemNr(1344)_SetNr(587)_WiT_Level(-15)_Complexity(3)_Time(114)_SongNr(92).wav</t>
  </si>
  <si>
    <t>Piano_ItemNr(3703)_SetNr(470)_WiT_Level(-15)_Complexity(3)_Time(114)_SongNr(40).wav</t>
  </si>
  <si>
    <t>Lead_ItemNr(3488)_SetNr(917)_WiT_Level(-15)_Complexity(3)_Time(114)_SongNr(36).wav</t>
  </si>
  <si>
    <t>Piano_ItemNr(1186)_SetNr(102)_WiT_Level(-15)_Complexity(3)_Time(114)_SongNr(28).wav</t>
  </si>
  <si>
    <t>Bass_ItemNr(376)_SetNr(159)_WiT_Level(-15)_Complexity(3)_Time(114)_SongNr(16).wav</t>
  </si>
  <si>
    <t>Guitar_ItemNr(2863)_SetNr(940)_WiT_Level(-15)_Complexity(3)_Time(114)_SongNr(105).wav</t>
  </si>
  <si>
    <t>Bass_ItemNr(1463)_SetNr(640)_WiT_Level(-15)_Complexity(3)_Time(114)_SongNr(100).wav</t>
  </si>
  <si>
    <t>Guitar_ItemNr(2367)_SetNr(755)_WiT_Level(-15)_Complexity(3)_Time(112)_SongNr(92).wav</t>
  </si>
  <si>
    <t>Guitar_ItemNr(2520)_SetNr(820)_WiT_Level(-15)_Complexity(3)_Time(112)_SongNr(91).wav</t>
  </si>
  <si>
    <t>Guitar_ItemNr(2673)_SetNr(889)_WiT_Level(-15)_Complexity(3)_Time(112)_SongNr(88).wav</t>
  </si>
  <si>
    <t>Guitar_ItemNr(2648)_SetNr(877)_WiT_Level(-15)_Complexity(3)_Time(112)_SongNr(57).wav</t>
  </si>
  <si>
    <t>Lead_ItemNr(3687)_SetNr(992)_WiT_Level(-15)_Complexity(3)_Time(112)_SongNr(56).wav</t>
  </si>
  <si>
    <t>Lead_ItemNr(1694)_SetNr(289)_WiT_Level(-15)_Complexity(3)_Time(112)_SongNr(36).wav</t>
  </si>
  <si>
    <t>Piano_ItemNr(3122)_SetNr(369)_WiT_Level(-15)_Complexity(3)_Time(112)_SongNr(28).wav</t>
  </si>
  <si>
    <t>Bass_ItemNr(1306)_SetNr(566)_WiT_Level(-15)_Complexity(3)_Time(112)_SongNr(103).wav</t>
  </si>
  <si>
    <t>Lead_ItemNr(2921)_SetNr(645)_WiT_Level(-15)_Complexity(3)_Time(110)_SongNr(95).wav</t>
  </si>
  <si>
    <t>Guitar_ItemNr(152)_SetNr(047)_WiT_Level(-15)_Complexity(3)_Time(110)_SongNr(91).wav</t>
  </si>
  <si>
    <t>Guitar_ItemNr(278)_SetNr(084)_WiT_Level(-15)_Complexity(3)_Time(110)_SongNr(88).wav</t>
  </si>
  <si>
    <t>Guitar_ItemNr(378)_SetNr(121)_WiT_Level(-15)_Complexity(3)_Time(110)_SongNr(8).wav</t>
  </si>
  <si>
    <t>Lead_ItemNr(1313)_SetNr(225)_WiT_Level(-15)_Complexity(3)_Time(110)_SongNr(52).wav</t>
  </si>
  <si>
    <t>Lead_ItemNr(1427)_SetNr(240)_WiT_Level(-15)_Complexity(3)_Time(110)_SongNr(36).wav</t>
  </si>
  <si>
    <t>Piano_ItemNr(617)_SetNr(049)_WiT_Level(-15)_Complexity(3)_Time(110)_SongNr(28).wav</t>
  </si>
  <si>
    <t>Guitar_ItemNr(138)_SetNr(044)_WiT_Level(-15)_Complexity(3)_Time(110)_SongNr(112).wav</t>
  </si>
  <si>
    <t>Bass_ItemNr(1429)_SetNr(626)_WiT_Level(-15)_Complexity(3)_Time(110)_SongNr(106).wav</t>
  </si>
  <si>
    <t>Guitar_ItemNr(2249)_SetNr(698)_WiT_Level(-15)_Complexity(3)_Time(110)_SongNr(105).wav</t>
  </si>
  <si>
    <t>Bass_ItemNr(1443)_SetNr(630)_WiT_Level(-15)_Complexity(3)_Time(110)_SongNr(10).wav</t>
  </si>
  <si>
    <t>Lead_ItemNr(1190)_SetNr(203)_WiT_Level(-15)_Complexity(3)_Time(108)_SongNr(93).wav</t>
  </si>
  <si>
    <t>Guitar_ItemNr(538)_SetNr(174)_WiT_Level(-15)_Complexity(3)_Time(108)_SongNr(91).wav</t>
  </si>
  <si>
    <t>Guitar_ItemNr(2478)_SetNr(803)_WiT_Level(-15)_Complexity(3)_Time(108)_SongNr(88).wav</t>
  </si>
  <si>
    <t>Bass_ItemNr(1196)_SetNr(527)_WiT_Level(-15)_Complexity(3)_Time(108)_SongNr(84).wav</t>
  </si>
  <si>
    <t>Bass_ItemNr(1685)_SetNr(737)_WiT_Level(-15)_Complexity(3)_Time(108)_SongNr(54).wav</t>
  </si>
  <si>
    <t>Bass_ItemNr(1484)_SetNr(650)_WiT_Level(-15)_Complexity(3)_Time(108)_SongNr(53).wav</t>
  </si>
  <si>
    <t>Piano_ItemNr(2087)_SetNr(200)_WiT_Level(-15)_Complexity(3)_Time(108)_SongNr(28).wav</t>
  </si>
  <si>
    <t>Guitar_ItemNr(1966)_SetNr(595)_WiT_Level(-15)_Complexity(3)_Time(106)_SongNr(94).wav</t>
  </si>
  <si>
    <t>Guitar_ItemNr(2276)_SetNr(711)_WiT_Level(-15)_Complexity(3)_Time(106)_SongNr(91).wav</t>
  </si>
  <si>
    <t>Bass_ItemNr(490)_SetNr(202)_WiT_Level(-15)_Complexity(3)_Time(106)_SongNr(84).wav</t>
  </si>
  <si>
    <t>Lead_ItemNr(3128)_SetNr(737)_WiT_Level(-15)_Complexity(3)_Time(106)_SongNr(36).wav</t>
  </si>
  <si>
    <t>Guitar_ItemNr(847)_SetNr(256)_WiT_Level(-15)_Complexity(3)_Time(106)_SongNr(33).wav</t>
  </si>
  <si>
    <t>Piano_ItemNr(3104)_SetNr(363)_WiT_Level(-15)_Complexity(3)_Time(106)_SongNr(28).wav</t>
  </si>
  <si>
    <t>Guitar_ItemNr(2366)_SetNr(754)_WiT_Level(-15)_Complexity(3)_Time(106)_SongNr(105).wav</t>
  </si>
  <si>
    <t>Bass_ItemNr(67)_SetNr(035)_WiT_Level(-15)_Complexity(3)_Time(106)_SongNr(100).wav</t>
  </si>
  <si>
    <t>Guitar_ItemNr(1315)_SetNr(402)_WiT_Level(-15)_Complexity(3)_Time(104)_SongNr(91).wav</t>
  </si>
  <si>
    <t>Piano_ItemNr(1813)_SetNr(167)_WiT_Level(-15)_Complexity(3)_Time(104)_SongNr(42).wav</t>
  </si>
  <si>
    <t>Guitar_ItemNr(2466)_SetNr(800)_WiT_Level(-15)_Complexity(3)_Time(104)_SongNr(38).wav</t>
  </si>
  <si>
    <t>Lead_ItemNr(2309)_SetNr(419)_WiT_Level(-15)_Complexity(3)_Time(104)_SongNr(36).wav</t>
  </si>
  <si>
    <t>Piano_ItemNr(2179)_SetNr(208)_WiT_Level(-15)_Complexity(3)_Time(104)_SongNr(28).wav</t>
  </si>
  <si>
    <t>Piano_ItemNr(82)_SetNr(004)_WiT_Level(-15)_Complexity(3)_Time(104)_SongNr(12).wav</t>
  </si>
  <si>
    <t>Guitar_ItemNr(2765)_SetNr(915)_WiT_Level(-15)_Complexity(3)_Time(104)_SongNr(112).wav</t>
  </si>
  <si>
    <t>Lead_ItemNr(3454)_SetNr(901)_WiT_Level(-15)_Complexity(3)_Time(104)_SongNr(111).wav</t>
  </si>
  <si>
    <t>Guitar_ItemNr(2324)_SetNr(733)_WiT_Level(-15)_Complexity(3)_Time(104)_SongNr(105).wav</t>
  </si>
  <si>
    <t>Bass_ItemNr(2122)_SetNr(893)_WiT_Level(-15)_Complexity(3)_Time(1038)_SongNr(54).wav</t>
  </si>
  <si>
    <t>Bass_ItemNr(1145)_SetNr(509)_WiT_Level(-15)_Complexity(3)_Time(1020)_SongNr(54).wav</t>
  </si>
  <si>
    <t>Guitar_ItemNr(1525)_SetNr(465)_WiT_Level(-15)_Complexity(3)_Time(102)_SongNr(88).wav</t>
  </si>
  <si>
    <t>Piano_ItemNr(1924)_SetNr(180)_WiT_Level(-15)_Complexity(3)_Time(102)_SongNr(42).wav</t>
  </si>
  <si>
    <t>Lead_ItemNr(3335)_SetNr(842)_WiT_Level(-15)_Complexity(3)_Time(102)_SongNr(36).wav</t>
  </si>
  <si>
    <t>Lead_ItemNr(1581)_SetNr(272)_WiT_Level(-15)_Complexity(3)_Time(102)_SongNr(34).wav</t>
  </si>
  <si>
    <t>Piano_ItemNr(1041)_SetNr(089)_WiT_Level(-15)_Complexity(3)_Time(102)_SongNr(28).wav</t>
  </si>
  <si>
    <t>Guitar_ItemNr(706)_SetNr(215)_WiT_Level(-15)_Complexity(3)_Time(102)_SongNr(14).wav</t>
  </si>
  <si>
    <t>Guitar_ItemNr(2295)_SetNr(719)_WiT_Level(-15)_Complexity(3)_Time(102)_SongNr(108).wav</t>
  </si>
  <si>
    <t>Bass_ItemNr(782)_SetNr(351)_WiT_Level(-15)_Complexity(3)_Time(102)_SongNr(106).wav</t>
  </si>
  <si>
    <t>Guitar_ItemNr(2666)_SetNr(885)_WiT_Level(-15)_Complexity(3)_Time(102)_SongNr(105).wav</t>
  </si>
  <si>
    <t>Bass_ItemNr(1916)_SetNr(829)_WiT_Level(-15)_Complexity(3)_Time(102)_SongNr(103).wav</t>
  </si>
  <si>
    <t>Bass_ItemNr(1505)_SetNr(660)_WiT_Level(-15)_Complexity(3)_Time(1012)_SongNr(54).wav</t>
  </si>
  <si>
    <t>Bass_ItemNr(406)_SetNr(174)_WiT_Level(-15)_Complexity(3)_Time(100)_SongNr(95).wav</t>
  </si>
  <si>
    <t>Guitar_ItemNr(326)_SetNr(103)_WiT_Level(-15)_Complexity(3)_Time(100)_SongNr(89).wav</t>
  </si>
  <si>
    <t>Bass_ItemNr(458)_SetNr(192)_WiT_Level(-15)_Complexity(3)_Time(100)_SongNr(58).wav</t>
  </si>
  <si>
    <t>Piano_ItemNr(612)_SetNr(048)_WiT_Level(-15)_Complexity(3)_Time(100)_SongNr(42).wav</t>
  </si>
  <si>
    <t>Lead_ItemNr(2820)_SetNr(610)_WiT_Level(-15)_Complexity(3)_Time(100)_SongNr(36).wav</t>
  </si>
  <si>
    <t>Piano_ItemNr(1544)_SetNr(142)_WiT_Level(-15)_Complexity(3)_Time(100)_SongNr(28).wav</t>
  </si>
  <si>
    <t>Guitar_ItemNr(2725)_SetNr(902)_WiT_Level(-15)_Complexity(3)_Time(100)_SongNr(114).wav</t>
  </si>
  <si>
    <t>Guitar_ItemNr(2628)_SetNr(867)_WiT_Level(-15)_Complexity(3)_Time(100)_SongNr(112).wav</t>
  </si>
  <si>
    <t>Guitar_ItemNr(715)_SetNr(220)_WiT_Level(-15)_Complexity(3)_Time(100)_SongNr(10).wav</t>
  </si>
  <si>
    <t>Guitar_ItemNr(105)_SetNr(032)_WiT_Level(-15)_Complexity(3)_Time(10)_SongNr(94).wav</t>
  </si>
  <si>
    <t>Bass_ItemNr(1613)_SetNr(698)_WiT_Level(-15)_Complexity(3)_Time(10)_SongNr(85).wav</t>
  </si>
  <si>
    <t>Lead_ItemNr(3410)_SetNr(880)_WiT_Level(-15)_Complexity(3)_Time(10)_SongNr(84).wav</t>
  </si>
  <si>
    <t>Bass_ItemNr(626)_SetNr(268)_WiT_Level(-15)_Complexity(3)_Time(10)_SongNr(82).wav</t>
  </si>
  <si>
    <t>Guitar_ItemNr(1580)_SetNr(480)_WiT_Level(-15)_Complexity(3)_Time(10)_SongNr(80).wav</t>
  </si>
  <si>
    <t>Guitar_ItemNr(315)_SetNr(097)_WiT_Level(-15)_Complexity(3)_Time(10)_SongNr(79).wav</t>
  </si>
  <si>
    <t>Guitar_ItemNr(643)_SetNr(201)_WiT_Level(-15)_Complexity(3)_Time(10)_SongNr(78).wav</t>
  </si>
  <si>
    <t>Bass_ItemNr(1403)_SetNr(614)_WiT_Level(-15)_Complexity(3)_Time(10)_SongNr(58).wav</t>
  </si>
  <si>
    <t>Guitar_ItemNr(225)_SetNr(068)_WiT_Level(-15)_Complexity(3)_Time(10)_SongNr(47).wav</t>
  </si>
  <si>
    <t>Guitar_ItemNr(981)_SetNr(296)_WiT_Level(-15)_Complexity(3)_Time(10)_SongNr(38).wav</t>
  </si>
  <si>
    <t>Bass_ItemNr(1780)_SetNr(773)_WiT_Level(-15)_Complexity(3)_Time(10)_SongNr(14).wav</t>
  </si>
  <si>
    <t>Guitar_ItemNr(1793)_SetNr(540)_WiT_Level(-15)_Complexity(3)_Time(0)_SongNr(94).wav</t>
  </si>
  <si>
    <t>Guitar_ItemNr(1553)_SetNr(474)_WiT_Level(-15)_Complexity(3)_Time(0)_SongNr(92).wav</t>
  </si>
  <si>
    <t>Bass_ItemNr(217)_SetNr(090)_WiT_Level(-15)_Complexity(3)_Time(0)_SongNr(82).wav</t>
  </si>
  <si>
    <t>Bass_ItemNr(1348)_SetNr(590)_WiT_Level(-15)_Complexity(3)_Time(0)_SongNr(80).wav</t>
  </si>
  <si>
    <t>Guitar_ItemNr(60)_SetNr(018)_WiT_Level(-15)_Complexity(3)_Time(0)_SongNr(79).wav</t>
  </si>
  <si>
    <t>Guitar_ItemNr(252)_SetNr(073)_WiT_Level(-15)_Complexity(3)_Time(0)_SongNr(75).wav</t>
  </si>
  <si>
    <t>Bass_ItemNr(355)_SetNr(149)_WiT_Level(-15)_Complexity(3)_Time(0)_SongNr(68).wav</t>
  </si>
  <si>
    <t>Piano_ItemNr(3145)_SetNr(379)_WiT_Level(-15)_Complexity(3)_Time(0)_SongNr(63).wav</t>
  </si>
  <si>
    <t>Guitar_ItemNr(1340)_SetNr(407)_WiT_Level(-15)_Complexity(3)_Time(0)_SongNr(58).wav</t>
  </si>
  <si>
    <t>Guitar_ItemNr(1480)_SetNr(450)_WiT_Level(-15)_Complexity(3)_Time(0)_SongNr(37).wav</t>
  </si>
  <si>
    <t>Lead_ItemNr(768)_SetNr(132)_WiT_Level(-15)_Complexity(3)_Time(0)_SongNr(32).wav</t>
  </si>
  <si>
    <t>Guitar_ItemNr(61)_SetNr(019)_WiT_Level(-15)_Complexity(3)_Time(0)_SongNr(101).wav</t>
  </si>
  <si>
    <t>Complexity(6)_Time(96)_SongNr(13).wav</t>
  </si>
  <si>
    <t>Complexity(6)_Time(94)_SongNr(84).wav</t>
  </si>
  <si>
    <t>Complexity(6)_Time(88)_SongNr(4).wav</t>
  </si>
  <si>
    <t>Complexity(6)_Time(84)_SongNr(4).wav</t>
  </si>
  <si>
    <t>Complexity(6)_Time(84)_SongNr(27).wav</t>
  </si>
  <si>
    <t>Complexity(6)_Time(84)_SongNr(1).wav</t>
  </si>
  <si>
    <t>Complexity(6)_Time(82)_SongNr(4).wav</t>
  </si>
  <si>
    <t>Complexity(6)_Time(82)_SongNr(104).wav</t>
  </si>
  <si>
    <t>Complexity(6)_Time(80)_SongNr(4).wav</t>
  </si>
  <si>
    <t>Complexity(6)_Time(80)_SongNr(102).wav</t>
  </si>
  <si>
    <t>Complexity(6)_Time(80)_SongNr(1).wav</t>
  </si>
  <si>
    <t>Complexity(6)_Time(78)_SongNr(8).wav</t>
  </si>
  <si>
    <t>Complexity(6)_Time(78)_SongNr(4).wav</t>
  </si>
  <si>
    <t>Complexity(6)_Time(78)_SongNr(14).wav</t>
  </si>
  <si>
    <t>Complexity(6)_Time(76)_SongNr(4).wav</t>
  </si>
  <si>
    <t>Complexity(6)_Time(74)_SongNr(4).wav</t>
  </si>
  <si>
    <t>Complexity(6)_Time(74)_SongNr(104).wav</t>
  </si>
  <si>
    <t>Complexity(6)_Time(72)_SongNr(84).wav</t>
  </si>
  <si>
    <t>Complexity(6)_Time(72)_SongNr(4).wav</t>
  </si>
  <si>
    <t>Complexity(6)_Time(72)_SongNr(1).wav</t>
  </si>
  <si>
    <t>Complexity(6)_Time(70)_SongNr(84).wav</t>
  </si>
  <si>
    <t>Complexity(6)_Time(70)_SongNr(4).wav</t>
  </si>
  <si>
    <t>Complexity(6)_Time(70)_SongNr(104).wav</t>
  </si>
  <si>
    <t>Complexity(6)_Time(68)_SongNr(84).wav</t>
  </si>
  <si>
    <t>Complexity(6)_Time(68)_SongNr(4).wav</t>
  </si>
  <si>
    <t>Complexity(6)_Time(66)_SongNr(104).wav</t>
  </si>
  <si>
    <t>Complexity(6)_Time(64)_SongNr(38).wav</t>
  </si>
  <si>
    <t>Complexity(6)_Time(64)_SongNr(27).wav</t>
  </si>
  <si>
    <t>Complexity(6)_Time(64)_SongNr(102).wav</t>
  </si>
  <si>
    <t>Complexity(6)_Time(62)_SongNr(84).wav</t>
  </si>
  <si>
    <t>Complexity(6)_Time(62)_SongNr(104).wav</t>
  </si>
  <si>
    <t>Complexity(6)_Time(6)_SongNr(1).wav</t>
  </si>
  <si>
    <t>Complexity(6)_Time(56)_SongNr(102).wav</t>
  </si>
  <si>
    <t>Complexity(6)_Time(54)_SongNr(102).wav</t>
  </si>
  <si>
    <t>Complexity(6)_Time(52)_SongNr(102).wav</t>
  </si>
  <si>
    <t>Complexity(6)_Time(50)_SongNr(52).wav</t>
  </si>
  <si>
    <t>Complexity(6)_Time(50)_SongNr(102).wav</t>
  </si>
  <si>
    <t>Complexity(6)_Time(50)_SongNr(1).wav</t>
  </si>
  <si>
    <t>Complexity(6)_Time(48)_SongNr(1).wav</t>
  </si>
  <si>
    <t>Complexity(6)_Time(46)_SongNr(84).wav</t>
  </si>
  <si>
    <t>Complexity(6)_Time(46)_SongNr(102).wav</t>
  </si>
  <si>
    <t>Complexity(6)_Time(46)_SongNr(1).wav</t>
  </si>
  <si>
    <t>Complexity(6)_Time(448)_SongNr(5).wav</t>
  </si>
  <si>
    <t>Complexity(6)_Time(44)_SongNr(84).wav</t>
  </si>
  <si>
    <t>Complexity(6)_Time(426)_SongNr(5).wav</t>
  </si>
  <si>
    <t>Complexity(6)_Time(42)_SongNr(102).wav</t>
  </si>
  <si>
    <t>Complexity(6)_Time(418)_SongNr(5).wav</t>
  </si>
  <si>
    <t>Complexity(6)_Time(4)_SongNr(1).wav</t>
  </si>
  <si>
    <t>Complexity(6)_Time(380)_SongNr(52).wav</t>
  </si>
  <si>
    <t>Complexity(6)_Time(36)_SongNr(84).wav</t>
  </si>
  <si>
    <t>Complexity(6)_Time(36)_SongNr(102).wav</t>
  </si>
  <si>
    <t>Complexity(6)_Time(34)_SongNr(84).wav</t>
  </si>
  <si>
    <t>Complexity(6)_Time(34)_SongNr(102).wav</t>
  </si>
  <si>
    <t>Complexity(6)_Time(34)_SongNr(1).wav</t>
  </si>
  <si>
    <t>Complexity(6)_Time(334)_SongNr(52).wav</t>
  </si>
  <si>
    <t>Complexity(6)_Time(332)_SongNr(52).wav</t>
  </si>
  <si>
    <t>Complexity(6)_Time(328)_SongNr(52).wav</t>
  </si>
  <si>
    <t>Complexity(6)_Time(326)_SongNr(52).wav</t>
  </si>
  <si>
    <t>Complexity(6)_Time(322)_SongNr(104).wav</t>
  </si>
  <si>
    <t>Complexity(6)_Time(320)_SongNr(14).wav</t>
  </si>
  <si>
    <t>Complexity(6)_Time(32)_SongNr(84).wav</t>
  </si>
  <si>
    <t>Complexity(6)_Time(302)_SongNr(14).wav</t>
  </si>
  <si>
    <t>Complexity(6)_Time(298)_SongNr(14).wav</t>
  </si>
  <si>
    <t>Complexity(6)_Time(294)_SongNr(14).wav</t>
  </si>
  <si>
    <t>Complexity(6)_Time(292)_SongNr(14).wav</t>
  </si>
  <si>
    <t>Complexity(6)_Time(290)_SongNr(104).wav</t>
  </si>
  <si>
    <t>Complexity(6)_Time(284)_SongNr(14).wav</t>
  </si>
  <si>
    <t>Complexity(6)_Time(282)_SongNr(14).wav</t>
  </si>
  <si>
    <t>Complexity(6)_Time(280)_SongNr(14).wav</t>
  </si>
  <si>
    <t>Complexity(6)_Time(272)_SongNr(104).wav</t>
  </si>
  <si>
    <t>Complexity(6)_Time(270)_SongNr(14).wav</t>
  </si>
  <si>
    <t>Complexity(6)_Time(258)_SongNr(87).wav</t>
  </si>
  <si>
    <t>Complexity(6)_Time(256)_SongNr(4).wav</t>
  </si>
  <si>
    <t>Complexity(6)_Time(254)_SongNr(4).wav</t>
  </si>
  <si>
    <t>Complexity(6)_Time(254)_SongNr(104).wav</t>
  </si>
  <si>
    <t>Complexity(6)_Time(252)_SongNr(4).wav</t>
  </si>
  <si>
    <t>Complexity(6)_Time(250)_SongNr(4).wav</t>
  </si>
  <si>
    <t>Complexity(6)_Time(250)_SongNr(34).wav</t>
  </si>
  <si>
    <t>Complexity(6)_Time(250)_SongNr(104).wav</t>
  </si>
  <si>
    <t>Complexity(6)_Time(248)_SongNr(31).wav</t>
  </si>
  <si>
    <t>Complexity(6)_Time(246)_SongNr(87).wav</t>
  </si>
  <si>
    <t>Complexity(6)_Time(244)_SongNr(34).wav</t>
  </si>
  <si>
    <t>Complexity(6)_Time(240)_SongNr(34).wav</t>
  </si>
  <si>
    <t>Complexity(6)_Time(238)_SongNr(14).wav</t>
  </si>
  <si>
    <t>Complexity(6)_Time(230)_SongNr(97).wav</t>
  </si>
  <si>
    <t>Complexity(6)_Time(230)_SongNr(34).wav</t>
  </si>
  <si>
    <t>Complexity(6)_Time(230)_SongNr(31).wav</t>
  </si>
  <si>
    <t>Complexity(6)_Time(228)_SongNr(34).wav</t>
  </si>
  <si>
    <t>Complexity(6)_Time(224)_SongNr(14).wav</t>
  </si>
  <si>
    <t>Complexity(6)_Time(222)_SongNr(14).wav</t>
  </si>
  <si>
    <t>Complexity(6)_Time(220)_SongNr(31).wav</t>
  </si>
  <si>
    <t>Complexity(6)_Time(218)_SongNr(31).wav</t>
  </si>
  <si>
    <t>Complexity(6)_Time(216)_SongNr(14).wav</t>
  </si>
  <si>
    <t>Complexity(6)_Time(216)_SongNr(104).wav</t>
  </si>
  <si>
    <t>Complexity(6)_Time(212)_SongNr(97).wav</t>
  </si>
  <si>
    <t>Complexity(6)_Time(212)_SongNr(87).wav</t>
  </si>
  <si>
    <t>Complexity(6)_Time(206)_SongNr(8).wav</t>
  </si>
  <si>
    <t>Complexity(6)_Time(206)_SongNr(31).wav</t>
  </si>
  <si>
    <t>Complexity(6)_Time(204)_SongNr(14).wav</t>
  </si>
  <si>
    <t>Complexity(6)_Time(200)_SongNr(84).wav</t>
  </si>
  <si>
    <t>Complexity(6)_Time(200)_SongNr(40).wav</t>
  </si>
  <si>
    <t>Complexity(6)_Time(200)_SongNr(31).wav</t>
  </si>
  <si>
    <t>Complexity(6)_Time(198)_SongNr(14).wav</t>
  </si>
  <si>
    <t>Complexity(6)_Time(196)_SongNr(38).wav</t>
  </si>
  <si>
    <t>Complexity(6)_Time(196)_SongNr(101).wav</t>
  </si>
  <si>
    <t>Complexity(6)_Time(194)_SongNr(104).wav</t>
  </si>
  <si>
    <t>Complexity(6)_Time(192)_SongNr(84).wav</t>
  </si>
  <si>
    <t>Complexity(6)_Time(192)_SongNr(38).wav</t>
  </si>
  <si>
    <t>Complexity(6)_Time(192)_SongNr(14).wav</t>
  </si>
  <si>
    <t>Complexity(6)_Time(190)_SongNr(4).wav</t>
  </si>
  <si>
    <t>Complexity(6)_Time(188)_SongNr(4).wav</t>
  </si>
  <si>
    <t>Complexity(6)_Time(186)_SongNr(84).wav</t>
  </si>
  <si>
    <t>Complexity(6)_Time(186)_SongNr(4).wav</t>
  </si>
  <si>
    <t>Complexity(6)_Time(186)_SongNr(38).wav</t>
  </si>
  <si>
    <t>Complexity(6)_Time(186)_SongNr(104).wav</t>
  </si>
  <si>
    <t>Complexity(6)_Time(184)_SongNr(4).wav</t>
  </si>
  <si>
    <t>Complexity(6)_Time(184)_SongNr(38).wav</t>
  </si>
  <si>
    <t>Complexity(6)_Time(184)_SongNr(111).wav</t>
  </si>
  <si>
    <t>Complexity(6)_Time(182)_SongNr(4).wav</t>
  </si>
  <si>
    <t>Complexity(6)_Time(182)_SongNr(111).wav</t>
  </si>
  <si>
    <t>Complexity(6)_Time(180)_SongNr(39).wav</t>
  </si>
  <si>
    <t>Complexity(6)_Time(178)_SongNr(39).wav</t>
  </si>
  <si>
    <t>Complexity(6)_Time(178)_SongNr(14).wav</t>
  </si>
  <si>
    <t>Complexity(6)_Time(176)_SongNr(4).wav</t>
  </si>
  <si>
    <t>Complexity(6)_Time(176)_SongNr(37).wav</t>
  </si>
  <si>
    <t>Complexity(6)_Time(176)_SongNr(27).wav</t>
  </si>
  <si>
    <t>Complexity(6)_Time(174)_SongNr(4).wav</t>
  </si>
  <si>
    <t>Complexity(6)_Time(174)_SongNr(33).wav</t>
  </si>
  <si>
    <t>Complexity(6)_Time(172)_SongNr(14).wav</t>
  </si>
  <si>
    <t>Complexity(6)_Time(168)_SongNr(4).wav</t>
  </si>
  <si>
    <t>Complexity(6)_Time(160)_SongNr(4).wav</t>
  </si>
  <si>
    <t>Complexity(6)_Time(160)_SongNr(14).wav</t>
  </si>
  <si>
    <t>Complexity(6)_Time(156)_SongNr(1).wav</t>
  </si>
  <si>
    <t>Complexity(6)_Time(154)_SongNr(3).wav</t>
  </si>
  <si>
    <t>Complexity(6)_Time(150)_SongNr(1).wav</t>
  </si>
  <si>
    <t>Complexity(6)_Time(148)_SongNr(3).wav</t>
  </si>
  <si>
    <t>Complexity(6)_Time(148)_SongNr(14).wav</t>
  </si>
  <si>
    <t>Complexity(6)_Time(148)_SongNr(1).wav</t>
  </si>
  <si>
    <t>Complexity(6)_Time(146)_SongNr(14).wav</t>
  </si>
  <si>
    <t>Complexity(6)_Time(144)_SongNr(14).wav</t>
  </si>
  <si>
    <t>Complexity(6)_Time(140)_SongNr(14).wav</t>
  </si>
  <si>
    <t>Complexity(6)_Time(140)_SongNr(101).wav</t>
  </si>
  <si>
    <t>Complexity(6)_Time(136)_SongNr(39).wav</t>
  </si>
  <si>
    <t>Complexity(6)_Time(136)_SongNr(3).wav</t>
  </si>
  <si>
    <t>Complexity(6)_Time(136)_SongNr(14).wav</t>
  </si>
  <si>
    <t>Complexity(6)_Time(134)_SongNr(39).wav</t>
  </si>
  <si>
    <t>Complexity(6)_Time(134)_SongNr(33).wav</t>
  </si>
  <si>
    <t>Complexity(6)_Time(130)_SongNr(14).wav</t>
  </si>
  <si>
    <t>Complexity(6)_Time(128)_SongNr(14).wav</t>
  </si>
  <si>
    <t>Complexity(6)_Time(128)_SongNr(110).wav</t>
  </si>
  <si>
    <t>Complexity(6)_Time(126)_SongNr(39).wav</t>
  </si>
  <si>
    <t>Complexity(6)_Time(126)_SongNr(110).wav</t>
  </si>
  <si>
    <t>Complexity(6)_Time(126)_SongNr(103).wav</t>
  </si>
  <si>
    <t>Complexity(6)_Time(124)_SongNr(110).wav</t>
  </si>
  <si>
    <t>Complexity(6)_Time(122)_SongNr(3).wav</t>
  </si>
  <si>
    <t>Complexity(6)_Time(118)_SongNr(14).wav</t>
  </si>
  <si>
    <t>Complexity(6)_Time(118)_SongNr(104).wav</t>
  </si>
  <si>
    <t>Complexity(6)_Time(112)_SongNr(102).wav</t>
  </si>
  <si>
    <t>Complexity(6)_Time(108)_SongNr(102).wav</t>
  </si>
  <si>
    <t>Complexity(6)_Time(106)_SongNr(31).wav</t>
  </si>
  <si>
    <t>Complexity(6)_Time(106)_SongNr(102).wav</t>
  </si>
  <si>
    <t>Complexity(6)_Time(100)_SongNr(38).wav</t>
  </si>
  <si>
    <t>Complexity(6)_Time(10)_SongNr(102).wav</t>
  </si>
  <si>
    <t>Complexity(6)_Time(0)_SongNr(1).wav</t>
  </si>
  <si>
    <t>Complexity(4)_Time(98)_SongNr(93).wav</t>
  </si>
  <si>
    <t>Complexity(4)_Time(98)_SongNr(69).wav</t>
  </si>
  <si>
    <t>Complexity(4)_Time(98)_SongNr(40).wav</t>
  </si>
  <si>
    <t>Complexity(4)_Time(98)_SongNr(34).wav</t>
  </si>
  <si>
    <t>Complexity(4)_Time(98)_SongNr(23).wav</t>
  </si>
  <si>
    <t>Complexity(4)_Time(98)_SongNr(15).wav</t>
  </si>
  <si>
    <t>Complexity(4)_Time(98)_SongNr(110).wav</t>
  </si>
  <si>
    <t>Complexity(4)_Time(96)_SongNr(74).wav</t>
  </si>
  <si>
    <t>Complexity(4)_Time(96)_SongNr(66).wav</t>
  </si>
  <si>
    <t>Complexity(4)_Time(96)_SongNr(61).wav</t>
  </si>
  <si>
    <t>Complexity(4)_Time(96)_SongNr(41).wav</t>
  </si>
  <si>
    <t>Complexity(4)_Time(96)_SongNr(103).wav</t>
  </si>
  <si>
    <t>Complexity(4)_Time(94)_SongNr(8).wav</t>
  </si>
  <si>
    <t>Complexity(4)_Time(94)_SongNr(63).wav</t>
  </si>
  <si>
    <t>Complexity(4)_Time(94)_SongNr(43).wav</t>
  </si>
  <si>
    <t>Complexity(4)_Time(94)_SongNr(41).wav</t>
  </si>
  <si>
    <t>Complexity(4)_Time(94)_SongNr(25).wav</t>
  </si>
  <si>
    <t>Complexity(4)_Time(94)_SongNr(17).wav</t>
  </si>
  <si>
    <t>Complexity(4)_Time(92)_SongNr(46).wav</t>
  </si>
  <si>
    <t>Complexity(4)_Time(92)_SongNr(43).wav</t>
  </si>
  <si>
    <t>Complexity(4)_Time(92)_SongNr(41).wav</t>
  </si>
  <si>
    <t>Complexity(4)_Time(92)_SongNr(17).wav</t>
  </si>
  <si>
    <t>Complexity(4)_Time(90)_SongNr(94).wav</t>
  </si>
  <si>
    <t>Complexity(4)_Time(90)_SongNr(74).wav</t>
  </si>
  <si>
    <t>Complexity(4)_Time(90)_SongNr(69).wav</t>
  </si>
  <si>
    <t>Complexity(4)_Time(90)_SongNr(57).wav</t>
  </si>
  <si>
    <t>Complexity(4)_Time(90)_SongNr(55).wav</t>
  </si>
  <si>
    <t>Complexity(4)_Time(90)_SongNr(43).wav</t>
  </si>
  <si>
    <t>Complexity(4)_Time(90)_SongNr(34).wav</t>
  </si>
  <si>
    <t>Complexity(4)_Time(90)_SongNr(3).wav</t>
  </si>
  <si>
    <t>Complexity(4)_Time(90)_SongNr(26).wav</t>
  </si>
  <si>
    <t>Complexity(4)_Time(90)_SongNr(23).wav</t>
  </si>
  <si>
    <t>Complexity(4)_Time(90)_SongNr(113).wav</t>
  </si>
  <si>
    <t>Complexity(4)_Time(90)_SongNr(110).wav</t>
  </si>
  <si>
    <t>Complexity(4)_Time(88)_SongNr(83).wav</t>
  </si>
  <si>
    <t>Complexity(4)_Time(88)_SongNr(8).wav</t>
  </si>
  <si>
    <t>Complexity(4)_Time(88)_SongNr(74).wav</t>
  </si>
  <si>
    <t>Complexity(4)_Time(88)_SongNr(66).wav</t>
  </si>
  <si>
    <t>Complexity(4)_Time(88)_SongNr(55).wav</t>
  </si>
  <si>
    <t>Complexity(4)_Time(88)_SongNr(43).wav</t>
  </si>
  <si>
    <t>Complexity(4)_Time(88)_SongNr(41).wav</t>
  </si>
  <si>
    <t>Complexity(4)_Time(88)_SongNr(26).wav</t>
  </si>
  <si>
    <t>Complexity(4)_Time(86)_SongNr(81).wav</t>
  </si>
  <si>
    <t>Complexity(4)_Time(86)_SongNr(63).wav</t>
  </si>
  <si>
    <t>Complexity(4)_Time(86)_SongNr(37).wav</t>
  </si>
  <si>
    <t>Complexity(4)_Time(86)_SongNr(14).wav</t>
  </si>
  <si>
    <t>Complexity(4)_Time(86)_SongNr(113).wav</t>
  </si>
  <si>
    <t>Complexity(4)_Time(84)_SongNr(69).wav</t>
  </si>
  <si>
    <t>Complexity(4)_Time(84)_SongNr(66).wav</t>
  </si>
  <si>
    <t>Complexity(4)_Time(84)_SongNr(57).wav</t>
  </si>
  <si>
    <t>Complexity(4)_Time(84)_SongNr(55).wav</t>
  </si>
  <si>
    <t>Complexity(4)_Time(84)_SongNr(113).wav</t>
  </si>
  <si>
    <t>Complexity(4)_Time(84)_SongNr(10).wav</t>
  </si>
  <si>
    <t>Complexity(4)_Time(82)_SongNr(85).wav</t>
  </si>
  <si>
    <t>Complexity(4)_Time(82)_SongNr(66).wav</t>
  </si>
  <si>
    <t>Complexity(4)_Time(82)_SongNr(61).wav</t>
  </si>
  <si>
    <t>Complexity(4)_Time(82)_SongNr(55).wav</t>
  </si>
  <si>
    <t>Complexity(4)_Time(82)_SongNr(40).wav</t>
  </si>
  <si>
    <t>Complexity(4)_Time(82)_SongNr(35).wav</t>
  </si>
  <si>
    <t>Complexity(4)_Time(82)_SongNr(34).wav</t>
  </si>
  <si>
    <t>Complexity(4)_Time(82)_SongNr(26).wav</t>
  </si>
  <si>
    <t>Complexity(4)_Time(82)_SongNr(115).wav</t>
  </si>
  <si>
    <t>Complexity(4)_Time(82)_SongNr(112).wav</t>
  </si>
  <si>
    <t>Complexity(4)_Time(82)_SongNr(107).wav</t>
  </si>
  <si>
    <t>Complexity(4)_Time(82)_SongNr(10).wav</t>
  </si>
  <si>
    <t>Complexity(4)_Time(80)_SongNr(74).wav</t>
  </si>
  <si>
    <t>Complexity(4)_Time(80)_SongNr(45).wav</t>
  </si>
  <si>
    <t>Complexity(4)_Time(80)_SongNr(36).wav</t>
  </si>
  <si>
    <t>Complexity(4)_Time(80)_SongNr(32).wav</t>
  </si>
  <si>
    <t>Complexity(4)_Time(80)_SongNr(25).wav</t>
  </si>
  <si>
    <t>Complexity(4)_Time(80)_SongNr(21).wav</t>
  </si>
  <si>
    <t>Complexity(4)_Time(8)_SongNr(75).wav</t>
  </si>
  <si>
    <t>Complexity(4)_Time(8)_SongNr(73).wav</t>
  </si>
  <si>
    <t>Complexity(4)_Time(8)_SongNr(71).wav</t>
  </si>
  <si>
    <t>Complexity(4)_Time(8)_SongNr(68).wav</t>
  </si>
  <si>
    <t>Complexity(4)_Time(8)_SongNr(60).wav</t>
  </si>
  <si>
    <t>Complexity(4)_Time(8)_SongNr(47).wav</t>
  </si>
  <si>
    <t>Complexity(4)_Time(8)_SongNr(1).wav</t>
  </si>
  <si>
    <t>Complexity(4)_Time(78)_SongNr(97).wav</t>
  </si>
  <si>
    <t>Complexity(4)_Time(78)_SongNr(89).wav</t>
  </si>
  <si>
    <t>Complexity(4)_Time(78)_SongNr(40).wav</t>
  </si>
  <si>
    <t>Complexity(4)_Time(78)_SongNr(32).wav</t>
  </si>
  <si>
    <t>Complexity(4)_Time(78)_SongNr(25).wav</t>
  </si>
  <si>
    <t>Complexity(4)_Time(78)_SongNr(116).wav</t>
  </si>
  <si>
    <t>Complexity(4)_Time(78)_SongNr(107).wav</t>
  </si>
  <si>
    <t>Complexity(4)_Time(76)_SongNr(89).wav</t>
  </si>
  <si>
    <t>Complexity(4)_Time(76)_SongNr(69).wav</t>
  </si>
  <si>
    <t>Complexity(4)_Time(76)_SongNr(43).wav</t>
  </si>
  <si>
    <t>Complexity(4)_Time(76)_SongNr(30).wav</t>
  </si>
  <si>
    <t>Complexity(4)_Time(76)_SongNr(2).wav</t>
  </si>
  <si>
    <t>Complexity(4)_Time(76)_SongNr(19).wav</t>
  </si>
  <si>
    <t>Complexity(4)_Time(76)_SongNr(110).wav</t>
  </si>
  <si>
    <t>Complexity(4)_Time(748)_SongNr(54).wav</t>
  </si>
  <si>
    <t>Complexity(4)_Time(74)_SongNr(66).wav</t>
  </si>
  <si>
    <t>Complexity(4)_Time(74)_SongNr(38).wav</t>
  </si>
  <si>
    <t>Complexity(4)_Time(74)_SongNr(34).wav</t>
  </si>
  <si>
    <t>Complexity(4)_Time(74)_SongNr(25).wav</t>
  </si>
  <si>
    <t>Complexity(4)_Time(74)_SongNr(2).wav</t>
  </si>
  <si>
    <t>Complexity(4)_Time(74)_SongNr(15).wav</t>
  </si>
  <si>
    <t>Complexity(4)_Time(74)_SongNr(113).wav</t>
  </si>
  <si>
    <t>Complexity(4)_Time(72)_SongNr(41).wav</t>
  </si>
  <si>
    <t>Complexity(4)_Time(72)_SongNr(40).wav</t>
  </si>
  <si>
    <t>Complexity(4)_Time(72)_SongNr(39).wav</t>
  </si>
  <si>
    <t>Complexity(4)_Time(72)_SongNr(116).wav</t>
  </si>
  <si>
    <t>Complexity(4)_Time(72)_SongNr(113).wav</t>
  </si>
  <si>
    <t>Complexity(4)_Time(72)_SongNr(105).wav</t>
  </si>
  <si>
    <t>Complexity(4)_Time(70)_SongNr(97).wav</t>
  </si>
  <si>
    <t>Complexity(4)_Time(70)_SongNr(89).wav</t>
  </si>
  <si>
    <t>Complexity(4)_Time(70)_SongNr(66).wav</t>
  </si>
  <si>
    <t>Complexity(4)_Time(70)_SongNr(49).wav</t>
  </si>
  <si>
    <t>Complexity(4)_Time(70)_SongNr(46).wav</t>
  </si>
  <si>
    <t>Complexity(4)_Time(70)_SongNr(30).wav</t>
  </si>
  <si>
    <t>Complexity(4)_Time(70)_SongNr(25).wav</t>
  </si>
  <si>
    <t>Complexity(4)_Time(70)_SongNr(18).wav</t>
  </si>
  <si>
    <t>Complexity(4)_Time(70)_SongNr(15).wav</t>
  </si>
  <si>
    <t>Complexity(4)_Time(70)_SongNr(107).wav</t>
  </si>
  <si>
    <t>Complexity(4)_Time(696)_SongNr(54).wav</t>
  </si>
  <si>
    <t>Complexity(4)_Time(68)_SongNr(69).wav</t>
  </si>
  <si>
    <t>Complexity(4)_Time(68)_SongNr(57).wav</t>
  </si>
  <si>
    <t>Complexity(4)_Time(68)_SongNr(55).wav</t>
  </si>
  <si>
    <t>Complexity(4)_Time(68)_SongNr(40).wav</t>
  </si>
  <si>
    <t>Complexity(4)_Time(68)_SongNr(39).wav</t>
  </si>
  <si>
    <t>Complexity(4)_Time(66)_SongNr(97).wav</t>
  </si>
  <si>
    <t>Complexity(4)_Time(66)_SongNr(94).wav</t>
  </si>
  <si>
    <t>Complexity(4)_Time(66)_SongNr(89).wav</t>
  </si>
  <si>
    <t>Complexity(4)_Time(66)_SongNr(33).wav</t>
  </si>
  <si>
    <t>Complexity(4)_Time(66)_SongNr(31).wav</t>
  </si>
  <si>
    <t>Complexity(4)_Time(66)_SongNr(26).wav</t>
  </si>
  <si>
    <t>Complexity(4)_Time(66)_SongNr(107).wav</t>
  </si>
  <si>
    <t>Complexity(4)_Time(64)_SongNr(69).wav</t>
  </si>
  <si>
    <t>Complexity(4)_Time(64)_SongNr(66).wav</t>
  </si>
  <si>
    <t>Complexity(4)_Time(64)_SongNr(48).wav</t>
  </si>
  <si>
    <t>Complexity(4)_Time(64)_SongNr(43).wav</t>
  </si>
  <si>
    <t>Complexity(4)_Time(64)_SongNr(33).wav</t>
  </si>
  <si>
    <t>Complexity(4)_Time(64)_SongNr(2).wav</t>
  </si>
  <si>
    <t>Complexity(4)_Time(64)_SongNr(17).wav</t>
  </si>
  <si>
    <t>Complexity(4)_Time(64)_SongNr(115).wav</t>
  </si>
  <si>
    <t>Complexity(4)_Time(64)_SongNr(110).wav</t>
  </si>
  <si>
    <t>Complexity(4)_Time(64)_SongNr(101).wav</t>
  </si>
  <si>
    <t>Complexity(4)_Time(62)_SongNr(94).wav</t>
  </si>
  <si>
    <t>Complexity(4)_Time(62)_SongNr(89).wav</t>
  </si>
  <si>
    <t>Complexity(4)_Time(62)_SongNr(85).wav</t>
  </si>
  <si>
    <t>Complexity(4)_Time(62)_SongNr(81).wav</t>
  </si>
  <si>
    <t>Complexity(4)_Time(62)_SongNr(74).wav</t>
  </si>
  <si>
    <t>Complexity(4)_Time(62)_SongNr(63).wav</t>
  </si>
  <si>
    <t>Complexity(4)_Time(62)_SongNr(46).wav</t>
  </si>
  <si>
    <t>Complexity(4)_Time(62)_SongNr(33).wav</t>
  </si>
  <si>
    <t>Complexity(4)_Time(62)_SongNr(30).wav</t>
  </si>
  <si>
    <t>Complexity(4)_Time(62)_SongNr(2).wav</t>
  </si>
  <si>
    <t>Complexity(4)_Time(62)_SongNr(116).wav</t>
  </si>
  <si>
    <t>Complexity(4)_Time(62)_SongNr(110).wav</t>
  </si>
  <si>
    <t>Complexity(4)_Time(60)_SongNr(95).wav</t>
  </si>
  <si>
    <t>Complexity(4)_Time(60)_SongNr(85).wav</t>
  </si>
  <si>
    <t>Complexity(4)_Time(60)_SongNr(84).wav</t>
  </si>
  <si>
    <t>Complexity(4)_Time(60)_SongNr(74).wav</t>
  </si>
  <si>
    <t>Complexity(4)_Time(60)_SongNr(73).wav</t>
  </si>
  <si>
    <t>Complexity(4)_Time(60)_SongNr(66).wav</t>
  </si>
  <si>
    <t>Complexity(4)_Time(60)_SongNr(63).wav</t>
  </si>
  <si>
    <t>Complexity(4)_Time(60)_SongNr(58).wav</t>
  </si>
  <si>
    <t>Complexity(4)_Time(60)_SongNr(48).wav</t>
  </si>
  <si>
    <t>Complexity(4)_Time(60)_SongNr(46).wav</t>
  </si>
  <si>
    <t>Complexity(4)_Time(60)_SongNr(43).wav</t>
  </si>
  <si>
    <t>Complexity(4)_Time(60)_SongNr(41).wav</t>
  </si>
  <si>
    <t>Complexity(4)_Time(60)_SongNr(38).wav</t>
  </si>
  <si>
    <t>Complexity(4)_Time(60)_SongNr(33).wav</t>
  </si>
  <si>
    <t>Complexity(4)_Time(60)_SongNr(25).wav</t>
  </si>
  <si>
    <t>Complexity(4)_Time(60)_SongNr(18).wav</t>
  </si>
  <si>
    <t>Complexity(4)_Time(60)_SongNr(110).wav</t>
  </si>
  <si>
    <t>Complexity(4)_Time(6)_SongNr(73).wav</t>
  </si>
  <si>
    <t>Complexity(4)_Time(6)_SongNr(66).wav</t>
  </si>
  <si>
    <t>Complexity(4)_Time(6)_SongNr(33).wav</t>
  </si>
  <si>
    <t>Complexity(4)_Time(6)_SongNr(117).wav</t>
  </si>
  <si>
    <t>Complexity(4)_Time(58)_SongNr(73).wav</t>
  </si>
  <si>
    <t>Complexity(4)_Time(58)_SongNr(63).wav</t>
  </si>
  <si>
    <t>Complexity(4)_Time(58)_SongNr(57).wav</t>
  </si>
  <si>
    <t>Complexity(4)_Time(58)_SongNr(56).wav</t>
  </si>
  <si>
    <t>Complexity(4)_Time(58)_SongNr(33).wav</t>
  </si>
  <si>
    <t>Complexity(4)_Time(58)_SongNr(19).wav</t>
  </si>
  <si>
    <t>Complexity(4)_Time(58)_SongNr(18).wav</t>
  </si>
  <si>
    <t>Complexity(4)_Time(58)_SongNr(17).wav</t>
  </si>
  <si>
    <t>Complexity(4)_Time(58)_SongNr(14).wav</t>
  </si>
  <si>
    <t>Complexity(4)_Time(58)_SongNr(112).wav</t>
  </si>
  <si>
    <t>Complexity(4)_Time(56)_SongNr(94).wav</t>
  </si>
  <si>
    <t>Complexity(4)_Time(56)_SongNr(73).wav</t>
  </si>
  <si>
    <t>Complexity(4)_Time(56)_SongNr(66).wav</t>
  </si>
  <si>
    <t>Complexity(4)_Time(56)_SongNr(61).wav</t>
  </si>
  <si>
    <t>Complexity(4)_Time(56)_SongNr(56).wav</t>
  </si>
  <si>
    <t>Complexity(4)_Time(56)_SongNr(39).wav</t>
  </si>
  <si>
    <t>Complexity(4)_Time(56)_SongNr(23).wav</t>
  </si>
  <si>
    <t>Complexity(4)_Time(54)_SongNr(74).wav</t>
  </si>
  <si>
    <t>Complexity(4)_Time(54)_SongNr(61).wav</t>
  </si>
  <si>
    <t>Complexity(4)_Time(54)_SongNr(55).wav</t>
  </si>
  <si>
    <t>Complexity(4)_Time(54)_SongNr(46).wav</t>
  </si>
  <si>
    <t>Complexity(4)_Time(54)_SongNr(13).wav</t>
  </si>
  <si>
    <t>Complexity(4)_Time(52)_SongNr(94).wav</t>
  </si>
  <si>
    <t>Complexity(4)_Time(52)_SongNr(85).wav</t>
  </si>
  <si>
    <t>Complexity(4)_Time(52)_SongNr(84).wav</t>
  </si>
  <si>
    <t>Complexity(4)_Time(52)_SongNr(66).wav</t>
  </si>
  <si>
    <t>Complexity(4)_Time(52)_SongNr(55).wav</t>
  </si>
  <si>
    <t>Complexity(4)_Time(52)_SongNr(43).wav</t>
  </si>
  <si>
    <t>Complexity(4)_Time(52)_SongNr(41).wav</t>
  </si>
  <si>
    <t>Complexity(4)_Time(52)_SongNr(32).wav</t>
  </si>
  <si>
    <t>Complexity(4)_Time(52)_SongNr(26).wav</t>
  </si>
  <si>
    <t>Complexity(4)_Time(52)_SongNr(23).wav</t>
  </si>
  <si>
    <t>Complexity(4)_Time(52)_SongNr(2).wav</t>
  </si>
  <si>
    <t>Complexity(4)_Time(52)_SongNr(105).wav</t>
  </si>
  <si>
    <t>Complexity(4)_Time(52)_SongNr(10).wav</t>
  </si>
  <si>
    <t>Complexity(4)_Time(50)_SongNr(7).wav</t>
  </si>
  <si>
    <t>Complexity(4)_Time(50)_SongNr(43).wav</t>
  </si>
  <si>
    <t>Complexity(4)_Time(50)_SongNr(41).wav</t>
  </si>
  <si>
    <t>Complexity(4)_Time(50)_SongNr(38).wav</t>
  </si>
  <si>
    <t>Complexity(4)_Time(50)_SongNr(32).wav</t>
  </si>
  <si>
    <t>Complexity(4)_Time(50)_SongNr(2).wav</t>
  </si>
  <si>
    <t>Complexity(4)_Time(488)_SongNr(5).wav</t>
  </si>
  <si>
    <t>Complexity(4)_Time(48)_SongNr(85).wav</t>
  </si>
  <si>
    <t>Complexity(4)_Time(48)_SongNr(73).wav</t>
  </si>
  <si>
    <t>Complexity(4)_Time(48)_SongNr(66).wav</t>
  </si>
  <si>
    <t>Complexity(4)_Time(48)_SongNr(43).wav</t>
  </si>
  <si>
    <t>Complexity(4)_Time(48)_SongNr(2).wav</t>
  </si>
  <si>
    <t>Complexity(4)_Time(48)_SongNr(111).wav</t>
  </si>
  <si>
    <t>Complexity(4)_Time(478)_SongNr(54).wav</t>
  </si>
  <si>
    <t>Complexity(4)_Time(46)_SongNr(85).wav</t>
  </si>
  <si>
    <t>Complexity(4)_Time(46)_SongNr(8).wav</t>
  </si>
  <si>
    <t>Complexity(4)_Time(46)_SongNr(73).wav</t>
  </si>
  <si>
    <t>Complexity(4)_Time(46)_SongNr(2).wav</t>
  </si>
  <si>
    <t>Complexity(4)_Time(46)_SongNr(17).wav</t>
  </si>
  <si>
    <t>Complexity(4)_Time(46)_SongNr(115).wav</t>
  </si>
  <si>
    <t>Complexity(4)_Time(46)_SongNr(10).wav</t>
  </si>
  <si>
    <t>Complexity(4)_Time(44)_SongNr(68).wav</t>
  </si>
  <si>
    <t>Complexity(4)_Time(44)_SongNr(61).wav</t>
  </si>
  <si>
    <t>Complexity(4)_Time(44)_SongNr(49).wav</t>
  </si>
  <si>
    <t>Complexity(4)_Time(44)_SongNr(39).wav</t>
  </si>
  <si>
    <t>Complexity(4)_Time(44)_SongNr(26).wav</t>
  </si>
  <si>
    <t>Complexity(4)_Time(44)_SongNr(25).wav</t>
  </si>
  <si>
    <t>Complexity(4)_Time(44)_SongNr(20).wav</t>
  </si>
  <si>
    <t>Complexity(4)_Time(44)_SongNr(110).wav</t>
  </si>
  <si>
    <t>Complexity(4)_Time(44)_SongNr(107).wav</t>
  </si>
  <si>
    <t>Complexity(4)_Time(44)_SongNr(10).wav</t>
  </si>
  <si>
    <t>Complexity(4)_Time(42)_SongNr(8).wav</t>
  </si>
  <si>
    <t>Complexity(4)_Time(42)_SongNr(74).wav</t>
  </si>
  <si>
    <t>Complexity(4)_Time(42)_SongNr(7).wav</t>
  </si>
  <si>
    <t>Complexity(4)_Time(42)_SongNr(68).wav</t>
  </si>
  <si>
    <t>Complexity(4)_Time(42)_SongNr(66).wav</t>
  </si>
  <si>
    <t>Complexity(4)_Time(42)_SongNr(58).wav</t>
  </si>
  <si>
    <t>Complexity(4)_Time(42)_SongNr(55).wav</t>
  </si>
  <si>
    <t>Complexity(4)_Time(42)_SongNr(32).wav</t>
  </si>
  <si>
    <t>Complexity(4)_Time(40)_SongNr(95).wav</t>
  </si>
  <si>
    <t>Complexity(4)_Time(40)_SongNr(94).wav</t>
  </si>
  <si>
    <t>Complexity(4)_Time(40)_SongNr(73).wav</t>
  </si>
  <si>
    <t>Complexity(4)_Time(40)_SongNr(57).wav</t>
  </si>
  <si>
    <t>Complexity(4)_Time(40)_SongNr(46).wav</t>
  </si>
  <si>
    <t>Complexity(4)_Time(40)_SongNr(41).wav</t>
  </si>
  <si>
    <t>Complexity(4)_Time(40)_SongNr(39).wav</t>
  </si>
  <si>
    <t>Complexity(4)_Time(40)_SongNr(32).wav</t>
  </si>
  <si>
    <t>Complexity(4)_Time(40)_SongNr(30).wav</t>
  </si>
  <si>
    <t>Complexity(4)_Time(40)_SongNr(113).wav</t>
  </si>
  <si>
    <t>Complexity(4)_Time(40)_SongNr(10).wav</t>
  </si>
  <si>
    <t>Complexity(4)_Time(40)_SongNr(1).wav</t>
  </si>
  <si>
    <t>Complexity(4)_Time(4)_SongNr(73).wav</t>
  </si>
  <si>
    <t>Complexity(4)_Time(4)_SongNr(66).wav</t>
  </si>
  <si>
    <t>Complexity(4)_Time(382)_SongNr(109).wav</t>
  </si>
  <si>
    <t>Complexity(4)_Time(38)_SongNr(8).wav</t>
  </si>
  <si>
    <t>Complexity(4)_Time(38)_SongNr(68).wav</t>
  </si>
  <si>
    <t>Complexity(4)_Time(38)_SongNr(48).wav</t>
  </si>
  <si>
    <t>Complexity(4)_Time(38)_SongNr(39).wav</t>
  </si>
  <si>
    <t>Complexity(4)_Time(38)_SongNr(37).wav</t>
  </si>
  <si>
    <t>Complexity(4)_Time(38)_SongNr(26).wav</t>
  </si>
  <si>
    <t>Complexity(4)_Time(38)_SongNr(23).wav</t>
  </si>
  <si>
    <t>Complexity(4)_Time(38)_SongNr(2).wav</t>
  </si>
  <si>
    <t>Complexity(4)_Time(38)_SongNr(116).wav</t>
  </si>
  <si>
    <t>Complexity(4)_Time(38)_SongNr(111).wav</t>
  </si>
  <si>
    <t>Complexity(4)_Time(38)_SongNr(109).wav</t>
  </si>
  <si>
    <t>Complexity(4)_Time(38)_SongNr(10).wav</t>
  </si>
  <si>
    <t>Complexity(4)_Time(370)_SongNr(54).wav</t>
  </si>
  <si>
    <t>Complexity(4)_Time(368)_SongNr(5).wav</t>
  </si>
  <si>
    <t>Complexity(4)_Time(366)_SongNr(5).wav</t>
  </si>
  <si>
    <t>Complexity(4)_Time(362)_SongNr(54).wav</t>
  </si>
  <si>
    <t>Complexity(4)_Time(360)_SongNr(54).wav</t>
  </si>
  <si>
    <t>Complexity(4)_Time(36)_SongNr(85).wav</t>
  </si>
  <si>
    <t>Complexity(4)_Time(36)_SongNr(81).wav</t>
  </si>
  <si>
    <t>Complexity(4)_Time(36)_SongNr(68).wav</t>
  </si>
  <si>
    <t>Complexity(4)_Time(36)_SongNr(59).wav</t>
  </si>
  <si>
    <t>Complexity(4)_Time(36)_SongNr(48).wav</t>
  </si>
  <si>
    <t>Complexity(4)_Time(36)_SongNr(4).wav</t>
  </si>
  <si>
    <t>Complexity(4)_Time(36)_SongNr(37).wav</t>
  </si>
  <si>
    <t>Complexity(4)_Time(36)_SongNr(33).wav</t>
  </si>
  <si>
    <t>Complexity(4)_Time(36)_SongNr(2).wav</t>
  </si>
  <si>
    <t>Complexity(4)_Time(36)_SongNr(15).wav</t>
  </si>
  <si>
    <t>Complexity(4)_Time(36)_SongNr(10).wav</t>
  </si>
  <si>
    <t>Complexity(4)_Time(356)_SongNr(5).wav</t>
  </si>
  <si>
    <t>Complexity(4)_Time(346)_SongNr(52).wav</t>
  </si>
  <si>
    <t>Complexity(4)_Time(34)_SongNr(85).wav</t>
  </si>
  <si>
    <t>Complexity(4)_Time(34)_SongNr(81).wav</t>
  </si>
  <si>
    <t>Complexity(4)_Time(34)_SongNr(71).wav</t>
  </si>
  <si>
    <t>Complexity(4)_Time(34)_SongNr(68).wav</t>
  </si>
  <si>
    <t>Complexity(4)_Time(34)_SongNr(66).wav</t>
  </si>
  <si>
    <t>Complexity(4)_Time(34)_SongNr(59).wav</t>
  </si>
  <si>
    <t>Complexity(4)_Time(34)_SongNr(49).wav</t>
  </si>
  <si>
    <t>Complexity(4)_Time(34)_SongNr(46).wav</t>
  </si>
  <si>
    <t>Complexity(4)_Time(34)_SongNr(38).wav</t>
  </si>
  <si>
    <t>Complexity(4)_Time(34)_SongNr(2).wav</t>
  </si>
  <si>
    <t>Complexity(4)_Time(34)_SongNr(15).wav</t>
  </si>
  <si>
    <t>Complexity(4)_Time(34)_SongNr(10).wav</t>
  </si>
  <si>
    <t>Complexity(4)_Time(328)_SongNr(107).wav</t>
  </si>
  <si>
    <t>Complexity(4)_Time(32)_SongNr(73).wav</t>
  </si>
  <si>
    <t>Complexity(4)_Time(32)_SongNr(57).wav</t>
  </si>
  <si>
    <t>Complexity(4)_Time(32)_SongNr(39).wav</t>
  </si>
  <si>
    <t>Complexity(4)_Time(32)_SongNr(38).wav</t>
  </si>
  <si>
    <t>Complexity(4)_Time(32)_SongNr(36).wav</t>
  </si>
  <si>
    <t>Complexity(4)_Time(32)_SongNr(16).wav</t>
  </si>
  <si>
    <t>Complexity(4)_Time(318)_SongNr(109).wav</t>
  </si>
  <si>
    <t>Complexity(4)_Time(316)_SongNr(109).wav</t>
  </si>
  <si>
    <t>Complexity(4)_Time(314)_SongNr(48).wav</t>
  </si>
  <si>
    <t>Complexity(4)_Time(314)_SongNr(108).wav</t>
  </si>
  <si>
    <t>Complexity(4)_Time(312)_SongNr(48).wav</t>
  </si>
  <si>
    <t>Complexity(4)_Time(308)_SongNr(48).wav</t>
  </si>
  <si>
    <t>Complexity(4)_Time(306)_SongNr(108).wav</t>
  </si>
  <si>
    <t>Complexity(4)_Time(302)_SongNr(48).wav</t>
  </si>
  <si>
    <t>Complexity(4)_Time(300)_SongNr(48).wav</t>
  </si>
  <si>
    <t>Complexity(4)_Time(30)_SongNr(73).wav</t>
  </si>
  <si>
    <t>Complexity(4)_Time(30)_SongNr(71).wav</t>
  </si>
  <si>
    <t>Complexity(4)_Time(30)_SongNr(69).wav</t>
  </si>
  <si>
    <t>Complexity(4)_Time(30)_SongNr(64).wav</t>
  </si>
  <si>
    <t>Complexity(4)_Time(30)_SongNr(60).wav</t>
  </si>
  <si>
    <t>Complexity(4)_Time(30)_SongNr(33).wav</t>
  </si>
  <si>
    <t>Complexity(4)_Time(298)_SongNr(18).wav</t>
  </si>
  <si>
    <t>Complexity(4)_Time(296)_SongNr(108).wav</t>
  </si>
  <si>
    <t>Complexity(4)_Time(294)_SongNr(108).wav</t>
  </si>
  <si>
    <t>Complexity(4)_Time(292)_SongNr(108).wav</t>
  </si>
  <si>
    <t>Complexity(4)_Time(292)_SongNr(107).wav</t>
  </si>
  <si>
    <t>Complexity(4)_Time(286)_SongNr(48).wav</t>
  </si>
  <si>
    <t>Complexity(4)_Time(286)_SongNr(114).wav</t>
  </si>
  <si>
    <t>Complexity(4)_Time(286)_SongNr(107).wav</t>
  </si>
  <si>
    <t>Complexity(4)_Time(284)_SongNr(52).wav</t>
  </si>
  <si>
    <t>Complexity(4)_Time(284)_SongNr(45).wav</t>
  </si>
  <si>
    <t>Complexity(4)_Time(284)_SongNr(18).wav</t>
  </si>
  <si>
    <t>Complexity(4)_Time(284)_SongNr(114).wav</t>
  </si>
  <si>
    <t>Complexity(4)_Time(282)_SongNr(48).wav</t>
  </si>
  <si>
    <t>Complexity(4)_Time(282)_SongNr(45).wav</t>
  </si>
  <si>
    <t>Complexity(4)_Time(282)_SongNr(18).wav</t>
  </si>
  <si>
    <t>Complexity(4)_Time(282)_SongNr(109).wav</t>
  </si>
  <si>
    <t>Complexity(4)_Time(282)_SongNr(107).wav</t>
  </si>
  <si>
    <t>Complexity(4)_Time(280)_SongNr(48).wav</t>
  </si>
  <si>
    <t>Complexity(4)_Time(280)_SongNr(45).wav</t>
  </si>
  <si>
    <t>Complexity(4)_Time(28)_SongNr(89).wav</t>
  </si>
  <si>
    <t>Complexity(4)_Time(28)_SongNr(85).wav</t>
  </si>
  <si>
    <t>Complexity(4)_Time(28)_SongNr(84).wav</t>
  </si>
  <si>
    <t>Complexity(4)_Time(28)_SongNr(73).wav</t>
  </si>
  <si>
    <t>Complexity(4)_Time(28)_SongNr(69).wav</t>
  </si>
  <si>
    <t>Complexity(4)_Time(28)_SongNr(68).wav</t>
  </si>
  <si>
    <t>Complexity(4)_Time(28)_SongNr(63).wav</t>
  </si>
  <si>
    <t>Complexity(4)_Time(28)_SongNr(59).wav</t>
  </si>
  <si>
    <t>Complexity(4)_Time(28)_SongNr(46).wav</t>
  </si>
  <si>
    <t>Complexity(4)_Time(28)_SongNr(41).wav</t>
  </si>
  <si>
    <t>Complexity(4)_Time(28)_SongNr(4).wav</t>
  </si>
  <si>
    <t>Complexity(4)_Time(28)_SongNr(25).wav</t>
  </si>
  <si>
    <t>Complexity(4)_Time(28)_SongNr(2).wav</t>
  </si>
  <si>
    <t>Complexity(4)_Time(28)_SongNr(16).wav</t>
  </si>
  <si>
    <t>Complexity(4)_Time(28)_SongNr(113).wav</t>
  </si>
  <si>
    <t>Complexity(4)_Time(28)_SongNr(111).wav</t>
  </si>
  <si>
    <t>Complexity(4)_Time(28)_SongNr(1).wav</t>
  </si>
  <si>
    <t>Complexity(4)_Time(278)_SongNr(108).wav</t>
  </si>
  <si>
    <t>Complexity(4)_Time(278)_SongNr(107).wav</t>
  </si>
  <si>
    <t>Complexity(4)_Time(276)_SongNr(45).wav</t>
  </si>
  <si>
    <t>Complexity(4)_Time(276)_SongNr(114).wav</t>
  </si>
  <si>
    <t>Complexity(4)_Time(276)_SongNr(108).wav</t>
  </si>
  <si>
    <t>Complexity(4)_Time(274)_SongNr(45).wav</t>
  </si>
  <si>
    <t>Complexity(4)_Time(274)_SongNr(24).wav</t>
  </si>
  <si>
    <t>Complexity(4)_Time(274)_SongNr(114).wav</t>
  </si>
  <si>
    <t>Complexity(4)_Time(272)_SongNr(24).wav</t>
  </si>
  <si>
    <t>Complexity(4)_Time(270)_SongNr(45).wav</t>
  </si>
  <si>
    <t>Complexity(4)_Time(270)_SongNr(34).wav</t>
  </si>
  <si>
    <t>Complexity(4)_Time(270)_SongNr(25).wav</t>
  </si>
  <si>
    <t>Complexity(4)_Time(268)_SongNr(112).wav</t>
  </si>
  <si>
    <t>Complexity(4)_Time(266)_SongNr(112).wav</t>
  </si>
  <si>
    <t>Complexity(4)_Time(264)_SongNr(48).wav</t>
  </si>
  <si>
    <t>Complexity(4)_Time(264)_SongNr(108).wav</t>
  </si>
  <si>
    <t>Complexity(4)_Time(262)_SongNr(25).wav</t>
  </si>
  <si>
    <t>Complexity(4)_Time(262)_SongNr(114).wav</t>
  </si>
  <si>
    <t>Complexity(4)_Time(26)_SongNr(89).wav</t>
  </si>
  <si>
    <t>Complexity(4)_Time(26)_SongNr(75).wav</t>
  </si>
  <si>
    <t>Complexity(4)_Time(26)_SongNr(74).wav</t>
  </si>
  <si>
    <t>Complexity(4)_Time(26)_SongNr(66).wav</t>
  </si>
  <si>
    <t>Complexity(4)_Time(26)_SongNr(64).wav</t>
  </si>
  <si>
    <t>Complexity(4)_Time(26)_SongNr(63).wav</t>
  </si>
  <si>
    <t>Complexity(4)_Time(26)_SongNr(57).wav</t>
  </si>
  <si>
    <t>Complexity(4)_Time(26)_SongNr(4).wav</t>
  </si>
  <si>
    <t>Complexity(4)_Time(26)_SongNr(39).wav</t>
  </si>
  <si>
    <t>Complexity(4)_Time(26)_SongNr(33).wav</t>
  </si>
  <si>
    <t>Complexity(4)_Time(26)_SongNr(2).wav</t>
  </si>
  <si>
    <t>Complexity(4)_Time(26)_SongNr(113).wav</t>
  </si>
  <si>
    <t>Complexity(4)_Time(26)_SongNr(10).wav</t>
  </si>
  <si>
    <t>Complexity(4)_Time(258)_SongNr(34).wav</t>
  </si>
  <si>
    <t>Complexity(4)_Time(258)_SongNr(115).wav</t>
  </si>
  <si>
    <t>Complexity(4)_Time(256)_SongNr(25).wav</t>
  </si>
  <si>
    <t>Complexity(4)_Time(256)_SongNr(112).wav</t>
  </si>
  <si>
    <t>Complexity(4)_Time(254)_SongNr(115).wav</t>
  </si>
  <si>
    <t>Complexity(4)_Time(254)_SongNr(107).wav</t>
  </si>
  <si>
    <t>Complexity(4)_Time(252)_SongNr(34).wav</t>
  </si>
  <si>
    <t>Complexity(4)_Time(252)_SongNr(25).wav</t>
  </si>
  <si>
    <t>Complexity(4)_Time(250)_SongNr(112).wav</t>
  </si>
  <si>
    <t>Complexity(4)_Time(244)_SongNr(95).wav</t>
  </si>
  <si>
    <t>Complexity(4)_Time(244)_SongNr(108).wav</t>
  </si>
  <si>
    <t>Complexity(4)_Time(242)_SongNr(94).wav</t>
  </si>
  <si>
    <t>Complexity(4)_Time(242)_SongNr(17).wav</t>
  </si>
  <si>
    <t>Complexity(4)_Time(242)_SongNr(114).wav</t>
  </si>
  <si>
    <t>Complexity(4)_Time(242)_SongNr(107).wav</t>
  </si>
  <si>
    <t>Complexity(4)_Time(240)_SongNr(108).wav</t>
  </si>
  <si>
    <t>Complexity(4)_Time(24)_SongNr(73).wav</t>
  </si>
  <si>
    <t>Complexity(4)_Time(24)_SongNr(69).wav</t>
  </si>
  <si>
    <t>Complexity(4)_Time(24)_SongNr(66).wav</t>
  </si>
  <si>
    <t>Complexity(4)_Time(24)_SongNr(64).wav</t>
  </si>
  <si>
    <t>Complexity(4)_Time(24)_SongNr(63).wav</t>
  </si>
  <si>
    <t>Complexity(4)_Time(24)_SongNr(61).wav</t>
  </si>
  <si>
    <t>Complexity(4)_Time(24)_SongNr(48).wav</t>
  </si>
  <si>
    <t>Complexity(4)_Time(24)_SongNr(43).wav</t>
  </si>
  <si>
    <t>Complexity(4)_Time(24)_SongNr(36).wav</t>
  </si>
  <si>
    <t>Complexity(4)_Time(24)_SongNr(33).wav</t>
  </si>
  <si>
    <t>Complexity(4)_Time(24)_SongNr(14).wav</t>
  </si>
  <si>
    <t>Complexity(4)_Time(24)_SongNr(113).wav</t>
  </si>
  <si>
    <t>Complexity(4)_Time(24)_SongNr(10).wav</t>
  </si>
  <si>
    <t>Complexity(4)_Time(238)_SongNr(94).wav</t>
  </si>
  <si>
    <t>Complexity(4)_Time(238)_SongNr(86).wav</t>
  </si>
  <si>
    <t>Complexity(4)_Time(238)_SongNr(55).wav</t>
  </si>
  <si>
    <t>Complexity(4)_Time(238)_SongNr(25).wav</t>
  </si>
  <si>
    <t>Complexity(4)_Time(238)_SongNr(17).wav</t>
  </si>
  <si>
    <t>Complexity(4)_Time(236)_SongNr(95).wav</t>
  </si>
  <si>
    <t>Complexity(4)_Time(236)_SongNr(87).wav</t>
  </si>
  <si>
    <t>Complexity(4)_Time(236)_SongNr(86).wav</t>
  </si>
  <si>
    <t>Complexity(4)_Time(236)_SongNr(55).wav</t>
  </si>
  <si>
    <t>Complexity(4)_Time(236)_SongNr(4).wav</t>
  </si>
  <si>
    <t>Complexity(4)_Time(236)_SongNr(114).wav</t>
  </si>
  <si>
    <t>Complexity(4)_Time(236)_SongNr(108).wav</t>
  </si>
  <si>
    <t>Complexity(4)_Time(236)_SongNr(107).wav</t>
  </si>
  <si>
    <t>Complexity(4)_Time(232)_SongNr(30).wav</t>
  </si>
  <si>
    <t>Complexity(4)_Time(230)_SongNr(52).wav</t>
  </si>
  <si>
    <t>Complexity(4)_Time(230)_SongNr(38).wav</t>
  </si>
  <si>
    <t>Complexity(4)_Time(228)_SongNr(86).wav</t>
  </si>
  <si>
    <t>Complexity(4)_Time(228)_SongNr(105).wav</t>
  </si>
  <si>
    <t>Complexity(4)_Time(226)_SongNr(95).wav</t>
  </si>
  <si>
    <t>Complexity(4)_Time(226)_SongNr(86).wav</t>
  </si>
  <si>
    <t>Complexity(4)_Time(226)_SongNr(45).wav</t>
  </si>
  <si>
    <t>Complexity(4)_Time(226)_SongNr(116).wav</t>
  </si>
  <si>
    <t>Complexity(4)_Time(224)_SongNr(55).wav</t>
  </si>
  <si>
    <t>Complexity(4)_Time(224)_SongNr(25).wav</t>
  </si>
  <si>
    <t>Complexity(4)_Time(224)_SongNr(109).wav</t>
  </si>
  <si>
    <t>Complexity(4)_Time(222)_SongNr(8).wav</t>
  </si>
  <si>
    <t>Complexity(4)_Time(220)_SongNr(86).wav</t>
  </si>
  <si>
    <t>Complexity(4)_Time(220)_SongNr(105).wav</t>
  </si>
  <si>
    <t>Complexity(4)_Time(22)_SongNr(85).wav</t>
  </si>
  <si>
    <t>Complexity(4)_Time(22)_SongNr(8).wav</t>
  </si>
  <si>
    <t>Complexity(4)_Time(22)_SongNr(68).wav</t>
  </si>
  <si>
    <t>Complexity(4)_Time(22)_SongNr(49).wav</t>
  </si>
  <si>
    <t>Complexity(4)_Time(22)_SongNr(48).wav</t>
  </si>
  <si>
    <t>Complexity(4)_Time(22)_SongNr(15).wav</t>
  </si>
  <si>
    <t>Complexity(4)_Time(22)_SongNr(113).wav</t>
  </si>
  <si>
    <t>Complexity(4)_Time(218)_SongNr(57).wav</t>
  </si>
  <si>
    <t>Complexity(4)_Time(218)_SongNr(116).wav</t>
  </si>
  <si>
    <t>Complexity(4)_Time(216)_SongNr(94).wav</t>
  </si>
  <si>
    <t>Complexity(4)_Time(216)_SongNr(87).wav</t>
  </si>
  <si>
    <t>Complexity(4)_Time(216)_SongNr(86).wav</t>
  </si>
  <si>
    <t>Complexity(4)_Time(216)_SongNr(52).wav</t>
  </si>
  <si>
    <t>Complexity(4)_Time(214)_SongNr(52).wav</t>
  </si>
  <si>
    <t>Complexity(4)_Time(214)_SongNr(17).wav</t>
  </si>
  <si>
    <t>Complexity(4)_Time(212)_SongNr(55).wav</t>
  </si>
  <si>
    <t>Complexity(4)_Time(212)_SongNr(52).wav</t>
  </si>
  <si>
    <t>Complexity(4)_Time(210)_SongNr(48).wav</t>
  </si>
  <si>
    <t>Complexity(4)_Time(210)_SongNr(24).wav</t>
  </si>
  <si>
    <t>Complexity(4)_Time(210)_SongNr(105).wav</t>
  </si>
  <si>
    <t>Complexity(4)_Time(208)_SongNr(87).wav</t>
  </si>
  <si>
    <t>Complexity(4)_Time(208)_SongNr(86).wav</t>
  </si>
  <si>
    <t>Complexity(4)_Time(208)_SongNr(48).wav</t>
  </si>
  <si>
    <t>Complexity(4)_Time(206)_SongNr(113).wav</t>
  </si>
  <si>
    <t>Complexity(4)_Time(206)_SongNr(109).wav</t>
  </si>
  <si>
    <t>Complexity(4)_Time(206)_SongNr(105).wav</t>
  </si>
  <si>
    <t>Complexity(4)_Time(204)_SongNr(55).wav</t>
  </si>
  <si>
    <t>Complexity(4)_Time(204)_SongNr(45).wav</t>
  </si>
  <si>
    <t>Complexity(4)_Time(204)_SongNr(105).wav</t>
  </si>
  <si>
    <t>Complexity(4)_Time(202)_SongNr(55).wav</t>
  </si>
  <si>
    <t>Complexity(4)_Time(202)_SongNr(45).wav</t>
  </si>
  <si>
    <t>Complexity(4)_Time(202)_SongNr(33).wav</t>
  </si>
  <si>
    <t>Complexity(4)_Time(202)_SongNr(105).wav</t>
  </si>
  <si>
    <t>Complexity(4)_Time(200)_SongNr(94).wav</t>
  </si>
  <si>
    <t>Complexity(4)_Time(200)_SongNr(33).wav</t>
  </si>
  <si>
    <t>Complexity(4)_Time(200)_SongNr(114).wav</t>
  </si>
  <si>
    <t>Complexity(4)_Time(200)_SongNr(110).wav</t>
  </si>
  <si>
    <t>Complexity(4)_Time(20)_SongNr(85).wav</t>
  </si>
  <si>
    <t>Complexity(4)_Time(20)_SongNr(8).wav</t>
  </si>
  <si>
    <t>Complexity(4)_Time(20)_SongNr(75).wav</t>
  </si>
  <si>
    <t>Complexity(4)_Time(20)_SongNr(69).wav</t>
  </si>
  <si>
    <t>Complexity(4)_Time(20)_SongNr(68).wav</t>
  </si>
  <si>
    <t>Complexity(4)_Time(20)_SongNr(66).wav</t>
  </si>
  <si>
    <t>Complexity(4)_Time(20)_SongNr(60).wav</t>
  </si>
  <si>
    <t>Complexity(4)_Time(20)_SongNr(57).wav</t>
  </si>
  <si>
    <t>Complexity(4)_Time(20)_SongNr(41).wav</t>
  </si>
  <si>
    <t>Complexity(4)_Time(20)_SongNr(38).wav</t>
  </si>
  <si>
    <t>Complexity(4)_Time(2)_SongNr(8).wav</t>
  </si>
  <si>
    <t>Complexity(4)_Time(2)_SongNr(74).wav</t>
  </si>
  <si>
    <t>Complexity(4)_Time(2)_SongNr(69).wav</t>
  </si>
  <si>
    <t>Complexity(4)_Time(2)_SongNr(60).wav</t>
  </si>
  <si>
    <t>Complexity(4)_Time(2)_SongNr(45).wav</t>
  </si>
  <si>
    <t>Complexity(4)_Time(2)_SongNr(26).wav</t>
  </si>
  <si>
    <t>Complexity(4)_Time(198)_SongNr(48).wav</t>
  </si>
  <si>
    <t>Complexity(4)_Time(198)_SongNr(17).wav</t>
  </si>
  <si>
    <t>Complexity(4)_Time(198)_SongNr(108).wav</t>
  </si>
  <si>
    <t>Complexity(4)_Time(196)_SongNr(52).wav</t>
  </si>
  <si>
    <t>Complexity(4)_Time(196)_SongNr(4).wav</t>
  </si>
  <si>
    <t>Complexity(4)_Time(196)_SongNr(35).wav</t>
  </si>
  <si>
    <t>Complexity(4)_Time(196)_SongNr(17).wav</t>
  </si>
  <si>
    <t>Complexity(4)_Time(194)_SongNr(86).wav</t>
  </si>
  <si>
    <t>Complexity(4)_Time(194)_SongNr(85).wav</t>
  </si>
  <si>
    <t>Complexity(4)_Time(194)_SongNr(35).wav</t>
  </si>
  <si>
    <t>Complexity(4)_Time(194)_SongNr(15).wav</t>
  </si>
  <si>
    <t>Complexity(4)_Time(194)_SongNr(114).wav</t>
  </si>
  <si>
    <t>Complexity(4)_Time(194)_SongNr(109).wav</t>
  </si>
  <si>
    <t>Complexity(4)_Time(194)_SongNr(105).wav</t>
  </si>
  <si>
    <t>Complexity(4)_Time(192)_SongNr(86).wav</t>
  </si>
  <si>
    <t>Complexity(4)_Time(192)_SongNr(85).wav</t>
  </si>
  <si>
    <t>Complexity(4)_Time(192)_SongNr(58).wav</t>
  </si>
  <si>
    <t>Complexity(4)_Time(192)_SongNr(48).wav</t>
  </si>
  <si>
    <t>Complexity(4)_Time(192)_SongNr(35).wav</t>
  </si>
  <si>
    <t>Complexity(4)_Time(192)_SongNr(33).wav</t>
  </si>
  <si>
    <t>Complexity(4)_Time(192)_SongNr(113).wav</t>
  </si>
  <si>
    <t>Complexity(4)_Time(192)_SongNr(105).wav</t>
  </si>
  <si>
    <t>Complexity(4)_Time(190)_SongNr(35).wav</t>
  </si>
  <si>
    <t>Complexity(4)_Time(190)_SongNr(15).wav</t>
  </si>
  <si>
    <t>Complexity(4)_Time(190)_SongNr(113).wav</t>
  </si>
  <si>
    <t>Complexity(4)_Time(190)_SongNr(105).wav</t>
  </si>
  <si>
    <t>Complexity(4)_Time(188)_SongNr(35).wav</t>
  </si>
  <si>
    <t>Complexity(4)_Time(188)_SongNr(26).wav</t>
  </si>
  <si>
    <t>Complexity(4)_Time(188)_SongNr(110).wav</t>
  </si>
  <si>
    <t>Complexity(4)_Time(186)_SongNr(95).wav</t>
  </si>
  <si>
    <t>Complexity(4)_Time(186)_SongNr(48).wav</t>
  </si>
  <si>
    <t>Complexity(4)_Time(186)_SongNr(17).wav</t>
  </si>
  <si>
    <t>Complexity(4)_Time(186)_SongNr(108).wav</t>
  </si>
  <si>
    <t>Complexity(4)_Time(184)_SongNr(95).wav</t>
  </si>
  <si>
    <t>Complexity(4)_Time(184)_SongNr(52).wav</t>
  </si>
  <si>
    <t>Complexity(4)_Time(184)_SongNr(113).wav</t>
  </si>
  <si>
    <t>Complexity(4)_Time(182)_SongNr(87).wav</t>
  </si>
  <si>
    <t>Complexity(4)_Time(182)_SongNr(49).wav</t>
  </si>
  <si>
    <t>Complexity(4)_Time(182)_SongNr(39).wav</t>
  </si>
  <si>
    <t>Complexity(4)_Time(182)_SongNr(113).wav</t>
  </si>
  <si>
    <t>Complexity(4)_Time(180)_SongNr(87).wav</t>
  </si>
  <si>
    <t>Complexity(4)_Time(180)_SongNr(58).wav</t>
  </si>
  <si>
    <t>Complexity(4)_Time(180)_SongNr(52).wav</t>
  </si>
  <si>
    <t>Complexity(4)_Time(180)_SongNr(25).wav</t>
  </si>
  <si>
    <t>Complexity(4)_Time(180)_SongNr(114).wav</t>
  </si>
  <si>
    <t>Complexity(4)_Time(180)_SongNr(108).wav</t>
  </si>
  <si>
    <t>Complexity(4)_Time(18)_SongNr(73).wav</t>
  </si>
  <si>
    <t>Complexity(4)_Time(18)_SongNr(68).wav</t>
  </si>
  <si>
    <t>Complexity(4)_Time(18)_SongNr(66).wav</t>
  </si>
  <si>
    <t>Complexity(4)_Time(18)_SongNr(57).wav</t>
  </si>
  <si>
    <t>Complexity(4)_Time(18)_SongNr(41).wav</t>
  </si>
  <si>
    <t>Complexity(4)_Time(18)_SongNr(32).wav</t>
  </si>
  <si>
    <t>Complexity(4)_Time(18)_SongNr(101).wav</t>
  </si>
  <si>
    <t>Complexity(4)_Time(178)_SongNr(89).wav</t>
  </si>
  <si>
    <t>Complexity(4)_Time(178)_SongNr(25).wav</t>
  </si>
  <si>
    <t>Complexity(4)_Time(178)_SongNr(21).wav</t>
  </si>
  <si>
    <t>Complexity(4)_Time(178)_SongNr(105).wav</t>
  </si>
  <si>
    <t>Complexity(4)_Time(176)_SongNr(113).wav</t>
  </si>
  <si>
    <t>Complexity(4)_Time(176)_SongNr(108).wav</t>
  </si>
  <si>
    <t>Complexity(4)_Time(174)_SongNr(107).wav</t>
  </si>
  <si>
    <t>Complexity(4)_Time(172)_SongNr(48).wav</t>
  </si>
  <si>
    <t>Complexity(4)_Time(172)_SongNr(109).wav</t>
  </si>
  <si>
    <t>Complexity(4)_Time(170)_SongNr(89).wav</t>
  </si>
  <si>
    <t>Complexity(4)_Time(170)_SongNr(15).wav</t>
  </si>
  <si>
    <t>Complexity(4)_Time(170)_SongNr(113).wav</t>
  </si>
  <si>
    <t>Complexity(4)_Time(170)_SongNr(104).wav</t>
  </si>
  <si>
    <t>Complexity(4)_Time(168)_SongNr(84).wav</t>
  </si>
  <si>
    <t>Complexity(4)_Time(168)_SongNr(37).wav</t>
  </si>
  <si>
    <t>Complexity(4)_Time(168)_SongNr(35).wav</t>
  </si>
  <si>
    <t>Complexity(4)_Time(168)_SongNr(30).wav</t>
  </si>
  <si>
    <t>Complexity(4)_Time(168)_SongNr(25).wav</t>
  </si>
  <si>
    <t>Complexity(4)_Time(168)_SongNr(113).wav</t>
  </si>
  <si>
    <t>Complexity(4)_Time(168)_SongNr(107).wav</t>
  </si>
  <si>
    <t>Complexity(4)_Time(166)_SongNr(95).wav</t>
  </si>
  <si>
    <t>Complexity(4)_Time(166)_SongNr(94).wav</t>
  </si>
  <si>
    <t>Complexity(4)_Time(166)_SongNr(89).wav</t>
  </si>
  <si>
    <t>Complexity(4)_Time(166)_SongNr(57).wav</t>
  </si>
  <si>
    <t>Complexity(4)_Time(166)_SongNr(46).wav</t>
  </si>
  <si>
    <t>Complexity(4)_Time(166)_SongNr(17).wav</t>
  </si>
  <si>
    <t>Complexity(4)_Time(164)_SongNr(89).wav</t>
  </si>
  <si>
    <t>Complexity(4)_Time(164)_SongNr(46).wav</t>
  </si>
  <si>
    <t>Complexity(4)_Time(164)_SongNr(18).wav</t>
  </si>
  <si>
    <t>Complexity(4)_Time(164)_SongNr(105).wav</t>
  </si>
  <si>
    <t>Complexity(4)_Time(162)_SongNr(94).wav</t>
  </si>
  <si>
    <t>Complexity(4)_Time(162)_SongNr(83).wav</t>
  </si>
  <si>
    <t>Complexity(4)_Time(162)_SongNr(35).wav</t>
  </si>
  <si>
    <t>Complexity(4)_Time(162)_SongNr(21).wav</t>
  </si>
  <si>
    <t>Complexity(4)_Time(160)_SongNr(93).wav</t>
  </si>
  <si>
    <t>Complexity(4)_Time(160)_SongNr(89).wav</t>
  </si>
  <si>
    <t>Complexity(4)_Time(160)_SongNr(85).wav</t>
  </si>
  <si>
    <t>Complexity(4)_Time(160)_SongNr(57).wav</t>
  </si>
  <si>
    <t>Complexity(4)_Time(160)_SongNr(46).wav</t>
  </si>
  <si>
    <t>Complexity(4)_Time(160)_SongNr(41).wav</t>
  </si>
  <si>
    <t>Complexity(4)_Time(160)_SongNr(37).wav</t>
  </si>
  <si>
    <t>Complexity(4)_Time(160)_SongNr(36).wav</t>
  </si>
  <si>
    <t>Complexity(4)_Time(160)_SongNr(17).wav</t>
  </si>
  <si>
    <t>Complexity(4)_Time(160)_SongNr(114).wav</t>
  </si>
  <si>
    <t>Complexity(4)_Time(160)_SongNr(103).wav</t>
  </si>
  <si>
    <t>Complexity(4)_Time(16)_SongNr(95).wav</t>
  </si>
  <si>
    <t>Complexity(4)_Time(16)_SongNr(85).wav</t>
  </si>
  <si>
    <t>Complexity(4)_Time(16)_SongNr(83).wav</t>
  </si>
  <si>
    <t>Complexity(4)_Time(16)_SongNr(74).wav</t>
  </si>
  <si>
    <t>Complexity(4)_Time(16)_SongNr(73).wav</t>
  </si>
  <si>
    <t>Complexity(4)_Time(16)_SongNr(66).wav</t>
  </si>
  <si>
    <t>Complexity(4)_Time(16)_SongNr(60).wav</t>
  </si>
  <si>
    <t>Complexity(4)_Time(16)_SongNr(48).wav</t>
  </si>
  <si>
    <t>Complexity(4)_Time(16)_SongNr(15).wav</t>
  </si>
  <si>
    <t>Complexity(4)_Time(16)_SongNr(113).wav</t>
  </si>
  <si>
    <t>Complexity(4)_Time(16)_SongNr(10).wav</t>
  </si>
  <si>
    <t>Complexity(4)_Time(158)_SongNr(57).wav</t>
  </si>
  <si>
    <t>Complexity(4)_Time(158)_SongNr(4).wav</t>
  </si>
  <si>
    <t>Complexity(4)_Time(158)_SongNr(37).wav</t>
  </si>
  <si>
    <t>Complexity(4)_Time(158)_SongNr(31).wav</t>
  </si>
  <si>
    <t>Complexity(4)_Time(158)_SongNr(30).wav</t>
  </si>
  <si>
    <t>Complexity(4)_Time(158)_SongNr(25).wav</t>
  </si>
  <si>
    <t>Complexity(4)_Time(158)_SongNr(15).wav</t>
  </si>
  <si>
    <t>Complexity(4)_Time(156)_SongNr(95).wav</t>
  </si>
  <si>
    <t>Complexity(4)_Time(156)_SongNr(86).wav</t>
  </si>
  <si>
    <t>Complexity(4)_Time(156)_SongNr(8).wav</t>
  </si>
  <si>
    <t>Complexity(4)_Time(156)_SongNr(57).wav</t>
  </si>
  <si>
    <t>Complexity(4)_Time(156)_SongNr(36).wav</t>
  </si>
  <si>
    <t>Complexity(4)_Time(156)_SongNr(25).wav</t>
  </si>
  <si>
    <t>Complexity(4)_Time(154)_SongNr(85).wav</t>
  </si>
  <si>
    <t>Complexity(4)_Time(154)_SongNr(57).wav</t>
  </si>
  <si>
    <t>Complexity(4)_Time(154)_SongNr(56).wav</t>
  </si>
  <si>
    <t>Complexity(4)_Time(154)_SongNr(55).wav</t>
  </si>
  <si>
    <t>Complexity(4)_Time(154)_SongNr(46).wav</t>
  </si>
  <si>
    <t>Complexity(4)_Time(154)_SongNr(41).wav</t>
  </si>
  <si>
    <t>Complexity(4)_Time(154)_SongNr(36).wav</t>
  </si>
  <si>
    <t>Complexity(4)_Time(154)_SongNr(17).wav</t>
  </si>
  <si>
    <t>Complexity(4)_Time(154)_SongNr(111).wav</t>
  </si>
  <si>
    <t>Complexity(4)_Time(152)_SongNr(89).wav</t>
  </si>
  <si>
    <t>Complexity(4)_Time(152)_SongNr(4).wav</t>
  </si>
  <si>
    <t>Complexity(4)_Time(152)_SongNr(38).wav</t>
  </si>
  <si>
    <t>Complexity(4)_Time(152)_SongNr(36).wav</t>
  </si>
  <si>
    <t>Complexity(4)_Time(152)_SongNr(30).wav</t>
  </si>
  <si>
    <t>Complexity(4)_Time(152)_SongNr(25).wav</t>
  </si>
  <si>
    <t>Complexity(4)_Time(152)_SongNr(116).wav</t>
  </si>
  <si>
    <t>Complexity(4)_Time(152)_SongNr(108).wav</t>
  </si>
  <si>
    <t>Complexity(4)_Time(152)_SongNr(104).wav</t>
  </si>
  <si>
    <t>Complexity(4)_Time(150)_SongNr(56).wav</t>
  </si>
  <si>
    <t>Complexity(4)_Time(150)_SongNr(48).wav</t>
  </si>
  <si>
    <t>Complexity(4)_Time(150)_SongNr(45).wav</t>
  </si>
  <si>
    <t>Complexity(4)_Time(150)_SongNr(4).wav</t>
  </si>
  <si>
    <t>Complexity(4)_Time(150)_SongNr(39).wav</t>
  </si>
  <si>
    <t>Complexity(4)_Time(150)_SongNr(38).wav</t>
  </si>
  <si>
    <t>Complexity(4)_Time(150)_SongNr(2).wav</t>
  </si>
  <si>
    <t>Complexity(4)_Time(148)_SongNr(89).wav</t>
  </si>
  <si>
    <t>Complexity(4)_Time(148)_SongNr(4).wav</t>
  </si>
  <si>
    <t>Complexity(4)_Time(148)_SongNr(37).wav</t>
  </si>
  <si>
    <t>Complexity(4)_Time(148)_SongNr(108).wav</t>
  </si>
  <si>
    <t>Complexity(4)_Time(146)_SongNr(85).wav</t>
  </si>
  <si>
    <t>Complexity(4)_Time(146)_SongNr(5).wav</t>
  </si>
  <si>
    <t>Complexity(4)_Time(146)_SongNr(39).wav</t>
  </si>
  <si>
    <t>Complexity(4)_Time(146)_SongNr(38).wav</t>
  </si>
  <si>
    <t>Complexity(4)_Time(146)_SongNr(37).wav</t>
  </si>
  <si>
    <t>Complexity(4)_Time(146)_SongNr(31).wav</t>
  </si>
  <si>
    <t>Complexity(4)_Time(146)_SongNr(2).wav</t>
  </si>
  <si>
    <t>Complexity(4)_Time(146)_SongNr(17).wav</t>
  </si>
  <si>
    <t>Complexity(4)_Time(144)_SongNr(89).wav</t>
  </si>
  <si>
    <t>Complexity(4)_Time(144)_SongNr(56).wav</t>
  </si>
  <si>
    <t>Complexity(4)_Time(144)_SongNr(46).wav</t>
  </si>
  <si>
    <t>Complexity(4)_Time(144)_SongNr(38).wav</t>
  </si>
  <si>
    <t>Complexity(4)_Time(144)_SongNr(37).wav</t>
  </si>
  <si>
    <t>Complexity(4)_Time(144)_SongNr(36).wav</t>
  </si>
  <si>
    <t>Complexity(4)_Time(144)_SongNr(35).wav</t>
  </si>
  <si>
    <t>Complexity(4)_Time(144)_SongNr(30).wav</t>
  </si>
  <si>
    <t>Complexity(4)_Time(144)_SongNr(116).wav</t>
  </si>
  <si>
    <t>Complexity(4)_Time(142)_SongNr(94).wav</t>
  </si>
  <si>
    <t>Complexity(4)_Time(142)_SongNr(36).wav</t>
  </si>
  <si>
    <t>Complexity(4)_Time(142)_SongNr(33).wav</t>
  </si>
  <si>
    <t>Complexity(4)_Time(142)_SongNr(18).wav</t>
  </si>
  <si>
    <t>Complexity(4)_Time(142)_SongNr(116).wav</t>
  </si>
  <si>
    <t>Complexity(4)_Time(140)_SongNr(97).wav</t>
  </si>
  <si>
    <t>Complexity(4)_Time(140)_SongNr(36).wav</t>
  </si>
  <si>
    <t>Complexity(4)_Time(140)_SongNr(24).wav</t>
  </si>
  <si>
    <t>Complexity(4)_Time(140)_SongNr(19).wav</t>
  </si>
  <si>
    <t>Complexity(4)_Time(140)_SongNr(114).wav</t>
  </si>
  <si>
    <t>Complexity(4)_Time(140)_SongNr(108).wav</t>
  </si>
  <si>
    <t>Complexity(4)_Time(14)_SongNr(95).wav</t>
  </si>
  <si>
    <t>Complexity(4)_Time(14)_SongNr(8).wav</t>
  </si>
  <si>
    <t>Complexity(4)_Time(14)_SongNr(74).wav</t>
  </si>
  <si>
    <t>Complexity(4)_Time(14)_SongNr(59).wav</t>
  </si>
  <si>
    <t>Complexity(4)_Time(14)_SongNr(33).wav</t>
  </si>
  <si>
    <t>Complexity(4)_Time(14)_SongNr(16).wav</t>
  </si>
  <si>
    <t>Complexity(4)_Time(14)_SongNr(101).wav</t>
  </si>
  <si>
    <t>Complexity(4)_Time(138)_SongNr(95).wav</t>
  </si>
  <si>
    <t>Complexity(4)_Time(138)_SongNr(89).wav</t>
  </si>
  <si>
    <t>Complexity(4)_Time(138)_SongNr(56).wav</t>
  </si>
  <si>
    <t>Complexity(4)_Time(138)_SongNr(38).wav</t>
  </si>
  <si>
    <t>Complexity(4)_Time(138)_SongNr(34).wav</t>
  </si>
  <si>
    <t>Complexity(4)_Time(138)_SongNr(25).wav</t>
  </si>
  <si>
    <t>Complexity(4)_Time(138)_SongNr(116).wav</t>
  </si>
  <si>
    <t>Complexity(4)_Time(138)_SongNr(112).wav</t>
  </si>
  <si>
    <t>Complexity(4)_Time(138)_SongNr(108).wav</t>
  </si>
  <si>
    <t>Complexity(4)_Time(138)_SongNr(107).wav</t>
  </si>
  <si>
    <t>Complexity(4)_Time(136)_SongNr(95).wav</t>
  </si>
  <si>
    <t>Complexity(4)_Time(136)_SongNr(93).wav</t>
  </si>
  <si>
    <t>Complexity(4)_Time(136)_SongNr(89).wav</t>
  </si>
  <si>
    <t>Complexity(4)_Time(136)_SongNr(56).wav</t>
  </si>
  <si>
    <t>Complexity(4)_Time(136)_SongNr(55).wav</t>
  </si>
  <si>
    <t>Complexity(4)_Time(136)_SongNr(4).wav</t>
  </si>
  <si>
    <t>Complexity(4)_Time(136)_SongNr(37).wav</t>
  </si>
  <si>
    <t>Complexity(4)_Time(136)_SongNr(33).wav</t>
  </si>
  <si>
    <t>Complexity(4)_Time(136)_SongNr(25).wav</t>
  </si>
  <si>
    <t>Complexity(4)_Time(136)_SongNr(2).wav</t>
  </si>
  <si>
    <t>Complexity(4)_Time(136)_SongNr(112).wav</t>
  </si>
  <si>
    <t>Complexity(4)_Time(134)_SongNr(85).wav</t>
  </si>
  <si>
    <t>Complexity(4)_Time(134)_SongNr(37).wav</t>
  </si>
  <si>
    <t>Complexity(4)_Time(134)_SongNr(30).wav</t>
  </si>
  <si>
    <t>Complexity(4)_Time(134)_SongNr(112).wav</t>
  </si>
  <si>
    <t>Complexity(4)_Time(134)_SongNr(110).wav</t>
  </si>
  <si>
    <t>Complexity(4)_Time(134)_SongNr(109).wav</t>
  </si>
  <si>
    <t>Complexity(4)_Time(134)_SongNr(107).wav</t>
  </si>
  <si>
    <t>Complexity(4)_Time(132)_SongNr(58).wav</t>
  </si>
  <si>
    <t>Complexity(4)_Time(132)_SongNr(55).wav</t>
  </si>
  <si>
    <t>Complexity(4)_Time(132)_SongNr(4).wav</t>
  </si>
  <si>
    <t>Complexity(4)_Time(132)_SongNr(36).wav</t>
  </si>
  <si>
    <t>Complexity(4)_Time(130)_SongNr(95).wav</t>
  </si>
  <si>
    <t>Complexity(4)_Time(130)_SongNr(89).wav</t>
  </si>
  <si>
    <t>Complexity(4)_Time(130)_SongNr(23).wav</t>
  </si>
  <si>
    <t>Complexity(4)_Time(130)_SongNr(114).wav</t>
  </si>
  <si>
    <t>Complexity(4)_Time(128)_SongNr(85).wav</t>
  </si>
  <si>
    <t>Complexity(4)_Time(128)_SongNr(46).wav</t>
  </si>
  <si>
    <t>Complexity(4)_Time(128)_SongNr(43).wav</t>
  </si>
  <si>
    <t>Complexity(4)_Time(128)_SongNr(41).wav</t>
  </si>
  <si>
    <t>Complexity(4)_Time(128)_SongNr(40).wav</t>
  </si>
  <si>
    <t>Complexity(4)_Time(128)_SongNr(114).wav</t>
  </si>
  <si>
    <t>Complexity(4)_Time(128)_SongNr(1).wav</t>
  </si>
  <si>
    <t>Complexity(4)_Time(126)_SongNr(95).wav</t>
  </si>
  <si>
    <t>Complexity(4)_Time(126)_SongNr(58).wav</t>
  </si>
  <si>
    <t>Complexity(4)_Time(126)_SongNr(4).wav</t>
  </si>
  <si>
    <t>Complexity(4)_Time(124)_SongNr(97).wav</t>
  </si>
  <si>
    <t>Complexity(4)_Time(124)_SongNr(43).wav</t>
  </si>
  <si>
    <t>Complexity(4)_Time(124)_SongNr(26).wav</t>
  </si>
  <si>
    <t>Complexity(4)_Time(124)_SongNr(25).wav</t>
  </si>
  <si>
    <t>Complexity(4)_Time(124)_SongNr(112).wav</t>
  </si>
  <si>
    <t>Complexity(4)_Time(122)_SongNr(94).wav</t>
  </si>
  <si>
    <t>Complexity(4)_Time(122)_SongNr(89).wav</t>
  </si>
  <si>
    <t>Complexity(4)_Time(122)_SongNr(4).wav</t>
  </si>
  <si>
    <t>Complexity(4)_Time(122)_SongNr(35).wav</t>
  </si>
  <si>
    <t>Complexity(4)_Time(122)_SongNr(30).wav</t>
  </si>
  <si>
    <t>Complexity(4)_Time(122)_SongNr(108).wav</t>
  </si>
  <si>
    <t>Complexity(4)_Time(120)_SongNr(95).wav</t>
  </si>
  <si>
    <t>Complexity(4)_Time(120)_SongNr(52).wav</t>
  </si>
  <si>
    <t>Complexity(4)_Time(120)_SongNr(30).wav</t>
  </si>
  <si>
    <t>Complexity(4)_Time(120)_SongNr(25).wav</t>
  </si>
  <si>
    <t>Complexity(4)_Time(120)_SongNr(20).wav</t>
  </si>
  <si>
    <t>Complexity(4)_Time(120)_SongNr(15).wav</t>
  </si>
  <si>
    <t>Complexity(4)_Time(120)_SongNr(111).wav</t>
  </si>
  <si>
    <t>Complexity(4)_Time(120)_SongNr(104).wav</t>
  </si>
  <si>
    <t>Complexity(4)_Time(120)_SongNr(1).wav</t>
  </si>
  <si>
    <t>Complexity(4)_Time(12)_SongNr(95).wav</t>
  </si>
  <si>
    <t>Complexity(4)_Time(12)_SongNr(83).wav</t>
  </si>
  <si>
    <t>Complexity(4)_Time(12)_SongNr(8).wav</t>
  </si>
  <si>
    <t>Complexity(4)_Time(12)_SongNr(75).wav</t>
  </si>
  <si>
    <t>Complexity(4)_Time(12)_SongNr(74).wav</t>
  </si>
  <si>
    <t>Complexity(4)_Time(12)_SongNr(66).wav</t>
  </si>
  <si>
    <t>Complexity(4)_Time(12)_SongNr(59).wav</t>
  </si>
  <si>
    <t>Complexity(4)_Time(12)_SongNr(48).wav</t>
  </si>
  <si>
    <t>Complexity(4)_Time(12)_SongNr(4).wav</t>
  </si>
  <si>
    <t>Complexity(4)_Time(12)_SongNr(10).wav</t>
  </si>
  <si>
    <t>Complexity(4)_Time(118)_SongNr(52).wav</t>
  </si>
  <si>
    <t>Complexity(4)_Time(118)_SongNr(15).wav</t>
  </si>
  <si>
    <t>Complexity(4)_Time(118)_SongNr(1).wav</t>
  </si>
  <si>
    <t>Complexity(4)_Time(116)_SongNr(58).wav</t>
  </si>
  <si>
    <t>Complexity(4)_Time(116)_SongNr(40).wav</t>
  </si>
  <si>
    <t>Complexity(4)_Time(116)_SongNr(26).wav</t>
  </si>
  <si>
    <t>Complexity(4)_Time(116)_SongNr(112).wav</t>
  </si>
  <si>
    <t>Complexity(4)_Time(116)_SongNr(110).wav</t>
  </si>
  <si>
    <t>Complexity(4)_Time(114)_SongNr(58).wav</t>
  </si>
  <si>
    <t>Complexity(4)_Time(114)_SongNr(41).wav</t>
  </si>
  <si>
    <t>Complexity(4)_Time(114)_SongNr(38).wav</t>
  </si>
  <si>
    <t>Complexity(4)_Time(112)_SongNr(95).wav</t>
  </si>
  <si>
    <t>Complexity(4)_Time(112)_SongNr(58).wav</t>
  </si>
  <si>
    <t>Complexity(4)_Time(112)_SongNr(55).wav</t>
  </si>
  <si>
    <t>Complexity(4)_Time(112)_SongNr(48).wav</t>
  </si>
  <si>
    <t>Complexity(4)_Time(112)_SongNr(40).wav</t>
  </si>
  <si>
    <t>Complexity(4)_Time(112)_SongNr(15).wav</t>
  </si>
  <si>
    <t>Complexity(4)_Time(112)_SongNr(116).wav</t>
  </si>
  <si>
    <t>Complexity(4)_Time(112)_SongNr(110).wav</t>
  </si>
  <si>
    <t>Complexity(4)_Time(110)_SongNr(93).wav</t>
  </si>
  <si>
    <t>Complexity(4)_Time(110)_SongNr(35).wav</t>
  </si>
  <si>
    <t>Complexity(4)_Time(110)_SongNr(34).wav</t>
  </si>
  <si>
    <t>Complexity(4)_Time(110)_SongNr(18).wav</t>
  </si>
  <si>
    <t>Complexity(4)_Time(110)_SongNr(110).wav</t>
  </si>
  <si>
    <t>Complexity(4)_Time(108)_SongNr(52).wav</t>
  </si>
  <si>
    <t>Complexity(4)_Time(108)_SongNr(25).wav</t>
  </si>
  <si>
    <t>Complexity(4)_Time(108)_SongNr(1).wav</t>
  </si>
  <si>
    <t>Complexity(4)_Time(106)_SongNr(93).wav</t>
  </si>
  <si>
    <t>Complexity(4)_Time(106)_SongNr(66).wav</t>
  </si>
  <si>
    <t>Complexity(4)_Time(106)_SongNr(48).wav</t>
  </si>
  <si>
    <t>Complexity(4)_Time(106)_SongNr(40).wav</t>
  </si>
  <si>
    <t>Complexity(4)_Time(106)_SongNr(34).wav</t>
  </si>
  <si>
    <t>Complexity(4)_Time(106)_SongNr(15).wav</t>
  </si>
  <si>
    <t>Complexity(4)_Time(106)_SongNr(116).wav</t>
  </si>
  <si>
    <t>Complexity(4)_Time(106)_SongNr(115).wav</t>
  </si>
  <si>
    <t>Complexity(4)_Time(106)_SongNr(114).wav</t>
  </si>
  <si>
    <t>Complexity(4)_Time(104)_SongNr(84).wav</t>
  </si>
  <si>
    <t>Complexity(4)_Time(104)_SongNr(69).wav</t>
  </si>
  <si>
    <t>Complexity(4)_Time(104)_SongNr(55).wav</t>
  </si>
  <si>
    <t>Complexity(4)_Time(104)_SongNr(41).wav</t>
  </si>
  <si>
    <t>Complexity(4)_Time(104)_SongNr(4).wav</t>
  </si>
  <si>
    <t>Complexity(4)_Time(104)_SongNr(35).wav</t>
  </si>
  <si>
    <t>Complexity(4)_Time(104)_SongNr(16).wav</t>
  </si>
  <si>
    <t>Complexity(4)_Time(1022)_SongNr(54).wav</t>
  </si>
  <si>
    <t>Complexity(4)_Time(102)_SongNr(87).wav</t>
  </si>
  <si>
    <t>Complexity(4)_Time(102)_SongNr(66).wav</t>
  </si>
  <si>
    <t>Complexity(4)_Time(102)_SongNr(4).wav</t>
  </si>
  <si>
    <t>Complexity(4)_Time(102)_SongNr(116).wav</t>
  </si>
  <si>
    <t>Complexity(4)_Time(102)_SongNr(110).wav</t>
  </si>
  <si>
    <t>Complexity(4)_Time(102)_SongNr(1).wav</t>
  </si>
  <si>
    <t>Complexity(4)_Time(100)_SongNr(87).wav</t>
  </si>
  <si>
    <t>Complexity(4)_Time(100)_SongNr(66).wav</t>
  </si>
  <si>
    <t>Complexity(4)_Time(100)_SongNr(56).wav</t>
  </si>
  <si>
    <t>Complexity(4)_Time(100)_SongNr(48).wav</t>
  </si>
  <si>
    <t>Complexity(4)_Time(100)_SongNr(25).wav</t>
  </si>
  <si>
    <t>Complexity(4)_Time(100)_SongNr(16).wav</t>
  </si>
  <si>
    <t>Complexity(4)_Time(100)_SongNr(15).wav</t>
  </si>
  <si>
    <t>Complexity(4)_Time(100)_SongNr(116).wav</t>
  </si>
  <si>
    <t>Complexity(4)_Time(100)_SongNr(110).wav</t>
  </si>
  <si>
    <t>Complexity(4)_Time(100)_SongNr(1).wav</t>
  </si>
  <si>
    <t>Complexity(4)_Time(10)_SongNr(83).wav</t>
  </si>
  <si>
    <t>Complexity(4)_Time(10)_SongNr(75).wav</t>
  </si>
  <si>
    <t>Complexity(4)_Time(10)_SongNr(73).wav</t>
  </si>
  <si>
    <t>Complexity(4)_Time(10)_SongNr(71).wav</t>
  </si>
  <si>
    <t>Complexity(4)_Time(10)_SongNr(49).wav</t>
  </si>
  <si>
    <t>Complexity(4)_Time(10)_SongNr(10).wav</t>
  </si>
  <si>
    <t>Complexity(4)_Time(0)_SongNr(74).wav</t>
  </si>
  <si>
    <t>Complexity(4)_Time(0)_SongNr(59).wav</t>
  </si>
  <si>
    <t>Complexity(3)_Time(98)_SongNr(99).wav</t>
  </si>
  <si>
    <t>Complexity(3)_Time(98)_SongNr(92).wav</t>
  </si>
  <si>
    <t>Complexity(3)_Time(98)_SongNr(89).wav</t>
  </si>
  <si>
    <t>Complexity(3)_Time(98)_SongNr(67).wav</t>
  </si>
  <si>
    <t>Complexity(3)_Time(98)_SongNr(112).wav</t>
  </si>
  <si>
    <t>Complexity(3)_Time(98)_SongNr(105).wav</t>
  </si>
  <si>
    <t>Complexity(3)_Time(96)_SongNr(93).wav</t>
  </si>
  <si>
    <t>Complexity(3)_Time(96)_SongNr(91).wav</t>
  </si>
  <si>
    <t>Complexity(3)_Time(96)_SongNr(88).wav</t>
  </si>
  <si>
    <t>Complexity(3)_Time(96)_SongNr(52).wav</t>
  </si>
  <si>
    <t>Complexity(3)_Time(96)_SongNr(112).wav</t>
  </si>
  <si>
    <t>Complexity(3)_Time(96)_SongNr(105).wav</t>
  </si>
  <si>
    <t>Complexity(3)_Time(96)_SongNr(100).wav</t>
  </si>
  <si>
    <t>Complexity(3)_Time(94)_SongNr(52).wav</t>
  </si>
  <si>
    <t>Complexity(3)_Time(94)_SongNr(36).wav</t>
  </si>
  <si>
    <t>Complexity(3)_Time(94)_SongNr(35).wav</t>
  </si>
  <si>
    <t>Complexity(3)_Time(94)_SongNr(15).wav</t>
  </si>
  <si>
    <t>Complexity(3)_Time(94)_SongNr(112).wav</t>
  </si>
  <si>
    <t>Complexity(3)_Time(92)_SongNr(94).wav</t>
  </si>
  <si>
    <t>Complexity(3)_Time(92)_SongNr(92).wav</t>
  </si>
  <si>
    <t>Complexity(3)_Time(92)_SongNr(88).wav</t>
  </si>
  <si>
    <t>Complexity(3)_Time(92)_SongNr(8).wav</t>
  </si>
  <si>
    <t>Complexity(3)_Time(92)_SongNr(36).wav</t>
  </si>
  <si>
    <t>Complexity(3)_Time(92)_SongNr(109).wav</t>
  </si>
  <si>
    <t>Complexity(3)_Time(92)_SongNr(107).wav</t>
  </si>
  <si>
    <t>Complexity(3)_Time(92)_SongNr(100).wav</t>
  </si>
  <si>
    <t>Complexity(3)_Time(90)_SongNr(93).wav</t>
  </si>
  <si>
    <t>Complexity(3)_Time(90)_SongNr(91).wav</t>
  </si>
  <si>
    <t>Complexity(3)_Time(90)_SongNr(89).wav</t>
  </si>
  <si>
    <t>Complexity(3)_Time(90)_SongNr(88).wav</t>
  </si>
  <si>
    <t>Complexity(3)_Time(90)_SongNr(67).wav</t>
  </si>
  <si>
    <t>Complexity(3)_Time(90)_SongNr(35).wav</t>
  </si>
  <si>
    <t>Complexity(3)_Time(90)_SongNr(111).wav</t>
  </si>
  <si>
    <t>Complexity(3)_Time(90)_SongNr(103).wav</t>
  </si>
  <si>
    <t>Complexity(3)_Time(90)_SongNr(100).wav</t>
  </si>
  <si>
    <t>Complexity(3)_Time(88)_SongNr(99).wav</t>
  </si>
  <si>
    <t>Complexity(3)_Time(88)_SongNr(35).wav</t>
  </si>
  <si>
    <t>Complexity(3)_Time(88)_SongNr(115).wav</t>
  </si>
  <si>
    <t>Complexity(3)_Time(88)_SongNr(106).wav</t>
  </si>
  <si>
    <t>Complexity(3)_Time(86)_SongNr(92).wav</t>
  </si>
  <si>
    <t>Complexity(3)_Time(86)_SongNr(52).wav</t>
  </si>
  <si>
    <t>Complexity(3)_Time(86)_SongNr(32).wav</t>
  </si>
  <si>
    <t>Complexity(3)_Time(86)_SongNr(31).wav</t>
  </si>
  <si>
    <t>Complexity(3)_Time(84)_SongNr(88).wav</t>
  </si>
  <si>
    <t>Complexity(3)_Time(84)_SongNr(83).wav</t>
  </si>
  <si>
    <t>Complexity(3)_Time(84)_SongNr(51).wav</t>
  </si>
  <si>
    <t>Complexity(3)_Time(84)_SongNr(36).wav</t>
  </si>
  <si>
    <t>Complexity(3)_Time(84)_SongNr(114).wav</t>
  </si>
  <si>
    <t>Complexity(3)_Time(84)_SongNr(112).wav</t>
  </si>
  <si>
    <t>Complexity(3)_Time(84)_SongNr(106).wav</t>
  </si>
  <si>
    <t>Complexity(3)_Time(82)_SongNr(87).wav</t>
  </si>
  <si>
    <t>Complexity(3)_Time(82)_SongNr(52).wav</t>
  </si>
  <si>
    <t>Complexity(3)_Time(82)_SongNr(43).wav</t>
  </si>
  <si>
    <t>Complexity(3)_Time(82)_SongNr(110).wav</t>
  </si>
  <si>
    <t>Complexity(3)_Time(80)_SongNr(93).wav</t>
  </si>
  <si>
    <t>Complexity(3)_Time(80)_SongNr(88).wav</t>
  </si>
  <si>
    <t>Complexity(3)_Time(80)_SongNr(67).wav</t>
  </si>
  <si>
    <t>Complexity(3)_Time(80)_SongNr(66).wav</t>
  </si>
  <si>
    <t>Complexity(3)_Time(80)_SongNr(51).wav</t>
  </si>
  <si>
    <t>Complexity(3)_Time(80)_SongNr(31).wav</t>
  </si>
  <si>
    <t>Complexity(3)_Time(8)_SongNr(94).wav</t>
  </si>
  <si>
    <t>Complexity(3)_Time(8)_SongNr(81).wav</t>
  </si>
  <si>
    <t>Complexity(3)_Time(8)_SongNr(80).wav</t>
  </si>
  <si>
    <t>Complexity(3)_Time(8)_SongNr(46).wav</t>
  </si>
  <si>
    <t>Complexity(3)_Time(8)_SongNr(38).wav</t>
  </si>
  <si>
    <t>Complexity(3)_Time(8)_SongNr(37).wav</t>
  </si>
  <si>
    <t>Complexity(3)_Time(8)_SongNr(113).wav</t>
  </si>
  <si>
    <t>Complexity(3)_Time(8)_SongNr(101).wav</t>
  </si>
  <si>
    <t>Complexity(3)_Time(8)_SongNr(10).wav</t>
  </si>
  <si>
    <t>Complexity(3)_Time(78)_SongNr(94).wav</t>
  </si>
  <si>
    <t>Complexity(3)_Time(78)_SongNr(92).wav</t>
  </si>
  <si>
    <t>Complexity(3)_Time(78)_SongNr(87).wav</t>
  </si>
  <si>
    <t>Complexity(3)_Time(78)_SongNr(51).wav</t>
  </si>
  <si>
    <t>Complexity(3)_Time(78)_SongNr(45).wav</t>
  </si>
  <si>
    <t>Complexity(3)_Time(78)_SongNr(31).wav</t>
  </si>
  <si>
    <t>Complexity(3)_Time(760)_SongNr(54).wav</t>
  </si>
  <si>
    <t>Complexity(3)_Time(76)_SongNr(99).wav</t>
  </si>
  <si>
    <t>Complexity(3)_Time(76)_SongNr(56).wav</t>
  </si>
  <si>
    <t>Complexity(3)_Time(76)_SongNr(51).wav</t>
  </si>
  <si>
    <t>Complexity(3)_Time(76)_SongNr(116).wav</t>
  </si>
  <si>
    <t>Complexity(3)_Time(76)_SongNr(114).wav</t>
  </si>
  <si>
    <t>Complexity(3)_Time(76)_SongNr(106).wav</t>
  </si>
  <si>
    <t>Complexity(3)_Time(76)_SongNr(102).wav</t>
  </si>
  <si>
    <t>Complexity(3)_Time(74)_SongNr(87).wav</t>
  </si>
  <si>
    <t>Complexity(3)_Time(74)_SongNr(67).wav</t>
  </si>
  <si>
    <t>Complexity(3)_Time(74)_SongNr(31).wav</t>
  </si>
  <si>
    <t>Complexity(3)_Time(74)_SongNr(3).wav</t>
  </si>
  <si>
    <t>Complexity(3)_Time(74)_SongNr(106).wav</t>
  </si>
  <si>
    <t>Complexity(3)_Time(722)_SongNr(54).wav</t>
  </si>
  <si>
    <t>Complexity(3)_Time(72)_SongNr(91).wav</t>
  </si>
  <si>
    <t>Complexity(3)_Time(72)_SongNr(74).wav</t>
  </si>
  <si>
    <t>Complexity(3)_Time(72)_SongNr(67).wav</t>
  </si>
  <si>
    <t>Complexity(3)_Time(72)_SongNr(36).wav</t>
  </si>
  <si>
    <t>Complexity(3)_Time(72)_SongNr(112).wav</t>
  </si>
  <si>
    <t>Complexity(3)_Time(72)_SongNr(107).wav</t>
  </si>
  <si>
    <t>Complexity(3)_Time(72)_SongNr(100).wav</t>
  </si>
  <si>
    <t>Complexity(3)_Time(718)_SongNr(54).wav</t>
  </si>
  <si>
    <t>Complexity(3)_Time(70)_SongNr(91).wav</t>
  </si>
  <si>
    <t>Complexity(3)_Time(70)_SongNr(88).wav</t>
  </si>
  <si>
    <t>Complexity(3)_Time(70)_SongNr(67).wav</t>
  </si>
  <si>
    <t>Complexity(3)_Time(70)_SongNr(43).wav</t>
  </si>
  <si>
    <t>Complexity(3)_Time(70)_SongNr(31).wav</t>
  </si>
  <si>
    <t>Complexity(3)_Time(68)_SongNr(67).wav</t>
  </si>
  <si>
    <t>Complexity(3)_Time(68)_SongNr(45).wav</t>
  </si>
  <si>
    <t>Complexity(3)_Time(68)_SongNr(36).wav</t>
  </si>
  <si>
    <t>Complexity(3)_Time(68)_SongNr(32).wav</t>
  </si>
  <si>
    <t>Complexity(3)_Time(68)_SongNr(15).wav</t>
  </si>
  <si>
    <t>Complexity(3)_Time(66)_SongNr(8).wav</t>
  </si>
  <si>
    <t>Complexity(3)_Time(66)_SongNr(67).wav</t>
  </si>
  <si>
    <t>Complexity(3)_Time(66)_SongNr(51).wav</t>
  </si>
  <si>
    <t>Complexity(3)_Time(66)_SongNr(30).wav</t>
  </si>
  <si>
    <t>Complexity(3)_Time(64)_SongNr(91).wav</t>
  </si>
  <si>
    <t>Complexity(3)_Time(64)_SongNr(51).wav</t>
  </si>
  <si>
    <t>Complexity(3)_Time(64)_SongNr(107).wav</t>
  </si>
  <si>
    <t>Complexity(3)_Time(62)_SongNr(92).wav</t>
  </si>
  <si>
    <t>Complexity(3)_Time(62)_SongNr(91).wav</t>
  </si>
  <si>
    <t>Complexity(3)_Time(62)_SongNr(40).wav</t>
  </si>
  <si>
    <t>Complexity(3)_Time(62)_SongNr(13).wav</t>
  </si>
  <si>
    <t>Complexity(3)_Time(606)_SongNr(54).wav</t>
  </si>
  <si>
    <t>Complexity(3)_Time(60)_SongNr(99).wav</t>
  </si>
  <si>
    <t>Complexity(3)_Time(60)_SongNr(92).wav</t>
  </si>
  <si>
    <t>Complexity(3)_Time(60)_SongNr(91).wav</t>
  </si>
  <si>
    <t>Complexity(3)_Time(60)_SongNr(88).wav</t>
  </si>
  <si>
    <t>Complexity(3)_Time(60)_SongNr(69).wav</t>
  </si>
  <si>
    <t>Complexity(3)_Time(60)_SongNr(32).wav</t>
  </si>
  <si>
    <t>Complexity(3)_Time(60)_SongNr(13).wav</t>
  </si>
  <si>
    <t>Complexity(3)_Time(60)_SongNr(107).wav</t>
  </si>
  <si>
    <t>Complexity(3)_Time(60)_SongNr(10).wav</t>
  </si>
  <si>
    <t>Complexity(3)_Time(6)_SongNr(94).wav</t>
  </si>
  <si>
    <t>Complexity(3)_Time(6)_SongNr(92).wav</t>
  </si>
  <si>
    <t>Complexity(3)_Time(6)_SongNr(91).wav</t>
  </si>
  <si>
    <t>Complexity(3)_Time(6)_SongNr(88).wav</t>
  </si>
  <si>
    <t>Complexity(3)_Time(6)_SongNr(81).wav</t>
  </si>
  <si>
    <t>Complexity(3)_Time(6)_SongNr(69).wav</t>
  </si>
  <si>
    <t>Complexity(3)_Time(6)_SongNr(67).wav</t>
  </si>
  <si>
    <t>Complexity(3)_Time(6)_SongNr(37).wav</t>
  </si>
  <si>
    <t>Complexity(3)_Time(6)_SongNr(10).wav</t>
  </si>
  <si>
    <t>Complexity(3)_Time(58)_SongNr(99).wav</t>
  </si>
  <si>
    <t>Complexity(3)_Time(58)_SongNr(91).wav</t>
  </si>
  <si>
    <t>Complexity(3)_Time(58)_SongNr(69).wav</t>
  </si>
  <si>
    <t>Complexity(3)_Time(58)_SongNr(13).wav</t>
  </si>
  <si>
    <t>Complexity(3)_Time(58)_SongNr(116).wav</t>
  </si>
  <si>
    <t>Complexity(3)_Time(58)_SongNr(107).wav</t>
  </si>
  <si>
    <t>Complexity(3)_Time(58)_SongNr(10).wav</t>
  </si>
  <si>
    <t>Complexity(3)_Time(56)_SongNr(69).wav</t>
  </si>
  <si>
    <t>Complexity(3)_Time(56)_SongNr(67).wav</t>
  </si>
  <si>
    <t>Complexity(3)_Time(56)_SongNr(43).wav</t>
  </si>
  <si>
    <t>Complexity(3)_Time(56)_SongNr(4).wav</t>
  </si>
  <si>
    <t>Complexity(3)_Time(56)_SongNr(36).wav</t>
  </si>
  <si>
    <t>Complexity(3)_Time(56)_SongNr(35).wav</t>
  </si>
  <si>
    <t>Complexity(3)_Time(56)_SongNr(15).wav</t>
  </si>
  <si>
    <t>Complexity(3)_Time(56)_SongNr(113).wav</t>
  </si>
  <si>
    <t>Complexity(3)_Time(56)_SongNr(107).wav</t>
  </si>
  <si>
    <t>Complexity(3)_Time(54)_SongNr(98).wav</t>
  </si>
  <si>
    <t>Complexity(3)_Time(54)_SongNr(69).wav</t>
  </si>
  <si>
    <t>Complexity(3)_Time(54)_SongNr(31).wav</t>
  </si>
  <si>
    <t>Complexity(3)_Time(54)_SongNr(15).wav</t>
  </si>
  <si>
    <t>Complexity(3)_Time(52)_SongNr(88).wav</t>
  </si>
  <si>
    <t>Complexity(3)_Time(52)_SongNr(67).wav</t>
  </si>
  <si>
    <t>Complexity(3)_Time(52)_SongNr(35).wav</t>
  </si>
  <si>
    <t>Complexity(3)_Time(52)_SongNr(3).wav</t>
  </si>
  <si>
    <t>Complexity(3)_Time(50)_SongNr(88).wav</t>
  </si>
  <si>
    <t>Complexity(3)_Time(50)_SongNr(87).wav</t>
  </si>
  <si>
    <t>Complexity(3)_Time(50)_SongNr(81).wav</t>
  </si>
  <si>
    <t>Complexity(3)_Time(50)_SongNr(74).wav</t>
  </si>
  <si>
    <t>Complexity(3)_Time(50)_SongNr(19).wav</t>
  </si>
  <si>
    <t>Complexity(3)_Time(48)_SongNr(98).wav</t>
  </si>
  <si>
    <t>Complexity(3)_Time(48)_SongNr(67).wav</t>
  </si>
  <si>
    <t>Complexity(3)_Time(48)_SongNr(36).wav</t>
  </si>
  <si>
    <t>Complexity(3)_Time(48)_SongNr(34).wav</t>
  </si>
  <si>
    <t>Complexity(3)_Time(48)_SongNr(27).wav</t>
  </si>
  <si>
    <t>Complexity(3)_Time(48)_SongNr(23).wav</t>
  </si>
  <si>
    <t>Complexity(3)_Time(46)_SongNr(98).wav</t>
  </si>
  <si>
    <t>Complexity(3)_Time(46)_SongNr(88).wav</t>
  </si>
  <si>
    <t>Complexity(3)_Time(46)_SongNr(67).wav</t>
  </si>
  <si>
    <t>Complexity(3)_Time(46)_SongNr(3).wav</t>
  </si>
  <si>
    <t>Complexity(3)_Time(46)_SongNr(27).wav</t>
  </si>
  <si>
    <t>Complexity(3)_Time(46)_SongNr(105).wav</t>
  </si>
  <si>
    <t>Complexity(3)_Time(44)_SongNr(92).wav</t>
  </si>
  <si>
    <t>Complexity(3)_Time(44)_SongNr(36).wav</t>
  </si>
  <si>
    <t>Complexity(3)_Time(44)_SongNr(32).wav</t>
  </si>
  <si>
    <t>Complexity(3)_Time(44)_SongNr(31).wav</t>
  </si>
  <si>
    <t>Complexity(3)_Time(44)_SongNr(3).wav</t>
  </si>
  <si>
    <t>Complexity(3)_Time(42)_SongNr(88).wav</t>
  </si>
  <si>
    <t>Complexity(3)_Time(42)_SongNr(46).wav</t>
  </si>
  <si>
    <t>Complexity(3)_Time(42)_SongNr(40).wav</t>
  </si>
  <si>
    <t>Complexity(3)_Time(42)_SongNr(35).wav</t>
  </si>
  <si>
    <t>Complexity(3)_Time(42)_SongNr(34).wav</t>
  </si>
  <si>
    <t>Complexity(3)_Time(42)_SongNr(27).wav</t>
  </si>
  <si>
    <t>Complexity(3)_Time(42)_SongNr(113).wav</t>
  </si>
  <si>
    <t>Complexity(3)_Time(42)_SongNr(112).wav</t>
  </si>
  <si>
    <t>Complexity(3)_Time(40)_SongNr(92).wav</t>
  </si>
  <si>
    <t>Complexity(3)_Time(40)_SongNr(67).wav</t>
  </si>
  <si>
    <t>Complexity(3)_Time(40)_SongNr(66).wav</t>
  </si>
  <si>
    <t>Complexity(3)_Time(40)_SongNr(56).wav</t>
  </si>
  <si>
    <t>Complexity(3)_Time(40)_SongNr(40).wav</t>
  </si>
  <si>
    <t>Complexity(3)_Time(40)_SongNr(3).wav</t>
  </si>
  <si>
    <t>Complexity(3)_Time(40)_SongNr(27).wav</t>
  </si>
  <si>
    <t>Complexity(3)_Time(4)_SongNr(94).wav</t>
  </si>
  <si>
    <t>Complexity(3)_Time(4)_SongNr(92).wav</t>
  </si>
  <si>
    <t>Complexity(3)_Time(4)_SongNr(88).wav</t>
  </si>
  <si>
    <t>Complexity(3)_Time(4)_SongNr(69).wav</t>
  </si>
  <si>
    <t>Complexity(3)_Time(4)_SongNr(67).wav</t>
  </si>
  <si>
    <t>Complexity(3)_Time(4)_SongNr(38).wav</t>
  </si>
  <si>
    <t>Complexity(3)_Time(4)_SongNr(25).wav</t>
  </si>
  <si>
    <t>Complexity(3)_Time(4)_SongNr(113).wav</t>
  </si>
  <si>
    <t>Complexity(3)_Time(4)_SongNr(101).wav</t>
  </si>
  <si>
    <t>Complexity(3)_Time(4)_SongNr(10).wav</t>
  </si>
  <si>
    <t>Complexity(3)_Time(398)_SongNr(56).wav</t>
  </si>
  <si>
    <t>Complexity(3)_Time(390)_SongNr(5).wav</t>
  </si>
  <si>
    <t>Complexity(3)_Time(382)_SongNr(98).wav</t>
  </si>
  <si>
    <t>Complexity(3)_Time(38)_SongNr(87).wav</t>
  </si>
  <si>
    <t>Complexity(3)_Time(38)_SongNr(103).wav</t>
  </si>
  <si>
    <t>Complexity(3)_Time(378)_SongNr(56).wav</t>
  </si>
  <si>
    <t>Complexity(3)_Time(378)_SongNr(5).wav</t>
  </si>
  <si>
    <t>Complexity(3)_Time(372)_SongNr(98).wav</t>
  </si>
  <si>
    <t>Complexity(3)_Time(372)_SongNr(109).wav</t>
  </si>
  <si>
    <t>Complexity(3)_Time(370)_SongNr(98).wav</t>
  </si>
  <si>
    <t>Complexity(3)_Time(370)_SongNr(109).wav</t>
  </si>
  <si>
    <t>Complexity(3)_Time(368)_SongNr(54).wav</t>
  </si>
  <si>
    <t>Complexity(3)_Time(362)_SongNr(56).wav</t>
  </si>
  <si>
    <t>Complexity(3)_Time(360)_SongNr(52).wav</t>
  </si>
  <si>
    <t>Complexity(3)_Time(360)_SongNr(109).wav</t>
  </si>
  <si>
    <t>Complexity(3)_Time(36)_SongNr(93).wav</t>
  </si>
  <si>
    <t>Complexity(3)_Time(36)_SongNr(91).wav</t>
  </si>
  <si>
    <t>Complexity(3)_Time(36)_SongNr(36).wav</t>
  </si>
  <si>
    <t>Complexity(3)_Time(36)_SongNr(27).wav</t>
  </si>
  <si>
    <t>Complexity(3)_Time(36)_SongNr(26).wav</t>
  </si>
  <si>
    <t>Complexity(3)_Time(36)_SongNr(103).wav</t>
  </si>
  <si>
    <t>Complexity(3)_Time(358)_SongNr(54).wav</t>
  </si>
  <si>
    <t>Complexity(3)_Time(356)_SongNr(54).wav</t>
  </si>
  <si>
    <t>Complexity(3)_Time(354)_SongNr(54).wav</t>
  </si>
  <si>
    <t>Complexity(3)_Time(350)_SongNr(98).wav</t>
  </si>
  <si>
    <t>Complexity(3)_Time(350)_SongNr(107).wav</t>
  </si>
  <si>
    <t>Complexity(3)_Time(350)_SongNr(106).wav</t>
  </si>
  <si>
    <t>Complexity(3)_Time(342)_SongNr(56).wav</t>
  </si>
  <si>
    <t>Complexity(3)_Time(340)_SongNr(56).wav</t>
  </si>
  <si>
    <t>Complexity(3)_Time(340)_SongNr(54).wav</t>
  </si>
  <si>
    <t>Complexity(3)_Time(34)_SongNr(92).wav</t>
  </si>
  <si>
    <t>Complexity(3)_Time(34)_SongNr(91).wav</t>
  </si>
  <si>
    <t>Complexity(3)_Time(34)_SongNr(88).wav</t>
  </si>
  <si>
    <t>Complexity(3)_Time(34)_SongNr(69).wav</t>
  </si>
  <si>
    <t>Complexity(3)_Time(34)_SongNr(67).wav</t>
  </si>
  <si>
    <t>Complexity(3)_Time(338)_SongNr(56).wav</t>
  </si>
  <si>
    <t>Complexity(3)_Time(336)_SongNr(56).wav</t>
  </si>
  <si>
    <t>Complexity(3)_Time(336)_SongNr(107).wav</t>
  </si>
  <si>
    <t>Complexity(3)_Time(334)_SongNr(56).wav</t>
  </si>
  <si>
    <t>Complexity(3)_Time(332)_SongNr(99).wav</t>
  </si>
  <si>
    <t>Complexity(3)_Time(320)_SongNr(18).wav</t>
  </si>
  <si>
    <t>Complexity(3)_Time(32)_SongNr(88).wav</t>
  </si>
  <si>
    <t>Complexity(3)_Time(32)_SongNr(68).wav</t>
  </si>
  <si>
    <t>Complexity(3)_Time(32)_SongNr(3).wav</t>
  </si>
  <si>
    <t>Complexity(3)_Time(32)_SongNr(26).wav</t>
  </si>
  <si>
    <t>Complexity(3)_Time(32)_SongNr(10).wav</t>
  </si>
  <si>
    <t>Complexity(3)_Time(310)_SongNr(18).wav</t>
  </si>
  <si>
    <t>Complexity(3)_Time(310)_SongNr(109).wav</t>
  </si>
  <si>
    <t>Complexity(3)_Time(302)_SongNr(98).wav</t>
  </si>
  <si>
    <t>Complexity(3)_Time(300)_SongNr(106).wav</t>
  </si>
  <si>
    <t>Complexity(3)_Time(300)_SongNr(100).wav</t>
  </si>
  <si>
    <t>Complexity(3)_Time(30)_SongNr(94).wav</t>
  </si>
  <si>
    <t>Complexity(3)_Time(30)_SongNr(93).wav</t>
  </si>
  <si>
    <t>Complexity(3)_Time(30)_SongNr(88).wav</t>
  </si>
  <si>
    <t>Complexity(3)_Time(30)_SongNr(58).wav</t>
  </si>
  <si>
    <t>Complexity(3)_Time(30)_SongNr(43).wav</t>
  </si>
  <si>
    <t>Complexity(3)_Time(30)_SongNr(26).wav</t>
  </si>
  <si>
    <t>Complexity(3)_Time(30)_SongNr(23).wav</t>
  </si>
  <si>
    <t>Complexity(3)_Time(294)_SongNr(98).wav</t>
  </si>
  <si>
    <t>Complexity(3)_Time(294)_SongNr(24).wav</t>
  </si>
  <si>
    <t>Complexity(3)_Time(294)_SongNr(18).wav</t>
  </si>
  <si>
    <t>Complexity(3)_Time(292)_SongNr(56).wav</t>
  </si>
  <si>
    <t>Complexity(3)_Time(292)_SongNr(106).wav</t>
  </si>
  <si>
    <t>Complexity(3)_Time(290)_SongNr(98).wav</t>
  </si>
  <si>
    <t>Complexity(3)_Time(290)_SongNr(56).wav</t>
  </si>
  <si>
    <t>Complexity(3)_Time(288)_SongNr(45).wav</t>
  </si>
  <si>
    <t>Complexity(3)_Time(286)_SongNr(95).wav</t>
  </si>
  <si>
    <t>Complexity(3)_Time(286)_SongNr(109).wav</t>
  </si>
  <si>
    <t>Complexity(3)_Time(280)_SongNr(105).wav</t>
  </si>
  <si>
    <t>Complexity(3)_Time(28)_SongNr(94).wav</t>
  </si>
  <si>
    <t>Complexity(3)_Time(28)_SongNr(93).wav</t>
  </si>
  <si>
    <t>Complexity(3)_Time(28)_SongNr(91).wav</t>
  </si>
  <si>
    <t>Complexity(3)_Time(28)_SongNr(7).wav</t>
  </si>
  <si>
    <t>Complexity(3)_Time(28)_SongNr(67).wav</t>
  </si>
  <si>
    <t>Complexity(3)_Time(28)_SongNr(43).wav</t>
  </si>
  <si>
    <t>Complexity(3)_Time(28)_SongNr(3).wav</t>
  </si>
  <si>
    <t>Complexity(3)_Time(28)_SongNr(103).wav</t>
  </si>
  <si>
    <t>Complexity(3)_Time(28)_SongNr(100).wav</t>
  </si>
  <si>
    <t>Complexity(3)_Time(278)_SongNr(18).wav</t>
  </si>
  <si>
    <t>Complexity(3)_Time(278)_SongNr(106).wav</t>
  </si>
  <si>
    <t>Complexity(3)_Time(278)_SongNr(105).wav</t>
  </si>
  <si>
    <t>Complexity(3)_Time(276)_SongNr(109).wav</t>
  </si>
  <si>
    <t>Complexity(3)_Time(276)_SongNr(106).wav</t>
  </si>
  <si>
    <t>Complexity(3)_Time(274)_SongNr(56).wav</t>
  </si>
  <si>
    <t>Complexity(3)_Time(274)_SongNr(100).wav</t>
  </si>
  <si>
    <t>Complexity(3)_Time(272)_SongNr(105).wav</t>
  </si>
  <si>
    <t>Complexity(3)_Time(272)_SongNr(100).wav</t>
  </si>
  <si>
    <t>Complexity(3)_Time(270)_SongNr(56).wav</t>
  </si>
  <si>
    <t>Complexity(3)_Time(268)_SongNr(99).wav</t>
  </si>
  <si>
    <t>Complexity(3)_Time(268)_SongNr(51).wav</t>
  </si>
  <si>
    <t>Complexity(3)_Time(268)_SongNr(34).wav</t>
  </si>
  <si>
    <t>Complexity(3)_Time(266)_SongNr(99).wav</t>
  </si>
  <si>
    <t>Complexity(3)_Time(266)_SongNr(56).wav</t>
  </si>
  <si>
    <t>Complexity(3)_Time(266)_SongNr(51).wav</t>
  </si>
  <si>
    <t>Complexity(3)_Time(266)_SongNr(34).wav</t>
  </si>
  <si>
    <t>Complexity(3)_Time(264)_SongNr(55).wav</t>
  </si>
  <si>
    <t>Complexity(3)_Time(264)_SongNr(16).wav</t>
  </si>
  <si>
    <t>Complexity(3)_Time(262)_SongNr(51).wav</t>
  </si>
  <si>
    <t>Complexity(3)_Time(260)_SongNr(98).wav</t>
  </si>
  <si>
    <t>Complexity(3)_Time(260)_SongNr(56).wav</t>
  </si>
  <si>
    <t>Complexity(3)_Time(260)_SongNr(51).wav</t>
  </si>
  <si>
    <t>Complexity(3)_Time(260)_SongNr(16).wav</t>
  </si>
  <si>
    <t>Complexity(3)_Time(26)_SongNr(98).wav</t>
  </si>
  <si>
    <t>Complexity(3)_Time(26)_SongNr(95).wav</t>
  </si>
  <si>
    <t>Complexity(3)_Time(26)_SongNr(88).wav</t>
  </si>
  <si>
    <t>Complexity(3)_Time(26)_SongNr(84).wav</t>
  </si>
  <si>
    <t>Complexity(3)_Time(26)_SongNr(80).wav</t>
  </si>
  <si>
    <t>Complexity(3)_Time(26)_SongNr(58).wav</t>
  </si>
  <si>
    <t>Complexity(3)_Time(26)_SongNr(32).wav</t>
  </si>
  <si>
    <t>Complexity(3)_Time(26)_SongNr(3).wav</t>
  </si>
  <si>
    <t>Complexity(3)_Time(26)_SongNr(26).wav</t>
  </si>
  <si>
    <t>Complexity(3)_Time(26)_SongNr(17).wav</t>
  </si>
  <si>
    <t>Complexity(3)_Time(258)_SongNr(98).wav</t>
  </si>
  <si>
    <t>Complexity(3)_Time(258)_SongNr(56).wav</t>
  </si>
  <si>
    <t>Complexity(3)_Time(256)_SongNr(51).wav</t>
  </si>
  <si>
    <t>Complexity(3)_Time(256)_SongNr(34).wav</t>
  </si>
  <si>
    <t>Complexity(3)_Time(256)_SongNr(16).wav</t>
  </si>
  <si>
    <t>Complexity(3)_Time(256)_SongNr(108).wav</t>
  </si>
  <si>
    <t>Complexity(3)_Time(254)_SongNr(51).wav</t>
  </si>
  <si>
    <t>Complexity(3)_Time(254)_SongNr(38).wav</t>
  </si>
  <si>
    <t>Complexity(3)_Time(254)_SongNr(16).wav</t>
  </si>
  <si>
    <t>Complexity(3)_Time(252)_SongNr(51).wav</t>
  </si>
  <si>
    <t>Complexity(3)_Time(250)_SongNr(99).wav</t>
  </si>
  <si>
    <t>Complexity(3)_Time(250)_SongNr(55).wav</t>
  </si>
  <si>
    <t>Complexity(3)_Time(250)_SongNr(30).wav</t>
  </si>
  <si>
    <t>Complexity(3)_Time(248)_SongNr(51).wav</t>
  </si>
  <si>
    <t>Complexity(3)_Time(248)_SongNr(24).wav</t>
  </si>
  <si>
    <t>Complexity(3)_Time(248)_SongNr(101).wav</t>
  </si>
  <si>
    <t>Complexity(3)_Time(246)_SongNr(99).wav</t>
  </si>
  <si>
    <t>Complexity(3)_Time(246)_SongNr(98).wav</t>
  </si>
  <si>
    <t>Complexity(3)_Time(246)_SongNr(94).wav</t>
  </si>
  <si>
    <t>Complexity(3)_Time(246)_SongNr(55).wav</t>
  </si>
  <si>
    <t>Complexity(3)_Time(246)_SongNr(51).wav</t>
  </si>
  <si>
    <t>Complexity(3)_Time(246)_SongNr(30).wav</t>
  </si>
  <si>
    <t>Complexity(3)_Time(246)_SongNr(16).wav</t>
  </si>
  <si>
    <t>Complexity(3)_Time(246)_SongNr(114).wav</t>
  </si>
  <si>
    <t>Complexity(3)_Time(244)_SongNr(98).wav</t>
  </si>
  <si>
    <t>Complexity(3)_Time(244)_SongNr(40).wav</t>
  </si>
  <si>
    <t>Complexity(3)_Time(244)_SongNr(24).wav</t>
  </si>
  <si>
    <t>Complexity(3)_Time(242)_SongNr(51).wav</t>
  </si>
  <si>
    <t>Complexity(3)_Time(240)_SongNr(51).wav</t>
  </si>
  <si>
    <t>Complexity(3)_Time(240)_SongNr(40).wav</t>
  </si>
  <si>
    <t>Complexity(3)_Time(240)_SongNr(38).wav</t>
  </si>
  <si>
    <t>Complexity(3)_Time(240)_SongNr(30).wav</t>
  </si>
  <si>
    <t>Complexity(3)_Time(240)_SongNr(25).wav</t>
  </si>
  <si>
    <t>Complexity(3)_Time(240)_SongNr(106).wav</t>
  </si>
  <si>
    <t>Complexity(3)_Time(24)_SongNr(99).wav</t>
  </si>
  <si>
    <t>Complexity(3)_Time(24)_SongNr(93).wav</t>
  </si>
  <si>
    <t>Complexity(3)_Time(24)_SongNr(91).wav</t>
  </si>
  <si>
    <t>Complexity(3)_Time(24)_SongNr(89).wav</t>
  </si>
  <si>
    <t>Complexity(3)_Time(24)_SongNr(88).wav</t>
  </si>
  <si>
    <t>Complexity(3)_Time(24)_SongNr(68).wav</t>
  </si>
  <si>
    <t>Complexity(3)_Time(24)_SongNr(3).wav</t>
  </si>
  <si>
    <t>Complexity(3)_Time(24)_SongNr(26).wav</t>
  </si>
  <si>
    <t>Complexity(3)_Time(24)_SongNr(13).wav</t>
  </si>
  <si>
    <t>Complexity(3)_Time(24)_SongNr(103).wav</t>
  </si>
  <si>
    <t>Complexity(3)_Time(238)_SongNr(30).wav</t>
  </si>
  <si>
    <t>Complexity(3)_Time(236)_SongNr(98).wav</t>
  </si>
  <si>
    <t>Complexity(3)_Time(236)_SongNr(24).wav</t>
  </si>
  <si>
    <t>Complexity(3)_Time(234)_SongNr(99).wav</t>
  </si>
  <si>
    <t>Complexity(3)_Time(234)_SongNr(94).wav</t>
  </si>
  <si>
    <t>Complexity(3)_Time(234)_SongNr(40).wav</t>
  </si>
  <si>
    <t>Complexity(3)_Time(232)_SongNr(51).wav</t>
  </si>
  <si>
    <t>Complexity(3)_Time(232)_SongNr(40).wav</t>
  </si>
  <si>
    <t>Complexity(3)_Time(232)_SongNr(24).wav</t>
  </si>
  <si>
    <t>Complexity(3)_Time(230)_SongNr(40).wav</t>
  </si>
  <si>
    <t>Complexity(3)_Time(230)_SongNr(16).wav</t>
  </si>
  <si>
    <t>Complexity(3)_Time(230)_SongNr(114).wav</t>
  </si>
  <si>
    <t>Complexity(3)_Time(228)_SongNr(58).wav</t>
  </si>
  <si>
    <t>Complexity(3)_Time(228)_SongNr(51).wav</t>
  </si>
  <si>
    <t>Complexity(3)_Time(226)_SongNr(56).wav</t>
  </si>
  <si>
    <t>Complexity(3)_Time(226)_SongNr(24).wav</t>
  </si>
  <si>
    <t>Complexity(3)_Time(224)_SongNr(56).wav</t>
  </si>
  <si>
    <t>Complexity(3)_Time(224)_SongNr(51).wav</t>
  </si>
  <si>
    <t>Complexity(3)_Time(224)_SongNr(24).wav</t>
  </si>
  <si>
    <t>Complexity(3)_Time(224)_SongNr(15).wav</t>
  </si>
  <si>
    <t>Complexity(3)_Time(222)_SongNr(40).wav</t>
  </si>
  <si>
    <t>Complexity(3)_Time(222)_SongNr(38).wav</t>
  </si>
  <si>
    <t>Complexity(3)_Time(220)_SongNr(51).wav</t>
  </si>
  <si>
    <t>Complexity(3)_Time(220)_SongNr(40).wav</t>
  </si>
  <si>
    <t>Complexity(3)_Time(220)_SongNr(18).wav</t>
  </si>
  <si>
    <t>Complexity(3)_Time(220)_SongNr(114).wav</t>
  </si>
  <si>
    <t>Complexity(3)_Time(220)_SongNr(107).wav</t>
  </si>
  <si>
    <t>Complexity(3)_Time(22)_SongNr(46).wav</t>
  </si>
  <si>
    <t>Complexity(3)_Time(22)_SongNr(43).wav</t>
  </si>
  <si>
    <t>Complexity(3)_Time(22)_SongNr(4).wav</t>
  </si>
  <si>
    <t>Complexity(3)_Time(22)_SongNr(34).wav</t>
  </si>
  <si>
    <t>Complexity(3)_Time(218)_SongNr(98).wav</t>
  </si>
  <si>
    <t>Complexity(3)_Time(218)_SongNr(24).wav</t>
  </si>
  <si>
    <t>Complexity(3)_Time(218)_SongNr(15).wav</t>
  </si>
  <si>
    <t>Complexity(3)_Time(216)_SongNr(56).wav</t>
  </si>
  <si>
    <t>Complexity(3)_Time(216)_SongNr(24).wav</t>
  </si>
  <si>
    <t>Complexity(3)_Time(216)_SongNr(16).wav</t>
  </si>
  <si>
    <t>Complexity(3)_Time(216)_SongNr(116).wav</t>
  </si>
  <si>
    <t>Complexity(3)_Time(214)_SongNr(92).wav</t>
  </si>
  <si>
    <t>Complexity(3)_Time(214)_SongNr(58).wav</t>
  </si>
  <si>
    <t>Complexity(3)_Time(214)_SongNr(56).wav</t>
  </si>
  <si>
    <t>Complexity(3)_Time(212)_SongNr(98).wav</t>
  </si>
  <si>
    <t>Complexity(3)_Time(212)_SongNr(56).wav</t>
  </si>
  <si>
    <t>Complexity(3)_Time(212)_SongNr(16).wav</t>
  </si>
  <si>
    <t>Complexity(3)_Time(212)_SongNr(114).wav</t>
  </si>
  <si>
    <t>Complexity(3)_Time(210)_SongNr(116).wav</t>
  </si>
  <si>
    <t>Complexity(3)_Time(208)_SongNr(95).wav</t>
  </si>
  <si>
    <t>Complexity(3)_Time(208)_SongNr(92).wav</t>
  </si>
  <si>
    <t>Complexity(3)_Time(208)_SongNr(40).wav</t>
  </si>
  <si>
    <t>Complexity(3)_Time(208)_SongNr(16).wav</t>
  </si>
  <si>
    <t>Complexity(3)_Time(208)_SongNr(113).wav</t>
  </si>
  <si>
    <t>Complexity(3)_Time(206)_SongNr(97).wav</t>
  </si>
  <si>
    <t>Complexity(3)_Time(206)_SongNr(92).wav</t>
  </si>
  <si>
    <t>Complexity(3)_Time(206)_SongNr(58).wav</t>
  </si>
  <si>
    <t>Complexity(3)_Time(206)_SongNr(34).wav</t>
  </si>
  <si>
    <t>Complexity(3)_Time(206)_SongNr(112).wav</t>
  </si>
  <si>
    <t>Complexity(3)_Time(204)_SongNr(97).wav</t>
  </si>
  <si>
    <t>Complexity(3)_Time(204)_SongNr(8).wav</t>
  </si>
  <si>
    <t>Complexity(3)_Time(204)_SongNr(40).wav</t>
  </si>
  <si>
    <t>Complexity(3)_Time(204)_SongNr(16).wav</t>
  </si>
  <si>
    <t>Complexity(3)_Time(204)_SongNr(116).wav</t>
  </si>
  <si>
    <t>Complexity(3)_Time(202)_SongNr(93).wav</t>
  </si>
  <si>
    <t>Complexity(3)_Time(202)_SongNr(40).wav</t>
  </si>
  <si>
    <t>Complexity(3)_Time(202)_SongNr(111).wav</t>
  </si>
  <si>
    <t>Complexity(3)_Time(200)_SongNr(92).wav</t>
  </si>
  <si>
    <t>Complexity(3)_Time(200)_SongNr(87).wav</t>
  </si>
  <si>
    <t>Complexity(3)_Time(200)_SongNr(38).wav</t>
  </si>
  <si>
    <t>Complexity(3)_Time(200)_SongNr(106).wav</t>
  </si>
  <si>
    <t>Complexity(3)_Time(20)_SongNr(99).wav</t>
  </si>
  <si>
    <t>Complexity(3)_Time(20)_SongNr(93).wav</t>
  </si>
  <si>
    <t>Complexity(3)_Time(20)_SongNr(92).wav</t>
  </si>
  <si>
    <t>Complexity(3)_Time(20)_SongNr(15).wav</t>
  </si>
  <si>
    <t>Complexity(3)_Time(20)_SongNr(109).wav</t>
  </si>
  <si>
    <t>Complexity(3)_Time(2)_SongNr(94).wav</t>
  </si>
  <si>
    <t>Complexity(3)_Time(2)_SongNr(88).wav</t>
  </si>
  <si>
    <t>Complexity(3)_Time(2)_SongNr(67).wav</t>
  </si>
  <si>
    <t>Complexity(3)_Time(2)_SongNr(32).wav</t>
  </si>
  <si>
    <t>Complexity(3)_Time(2)_SongNr(101).wav</t>
  </si>
  <si>
    <t>Complexity(3)_Time(198)_SongNr(58).wav</t>
  </si>
  <si>
    <t>Complexity(3)_Time(198)_SongNr(56).wav</t>
  </si>
  <si>
    <t>Complexity(3)_Time(198)_SongNr(41).wav</t>
  </si>
  <si>
    <t>Complexity(3)_Time(196)_SongNr(41).wav</t>
  </si>
  <si>
    <t>Complexity(3)_Time(196)_SongNr(34).wav</t>
  </si>
  <si>
    <t>Complexity(3)_Time(196)_SongNr(112).wav</t>
  </si>
  <si>
    <t>Complexity(3)_Time(196)_SongNr(106).wav</t>
  </si>
  <si>
    <t>Complexity(3)_Time(194)_SongNr(99).wav</t>
  </si>
  <si>
    <t>Complexity(3)_Time(194)_SongNr(58).wav</t>
  </si>
  <si>
    <t>Complexity(3)_Time(194)_SongNr(55).wav</t>
  </si>
  <si>
    <t>Complexity(3)_Time(194)_SongNr(41).wav</t>
  </si>
  <si>
    <t>Complexity(3)_Time(194)_SongNr(34).wav</t>
  </si>
  <si>
    <t>Complexity(3)_Time(192)_SongNr(94).wav</t>
  </si>
  <si>
    <t>Complexity(3)_Time(192)_SongNr(45).wav</t>
  </si>
  <si>
    <t>Complexity(3)_Time(192)_SongNr(16).wav</t>
  </si>
  <si>
    <t>Complexity(3)_Time(190)_SongNr(99).wav</t>
  </si>
  <si>
    <t>Complexity(3)_Time(190)_SongNr(55).wav</t>
  </si>
  <si>
    <t>Complexity(3)_Time(190)_SongNr(16).wav</t>
  </si>
  <si>
    <t>Complexity(3)_Time(188)_SongNr(16).wav</t>
  </si>
  <si>
    <t>Complexity(3)_Time(188)_SongNr(112).wav</t>
  </si>
  <si>
    <t>Complexity(3)_Time(186)_SongNr(99).wav</t>
  </si>
  <si>
    <t>Complexity(3)_Time(186)_SongNr(92).wav</t>
  </si>
  <si>
    <t>Complexity(3)_Time(186)_SongNr(57).wav</t>
  </si>
  <si>
    <t>Complexity(3)_Time(184)_SongNr(92).wav</t>
  </si>
  <si>
    <t>Complexity(3)_Time(184)_SongNr(56).wav</t>
  </si>
  <si>
    <t>Complexity(3)_Time(184)_SongNr(16).wav</t>
  </si>
  <si>
    <t>Complexity(3)_Time(182)_SongNr(94).wav</t>
  </si>
  <si>
    <t>Complexity(3)_Time(182)_SongNr(52).wav</t>
  </si>
  <si>
    <t>Complexity(3)_Time(182)_SongNr(41).wav</t>
  </si>
  <si>
    <t>Complexity(3)_Time(182)_SongNr(24).wav</t>
  </si>
  <si>
    <t>Complexity(3)_Time(182)_SongNr(16).wav</t>
  </si>
  <si>
    <t>Complexity(3)_Time(182)_SongNr(116).wav</t>
  </si>
  <si>
    <t>Complexity(3)_Time(182)_SongNr(112).wav</t>
  </si>
  <si>
    <t>Complexity(3)_Time(180)_SongNr(92).wav</t>
  </si>
  <si>
    <t>Complexity(3)_Time(180)_SongNr(89).wav</t>
  </si>
  <si>
    <t>Complexity(3)_Time(180)_SongNr(57).wav</t>
  </si>
  <si>
    <t>Complexity(3)_Time(180)_SongNr(116).wav</t>
  </si>
  <si>
    <t>Complexity(3)_Time(18)_SongNr(58).wav</t>
  </si>
  <si>
    <t>Complexity(3)_Time(18)_SongNr(112).wav</t>
  </si>
  <si>
    <t>Complexity(3)_Time(178)_SongNr(98).wav</t>
  </si>
  <si>
    <t>Complexity(3)_Time(178)_SongNr(58).wav</t>
  </si>
  <si>
    <t>Complexity(3)_Time(178)_SongNr(55).wav</t>
  </si>
  <si>
    <t>Complexity(3)_Time(178)_SongNr(46).wav</t>
  </si>
  <si>
    <t>Complexity(3)_Time(178)_SongNr(16).wav</t>
  </si>
  <si>
    <t>Complexity(3)_Time(176)_SongNr(84).wav</t>
  </si>
  <si>
    <t>Complexity(3)_Time(176)_SongNr(51).wav</t>
  </si>
  <si>
    <t>Complexity(3)_Time(176)_SongNr(49).wav</t>
  </si>
  <si>
    <t>Complexity(3)_Time(176)_SongNr(41).wav</t>
  </si>
  <si>
    <t>Complexity(3)_Time(176)_SongNr(114).wav</t>
  </si>
  <si>
    <t>Complexity(3)_Time(176)_SongNr(106).wav</t>
  </si>
  <si>
    <t>Complexity(3)_Time(174)_SongNr(58).wav</t>
  </si>
  <si>
    <t>Complexity(3)_Time(174)_SongNr(57).wav</t>
  </si>
  <si>
    <t>Complexity(3)_Time(174)_SongNr(16).wav</t>
  </si>
  <si>
    <t>Complexity(3)_Time(174)_SongNr(106).wav</t>
  </si>
  <si>
    <t>Complexity(3)_Time(172)_SongNr(84).wav</t>
  </si>
  <si>
    <t>Complexity(3)_Time(172)_SongNr(55).wav</t>
  </si>
  <si>
    <t>Complexity(3)_Time(172)_SongNr(51).wav</t>
  </si>
  <si>
    <t>Complexity(3)_Time(172)_SongNr(41).wav</t>
  </si>
  <si>
    <t>Complexity(3)_Time(172)_SongNr(24).wav</t>
  </si>
  <si>
    <t>Complexity(3)_Time(172)_SongNr(16).wav</t>
  </si>
  <si>
    <t>Complexity(3)_Time(172)_SongNr(112).wav</t>
  </si>
  <si>
    <t>Complexity(3)_Time(172)_SongNr(106).wav</t>
  </si>
  <si>
    <t>Complexity(3)_Time(170)_SongNr(92).wav</t>
  </si>
  <si>
    <t>Complexity(3)_Time(170)_SongNr(56).wav</t>
  </si>
  <si>
    <t>Complexity(3)_Time(170)_SongNr(41).wav</t>
  </si>
  <si>
    <t>Complexity(3)_Time(170)_SongNr(110).wav</t>
  </si>
  <si>
    <t>Complexity(3)_Time(168)_SongNr(88).wav</t>
  </si>
  <si>
    <t>Complexity(3)_Time(168)_SongNr(45).wav</t>
  </si>
  <si>
    <t>Complexity(3)_Time(168)_SongNr(38).wav</t>
  </si>
  <si>
    <t>Complexity(3)_Time(168)_SongNr(116).wav</t>
  </si>
  <si>
    <t>Complexity(3)_Time(166)_SongNr(88).wav</t>
  </si>
  <si>
    <t>Complexity(3)_Time(166)_SongNr(51).wav</t>
  </si>
  <si>
    <t>Complexity(3)_Time(166)_SongNr(27).wav</t>
  </si>
  <si>
    <t>Complexity(3)_Time(166)_SongNr(100).wav</t>
  </si>
  <si>
    <t>Complexity(3)_Time(164)_SongNr(88).wav</t>
  </si>
  <si>
    <t>Complexity(3)_Time(164)_SongNr(3).wav</t>
  </si>
  <si>
    <t>Complexity(3)_Time(164)_SongNr(27).wav</t>
  </si>
  <si>
    <t>Complexity(3)_Time(164)_SongNr(24).wav</t>
  </si>
  <si>
    <t>Complexity(3)_Time(164)_SongNr(116).wav</t>
  </si>
  <si>
    <t>Complexity(3)_Time(164)_SongNr(112).wav</t>
  </si>
  <si>
    <t>Complexity(3)_Time(164)_SongNr(110).wav</t>
  </si>
  <si>
    <t>Complexity(3)_Time(162)_SongNr(98).wav</t>
  </si>
  <si>
    <t>Complexity(3)_Time(162)_SongNr(87).wav</t>
  </si>
  <si>
    <t>Complexity(3)_Time(162)_SongNr(8).wav</t>
  </si>
  <si>
    <t>Complexity(3)_Time(162)_SongNr(51).wav</t>
  </si>
  <si>
    <t>Complexity(3)_Time(162)_SongNr(45).wav</t>
  </si>
  <si>
    <t>Complexity(3)_Time(162)_SongNr(40).wav</t>
  </si>
  <si>
    <t>Complexity(3)_Time(162)_SongNr(114).wav</t>
  </si>
  <si>
    <t>Complexity(3)_Time(162)_SongNr(110).wav</t>
  </si>
  <si>
    <t>Complexity(3)_Time(160)_SongNr(92).wav</t>
  </si>
  <si>
    <t>Complexity(3)_Time(160)_SongNr(51).wav</t>
  </si>
  <si>
    <t>Complexity(3)_Time(160)_SongNr(40).wav</t>
  </si>
  <si>
    <t>Complexity(3)_Time(160)_SongNr(3).wav</t>
  </si>
  <si>
    <t>Complexity(3)_Time(160)_SongNr(27).wav</t>
  </si>
  <si>
    <t>Complexity(3)_Time(160)_SongNr(115).wav</t>
  </si>
  <si>
    <t>Complexity(3)_Time(160)_SongNr(106).wav</t>
  </si>
  <si>
    <t>Complexity(3)_Time(16)_SongNr(92).wav</t>
  </si>
  <si>
    <t>Complexity(3)_Time(16)_SongNr(58).wav</t>
  </si>
  <si>
    <t>Complexity(3)_Time(16)_SongNr(4).wav</t>
  </si>
  <si>
    <t>Complexity(3)_Time(16)_SongNr(39).wav</t>
  </si>
  <si>
    <t>Complexity(3)_Time(16)_SongNr(34).wav</t>
  </si>
  <si>
    <t>Complexity(3)_Time(16)_SongNr(32).wav</t>
  </si>
  <si>
    <t>Complexity(3)_Time(16)_SongNr(112).wav</t>
  </si>
  <si>
    <t>Complexity(3)_Time(16)_SongNr(109).wav</t>
  </si>
  <si>
    <t>Complexity(3)_Time(158)_SongNr(93).wav</t>
  </si>
  <si>
    <t>Complexity(3)_Time(158)_SongNr(46).wav</t>
  </si>
  <si>
    <t>Complexity(3)_Time(158)_SongNr(45).wav</t>
  </si>
  <si>
    <t>Complexity(3)_Time(158)_SongNr(40).wav</t>
  </si>
  <si>
    <t>Complexity(3)_Time(158)_SongNr(39).wav</t>
  </si>
  <si>
    <t>Complexity(3)_Time(158)_SongNr(18).wav</t>
  </si>
  <si>
    <t>Complexity(3)_Time(158)_SongNr(115).wav</t>
  </si>
  <si>
    <t>Complexity(3)_Time(156)_SongNr(92).wav</t>
  </si>
  <si>
    <t>Complexity(3)_Time(156)_SongNr(55).wav</t>
  </si>
  <si>
    <t>Complexity(3)_Time(156)_SongNr(45).wav</t>
  </si>
  <si>
    <t>Complexity(3)_Time(156)_SongNr(40).wav</t>
  </si>
  <si>
    <t>Complexity(3)_Time(156)_SongNr(4).wav</t>
  </si>
  <si>
    <t>Complexity(3)_Time(156)_SongNr(27).wav</t>
  </si>
  <si>
    <t>Complexity(3)_Time(156)_SongNr(24).wav</t>
  </si>
  <si>
    <t>Complexity(3)_Time(156)_SongNr(18).wav</t>
  </si>
  <si>
    <t>Complexity(3)_Time(156)_SongNr(16).wav</t>
  </si>
  <si>
    <t>Complexity(3)_Time(156)_SongNr(115).wav</t>
  </si>
  <si>
    <t>Complexity(3)_Time(156)_SongNr(100).wav</t>
  </si>
  <si>
    <t>Complexity(3)_Time(154)_SongNr(92).wav</t>
  </si>
  <si>
    <t>Complexity(3)_Time(154)_SongNr(87).wav</t>
  </si>
  <si>
    <t>Complexity(3)_Time(154)_SongNr(51).wav</t>
  </si>
  <si>
    <t>Complexity(3)_Time(154)_SongNr(33).wav</t>
  </si>
  <si>
    <t>Complexity(3)_Time(154)_SongNr(24).wav</t>
  </si>
  <si>
    <t>Complexity(3)_Time(154)_SongNr(18).wav</t>
  </si>
  <si>
    <t>Complexity(3)_Time(154)_SongNr(109).wav</t>
  </si>
  <si>
    <t>Complexity(3)_Time(152)_SongNr(87).wav</t>
  </si>
  <si>
    <t>Complexity(3)_Time(152)_SongNr(40).wav</t>
  </si>
  <si>
    <t>Complexity(3)_Time(152)_SongNr(17).wav</t>
  </si>
  <si>
    <t>Complexity(3)_Time(152)_SongNr(16).wav</t>
  </si>
  <si>
    <t>Complexity(3)_Time(152)_SongNr(110).wav</t>
  </si>
  <si>
    <t>Complexity(3)_Time(152)_SongNr(106).wav</t>
  </si>
  <si>
    <t>Complexity(3)_Time(150)_SongNr(5).wav</t>
  </si>
  <si>
    <t>Complexity(3)_Time(150)_SongNr(33).wav</t>
  </si>
  <si>
    <t>Complexity(3)_Time(150)_SongNr(27).wav</t>
  </si>
  <si>
    <t>Complexity(3)_Time(150)_SongNr(23).wav</t>
  </si>
  <si>
    <t>Complexity(3)_Time(150)_SongNr(105).wav</t>
  </si>
  <si>
    <t>Complexity(3)_Time(148)_SongNr(8).wav</t>
  </si>
  <si>
    <t>Complexity(3)_Time(148)_SongNr(39).wav</t>
  </si>
  <si>
    <t>Complexity(3)_Time(148)_SongNr(27).wav</t>
  </si>
  <si>
    <t>Complexity(3)_Time(148)_SongNr(25).wav</t>
  </si>
  <si>
    <t>Complexity(3)_Time(148)_SongNr(21).wav</t>
  </si>
  <si>
    <t>Complexity(3)_Time(148)_SongNr(116).wav</t>
  </si>
  <si>
    <t>Complexity(3)_Time(148)_SongNr(106).wav</t>
  </si>
  <si>
    <t>Complexity(3)_Time(148)_SongNr(100).wav</t>
  </si>
  <si>
    <t>Complexity(3)_Time(146)_SongNr(99).wav</t>
  </si>
  <si>
    <t>Complexity(3)_Time(146)_SongNr(97).wav</t>
  </si>
  <si>
    <t>Complexity(3)_Time(146)_SongNr(33).wav</t>
  </si>
  <si>
    <t>Complexity(3)_Time(146)_SongNr(15).wav</t>
  </si>
  <si>
    <t>Complexity(3)_Time(146)_SongNr(112).wav</t>
  </si>
  <si>
    <t>Complexity(3)_Time(144)_SongNr(88).wav</t>
  </si>
  <si>
    <t>Complexity(3)_Time(144)_SongNr(40).wav</t>
  </si>
  <si>
    <t>Complexity(3)_Time(144)_SongNr(27).wav</t>
  </si>
  <si>
    <t>Complexity(3)_Time(144)_SongNr(16).wav</t>
  </si>
  <si>
    <t>Complexity(3)_Time(144)_SongNr(114).wav</t>
  </si>
  <si>
    <t>Complexity(3)_Time(144)_SongNr(109).wav</t>
  </si>
  <si>
    <t>Complexity(3)_Time(142)_SongNr(99).wav</t>
  </si>
  <si>
    <t>Complexity(3)_Time(142)_SongNr(51).wav</t>
  </si>
  <si>
    <t>Complexity(3)_Time(142)_SongNr(46).wav</t>
  </si>
  <si>
    <t>Complexity(3)_Time(142)_SongNr(35).wav</t>
  </si>
  <si>
    <t>Complexity(3)_Time(142)_SongNr(105).wav</t>
  </si>
  <si>
    <t>Complexity(3)_Time(142)_SongNr(100).wav</t>
  </si>
  <si>
    <t>Complexity(3)_Time(142)_SongNr(10).wav</t>
  </si>
  <si>
    <t>Complexity(3)_Time(140)_SongNr(110).wav</t>
  </si>
  <si>
    <t>Complexity(3)_Time(140)_SongNr(10).wav</t>
  </si>
  <si>
    <t>Complexity(3)_Time(14)_SongNr(93).wav</t>
  </si>
  <si>
    <t>Complexity(3)_Time(14)_SongNr(92).wav</t>
  </si>
  <si>
    <t>Complexity(3)_Time(14)_SongNr(89).wav</t>
  </si>
  <si>
    <t>Complexity(3)_Time(14)_SongNr(80).wav</t>
  </si>
  <si>
    <t>Complexity(3)_Time(14)_SongNr(58).wav</t>
  </si>
  <si>
    <t>Complexity(3)_Time(14)_SongNr(41).wav</t>
  </si>
  <si>
    <t>Complexity(3)_Time(14)_SongNr(35).wav</t>
  </si>
  <si>
    <t>Complexity(3)_Time(14)_SongNr(32).wav</t>
  </si>
  <si>
    <t>Complexity(3)_Time(14)_SongNr(30).wav</t>
  </si>
  <si>
    <t>Complexity(3)_Time(14)_SongNr(2).wav</t>
  </si>
  <si>
    <t>Complexity(3)_Time(14)_SongNr(15).wav</t>
  </si>
  <si>
    <t>Complexity(3)_Time(138)_SongNr(88).wav</t>
  </si>
  <si>
    <t>Complexity(3)_Time(138)_SongNr(46).wav</t>
  </si>
  <si>
    <t>Complexity(3)_Time(138)_SongNr(24).wav</t>
  </si>
  <si>
    <t>Complexity(3)_Time(138)_SongNr(100).wav</t>
  </si>
  <si>
    <t>Complexity(3)_Time(136)_SongNr(87).wav</t>
  </si>
  <si>
    <t>Complexity(3)_Time(136)_SongNr(41).wav</t>
  </si>
  <si>
    <t>Complexity(3)_Time(136)_SongNr(40).wav</t>
  </si>
  <si>
    <t>Complexity(3)_Time(136)_SongNr(23).wav</t>
  </si>
  <si>
    <t>Complexity(3)_Time(134)_SongNr(105).wav</t>
  </si>
  <si>
    <t>Complexity(3)_Time(132)_SongNr(56).wav</t>
  </si>
  <si>
    <t>Complexity(3)_Time(132)_SongNr(35).wav</t>
  </si>
  <si>
    <t>Complexity(3)_Time(132)_SongNr(105).wav</t>
  </si>
  <si>
    <t>Complexity(3)_Time(130)_SongNr(91).wav</t>
  </si>
  <si>
    <t>Complexity(3)_Time(130)_SongNr(88).wav</t>
  </si>
  <si>
    <t>Complexity(3)_Time(130)_SongNr(18).wav</t>
  </si>
  <si>
    <t>Complexity(3)_Time(130)_SongNr(116).wav</t>
  </si>
  <si>
    <t>Complexity(3)_Time(128)_SongNr(91).wav</t>
  </si>
  <si>
    <t>Complexity(3)_Time(128)_SongNr(57).wav</t>
  </si>
  <si>
    <t>Complexity(3)_Time(128)_SongNr(54).wav</t>
  </si>
  <si>
    <t>Complexity(3)_Time(128)_SongNr(116).wav</t>
  </si>
  <si>
    <t>Complexity(3)_Time(126)_SongNr(91).wav</t>
  </si>
  <si>
    <t>Complexity(3)_Time(126)_SongNr(5).wav</t>
  </si>
  <si>
    <t>Complexity(3)_Time(126)_SongNr(43).wav</t>
  </si>
  <si>
    <t>Complexity(3)_Time(126)_SongNr(36).wav</t>
  </si>
  <si>
    <t>Complexity(3)_Time(126)_SongNr(105).wav</t>
  </si>
  <si>
    <t>Complexity(3)_Time(124)_SongNr(99).wav</t>
  </si>
  <si>
    <t>Complexity(3)_Time(124)_SongNr(95).wav</t>
  </si>
  <si>
    <t>Complexity(3)_Time(124)_SongNr(85).wav</t>
  </si>
  <si>
    <t>Complexity(3)_Time(124)_SongNr(36).wav</t>
  </si>
  <si>
    <t>Complexity(3)_Time(124)_SongNr(105).wav</t>
  </si>
  <si>
    <t>Complexity(3)_Time(124)_SongNr(100).wav</t>
  </si>
  <si>
    <t>Complexity(3)_Time(122)_SongNr(91).wav</t>
  </si>
  <si>
    <t>Complexity(3)_Time(122)_SongNr(46).wav</t>
  </si>
  <si>
    <t>Complexity(3)_Time(122)_SongNr(100).wav</t>
  </si>
  <si>
    <t>Complexity(3)_Time(120)_SongNr(92).wav</t>
  </si>
  <si>
    <t>Complexity(3)_Time(120)_SongNr(91).wav</t>
  </si>
  <si>
    <t>Complexity(3)_Time(120)_SongNr(88).wav</t>
  </si>
  <si>
    <t>Complexity(3)_Time(120)_SongNr(66).wav</t>
  </si>
  <si>
    <t>Complexity(3)_Time(120)_SongNr(100).wav</t>
  </si>
  <si>
    <t>Complexity(3)_Time(120)_SongNr(10).wav</t>
  </si>
  <si>
    <t>Complexity(3)_Time(12)_SongNr(93).wav</t>
  </si>
  <si>
    <t>Complexity(3)_Time(12)_SongNr(89).wav</t>
  </si>
  <si>
    <t>Complexity(3)_Time(12)_SongNr(79).wav</t>
  </si>
  <si>
    <t>Complexity(3)_Time(12)_SongNr(57).wav</t>
  </si>
  <si>
    <t>Complexity(3)_Time(12)_SongNr(46).wav</t>
  </si>
  <si>
    <t>Complexity(3)_Time(12)_SongNr(30).wav</t>
  </si>
  <si>
    <t>Complexity(3)_Time(12)_SongNr(100).wav</t>
  </si>
  <si>
    <t>Complexity(3)_Time(118)_SongNr(99).wav</t>
  </si>
  <si>
    <t>Complexity(3)_Time(118)_SongNr(88).wav</t>
  </si>
  <si>
    <t>Complexity(3)_Time(118)_SongNr(84).wav</t>
  </si>
  <si>
    <t>Complexity(3)_Time(118)_SongNr(66).wav</t>
  </si>
  <si>
    <t>Complexity(3)_Time(118)_SongNr(57).wav</t>
  </si>
  <si>
    <t>Complexity(3)_Time(118)_SongNr(56).wav</t>
  </si>
  <si>
    <t>Complexity(3)_Time(118)_SongNr(35).wav</t>
  </si>
  <si>
    <t>Complexity(3)_Time(116)_SongNr(99).wav</t>
  </si>
  <si>
    <t>Complexity(3)_Time(116)_SongNr(84).wav</t>
  </si>
  <si>
    <t>Complexity(3)_Time(116)_SongNr(46).wav</t>
  </si>
  <si>
    <t>Complexity(3)_Time(114)_SongNr(92).wav</t>
  </si>
  <si>
    <t>Complexity(3)_Time(114)_SongNr(36).wav</t>
  </si>
  <si>
    <t>Complexity(3)_Time(114)_SongNr(16).wav</t>
  </si>
  <si>
    <t>Complexity(3)_Time(114)_SongNr(105).wav</t>
  </si>
  <si>
    <t>Complexity(3)_Time(114)_SongNr(100).wav</t>
  </si>
  <si>
    <t>Complexity(3)_Time(112)_SongNr(92).wav</t>
  </si>
  <si>
    <t>Complexity(3)_Time(112)_SongNr(91).wav</t>
  </si>
  <si>
    <t>Complexity(3)_Time(112)_SongNr(88).wav</t>
  </si>
  <si>
    <t>Complexity(3)_Time(112)_SongNr(57).wav</t>
  </si>
  <si>
    <t>Complexity(3)_Time(110)_SongNr(91).wav</t>
  </si>
  <si>
    <t>Complexity(3)_Time(110)_SongNr(88).wav</t>
  </si>
  <si>
    <t>Complexity(3)_Time(110)_SongNr(8).wav</t>
  </si>
  <si>
    <t>Complexity(3)_Time(110)_SongNr(112).wav</t>
  </si>
  <si>
    <t>Complexity(3)_Time(110)_SongNr(106).wav</t>
  </si>
  <si>
    <t>Complexity(3)_Time(110)_SongNr(105).wav</t>
  </si>
  <si>
    <t>Complexity(3)_Time(108)_SongNr(93).wav</t>
  </si>
  <si>
    <t>Complexity(3)_Time(108)_SongNr(91).wav</t>
  </si>
  <si>
    <t>Complexity(3)_Time(108)_SongNr(88).wav</t>
  </si>
  <si>
    <t>Complexity(3)_Time(108)_SongNr(84).wav</t>
  </si>
  <si>
    <t>Complexity(3)_Time(108)_SongNr(54).wav</t>
  </si>
  <si>
    <t>Complexity(3)_Time(106)_SongNr(94).wav</t>
  </si>
  <si>
    <t>Complexity(3)_Time(106)_SongNr(91).wav</t>
  </si>
  <si>
    <t>Complexity(3)_Time(106)_SongNr(84).wav</t>
  </si>
  <si>
    <t>Complexity(3)_Time(106)_SongNr(33).wav</t>
  </si>
  <si>
    <t>Complexity(3)_Time(106)_SongNr(105).wav</t>
  </si>
  <si>
    <t>Complexity(3)_Time(106)_SongNr(100).wav</t>
  </si>
  <si>
    <t>Complexity(3)_Time(104)_SongNr(91).wav</t>
  </si>
  <si>
    <t>Complexity(3)_Time(104)_SongNr(112).wav</t>
  </si>
  <si>
    <t>Complexity(3)_Time(104)_SongNr(105).wav</t>
  </si>
  <si>
    <t>Complexity(3)_Time(1020)_SongNr(54).wav</t>
  </si>
  <si>
    <t>Complexity(3)_Time(102)_SongNr(88).wav</t>
  </si>
  <si>
    <t>Complexity(3)_Time(102)_SongNr(14).wav</t>
  </si>
  <si>
    <t>Complexity(3)_Time(102)_SongNr(108).wav</t>
  </si>
  <si>
    <t>Complexity(3)_Time(102)_SongNr(106).wav</t>
  </si>
  <si>
    <t>Complexity(3)_Time(102)_SongNr(105).wav</t>
  </si>
  <si>
    <t>Complexity(3)_Time(102)_SongNr(103).wav</t>
  </si>
  <si>
    <t>Complexity(3)_Time(100)_SongNr(95).wav</t>
  </si>
  <si>
    <t>Complexity(3)_Time(100)_SongNr(89).wav</t>
  </si>
  <si>
    <t>Complexity(3)_Time(100)_SongNr(58).wav</t>
  </si>
  <si>
    <t>Complexity(3)_Time(100)_SongNr(36).wav</t>
  </si>
  <si>
    <t>Complexity(3)_Time(100)_SongNr(114).wav</t>
  </si>
  <si>
    <t>Complexity(3)_Time(100)_SongNr(112).wav</t>
  </si>
  <si>
    <t>Complexity(3)_Time(10)_SongNr(94).wav</t>
  </si>
  <si>
    <t>Complexity(3)_Time(10)_SongNr(85).wav</t>
  </si>
  <si>
    <t>Complexity(3)_Time(10)_SongNr(58).wav</t>
  </si>
  <si>
    <t>Complexity(3)_Time(10)_SongNr(38).wav</t>
  </si>
  <si>
    <t>Complexity(3)_Time(10)_SongNr(14).wav</t>
  </si>
  <si>
    <t>Complexity(3)_Time(0)_SongNr(94).wav</t>
  </si>
  <si>
    <t>Complexity(3)_Time(0)_SongNr(80).wav</t>
  </si>
  <si>
    <t>Complexity(3)_Time(0)_SongNr(68).wav</t>
  </si>
  <si>
    <t>Complexity(3)_Time(0)_SongNr(58).wav</t>
  </si>
  <si>
    <t>Complexity(3)_Time(0)_SongNr(37).wav</t>
  </si>
  <si>
    <t>Complexity(3)_Time(0)_SongNr(101).wav</t>
  </si>
  <si>
    <t>FortmerStimName</t>
  </si>
  <si>
    <t>Phoenix-Broken Pledge Chicago Reel</t>
  </si>
  <si>
    <t>Phoenix-Lark on the Strand Drummond Castle</t>
  </si>
  <si>
    <t>wit</t>
  </si>
  <si>
    <t>wot</t>
  </si>
  <si>
    <t>NewStimFileName</t>
  </si>
  <si>
    <t>p_item1402_set130_wit_lvl-15_comp6_t84_song2</t>
  </si>
  <si>
    <t>p_item1402_set130_wit_lvl-15_comp6_t84_song2.wav</t>
  </si>
  <si>
    <t>p_item1402_set130_wit_lvl-10_comp6_t84_song2</t>
  </si>
  <si>
    <t>p_item1402_set130_wit_lvl-10_comp6_t84_song2.wav</t>
  </si>
  <si>
    <t>p_item1402_set130_wit_lvl-5_comp6_t84_song2</t>
  </si>
  <si>
    <t>p_item1402_set130_wit_lvl-5_comp6_t84_song2.wav</t>
  </si>
  <si>
    <t>p_item1402_set130_wit_lvl0_comp6_t84_song2</t>
  </si>
  <si>
    <t>p_item1402_set130_wit_lvl0_comp6_t84_song2.wav</t>
  </si>
  <si>
    <t>p_item3212_set395_wit_lvl-15_comp6_t106_song3</t>
  </si>
  <si>
    <t>p_item3212_set395_wit_lvl-15_comp6_t106_song3.wav</t>
  </si>
  <si>
    <t>p_item3212_set395_wit_lvl-10_comp6_t106_song3</t>
  </si>
  <si>
    <t>p_item3212_set395_wit_lvl-10_comp6_t106_song3.wav</t>
  </si>
  <si>
    <t>p_item3212_set395_wit_lvl-5_comp6_t106_song3</t>
  </si>
  <si>
    <t>p_item3212_set395_wit_lvl-5_comp6_t106_song3.wav</t>
  </si>
  <si>
    <t>p_item3212_set395_wit_lvl0_comp6_t106_song3</t>
  </si>
  <si>
    <t>p_item3212_set395_wit_lvl0_comp6_t106_song3.wav</t>
  </si>
  <si>
    <t>p_item238_set21_wit_lvl-15_comp3_t122_song12</t>
  </si>
  <si>
    <t>p_item238_set21_wit_lvl-15_comp3_t122_song12.wav</t>
  </si>
  <si>
    <t>p_item238_set21_wit_lvl-10_comp3_t122_song12</t>
  </si>
  <si>
    <t>p_item238_set21_wit_lvl-10_comp3_t122_song12.wav</t>
  </si>
  <si>
    <t>p_item238_set21_wit_lvl-5_comp3_t122_song12</t>
  </si>
  <si>
    <t>p_item238_set21_wit_lvl-5_comp3_t122_song12.wav</t>
  </si>
  <si>
    <t>p_item238_set21_wit_lvl0_comp3_t122_song12</t>
  </si>
  <si>
    <t>p_item238_set21_wit_lvl0_comp3_t122_song12.wav</t>
  </si>
  <si>
    <t>p_item3487_set440_wit_lvl-15_comp3_t242_song13</t>
  </si>
  <si>
    <t>p_item3487_set440_wit_lvl-15_comp3_t242_song13.wav</t>
  </si>
  <si>
    <t>p_item3487_set440_wit_lvl-10_comp3_t242_song13</t>
  </si>
  <si>
    <t>p_item3487_set440_wit_lvl-10_comp3_t242_song13.wav</t>
  </si>
  <si>
    <t>p_item3487_set440_wit_lvl-5_comp3_t242_song13</t>
  </si>
  <si>
    <t>p_item3487_set440_wit_lvl-5_comp3_t242_song13.wav</t>
  </si>
  <si>
    <t>p_item3487_set440_wit_lvl0_comp3_t242_song13</t>
  </si>
  <si>
    <t>p_item3487_set440_wit_lvl0_comp3_t242_song13.wav</t>
  </si>
  <si>
    <t>p_item2851_set307_wit_lvl-15_comp6_t84_song19</t>
  </si>
  <si>
    <t>p_item2851_set307_wit_lvl-15_comp6_t84_song19.wav</t>
  </si>
  <si>
    <t>p_item2851_set307_wit_lvl-10_comp6_t84_song19</t>
  </si>
  <si>
    <t>p_item2851_set307_wit_lvl-10_comp6_t84_song19.wav</t>
  </si>
  <si>
    <t>p_item2851_set307_wit_lvl-5_comp6_t84_song19</t>
  </si>
  <si>
    <t>p_item2851_set307_wit_lvl-5_comp6_t84_song19.wav</t>
  </si>
  <si>
    <t>p_item2851_set307_wit_lvl0_comp6_t84_song19</t>
  </si>
  <si>
    <t>p_item2851_set307_wit_lvl0_comp6_t84_song19.wav</t>
  </si>
  <si>
    <t>p_item1150_set99_wit_lvl-15_comp3_t46_song21</t>
  </si>
  <si>
    <t>p_item1150_set99_wit_lvl-15_comp3_t46_song21.wav</t>
  </si>
  <si>
    <t>p_item1150_set99_wit_lvl-10_comp3_t46_song21</t>
  </si>
  <si>
    <t>p_item1150_set99_wit_lvl-10_comp3_t46_song21.wav</t>
  </si>
  <si>
    <t>p_item1150_set99_wit_lvl-5_comp3_t46_song21</t>
  </si>
  <si>
    <t>p_item1150_set99_wit_lvl-5_comp3_t46_song21.wav</t>
  </si>
  <si>
    <t>p_item1150_set99_wit_lvl0_comp3_t46_song21</t>
  </si>
  <si>
    <t>p_item1150_set99_wit_lvl0_comp3_t46_song21.wav</t>
  </si>
  <si>
    <t>p_item2709_set276_wit_lvl-15_comp3_t32_song23</t>
  </si>
  <si>
    <t>p_item2709_set276_wit_lvl-15_comp3_t32_song23.wav</t>
  </si>
  <si>
    <t>p_item2709_set276_wit_lvl-10_comp3_t32_song23</t>
  </si>
  <si>
    <t>p_item2709_set276_wit_lvl-10_comp3_t32_song23.wav</t>
  </si>
  <si>
    <t>p_item2709_set276_wit_lvl-5_comp3_t32_song23</t>
  </si>
  <si>
    <t>p_item2709_set276_wit_lvl-5_comp3_t32_song23.wav</t>
  </si>
  <si>
    <t>p_item2709_set276_wit_lvl0_comp3_t32_song23</t>
  </si>
  <si>
    <t>p_item2709_set276_wit_lvl0_comp3_t32_song23.wav</t>
  </si>
  <si>
    <t>p_item3079_set358_wit_lvl-15_comp3_t70_song28</t>
  </si>
  <si>
    <t>p_item3079_set358_wit_lvl-15_comp3_t70_song28.wav</t>
  </si>
  <si>
    <t>p_item3079_set358_wit_lvl-10_comp3_t70_song28</t>
  </si>
  <si>
    <t>p_item3079_set358_wit_lvl-10_comp3_t70_song28.wav</t>
  </si>
  <si>
    <t>p_item3079_set358_wit_lvl-5_comp3_t70_song28</t>
  </si>
  <si>
    <t>p_item3079_set358_wit_lvl-5_comp3_t70_song28.wav</t>
  </si>
  <si>
    <t>p_item3079_set358_wit_lvl0_comp3_t70_song28</t>
  </si>
  <si>
    <t>p_item3079_set358_wit_lvl0_comp3_t70_song28.wav</t>
  </si>
  <si>
    <t>p_item3562_set453_wit_lvl-15_comp6_t104_song39</t>
  </si>
  <si>
    <t>p_item3562_set453_wit_lvl-15_comp6_t104_song39.wav</t>
  </si>
  <si>
    <t>p_item3562_set453_wit_lvl-10_comp6_t104_song39</t>
  </si>
  <si>
    <t>p_item3562_set453_wit_lvl-10_comp6_t104_song39.wav</t>
  </si>
  <si>
    <t>p_item3562_set453_wit_lvl-5_comp6_t104_song39</t>
  </si>
  <si>
    <t>p_item3562_set453_wit_lvl-5_comp6_t104_song39.wav</t>
  </si>
  <si>
    <t>p_item3562_set453_wit_lvl0_comp6_t104_song39</t>
  </si>
  <si>
    <t>p_item3562_set453_wit_lvl0_comp6_t104_song39.wav</t>
  </si>
  <si>
    <t>p_item3703_set470_wit_lvl-15_comp3_t114_song40</t>
  </si>
  <si>
    <t>p_item3703_set470_wit_lvl-15_comp3_t114_song40.wav</t>
  </si>
  <si>
    <t>p_item3703_set470_wit_lvl-10_comp3_t114_song40</t>
  </si>
  <si>
    <t>p_item3703_set470_wit_lvl-10_comp3_t114_song40.wav</t>
  </si>
  <si>
    <t>p_item3703_set470_wit_lvl-5_comp3_t114_song40</t>
  </si>
  <si>
    <t>p_item3703_set470_wit_lvl-5_comp3_t114_song40.wav</t>
  </si>
  <si>
    <t>p_item3703_set470_wit_lvl0_comp3_t114_song40</t>
  </si>
  <si>
    <t>p_item3703_set470_wit_lvl0_comp3_t114_song40.wav</t>
  </si>
  <si>
    <t>p_item1924_set180_wit_lvl-15_comp3_t102_song42</t>
  </si>
  <si>
    <t>p_item1924_set180_wit_lvl-15_comp3_t102_song42.wav</t>
  </si>
  <si>
    <t>p_item1924_set180_wit_lvl-10_comp3_t102_song42</t>
  </si>
  <si>
    <t>p_item1924_set180_wit_lvl-10_comp3_t102_song42.wav</t>
  </si>
  <si>
    <t>p_item1924_set180_wit_lvl-5_comp3_t102_song42</t>
  </si>
  <si>
    <t>p_item1924_set180_wit_lvl-5_comp3_t102_song42.wav</t>
  </si>
  <si>
    <t>p_item1924_set180_wit_lvl0_comp3_t102_song42</t>
  </si>
  <si>
    <t>p_item1924_set180_wit_lvl0_comp3_t102_song42.wav</t>
  </si>
  <si>
    <t>p_item330_set29_wit_lvl-15_comp3_t54_song53</t>
  </si>
  <si>
    <t>p_item330_set29_wit_lvl-15_comp3_t54_song53.wav</t>
  </si>
  <si>
    <t>p_item1033_set88_wit_lvl-15_comp6_t88_song53</t>
  </si>
  <si>
    <t>p_item1033_set88_wit_lvl-15_comp6_t88_song53.wav</t>
  </si>
  <si>
    <t>p_item330_set29_wit_lvl-10_comp3_t54_song53</t>
  </si>
  <si>
    <t>p_item330_set29_wit_lvl-10_comp3_t54_song53.wav</t>
  </si>
  <si>
    <t>p_item1033_set88_wit_lvl-10_comp6_t88_song53</t>
  </si>
  <si>
    <t>p_item1033_set88_wit_lvl-10_comp6_t88_song53.wav</t>
  </si>
  <si>
    <t>p_item330_set29_wit_lvl-5_comp3_t54_song53</t>
  </si>
  <si>
    <t>p_item330_set29_wit_lvl-5_comp3_t54_song53.wav</t>
  </si>
  <si>
    <t>p_item1033_set88_wit_lvl-5_comp6_t88_song53</t>
  </si>
  <si>
    <t>p_item1033_set88_wit_lvl-5_comp6_t88_song53.wav</t>
  </si>
  <si>
    <t>p_item330_set29_wit_lvl0_comp3_t54_song53</t>
  </si>
  <si>
    <t>p_item330_set29_wit_lvl0_comp3_t54_song53.wav</t>
  </si>
  <si>
    <t>p_item1033_set88_wit_lvl0_comp6_t88_song53</t>
  </si>
  <si>
    <t>p_item1033_set88_wit_lvl0_comp6_t88_song53.wav</t>
  </si>
  <si>
    <t>p_item1570_set144_wit_lvl-15_comp3_t46_song81</t>
  </si>
  <si>
    <t>p_item1570_set144_wit_lvl-15_comp3_t46_song81.wav</t>
  </si>
  <si>
    <t>p_item1570_set144_wit_lvl-10_comp3_t46_song81</t>
  </si>
  <si>
    <t>p_item1570_set144_wit_lvl-10_comp3_t46_song81.wav</t>
  </si>
  <si>
    <t>p_item1570_set144_wit_lvl-5_comp3_t46_song81</t>
  </si>
  <si>
    <t>p_item1570_set144_wit_lvl-5_comp3_t46_song81.wav</t>
  </si>
  <si>
    <t>p_item1570_set144_wit_lvl0_comp3_t46_song81</t>
  </si>
  <si>
    <t>p_item1570_set144_wit_lvl0_comp3_t46_song81.wav</t>
  </si>
  <si>
    <t>p_item1523_set139_wit_lvl-15_comp6_t152_song83</t>
  </si>
  <si>
    <t>p_item1523_set139_wit_lvl-15_comp6_t152_song83.wav</t>
  </si>
  <si>
    <t>p_item1523_set139_wit_lvl-10_comp6_t152_song83</t>
  </si>
  <si>
    <t>p_item1523_set139_wit_lvl-10_comp6_t152_song83.wav</t>
  </si>
  <si>
    <t>p_item1523_set139_wit_lvl-5_comp6_t152_song83</t>
  </si>
  <si>
    <t>p_item1523_set139_wit_lvl-5_comp6_t152_song83.wav</t>
  </si>
  <si>
    <t>p_item1523_set139_wit_lvl0_comp6_t152_song83</t>
  </si>
  <si>
    <t>p_item1523_set139_wit_lvl0_comp6_t152_song83.wav</t>
  </si>
  <si>
    <t>p_item802_set60_wit_lvl-15_comp6_t120_song103</t>
  </si>
  <si>
    <t>p_item802_set60_wit_lvl-15_comp6_t120_song103.wav</t>
  </si>
  <si>
    <t>p_item3300_set407_wit_lvl-15_comp6_t130_song103</t>
  </si>
  <si>
    <t>p_item3300_set407_wit_lvl-15_comp6_t130_song103.wav</t>
  </si>
  <si>
    <t>p_item802_set60_wit_lvl-10_comp6_t120_song103</t>
  </si>
  <si>
    <t>p_item802_set60_wit_lvl-10_comp6_t120_song103.wav</t>
  </si>
  <si>
    <t>p_item3300_set407_wit_lvl-10_comp6_t130_song103</t>
  </si>
  <si>
    <t>p_item3300_set407_wit_lvl-10_comp6_t130_song103.wav</t>
  </si>
  <si>
    <t>p_item802_set60_wit_lvl-5_comp6_t120_song103</t>
  </si>
  <si>
    <t>p_item802_set60_wit_lvl-5_comp6_t120_song103.wav</t>
  </si>
  <si>
    <t>p_item3300_set407_wit_lvl-5_comp6_t130_song103</t>
  </si>
  <si>
    <t>p_item3300_set407_wit_lvl-5_comp6_t130_song103.wav</t>
  </si>
  <si>
    <t>p_item802_set60_wit_lvl0_comp6_t120_song103</t>
  </si>
  <si>
    <t>p_item802_set60_wit_lvl0_comp6_t120_song103.wav</t>
  </si>
  <si>
    <t>p_item3300_set407_wit_lvl0_comp6_t130_song103</t>
  </si>
  <si>
    <t>p_item3300_set407_wit_lvl0_comp6_t130_song103.wav</t>
  </si>
  <si>
    <t>p_item3775_set480_wit_lvl-15_comp3_t122_song104</t>
  </si>
  <si>
    <t>p_item3775_set480_wit_lvl-15_comp3_t122_song104.wav</t>
  </si>
  <si>
    <t>p_item3775_set480_wit_lvl-10_comp3_t122_song104</t>
  </si>
  <si>
    <t>p_item3775_set480_wit_lvl-10_comp3_t122_song104.wav</t>
  </si>
  <si>
    <t>p_item3775_set480_wit_lvl-5_comp3_t122_song104</t>
  </si>
  <si>
    <t>p_item3775_set480_wit_lvl-5_comp3_t122_song104.wav</t>
  </si>
  <si>
    <t>p_item3775_set480_wit_lvl0_comp3_t122_song104</t>
  </si>
  <si>
    <t>p_item3775_set480_wit_lvl0_comp3_t122_song104.wav</t>
  </si>
  <si>
    <t>p_item2948_set331_wit_lvl-15_comp6_t176_song111</t>
  </si>
  <si>
    <t>p_item2948_set331_wit_lvl-15_comp6_t176_song111.wav</t>
  </si>
  <si>
    <t>p_item2948_set331_wit_lvl-10_comp6_t176_song111</t>
  </si>
  <si>
    <t>p_item2948_set331_wit_lvl-10_comp6_t176_song111.wav</t>
  </si>
  <si>
    <t>p_item2948_set331_wit_lvl-5_comp6_t176_song111</t>
  </si>
  <si>
    <t>p_item2948_set331_wit_lvl-5_comp6_t176_song111.wav</t>
  </si>
  <si>
    <t>p_item2948_set331_wit_lvl0_comp6_t176_song111</t>
  </si>
  <si>
    <t>p_item2948_set331_wit_lvl0_comp6_t176_song111.wav</t>
  </si>
  <si>
    <t>p_item1909_set179_wit_lvl-15_comp6_t130_song115</t>
  </si>
  <si>
    <t>p_item1909_set179_wit_lvl-15_comp6_t130_song115.wav</t>
  </si>
  <si>
    <t>p_item1909_set179_wit_lvl-10_comp6_t130_song115</t>
  </si>
  <si>
    <t>p_item1909_set179_wit_lvl-10_comp6_t130_song115.wav</t>
  </si>
  <si>
    <t>p_item1909_set179_wit_lvl-5_comp6_t130_song115</t>
  </si>
  <si>
    <t>p_item1909_set179_wit_lvl-5_comp6_t130_song115.wav</t>
  </si>
  <si>
    <t>p_item1909_set179_wit_lvl0_comp6_t130_song115</t>
  </si>
  <si>
    <t>p_item1909_set179_wit_lvl0_comp6_t130_song115.wav</t>
  </si>
  <si>
    <t>voc_item3211_set776_wit_lvl-15_comp6_t408_song5</t>
  </si>
  <si>
    <t>voc_item3211_set776_wit_lvl-15_comp6_t408_song5.wav</t>
  </si>
  <si>
    <t>voc_item3211_set776_wit_lvl-10_comp6_t408_song5</t>
  </si>
  <si>
    <t>voc_item3211_set776_wit_lvl-10_comp6_t408_song5.wav</t>
  </si>
  <si>
    <t>voc_item3211_set776_wit_lvl-5_comp6_t408_song5</t>
  </si>
  <si>
    <t>voc_item3211_set776_wit_lvl-5_comp6_t408_song5.wav</t>
  </si>
  <si>
    <t>voc_item3211_set776_wit_lvl0_comp6_t408_song5</t>
  </si>
  <si>
    <t>voc_item3211_set776_wit_lvl0_comp6_t408_song5.wav</t>
  </si>
  <si>
    <t>voc_item2528_set496_wit_lvl-15_comp6_t232_song14</t>
  </si>
  <si>
    <t>voc_item2528_set496_wit_lvl-15_comp6_t232_song14.wav</t>
  </si>
  <si>
    <t>voc_item2528_set496_wit_lvl-10_comp6_t232_song14</t>
  </si>
  <si>
    <t>voc_item2528_set496_wit_lvl-10_comp6_t232_song14.wav</t>
  </si>
  <si>
    <t>voc_item2528_set496_wit_lvl-5_comp6_t232_song14</t>
  </si>
  <si>
    <t>voc_item2528_set496_wit_lvl-5_comp6_t232_song14.wav</t>
  </si>
  <si>
    <t>voc_item2528_set496_wit_lvl0_comp6_t232_song14</t>
  </si>
  <si>
    <t>voc_item2528_set496_wit_lvl0_comp6_t232_song14.wav</t>
  </si>
  <si>
    <t>voc_item2121_set380_wit_lvl-15_comp3_t122_song20</t>
  </si>
  <si>
    <t>voc_item2121_set380_wit_lvl-15_comp3_t122_song20.wav</t>
  </si>
  <si>
    <t>voc_item2121_set380_wit_lvl-10_comp3_t122_song20</t>
  </si>
  <si>
    <t>voc_item2121_set380_wit_lvl-10_comp3_t122_song20.wav</t>
  </si>
  <si>
    <t>voc_item2121_set380_wit_lvl-5_comp3_t122_song20</t>
  </si>
  <si>
    <t>voc_item2121_set380_wit_lvl-5_comp3_t122_song20.wav</t>
  </si>
  <si>
    <t>voc_item2121_set380_wit_lvl0_comp3_t122_song20</t>
  </si>
  <si>
    <t>voc_item2121_set380_wit_lvl0_comp3_t122_song20.wav</t>
  </si>
  <si>
    <t>voc_item2389_set447_wit_lvl-15_comp3_t20_song21</t>
  </si>
  <si>
    <t>voc_item2389_set447_wit_lvl-15_comp3_t20_song21.wav</t>
  </si>
  <si>
    <t>voc_item2389_set447_wit_lvl-10_comp3_t20_song21</t>
  </si>
  <si>
    <t>voc_item2389_set447_wit_lvl-10_comp3_t20_song21.wav</t>
  </si>
  <si>
    <t>voc_item2389_set447_wit_lvl-5_comp3_t20_song21</t>
  </si>
  <si>
    <t>voc_item2389_set447_wit_lvl-5_comp3_t20_song21.wav</t>
  </si>
  <si>
    <t>voc_item2389_set447_wit_lvl0_comp3_t20_song21</t>
  </si>
  <si>
    <t>voc_item2389_set447_wit_lvl0_comp3_t20_song21.wav</t>
  </si>
  <si>
    <t>voc_item933_set165_wit_lvl-15_comp6_t110_song33</t>
  </si>
  <si>
    <t>voc_item933_set165_wit_lvl-15_comp6_t110_song33.wav</t>
  </si>
  <si>
    <t>voc_item933_set165_wit_lvl-10_comp6_t110_song33</t>
  </si>
  <si>
    <t>voc_item933_set165_wit_lvl-10_comp6_t110_song33.wav</t>
  </si>
  <si>
    <t>voc_item933_set165_wit_lvl-5_comp6_t110_song33</t>
  </si>
  <si>
    <t>voc_item933_set165_wit_lvl-5_comp6_t110_song33.wav</t>
  </si>
  <si>
    <t>voc_item933_set165_wit_lvl0_comp6_t110_song33</t>
  </si>
  <si>
    <t>voc_item933_set165_wit_lvl0_comp6_t110_song33.wav</t>
  </si>
  <si>
    <t>voc_item3352_set852_wit_lvl-15_comp3_t86_song36</t>
  </si>
  <si>
    <t>voc_item3352_set852_wit_lvl-15_comp3_t86_song36.wav</t>
  </si>
  <si>
    <t>voc_item3352_set852_wit_lvl-10_comp3_t86_song36</t>
  </si>
  <si>
    <t>voc_item3352_set852_wit_lvl-10_comp3_t86_song36.wav</t>
  </si>
  <si>
    <t>voc_item3352_set852_wit_lvl-5_comp3_t86_song36</t>
  </si>
  <si>
    <t>voc_item3352_set852_wit_lvl-5_comp3_t86_song36.wav</t>
  </si>
  <si>
    <t>voc_item3352_set852_wit_lvl0_comp3_t86_song36</t>
  </si>
  <si>
    <t>voc_item3352_set852_wit_lvl0_comp3_t86_song36.wav</t>
  </si>
  <si>
    <t>voc_item2639_set536_wit_lvl-15_comp6_t172_song39</t>
  </si>
  <si>
    <t>voc_item2639_set536_wit_lvl-15_comp6_t172_song39.wav</t>
  </si>
  <si>
    <t>voc_item2639_set536_wit_lvl-10_comp6_t172_song39</t>
  </si>
  <si>
    <t>voc_item2639_set536_wit_lvl-10_comp6_t172_song39.wav</t>
  </si>
  <si>
    <t>voc_item2639_set536_wit_lvl-5_comp6_t172_song39</t>
  </si>
  <si>
    <t>voc_item2639_set536_wit_lvl-5_comp6_t172_song39.wav</t>
  </si>
  <si>
    <t>voc_item2639_set536_wit_lvl0_comp6_t172_song39</t>
  </si>
  <si>
    <t>voc_item2639_set536_wit_lvl0_comp6_t172_song39.wav</t>
  </si>
  <si>
    <t>voc_item594_set105_wit_lvl-15_comp6_t140_song48</t>
  </si>
  <si>
    <t>voc_item594_set105_wit_lvl-15_comp6_t140_song48.wav</t>
  </si>
  <si>
    <t>voc_item594_set105_wit_lvl-10_comp6_t140_song48</t>
  </si>
  <si>
    <t>voc_item594_set105_wit_lvl-10_comp6_t140_song48.wav</t>
  </si>
  <si>
    <t>voc_item594_set105_wit_lvl-5_comp6_t140_song48</t>
  </si>
  <si>
    <t>voc_item594_set105_wit_lvl-5_comp6_t140_song48.wav</t>
  </si>
  <si>
    <t>voc_item594_set105_wit_lvl0_comp6_t140_song48</t>
  </si>
  <si>
    <t>voc_item594_set105_wit_lvl0_comp6_t140_song48.wav</t>
  </si>
  <si>
    <t>voc_item181_set35_wit_lvl-15_comp6_t102_song49</t>
  </si>
  <si>
    <t>voc_item181_set35_wit_lvl-15_comp6_t102_song49.wav</t>
  </si>
  <si>
    <t>voc_item181_set35_wit_lvl-10_comp6_t102_song49</t>
  </si>
  <si>
    <t>voc_item181_set35_wit_lvl-10_comp6_t102_song49.wav</t>
  </si>
  <si>
    <t>voc_item181_set35_wit_lvl-5_comp6_t102_song49</t>
  </si>
  <si>
    <t>voc_item181_set35_wit_lvl-5_comp6_t102_song49.wav</t>
  </si>
  <si>
    <t>voc_item181_set35_wit_lvl0_comp6_t102_song49</t>
  </si>
  <si>
    <t>voc_item181_set35_wit_lvl0_comp6_t102_song49.wav</t>
  </si>
  <si>
    <t>voc_item180_set34_wit_lvl-15_comp3_t50_song51</t>
  </si>
  <si>
    <t>voc_item180_set34_wit_lvl-15_comp3_t50_song51.wav</t>
  </si>
  <si>
    <t>voc_item180_set34_wit_lvl-10_comp3_t50_song51</t>
  </si>
  <si>
    <t>voc_item180_set34_wit_lvl-10_comp3_t50_song51.wav</t>
  </si>
  <si>
    <t>voc_item180_set34_wit_lvl-5_comp3_t50_song51</t>
  </si>
  <si>
    <t>voc_item180_set34_wit_lvl-5_comp3_t50_song51.wav</t>
  </si>
  <si>
    <t>voc_item180_set34_wit_lvl0_comp3_t50_song51</t>
  </si>
  <si>
    <t>voc_item180_set34_wit_lvl0_comp3_t50_song51.wav</t>
  </si>
  <si>
    <t>voc_item3032_set693_wit_lvl-15_comp6_t70_song52</t>
  </si>
  <si>
    <t>voc_item3032_set693_wit_lvl-15_comp6_t70_song52.wav</t>
  </si>
  <si>
    <t>voc_item3032_set693_wit_lvl-10_comp6_t70_song52</t>
  </si>
  <si>
    <t>voc_item3032_set693_wit_lvl-10_comp6_t70_song52.wav</t>
  </si>
  <si>
    <t>voc_item3032_set693_wit_lvl-5_comp6_t70_song52</t>
  </si>
  <si>
    <t>voc_item3032_set693_wit_lvl-5_comp6_t70_song52.wav</t>
  </si>
  <si>
    <t>voc_item3032_set693_wit_lvl0_comp6_t70_song52</t>
  </si>
  <si>
    <t>voc_item3032_set693_wit_lvl0_comp6_t70_song52.wav</t>
  </si>
  <si>
    <t>voc_item253_set49_wit_lvl-15_comp6_t102_song53</t>
  </si>
  <si>
    <t>voc_item253_set49_wit_lvl-15_comp6_t102_song53.wav</t>
  </si>
  <si>
    <t>voc_item253_set49_wit_lvl-10_comp6_t102_song53</t>
  </si>
  <si>
    <t>voc_item253_set49_wit_lvl-10_comp6_t102_song53.wav</t>
  </si>
  <si>
    <t>voc_item253_set49_wit_lvl-5_comp6_t102_song53</t>
  </si>
  <si>
    <t>voc_item253_set49_wit_lvl-5_comp6_t102_song53.wav</t>
  </si>
  <si>
    <t>voc_item253_set49_wit_lvl0_comp6_t102_song53</t>
  </si>
  <si>
    <t>voc_item253_set49_wit_lvl0_comp6_t102_song53.wav</t>
  </si>
  <si>
    <t>voc_item1003_set177_wit_lvl-15_comp3_t218_song55</t>
  </si>
  <si>
    <t>voc_item1003_set177_wit_lvl-15_comp3_t218_song55.wav</t>
  </si>
  <si>
    <t>voc_item1003_set177_wit_lvl-10_comp3_t218_song55</t>
  </si>
  <si>
    <t>voc_item1003_set177_wit_lvl-10_comp3_t218_song55.wav</t>
  </si>
  <si>
    <t>voc_item1003_set177_wit_lvl-5_comp3_t218_song55</t>
  </si>
  <si>
    <t>voc_item1003_set177_wit_lvl-5_comp3_t218_song55.wav</t>
  </si>
  <si>
    <t>voc_item1003_set177_wit_lvl0_comp3_t218_song55</t>
  </si>
  <si>
    <t>voc_item1003_set177_wit_lvl0_comp3_t218_song55.wav</t>
  </si>
  <si>
    <t>voc_item1261_set217_wit_lvl-15_comp3_t38_song71</t>
  </si>
  <si>
    <t>voc_item1261_set217_wit_lvl-15_comp3_t38_song71.wav</t>
  </si>
  <si>
    <t>voc_item1261_set217_wit_lvl-10_comp3_t38_song71</t>
  </si>
  <si>
    <t>voc_item1261_set217_wit_lvl-10_comp3_t38_song71.wav</t>
  </si>
  <si>
    <t>voc_item1261_set217_wit_lvl-5_comp3_t38_song71</t>
  </si>
  <si>
    <t>voc_item1261_set217_wit_lvl-5_comp3_t38_song71.wav</t>
  </si>
  <si>
    <t>voc_item1261_set217_wit_lvl0_comp3_t38_song71</t>
  </si>
  <si>
    <t>voc_item1261_set217_wit_lvl0_comp3_t38_song71.wav</t>
  </si>
  <si>
    <t>voc_item1578_set270_wit_lvl-15_comp3_t154_song86</t>
  </si>
  <si>
    <t>voc_item1578_set270_wit_lvl-15_comp3_t154_song86.wav</t>
  </si>
  <si>
    <t>voc_item1578_set270_wit_lvl-10_comp3_t154_song86</t>
  </si>
  <si>
    <t>voc_item1578_set270_wit_lvl-10_comp3_t154_song86.wav</t>
  </si>
  <si>
    <t>voc_item1578_set270_wit_lvl-5_comp3_t154_song86</t>
  </si>
  <si>
    <t>voc_item1578_set270_wit_lvl-5_comp3_t154_song86.wav</t>
  </si>
  <si>
    <t>voc_item1578_set270_wit_lvl0_comp3_t154_song86</t>
  </si>
  <si>
    <t>voc_item1578_set270_wit_lvl0_comp3_t154_song86.wav</t>
  </si>
  <si>
    <t>voc_item3510_set924_wit_lvl-15_comp3_t120_song87</t>
  </si>
  <si>
    <t>voc_item3510_set924_wit_lvl-15_comp3_t120_song87.wav</t>
  </si>
  <si>
    <t>voc_item3510_set924_wit_lvl-10_comp3_t120_song87</t>
  </si>
  <si>
    <t>voc_item3510_set924_wit_lvl-10_comp3_t120_song87.wav</t>
  </si>
  <si>
    <t>voc_item3510_set924_wit_lvl-5_comp3_t120_song87</t>
  </si>
  <si>
    <t>voc_item3510_set924_wit_lvl-5_comp3_t120_song87.wav</t>
  </si>
  <si>
    <t>voc_item3510_set924_wit_lvl0_comp3_t120_song87</t>
  </si>
  <si>
    <t>voc_item3510_set924_wit_lvl0_comp3_t120_song87.wav</t>
  </si>
  <si>
    <t>voc_item1535_set258_wit_lvl-15_comp3_t52_song93</t>
  </si>
  <si>
    <t>voc_item1535_set258_wit_lvl-15_comp3_t52_song93.wav</t>
  </si>
  <si>
    <t>voc_item1535_set258_wit_lvl-10_comp3_t52_song93</t>
  </si>
  <si>
    <t>voc_item1535_set258_wit_lvl-10_comp3_t52_song93.wav</t>
  </si>
  <si>
    <t>voc_item1535_set258_wit_lvl-5_comp3_t52_song93</t>
  </si>
  <si>
    <t>voc_item1535_set258_wit_lvl-5_comp3_t52_song93.wav</t>
  </si>
  <si>
    <t>voc_item1535_set258_wit_lvl0_comp3_t52_song93</t>
  </si>
  <si>
    <t>voc_item1535_set258_wit_lvl0_comp3_t52_song93.wav</t>
  </si>
  <si>
    <t>voc_item2577_set518_wit_lvl-15_comp6_t46_song97</t>
  </si>
  <si>
    <t>voc_item2577_set518_wit_lvl-15_comp6_t46_song97.wav</t>
  </si>
  <si>
    <t>voc_item2577_set518_wit_lvl-10_comp6_t46_song97</t>
  </si>
  <si>
    <t>voc_item2577_set518_wit_lvl-10_comp6_t46_song97.wav</t>
  </si>
  <si>
    <t>voc_item2577_set518_wit_lvl-5_comp6_t46_song97</t>
  </si>
  <si>
    <t>voc_item2577_set518_wit_lvl-5_comp6_t46_song97.wav</t>
  </si>
  <si>
    <t>voc_item2577_set518_wit_lvl0_comp6_t46_song97</t>
  </si>
  <si>
    <t>voc_item2577_set518_wit_lvl0_comp6_t46_song97.wav</t>
  </si>
  <si>
    <t>voc_item2549_set507_wit_lvl-15_comp6_t186_song111</t>
  </si>
  <si>
    <t>voc_item2549_set507_wit_lvl-15_comp6_t186_song111.wav</t>
  </si>
  <si>
    <t>voc_item2549_set507_wit_lvl-10_comp6_t186_song111</t>
  </si>
  <si>
    <t>voc_item2549_set507_wit_lvl-10_comp6_t186_song111.wav</t>
  </si>
  <si>
    <t>voc_item2549_set507_wit_lvl-5_comp6_t186_song111</t>
  </si>
  <si>
    <t>voc_item2549_set507_wit_lvl-5_comp6_t186_song111.wav</t>
  </si>
  <si>
    <t>voc_item2549_set507_wit_lvl0_comp6_t186_song111</t>
  </si>
  <si>
    <t>voc_item2549_set507_wit_lvl0_comp6_t186_song111.wav</t>
  </si>
  <si>
    <t>voc_item3496_set919_wit_lvl-15_comp3_t194_song116</t>
  </si>
  <si>
    <t>voc_item3496_set919_wit_lvl-15_comp3_t194_song116.wav</t>
  </si>
  <si>
    <t>voc_item3496_set919_wit_lvl-10_comp3_t194_song116</t>
  </si>
  <si>
    <t>voc_item3496_set919_wit_lvl-10_comp3_t194_song116.wav</t>
  </si>
  <si>
    <t>voc_item3496_set919_wit_lvl-5_comp3_t194_song116</t>
  </si>
  <si>
    <t>voc_item3496_set919_wit_lvl-5_comp3_t194_song116.wav</t>
  </si>
  <si>
    <t>voc_item3496_set919_wit_lvl0_comp3_t194_song116</t>
  </si>
  <si>
    <t>voc_item3496_set919_wit_lvl0_comp3_t194_song116.wav</t>
  </si>
  <si>
    <t>git_item3626_set1047_wit_lvl-15_comp6_t36_song1</t>
  </si>
  <si>
    <t>git_item3626_set1047_wit_lvl-15_comp6_t36_song1.wav</t>
  </si>
  <si>
    <t>git_item3626_set1047_wit_lvl-10_comp6_t36_song1</t>
  </si>
  <si>
    <t>git_item3626_set1047_wit_lvl-10_comp6_t36_song1.wav</t>
  </si>
  <si>
    <t>git_item3626_set1047_wit_lvl-5_comp6_t36_song1</t>
  </si>
  <si>
    <t>git_item3626_set1047_wit_lvl-5_comp6_t36_song1.wav</t>
  </si>
  <si>
    <t>git_item3626_set1047_wit_lvl0_comp6_t36_song1</t>
  </si>
  <si>
    <t>git_item3626_set1047_wit_lvl0_comp6_t36_song1.wav</t>
  </si>
  <si>
    <t>git_item739_set228_wit_lvl-15_comp6_t140_song3</t>
  </si>
  <si>
    <t>git_item739_set228_wit_lvl-15_comp6_t140_song3.wav</t>
  </si>
  <si>
    <t>git_item739_set228_wit_lvl-10_comp6_t140_song3</t>
  </si>
  <si>
    <t>git_item739_set228_wit_lvl-10_comp6_t140_song3.wav</t>
  </si>
  <si>
    <t>git_item739_set228_wit_lvl-5_comp6_t140_song3</t>
  </si>
  <si>
    <t>git_item739_set228_wit_lvl-5_comp6_t140_song3.wav</t>
  </si>
  <si>
    <t>git_item739_set228_wit_lvl0_comp6_t140_song3</t>
  </si>
  <si>
    <t>git_item739_set228_wit_lvl0_comp6_t140_song3.wav</t>
  </si>
  <si>
    <t>git_item1831_set554_wit_lvl-15_comp3_t54_song15</t>
  </si>
  <si>
    <t>git_item1831_set554_wit_lvl-15_comp3_t54_song15.wav</t>
  </si>
  <si>
    <t>git_item1831_set554_wit_lvl-10_comp3_t54_song15</t>
  </si>
  <si>
    <t>git_item1831_set554_wit_lvl-10_comp3_t54_song15.wav</t>
  </si>
  <si>
    <t>git_item1831_set554_wit_lvl-5_comp3_t54_song15</t>
  </si>
  <si>
    <t>git_item1831_set554_wit_lvl-5_comp3_t54_song15.wav</t>
  </si>
  <si>
    <t>git_item1831_set554_wit_lvl0_comp3_t54_song15</t>
  </si>
  <si>
    <t>git_item1831_set554_wit_lvl0_comp3_t54_song15.wav</t>
  </si>
  <si>
    <t>git_item2876_set943_wit_lvl-15_comp6_t138_song33</t>
  </si>
  <si>
    <t>git_item2876_set943_wit_lvl-15_comp6_t138_song33.wav</t>
  </si>
  <si>
    <t>git_item2876_set943_wit_lvl-10_comp6_t138_song33</t>
  </si>
  <si>
    <t>git_item2876_set943_wit_lvl-10_comp6_t138_song33.wav</t>
  </si>
  <si>
    <t>git_item2876_set943_wit_lvl-5_comp6_t138_song33</t>
  </si>
  <si>
    <t>git_item2876_set943_wit_lvl-5_comp6_t138_song33.wav</t>
  </si>
  <si>
    <t>git_item2876_set943_wit_lvl0_comp6_t138_song33</t>
  </si>
  <si>
    <t>git_item2876_set943_wit_lvl0_comp6_t138_song33.wav</t>
  </si>
  <si>
    <t>git_item3250_set988_wit_lvl-15_comp6_t232_song34</t>
  </si>
  <si>
    <t>git_item3250_set988_wit_lvl-15_comp6_t232_song34.wav</t>
  </si>
  <si>
    <t>git_item3250_set988_wit_lvl-10_comp6_t232_song34</t>
  </si>
  <si>
    <t>git_item3250_set988_wit_lvl-10_comp6_t232_song34.wav</t>
  </si>
  <si>
    <t>git_item3250_set988_wit_lvl-5_comp6_t232_song34</t>
  </si>
  <si>
    <t>git_item3250_set988_wit_lvl-5_comp6_t232_song34.wav</t>
  </si>
  <si>
    <t>git_item3250_set988_wit_lvl0_comp6_t232_song34</t>
  </si>
  <si>
    <t>git_item3250_set988_wit_lvl0_comp6_t232_song34.wav</t>
  </si>
  <si>
    <t>git_item882_set267_wit_lvl-15_comp6_t230_song37</t>
  </si>
  <si>
    <t>git_item882_set267_wit_lvl-15_comp6_t230_song37.wav</t>
  </si>
  <si>
    <t>git_item882_set267_wit_lvl-10_comp6_t230_song37</t>
  </si>
  <si>
    <t>git_item882_set267_wit_lvl-10_comp6_t230_song37.wav</t>
  </si>
  <si>
    <t>git_item882_set267_wit_lvl-5_comp6_t230_song37</t>
  </si>
  <si>
    <t>git_item882_set267_wit_lvl-5_comp6_t230_song37.wav</t>
  </si>
  <si>
    <t>git_item882_set267_wit_lvl0_comp6_t230_song37</t>
  </si>
  <si>
    <t>git_item882_set267_wit_lvl0_comp6_t230_song37.wav</t>
  </si>
  <si>
    <t>git_item3724_set1064_wit_lvl-15_comp6_t194_song38</t>
  </si>
  <si>
    <t>git_item3724_set1064_wit_lvl-15_comp6_t194_song38.wav</t>
  </si>
  <si>
    <t>git_item3724_set1064_wit_lvl-10_comp6_t194_song38</t>
  </si>
  <si>
    <t>git_item3724_set1064_wit_lvl-10_comp6_t194_song38.wav</t>
  </si>
  <si>
    <t>git_item3724_set1064_wit_lvl-5_comp6_t194_song38</t>
  </si>
  <si>
    <t>git_item3724_set1064_wit_lvl-5_comp6_t194_song38.wav</t>
  </si>
  <si>
    <t>git_item3724_set1064_wit_lvl0_comp6_t194_song38</t>
  </si>
  <si>
    <t>git_item3724_set1064_wit_lvl0_comp6_t194_song38.wav</t>
  </si>
  <si>
    <t>git_item3230_set987_wit_lvl-15_comp6_t130_song39</t>
  </si>
  <si>
    <t>git_item3230_set987_wit_lvl-15_comp6_t130_song39.wav</t>
  </si>
  <si>
    <t>git_item3230_set987_wit_lvl-10_comp6_t130_song39</t>
  </si>
  <si>
    <t>git_item3230_set987_wit_lvl-10_comp6_t130_song39.wav</t>
  </si>
  <si>
    <t>git_item3230_set987_wit_lvl-5_comp6_t130_song39</t>
  </si>
  <si>
    <t>git_item3230_set987_wit_lvl-5_comp6_t130_song39.wav</t>
  </si>
  <si>
    <t>git_item3230_set987_wit_lvl0_comp6_t130_song39</t>
  </si>
  <si>
    <t>git_item3230_set987_wit_lvl0_comp6_t130_song39.wav</t>
  </si>
  <si>
    <t>git_item820_set249_wit_lvl-15_comp3_t182_song41</t>
  </si>
  <si>
    <t>git_item820_set249_wit_lvl-15_comp3_t182_song41.wav</t>
  </si>
  <si>
    <t>git_item820_set249_wit_lvl-10_comp3_t182_song41</t>
  </si>
  <si>
    <t>git_item820_set249_wit_lvl-10_comp3_t182_song41.wav</t>
  </si>
  <si>
    <t>git_item820_set249_wit_lvl-5_comp3_t182_song41</t>
  </si>
  <si>
    <t>git_item820_set249_wit_lvl-5_comp3_t182_song41.wav</t>
  </si>
  <si>
    <t>git_item820_set249_wit_lvl0_comp3_t182_song41</t>
  </si>
  <si>
    <t>git_item820_set249_wit_lvl0_comp3_t182_song41.wav</t>
  </si>
  <si>
    <t>git_item269_set79_wit_lvl-15_comp3_t80_song43</t>
  </si>
  <si>
    <t>git_item269_set79_wit_lvl-15_comp3_t80_song43.wav</t>
  </si>
  <si>
    <t>git_item269_set79_wit_lvl-10_comp3_t80_song43</t>
  </si>
  <si>
    <t>git_item269_set79_wit_lvl-10_comp3_t80_song43.wav</t>
  </si>
  <si>
    <t>git_item269_set79_wit_lvl-5_comp3_t80_song43</t>
  </si>
  <si>
    <t>git_item269_set79_wit_lvl-5_comp3_t80_song43.wav</t>
  </si>
  <si>
    <t>git_item269_set79_wit_lvl0_comp3_t80_song43</t>
  </si>
  <si>
    <t>git_item269_set79_wit_lvl0_comp3_t80_song43.wav</t>
  </si>
  <si>
    <t>git_item2195_set676_wit_lvl-15_comp3_t168_song45</t>
  </si>
  <si>
    <t>git_item2195_set676_wit_lvl-15_comp3_t168_song45.wav</t>
  </si>
  <si>
    <t>git_item2195_set676_wit_lvl-10_comp3_t168_song45</t>
  </si>
  <si>
    <t>git_item2195_set676_wit_lvl-10_comp3_t168_song45.wav</t>
  </si>
  <si>
    <t>git_item2195_set676_wit_lvl-5_comp3_t168_song45</t>
  </si>
  <si>
    <t>git_item2195_set676_wit_lvl-5_comp3_t168_song45.wav</t>
  </si>
  <si>
    <t>git_item2195_set676_wit_lvl0_comp3_t168_song45</t>
  </si>
  <si>
    <t>git_item2195_set676_wit_lvl0_comp3_t168_song45.wav</t>
  </si>
  <si>
    <t>git_item1490_set453_wit_lvl-15_comp3_t32_song64</t>
  </si>
  <si>
    <t>git_item1490_set453_wit_lvl-15_comp3_t32_song64.wav</t>
  </si>
  <si>
    <t>git_item1490_set453_wit_lvl-10_comp3_t32_song64</t>
  </si>
  <si>
    <t>git_item1490_set453_wit_lvl-10_comp3_t32_song64.wav</t>
  </si>
  <si>
    <t>git_item1490_set453_wit_lvl-5_comp3_t32_song64</t>
  </si>
  <si>
    <t>git_item1490_set453_wit_lvl-5_comp3_t32_song64.wav</t>
  </si>
  <si>
    <t>git_item1490_set453_wit_lvl0_comp3_t32_song64</t>
  </si>
  <si>
    <t>git_item1490_set453_wit_lvl0_comp3_t32_song64.wav</t>
  </si>
  <si>
    <t>git_item1927_set585_wit_lvl-15_comp6_t158_song87</t>
  </si>
  <si>
    <t>git_item1927_set585_wit_lvl-15_comp6_t158_song87.wav</t>
  </si>
  <si>
    <t>git_item1927_set585_wit_lvl-10_comp6_t158_song87</t>
  </si>
  <si>
    <t>git_item1927_set585_wit_lvl-10_comp6_t158_song87.wav</t>
  </si>
  <si>
    <t>git_item1927_set585_wit_lvl-5_comp6_t158_song87</t>
  </si>
  <si>
    <t>git_item1927_set585_wit_lvl-5_comp6_t158_song87.wav</t>
  </si>
  <si>
    <t>git_item1927_set585_wit_lvl0_comp6_t158_song87</t>
  </si>
  <si>
    <t>git_item1927_set585_wit_lvl0_comp6_t158_song87.wav</t>
  </si>
  <si>
    <t>git_item1553_set474_wit_lvl-15_comp3_t0_song92</t>
  </si>
  <si>
    <t>git_item1553_set474_wit_lvl-15_comp3_t0_song92.wav</t>
  </si>
  <si>
    <t>git_item1553_set474_wit_lvl-10_comp3_t0_song92</t>
  </si>
  <si>
    <t>git_item1553_set474_wit_lvl-10_comp3_t0_song92.wav</t>
  </si>
  <si>
    <t>git_item1553_set474_wit_lvl-5_comp3_t0_song92</t>
  </si>
  <si>
    <t>git_item1553_set474_wit_lvl-5_comp3_t0_song92.wav</t>
  </si>
  <si>
    <t>git_item1553_set474_wit_lvl0_comp3_t0_song92</t>
  </si>
  <si>
    <t>git_item1553_set474_wit_lvl0_comp3_t0_song92.wav</t>
  </si>
  <si>
    <t>git_item3131_set976_wit_lvl-15_comp6_t226_song101</t>
  </si>
  <si>
    <t>git_item3131_set976_wit_lvl-15_comp6_t226_song101.wav</t>
  </si>
  <si>
    <t>git_item3131_set976_wit_lvl-10_comp6_t226_song101</t>
  </si>
  <si>
    <t>git_item3131_set976_wit_lvl-10_comp6_t226_song101.wav</t>
  </si>
  <si>
    <t>git_item3131_set976_wit_lvl-5_comp6_t226_song101</t>
  </si>
  <si>
    <t>git_item3131_set976_wit_lvl-5_comp6_t226_song101.wav</t>
  </si>
  <si>
    <t>git_item3131_set976_wit_lvl0_comp6_t226_song101</t>
  </si>
  <si>
    <t>git_item3131_set976_wit_lvl0_comp6_t226_song101.wav</t>
  </si>
  <si>
    <t>git_item1408_set426_wit_lvl-15_comp3_t142_song105</t>
  </si>
  <si>
    <t>git_item1408_set426_wit_lvl-15_comp3_t142_song105.wav</t>
  </si>
  <si>
    <t>git_item1408_set426_wit_lvl-10_comp3_t142_song105</t>
  </si>
  <si>
    <t>git_item1408_set426_wit_lvl-10_comp3_t142_song105.wav</t>
  </si>
  <si>
    <t>git_item1408_set426_wit_lvl-5_comp3_t142_song105</t>
  </si>
  <si>
    <t>git_item1408_set426_wit_lvl-5_comp3_t142_song105.wav</t>
  </si>
  <si>
    <t>git_item1408_set426_wit_lvl0_comp3_t142_song105</t>
  </si>
  <si>
    <t>git_item1408_set426_wit_lvl0_comp3_t142_song105.wav</t>
  </si>
  <si>
    <t>git_item71_set21_wit_lvl-15_comp6_t122_song110</t>
  </si>
  <si>
    <t>git_item71_set21_wit_lvl-15_comp6_t122_song110.wav</t>
  </si>
  <si>
    <t>git_item71_set21_wit_lvl-10_comp6_t122_song110</t>
  </si>
  <si>
    <t>git_item71_set21_wit_lvl-10_comp6_t122_song110.wav</t>
  </si>
  <si>
    <t>git_item71_set21_wit_lvl-5_comp6_t122_song110</t>
  </si>
  <si>
    <t>git_item71_set21_wit_lvl-5_comp6_t122_song110.wav</t>
  </si>
  <si>
    <t>git_item71_set21_wit_lvl0_comp6_t122_song110</t>
  </si>
  <si>
    <t>git_item71_set21_wit_lvl0_comp6_t122_song110.wav</t>
  </si>
  <si>
    <t>git_item2628_set867_wit_lvl-15_comp3_t100_song112</t>
  </si>
  <si>
    <t>git_item2628_set867_wit_lvl-15_comp3_t100_song112.wav</t>
  </si>
  <si>
    <t>git_item2628_set867_wit_lvl-10_comp3_t100_song112</t>
  </si>
  <si>
    <t>git_item2628_set867_wit_lvl-10_comp3_t100_song112.wav</t>
  </si>
  <si>
    <t>git_item2628_set867_wit_lvl-5_comp3_t100_song112</t>
  </si>
  <si>
    <t>git_item2628_set867_wit_lvl-5_comp3_t100_song112.wav</t>
  </si>
  <si>
    <t>git_item2628_set867_wit_lvl0_comp3_t100_song112</t>
  </si>
  <si>
    <t>git_item2628_set867_wit_lvl0_comp3_t100_song112.wav</t>
  </si>
  <si>
    <t>git_item2174_set667_wit_lvl-15_comp3_t12_song113</t>
  </si>
  <si>
    <t>git_item2174_set667_wit_lvl-15_comp3_t12_song113.wav</t>
  </si>
  <si>
    <t>git_item2174_set667_wit_lvl-10_comp3_t12_song113</t>
  </si>
  <si>
    <t>git_item2174_set667_wit_lvl-10_comp3_t12_song113.wav</t>
  </si>
  <si>
    <t>git_item2174_set667_wit_lvl-5_comp3_t12_song113</t>
  </si>
  <si>
    <t>git_item2174_set667_wit_lvl-5_comp3_t12_song113.wav</t>
  </si>
  <si>
    <t>git_item2174_set667_wit_lvl0_comp3_t12_song113</t>
  </si>
  <si>
    <t>git_item2174_set667_wit_lvl0_comp3_t12_song113.wav</t>
  </si>
  <si>
    <t>git_item1676_set505_wit_lvl-15_comp3_t162_song114</t>
  </si>
  <si>
    <t>git_item1676_set505_wit_lvl-15_comp3_t162_song114.wav</t>
  </si>
  <si>
    <t>git_item1676_set505_wit_lvl-10_comp3_t162_song114</t>
  </si>
  <si>
    <t>git_item1676_set505_wit_lvl-10_comp3_t162_song114.wav</t>
  </si>
  <si>
    <t>git_item1676_set505_wit_lvl-5_comp3_t162_song114</t>
  </si>
  <si>
    <t>git_item1676_set505_wit_lvl-5_comp3_t162_song114.wav</t>
  </si>
  <si>
    <t>git_item1676_set505_wit_lvl0_comp3_t162_song114</t>
  </si>
  <si>
    <t>git_item1676_set505_wit_lvl0_comp3_t162_song114.wav</t>
  </si>
  <si>
    <t>b_item3589_set1138_wit_lvl-15_comp6_t82_song1</t>
  </si>
  <si>
    <t>b_item3589_set1138_wit_lvl-15_comp6_t82_song1.wav</t>
  </si>
  <si>
    <t>b_item3589_set1138_wit_lvl-10_comp6_t82_song1</t>
  </si>
  <si>
    <t>b_item3589_set1138_wit_lvl-10_comp6_t82_song1.wav</t>
  </si>
  <si>
    <t>b_item3589_set1138_wit_lvl-5_comp6_t82_song1</t>
  </si>
  <si>
    <t>b_item3589_set1138_wit_lvl-5_comp6_t82_song1.wav</t>
  </si>
  <si>
    <t>b_item3589_set1138_wit_lvl0_comp6_t82_song1</t>
  </si>
  <si>
    <t>b_item3589_set1138_wit_lvl0_comp6_t82_song1.wav</t>
  </si>
  <si>
    <t>b_item748_set332_wit_lvl-15_comp3_t98_song10</t>
  </si>
  <si>
    <t>b_item748_set332_wit_lvl-15_comp3_t98_song10.wav</t>
  </si>
  <si>
    <t>b_item748_set332_wit_lvl-10_comp3_t98_song10</t>
  </si>
  <si>
    <t>b_item748_set332_wit_lvl-10_comp3_t98_song10.wav</t>
  </si>
  <si>
    <t>b_item748_set332_wit_lvl-5_comp3_t98_song10</t>
  </si>
  <si>
    <t>b_item748_set332_wit_lvl-5_comp3_t98_song10.wav</t>
  </si>
  <si>
    <t>b_item748_set332_wit_lvl0_comp3_t98_song10</t>
  </si>
  <si>
    <t>b_item748_set332_wit_lvl0_comp3_t98_song10.wav</t>
  </si>
  <si>
    <t>b_item368_set154_wit_lvl-15_comp6_t170_song21</t>
  </si>
  <si>
    <t>b_item368_set154_wit_lvl-15_comp6_t170_song21.wav</t>
  </si>
  <si>
    <t>b_item368_set154_wit_lvl-10_comp6_t170_song21</t>
  </si>
  <si>
    <t>b_item368_set154_wit_lvl-10_comp6_t170_song21.wav</t>
  </si>
  <si>
    <t>b_item368_set154_wit_lvl-5_comp6_t170_song21</t>
  </si>
  <si>
    <t>b_item368_set154_wit_lvl-5_comp6_t170_song21.wav</t>
  </si>
  <si>
    <t>b_item368_set154_wit_lvl0_comp6_t170_song21</t>
  </si>
  <si>
    <t>b_item368_set154_wit_lvl0_comp6_t170_song21.wav</t>
  </si>
  <si>
    <t>b_item2972_set1012_wit_lvl-15_comp6_t212_song26</t>
  </si>
  <si>
    <t>b_item2972_set1012_wit_lvl-15_comp6_t212_song26.wav</t>
  </si>
  <si>
    <t>b_item2972_set1012_wit_lvl-10_comp6_t212_song26</t>
  </si>
  <si>
    <t>b_item2972_set1012_wit_lvl-10_comp6_t212_song26.wav</t>
  </si>
  <si>
    <t>b_item2972_set1012_wit_lvl-5_comp6_t212_song26</t>
  </si>
  <si>
    <t>b_item2972_set1012_wit_lvl-5_comp6_t212_song26.wav</t>
  </si>
  <si>
    <t>b_item2972_set1012_wit_lvl0_comp6_t212_song26</t>
  </si>
  <si>
    <t>b_item2972_set1012_wit_lvl0_comp6_t212_song26.wav</t>
  </si>
  <si>
    <t>b_item961_set424_wit_lvl-15_comp6_t136_song34</t>
  </si>
  <si>
    <t>b_item961_set424_wit_lvl-15_comp6_t136_song34.wav</t>
  </si>
  <si>
    <t>b_item961_set424_wit_lvl-10_comp6_t136_song34</t>
  </si>
  <si>
    <t>b_item961_set424_wit_lvl-10_comp6_t136_song34.wav</t>
  </si>
  <si>
    <t>b_item961_set424_wit_lvl-5_comp6_t136_song34</t>
  </si>
  <si>
    <t>b_item961_set424_wit_lvl-5_comp6_t136_song34.wav</t>
  </si>
  <si>
    <t>b_item961_set424_wit_lvl0_comp6_t136_song34</t>
  </si>
  <si>
    <t>b_item961_set424_wit_lvl0_comp6_t136_song34.wav</t>
  </si>
  <si>
    <t>b_item3241_set1062_wit_lvl-15_comp6_t174_song35</t>
  </si>
  <si>
    <t>b_item3241_set1062_wit_lvl-15_comp6_t174_song35.wav</t>
  </si>
  <si>
    <t>b_item3241_set1062_wit_lvl-10_comp6_t174_song35</t>
  </si>
  <si>
    <t>b_item3241_set1062_wit_lvl-10_comp6_t174_song35.wav</t>
  </si>
  <si>
    <t>b_item3241_set1062_wit_lvl-5_comp6_t174_song35</t>
  </si>
  <si>
    <t>b_item3241_set1062_wit_lvl-5_comp6_t174_song35.wav</t>
  </si>
  <si>
    <t>b_item3241_set1062_wit_lvl0_comp6_t174_song35</t>
  </si>
  <si>
    <t>b_item3241_set1062_wit_lvl0_comp6_t174_song35.wav</t>
  </si>
  <si>
    <t>b_item2486_set961_wit_lvl-15_comp6_t180_song37</t>
  </si>
  <si>
    <t>b_item2486_set961_wit_lvl-15_comp6_t180_song37.wav</t>
  </si>
  <si>
    <t>b_item2486_set961_wit_lvl-10_comp6_t180_song37</t>
  </si>
  <si>
    <t>b_item2486_set961_wit_lvl-10_comp6_t180_song37.wav</t>
  </si>
  <si>
    <t>b_item2486_set961_wit_lvl-5_comp6_t180_song37</t>
  </si>
  <si>
    <t>b_item2486_set961_wit_lvl-5_comp6_t180_song37.wav</t>
  </si>
  <si>
    <t>b_item2486_set961_wit_lvl0_comp6_t180_song37</t>
  </si>
  <si>
    <t>b_item2486_set961_wit_lvl0_comp6_t180_song37.wav</t>
  </si>
  <si>
    <t>b_item2934_set1004_wit_lvl-15_comp6_t138_song49</t>
  </si>
  <si>
    <t>b_item2934_set1004_wit_lvl-15_comp6_t138_song49.wav</t>
  </si>
  <si>
    <t>b_item2934_set1004_wit_lvl-10_comp6_t138_song49</t>
  </si>
  <si>
    <t>b_item2934_set1004_wit_lvl-10_comp6_t138_song49.wav</t>
  </si>
  <si>
    <t>b_item2934_set1004_wit_lvl-5_comp6_t138_song49</t>
  </si>
  <si>
    <t>b_item2934_set1004_wit_lvl-5_comp6_t138_song49.wav</t>
  </si>
  <si>
    <t>b_item2934_set1004_wit_lvl0_comp6_t138_song49</t>
  </si>
  <si>
    <t>b_item2934_set1004_wit_lvl0_comp6_t138_song49.wav</t>
  </si>
  <si>
    <t>b_item1770_set770_wit_lvl-15_comp6_t74_song53</t>
  </si>
  <si>
    <t>b_item1770_set770_wit_lvl-15_comp6_t74_song53.wav</t>
  </si>
  <si>
    <t>b_item1770_set770_wit_lvl-10_comp6_t74_song53</t>
  </si>
  <si>
    <t>b_item1770_set770_wit_lvl-10_comp6_t74_song53.wav</t>
  </si>
  <si>
    <t>b_item1770_set770_wit_lvl-5_comp6_t74_song53</t>
  </si>
  <si>
    <t>b_item1770_set770_wit_lvl-5_comp6_t74_song53.wav</t>
  </si>
  <si>
    <t>b_item1770_set770_wit_lvl0_comp6_t74_song53</t>
  </si>
  <si>
    <t>b_item1770_set770_wit_lvl0_comp6_t74_song53.wav</t>
  </si>
  <si>
    <t>b_item979_set434_wit_lvl-15_comp3_t690_song54</t>
  </si>
  <si>
    <t>b_item979_set434_wit_lvl-15_comp3_t690_song54.wav</t>
  </si>
  <si>
    <t>b_item979_set434_wit_lvl-10_comp3_t690_song54</t>
  </si>
  <si>
    <t>b_item979_set434_wit_lvl-10_comp3_t690_song54.wav</t>
  </si>
  <si>
    <t>b_item979_set434_wit_lvl-5_comp3_t690_song54</t>
  </si>
  <si>
    <t>b_item979_set434_wit_lvl-5_comp3_t690_song54.wav</t>
  </si>
  <si>
    <t>b_item979_set434_wit_lvl0_comp3_t690_song54</t>
  </si>
  <si>
    <t>b_item979_set434_wit_lvl0_comp3_t690_song54.wav</t>
  </si>
  <si>
    <t>b_item2125_set895_wit_lvl-15_comp3_t16_song68</t>
  </si>
  <si>
    <t>b_item2125_set895_wit_lvl-15_comp3_t16_song68.wav</t>
  </si>
  <si>
    <t>b_item2125_set895_wit_lvl-10_comp3_t16_song68</t>
  </si>
  <si>
    <t>b_item2125_set895_wit_lvl-10_comp3_t16_song68.wav</t>
  </si>
  <si>
    <t>b_item2125_set895_wit_lvl-5_comp3_t16_song68</t>
  </si>
  <si>
    <t>b_item2125_set895_wit_lvl-5_comp3_t16_song68.wav</t>
  </si>
  <si>
    <t>b_item2125_set895_wit_lvl0_comp3_t16_song68</t>
  </si>
  <si>
    <t>b_item2125_set895_wit_lvl0_comp3_t16_song68.wav</t>
  </si>
  <si>
    <t>b_item358_set150_wit_lvl-15_comp3_t8_song79</t>
  </si>
  <si>
    <t>b_item358_set150_wit_lvl-15_comp3_t8_song79.wav</t>
  </si>
  <si>
    <t>b_item358_set150_wit_lvl-10_comp3_t8_song79</t>
  </si>
  <si>
    <t>b_item358_set150_wit_lvl-10_comp3_t8_song79.wav</t>
  </si>
  <si>
    <t>b_item358_set150_wit_lvl-5_comp3_t8_song79</t>
  </si>
  <si>
    <t>b_item358_set150_wit_lvl-5_comp3_t8_song79.wav</t>
  </si>
  <si>
    <t>b_item358_set150_wit_lvl0_comp3_t8_song79</t>
  </si>
  <si>
    <t>b_item358_set150_wit_lvl0_comp3_t8_song79.wav</t>
  </si>
  <si>
    <t>b_item811_set364_wit_lvl-15_comp3_t18_song80</t>
  </si>
  <si>
    <t>b_item811_set364_wit_lvl-15_comp3_t18_song80.wav</t>
  </si>
  <si>
    <t>b_item811_set364_wit_lvl-10_comp3_t18_song80</t>
  </si>
  <si>
    <t>b_item811_set364_wit_lvl-10_comp3_t18_song80.wav</t>
  </si>
  <si>
    <t>b_item811_set364_wit_lvl-5_comp3_t18_song80</t>
  </si>
  <si>
    <t>b_item811_set364_wit_lvl-5_comp3_t18_song80.wav</t>
  </si>
  <si>
    <t>b_item811_set364_wit_lvl0_comp3_t18_song80</t>
  </si>
  <si>
    <t>b_item811_set364_wit_lvl0_comp3_t18_song80.wav</t>
  </si>
  <si>
    <t>b_item626_set268_wit_lvl-15_comp3_t10_song82</t>
  </si>
  <si>
    <t>b_item626_set268_wit_lvl-15_comp3_t10_song82.wav</t>
  </si>
  <si>
    <t>b_item626_set268_wit_lvl-10_comp3_t10_song82</t>
  </si>
  <si>
    <t>b_item626_set268_wit_lvl-10_comp3_t10_song82.wav</t>
  </si>
  <si>
    <t>b_item626_set268_wit_lvl-5_comp3_t10_song82</t>
  </si>
  <si>
    <t>b_item626_set268_wit_lvl-5_comp3_t10_song82.wav</t>
  </si>
  <si>
    <t>b_item626_set268_wit_lvl0_comp3_t10_song82</t>
  </si>
  <si>
    <t>b_item626_set268_wit_lvl0_comp3_t10_song82.wav</t>
  </si>
  <si>
    <t>b_item3683_set1169_wit_lvl-15_comp6_t210_song84</t>
  </si>
  <si>
    <t>b_item3683_set1169_wit_lvl-15_comp6_t210_song84.wav</t>
  </si>
  <si>
    <t>b_item3683_set1169_wit_lvl-10_comp6_t210_song84</t>
  </si>
  <si>
    <t>b_item3683_set1169_wit_lvl-10_comp6_t210_song84.wav</t>
  </si>
  <si>
    <t>b_item3683_set1169_wit_lvl-5_comp6_t210_song84</t>
  </si>
  <si>
    <t>b_item3683_set1169_wit_lvl-5_comp6_t210_song84.wav</t>
  </si>
  <si>
    <t>b_item3683_set1169_wit_lvl0_comp6_t210_song84</t>
  </si>
  <si>
    <t>b_item3683_set1169_wit_lvl0_comp6_t210_song84.wav</t>
  </si>
  <si>
    <t>b_item1693_set741_wit_lvl-15_comp3_t350_song98</t>
  </si>
  <si>
    <t>b_item1693_set741_wit_lvl-15_comp3_t350_song98.wav</t>
  </si>
  <si>
    <t>b_item1693_set741_wit_lvl-10_comp3_t350_song98</t>
  </si>
  <si>
    <t>b_item1693_set741_wit_lvl-10_comp3_t350_song98.wav</t>
  </si>
  <si>
    <t>b_item1693_set741_wit_lvl-5_comp3_t350_song98</t>
  </si>
  <si>
    <t>b_item1693_set741_wit_lvl-5_comp3_t350_song98.wav</t>
  </si>
  <si>
    <t>b_item1693_set741_wit_lvl0_comp3_t350_song98</t>
  </si>
  <si>
    <t>b_item1693_set741_wit_lvl0_comp3_t350_song98.wav</t>
  </si>
  <si>
    <t>b_item876_set387_wit_lvl-15_comp3_t234_song99</t>
  </si>
  <si>
    <t>b_item876_set387_wit_lvl-15_comp3_t234_song99.wav</t>
  </si>
  <si>
    <t>b_item876_set387_wit_lvl-10_comp3_t234_song99</t>
  </si>
  <si>
    <t>b_item876_set387_wit_lvl-10_comp3_t234_song99.wav</t>
  </si>
  <si>
    <t>b_item876_set387_wit_lvl-5_comp3_t234_song99</t>
  </si>
  <si>
    <t>b_item876_set387_wit_lvl-5_comp3_t234_song99.wav</t>
  </si>
  <si>
    <t>b_item876_set387_wit_lvl0_comp3_t234_song99</t>
  </si>
  <si>
    <t>b_item876_set387_wit_lvl0_comp3_t234_song99.wav</t>
  </si>
  <si>
    <t>b_item333_set137_wit_lvl-15_comp3_t148_song100</t>
  </si>
  <si>
    <t>b_item333_set137_wit_lvl-15_comp3_t148_song100.wav</t>
  </si>
  <si>
    <t>b_item333_set137_wit_lvl-10_comp3_t148_song100</t>
  </si>
  <si>
    <t>b_item333_set137_wit_lvl-10_comp3_t148_song100.wav</t>
  </si>
  <si>
    <t>b_item333_set137_wit_lvl-5_comp3_t148_song100</t>
  </si>
  <si>
    <t>b_item333_set137_wit_lvl-5_comp3_t148_song100.wav</t>
  </si>
  <si>
    <t>b_item333_set137_wit_lvl0_comp3_t148_song100</t>
  </si>
  <si>
    <t>b_item333_set137_wit_lvl0_comp3_t148_song100.wav</t>
  </si>
  <si>
    <t>b_item1365_set596_wit_lvl-15_comp6_t132_song111</t>
  </si>
  <si>
    <t>b_item1365_set596_wit_lvl-15_comp6_t132_song111.wav</t>
  </si>
  <si>
    <t>b_item1365_set596_wit_lvl-10_comp6_t132_song111</t>
  </si>
  <si>
    <t>b_item1365_set596_wit_lvl-10_comp6_t132_song111.wav</t>
  </si>
  <si>
    <t>b_item1365_set596_wit_lvl-5_comp6_t132_song111</t>
  </si>
  <si>
    <t>b_item1365_set596_wit_lvl-5_comp6_t132_song111.wav</t>
  </si>
  <si>
    <t>b_item1365_set596_wit_lvl0_comp6_t132_song111</t>
  </si>
  <si>
    <t>b_item1365_set596_wit_lvl0_comp6_t132_song111.wav</t>
  </si>
  <si>
    <t>b_item959_set423_wit_lvl-15_comp3_t18_song117</t>
  </si>
  <si>
    <t>b_item959_set423_wit_lvl-15_comp3_t18_song117.wav</t>
  </si>
  <si>
    <t>b_item959_set423_wit_lvl-10_comp3_t18_song117</t>
  </si>
  <si>
    <t>b_item959_set423_wit_lvl-10_comp3_t18_song117.wav</t>
  </si>
  <si>
    <t>b_item959_set423_wit_lvl-5_comp3_t18_song117</t>
  </si>
  <si>
    <t>b_item959_set423_wit_lvl-5_comp3_t18_song117.wav</t>
  </si>
  <si>
    <t>b_item959_set423_wit_lvl0_comp3_t18_song117</t>
  </si>
  <si>
    <t>b_item959_set423_wit_lvl0_comp3_t18_song117.wav</t>
  </si>
  <si>
    <t>p_item3048_set353_wot_lvl0_comp4_t152_song2</t>
  </si>
  <si>
    <t>p_item3048_set353_wot_lvl0_comp4_t152_song2.wav</t>
  </si>
  <si>
    <t>p_item2864_set310_wot_lvl0_comp7_t168_song7</t>
  </si>
  <si>
    <t>p_item2864_set310_wot_lvl0_comp7_t168_song7.wav</t>
  </si>
  <si>
    <t>p_item2889_set314_wot_lvl0_comp7_t214_song13</t>
  </si>
  <si>
    <t>p_item2889_set314_wot_lvl0_comp7_t214_song13.wav</t>
  </si>
  <si>
    <t>p_item3189_set389_wot_lvl0_comp7_t90_song13</t>
  </si>
  <si>
    <t>p_item3189_set389_wot_lvl0_comp7_t90_song13.wav</t>
  </si>
  <si>
    <t>p_item2163_set206_wot_lvl0_comp7_t134_song19</t>
  </si>
  <si>
    <t>p_item2163_set206_wot_lvl0_comp7_t134_song19.wav</t>
  </si>
  <si>
    <t>p_item346_set31_wot_lvl0_comp4_t88_song20</t>
  </si>
  <si>
    <t>p_item346_set31_wot_lvl0_comp4_t88_song20.wav</t>
  </si>
  <si>
    <t>p_item2138_set204_wot_lvl0_comp4_t60_song23</t>
  </si>
  <si>
    <t>p_item2138_set204_wot_lvl0_comp4_t60_song23.wav</t>
  </si>
  <si>
    <t>p_item3473_set436_wot_lvl0_comp4_t148_song35</t>
  </si>
  <si>
    <t>p_item3473_set436_wot_lvl0_comp4_t148_song35.wav</t>
  </si>
  <si>
    <t>p_item3787_set481_wot_lvl0_comp4_t100_song40</t>
  </si>
  <si>
    <t>p_item3787_set481_wot_lvl0_comp4_t100_song40.wav</t>
  </si>
  <si>
    <t>p_item3147_set380_wot_lvl0_comp4_t124_song57</t>
  </si>
  <si>
    <t>p_item3147_set380_wot_lvl0_comp4_t124_song57.wav</t>
  </si>
  <si>
    <t>p_item2919_set322_wot_lvl0_comp4_t26_song61</t>
  </si>
  <si>
    <t>p_item2919_set322_wot_lvl0_comp4_t26_song61.wav</t>
  </si>
  <si>
    <t>p_item909_set74_wot_lvl0_comp4_t90_song63</t>
  </si>
  <si>
    <t>p_item909_set74_wot_lvl0_comp4_t90_song63.wav</t>
  </si>
  <si>
    <t>p_item2818_set302_wot_lvl0_comp4_t66_song81</t>
  </si>
  <si>
    <t>p_item2818_set302_wot_lvl0_comp4_t66_song81.wav</t>
  </si>
  <si>
    <t>p_item2885_set313_wot_lvl0_comp7_t104_song83</t>
  </si>
  <si>
    <t>p_item2885_set313_wot_lvl0_comp7_t104_song83.wav</t>
  </si>
  <si>
    <t>p_item2516_set248_wot_lvl0_comp4_t100_song93</t>
  </si>
  <si>
    <t>p_item2516_set248_wot_lvl0_comp4_t100_song93.wav</t>
  </si>
  <si>
    <t>p_item3423_set428_wot_lvl0_comp7_t226_song97</t>
  </si>
  <si>
    <t>p_item3423_set428_wot_lvl0_comp7_t226_song97.wav</t>
  </si>
  <si>
    <t>p_item1231_set109_wot_lvl0_comp7_t250_song97</t>
  </si>
  <si>
    <t>p_item1231_set109_wot_lvl0_comp7_t250_song97.wav</t>
  </si>
  <si>
    <t>p_item3100_set362_wot_lvl0_comp7_t272_song102</t>
  </si>
  <si>
    <t>p_item3100_set362_wot_lvl0_comp7_t272_song102.wav</t>
  </si>
  <si>
    <t>p_item1573_set145_wot_lvl0_comp7_t198_song103</t>
  </si>
  <si>
    <t>p_item1573_set145_wot_lvl0_comp7_t198_song103.wav</t>
  </si>
  <si>
    <t>p_item3062_set354_wot_lvl0_comp7_t228_song104</t>
  </si>
  <si>
    <t>p_item3062_set354_wot_lvl0_comp7_t228_song104.wav</t>
  </si>
  <si>
    <t>voc_item2763_set588_wot_lvl0_comp4_t54_song2</t>
  </si>
  <si>
    <t>voc_item2763_set588_wot_lvl0_comp4_t54_song2.wav</t>
  </si>
  <si>
    <t>voc_item963_set170_wot_lvl0_comp7_t268_song4</t>
  </si>
  <si>
    <t>voc_item963_set170_wot_lvl0_comp7_t268_song4.wav</t>
  </si>
  <si>
    <t>voc_item2996_set683_wot_lvl0_comp7_t106_song7</t>
  </si>
  <si>
    <t>voc_item2996_set683_wot_lvl0_comp7_t106_song7.wav</t>
  </si>
  <si>
    <t>voc_item2456_set655_wot_lvl1_comp7_t174_song8</t>
  </si>
  <si>
    <t>voc_item2456_set655_wot_lvl1_comp7_t174_song8.wav</t>
  </si>
  <si>
    <t>voc_item2500_set485_wot_lvl0_comp7_t82_song27</t>
  </si>
  <si>
    <t>voc_item2500_set485_wot_lvl0_comp7_t82_song27.wav</t>
  </si>
  <si>
    <t>voc_item3644_set974_wot_lvl0_comp7_t168_song31</t>
  </si>
  <si>
    <t>voc_item3644_set974_wot_lvl0_comp7_t168_song31.wav</t>
  </si>
  <si>
    <t>voc_item2568_set515_wot_lvl0_comp7_t142_song32</t>
  </si>
  <si>
    <t>voc_item2568_set515_wot_lvl0_comp7_t142_song32.wav</t>
  </si>
  <si>
    <t>voc_item1136_set195_wot_lvl0_comp4_t92_song34</t>
  </si>
  <si>
    <t>voc_item1136_set195_wot_lvl0_comp4_t92_song34.wav</t>
  </si>
  <si>
    <t>voc_item3199_set770_wot_lvl0_comp7_t214_song37</t>
  </si>
  <si>
    <t>voc_item3199_set770_wot_lvl0_comp7_t214_song37.wav</t>
  </si>
  <si>
    <t>voc_item2658_set544_wot_lvl0_comp4_t68_song56</t>
  </si>
  <si>
    <t>voc_item2658_set544_wot_lvl0_comp4_t68_song56.wav</t>
  </si>
  <si>
    <t>voc_item3038_set696_wot_lvl0_comp4_t20_song57</t>
  </si>
  <si>
    <t>voc_item3038_set696_wot_lvl0_comp4_t20_song57.wav</t>
  </si>
  <si>
    <t>voc_item2006_set345_wot_lvl0_comp4_t4_song59</t>
  </si>
  <si>
    <t>voc_item2006_set345_wot_lvl0_comp4_t4_song59.wav</t>
  </si>
  <si>
    <t>voc_item156_set29_wot_lvl0_comp4_t6_song62</t>
  </si>
  <si>
    <t>voc_item156_set29_wot_lvl0_comp4_t6_song62.wav</t>
  </si>
  <si>
    <t>voc_item146_set26_wot_lvl0_comp4_t6_song65</t>
  </si>
  <si>
    <t>voc_item146_set26_wot_lvl0_comp4_t6_song65.wav</t>
  </si>
  <si>
    <t>voc_item1383_set232_wot_lvl0_comp4_t16_song75</t>
  </si>
  <si>
    <t>voc_item1383_set232_wot_lvl0_comp4_t16_song75.wav</t>
  </si>
  <si>
    <t>voc_item9_set3_wot_lvl0_comp4_t68_song85</t>
  </si>
  <si>
    <t>voc_item9_set3_wot_lvl0_comp4_t68_song85.wav</t>
  </si>
  <si>
    <t>voc_item2713_set565_wot_lvl0_comp4_t134_song95</t>
  </si>
  <si>
    <t>voc_item2713_set565_wot_lvl0_comp4_t134_song95.wav</t>
  </si>
  <si>
    <t>voc_item2601_set521_wot_lvl0_comp7_t198_song101</t>
  </si>
  <si>
    <t>voc_item2601_set521_wot_lvl0_comp7_t198_song101.wav</t>
  </si>
  <si>
    <t>voc_item3455_set902_wot_lvl0_comp7_t142_song102</t>
  </si>
  <si>
    <t>voc_item3455_set902_wot_lvl0_comp7_t142_song102.wav</t>
  </si>
  <si>
    <t>voc_item1235_set212_wot_lvl0_comp7_t110_song115</t>
  </si>
  <si>
    <t>voc_item1235_set212_wot_lvl0_comp7_t110_song115.wav</t>
  </si>
  <si>
    <t>git_item1167_set351_wot_lvl0_comp7_t280_song4</t>
  </si>
  <si>
    <t>git_item1167_set351_wot_lvl0_comp7_t280_song4.wav</t>
  </si>
  <si>
    <t>git_item3323_set1000_wot_lvl0_comp7_t430_song5</t>
  </si>
  <si>
    <t>git_item3323_set1000_wot_lvl0_comp7_t430_song5.wav</t>
  </si>
  <si>
    <t>git_item1057_set317_wot_lvl0_comp7_t176_song7</t>
  </si>
  <si>
    <t>git_item1057_set317_wot_lvl0_comp7_t176_song7.wav</t>
  </si>
  <si>
    <t>git_item2403_set767_wot_lvl0_comp7_t184_song8</t>
  </si>
  <si>
    <t>git_item2403_set767_wot_lvl0_comp7_t184_song8.wav</t>
  </si>
  <si>
    <t>git_item2405_set769_wot_lvl0_comp7_t200_song13</t>
  </si>
  <si>
    <t>git_item2405_set769_wot_lvl0_comp7_t200_song13.wav</t>
  </si>
  <si>
    <t>git_item3842_set1090_wot_lvl0_comp7_t274_song14</t>
  </si>
  <si>
    <t>git_item3842_set1090_wot_lvl0_comp7_t274_song14.wav</t>
  </si>
  <si>
    <t>git_item1268_set384_wot_lvl0_comp4_t74_song24</t>
  </si>
  <si>
    <t>git_item1268_set384_wot_lvl0_comp4_t74_song24.wav</t>
  </si>
  <si>
    <t>git_item2284_set715_wot_lvl0_comp7_t152_song26</t>
  </si>
  <si>
    <t>git_item2284_set715_wot_lvl0_comp7_t152_song26.wav</t>
  </si>
  <si>
    <t>git_item3763_set1074_wot_lvl0_comp7_t198_song27</t>
  </si>
  <si>
    <t>git_item3763_set1074_wot_lvl0_comp7_t198_song27.wav</t>
  </si>
  <si>
    <t>git_item3791_set1078_wot_lvl0_comp7_t166_song31</t>
  </si>
  <si>
    <t>git_item3791_set1078_wot_lvl0_comp7_t166_song31.wav</t>
  </si>
  <si>
    <t>git_item2882_set945_wot_lvl0_comp7_t130_song32</t>
  </si>
  <si>
    <t>git_item2882_set945_wot_lvl0_comp7_t130_song32.wav</t>
  </si>
  <si>
    <t>git_item1531_set467_wot_lvl0_comp4_t186_song58</t>
  </si>
  <si>
    <t>git_item1531_set467_wot_lvl0_comp4_t186_song58.wav</t>
  </si>
  <si>
    <t>git_item1514_set462_wot_lvl0_comp4_t14_song71</t>
  </si>
  <si>
    <t>git_item1514_set462_wot_lvl0_comp4_t14_song71.wav</t>
  </si>
  <si>
    <t>git_item808_set246_wot_lvl0_comp4_t6_song72</t>
  </si>
  <si>
    <t>git_item808_set246_wot_lvl0_comp4_t6_song72.wav</t>
  </si>
  <si>
    <t>git_item665_set208_wot_lvl0_comp4_t4_song76</t>
  </si>
  <si>
    <t>git_item665_set208_wot_lvl0_comp4_t4_song76.wav</t>
  </si>
  <si>
    <t>git_item568_set183_wot_lvl0_comp4_t6_song77</t>
  </si>
  <si>
    <t>git_item568_set183_wot_lvl0_comp4_t6_song77.wav</t>
  </si>
  <si>
    <t>git_item1263_set382_wot_lvl0_comp4_t6_song78</t>
  </si>
  <si>
    <t>git_item1263_set382_wot_lvl0_comp4_t6_song78.wav</t>
  </si>
  <si>
    <t>git_item100_set28_wot_lvl0_comp4_t12_song96</t>
  </si>
  <si>
    <t>git_item100_set28_wot_lvl0_comp4_t12_song96.wav</t>
  </si>
  <si>
    <t>git_item656_set205_wot_lvl0_comp4_t158_song108</t>
  </si>
  <si>
    <t>git_item656_set205_wot_lvl0_comp4_t158_song108.wav</t>
  </si>
  <si>
    <t>git_item2420_set778_wot_lvl0_comp4_t50_song109</t>
  </si>
  <si>
    <t>git_item2420_set778_wot_lvl0_comp4_t50_song109.wav</t>
  </si>
  <si>
    <t>b_item3035_set1029_wot_lvl0_comp7_t166_song7</t>
  </si>
  <si>
    <t>b_item3035_set1029_wot_lvl0_comp7_t166_song7.wav</t>
  </si>
  <si>
    <t>b_item3645_set1158_wot_lvl0_comp7_t306_song14</t>
  </si>
  <si>
    <t>b_item3645_set1158_wot_lvl0_comp7_t306_song14.wav</t>
  </si>
  <si>
    <t>b_item1754_set765_wot_lvl0_comp4_t46_song17</t>
  </si>
  <si>
    <t>b_item1754_set765_wot_lvl0_comp4_t46_song17.wav</t>
  </si>
  <si>
    <t>b_item1856_set809_wot_lvl0_comp4_t252_song25</t>
  </si>
  <si>
    <t>b_item1856_set809_wot_lvl0_comp4_t252_song25.wav</t>
  </si>
  <si>
    <t>b_item395_set166_wot_lvl0_comp7_t224_song27</t>
  </si>
  <si>
    <t>b_item395_set166_wot_lvl0_comp7_t224_song27.wav</t>
  </si>
  <si>
    <t>b_item3622_set1150_wot_lvl0_comp7_t182_song31</t>
  </si>
  <si>
    <t>b_item3622_set1150_wot_lvl0_comp7_t182_song31.wav</t>
  </si>
  <si>
    <t>b_item415_set176_wot_lvl0_comp4_t32_song41</t>
  </si>
  <si>
    <t>b_item415_set176_wot_lvl0_comp4_t32_song41.wav</t>
  </si>
  <si>
    <t>b_item371_set156_wot_lvl0_comp4_t16_song47</t>
  </si>
  <si>
    <t>b_item371_set156_wot_lvl0_comp4_t16_song47.wav</t>
  </si>
  <si>
    <t>b_item1330_set580_wot_lvl0_comp4_t12_song60</t>
  </si>
  <si>
    <t>b_item1330_set580_wot_lvl0_comp4_t12_song60.wav</t>
  </si>
  <si>
    <t>b_item1751_set764_wot_lvl0_comp4_t64_song66</t>
  </si>
  <si>
    <t>b_item1751_set764_wot_lvl0_comp4_t64_song66.wav</t>
  </si>
  <si>
    <t>b_item149_set66_wot_lvl0_comp4_t82_song69</t>
  </si>
  <si>
    <t>b_item149_set66_wot_lvl0_comp4_t82_song69.wav</t>
  </si>
  <si>
    <t>b_item70_set37_wot_lvl0_comp4_t70_song70</t>
  </si>
  <si>
    <t>b_item70_set37_wot_lvl0_comp4_t70_song70.wav</t>
  </si>
  <si>
    <t>b_item282_set119_wot_lvl0_comp4_t52_song73</t>
  </si>
  <si>
    <t>b_item282_set119_wot_lvl0_comp4_t52_song73.wav</t>
  </si>
  <si>
    <t>b_item1860_set811_wot_lvl0_comp4_t54_song74</t>
  </si>
  <si>
    <t>b_item1860_set811_wot_lvl0_comp4_t54_song74.wav</t>
  </si>
  <si>
    <t>b_item2234_set922_wot_lvl0_comp7_t110_song83</t>
  </si>
  <si>
    <t>b_item2234_set922_wot_lvl0_comp7_t110_song83.wav</t>
  </si>
  <si>
    <t>b_item1926_set833_wot_lvl0_comp7_t252_song97</t>
  </si>
  <si>
    <t>b_item1926_set833_wot_lvl0_comp7_t252_song97.wav</t>
  </si>
  <si>
    <t>b_item3427_set1102_wot_lvl0_comp7_t216_song101</t>
  </si>
  <si>
    <t>b_item3427_set1102_wot_lvl0_comp7_t216_song101.wav</t>
  </si>
  <si>
    <t>b_item3691_set1173_wot_lvl0_comp7_t130_song102</t>
  </si>
  <si>
    <t>b_item3691_set1173_wot_lvl0_comp7_t130_song102.wav</t>
  </si>
  <si>
    <t>b_item3621_set1149_wot_lvl0_comp7_t232_song104</t>
  </si>
  <si>
    <t>b_item3621_set1149_wot_lvl0_comp7_t232_song104.wav</t>
  </si>
  <si>
    <t>b_item337_set140_wot_lvl0_comp7_t138_song115</t>
  </si>
  <si>
    <t>b_item337_set140_wot_lvl0_comp7_t138_song115.wav</t>
  </si>
  <si>
    <t>item_number</t>
  </si>
  <si>
    <t>correct</t>
  </si>
  <si>
    <t>i9</t>
  </si>
  <si>
    <t>i10</t>
  </si>
  <si>
    <t>i11</t>
  </si>
  <si>
    <t>i12</t>
  </si>
  <si>
    <t>i17</t>
  </si>
  <si>
    <t>i18</t>
  </si>
  <si>
    <t>i19</t>
  </si>
  <si>
    <t>i20</t>
  </si>
  <si>
    <t>i29</t>
  </si>
  <si>
    <t>i30</t>
  </si>
  <si>
    <t>i31</t>
  </si>
  <si>
    <t>i32</t>
  </si>
  <si>
    <t>i33</t>
  </si>
  <si>
    <t>i34</t>
  </si>
  <si>
    <t>i35</t>
  </si>
  <si>
    <t>i36</t>
  </si>
  <si>
    <t>i45</t>
  </si>
  <si>
    <t>i46</t>
  </si>
  <si>
    <t>i47</t>
  </si>
  <si>
    <t>i48</t>
  </si>
  <si>
    <t>i61</t>
  </si>
  <si>
    <t>i62</t>
  </si>
  <si>
    <t>i63</t>
  </si>
  <si>
    <t>i64</t>
  </si>
  <si>
    <t>i65</t>
  </si>
  <si>
    <t>i66</t>
  </si>
  <si>
    <t>i67</t>
  </si>
  <si>
    <t>i68</t>
  </si>
  <si>
    <t>i73</t>
  </si>
  <si>
    <t>i74</t>
  </si>
  <si>
    <t>i75</t>
  </si>
  <si>
    <t>i76</t>
  </si>
  <si>
    <t>i121</t>
  </si>
  <si>
    <t>i122</t>
  </si>
  <si>
    <t>i123</t>
  </si>
  <si>
    <t>i124</t>
  </si>
  <si>
    <t>i125</t>
  </si>
  <si>
    <t>i126</t>
  </si>
  <si>
    <t>i127</t>
  </si>
  <si>
    <t>i128</t>
  </si>
  <si>
    <t>i133</t>
  </si>
  <si>
    <t>i134</t>
  </si>
  <si>
    <t>i135</t>
  </si>
  <si>
    <t>i136</t>
  </si>
  <si>
    <t>i173</t>
  </si>
  <si>
    <t>i174</t>
  </si>
  <si>
    <t>i175</t>
  </si>
  <si>
    <t>i176</t>
  </si>
  <si>
    <t>i177</t>
  </si>
  <si>
    <t>i178</t>
  </si>
  <si>
    <t>i179</t>
  </si>
  <si>
    <t>i180</t>
  </si>
  <si>
    <t>i209</t>
  </si>
  <si>
    <t>i210</t>
  </si>
  <si>
    <t>i211</t>
  </si>
  <si>
    <t>i212</t>
  </si>
  <si>
    <t>i217</t>
  </si>
  <si>
    <t>i218</t>
  </si>
  <si>
    <t>i219</t>
  </si>
  <si>
    <t>i220</t>
  </si>
  <si>
    <t>i265</t>
  </si>
  <si>
    <t>i266</t>
  </si>
  <si>
    <t>i267</t>
  </si>
  <si>
    <t>i268</t>
  </si>
  <si>
    <t>i269</t>
  </si>
  <si>
    <t>i270</t>
  </si>
  <si>
    <t>i271</t>
  </si>
  <si>
    <t>i272</t>
  </si>
  <si>
    <t>i273</t>
  </si>
  <si>
    <t>i274</t>
  </si>
  <si>
    <t>i275</t>
  </si>
  <si>
    <t>i276</t>
  </si>
  <si>
    <t>i293</t>
  </si>
  <si>
    <t>i294</t>
  </si>
  <si>
    <t>i295</t>
  </si>
  <si>
    <t>i296</t>
  </si>
  <si>
    <t>i309</t>
  </si>
  <si>
    <t>i310</t>
  </si>
  <si>
    <t>i311</t>
  </si>
  <si>
    <t>i312</t>
  </si>
  <si>
    <t>i21</t>
  </si>
  <si>
    <t>i22</t>
  </si>
  <si>
    <t>i23</t>
  </si>
  <si>
    <t>i24</t>
  </si>
  <si>
    <t>i37</t>
  </si>
  <si>
    <t>i38</t>
  </si>
  <si>
    <t>i39</t>
  </si>
  <si>
    <t>i40</t>
  </si>
  <si>
    <t>i49</t>
  </si>
  <si>
    <t>i50</t>
  </si>
  <si>
    <t>i51</t>
  </si>
  <si>
    <t>i52</t>
  </si>
  <si>
    <t>i57</t>
  </si>
  <si>
    <t>i58</t>
  </si>
  <si>
    <t>i59</t>
  </si>
  <si>
    <t>i60</t>
  </si>
  <si>
    <t>i81</t>
  </si>
  <si>
    <t>i82</t>
  </si>
  <si>
    <t>i83</t>
  </si>
  <si>
    <t>i84</t>
  </si>
  <si>
    <t>i97</t>
  </si>
  <si>
    <t>i98</t>
  </si>
  <si>
    <t>i99</t>
  </si>
  <si>
    <t>i100</t>
  </si>
  <si>
    <t>i117</t>
  </si>
  <si>
    <t>i118</t>
  </si>
  <si>
    <t>i119</t>
  </si>
  <si>
    <t>i120</t>
  </si>
  <si>
    <t>i145</t>
  </si>
  <si>
    <t>i146</t>
  </si>
  <si>
    <t>i147</t>
  </si>
  <si>
    <t>i148</t>
  </si>
  <si>
    <t>i153</t>
  </si>
  <si>
    <t>i154</t>
  </si>
  <si>
    <t>i155</t>
  </si>
  <si>
    <t>i156</t>
  </si>
  <si>
    <t>i157</t>
  </si>
  <si>
    <t>i158</t>
  </si>
  <si>
    <t>i159</t>
  </si>
  <si>
    <t>i160</t>
  </si>
  <si>
    <t>i161</t>
  </si>
  <si>
    <t>i162</t>
  </si>
  <si>
    <t>i163</t>
  </si>
  <si>
    <t>i164</t>
  </si>
  <si>
    <t>i169</t>
  </si>
  <si>
    <t>i170</t>
  </si>
  <si>
    <t>i171</t>
  </si>
  <si>
    <t>i172</t>
  </si>
  <si>
    <t>i185</t>
  </si>
  <si>
    <t>i186</t>
  </si>
  <si>
    <t>i187</t>
  </si>
  <si>
    <t>i188</t>
  </si>
  <si>
    <t>i197</t>
  </si>
  <si>
    <t>i198</t>
  </si>
  <si>
    <t>i199</t>
  </si>
  <si>
    <t>i200</t>
  </si>
  <si>
    <t>i225</t>
  </si>
  <si>
    <t>i226</t>
  </si>
  <si>
    <t>i227</t>
  </si>
  <si>
    <t>i228</t>
  </si>
  <si>
    <t>i233</t>
  </si>
  <si>
    <t>i234</t>
  </si>
  <si>
    <t>i235</t>
  </si>
  <si>
    <t>i236</t>
  </si>
  <si>
    <t>i241</t>
  </si>
  <si>
    <t>i242</t>
  </si>
  <si>
    <t>i243</t>
  </si>
  <si>
    <t>i244</t>
  </si>
  <si>
    <t>i245</t>
  </si>
  <si>
    <t>i246</t>
  </si>
  <si>
    <t>i247</t>
  </si>
  <si>
    <t>i248</t>
  </si>
  <si>
    <t>i289</t>
  </si>
  <si>
    <t>i290</t>
  </si>
  <si>
    <t>i291</t>
  </si>
  <si>
    <t>i292</t>
  </si>
  <si>
    <t>i313</t>
  </si>
  <si>
    <t>i314</t>
  </si>
  <si>
    <t>i315</t>
  </si>
  <si>
    <t>i316</t>
  </si>
  <si>
    <t>i5</t>
  </si>
  <si>
    <t>i6</t>
  </si>
  <si>
    <t>i7</t>
  </si>
  <si>
    <t>i8</t>
  </si>
  <si>
    <t>i13</t>
  </si>
  <si>
    <t>i14</t>
  </si>
  <si>
    <t>i15</t>
  </si>
  <si>
    <t>i16</t>
  </si>
  <si>
    <t>i41</t>
  </si>
  <si>
    <t>i42</t>
  </si>
  <si>
    <t>i43</t>
  </si>
  <si>
    <t>i44</t>
  </si>
  <si>
    <t>i77</t>
  </si>
  <si>
    <t>i78</t>
  </si>
  <si>
    <t>i79</t>
  </si>
  <si>
    <t>i80</t>
  </si>
  <si>
    <t>i89</t>
  </si>
  <si>
    <t>i90</t>
  </si>
  <si>
    <t>i91</t>
  </si>
  <si>
    <t>i92</t>
  </si>
  <si>
    <t>i105</t>
  </si>
  <si>
    <t>i106</t>
  </si>
  <si>
    <t>i107</t>
  </si>
  <si>
    <t>i108</t>
  </si>
  <si>
    <t>i109</t>
  </si>
  <si>
    <t>i110</t>
  </si>
  <si>
    <t>i111</t>
  </si>
  <si>
    <t>i112</t>
  </si>
  <si>
    <t>i113</t>
  </si>
  <si>
    <t>i114</t>
  </si>
  <si>
    <t>i115</t>
  </si>
  <si>
    <t>i116</t>
  </si>
  <si>
    <t>i129</t>
  </si>
  <si>
    <t>i130</t>
  </si>
  <si>
    <t>i131</t>
  </si>
  <si>
    <t>i132</t>
  </si>
  <si>
    <t>i137</t>
  </si>
  <si>
    <t>i138</t>
  </si>
  <si>
    <t>i139</t>
  </si>
  <si>
    <t>i140</t>
  </si>
  <si>
    <t>i141</t>
  </si>
  <si>
    <t>i142</t>
  </si>
  <si>
    <t>i143</t>
  </si>
  <si>
    <t>i144</t>
  </si>
  <si>
    <t>i189</t>
  </si>
  <si>
    <t>i190</t>
  </si>
  <si>
    <t>i191</t>
  </si>
  <si>
    <t>i192</t>
  </si>
  <si>
    <t>i229</t>
  </si>
  <si>
    <t>i230</t>
  </si>
  <si>
    <t>i231</t>
  </si>
  <si>
    <t>i232</t>
  </si>
  <si>
    <t>i237</t>
  </si>
  <si>
    <t>i238</t>
  </si>
  <si>
    <t>i239</t>
  </si>
  <si>
    <t>i240</t>
  </si>
  <si>
    <t>i261</t>
  </si>
  <si>
    <t>i262</t>
  </si>
  <si>
    <t>i263</t>
  </si>
  <si>
    <t>i264</t>
  </si>
  <si>
    <t>i277</t>
  </si>
  <si>
    <t>i278</t>
  </si>
  <si>
    <t>i279</t>
  </si>
  <si>
    <t>i280</t>
  </si>
  <si>
    <t>i281</t>
  </si>
  <si>
    <t>i282</t>
  </si>
  <si>
    <t>i283</t>
  </si>
  <si>
    <t>i284</t>
  </si>
  <si>
    <t>i297</t>
  </si>
  <si>
    <t>i298</t>
  </si>
  <si>
    <t>i299</t>
  </si>
  <si>
    <t>i300</t>
  </si>
  <si>
    <t>i301</t>
  </si>
  <si>
    <t>i302</t>
  </si>
  <si>
    <t>i303</t>
  </si>
  <si>
    <t>i304</t>
  </si>
  <si>
    <t>i305</t>
  </si>
  <si>
    <t>i306</t>
  </si>
  <si>
    <t>i307</t>
  </si>
  <si>
    <t>i308</t>
  </si>
  <si>
    <t>i1</t>
  </si>
  <si>
    <t>i2</t>
  </si>
  <si>
    <t>i3</t>
  </si>
  <si>
    <t>i4</t>
  </si>
  <si>
    <t>i25</t>
  </si>
  <si>
    <t>i26</t>
  </si>
  <si>
    <t>i27</t>
  </si>
  <si>
    <t>i28</t>
  </si>
  <si>
    <t>i53</t>
  </si>
  <si>
    <t>i54</t>
  </si>
  <si>
    <t>i55</t>
  </si>
  <si>
    <t>i56</t>
  </si>
  <si>
    <t>i69</t>
  </si>
  <si>
    <t>i70</t>
  </si>
  <si>
    <t>i71</t>
  </si>
  <si>
    <t>i72</t>
  </si>
  <si>
    <t>i85</t>
  </si>
  <si>
    <t>i86</t>
  </si>
  <si>
    <t>i87</t>
  </si>
  <si>
    <t>i88</t>
  </si>
  <si>
    <t>i93</t>
  </si>
  <si>
    <t>i94</t>
  </si>
  <si>
    <t>i95</t>
  </si>
  <si>
    <t>i96</t>
  </si>
  <si>
    <t>i101</t>
  </si>
  <si>
    <t>i102</t>
  </si>
  <si>
    <t>i103</t>
  </si>
  <si>
    <t>i104</t>
  </si>
  <si>
    <t>i149</t>
  </si>
  <si>
    <t>i150</t>
  </si>
  <si>
    <t>i151</t>
  </si>
  <si>
    <t>i152</t>
  </si>
  <si>
    <t>i165</t>
  </si>
  <si>
    <t>i166</t>
  </si>
  <si>
    <t>i167</t>
  </si>
  <si>
    <t>i168</t>
  </si>
  <si>
    <t>i181</t>
  </si>
  <si>
    <t>i182</t>
  </si>
  <si>
    <t>i183</t>
  </si>
  <si>
    <t>i184</t>
  </si>
  <si>
    <t>i193</t>
  </si>
  <si>
    <t>i194</t>
  </si>
  <si>
    <t>i195</t>
  </si>
  <si>
    <t>i196</t>
  </si>
  <si>
    <t>i201</t>
  </si>
  <si>
    <t>i202</t>
  </si>
  <si>
    <t>i203</t>
  </si>
  <si>
    <t>i204</t>
  </si>
  <si>
    <t>i205</t>
  </si>
  <si>
    <t>i206</t>
  </si>
  <si>
    <t>i207</t>
  </si>
  <si>
    <t>i208</t>
  </si>
  <si>
    <t>i213</t>
  </si>
  <si>
    <t>i214</t>
  </si>
  <si>
    <t>i215</t>
  </si>
  <si>
    <t>i216</t>
  </si>
  <si>
    <t>i221</t>
  </si>
  <si>
    <t>i222</t>
  </si>
  <si>
    <t>i223</t>
  </si>
  <si>
    <t>i224</t>
  </si>
  <si>
    <t>i249</t>
  </si>
  <si>
    <t>i250</t>
  </si>
  <si>
    <t>i251</t>
  </si>
  <si>
    <t>i252</t>
  </si>
  <si>
    <t>i253</t>
  </si>
  <si>
    <t>i254</t>
  </si>
  <si>
    <t>i255</t>
  </si>
  <si>
    <t>i256</t>
  </si>
  <si>
    <t>i257</t>
  </si>
  <si>
    <t>i258</t>
  </si>
  <si>
    <t>i259</t>
  </si>
  <si>
    <t>i260</t>
  </si>
  <si>
    <t>i285</t>
  </si>
  <si>
    <t>i286</t>
  </si>
  <si>
    <t>i287</t>
  </si>
  <si>
    <t>i288</t>
  </si>
  <si>
    <t>i317</t>
  </si>
  <si>
    <t>i318</t>
  </si>
  <si>
    <t>i319</t>
  </si>
  <si>
    <t>i320</t>
  </si>
  <si>
    <t>i322</t>
  </si>
  <si>
    <t>i329</t>
  </si>
  <si>
    <t>i332</t>
  </si>
  <si>
    <t>i333</t>
  </si>
  <si>
    <t>i338</t>
  </si>
  <si>
    <t>i339</t>
  </si>
  <si>
    <t>i340</t>
  </si>
  <si>
    <t>i353</t>
  </si>
  <si>
    <t>i355</t>
  </si>
  <si>
    <t>i360</t>
  </si>
  <si>
    <t>i364</t>
  </si>
  <si>
    <t>i366</t>
  </si>
  <si>
    <t>i379</t>
  </si>
  <si>
    <t>i381</t>
  </si>
  <si>
    <t>i383</t>
  </si>
  <si>
    <t>i387</t>
  </si>
  <si>
    <t>i388</t>
  </si>
  <si>
    <t>i393</t>
  </si>
  <si>
    <t>i394</t>
  </si>
  <si>
    <t>i396</t>
  </si>
  <si>
    <t>i321</t>
  </si>
  <si>
    <t>i324</t>
  </si>
  <si>
    <t>i328</t>
  </si>
  <si>
    <t>i337</t>
  </si>
  <si>
    <t>i346</t>
  </si>
  <si>
    <t>i349</t>
  </si>
  <si>
    <t>i351</t>
  </si>
  <si>
    <t>i352</t>
  </si>
  <si>
    <t>i354</t>
  </si>
  <si>
    <t>i358</t>
  </si>
  <si>
    <t>i359</t>
  </si>
  <si>
    <t>i362</t>
  </si>
  <si>
    <t>i365</t>
  </si>
  <si>
    <t>i367</t>
  </si>
  <si>
    <t>i375</t>
  </si>
  <si>
    <t>i382</t>
  </si>
  <si>
    <t>i384</t>
  </si>
  <si>
    <t>i390</t>
  </si>
  <si>
    <t>i392</t>
  </si>
  <si>
    <t>i400</t>
  </si>
  <si>
    <t>i323</t>
  </si>
  <si>
    <t>i325</t>
  </si>
  <si>
    <t>i327</t>
  </si>
  <si>
    <t>i330</t>
  </si>
  <si>
    <t>i331</t>
  </si>
  <si>
    <t>i335</t>
  </si>
  <si>
    <t>i341</t>
  </si>
  <si>
    <t>i343</t>
  </si>
  <si>
    <t>i345</t>
  </si>
  <si>
    <t>i348</t>
  </si>
  <si>
    <t>i350</t>
  </si>
  <si>
    <t>i361</t>
  </si>
  <si>
    <t>i371</t>
  </si>
  <si>
    <t>i372</t>
  </si>
  <si>
    <t>i376</t>
  </si>
  <si>
    <t>i377</t>
  </si>
  <si>
    <t>i378</t>
  </si>
  <si>
    <t>i385</t>
  </si>
  <si>
    <t>i397</t>
  </si>
  <si>
    <t>i398</t>
  </si>
  <si>
    <t>i326</t>
  </si>
  <si>
    <t>i334</t>
  </si>
  <si>
    <t>i336</t>
  </si>
  <si>
    <t>i342</t>
  </si>
  <si>
    <t>i344</t>
  </si>
  <si>
    <t>i347</t>
  </si>
  <si>
    <t>i356</t>
  </si>
  <si>
    <t>i357</t>
  </si>
  <si>
    <t>i363</t>
  </si>
  <si>
    <t>i368</t>
  </si>
  <si>
    <t>i369</t>
  </si>
  <si>
    <t>i370</t>
  </si>
  <si>
    <t>i373</t>
  </si>
  <si>
    <t>i374</t>
  </si>
  <si>
    <t>i380</t>
  </si>
  <si>
    <t>i386</t>
  </si>
  <si>
    <t>i389</t>
  </si>
  <si>
    <t>i391</t>
  </si>
  <si>
    <t>i395</t>
  </si>
  <si>
    <t>i399</t>
  </si>
  <si>
    <t>audio_file</t>
  </si>
  <si>
    <t>TargetIns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</si>
</sst>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E042-9765-4D6B-B5AD-003F6553EC1A}">
  <dimension ref="A1:M401"/>
  <sheetViews>
    <sheetView tabSelected="1" workbookViewId="0">
      <selection activeCell="E12" sqref="E12"/>
    </sheetView>
  </sheetViews>
  <sheetFormatPr defaultRowHeight="15" x14ac:dyDescent="0.25"/>
  <cols>
    <col min="1" max="1" width="15.28515625" customWidth="1"/>
    <col min="2" max="2" width="9" customWidth="1"/>
    <col min="12" max="12" width="28.5703125" customWidth="1"/>
  </cols>
  <sheetData>
    <row r="1" spans="1:13" x14ac:dyDescent="0.25">
      <c r="A1" t="s">
        <v>8685</v>
      </c>
      <c r="B1" t="s">
        <v>8686</v>
      </c>
      <c r="C1" t="s">
        <v>9087</v>
      </c>
      <c r="D1" t="s">
        <v>3</v>
      </c>
      <c r="E1" s="1" t="s">
        <v>9088</v>
      </c>
      <c r="F1" t="s">
        <v>5</v>
      </c>
      <c r="G1" t="s">
        <v>6</v>
      </c>
      <c r="H1" t="s">
        <v>7</v>
      </c>
      <c r="I1" s="1" t="s">
        <v>233</v>
      </c>
      <c r="J1" t="s">
        <v>97</v>
      </c>
      <c r="K1" t="s">
        <v>2</v>
      </c>
      <c r="L1" t="s">
        <v>7884</v>
      </c>
      <c r="M1" t="s">
        <v>0</v>
      </c>
    </row>
    <row r="2" spans="1:13" x14ac:dyDescent="0.25">
      <c r="A2" t="s">
        <v>8927</v>
      </c>
      <c r="B2">
        <v>1</v>
      </c>
      <c r="C2" t="s">
        <v>8366</v>
      </c>
      <c r="D2">
        <v>1138</v>
      </c>
      <c r="E2" t="s">
        <v>25</v>
      </c>
      <c r="F2">
        <v>6</v>
      </c>
      <c r="G2">
        <v>-15</v>
      </c>
      <c r="H2" t="s">
        <v>7882</v>
      </c>
      <c r="I2">
        <v>14</v>
      </c>
      <c r="J2">
        <v>82</v>
      </c>
      <c r="K2">
        <v>1</v>
      </c>
      <c r="L2" t="s">
        <v>8365</v>
      </c>
      <c r="M2">
        <v>3589</v>
      </c>
    </row>
    <row r="3" spans="1:13" x14ac:dyDescent="0.25">
      <c r="A3" t="s">
        <v>8928</v>
      </c>
      <c r="B3">
        <v>1</v>
      </c>
      <c r="C3" t="s">
        <v>8368</v>
      </c>
      <c r="D3">
        <v>1138</v>
      </c>
      <c r="E3" t="s">
        <v>25</v>
      </c>
      <c r="F3">
        <v>6</v>
      </c>
      <c r="G3">
        <v>-10</v>
      </c>
      <c r="H3" t="s">
        <v>7882</v>
      </c>
      <c r="I3">
        <v>14</v>
      </c>
      <c r="J3">
        <v>82</v>
      </c>
      <c r="K3">
        <v>1</v>
      </c>
      <c r="L3" t="s">
        <v>8367</v>
      </c>
      <c r="M3">
        <v>3589</v>
      </c>
    </row>
    <row r="4" spans="1:13" x14ac:dyDescent="0.25">
      <c r="A4" t="s">
        <v>8929</v>
      </c>
      <c r="B4">
        <v>1</v>
      </c>
      <c r="C4" t="s">
        <v>8370</v>
      </c>
      <c r="D4">
        <v>1138</v>
      </c>
      <c r="E4" t="s">
        <v>25</v>
      </c>
      <c r="F4">
        <v>6</v>
      </c>
      <c r="G4">
        <v>-5</v>
      </c>
      <c r="H4" t="s">
        <v>7882</v>
      </c>
      <c r="I4">
        <v>14</v>
      </c>
      <c r="J4">
        <v>82</v>
      </c>
      <c r="K4">
        <v>1</v>
      </c>
      <c r="L4" t="s">
        <v>8369</v>
      </c>
      <c r="M4">
        <v>3589</v>
      </c>
    </row>
    <row r="5" spans="1:13" x14ac:dyDescent="0.25">
      <c r="A5" t="s">
        <v>8930</v>
      </c>
      <c r="B5">
        <v>1</v>
      </c>
      <c r="C5" t="s">
        <v>8372</v>
      </c>
      <c r="D5">
        <v>1138</v>
      </c>
      <c r="E5" t="s">
        <v>25</v>
      </c>
      <c r="F5">
        <v>6</v>
      </c>
      <c r="G5">
        <v>0</v>
      </c>
      <c r="H5" t="s">
        <v>7882</v>
      </c>
      <c r="I5">
        <v>14</v>
      </c>
      <c r="J5">
        <v>82</v>
      </c>
      <c r="K5">
        <v>1</v>
      </c>
      <c r="L5" t="s">
        <v>8371</v>
      </c>
      <c r="M5">
        <v>3589</v>
      </c>
    </row>
    <row r="6" spans="1:13" x14ac:dyDescent="0.25">
      <c r="A6" t="s">
        <v>8847</v>
      </c>
      <c r="B6">
        <v>1</v>
      </c>
      <c r="C6" t="s">
        <v>8206</v>
      </c>
      <c r="D6">
        <v>1047</v>
      </c>
      <c r="E6" t="s">
        <v>22</v>
      </c>
      <c r="F6">
        <v>6</v>
      </c>
      <c r="G6">
        <v>-15</v>
      </c>
      <c r="H6" t="s">
        <v>7882</v>
      </c>
      <c r="I6">
        <v>6</v>
      </c>
      <c r="J6">
        <v>36</v>
      </c>
      <c r="K6">
        <v>1</v>
      </c>
      <c r="L6" t="s">
        <v>8205</v>
      </c>
      <c r="M6">
        <v>3626</v>
      </c>
    </row>
    <row r="7" spans="1:13" x14ac:dyDescent="0.25">
      <c r="A7" t="s">
        <v>8848</v>
      </c>
      <c r="B7">
        <v>1</v>
      </c>
      <c r="C7" t="s">
        <v>8208</v>
      </c>
      <c r="D7">
        <v>1047</v>
      </c>
      <c r="E7" t="s">
        <v>22</v>
      </c>
      <c r="F7">
        <v>6</v>
      </c>
      <c r="G7">
        <v>-10</v>
      </c>
      <c r="H7" t="s">
        <v>7882</v>
      </c>
      <c r="I7">
        <v>6</v>
      </c>
      <c r="J7">
        <v>36</v>
      </c>
      <c r="K7">
        <v>1</v>
      </c>
      <c r="L7" t="s">
        <v>8207</v>
      </c>
      <c r="M7">
        <v>3626</v>
      </c>
    </row>
    <row r="8" spans="1:13" x14ac:dyDescent="0.25">
      <c r="A8" t="s">
        <v>8849</v>
      </c>
      <c r="B8">
        <v>1</v>
      </c>
      <c r="C8" t="s">
        <v>8210</v>
      </c>
      <c r="D8">
        <v>1047</v>
      </c>
      <c r="E8" t="s">
        <v>22</v>
      </c>
      <c r="F8">
        <v>6</v>
      </c>
      <c r="G8">
        <v>-5</v>
      </c>
      <c r="H8" t="s">
        <v>7882</v>
      </c>
      <c r="I8">
        <v>6</v>
      </c>
      <c r="J8">
        <v>36</v>
      </c>
      <c r="K8">
        <v>1</v>
      </c>
      <c r="L8" t="s">
        <v>8209</v>
      </c>
      <c r="M8">
        <v>3626</v>
      </c>
    </row>
    <row r="9" spans="1:13" x14ac:dyDescent="0.25">
      <c r="A9" t="s">
        <v>8850</v>
      </c>
      <c r="B9">
        <v>1</v>
      </c>
      <c r="C9" t="s">
        <v>8212</v>
      </c>
      <c r="D9">
        <v>1047</v>
      </c>
      <c r="E9" t="s">
        <v>22</v>
      </c>
      <c r="F9">
        <v>6</v>
      </c>
      <c r="G9">
        <v>0</v>
      </c>
      <c r="H9" t="s">
        <v>7882</v>
      </c>
      <c r="I9">
        <v>6</v>
      </c>
      <c r="J9">
        <v>36</v>
      </c>
      <c r="K9">
        <v>1</v>
      </c>
      <c r="L9" t="s">
        <v>8211</v>
      </c>
      <c r="M9">
        <v>3626</v>
      </c>
    </row>
    <row r="10" spans="1:13" x14ac:dyDescent="0.25">
      <c r="A10" t="s">
        <v>8687</v>
      </c>
      <c r="B10">
        <v>1</v>
      </c>
      <c r="C10" t="s">
        <v>7886</v>
      </c>
      <c r="D10">
        <v>130</v>
      </c>
      <c r="E10" t="s">
        <v>32</v>
      </c>
      <c r="F10">
        <v>6</v>
      </c>
      <c r="G10">
        <v>-15</v>
      </c>
      <c r="H10" t="s">
        <v>7882</v>
      </c>
      <c r="I10">
        <v>10</v>
      </c>
      <c r="J10">
        <v>84</v>
      </c>
      <c r="K10">
        <v>2</v>
      </c>
      <c r="L10" t="s">
        <v>7885</v>
      </c>
      <c r="M10">
        <v>1402</v>
      </c>
    </row>
    <row r="11" spans="1:13" x14ac:dyDescent="0.25">
      <c r="A11" t="s">
        <v>8688</v>
      </c>
      <c r="B11">
        <v>1</v>
      </c>
      <c r="C11" t="s">
        <v>7888</v>
      </c>
      <c r="D11">
        <v>130</v>
      </c>
      <c r="E11" t="s">
        <v>32</v>
      </c>
      <c r="F11">
        <v>6</v>
      </c>
      <c r="G11">
        <v>-10</v>
      </c>
      <c r="H11" t="s">
        <v>7882</v>
      </c>
      <c r="I11">
        <v>10</v>
      </c>
      <c r="J11">
        <v>84</v>
      </c>
      <c r="K11">
        <v>2</v>
      </c>
      <c r="L11" t="s">
        <v>7887</v>
      </c>
      <c r="M11">
        <v>1402</v>
      </c>
    </row>
    <row r="12" spans="1:13" x14ac:dyDescent="0.25">
      <c r="A12" t="s">
        <v>8689</v>
      </c>
      <c r="B12">
        <v>1</v>
      </c>
      <c r="C12" t="s">
        <v>7890</v>
      </c>
      <c r="D12">
        <v>130</v>
      </c>
      <c r="E12" t="s">
        <v>32</v>
      </c>
      <c r="F12">
        <v>6</v>
      </c>
      <c r="G12">
        <v>-5</v>
      </c>
      <c r="H12" t="s">
        <v>7882</v>
      </c>
      <c r="I12">
        <v>10</v>
      </c>
      <c r="J12">
        <v>84</v>
      </c>
      <c r="K12">
        <v>2</v>
      </c>
      <c r="L12" t="s">
        <v>7889</v>
      </c>
      <c r="M12">
        <v>1402</v>
      </c>
    </row>
    <row r="13" spans="1:13" x14ac:dyDescent="0.25">
      <c r="A13" t="s">
        <v>8690</v>
      </c>
      <c r="B13">
        <v>1</v>
      </c>
      <c r="C13" t="s">
        <v>7892</v>
      </c>
      <c r="D13">
        <v>130</v>
      </c>
      <c r="E13" t="s">
        <v>32</v>
      </c>
      <c r="F13">
        <v>6</v>
      </c>
      <c r="G13">
        <v>0</v>
      </c>
      <c r="H13" t="s">
        <v>7882</v>
      </c>
      <c r="I13">
        <v>10</v>
      </c>
      <c r="J13">
        <v>84</v>
      </c>
      <c r="K13">
        <v>2</v>
      </c>
      <c r="L13" t="s">
        <v>7891</v>
      </c>
      <c r="M13">
        <v>1402</v>
      </c>
    </row>
    <row r="14" spans="1:13" x14ac:dyDescent="0.25">
      <c r="A14" t="s">
        <v>8851</v>
      </c>
      <c r="B14">
        <v>1</v>
      </c>
      <c r="C14" t="s">
        <v>8214</v>
      </c>
      <c r="D14">
        <v>228</v>
      </c>
      <c r="E14" t="s">
        <v>22</v>
      </c>
      <c r="F14">
        <v>6</v>
      </c>
      <c r="G14">
        <v>-15</v>
      </c>
      <c r="H14" t="s">
        <v>7882</v>
      </c>
      <c r="I14">
        <v>6</v>
      </c>
      <c r="J14">
        <v>140</v>
      </c>
      <c r="K14">
        <v>3</v>
      </c>
      <c r="L14" t="s">
        <v>8213</v>
      </c>
      <c r="M14">
        <v>739</v>
      </c>
    </row>
    <row r="15" spans="1:13" x14ac:dyDescent="0.25">
      <c r="A15" t="s">
        <v>8852</v>
      </c>
      <c r="B15">
        <v>1</v>
      </c>
      <c r="C15" t="s">
        <v>8216</v>
      </c>
      <c r="D15">
        <v>228</v>
      </c>
      <c r="E15" t="s">
        <v>22</v>
      </c>
      <c r="F15">
        <v>6</v>
      </c>
      <c r="G15">
        <v>-10</v>
      </c>
      <c r="H15" t="s">
        <v>7882</v>
      </c>
      <c r="I15">
        <v>6</v>
      </c>
      <c r="J15">
        <v>140</v>
      </c>
      <c r="K15">
        <v>3</v>
      </c>
      <c r="L15" t="s">
        <v>8215</v>
      </c>
      <c r="M15">
        <v>739</v>
      </c>
    </row>
    <row r="16" spans="1:13" x14ac:dyDescent="0.25">
      <c r="A16" t="s">
        <v>8853</v>
      </c>
      <c r="B16">
        <v>1</v>
      </c>
      <c r="C16" t="s">
        <v>8218</v>
      </c>
      <c r="D16">
        <v>228</v>
      </c>
      <c r="E16" t="s">
        <v>22</v>
      </c>
      <c r="F16">
        <v>6</v>
      </c>
      <c r="G16">
        <v>-5</v>
      </c>
      <c r="H16" t="s">
        <v>7882</v>
      </c>
      <c r="I16">
        <v>6</v>
      </c>
      <c r="J16">
        <v>140</v>
      </c>
      <c r="K16">
        <v>3</v>
      </c>
      <c r="L16" t="s">
        <v>8217</v>
      </c>
      <c r="M16">
        <v>739</v>
      </c>
    </row>
    <row r="17" spans="1:13" x14ac:dyDescent="0.25">
      <c r="A17" t="s">
        <v>8854</v>
      </c>
      <c r="B17">
        <v>1</v>
      </c>
      <c r="C17" t="s">
        <v>8220</v>
      </c>
      <c r="D17">
        <v>228</v>
      </c>
      <c r="E17" t="s">
        <v>22</v>
      </c>
      <c r="F17">
        <v>6</v>
      </c>
      <c r="G17">
        <v>0</v>
      </c>
      <c r="H17" t="s">
        <v>7882</v>
      </c>
      <c r="I17">
        <v>6</v>
      </c>
      <c r="J17">
        <v>140</v>
      </c>
      <c r="K17">
        <v>3</v>
      </c>
      <c r="L17" t="s">
        <v>8219</v>
      </c>
      <c r="M17">
        <v>739</v>
      </c>
    </row>
    <row r="18" spans="1:13" x14ac:dyDescent="0.25">
      <c r="A18" t="s">
        <v>8691</v>
      </c>
      <c r="B18">
        <v>1</v>
      </c>
      <c r="C18" t="s">
        <v>7894</v>
      </c>
      <c r="D18">
        <v>395</v>
      </c>
      <c r="E18" t="s">
        <v>32</v>
      </c>
      <c r="F18">
        <v>6</v>
      </c>
      <c r="G18">
        <v>-15</v>
      </c>
      <c r="H18" t="s">
        <v>7882</v>
      </c>
      <c r="I18">
        <v>10</v>
      </c>
      <c r="J18">
        <v>106</v>
      </c>
      <c r="K18">
        <v>3</v>
      </c>
      <c r="L18" t="s">
        <v>7893</v>
      </c>
      <c r="M18">
        <v>3212</v>
      </c>
    </row>
    <row r="19" spans="1:13" x14ac:dyDescent="0.25">
      <c r="A19" t="s">
        <v>8692</v>
      </c>
      <c r="B19">
        <v>1</v>
      </c>
      <c r="C19" t="s">
        <v>7896</v>
      </c>
      <c r="D19">
        <v>395</v>
      </c>
      <c r="E19" t="s">
        <v>32</v>
      </c>
      <c r="F19">
        <v>6</v>
      </c>
      <c r="G19">
        <v>-10</v>
      </c>
      <c r="H19" t="s">
        <v>7882</v>
      </c>
      <c r="I19">
        <v>10</v>
      </c>
      <c r="J19">
        <v>106</v>
      </c>
      <c r="K19">
        <v>3</v>
      </c>
      <c r="L19" t="s">
        <v>7895</v>
      </c>
      <c r="M19">
        <v>3212</v>
      </c>
    </row>
    <row r="20" spans="1:13" x14ac:dyDescent="0.25">
      <c r="A20" t="s">
        <v>8693</v>
      </c>
      <c r="B20">
        <v>1</v>
      </c>
      <c r="C20" t="s">
        <v>7898</v>
      </c>
      <c r="D20">
        <v>395</v>
      </c>
      <c r="E20" t="s">
        <v>32</v>
      </c>
      <c r="F20">
        <v>6</v>
      </c>
      <c r="G20">
        <v>-5</v>
      </c>
      <c r="H20" t="s">
        <v>7882</v>
      </c>
      <c r="I20">
        <v>10</v>
      </c>
      <c r="J20">
        <v>106</v>
      </c>
      <c r="K20">
        <v>3</v>
      </c>
      <c r="L20" t="s">
        <v>7897</v>
      </c>
      <c r="M20">
        <v>3212</v>
      </c>
    </row>
    <row r="21" spans="1:13" x14ac:dyDescent="0.25">
      <c r="A21" t="s">
        <v>8694</v>
      </c>
      <c r="B21">
        <v>1</v>
      </c>
      <c r="C21" t="s">
        <v>7900</v>
      </c>
      <c r="D21">
        <v>395</v>
      </c>
      <c r="E21" t="s">
        <v>32</v>
      </c>
      <c r="F21">
        <v>6</v>
      </c>
      <c r="G21">
        <v>0</v>
      </c>
      <c r="H21" t="s">
        <v>7882</v>
      </c>
      <c r="I21">
        <v>10</v>
      </c>
      <c r="J21">
        <v>106</v>
      </c>
      <c r="K21">
        <v>3</v>
      </c>
      <c r="L21" t="s">
        <v>7899</v>
      </c>
      <c r="M21">
        <v>3212</v>
      </c>
    </row>
    <row r="22" spans="1:13" x14ac:dyDescent="0.25">
      <c r="A22" t="s">
        <v>8767</v>
      </c>
      <c r="B22">
        <v>1</v>
      </c>
      <c r="C22" t="s">
        <v>8046</v>
      </c>
      <c r="D22">
        <v>776</v>
      </c>
      <c r="E22" t="s">
        <v>29</v>
      </c>
      <c r="F22">
        <v>6</v>
      </c>
      <c r="G22">
        <v>-15</v>
      </c>
      <c r="H22" t="s">
        <v>7882</v>
      </c>
      <c r="I22">
        <v>2</v>
      </c>
      <c r="J22">
        <v>408</v>
      </c>
      <c r="K22">
        <v>5</v>
      </c>
      <c r="L22" t="s">
        <v>8045</v>
      </c>
      <c r="M22">
        <v>3211</v>
      </c>
    </row>
    <row r="23" spans="1:13" x14ac:dyDescent="0.25">
      <c r="A23" t="s">
        <v>8768</v>
      </c>
      <c r="B23">
        <v>1</v>
      </c>
      <c r="C23" t="s">
        <v>8048</v>
      </c>
      <c r="D23">
        <v>776</v>
      </c>
      <c r="E23" t="s">
        <v>29</v>
      </c>
      <c r="F23">
        <v>6</v>
      </c>
      <c r="G23">
        <v>-10</v>
      </c>
      <c r="H23" t="s">
        <v>7882</v>
      </c>
      <c r="I23">
        <v>2</v>
      </c>
      <c r="J23">
        <v>408</v>
      </c>
      <c r="K23">
        <v>5</v>
      </c>
      <c r="L23" t="s">
        <v>8047</v>
      </c>
      <c r="M23">
        <v>3211</v>
      </c>
    </row>
    <row r="24" spans="1:13" x14ac:dyDescent="0.25">
      <c r="A24" t="s">
        <v>8769</v>
      </c>
      <c r="B24">
        <v>1</v>
      </c>
      <c r="C24" t="s">
        <v>8050</v>
      </c>
      <c r="D24">
        <v>776</v>
      </c>
      <c r="E24" t="s">
        <v>29</v>
      </c>
      <c r="F24">
        <v>6</v>
      </c>
      <c r="G24">
        <v>-5</v>
      </c>
      <c r="H24" t="s">
        <v>7882</v>
      </c>
      <c r="I24">
        <v>2</v>
      </c>
      <c r="J24">
        <v>408</v>
      </c>
      <c r="K24">
        <v>5</v>
      </c>
      <c r="L24" t="s">
        <v>8049</v>
      </c>
      <c r="M24">
        <v>3211</v>
      </c>
    </row>
    <row r="25" spans="1:13" x14ac:dyDescent="0.25">
      <c r="A25" t="s">
        <v>8770</v>
      </c>
      <c r="B25">
        <v>1</v>
      </c>
      <c r="C25" t="s">
        <v>8052</v>
      </c>
      <c r="D25">
        <v>776</v>
      </c>
      <c r="E25" t="s">
        <v>29</v>
      </c>
      <c r="F25">
        <v>6</v>
      </c>
      <c r="G25">
        <v>0</v>
      </c>
      <c r="H25" t="s">
        <v>7882</v>
      </c>
      <c r="I25">
        <v>2</v>
      </c>
      <c r="J25">
        <v>408</v>
      </c>
      <c r="K25">
        <v>5</v>
      </c>
      <c r="L25" t="s">
        <v>8051</v>
      </c>
      <c r="M25">
        <v>3211</v>
      </c>
    </row>
    <row r="26" spans="1:13" x14ac:dyDescent="0.25">
      <c r="A26" t="s">
        <v>8931</v>
      </c>
      <c r="B26">
        <v>1</v>
      </c>
      <c r="C26" t="s">
        <v>8374</v>
      </c>
      <c r="D26">
        <v>332</v>
      </c>
      <c r="E26" t="s">
        <v>25</v>
      </c>
      <c r="F26">
        <v>3</v>
      </c>
      <c r="G26">
        <v>-15</v>
      </c>
      <c r="H26" t="s">
        <v>7882</v>
      </c>
      <c r="I26">
        <v>16</v>
      </c>
      <c r="J26">
        <v>98</v>
      </c>
      <c r="K26">
        <v>10</v>
      </c>
      <c r="L26" t="s">
        <v>8373</v>
      </c>
      <c r="M26">
        <v>748</v>
      </c>
    </row>
    <row r="27" spans="1:13" x14ac:dyDescent="0.25">
      <c r="A27" t="s">
        <v>8932</v>
      </c>
      <c r="B27">
        <v>1</v>
      </c>
      <c r="C27" t="s">
        <v>8376</v>
      </c>
      <c r="D27">
        <v>332</v>
      </c>
      <c r="E27" t="s">
        <v>25</v>
      </c>
      <c r="F27">
        <v>3</v>
      </c>
      <c r="G27">
        <v>-10</v>
      </c>
      <c r="H27" t="s">
        <v>7882</v>
      </c>
      <c r="I27">
        <v>16</v>
      </c>
      <c r="J27">
        <v>98</v>
      </c>
      <c r="K27">
        <v>10</v>
      </c>
      <c r="L27" t="s">
        <v>8375</v>
      </c>
      <c r="M27">
        <v>748</v>
      </c>
    </row>
    <row r="28" spans="1:13" x14ac:dyDescent="0.25">
      <c r="A28" t="s">
        <v>8933</v>
      </c>
      <c r="B28">
        <v>1</v>
      </c>
      <c r="C28" t="s">
        <v>8378</v>
      </c>
      <c r="D28">
        <v>332</v>
      </c>
      <c r="E28" t="s">
        <v>25</v>
      </c>
      <c r="F28">
        <v>3</v>
      </c>
      <c r="G28">
        <v>-5</v>
      </c>
      <c r="H28" t="s">
        <v>7882</v>
      </c>
      <c r="I28">
        <v>16</v>
      </c>
      <c r="J28">
        <v>98</v>
      </c>
      <c r="K28">
        <v>10</v>
      </c>
      <c r="L28" t="s">
        <v>8377</v>
      </c>
      <c r="M28">
        <v>748</v>
      </c>
    </row>
    <row r="29" spans="1:13" x14ac:dyDescent="0.25">
      <c r="A29" t="s">
        <v>8934</v>
      </c>
      <c r="B29">
        <v>1</v>
      </c>
      <c r="C29" t="s">
        <v>8380</v>
      </c>
      <c r="D29">
        <v>332</v>
      </c>
      <c r="E29" t="s">
        <v>25</v>
      </c>
      <c r="F29">
        <v>3</v>
      </c>
      <c r="G29">
        <v>0</v>
      </c>
      <c r="H29" t="s">
        <v>7882</v>
      </c>
      <c r="I29">
        <v>16</v>
      </c>
      <c r="J29">
        <v>98</v>
      </c>
      <c r="K29">
        <v>10</v>
      </c>
      <c r="L29" t="s">
        <v>8379</v>
      </c>
      <c r="M29">
        <v>748</v>
      </c>
    </row>
    <row r="30" spans="1:13" x14ac:dyDescent="0.25">
      <c r="A30" t="s">
        <v>8695</v>
      </c>
      <c r="B30">
        <v>1</v>
      </c>
      <c r="C30" t="s">
        <v>7902</v>
      </c>
      <c r="D30">
        <v>21</v>
      </c>
      <c r="E30" t="s">
        <v>32</v>
      </c>
      <c r="F30">
        <v>3</v>
      </c>
      <c r="G30">
        <v>-15</v>
      </c>
      <c r="H30" t="s">
        <v>7882</v>
      </c>
      <c r="I30">
        <v>12</v>
      </c>
      <c r="J30">
        <v>122</v>
      </c>
      <c r="K30">
        <v>12</v>
      </c>
      <c r="L30" t="s">
        <v>7901</v>
      </c>
      <c r="M30">
        <v>238</v>
      </c>
    </row>
    <row r="31" spans="1:13" x14ac:dyDescent="0.25">
      <c r="A31" t="s">
        <v>8696</v>
      </c>
      <c r="B31">
        <v>1</v>
      </c>
      <c r="C31" t="s">
        <v>7904</v>
      </c>
      <c r="D31">
        <v>21</v>
      </c>
      <c r="E31" t="s">
        <v>32</v>
      </c>
      <c r="F31">
        <v>3</v>
      </c>
      <c r="G31">
        <v>-10</v>
      </c>
      <c r="H31" t="s">
        <v>7882</v>
      </c>
      <c r="I31">
        <v>12</v>
      </c>
      <c r="J31">
        <v>122</v>
      </c>
      <c r="K31">
        <v>12</v>
      </c>
      <c r="L31" t="s">
        <v>7903</v>
      </c>
      <c r="M31">
        <v>238</v>
      </c>
    </row>
    <row r="32" spans="1:13" x14ac:dyDescent="0.25">
      <c r="A32" t="s">
        <v>8697</v>
      </c>
      <c r="B32">
        <v>1</v>
      </c>
      <c r="C32" t="s">
        <v>7906</v>
      </c>
      <c r="D32">
        <v>21</v>
      </c>
      <c r="E32" t="s">
        <v>32</v>
      </c>
      <c r="F32">
        <v>3</v>
      </c>
      <c r="G32">
        <v>-5</v>
      </c>
      <c r="H32" t="s">
        <v>7882</v>
      </c>
      <c r="I32">
        <v>12</v>
      </c>
      <c r="J32">
        <v>122</v>
      </c>
      <c r="K32">
        <v>12</v>
      </c>
      <c r="L32" t="s">
        <v>7905</v>
      </c>
      <c r="M32">
        <v>238</v>
      </c>
    </row>
    <row r="33" spans="1:13" x14ac:dyDescent="0.25">
      <c r="A33" t="s">
        <v>8698</v>
      </c>
      <c r="B33">
        <v>1</v>
      </c>
      <c r="C33" t="s">
        <v>7908</v>
      </c>
      <c r="D33">
        <v>21</v>
      </c>
      <c r="E33" t="s">
        <v>32</v>
      </c>
      <c r="F33">
        <v>3</v>
      </c>
      <c r="G33">
        <v>0</v>
      </c>
      <c r="H33" t="s">
        <v>7882</v>
      </c>
      <c r="I33">
        <v>12</v>
      </c>
      <c r="J33">
        <v>122</v>
      </c>
      <c r="K33">
        <v>12</v>
      </c>
      <c r="L33" t="s">
        <v>7907</v>
      </c>
      <c r="M33">
        <v>238</v>
      </c>
    </row>
    <row r="34" spans="1:13" x14ac:dyDescent="0.25">
      <c r="A34" t="s">
        <v>8699</v>
      </c>
      <c r="B34">
        <v>1</v>
      </c>
      <c r="C34" t="s">
        <v>7910</v>
      </c>
      <c r="D34">
        <v>440</v>
      </c>
      <c r="E34" t="s">
        <v>32</v>
      </c>
      <c r="F34">
        <v>3</v>
      </c>
      <c r="G34">
        <v>-15</v>
      </c>
      <c r="H34" t="s">
        <v>7882</v>
      </c>
      <c r="I34">
        <v>12</v>
      </c>
      <c r="J34">
        <v>242</v>
      </c>
      <c r="K34">
        <v>13</v>
      </c>
      <c r="L34" t="s">
        <v>7909</v>
      </c>
      <c r="M34">
        <v>3487</v>
      </c>
    </row>
    <row r="35" spans="1:13" x14ac:dyDescent="0.25">
      <c r="A35" t="s">
        <v>8700</v>
      </c>
      <c r="B35">
        <v>1</v>
      </c>
      <c r="C35" t="s">
        <v>7912</v>
      </c>
      <c r="D35">
        <v>440</v>
      </c>
      <c r="E35" t="s">
        <v>32</v>
      </c>
      <c r="F35">
        <v>3</v>
      </c>
      <c r="G35">
        <v>-10</v>
      </c>
      <c r="H35" t="s">
        <v>7882</v>
      </c>
      <c r="I35">
        <v>12</v>
      </c>
      <c r="J35">
        <v>242</v>
      </c>
      <c r="K35">
        <v>13</v>
      </c>
      <c r="L35" t="s">
        <v>7911</v>
      </c>
      <c r="M35">
        <v>3487</v>
      </c>
    </row>
    <row r="36" spans="1:13" x14ac:dyDescent="0.25">
      <c r="A36" t="s">
        <v>8701</v>
      </c>
      <c r="B36">
        <v>1</v>
      </c>
      <c r="C36" t="s">
        <v>7914</v>
      </c>
      <c r="D36">
        <v>440</v>
      </c>
      <c r="E36" t="s">
        <v>32</v>
      </c>
      <c r="F36">
        <v>3</v>
      </c>
      <c r="G36">
        <v>-5</v>
      </c>
      <c r="H36" t="s">
        <v>7882</v>
      </c>
      <c r="I36">
        <v>12</v>
      </c>
      <c r="J36">
        <v>242</v>
      </c>
      <c r="K36">
        <v>13</v>
      </c>
      <c r="L36" t="s">
        <v>7913</v>
      </c>
      <c r="M36">
        <v>3487</v>
      </c>
    </row>
    <row r="37" spans="1:13" x14ac:dyDescent="0.25">
      <c r="A37" t="s">
        <v>8702</v>
      </c>
      <c r="B37">
        <v>1</v>
      </c>
      <c r="C37" t="s">
        <v>7916</v>
      </c>
      <c r="D37">
        <v>440</v>
      </c>
      <c r="E37" t="s">
        <v>32</v>
      </c>
      <c r="F37">
        <v>3</v>
      </c>
      <c r="G37">
        <v>0</v>
      </c>
      <c r="H37" t="s">
        <v>7882</v>
      </c>
      <c r="I37">
        <v>12</v>
      </c>
      <c r="J37">
        <v>242</v>
      </c>
      <c r="K37">
        <v>13</v>
      </c>
      <c r="L37" t="s">
        <v>7915</v>
      </c>
      <c r="M37">
        <v>3487</v>
      </c>
    </row>
    <row r="38" spans="1:13" x14ac:dyDescent="0.25">
      <c r="A38" t="s">
        <v>8771</v>
      </c>
      <c r="B38">
        <v>1</v>
      </c>
      <c r="C38" t="s">
        <v>8054</v>
      </c>
      <c r="D38">
        <v>496</v>
      </c>
      <c r="E38" t="s">
        <v>29</v>
      </c>
      <c r="F38">
        <v>6</v>
      </c>
      <c r="G38">
        <v>-15</v>
      </c>
      <c r="H38" t="s">
        <v>7882</v>
      </c>
      <c r="I38">
        <v>2</v>
      </c>
      <c r="J38">
        <v>232</v>
      </c>
      <c r="K38">
        <v>14</v>
      </c>
      <c r="L38" t="s">
        <v>8053</v>
      </c>
      <c r="M38">
        <v>2528</v>
      </c>
    </row>
    <row r="39" spans="1:13" x14ac:dyDescent="0.25">
      <c r="A39" t="s">
        <v>8772</v>
      </c>
      <c r="B39">
        <v>1</v>
      </c>
      <c r="C39" t="s">
        <v>8056</v>
      </c>
      <c r="D39">
        <v>496</v>
      </c>
      <c r="E39" t="s">
        <v>29</v>
      </c>
      <c r="F39">
        <v>6</v>
      </c>
      <c r="G39">
        <v>-10</v>
      </c>
      <c r="H39" t="s">
        <v>7882</v>
      </c>
      <c r="I39">
        <v>2</v>
      </c>
      <c r="J39">
        <v>232</v>
      </c>
      <c r="K39">
        <v>14</v>
      </c>
      <c r="L39" t="s">
        <v>8055</v>
      </c>
      <c r="M39">
        <v>2528</v>
      </c>
    </row>
    <row r="40" spans="1:13" x14ac:dyDescent="0.25">
      <c r="A40" t="s">
        <v>8773</v>
      </c>
      <c r="B40">
        <v>1</v>
      </c>
      <c r="C40" t="s">
        <v>8058</v>
      </c>
      <c r="D40">
        <v>496</v>
      </c>
      <c r="E40" t="s">
        <v>29</v>
      </c>
      <c r="F40">
        <v>6</v>
      </c>
      <c r="G40">
        <v>-5</v>
      </c>
      <c r="H40" t="s">
        <v>7882</v>
      </c>
      <c r="I40">
        <v>2</v>
      </c>
      <c r="J40">
        <v>232</v>
      </c>
      <c r="K40">
        <v>14</v>
      </c>
      <c r="L40" t="s">
        <v>8057</v>
      </c>
      <c r="M40">
        <v>2528</v>
      </c>
    </row>
    <row r="41" spans="1:13" x14ac:dyDescent="0.25">
      <c r="A41" t="s">
        <v>8774</v>
      </c>
      <c r="B41">
        <v>1</v>
      </c>
      <c r="C41" t="s">
        <v>8060</v>
      </c>
      <c r="D41">
        <v>496</v>
      </c>
      <c r="E41" t="s">
        <v>29</v>
      </c>
      <c r="F41">
        <v>6</v>
      </c>
      <c r="G41">
        <v>0</v>
      </c>
      <c r="H41" t="s">
        <v>7882</v>
      </c>
      <c r="I41">
        <v>2</v>
      </c>
      <c r="J41">
        <v>232</v>
      </c>
      <c r="K41">
        <v>14</v>
      </c>
      <c r="L41" t="s">
        <v>8059</v>
      </c>
      <c r="M41">
        <v>2528</v>
      </c>
    </row>
    <row r="42" spans="1:13" x14ac:dyDescent="0.25">
      <c r="A42" t="s">
        <v>8855</v>
      </c>
      <c r="B42">
        <v>1</v>
      </c>
      <c r="C42" t="s">
        <v>8222</v>
      </c>
      <c r="D42">
        <v>554</v>
      </c>
      <c r="E42" t="s">
        <v>22</v>
      </c>
      <c r="F42">
        <v>3</v>
      </c>
      <c r="G42">
        <v>-15</v>
      </c>
      <c r="H42" t="s">
        <v>7882</v>
      </c>
      <c r="I42">
        <v>8</v>
      </c>
      <c r="J42">
        <v>54</v>
      </c>
      <c r="K42">
        <v>15</v>
      </c>
      <c r="L42" t="s">
        <v>8221</v>
      </c>
      <c r="M42">
        <v>1831</v>
      </c>
    </row>
    <row r="43" spans="1:13" x14ac:dyDescent="0.25">
      <c r="A43" t="s">
        <v>8856</v>
      </c>
      <c r="B43">
        <v>1</v>
      </c>
      <c r="C43" t="s">
        <v>8224</v>
      </c>
      <c r="D43">
        <v>554</v>
      </c>
      <c r="E43" t="s">
        <v>22</v>
      </c>
      <c r="F43">
        <v>3</v>
      </c>
      <c r="G43">
        <v>-10</v>
      </c>
      <c r="H43" t="s">
        <v>7882</v>
      </c>
      <c r="I43">
        <v>8</v>
      </c>
      <c r="J43">
        <v>54</v>
      </c>
      <c r="K43">
        <v>15</v>
      </c>
      <c r="L43" t="s">
        <v>8223</v>
      </c>
      <c r="M43">
        <v>1831</v>
      </c>
    </row>
    <row r="44" spans="1:13" x14ac:dyDescent="0.25">
      <c r="A44" t="s">
        <v>8857</v>
      </c>
      <c r="B44">
        <v>1</v>
      </c>
      <c r="C44" t="s">
        <v>8226</v>
      </c>
      <c r="D44">
        <v>554</v>
      </c>
      <c r="E44" t="s">
        <v>22</v>
      </c>
      <c r="F44">
        <v>3</v>
      </c>
      <c r="G44">
        <v>-5</v>
      </c>
      <c r="H44" t="s">
        <v>7882</v>
      </c>
      <c r="I44">
        <v>8</v>
      </c>
      <c r="J44">
        <v>54</v>
      </c>
      <c r="K44">
        <v>15</v>
      </c>
      <c r="L44" t="s">
        <v>8225</v>
      </c>
      <c r="M44">
        <v>1831</v>
      </c>
    </row>
    <row r="45" spans="1:13" x14ac:dyDescent="0.25">
      <c r="A45" t="s">
        <v>8858</v>
      </c>
      <c r="B45">
        <v>1</v>
      </c>
      <c r="C45" t="s">
        <v>8228</v>
      </c>
      <c r="D45">
        <v>554</v>
      </c>
      <c r="E45" t="s">
        <v>22</v>
      </c>
      <c r="F45">
        <v>3</v>
      </c>
      <c r="G45">
        <v>0</v>
      </c>
      <c r="H45" t="s">
        <v>7882</v>
      </c>
      <c r="I45">
        <v>8</v>
      </c>
      <c r="J45">
        <v>54</v>
      </c>
      <c r="K45">
        <v>15</v>
      </c>
      <c r="L45" t="s">
        <v>8227</v>
      </c>
      <c r="M45">
        <v>1831</v>
      </c>
    </row>
    <row r="46" spans="1:13" x14ac:dyDescent="0.25">
      <c r="A46" t="s">
        <v>8703</v>
      </c>
      <c r="B46">
        <v>1</v>
      </c>
      <c r="C46" t="s">
        <v>7918</v>
      </c>
      <c r="D46">
        <v>307</v>
      </c>
      <c r="E46" t="s">
        <v>32</v>
      </c>
      <c r="F46">
        <v>6</v>
      </c>
      <c r="G46">
        <v>-15</v>
      </c>
      <c r="H46" t="s">
        <v>7882</v>
      </c>
      <c r="I46">
        <v>10</v>
      </c>
      <c r="J46">
        <v>84</v>
      </c>
      <c r="K46">
        <v>19</v>
      </c>
      <c r="L46" t="s">
        <v>7917</v>
      </c>
      <c r="M46">
        <v>2851</v>
      </c>
    </row>
    <row r="47" spans="1:13" x14ac:dyDescent="0.25">
      <c r="A47" t="s">
        <v>8704</v>
      </c>
      <c r="B47">
        <v>1</v>
      </c>
      <c r="C47" t="s">
        <v>7920</v>
      </c>
      <c r="D47">
        <v>307</v>
      </c>
      <c r="E47" t="s">
        <v>32</v>
      </c>
      <c r="F47">
        <v>6</v>
      </c>
      <c r="G47">
        <v>-10</v>
      </c>
      <c r="H47" t="s">
        <v>7882</v>
      </c>
      <c r="I47">
        <v>10</v>
      </c>
      <c r="J47">
        <v>84</v>
      </c>
      <c r="K47">
        <v>19</v>
      </c>
      <c r="L47" t="s">
        <v>7919</v>
      </c>
      <c r="M47">
        <v>2851</v>
      </c>
    </row>
    <row r="48" spans="1:13" x14ac:dyDescent="0.25">
      <c r="A48" t="s">
        <v>8705</v>
      </c>
      <c r="B48">
        <v>1</v>
      </c>
      <c r="C48" t="s">
        <v>7922</v>
      </c>
      <c r="D48">
        <v>307</v>
      </c>
      <c r="E48" t="s">
        <v>32</v>
      </c>
      <c r="F48">
        <v>6</v>
      </c>
      <c r="G48">
        <v>-5</v>
      </c>
      <c r="H48" t="s">
        <v>7882</v>
      </c>
      <c r="I48">
        <v>10</v>
      </c>
      <c r="J48">
        <v>84</v>
      </c>
      <c r="K48">
        <v>19</v>
      </c>
      <c r="L48" t="s">
        <v>7921</v>
      </c>
      <c r="M48">
        <v>2851</v>
      </c>
    </row>
    <row r="49" spans="1:13" x14ac:dyDescent="0.25">
      <c r="A49" t="s">
        <v>8706</v>
      </c>
      <c r="B49">
        <v>1</v>
      </c>
      <c r="C49" t="s">
        <v>7924</v>
      </c>
      <c r="D49">
        <v>307</v>
      </c>
      <c r="E49" t="s">
        <v>32</v>
      </c>
      <c r="F49">
        <v>6</v>
      </c>
      <c r="G49">
        <v>0</v>
      </c>
      <c r="H49" t="s">
        <v>7882</v>
      </c>
      <c r="I49">
        <v>10</v>
      </c>
      <c r="J49">
        <v>84</v>
      </c>
      <c r="K49">
        <v>19</v>
      </c>
      <c r="L49" t="s">
        <v>7923</v>
      </c>
      <c r="M49">
        <v>2851</v>
      </c>
    </row>
    <row r="50" spans="1:13" x14ac:dyDescent="0.25">
      <c r="A50" t="s">
        <v>8775</v>
      </c>
      <c r="B50">
        <v>1</v>
      </c>
      <c r="C50" t="s">
        <v>8062</v>
      </c>
      <c r="D50">
        <v>380</v>
      </c>
      <c r="E50" t="s">
        <v>29</v>
      </c>
      <c r="F50">
        <v>3</v>
      </c>
      <c r="G50">
        <v>-15</v>
      </c>
      <c r="H50" t="s">
        <v>7882</v>
      </c>
      <c r="I50">
        <v>4</v>
      </c>
      <c r="J50">
        <v>122</v>
      </c>
      <c r="K50">
        <v>20</v>
      </c>
      <c r="L50" t="s">
        <v>8061</v>
      </c>
      <c r="M50">
        <v>2121</v>
      </c>
    </row>
    <row r="51" spans="1:13" x14ac:dyDescent="0.25">
      <c r="A51" t="s">
        <v>8776</v>
      </c>
      <c r="B51">
        <v>1</v>
      </c>
      <c r="C51" t="s">
        <v>8064</v>
      </c>
      <c r="D51">
        <v>380</v>
      </c>
      <c r="E51" t="s">
        <v>29</v>
      </c>
      <c r="F51">
        <v>3</v>
      </c>
      <c r="G51">
        <v>-10</v>
      </c>
      <c r="H51" t="s">
        <v>7882</v>
      </c>
      <c r="I51">
        <v>4</v>
      </c>
      <c r="J51">
        <v>122</v>
      </c>
      <c r="K51">
        <v>20</v>
      </c>
      <c r="L51" t="s">
        <v>8063</v>
      </c>
      <c r="M51">
        <v>2121</v>
      </c>
    </row>
    <row r="52" spans="1:13" x14ac:dyDescent="0.25">
      <c r="A52" t="s">
        <v>8777</v>
      </c>
      <c r="B52">
        <v>1</v>
      </c>
      <c r="C52" t="s">
        <v>8066</v>
      </c>
      <c r="D52">
        <v>380</v>
      </c>
      <c r="E52" t="s">
        <v>29</v>
      </c>
      <c r="F52">
        <v>3</v>
      </c>
      <c r="G52">
        <v>-5</v>
      </c>
      <c r="H52" t="s">
        <v>7882</v>
      </c>
      <c r="I52">
        <v>4</v>
      </c>
      <c r="J52">
        <v>122</v>
      </c>
      <c r="K52">
        <v>20</v>
      </c>
      <c r="L52" t="s">
        <v>8065</v>
      </c>
      <c r="M52">
        <v>2121</v>
      </c>
    </row>
    <row r="53" spans="1:13" x14ac:dyDescent="0.25">
      <c r="A53" t="s">
        <v>8778</v>
      </c>
      <c r="B53">
        <v>1</v>
      </c>
      <c r="C53" t="s">
        <v>8068</v>
      </c>
      <c r="D53">
        <v>380</v>
      </c>
      <c r="E53" t="s">
        <v>29</v>
      </c>
      <c r="F53">
        <v>3</v>
      </c>
      <c r="G53">
        <v>0</v>
      </c>
      <c r="H53" t="s">
        <v>7882</v>
      </c>
      <c r="I53">
        <v>4</v>
      </c>
      <c r="J53">
        <v>122</v>
      </c>
      <c r="K53">
        <v>20</v>
      </c>
      <c r="L53" t="s">
        <v>8067</v>
      </c>
      <c r="M53">
        <v>2121</v>
      </c>
    </row>
    <row r="54" spans="1:13" x14ac:dyDescent="0.25">
      <c r="A54" t="s">
        <v>8935</v>
      </c>
      <c r="B54">
        <v>1</v>
      </c>
      <c r="C54" t="s">
        <v>8382</v>
      </c>
      <c r="D54">
        <v>154</v>
      </c>
      <c r="E54" t="s">
        <v>25</v>
      </c>
      <c r="F54">
        <v>6</v>
      </c>
      <c r="G54">
        <v>-15</v>
      </c>
      <c r="H54" t="s">
        <v>7882</v>
      </c>
      <c r="I54">
        <v>14</v>
      </c>
      <c r="J54">
        <v>170</v>
      </c>
      <c r="K54">
        <v>21</v>
      </c>
      <c r="L54" t="s">
        <v>8381</v>
      </c>
      <c r="M54">
        <v>368</v>
      </c>
    </row>
    <row r="55" spans="1:13" x14ac:dyDescent="0.25">
      <c r="A55" t="s">
        <v>8936</v>
      </c>
      <c r="B55">
        <v>1</v>
      </c>
      <c r="C55" t="s">
        <v>8384</v>
      </c>
      <c r="D55">
        <v>154</v>
      </c>
      <c r="E55" t="s">
        <v>25</v>
      </c>
      <c r="F55">
        <v>6</v>
      </c>
      <c r="G55">
        <v>-10</v>
      </c>
      <c r="H55" t="s">
        <v>7882</v>
      </c>
      <c r="I55">
        <v>14</v>
      </c>
      <c r="J55">
        <v>170</v>
      </c>
      <c r="K55">
        <v>21</v>
      </c>
      <c r="L55" t="s">
        <v>8383</v>
      </c>
      <c r="M55">
        <v>368</v>
      </c>
    </row>
    <row r="56" spans="1:13" x14ac:dyDescent="0.25">
      <c r="A56" t="s">
        <v>8937</v>
      </c>
      <c r="B56">
        <v>1</v>
      </c>
      <c r="C56" t="s">
        <v>8386</v>
      </c>
      <c r="D56">
        <v>154</v>
      </c>
      <c r="E56" t="s">
        <v>25</v>
      </c>
      <c r="F56">
        <v>6</v>
      </c>
      <c r="G56">
        <v>-5</v>
      </c>
      <c r="H56" t="s">
        <v>7882</v>
      </c>
      <c r="I56">
        <v>14</v>
      </c>
      <c r="J56">
        <v>170</v>
      </c>
      <c r="K56">
        <v>21</v>
      </c>
      <c r="L56" t="s">
        <v>8385</v>
      </c>
      <c r="M56">
        <v>368</v>
      </c>
    </row>
    <row r="57" spans="1:13" x14ac:dyDescent="0.25">
      <c r="A57" t="s">
        <v>8938</v>
      </c>
      <c r="B57">
        <v>1</v>
      </c>
      <c r="C57" t="s">
        <v>8388</v>
      </c>
      <c r="D57">
        <v>154</v>
      </c>
      <c r="E57" t="s">
        <v>25</v>
      </c>
      <c r="F57">
        <v>6</v>
      </c>
      <c r="G57">
        <v>0</v>
      </c>
      <c r="H57" t="s">
        <v>7882</v>
      </c>
      <c r="I57">
        <v>14</v>
      </c>
      <c r="J57">
        <v>170</v>
      </c>
      <c r="K57">
        <v>21</v>
      </c>
      <c r="L57" t="s">
        <v>8387</v>
      </c>
      <c r="M57">
        <v>368</v>
      </c>
    </row>
    <row r="58" spans="1:13" x14ac:dyDescent="0.25">
      <c r="A58" t="s">
        <v>8779</v>
      </c>
      <c r="B58">
        <v>1</v>
      </c>
      <c r="C58" t="s">
        <v>8070</v>
      </c>
      <c r="D58">
        <v>447</v>
      </c>
      <c r="E58" t="s">
        <v>29</v>
      </c>
      <c r="F58">
        <v>3</v>
      </c>
      <c r="G58">
        <v>-15</v>
      </c>
      <c r="H58" t="s">
        <v>7882</v>
      </c>
      <c r="I58">
        <v>4</v>
      </c>
      <c r="J58">
        <v>20</v>
      </c>
      <c r="K58">
        <v>21</v>
      </c>
      <c r="L58" t="s">
        <v>8069</v>
      </c>
      <c r="M58">
        <v>2389</v>
      </c>
    </row>
    <row r="59" spans="1:13" x14ac:dyDescent="0.25">
      <c r="A59" t="s">
        <v>8780</v>
      </c>
      <c r="B59">
        <v>1</v>
      </c>
      <c r="C59" t="s">
        <v>8072</v>
      </c>
      <c r="D59">
        <v>447</v>
      </c>
      <c r="E59" t="s">
        <v>29</v>
      </c>
      <c r="F59">
        <v>3</v>
      </c>
      <c r="G59">
        <v>-10</v>
      </c>
      <c r="H59" t="s">
        <v>7882</v>
      </c>
      <c r="I59">
        <v>4</v>
      </c>
      <c r="J59">
        <v>20</v>
      </c>
      <c r="K59">
        <v>21</v>
      </c>
      <c r="L59" t="s">
        <v>8071</v>
      </c>
      <c r="M59">
        <v>2389</v>
      </c>
    </row>
    <row r="60" spans="1:13" x14ac:dyDescent="0.25">
      <c r="A60" t="s">
        <v>8781</v>
      </c>
      <c r="B60">
        <v>1</v>
      </c>
      <c r="C60" t="s">
        <v>8074</v>
      </c>
      <c r="D60">
        <v>447</v>
      </c>
      <c r="E60" t="s">
        <v>29</v>
      </c>
      <c r="F60">
        <v>3</v>
      </c>
      <c r="G60">
        <v>-5</v>
      </c>
      <c r="H60" t="s">
        <v>7882</v>
      </c>
      <c r="I60">
        <v>4</v>
      </c>
      <c r="J60">
        <v>20</v>
      </c>
      <c r="K60">
        <v>21</v>
      </c>
      <c r="L60" t="s">
        <v>8073</v>
      </c>
      <c r="M60">
        <v>2389</v>
      </c>
    </row>
    <row r="61" spans="1:13" x14ac:dyDescent="0.25">
      <c r="A61" t="s">
        <v>8782</v>
      </c>
      <c r="B61">
        <v>1</v>
      </c>
      <c r="C61" t="s">
        <v>8076</v>
      </c>
      <c r="D61">
        <v>447</v>
      </c>
      <c r="E61" t="s">
        <v>29</v>
      </c>
      <c r="F61">
        <v>3</v>
      </c>
      <c r="G61">
        <v>0</v>
      </c>
      <c r="H61" t="s">
        <v>7882</v>
      </c>
      <c r="I61">
        <v>4</v>
      </c>
      <c r="J61">
        <v>20</v>
      </c>
      <c r="K61">
        <v>21</v>
      </c>
      <c r="L61" t="s">
        <v>8075</v>
      </c>
      <c r="M61">
        <v>2389</v>
      </c>
    </row>
    <row r="62" spans="1:13" x14ac:dyDescent="0.25">
      <c r="A62" t="s">
        <v>8707</v>
      </c>
      <c r="B62">
        <v>1</v>
      </c>
      <c r="C62" t="s">
        <v>7926</v>
      </c>
      <c r="D62">
        <v>99</v>
      </c>
      <c r="E62" t="s">
        <v>32</v>
      </c>
      <c r="F62">
        <v>3</v>
      </c>
      <c r="G62">
        <v>-15</v>
      </c>
      <c r="H62" t="s">
        <v>7882</v>
      </c>
      <c r="I62">
        <v>12</v>
      </c>
      <c r="J62">
        <v>46</v>
      </c>
      <c r="K62">
        <v>21</v>
      </c>
      <c r="L62" t="s">
        <v>7925</v>
      </c>
      <c r="M62">
        <v>1150</v>
      </c>
    </row>
    <row r="63" spans="1:13" x14ac:dyDescent="0.25">
      <c r="A63" t="s">
        <v>8708</v>
      </c>
      <c r="B63">
        <v>1</v>
      </c>
      <c r="C63" t="s">
        <v>7928</v>
      </c>
      <c r="D63">
        <v>99</v>
      </c>
      <c r="E63" t="s">
        <v>32</v>
      </c>
      <c r="F63">
        <v>3</v>
      </c>
      <c r="G63">
        <v>-10</v>
      </c>
      <c r="H63" t="s">
        <v>7882</v>
      </c>
      <c r="I63">
        <v>12</v>
      </c>
      <c r="J63">
        <v>46</v>
      </c>
      <c r="K63">
        <v>21</v>
      </c>
      <c r="L63" t="s">
        <v>7927</v>
      </c>
      <c r="M63">
        <v>1150</v>
      </c>
    </row>
    <row r="64" spans="1:13" x14ac:dyDescent="0.25">
      <c r="A64" t="s">
        <v>8709</v>
      </c>
      <c r="B64">
        <v>1</v>
      </c>
      <c r="C64" t="s">
        <v>7930</v>
      </c>
      <c r="D64">
        <v>99</v>
      </c>
      <c r="E64" t="s">
        <v>32</v>
      </c>
      <c r="F64">
        <v>3</v>
      </c>
      <c r="G64">
        <v>-5</v>
      </c>
      <c r="H64" t="s">
        <v>7882</v>
      </c>
      <c r="I64">
        <v>12</v>
      </c>
      <c r="J64">
        <v>46</v>
      </c>
      <c r="K64">
        <v>21</v>
      </c>
      <c r="L64" t="s">
        <v>7929</v>
      </c>
      <c r="M64">
        <v>1150</v>
      </c>
    </row>
    <row r="65" spans="1:13" x14ac:dyDescent="0.25">
      <c r="A65" t="s">
        <v>8710</v>
      </c>
      <c r="B65">
        <v>1</v>
      </c>
      <c r="C65" t="s">
        <v>7932</v>
      </c>
      <c r="D65">
        <v>99</v>
      </c>
      <c r="E65" t="s">
        <v>32</v>
      </c>
      <c r="F65">
        <v>3</v>
      </c>
      <c r="G65">
        <v>0</v>
      </c>
      <c r="H65" t="s">
        <v>7882</v>
      </c>
      <c r="I65">
        <v>12</v>
      </c>
      <c r="J65">
        <v>46</v>
      </c>
      <c r="K65">
        <v>21</v>
      </c>
      <c r="L65" t="s">
        <v>7931</v>
      </c>
      <c r="M65">
        <v>1150</v>
      </c>
    </row>
    <row r="66" spans="1:13" x14ac:dyDescent="0.25">
      <c r="A66" t="s">
        <v>8711</v>
      </c>
      <c r="B66">
        <v>1</v>
      </c>
      <c r="C66" t="s">
        <v>7934</v>
      </c>
      <c r="D66">
        <v>276</v>
      </c>
      <c r="E66" t="s">
        <v>32</v>
      </c>
      <c r="F66">
        <v>3</v>
      </c>
      <c r="G66">
        <v>-15</v>
      </c>
      <c r="H66" t="s">
        <v>7882</v>
      </c>
      <c r="I66">
        <v>12</v>
      </c>
      <c r="J66">
        <v>32</v>
      </c>
      <c r="K66">
        <v>23</v>
      </c>
      <c r="L66" t="s">
        <v>7933</v>
      </c>
      <c r="M66">
        <v>2709</v>
      </c>
    </row>
    <row r="67" spans="1:13" x14ac:dyDescent="0.25">
      <c r="A67" t="s">
        <v>8712</v>
      </c>
      <c r="B67">
        <v>1</v>
      </c>
      <c r="C67" t="s">
        <v>7936</v>
      </c>
      <c r="D67">
        <v>276</v>
      </c>
      <c r="E67" t="s">
        <v>32</v>
      </c>
      <c r="F67">
        <v>3</v>
      </c>
      <c r="G67">
        <v>-10</v>
      </c>
      <c r="H67" t="s">
        <v>7882</v>
      </c>
      <c r="I67">
        <v>12</v>
      </c>
      <c r="J67">
        <v>32</v>
      </c>
      <c r="K67">
        <v>23</v>
      </c>
      <c r="L67" t="s">
        <v>7935</v>
      </c>
      <c r="M67">
        <v>2709</v>
      </c>
    </row>
    <row r="68" spans="1:13" x14ac:dyDescent="0.25">
      <c r="A68" t="s">
        <v>8713</v>
      </c>
      <c r="B68">
        <v>1</v>
      </c>
      <c r="C68" t="s">
        <v>7938</v>
      </c>
      <c r="D68">
        <v>276</v>
      </c>
      <c r="E68" t="s">
        <v>32</v>
      </c>
      <c r="F68">
        <v>3</v>
      </c>
      <c r="G68">
        <v>-5</v>
      </c>
      <c r="H68" t="s">
        <v>7882</v>
      </c>
      <c r="I68">
        <v>12</v>
      </c>
      <c r="J68">
        <v>32</v>
      </c>
      <c r="K68">
        <v>23</v>
      </c>
      <c r="L68" t="s">
        <v>7937</v>
      </c>
      <c r="M68">
        <v>2709</v>
      </c>
    </row>
    <row r="69" spans="1:13" x14ac:dyDescent="0.25">
      <c r="A69" t="s">
        <v>8714</v>
      </c>
      <c r="B69">
        <v>1</v>
      </c>
      <c r="C69" t="s">
        <v>7940</v>
      </c>
      <c r="D69">
        <v>276</v>
      </c>
      <c r="E69" t="s">
        <v>32</v>
      </c>
      <c r="F69">
        <v>3</v>
      </c>
      <c r="G69">
        <v>0</v>
      </c>
      <c r="H69" t="s">
        <v>7882</v>
      </c>
      <c r="I69">
        <v>12</v>
      </c>
      <c r="J69">
        <v>32</v>
      </c>
      <c r="K69">
        <v>23</v>
      </c>
      <c r="L69" t="s">
        <v>7939</v>
      </c>
      <c r="M69">
        <v>2709</v>
      </c>
    </row>
    <row r="70" spans="1:13" x14ac:dyDescent="0.25">
      <c r="A70" t="s">
        <v>8939</v>
      </c>
      <c r="B70">
        <v>1</v>
      </c>
      <c r="C70" t="s">
        <v>8390</v>
      </c>
      <c r="D70">
        <v>1012</v>
      </c>
      <c r="E70" t="s">
        <v>25</v>
      </c>
      <c r="F70">
        <v>6</v>
      </c>
      <c r="G70">
        <v>-15</v>
      </c>
      <c r="H70" t="s">
        <v>7882</v>
      </c>
      <c r="I70">
        <v>14</v>
      </c>
      <c r="J70">
        <v>212</v>
      </c>
      <c r="K70">
        <v>26</v>
      </c>
      <c r="L70" t="s">
        <v>8389</v>
      </c>
      <c r="M70">
        <v>2972</v>
      </c>
    </row>
    <row r="71" spans="1:13" x14ac:dyDescent="0.25">
      <c r="A71" t="s">
        <v>8940</v>
      </c>
      <c r="B71">
        <v>1</v>
      </c>
      <c r="C71" t="s">
        <v>8392</v>
      </c>
      <c r="D71">
        <v>1012</v>
      </c>
      <c r="E71" t="s">
        <v>25</v>
      </c>
      <c r="F71">
        <v>6</v>
      </c>
      <c r="G71">
        <v>-10</v>
      </c>
      <c r="H71" t="s">
        <v>7882</v>
      </c>
      <c r="I71">
        <v>14</v>
      </c>
      <c r="J71">
        <v>212</v>
      </c>
      <c r="K71">
        <v>26</v>
      </c>
      <c r="L71" t="s">
        <v>8391</v>
      </c>
      <c r="M71">
        <v>2972</v>
      </c>
    </row>
    <row r="72" spans="1:13" x14ac:dyDescent="0.25">
      <c r="A72" t="s">
        <v>8941</v>
      </c>
      <c r="B72">
        <v>1</v>
      </c>
      <c r="C72" t="s">
        <v>8394</v>
      </c>
      <c r="D72">
        <v>1012</v>
      </c>
      <c r="E72" t="s">
        <v>25</v>
      </c>
      <c r="F72">
        <v>6</v>
      </c>
      <c r="G72">
        <v>-5</v>
      </c>
      <c r="H72" t="s">
        <v>7882</v>
      </c>
      <c r="I72">
        <v>14</v>
      </c>
      <c r="J72">
        <v>212</v>
      </c>
      <c r="K72">
        <v>26</v>
      </c>
      <c r="L72" t="s">
        <v>8393</v>
      </c>
      <c r="M72">
        <v>2972</v>
      </c>
    </row>
    <row r="73" spans="1:13" x14ac:dyDescent="0.25">
      <c r="A73" t="s">
        <v>8942</v>
      </c>
      <c r="B73">
        <v>1</v>
      </c>
      <c r="C73" t="s">
        <v>8396</v>
      </c>
      <c r="D73">
        <v>1012</v>
      </c>
      <c r="E73" t="s">
        <v>25</v>
      </c>
      <c r="F73">
        <v>6</v>
      </c>
      <c r="G73">
        <v>0</v>
      </c>
      <c r="H73" t="s">
        <v>7882</v>
      </c>
      <c r="I73">
        <v>14</v>
      </c>
      <c r="J73">
        <v>212</v>
      </c>
      <c r="K73">
        <v>26</v>
      </c>
      <c r="L73" t="s">
        <v>8395</v>
      </c>
      <c r="M73">
        <v>2972</v>
      </c>
    </row>
    <row r="74" spans="1:13" x14ac:dyDescent="0.25">
      <c r="A74" t="s">
        <v>8715</v>
      </c>
      <c r="B74">
        <v>1</v>
      </c>
      <c r="C74" t="s">
        <v>7942</v>
      </c>
      <c r="D74">
        <v>358</v>
      </c>
      <c r="E74" t="s">
        <v>32</v>
      </c>
      <c r="F74">
        <v>3</v>
      </c>
      <c r="G74">
        <v>-15</v>
      </c>
      <c r="H74" t="s">
        <v>7882</v>
      </c>
      <c r="I74">
        <v>12</v>
      </c>
      <c r="J74">
        <v>70</v>
      </c>
      <c r="K74">
        <v>28</v>
      </c>
      <c r="L74" t="s">
        <v>7941</v>
      </c>
      <c r="M74">
        <v>3079</v>
      </c>
    </row>
    <row r="75" spans="1:13" x14ac:dyDescent="0.25">
      <c r="A75" t="s">
        <v>8716</v>
      </c>
      <c r="B75">
        <v>1</v>
      </c>
      <c r="C75" t="s">
        <v>7944</v>
      </c>
      <c r="D75">
        <v>358</v>
      </c>
      <c r="E75" t="s">
        <v>32</v>
      </c>
      <c r="F75">
        <v>3</v>
      </c>
      <c r="G75">
        <v>-10</v>
      </c>
      <c r="H75" t="s">
        <v>7882</v>
      </c>
      <c r="I75">
        <v>12</v>
      </c>
      <c r="J75">
        <v>70</v>
      </c>
      <c r="K75">
        <v>28</v>
      </c>
      <c r="L75" t="s">
        <v>7943</v>
      </c>
      <c r="M75">
        <v>3079</v>
      </c>
    </row>
    <row r="76" spans="1:13" x14ac:dyDescent="0.25">
      <c r="A76" t="s">
        <v>8717</v>
      </c>
      <c r="B76">
        <v>1</v>
      </c>
      <c r="C76" t="s">
        <v>7946</v>
      </c>
      <c r="D76">
        <v>358</v>
      </c>
      <c r="E76" t="s">
        <v>32</v>
      </c>
      <c r="F76">
        <v>3</v>
      </c>
      <c r="G76">
        <v>-5</v>
      </c>
      <c r="H76" t="s">
        <v>7882</v>
      </c>
      <c r="I76">
        <v>12</v>
      </c>
      <c r="J76">
        <v>70</v>
      </c>
      <c r="K76">
        <v>28</v>
      </c>
      <c r="L76" t="s">
        <v>7945</v>
      </c>
      <c r="M76">
        <v>3079</v>
      </c>
    </row>
    <row r="77" spans="1:13" x14ac:dyDescent="0.25">
      <c r="A77" t="s">
        <v>8718</v>
      </c>
      <c r="B77">
        <v>1</v>
      </c>
      <c r="C77" t="s">
        <v>7948</v>
      </c>
      <c r="D77">
        <v>358</v>
      </c>
      <c r="E77" t="s">
        <v>32</v>
      </c>
      <c r="F77">
        <v>3</v>
      </c>
      <c r="G77">
        <v>0</v>
      </c>
      <c r="H77" t="s">
        <v>7882</v>
      </c>
      <c r="I77">
        <v>12</v>
      </c>
      <c r="J77">
        <v>70</v>
      </c>
      <c r="K77">
        <v>28</v>
      </c>
      <c r="L77" t="s">
        <v>7947</v>
      </c>
      <c r="M77">
        <v>3079</v>
      </c>
    </row>
    <row r="78" spans="1:13" x14ac:dyDescent="0.25">
      <c r="A78" t="s">
        <v>8859</v>
      </c>
      <c r="B78">
        <v>1</v>
      </c>
      <c r="C78" t="s">
        <v>8230</v>
      </c>
      <c r="D78">
        <v>943</v>
      </c>
      <c r="E78" t="s">
        <v>22</v>
      </c>
      <c r="F78">
        <v>6</v>
      </c>
      <c r="G78">
        <v>-15</v>
      </c>
      <c r="H78" t="s">
        <v>7882</v>
      </c>
      <c r="I78">
        <v>6</v>
      </c>
      <c r="J78">
        <v>138</v>
      </c>
      <c r="K78">
        <v>33</v>
      </c>
      <c r="L78" t="s">
        <v>8229</v>
      </c>
      <c r="M78">
        <v>2876</v>
      </c>
    </row>
    <row r="79" spans="1:13" x14ac:dyDescent="0.25">
      <c r="A79" t="s">
        <v>8860</v>
      </c>
      <c r="B79">
        <v>1</v>
      </c>
      <c r="C79" t="s">
        <v>8232</v>
      </c>
      <c r="D79">
        <v>943</v>
      </c>
      <c r="E79" t="s">
        <v>22</v>
      </c>
      <c r="F79">
        <v>6</v>
      </c>
      <c r="G79">
        <v>-10</v>
      </c>
      <c r="H79" t="s">
        <v>7882</v>
      </c>
      <c r="I79">
        <v>6</v>
      </c>
      <c r="J79">
        <v>138</v>
      </c>
      <c r="K79">
        <v>33</v>
      </c>
      <c r="L79" t="s">
        <v>8231</v>
      </c>
      <c r="M79">
        <v>2876</v>
      </c>
    </row>
    <row r="80" spans="1:13" x14ac:dyDescent="0.25">
      <c r="A80" t="s">
        <v>8861</v>
      </c>
      <c r="B80">
        <v>1</v>
      </c>
      <c r="C80" t="s">
        <v>8234</v>
      </c>
      <c r="D80">
        <v>943</v>
      </c>
      <c r="E80" t="s">
        <v>22</v>
      </c>
      <c r="F80">
        <v>6</v>
      </c>
      <c r="G80">
        <v>-5</v>
      </c>
      <c r="H80" t="s">
        <v>7882</v>
      </c>
      <c r="I80">
        <v>6</v>
      </c>
      <c r="J80">
        <v>138</v>
      </c>
      <c r="K80">
        <v>33</v>
      </c>
      <c r="L80" t="s">
        <v>8233</v>
      </c>
      <c r="M80">
        <v>2876</v>
      </c>
    </row>
    <row r="81" spans="1:13" x14ac:dyDescent="0.25">
      <c r="A81" t="s">
        <v>8862</v>
      </c>
      <c r="B81">
        <v>1</v>
      </c>
      <c r="C81" t="s">
        <v>8236</v>
      </c>
      <c r="D81">
        <v>943</v>
      </c>
      <c r="E81" t="s">
        <v>22</v>
      </c>
      <c r="F81">
        <v>6</v>
      </c>
      <c r="G81">
        <v>0</v>
      </c>
      <c r="H81" t="s">
        <v>7882</v>
      </c>
      <c r="I81">
        <v>6</v>
      </c>
      <c r="J81">
        <v>138</v>
      </c>
      <c r="K81">
        <v>33</v>
      </c>
      <c r="L81" t="s">
        <v>8235</v>
      </c>
      <c r="M81">
        <v>2876</v>
      </c>
    </row>
    <row r="82" spans="1:13" x14ac:dyDescent="0.25">
      <c r="A82" t="s">
        <v>8783</v>
      </c>
      <c r="B82">
        <v>1</v>
      </c>
      <c r="C82" t="s">
        <v>8078</v>
      </c>
      <c r="D82">
        <v>165</v>
      </c>
      <c r="E82" t="s">
        <v>29</v>
      </c>
      <c r="F82">
        <v>6</v>
      </c>
      <c r="G82">
        <v>-15</v>
      </c>
      <c r="H82" t="s">
        <v>7882</v>
      </c>
      <c r="I82">
        <v>2</v>
      </c>
      <c r="J82">
        <v>110</v>
      </c>
      <c r="K82">
        <v>33</v>
      </c>
      <c r="L82" t="s">
        <v>8077</v>
      </c>
      <c r="M82">
        <v>933</v>
      </c>
    </row>
    <row r="83" spans="1:13" x14ac:dyDescent="0.25">
      <c r="A83" t="s">
        <v>8784</v>
      </c>
      <c r="B83">
        <v>1</v>
      </c>
      <c r="C83" t="s">
        <v>8080</v>
      </c>
      <c r="D83">
        <v>165</v>
      </c>
      <c r="E83" t="s">
        <v>29</v>
      </c>
      <c r="F83">
        <v>6</v>
      </c>
      <c r="G83">
        <v>-10</v>
      </c>
      <c r="H83" t="s">
        <v>7882</v>
      </c>
      <c r="I83">
        <v>2</v>
      </c>
      <c r="J83">
        <v>110</v>
      </c>
      <c r="K83">
        <v>33</v>
      </c>
      <c r="L83" t="s">
        <v>8079</v>
      </c>
      <c r="M83">
        <v>933</v>
      </c>
    </row>
    <row r="84" spans="1:13" x14ac:dyDescent="0.25">
      <c r="A84" t="s">
        <v>8785</v>
      </c>
      <c r="B84">
        <v>1</v>
      </c>
      <c r="C84" t="s">
        <v>8082</v>
      </c>
      <c r="D84">
        <v>165</v>
      </c>
      <c r="E84" t="s">
        <v>29</v>
      </c>
      <c r="F84">
        <v>6</v>
      </c>
      <c r="G84">
        <v>-5</v>
      </c>
      <c r="H84" t="s">
        <v>7882</v>
      </c>
      <c r="I84">
        <v>2</v>
      </c>
      <c r="J84">
        <v>110</v>
      </c>
      <c r="K84">
        <v>33</v>
      </c>
      <c r="L84" t="s">
        <v>8081</v>
      </c>
      <c r="M84">
        <v>933</v>
      </c>
    </row>
    <row r="85" spans="1:13" x14ac:dyDescent="0.25">
      <c r="A85" t="s">
        <v>8786</v>
      </c>
      <c r="B85">
        <v>1</v>
      </c>
      <c r="C85" t="s">
        <v>8084</v>
      </c>
      <c r="D85">
        <v>165</v>
      </c>
      <c r="E85" t="s">
        <v>29</v>
      </c>
      <c r="F85">
        <v>6</v>
      </c>
      <c r="G85">
        <v>0</v>
      </c>
      <c r="H85" t="s">
        <v>7882</v>
      </c>
      <c r="I85">
        <v>2</v>
      </c>
      <c r="J85">
        <v>110</v>
      </c>
      <c r="K85">
        <v>33</v>
      </c>
      <c r="L85" t="s">
        <v>8083</v>
      </c>
      <c r="M85">
        <v>933</v>
      </c>
    </row>
    <row r="86" spans="1:13" x14ac:dyDescent="0.25">
      <c r="A86" t="s">
        <v>8943</v>
      </c>
      <c r="B86">
        <v>1</v>
      </c>
      <c r="C86" t="s">
        <v>8398</v>
      </c>
      <c r="D86">
        <v>424</v>
      </c>
      <c r="E86" t="s">
        <v>25</v>
      </c>
      <c r="F86">
        <v>6</v>
      </c>
      <c r="G86">
        <v>-15</v>
      </c>
      <c r="H86" t="s">
        <v>7882</v>
      </c>
      <c r="I86">
        <v>14</v>
      </c>
      <c r="J86">
        <v>136</v>
      </c>
      <c r="K86">
        <v>34</v>
      </c>
      <c r="L86" t="s">
        <v>8397</v>
      </c>
      <c r="M86">
        <v>961</v>
      </c>
    </row>
    <row r="87" spans="1:13" x14ac:dyDescent="0.25">
      <c r="A87" t="s">
        <v>8944</v>
      </c>
      <c r="B87">
        <v>1</v>
      </c>
      <c r="C87" t="s">
        <v>8400</v>
      </c>
      <c r="D87">
        <v>424</v>
      </c>
      <c r="E87" t="s">
        <v>25</v>
      </c>
      <c r="F87">
        <v>6</v>
      </c>
      <c r="G87">
        <v>-10</v>
      </c>
      <c r="H87" t="s">
        <v>7882</v>
      </c>
      <c r="I87">
        <v>14</v>
      </c>
      <c r="J87">
        <v>136</v>
      </c>
      <c r="K87">
        <v>34</v>
      </c>
      <c r="L87" t="s">
        <v>8399</v>
      </c>
      <c r="M87">
        <v>961</v>
      </c>
    </row>
    <row r="88" spans="1:13" x14ac:dyDescent="0.25">
      <c r="A88" t="s">
        <v>8945</v>
      </c>
      <c r="B88">
        <v>1</v>
      </c>
      <c r="C88" t="s">
        <v>8402</v>
      </c>
      <c r="D88">
        <v>424</v>
      </c>
      <c r="E88" t="s">
        <v>25</v>
      </c>
      <c r="F88">
        <v>6</v>
      </c>
      <c r="G88">
        <v>-5</v>
      </c>
      <c r="H88" t="s">
        <v>7882</v>
      </c>
      <c r="I88">
        <v>14</v>
      </c>
      <c r="J88">
        <v>136</v>
      </c>
      <c r="K88">
        <v>34</v>
      </c>
      <c r="L88" t="s">
        <v>8401</v>
      </c>
      <c r="M88">
        <v>961</v>
      </c>
    </row>
    <row r="89" spans="1:13" x14ac:dyDescent="0.25">
      <c r="A89" t="s">
        <v>8946</v>
      </c>
      <c r="B89">
        <v>1</v>
      </c>
      <c r="C89" t="s">
        <v>8404</v>
      </c>
      <c r="D89">
        <v>424</v>
      </c>
      <c r="E89" t="s">
        <v>25</v>
      </c>
      <c r="F89">
        <v>6</v>
      </c>
      <c r="G89">
        <v>0</v>
      </c>
      <c r="H89" t="s">
        <v>7882</v>
      </c>
      <c r="I89">
        <v>14</v>
      </c>
      <c r="J89">
        <v>136</v>
      </c>
      <c r="K89">
        <v>34</v>
      </c>
      <c r="L89" t="s">
        <v>8403</v>
      </c>
      <c r="M89">
        <v>961</v>
      </c>
    </row>
    <row r="90" spans="1:13" x14ac:dyDescent="0.25">
      <c r="A90" t="s">
        <v>8863</v>
      </c>
      <c r="B90">
        <v>1</v>
      </c>
      <c r="C90" t="s">
        <v>8238</v>
      </c>
      <c r="D90">
        <v>988</v>
      </c>
      <c r="E90" t="s">
        <v>22</v>
      </c>
      <c r="F90">
        <v>6</v>
      </c>
      <c r="G90">
        <v>-15</v>
      </c>
      <c r="H90" t="s">
        <v>7882</v>
      </c>
      <c r="I90">
        <v>6</v>
      </c>
      <c r="J90">
        <v>232</v>
      </c>
      <c r="K90">
        <v>34</v>
      </c>
      <c r="L90" t="s">
        <v>8237</v>
      </c>
      <c r="M90">
        <v>3250</v>
      </c>
    </row>
    <row r="91" spans="1:13" x14ac:dyDescent="0.25">
      <c r="A91" t="s">
        <v>8864</v>
      </c>
      <c r="B91">
        <v>1</v>
      </c>
      <c r="C91" t="s">
        <v>8240</v>
      </c>
      <c r="D91">
        <v>988</v>
      </c>
      <c r="E91" t="s">
        <v>22</v>
      </c>
      <c r="F91">
        <v>6</v>
      </c>
      <c r="G91">
        <v>-10</v>
      </c>
      <c r="H91" t="s">
        <v>7882</v>
      </c>
      <c r="I91">
        <v>6</v>
      </c>
      <c r="J91">
        <v>232</v>
      </c>
      <c r="K91">
        <v>34</v>
      </c>
      <c r="L91" t="s">
        <v>8239</v>
      </c>
      <c r="M91">
        <v>3250</v>
      </c>
    </row>
    <row r="92" spans="1:13" x14ac:dyDescent="0.25">
      <c r="A92" t="s">
        <v>8865</v>
      </c>
      <c r="B92">
        <v>1</v>
      </c>
      <c r="C92" t="s">
        <v>8242</v>
      </c>
      <c r="D92">
        <v>988</v>
      </c>
      <c r="E92" t="s">
        <v>22</v>
      </c>
      <c r="F92">
        <v>6</v>
      </c>
      <c r="G92">
        <v>-5</v>
      </c>
      <c r="H92" t="s">
        <v>7882</v>
      </c>
      <c r="I92">
        <v>6</v>
      </c>
      <c r="J92">
        <v>232</v>
      </c>
      <c r="K92">
        <v>34</v>
      </c>
      <c r="L92" t="s">
        <v>8241</v>
      </c>
      <c r="M92">
        <v>3250</v>
      </c>
    </row>
    <row r="93" spans="1:13" x14ac:dyDescent="0.25">
      <c r="A93" t="s">
        <v>8866</v>
      </c>
      <c r="B93">
        <v>1</v>
      </c>
      <c r="C93" t="s">
        <v>8244</v>
      </c>
      <c r="D93">
        <v>988</v>
      </c>
      <c r="E93" t="s">
        <v>22</v>
      </c>
      <c r="F93">
        <v>6</v>
      </c>
      <c r="G93">
        <v>0</v>
      </c>
      <c r="H93" t="s">
        <v>7882</v>
      </c>
      <c r="I93">
        <v>6</v>
      </c>
      <c r="J93">
        <v>232</v>
      </c>
      <c r="K93">
        <v>34</v>
      </c>
      <c r="L93" t="s">
        <v>8243</v>
      </c>
      <c r="M93">
        <v>3250</v>
      </c>
    </row>
    <row r="94" spans="1:13" x14ac:dyDescent="0.25">
      <c r="A94" t="s">
        <v>8947</v>
      </c>
      <c r="B94">
        <v>1</v>
      </c>
      <c r="C94" t="s">
        <v>8406</v>
      </c>
      <c r="D94">
        <v>1062</v>
      </c>
      <c r="E94" t="s">
        <v>25</v>
      </c>
      <c r="F94">
        <v>6</v>
      </c>
      <c r="G94">
        <v>-15</v>
      </c>
      <c r="H94" t="s">
        <v>7882</v>
      </c>
      <c r="I94">
        <v>14</v>
      </c>
      <c r="J94">
        <v>174</v>
      </c>
      <c r="K94">
        <v>35</v>
      </c>
      <c r="L94" t="s">
        <v>8405</v>
      </c>
      <c r="M94">
        <v>3241</v>
      </c>
    </row>
    <row r="95" spans="1:13" x14ac:dyDescent="0.25">
      <c r="A95" t="s">
        <v>8948</v>
      </c>
      <c r="B95">
        <v>1</v>
      </c>
      <c r="C95" t="s">
        <v>8408</v>
      </c>
      <c r="D95">
        <v>1062</v>
      </c>
      <c r="E95" t="s">
        <v>25</v>
      </c>
      <c r="F95">
        <v>6</v>
      </c>
      <c r="G95">
        <v>-10</v>
      </c>
      <c r="H95" t="s">
        <v>7882</v>
      </c>
      <c r="I95">
        <v>14</v>
      </c>
      <c r="J95">
        <v>174</v>
      </c>
      <c r="K95">
        <v>35</v>
      </c>
      <c r="L95" t="s">
        <v>8407</v>
      </c>
      <c r="M95">
        <v>3241</v>
      </c>
    </row>
    <row r="96" spans="1:13" x14ac:dyDescent="0.25">
      <c r="A96" t="s">
        <v>8949</v>
      </c>
      <c r="B96">
        <v>1</v>
      </c>
      <c r="C96" t="s">
        <v>8410</v>
      </c>
      <c r="D96">
        <v>1062</v>
      </c>
      <c r="E96" t="s">
        <v>25</v>
      </c>
      <c r="F96">
        <v>6</v>
      </c>
      <c r="G96">
        <v>-5</v>
      </c>
      <c r="H96" t="s">
        <v>7882</v>
      </c>
      <c r="I96">
        <v>14</v>
      </c>
      <c r="J96">
        <v>174</v>
      </c>
      <c r="K96">
        <v>35</v>
      </c>
      <c r="L96" t="s">
        <v>8409</v>
      </c>
      <c r="M96">
        <v>3241</v>
      </c>
    </row>
    <row r="97" spans="1:13" x14ac:dyDescent="0.25">
      <c r="A97" t="s">
        <v>8950</v>
      </c>
      <c r="B97">
        <v>1</v>
      </c>
      <c r="C97" t="s">
        <v>8412</v>
      </c>
      <c r="D97">
        <v>1062</v>
      </c>
      <c r="E97" t="s">
        <v>25</v>
      </c>
      <c r="F97">
        <v>6</v>
      </c>
      <c r="G97">
        <v>0</v>
      </c>
      <c r="H97" t="s">
        <v>7882</v>
      </c>
      <c r="I97">
        <v>14</v>
      </c>
      <c r="J97">
        <v>174</v>
      </c>
      <c r="K97">
        <v>35</v>
      </c>
      <c r="L97" t="s">
        <v>8411</v>
      </c>
      <c r="M97">
        <v>3241</v>
      </c>
    </row>
    <row r="98" spans="1:13" x14ac:dyDescent="0.25">
      <c r="A98" t="s">
        <v>8787</v>
      </c>
      <c r="B98">
        <v>1</v>
      </c>
      <c r="C98" t="s">
        <v>8086</v>
      </c>
      <c r="D98">
        <v>852</v>
      </c>
      <c r="E98" t="s">
        <v>29</v>
      </c>
      <c r="F98">
        <v>3</v>
      </c>
      <c r="G98">
        <v>-15</v>
      </c>
      <c r="H98" t="s">
        <v>7882</v>
      </c>
      <c r="I98">
        <v>4</v>
      </c>
      <c r="J98">
        <v>86</v>
      </c>
      <c r="K98">
        <v>36</v>
      </c>
      <c r="L98" t="s">
        <v>8085</v>
      </c>
      <c r="M98">
        <v>3352</v>
      </c>
    </row>
    <row r="99" spans="1:13" x14ac:dyDescent="0.25">
      <c r="A99" t="s">
        <v>8788</v>
      </c>
      <c r="B99">
        <v>1</v>
      </c>
      <c r="C99" t="s">
        <v>8088</v>
      </c>
      <c r="D99">
        <v>852</v>
      </c>
      <c r="E99" t="s">
        <v>29</v>
      </c>
      <c r="F99">
        <v>3</v>
      </c>
      <c r="G99">
        <v>-10</v>
      </c>
      <c r="H99" t="s">
        <v>7882</v>
      </c>
      <c r="I99">
        <v>4</v>
      </c>
      <c r="J99">
        <v>86</v>
      </c>
      <c r="K99">
        <v>36</v>
      </c>
      <c r="L99" t="s">
        <v>8087</v>
      </c>
      <c r="M99">
        <v>3352</v>
      </c>
    </row>
    <row r="100" spans="1:13" x14ac:dyDescent="0.25">
      <c r="A100" t="s">
        <v>8789</v>
      </c>
      <c r="B100">
        <v>1</v>
      </c>
      <c r="C100" t="s">
        <v>8090</v>
      </c>
      <c r="D100">
        <v>852</v>
      </c>
      <c r="E100" t="s">
        <v>29</v>
      </c>
      <c r="F100">
        <v>3</v>
      </c>
      <c r="G100">
        <v>-5</v>
      </c>
      <c r="H100" t="s">
        <v>7882</v>
      </c>
      <c r="I100">
        <v>4</v>
      </c>
      <c r="J100">
        <v>86</v>
      </c>
      <c r="K100">
        <v>36</v>
      </c>
      <c r="L100" t="s">
        <v>8089</v>
      </c>
      <c r="M100">
        <v>3352</v>
      </c>
    </row>
    <row r="101" spans="1:13" x14ac:dyDescent="0.25">
      <c r="A101" t="s">
        <v>8790</v>
      </c>
      <c r="B101">
        <v>1</v>
      </c>
      <c r="C101" t="s">
        <v>8092</v>
      </c>
      <c r="D101">
        <v>852</v>
      </c>
      <c r="E101" t="s">
        <v>29</v>
      </c>
      <c r="F101">
        <v>3</v>
      </c>
      <c r="G101">
        <v>0</v>
      </c>
      <c r="H101" t="s">
        <v>7882</v>
      </c>
      <c r="I101">
        <v>4</v>
      </c>
      <c r="J101">
        <v>86</v>
      </c>
      <c r="K101">
        <v>36</v>
      </c>
      <c r="L101" t="s">
        <v>8091</v>
      </c>
      <c r="M101">
        <v>3352</v>
      </c>
    </row>
    <row r="102" spans="1:13" x14ac:dyDescent="0.25">
      <c r="A102" t="s">
        <v>8951</v>
      </c>
      <c r="B102">
        <v>1</v>
      </c>
      <c r="C102" t="s">
        <v>8414</v>
      </c>
      <c r="D102">
        <v>961</v>
      </c>
      <c r="E102" t="s">
        <v>25</v>
      </c>
      <c r="F102">
        <v>6</v>
      </c>
      <c r="G102">
        <v>-15</v>
      </c>
      <c r="H102" t="s">
        <v>7882</v>
      </c>
      <c r="I102">
        <v>14</v>
      </c>
      <c r="J102">
        <v>180</v>
      </c>
      <c r="K102">
        <v>37</v>
      </c>
      <c r="L102" t="s">
        <v>8413</v>
      </c>
      <c r="M102">
        <v>2486</v>
      </c>
    </row>
    <row r="103" spans="1:13" x14ac:dyDescent="0.25">
      <c r="A103" t="s">
        <v>8952</v>
      </c>
      <c r="B103">
        <v>1</v>
      </c>
      <c r="C103" t="s">
        <v>8416</v>
      </c>
      <c r="D103">
        <v>961</v>
      </c>
      <c r="E103" t="s">
        <v>25</v>
      </c>
      <c r="F103">
        <v>6</v>
      </c>
      <c r="G103">
        <v>-10</v>
      </c>
      <c r="H103" t="s">
        <v>7882</v>
      </c>
      <c r="I103">
        <v>14</v>
      </c>
      <c r="J103">
        <v>180</v>
      </c>
      <c r="K103">
        <v>37</v>
      </c>
      <c r="L103" t="s">
        <v>8415</v>
      </c>
      <c r="M103">
        <v>2486</v>
      </c>
    </row>
    <row r="104" spans="1:13" x14ac:dyDescent="0.25">
      <c r="A104" t="s">
        <v>8953</v>
      </c>
      <c r="B104">
        <v>1</v>
      </c>
      <c r="C104" t="s">
        <v>8418</v>
      </c>
      <c r="D104">
        <v>961</v>
      </c>
      <c r="E104" t="s">
        <v>25</v>
      </c>
      <c r="F104">
        <v>6</v>
      </c>
      <c r="G104">
        <v>-5</v>
      </c>
      <c r="H104" t="s">
        <v>7882</v>
      </c>
      <c r="I104">
        <v>14</v>
      </c>
      <c r="J104">
        <v>180</v>
      </c>
      <c r="K104">
        <v>37</v>
      </c>
      <c r="L104" t="s">
        <v>8417</v>
      </c>
      <c r="M104">
        <v>2486</v>
      </c>
    </row>
    <row r="105" spans="1:13" x14ac:dyDescent="0.25">
      <c r="A105" t="s">
        <v>8954</v>
      </c>
      <c r="B105">
        <v>1</v>
      </c>
      <c r="C105" t="s">
        <v>8420</v>
      </c>
      <c r="D105">
        <v>961</v>
      </c>
      <c r="E105" t="s">
        <v>25</v>
      </c>
      <c r="F105">
        <v>6</v>
      </c>
      <c r="G105">
        <v>0</v>
      </c>
      <c r="H105" t="s">
        <v>7882</v>
      </c>
      <c r="I105">
        <v>14</v>
      </c>
      <c r="J105">
        <v>180</v>
      </c>
      <c r="K105">
        <v>37</v>
      </c>
      <c r="L105" t="s">
        <v>8419</v>
      </c>
      <c r="M105">
        <v>2486</v>
      </c>
    </row>
    <row r="106" spans="1:13" x14ac:dyDescent="0.25">
      <c r="A106" t="s">
        <v>8867</v>
      </c>
      <c r="B106">
        <v>1</v>
      </c>
      <c r="C106" t="s">
        <v>8246</v>
      </c>
      <c r="D106">
        <v>267</v>
      </c>
      <c r="E106" t="s">
        <v>22</v>
      </c>
      <c r="F106">
        <v>6</v>
      </c>
      <c r="G106">
        <v>-15</v>
      </c>
      <c r="H106" t="s">
        <v>7882</v>
      </c>
      <c r="I106">
        <v>6</v>
      </c>
      <c r="J106">
        <v>230</v>
      </c>
      <c r="K106">
        <v>37</v>
      </c>
      <c r="L106" t="s">
        <v>8245</v>
      </c>
      <c r="M106">
        <v>882</v>
      </c>
    </row>
    <row r="107" spans="1:13" x14ac:dyDescent="0.25">
      <c r="A107" t="s">
        <v>8868</v>
      </c>
      <c r="B107">
        <v>1</v>
      </c>
      <c r="C107" t="s">
        <v>8248</v>
      </c>
      <c r="D107">
        <v>267</v>
      </c>
      <c r="E107" t="s">
        <v>22</v>
      </c>
      <c r="F107">
        <v>6</v>
      </c>
      <c r="G107">
        <v>-10</v>
      </c>
      <c r="H107" t="s">
        <v>7882</v>
      </c>
      <c r="I107">
        <v>6</v>
      </c>
      <c r="J107">
        <v>230</v>
      </c>
      <c r="K107">
        <v>37</v>
      </c>
      <c r="L107" t="s">
        <v>8247</v>
      </c>
      <c r="M107">
        <v>882</v>
      </c>
    </row>
    <row r="108" spans="1:13" x14ac:dyDescent="0.25">
      <c r="A108" t="s">
        <v>8869</v>
      </c>
      <c r="B108">
        <v>1</v>
      </c>
      <c r="C108" t="s">
        <v>8250</v>
      </c>
      <c r="D108">
        <v>267</v>
      </c>
      <c r="E108" t="s">
        <v>22</v>
      </c>
      <c r="F108">
        <v>6</v>
      </c>
      <c r="G108">
        <v>-5</v>
      </c>
      <c r="H108" t="s">
        <v>7882</v>
      </c>
      <c r="I108">
        <v>6</v>
      </c>
      <c r="J108">
        <v>230</v>
      </c>
      <c r="K108">
        <v>37</v>
      </c>
      <c r="L108" t="s">
        <v>8249</v>
      </c>
      <c r="M108">
        <v>882</v>
      </c>
    </row>
    <row r="109" spans="1:13" x14ac:dyDescent="0.25">
      <c r="A109" t="s">
        <v>8870</v>
      </c>
      <c r="B109">
        <v>1</v>
      </c>
      <c r="C109" t="s">
        <v>8252</v>
      </c>
      <c r="D109">
        <v>267</v>
      </c>
      <c r="E109" t="s">
        <v>22</v>
      </c>
      <c r="F109">
        <v>6</v>
      </c>
      <c r="G109">
        <v>0</v>
      </c>
      <c r="H109" t="s">
        <v>7882</v>
      </c>
      <c r="I109">
        <v>6</v>
      </c>
      <c r="J109">
        <v>230</v>
      </c>
      <c r="K109">
        <v>37</v>
      </c>
      <c r="L109" t="s">
        <v>8251</v>
      </c>
      <c r="M109">
        <v>882</v>
      </c>
    </row>
    <row r="110" spans="1:13" x14ac:dyDescent="0.25">
      <c r="A110" t="s">
        <v>8871</v>
      </c>
      <c r="B110">
        <v>1</v>
      </c>
      <c r="C110" t="s">
        <v>8254</v>
      </c>
      <c r="D110">
        <v>1064</v>
      </c>
      <c r="E110" t="s">
        <v>22</v>
      </c>
      <c r="F110">
        <v>6</v>
      </c>
      <c r="G110">
        <v>-15</v>
      </c>
      <c r="H110" t="s">
        <v>7882</v>
      </c>
      <c r="I110">
        <v>6</v>
      </c>
      <c r="J110">
        <v>194</v>
      </c>
      <c r="K110">
        <v>38</v>
      </c>
      <c r="L110" t="s">
        <v>8253</v>
      </c>
      <c r="M110">
        <v>3724</v>
      </c>
    </row>
    <row r="111" spans="1:13" x14ac:dyDescent="0.25">
      <c r="A111" t="s">
        <v>8872</v>
      </c>
      <c r="B111">
        <v>1</v>
      </c>
      <c r="C111" t="s">
        <v>8256</v>
      </c>
      <c r="D111">
        <v>1064</v>
      </c>
      <c r="E111" t="s">
        <v>22</v>
      </c>
      <c r="F111">
        <v>6</v>
      </c>
      <c r="G111">
        <v>-10</v>
      </c>
      <c r="H111" t="s">
        <v>7882</v>
      </c>
      <c r="I111">
        <v>6</v>
      </c>
      <c r="J111">
        <v>194</v>
      </c>
      <c r="K111">
        <v>38</v>
      </c>
      <c r="L111" t="s">
        <v>8255</v>
      </c>
      <c r="M111">
        <v>3724</v>
      </c>
    </row>
    <row r="112" spans="1:13" x14ac:dyDescent="0.25">
      <c r="A112" t="s">
        <v>8873</v>
      </c>
      <c r="B112">
        <v>1</v>
      </c>
      <c r="C112" t="s">
        <v>8258</v>
      </c>
      <c r="D112">
        <v>1064</v>
      </c>
      <c r="E112" t="s">
        <v>22</v>
      </c>
      <c r="F112">
        <v>6</v>
      </c>
      <c r="G112">
        <v>-5</v>
      </c>
      <c r="H112" t="s">
        <v>7882</v>
      </c>
      <c r="I112">
        <v>6</v>
      </c>
      <c r="J112">
        <v>194</v>
      </c>
      <c r="K112">
        <v>38</v>
      </c>
      <c r="L112" t="s">
        <v>8257</v>
      </c>
      <c r="M112">
        <v>3724</v>
      </c>
    </row>
    <row r="113" spans="1:13" x14ac:dyDescent="0.25">
      <c r="A113" t="s">
        <v>8874</v>
      </c>
      <c r="B113">
        <v>1</v>
      </c>
      <c r="C113" t="s">
        <v>8260</v>
      </c>
      <c r="D113">
        <v>1064</v>
      </c>
      <c r="E113" t="s">
        <v>22</v>
      </c>
      <c r="F113">
        <v>6</v>
      </c>
      <c r="G113">
        <v>0</v>
      </c>
      <c r="H113" t="s">
        <v>7882</v>
      </c>
      <c r="I113">
        <v>6</v>
      </c>
      <c r="J113">
        <v>194</v>
      </c>
      <c r="K113">
        <v>38</v>
      </c>
      <c r="L113" t="s">
        <v>8259</v>
      </c>
      <c r="M113">
        <v>3724</v>
      </c>
    </row>
    <row r="114" spans="1:13" x14ac:dyDescent="0.25">
      <c r="A114" t="s">
        <v>8875</v>
      </c>
      <c r="B114">
        <v>1</v>
      </c>
      <c r="C114" t="s">
        <v>8262</v>
      </c>
      <c r="D114">
        <v>987</v>
      </c>
      <c r="E114" t="s">
        <v>22</v>
      </c>
      <c r="F114">
        <v>6</v>
      </c>
      <c r="G114">
        <v>-15</v>
      </c>
      <c r="H114" t="s">
        <v>7882</v>
      </c>
      <c r="I114">
        <v>6</v>
      </c>
      <c r="J114">
        <v>130</v>
      </c>
      <c r="K114">
        <v>39</v>
      </c>
      <c r="L114" t="s">
        <v>8261</v>
      </c>
      <c r="M114">
        <v>3230</v>
      </c>
    </row>
    <row r="115" spans="1:13" x14ac:dyDescent="0.25">
      <c r="A115" t="s">
        <v>8876</v>
      </c>
      <c r="B115">
        <v>1</v>
      </c>
      <c r="C115" t="s">
        <v>8264</v>
      </c>
      <c r="D115">
        <v>987</v>
      </c>
      <c r="E115" t="s">
        <v>22</v>
      </c>
      <c r="F115">
        <v>6</v>
      </c>
      <c r="G115">
        <v>-10</v>
      </c>
      <c r="H115" t="s">
        <v>7882</v>
      </c>
      <c r="I115">
        <v>6</v>
      </c>
      <c r="J115">
        <v>130</v>
      </c>
      <c r="K115">
        <v>39</v>
      </c>
      <c r="L115" t="s">
        <v>8263</v>
      </c>
      <c r="M115">
        <v>3230</v>
      </c>
    </row>
    <row r="116" spans="1:13" x14ac:dyDescent="0.25">
      <c r="A116" t="s">
        <v>8877</v>
      </c>
      <c r="B116">
        <v>1</v>
      </c>
      <c r="C116" t="s">
        <v>8266</v>
      </c>
      <c r="D116">
        <v>987</v>
      </c>
      <c r="E116" t="s">
        <v>22</v>
      </c>
      <c r="F116">
        <v>6</v>
      </c>
      <c r="G116">
        <v>-5</v>
      </c>
      <c r="H116" t="s">
        <v>7882</v>
      </c>
      <c r="I116">
        <v>6</v>
      </c>
      <c r="J116">
        <v>130</v>
      </c>
      <c r="K116">
        <v>39</v>
      </c>
      <c r="L116" t="s">
        <v>8265</v>
      </c>
      <c r="M116">
        <v>3230</v>
      </c>
    </row>
    <row r="117" spans="1:13" x14ac:dyDescent="0.25">
      <c r="A117" t="s">
        <v>8878</v>
      </c>
      <c r="B117">
        <v>1</v>
      </c>
      <c r="C117" t="s">
        <v>8268</v>
      </c>
      <c r="D117">
        <v>987</v>
      </c>
      <c r="E117" t="s">
        <v>22</v>
      </c>
      <c r="F117">
        <v>6</v>
      </c>
      <c r="G117">
        <v>0</v>
      </c>
      <c r="H117" t="s">
        <v>7882</v>
      </c>
      <c r="I117">
        <v>6</v>
      </c>
      <c r="J117">
        <v>130</v>
      </c>
      <c r="K117">
        <v>39</v>
      </c>
      <c r="L117" t="s">
        <v>8267</v>
      </c>
      <c r="M117">
        <v>3230</v>
      </c>
    </row>
    <row r="118" spans="1:13" x14ac:dyDescent="0.25">
      <c r="A118" t="s">
        <v>8791</v>
      </c>
      <c r="B118">
        <v>1</v>
      </c>
      <c r="C118" t="s">
        <v>8094</v>
      </c>
      <c r="D118">
        <v>536</v>
      </c>
      <c r="E118" t="s">
        <v>29</v>
      </c>
      <c r="F118">
        <v>6</v>
      </c>
      <c r="G118">
        <v>-15</v>
      </c>
      <c r="H118" t="s">
        <v>7882</v>
      </c>
      <c r="I118">
        <v>2</v>
      </c>
      <c r="J118">
        <v>172</v>
      </c>
      <c r="K118">
        <v>39</v>
      </c>
      <c r="L118" t="s">
        <v>8093</v>
      </c>
      <c r="M118">
        <v>2639</v>
      </c>
    </row>
    <row r="119" spans="1:13" x14ac:dyDescent="0.25">
      <c r="A119" t="s">
        <v>8792</v>
      </c>
      <c r="B119">
        <v>1</v>
      </c>
      <c r="C119" t="s">
        <v>8096</v>
      </c>
      <c r="D119">
        <v>536</v>
      </c>
      <c r="E119" t="s">
        <v>29</v>
      </c>
      <c r="F119">
        <v>6</v>
      </c>
      <c r="G119">
        <v>-10</v>
      </c>
      <c r="H119" t="s">
        <v>7882</v>
      </c>
      <c r="I119">
        <v>2</v>
      </c>
      <c r="J119">
        <v>172</v>
      </c>
      <c r="K119">
        <v>39</v>
      </c>
      <c r="L119" t="s">
        <v>8095</v>
      </c>
      <c r="M119">
        <v>2639</v>
      </c>
    </row>
    <row r="120" spans="1:13" x14ac:dyDescent="0.25">
      <c r="A120" t="s">
        <v>8793</v>
      </c>
      <c r="B120">
        <v>1</v>
      </c>
      <c r="C120" t="s">
        <v>8098</v>
      </c>
      <c r="D120">
        <v>536</v>
      </c>
      <c r="E120" t="s">
        <v>29</v>
      </c>
      <c r="F120">
        <v>6</v>
      </c>
      <c r="G120">
        <v>-5</v>
      </c>
      <c r="H120" t="s">
        <v>7882</v>
      </c>
      <c r="I120">
        <v>2</v>
      </c>
      <c r="J120">
        <v>172</v>
      </c>
      <c r="K120">
        <v>39</v>
      </c>
      <c r="L120" t="s">
        <v>8097</v>
      </c>
      <c r="M120">
        <v>2639</v>
      </c>
    </row>
    <row r="121" spans="1:13" x14ac:dyDescent="0.25">
      <c r="A121" t="s">
        <v>8794</v>
      </c>
      <c r="B121">
        <v>1</v>
      </c>
      <c r="C121" t="s">
        <v>8100</v>
      </c>
      <c r="D121">
        <v>536</v>
      </c>
      <c r="E121" t="s">
        <v>29</v>
      </c>
      <c r="F121">
        <v>6</v>
      </c>
      <c r="G121">
        <v>0</v>
      </c>
      <c r="H121" t="s">
        <v>7882</v>
      </c>
      <c r="I121">
        <v>2</v>
      </c>
      <c r="J121">
        <v>172</v>
      </c>
      <c r="K121">
        <v>39</v>
      </c>
      <c r="L121" t="s">
        <v>8099</v>
      </c>
      <c r="M121">
        <v>2639</v>
      </c>
    </row>
    <row r="122" spans="1:13" x14ac:dyDescent="0.25">
      <c r="A122" t="s">
        <v>8719</v>
      </c>
      <c r="B122">
        <v>1</v>
      </c>
      <c r="C122" t="s">
        <v>7950</v>
      </c>
      <c r="D122">
        <v>453</v>
      </c>
      <c r="E122" t="s">
        <v>32</v>
      </c>
      <c r="F122">
        <v>6</v>
      </c>
      <c r="G122">
        <v>-15</v>
      </c>
      <c r="H122" t="s">
        <v>7882</v>
      </c>
      <c r="I122">
        <v>10</v>
      </c>
      <c r="J122">
        <v>104</v>
      </c>
      <c r="K122">
        <v>39</v>
      </c>
      <c r="L122" t="s">
        <v>7949</v>
      </c>
      <c r="M122">
        <v>3562</v>
      </c>
    </row>
    <row r="123" spans="1:13" x14ac:dyDescent="0.25">
      <c r="A123" t="s">
        <v>8720</v>
      </c>
      <c r="B123">
        <v>1</v>
      </c>
      <c r="C123" t="s">
        <v>7952</v>
      </c>
      <c r="D123">
        <v>453</v>
      </c>
      <c r="E123" t="s">
        <v>32</v>
      </c>
      <c r="F123">
        <v>6</v>
      </c>
      <c r="G123">
        <v>-10</v>
      </c>
      <c r="H123" t="s">
        <v>7882</v>
      </c>
      <c r="I123">
        <v>10</v>
      </c>
      <c r="J123">
        <v>104</v>
      </c>
      <c r="K123">
        <v>39</v>
      </c>
      <c r="L123" t="s">
        <v>7951</v>
      </c>
      <c r="M123">
        <v>3562</v>
      </c>
    </row>
    <row r="124" spans="1:13" x14ac:dyDescent="0.25">
      <c r="A124" t="s">
        <v>8721</v>
      </c>
      <c r="B124">
        <v>1</v>
      </c>
      <c r="C124" t="s">
        <v>7954</v>
      </c>
      <c r="D124">
        <v>453</v>
      </c>
      <c r="E124" t="s">
        <v>32</v>
      </c>
      <c r="F124">
        <v>6</v>
      </c>
      <c r="G124">
        <v>-5</v>
      </c>
      <c r="H124" t="s">
        <v>7882</v>
      </c>
      <c r="I124">
        <v>10</v>
      </c>
      <c r="J124">
        <v>104</v>
      </c>
      <c r="K124">
        <v>39</v>
      </c>
      <c r="L124" t="s">
        <v>7953</v>
      </c>
      <c r="M124">
        <v>3562</v>
      </c>
    </row>
    <row r="125" spans="1:13" x14ac:dyDescent="0.25">
      <c r="A125" t="s">
        <v>8722</v>
      </c>
      <c r="B125">
        <v>1</v>
      </c>
      <c r="C125" t="s">
        <v>7956</v>
      </c>
      <c r="D125">
        <v>453</v>
      </c>
      <c r="E125" t="s">
        <v>32</v>
      </c>
      <c r="F125">
        <v>6</v>
      </c>
      <c r="G125">
        <v>0</v>
      </c>
      <c r="H125" t="s">
        <v>7882</v>
      </c>
      <c r="I125">
        <v>10</v>
      </c>
      <c r="J125">
        <v>104</v>
      </c>
      <c r="K125">
        <v>39</v>
      </c>
      <c r="L125" t="s">
        <v>7955</v>
      </c>
      <c r="M125">
        <v>3562</v>
      </c>
    </row>
    <row r="126" spans="1:13" x14ac:dyDescent="0.25">
      <c r="A126" t="s">
        <v>8723</v>
      </c>
      <c r="B126">
        <v>1</v>
      </c>
      <c r="C126" t="s">
        <v>7958</v>
      </c>
      <c r="D126">
        <v>470</v>
      </c>
      <c r="E126" t="s">
        <v>32</v>
      </c>
      <c r="F126">
        <v>3</v>
      </c>
      <c r="G126">
        <v>-15</v>
      </c>
      <c r="H126" t="s">
        <v>7882</v>
      </c>
      <c r="I126">
        <v>12</v>
      </c>
      <c r="J126">
        <v>114</v>
      </c>
      <c r="K126">
        <v>40</v>
      </c>
      <c r="L126" t="s">
        <v>7957</v>
      </c>
      <c r="M126">
        <v>3703</v>
      </c>
    </row>
    <row r="127" spans="1:13" x14ac:dyDescent="0.25">
      <c r="A127" t="s">
        <v>8724</v>
      </c>
      <c r="B127">
        <v>1</v>
      </c>
      <c r="C127" t="s">
        <v>7960</v>
      </c>
      <c r="D127">
        <v>470</v>
      </c>
      <c r="E127" t="s">
        <v>32</v>
      </c>
      <c r="F127">
        <v>3</v>
      </c>
      <c r="G127">
        <v>-10</v>
      </c>
      <c r="H127" t="s">
        <v>7882</v>
      </c>
      <c r="I127">
        <v>12</v>
      </c>
      <c r="J127">
        <v>114</v>
      </c>
      <c r="K127">
        <v>40</v>
      </c>
      <c r="L127" t="s">
        <v>7959</v>
      </c>
      <c r="M127">
        <v>3703</v>
      </c>
    </row>
    <row r="128" spans="1:13" x14ac:dyDescent="0.25">
      <c r="A128" t="s">
        <v>8725</v>
      </c>
      <c r="B128">
        <v>1</v>
      </c>
      <c r="C128" t="s">
        <v>7962</v>
      </c>
      <c r="D128">
        <v>470</v>
      </c>
      <c r="E128" t="s">
        <v>32</v>
      </c>
      <c r="F128">
        <v>3</v>
      </c>
      <c r="G128">
        <v>-5</v>
      </c>
      <c r="H128" t="s">
        <v>7882</v>
      </c>
      <c r="I128">
        <v>12</v>
      </c>
      <c r="J128">
        <v>114</v>
      </c>
      <c r="K128">
        <v>40</v>
      </c>
      <c r="L128" t="s">
        <v>7961</v>
      </c>
      <c r="M128">
        <v>3703</v>
      </c>
    </row>
    <row r="129" spans="1:13" x14ac:dyDescent="0.25">
      <c r="A129" t="s">
        <v>8726</v>
      </c>
      <c r="B129">
        <v>1</v>
      </c>
      <c r="C129" t="s">
        <v>7964</v>
      </c>
      <c r="D129">
        <v>470</v>
      </c>
      <c r="E129" t="s">
        <v>32</v>
      </c>
      <c r="F129">
        <v>3</v>
      </c>
      <c r="G129">
        <v>0</v>
      </c>
      <c r="H129" t="s">
        <v>7882</v>
      </c>
      <c r="I129">
        <v>12</v>
      </c>
      <c r="J129">
        <v>114</v>
      </c>
      <c r="K129">
        <v>40</v>
      </c>
      <c r="L129" t="s">
        <v>7963</v>
      </c>
      <c r="M129">
        <v>3703</v>
      </c>
    </row>
    <row r="130" spans="1:13" x14ac:dyDescent="0.25">
      <c r="A130" t="s">
        <v>8879</v>
      </c>
      <c r="B130">
        <v>1</v>
      </c>
      <c r="C130" t="s">
        <v>8270</v>
      </c>
      <c r="D130">
        <v>249</v>
      </c>
      <c r="E130" t="s">
        <v>22</v>
      </c>
      <c r="F130">
        <v>3</v>
      </c>
      <c r="G130">
        <v>-15</v>
      </c>
      <c r="H130" t="s">
        <v>7882</v>
      </c>
      <c r="I130">
        <v>8</v>
      </c>
      <c r="J130">
        <v>182</v>
      </c>
      <c r="K130">
        <v>41</v>
      </c>
      <c r="L130" t="s">
        <v>8269</v>
      </c>
      <c r="M130">
        <v>820</v>
      </c>
    </row>
    <row r="131" spans="1:13" x14ac:dyDescent="0.25">
      <c r="A131" t="s">
        <v>8880</v>
      </c>
      <c r="B131">
        <v>1</v>
      </c>
      <c r="C131" t="s">
        <v>8272</v>
      </c>
      <c r="D131">
        <v>249</v>
      </c>
      <c r="E131" t="s">
        <v>22</v>
      </c>
      <c r="F131">
        <v>3</v>
      </c>
      <c r="G131">
        <v>-10</v>
      </c>
      <c r="H131" t="s">
        <v>7882</v>
      </c>
      <c r="I131">
        <v>8</v>
      </c>
      <c r="J131">
        <v>182</v>
      </c>
      <c r="K131">
        <v>41</v>
      </c>
      <c r="L131" t="s">
        <v>8271</v>
      </c>
      <c r="M131">
        <v>820</v>
      </c>
    </row>
    <row r="132" spans="1:13" x14ac:dyDescent="0.25">
      <c r="A132" t="s">
        <v>8881</v>
      </c>
      <c r="B132">
        <v>1</v>
      </c>
      <c r="C132" t="s">
        <v>8274</v>
      </c>
      <c r="D132">
        <v>249</v>
      </c>
      <c r="E132" t="s">
        <v>22</v>
      </c>
      <c r="F132">
        <v>3</v>
      </c>
      <c r="G132">
        <v>-5</v>
      </c>
      <c r="H132" t="s">
        <v>7882</v>
      </c>
      <c r="I132">
        <v>8</v>
      </c>
      <c r="J132">
        <v>182</v>
      </c>
      <c r="K132">
        <v>41</v>
      </c>
      <c r="L132" t="s">
        <v>8273</v>
      </c>
      <c r="M132">
        <v>820</v>
      </c>
    </row>
    <row r="133" spans="1:13" x14ac:dyDescent="0.25">
      <c r="A133" t="s">
        <v>8882</v>
      </c>
      <c r="B133">
        <v>1</v>
      </c>
      <c r="C133" t="s">
        <v>8276</v>
      </c>
      <c r="D133">
        <v>249</v>
      </c>
      <c r="E133" t="s">
        <v>22</v>
      </c>
      <c r="F133">
        <v>3</v>
      </c>
      <c r="G133">
        <v>0</v>
      </c>
      <c r="H133" t="s">
        <v>7882</v>
      </c>
      <c r="I133">
        <v>8</v>
      </c>
      <c r="J133">
        <v>182</v>
      </c>
      <c r="K133">
        <v>41</v>
      </c>
      <c r="L133" t="s">
        <v>8275</v>
      </c>
      <c r="M133">
        <v>820</v>
      </c>
    </row>
    <row r="134" spans="1:13" x14ac:dyDescent="0.25">
      <c r="A134" t="s">
        <v>8727</v>
      </c>
      <c r="B134">
        <v>1</v>
      </c>
      <c r="C134" t="s">
        <v>7966</v>
      </c>
      <c r="D134">
        <v>180</v>
      </c>
      <c r="E134" t="s">
        <v>32</v>
      </c>
      <c r="F134">
        <v>3</v>
      </c>
      <c r="G134">
        <v>-15</v>
      </c>
      <c r="H134" t="s">
        <v>7882</v>
      </c>
      <c r="I134">
        <v>12</v>
      </c>
      <c r="J134">
        <v>102</v>
      </c>
      <c r="K134">
        <v>42</v>
      </c>
      <c r="L134" t="s">
        <v>7965</v>
      </c>
      <c r="M134">
        <v>1924</v>
      </c>
    </row>
    <row r="135" spans="1:13" x14ac:dyDescent="0.25">
      <c r="A135" t="s">
        <v>8728</v>
      </c>
      <c r="B135">
        <v>1</v>
      </c>
      <c r="C135" t="s">
        <v>7968</v>
      </c>
      <c r="D135">
        <v>180</v>
      </c>
      <c r="E135" t="s">
        <v>32</v>
      </c>
      <c r="F135">
        <v>3</v>
      </c>
      <c r="G135">
        <v>-10</v>
      </c>
      <c r="H135" t="s">
        <v>7882</v>
      </c>
      <c r="I135">
        <v>12</v>
      </c>
      <c r="J135">
        <v>102</v>
      </c>
      <c r="K135">
        <v>42</v>
      </c>
      <c r="L135" t="s">
        <v>7967</v>
      </c>
      <c r="M135">
        <v>1924</v>
      </c>
    </row>
    <row r="136" spans="1:13" x14ac:dyDescent="0.25">
      <c r="A136" t="s">
        <v>8729</v>
      </c>
      <c r="B136">
        <v>1</v>
      </c>
      <c r="C136" t="s">
        <v>7970</v>
      </c>
      <c r="D136">
        <v>180</v>
      </c>
      <c r="E136" t="s">
        <v>32</v>
      </c>
      <c r="F136">
        <v>3</v>
      </c>
      <c r="G136">
        <v>-5</v>
      </c>
      <c r="H136" t="s">
        <v>7882</v>
      </c>
      <c r="I136">
        <v>12</v>
      </c>
      <c r="J136">
        <v>102</v>
      </c>
      <c r="K136">
        <v>42</v>
      </c>
      <c r="L136" t="s">
        <v>7969</v>
      </c>
      <c r="M136">
        <v>1924</v>
      </c>
    </row>
    <row r="137" spans="1:13" x14ac:dyDescent="0.25">
      <c r="A137" t="s">
        <v>8730</v>
      </c>
      <c r="B137">
        <v>1</v>
      </c>
      <c r="C137" t="s">
        <v>7972</v>
      </c>
      <c r="D137">
        <v>180</v>
      </c>
      <c r="E137" t="s">
        <v>32</v>
      </c>
      <c r="F137">
        <v>3</v>
      </c>
      <c r="G137">
        <v>0</v>
      </c>
      <c r="H137" t="s">
        <v>7882</v>
      </c>
      <c r="I137">
        <v>12</v>
      </c>
      <c r="J137">
        <v>102</v>
      </c>
      <c r="K137">
        <v>42</v>
      </c>
      <c r="L137" t="s">
        <v>7971</v>
      </c>
      <c r="M137">
        <v>1924</v>
      </c>
    </row>
    <row r="138" spans="1:13" x14ac:dyDescent="0.25">
      <c r="A138" t="s">
        <v>8883</v>
      </c>
      <c r="B138">
        <v>1</v>
      </c>
      <c r="C138" t="s">
        <v>8278</v>
      </c>
      <c r="D138">
        <v>79</v>
      </c>
      <c r="E138" t="s">
        <v>22</v>
      </c>
      <c r="F138">
        <v>3</v>
      </c>
      <c r="G138">
        <v>-15</v>
      </c>
      <c r="H138" t="s">
        <v>7882</v>
      </c>
      <c r="I138">
        <v>8</v>
      </c>
      <c r="J138">
        <v>80</v>
      </c>
      <c r="K138">
        <v>43</v>
      </c>
      <c r="L138" t="s">
        <v>8277</v>
      </c>
      <c r="M138">
        <v>269</v>
      </c>
    </row>
    <row r="139" spans="1:13" x14ac:dyDescent="0.25">
      <c r="A139" t="s">
        <v>8884</v>
      </c>
      <c r="B139">
        <v>1</v>
      </c>
      <c r="C139" t="s">
        <v>8280</v>
      </c>
      <c r="D139">
        <v>79</v>
      </c>
      <c r="E139" t="s">
        <v>22</v>
      </c>
      <c r="F139">
        <v>3</v>
      </c>
      <c r="G139">
        <v>-10</v>
      </c>
      <c r="H139" t="s">
        <v>7882</v>
      </c>
      <c r="I139">
        <v>8</v>
      </c>
      <c r="J139">
        <v>80</v>
      </c>
      <c r="K139">
        <v>43</v>
      </c>
      <c r="L139" t="s">
        <v>8279</v>
      </c>
      <c r="M139">
        <v>269</v>
      </c>
    </row>
    <row r="140" spans="1:13" x14ac:dyDescent="0.25">
      <c r="A140" t="s">
        <v>8885</v>
      </c>
      <c r="B140">
        <v>1</v>
      </c>
      <c r="C140" t="s">
        <v>8282</v>
      </c>
      <c r="D140">
        <v>79</v>
      </c>
      <c r="E140" t="s">
        <v>22</v>
      </c>
      <c r="F140">
        <v>3</v>
      </c>
      <c r="G140">
        <v>-5</v>
      </c>
      <c r="H140" t="s">
        <v>7882</v>
      </c>
      <c r="I140">
        <v>8</v>
      </c>
      <c r="J140">
        <v>80</v>
      </c>
      <c r="K140">
        <v>43</v>
      </c>
      <c r="L140" t="s">
        <v>8281</v>
      </c>
      <c r="M140">
        <v>269</v>
      </c>
    </row>
    <row r="141" spans="1:13" x14ac:dyDescent="0.25">
      <c r="A141" t="s">
        <v>8886</v>
      </c>
      <c r="B141">
        <v>1</v>
      </c>
      <c r="C141" t="s">
        <v>8284</v>
      </c>
      <c r="D141">
        <v>79</v>
      </c>
      <c r="E141" t="s">
        <v>22</v>
      </c>
      <c r="F141">
        <v>3</v>
      </c>
      <c r="G141">
        <v>0</v>
      </c>
      <c r="H141" t="s">
        <v>7882</v>
      </c>
      <c r="I141">
        <v>8</v>
      </c>
      <c r="J141">
        <v>80</v>
      </c>
      <c r="K141">
        <v>43</v>
      </c>
      <c r="L141" t="s">
        <v>8283</v>
      </c>
      <c r="M141">
        <v>269</v>
      </c>
    </row>
    <row r="142" spans="1:13" x14ac:dyDescent="0.25">
      <c r="A142" t="s">
        <v>8887</v>
      </c>
      <c r="B142">
        <v>1</v>
      </c>
      <c r="C142" t="s">
        <v>8286</v>
      </c>
      <c r="D142">
        <v>676</v>
      </c>
      <c r="E142" t="s">
        <v>22</v>
      </c>
      <c r="F142">
        <v>3</v>
      </c>
      <c r="G142">
        <v>-15</v>
      </c>
      <c r="H142" t="s">
        <v>7882</v>
      </c>
      <c r="I142">
        <v>8</v>
      </c>
      <c r="J142">
        <v>168</v>
      </c>
      <c r="K142">
        <v>45</v>
      </c>
      <c r="L142" t="s">
        <v>8285</v>
      </c>
      <c r="M142">
        <v>2195</v>
      </c>
    </row>
    <row r="143" spans="1:13" x14ac:dyDescent="0.25">
      <c r="A143" t="s">
        <v>8888</v>
      </c>
      <c r="B143">
        <v>1</v>
      </c>
      <c r="C143" t="s">
        <v>8288</v>
      </c>
      <c r="D143">
        <v>676</v>
      </c>
      <c r="E143" t="s">
        <v>22</v>
      </c>
      <c r="F143">
        <v>3</v>
      </c>
      <c r="G143">
        <v>-10</v>
      </c>
      <c r="H143" t="s">
        <v>7882</v>
      </c>
      <c r="I143">
        <v>8</v>
      </c>
      <c r="J143">
        <v>168</v>
      </c>
      <c r="K143">
        <v>45</v>
      </c>
      <c r="L143" t="s">
        <v>8287</v>
      </c>
      <c r="M143">
        <v>2195</v>
      </c>
    </row>
    <row r="144" spans="1:13" x14ac:dyDescent="0.25">
      <c r="A144" t="s">
        <v>8889</v>
      </c>
      <c r="B144">
        <v>1</v>
      </c>
      <c r="C144" t="s">
        <v>8290</v>
      </c>
      <c r="D144">
        <v>676</v>
      </c>
      <c r="E144" t="s">
        <v>22</v>
      </c>
      <c r="F144">
        <v>3</v>
      </c>
      <c r="G144">
        <v>-5</v>
      </c>
      <c r="H144" t="s">
        <v>7882</v>
      </c>
      <c r="I144">
        <v>8</v>
      </c>
      <c r="J144">
        <v>168</v>
      </c>
      <c r="K144">
        <v>45</v>
      </c>
      <c r="L144" t="s">
        <v>8289</v>
      </c>
      <c r="M144">
        <v>2195</v>
      </c>
    </row>
    <row r="145" spans="1:13" x14ac:dyDescent="0.25">
      <c r="A145" t="s">
        <v>8890</v>
      </c>
      <c r="B145">
        <v>1</v>
      </c>
      <c r="C145" t="s">
        <v>8292</v>
      </c>
      <c r="D145">
        <v>676</v>
      </c>
      <c r="E145" t="s">
        <v>22</v>
      </c>
      <c r="F145">
        <v>3</v>
      </c>
      <c r="G145">
        <v>0</v>
      </c>
      <c r="H145" t="s">
        <v>7882</v>
      </c>
      <c r="I145">
        <v>8</v>
      </c>
      <c r="J145">
        <v>168</v>
      </c>
      <c r="K145">
        <v>45</v>
      </c>
      <c r="L145" t="s">
        <v>8291</v>
      </c>
      <c r="M145">
        <v>2195</v>
      </c>
    </row>
    <row r="146" spans="1:13" x14ac:dyDescent="0.25">
      <c r="A146" t="s">
        <v>8795</v>
      </c>
      <c r="B146">
        <v>1</v>
      </c>
      <c r="C146" t="s">
        <v>8102</v>
      </c>
      <c r="D146">
        <v>105</v>
      </c>
      <c r="E146" t="s">
        <v>29</v>
      </c>
      <c r="F146">
        <v>6</v>
      </c>
      <c r="G146">
        <v>-15</v>
      </c>
      <c r="H146" t="s">
        <v>7882</v>
      </c>
      <c r="I146">
        <v>2</v>
      </c>
      <c r="J146">
        <v>140</v>
      </c>
      <c r="K146">
        <v>48</v>
      </c>
      <c r="L146" t="s">
        <v>8101</v>
      </c>
      <c r="M146">
        <v>594</v>
      </c>
    </row>
    <row r="147" spans="1:13" x14ac:dyDescent="0.25">
      <c r="A147" t="s">
        <v>8796</v>
      </c>
      <c r="B147">
        <v>1</v>
      </c>
      <c r="C147" t="s">
        <v>8104</v>
      </c>
      <c r="D147">
        <v>105</v>
      </c>
      <c r="E147" t="s">
        <v>29</v>
      </c>
      <c r="F147">
        <v>6</v>
      </c>
      <c r="G147">
        <v>-10</v>
      </c>
      <c r="H147" t="s">
        <v>7882</v>
      </c>
      <c r="I147">
        <v>2</v>
      </c>
      <c r="J147">
        <v>140</v>
      </c>
      <c r="K147">
        <v>48</v>
      </c>
      <c r="L147" t="s">
        <v>8103</v>
      </c>
      <c r="M147">
        <v>594</v>
      </c>
    </row>
    <row r="148" spans="1:13" x14ac:dyDescent="0.25">
      <c r="A148" t="s">
        <v>8797</v>
      </c>
      <c r="B148">
        <v>1</v>
      </c>
      <c r="C148" t="s">
        <v>8106</v>
      </c>
      <c r="D148">
        <v>105</v>
      </c>
      <c r="E148" t="s">
        <v>29</v>
      </c>
      <c r="F148">
        <v>6</v>
      </c>
      <c r="G148">
        <v>-5</v>
      </c>
      <c r="H148" t="s">
        <v>7882</v>
      </c>
      <c r="I148">
        <v>2</v>
      </c>
      <c r="J148">
        <v>140</v>
      </c>
      <c r="K148">
        <v>48</v>
      </c>
      <c r="L148" t="s">
        <v>8105</v>
      </c>
      <c r="M148">
        <v>594</v>
      </c>
    </row>
    <row r="149" spans="1:13" x14ac:dyDescent="0.25">
      <c r="A149" t="s">
        <v>8798</v>
      </c>
      <c r="B149">
        <v>1</v>
      </c>
      <c r="C149" t="s">
        <v>8108</v>
      </c>
      <c r="D149">
        <v>105</v>
      </c>
      <c r="E149" t="s">
        <v>29</v>
      </c>
      <c r="F149">
        <v>6</v>
      </c>
      <c r="G149">
        <v>0</v>
      </c>
      <c r="H149" t="s">
        <v>7882</v>
      </c>
      <c r="I149">
        <v>2</v>
      </c>
      <c r="J149">
        <v>140</v>
      </c>
      <c r="K149">
        <v>48</v>
      </c>
      <c r="L149" t="s">
        <v>8107</v>
      </c>
      <c r="M149">
        <v>594</v>
      </c>
    </row>
    <row r="150" spans="1:13" x14ac:dyDescent="0.25">
      <c r="A150" t="s">
        <v>8955</v>
      </c>
      <c r="B150">
        <v>1</v>
      </c>
      <c r="C150" t="s">
        <v>8422</v>
      </c>
      <c r="D150">
        <v>1004</v>
      </c>
      <c r="E150" t="s">
        <v>25</v>
      </c>
      <c r="F150">
        <v>6</v>
      </c>
      <c r="G150">
        <v>-15</v>
      </c>
      <c r="H150" t="s">
        <v>7882</v>
      </c>
      <c r="I150">
        <v>14</v>
      </c>
      <c r="J150">
        <v>138</v>
      </c>
      <c r="K150">
        <v>49</v>
      </c>
      <c r="L150" t="s">
        <v>8421</v>
      </c>
      <c r="M150">
        <v>2934</v>
      </c>
    </row>
    <row r="151" spans="1:13" x14ac:dyDescent="0.25">
      <c r="A151" t="s">
        <v>8956</v>
      </c>
      <c r="B151">
        <v>1</v>
      </c>
      <c r="C151" t="s">
        <v>8424</v>
      </c>
      <c r="D151">
        <v>1004</v>
      </c>
      <c r="E151" t="s">
        <v>25</v>
      </c>
      <c r="F151">
        <v>6</v>
      </c>
      <c r="G151">
        <v>-10</v>
      </c>
      <c r="H151" t="s">
        <v>7882</v>
      </c>
      <c r="I151">
        <v>14</v>
      </c>
      <c r="J151">
        <v>138</v>
      </c>
      <c r="K151">
        <v>49</v>
      </c>
      <c r="L151" t="s">
        <v>8423</v>
      </c>
      <c r="M151">
        <v>2934</v>
      </c>
    </row>
    <row r="152" spans="1:13" x14ac:dyDescent="0.25">
      <c r="A152" t="s">
        <v>8957</v>
      </c>
      <c r="B152">
        <v>1</v>
      </c>
      <c r="C152" t="s">
        <v>8426</v>
      </c>
      <c r="D152">
        <v>1004</v>
      </c>
      <c r="E152" t="s">
        <v>25</v>
      </c>
      <c r="F152">
        <v>6</v>
      </c>
      <c r="G152">
        <v>-5</v>
      </c>
      <c r="H152" t="s">
        <v>7882</v>
      </c>
      <c r="I152">
        <v>14</v>
      </c>
      <c r="J152">
        <v>138</v>
      </c>
      <c r="K152">
        <v>49</v>
      </c>
      <c r="L152" t="s">
        <v>8425</v>
      </c>
      <c r="M152">
        <v>2934</v>
      </c>
    </row>
    <row r="153" spans="1:13" x14ac:dyDescent="0.25">
      <c r="A153" t="s">
        <v>8958</v>
      </c>
      <c r="B153">
        <v>1</v>
      </c>
      <c r="C153" t="s">
        <v>8428</v>
      </c>
      <c r="D153">
        <v>1004</v>
      </c>
      <c r="E153" t="s">
        <v>25</v>
      </c>
      <c r="F153">
        <v>6</v>
      </c>
      <c r="G153">
        <v>0</v>
      </c>
      <c r="H153" t="s">
        <v>7882</v>
      </c>
      <c r="I153">
        <v>14</v>
      </c>
      <c r="J153">
        <v>138</v>
      </c>
      <c r="K153">
        <v>49</v>
      </c>
      <c r="L153" t="s">
        <v>8427</v>
      </c>
      <c r="M153">
        <v>2934</v>
      </c>
    </row>
    <row r="154" spans="1:13" x14ac:dyDescent="0.25">
      <c r="A154" t="s">
        <v>8799</v>
      </c>
      <c r="B154">
        <v>1</v>
      </c>
      <c r="C154" t="s">
        <v>8110</v>
      </c>
      <c r="D154">
        <v>35</v>
      </c>
      <c r="E154" t="s">
        <v>29</v>
      </c>
      <c r="F154">
        <v>6</v>
      </c>
      <c r="G154">
        <v>-15</v>
      </c>
      <c r="H154" t="s">
        <v>7882</v>
      </c>
      <c r="I154">
        <v>2</v>
      </c>
      <c r="J154">
        <v>102</v>
      </c>
      <c r="K154">
        <v>49</v>
      </c>
      <c r="L154" t="s">
        <v>8109</v>
      </c>
      <c r="M154">
        <v>181</v>
      </c>
    </row>
    <row r="155" spans="1:13" x14ac:dyDescent="0.25">
      <c r="A155" t="s">
        <v>8800</v>
      </c>
      <c r="B155">
        <v>1</v>
      </c>
      <c r="C155" t="s">
        <v>8112</v>
      </c>
      <c r="D155">
        <v>35</v>
      </c>
      <c r="E155" t="s">
        <v>29</v>
      </c>
      <c r="F155">
        <v>6</v>
      </c>
      <c r="G155">
        <v>-10</v>
      </c>
      <c r="H155" t="s">
        <v>7882</v>
      </c>
      <c r="I155">
        <v>2</v>
      </c>
      <c r="J155">
        <v>102</v>
      </c>
      <c r="K155">
        <v>49</v>
      </c>
      <c r="L155" t="s">
        <v>8111</v>
      </c>
      <c r="M155">
        <v>181</v>
      </c>
    </row>
    <row r="156" spans="1:13" x14ac:dyDescent="0.25">
      <c r="A156" t="s">
        <v>8801</v>
      </c>
      <c r="B156">
        <v>1</v>
      </c>
      <c r="C156" t="s">
        <v>8114</v>
      </c>
      <c r="D156">
        <v>35</v>
      </c>
      <c r="E156" t="s">
        <v>29</v>
      </c>
      <c r="F156">
        <v>6</v>
      </c>
      <c r="G156">
        <v>-5</v>
      </c>
      <c r="H156" t="s">
        <v>7882</v>
      </c>
      <c r="I156">
        <v>2</v>
      </c>
      <c r="J156">
        <v>102</v>
      </c>
      <c r="K156">
        <v>49</v>
      </c>
      <c r="L156" t="s">
        <v>8113</v>
      </c>
      <c r="M156">
        <v>181</v>
      </c>
    </row>
    <row r="157" spans="1:13" x14ac:dyDescent="0.25">
      <c r="A157" t="s">
        <v>8802</v>
      </c>
      <c r="B157">
        <v>1</v>
      </c>
      <c r="C157" t="s">
        <v>8116</v>
      </c>
      <c r="D157">
        <v>35</v>
      </c>
      <c r="E157" t="s">
        <v>29</v>
      </c>
      <c r="F157">
        <v>6</v>
      </c>
      <c r="G157">
        <v>0</v>
      </c>
      <c r="H157" t="s">
        <v>7882</v>
      </c>
      <c r="I157">
        <v>2</v>
      </c>
      <c r="J157">
        <v>102</v>
      </c>
      <c r="K157">
        <v>49</v>
      </c>
      <c r="L157" t="s">
        <v>8115</v>
      </c>
      <c r="M157">
        <v>181</v>
      </c>
    </row>
    <row r="158" spans="1:13" x14ac:dyDescent="0.25">
      <c r="A158" t="s">
        <v>8803</v>
      </c>
      <c r="B158">
        <v>1</v>
      </c>
      <c r="C158" t="s">
        <v>8118</v>
      </c>
      <c r="D158">
        <v>34</v>
      </c>
      <c r="E158" t="s">
        <v>29</v>
      </c>
      <c r="F158">
        <v>3</v>
      </c>
      <c r="G158">
        <v>-15</v>
      </c>
      <c r="H158" t="s">
        <v>7882</v>
      </c>
      <c r="I158">
        <v>4</v>
      </c>
      <c r="J158">
        <v>50</v>
      </c>
      <c r="K158">
        <v>51</v>
      </c>
      <c r="L158" t="s">
        <v>8117</v>
      </c>
      <c r="M158">
        <v>180</v>
      </c>
    </row>
    <row r="159" spans="1:13" x14ac:dyDescent="0.25">
      <c r="A159" t="s">
        <v>8804</v>
      </c>
      <c r="B159">
        <v>1</v>
      </c>
      <c r="C159" t="s">
        <v>8120</v>
      </c>
      <c r="D159">
        <v>34</v>
      </c>
      <c r="E159" t="s">
        <v>29</v>
      </c>
      <c r="F159">
        <v>3</v>
      </c>
      <c r="G159">
        <v>-10</v>
      </c>
      <c r="H159" t="s">
        <v>7882</v>
      </c>
      <c r="I159">
        <v>4</v>
      </c>
      <c r="J159">
        <v>50</v>
      </c>
      <c r="K159">
        <v>51</v>
      </c>
      <c r="L159" t="s">
        <v>8119</v>
      </c>
      <c r="M159">
        <v>180</v>
      </c>
    </row>
    <row r="160" spans="1:13" x14ac:dyDescent="0.25">
      <c r="A160" t="s">
        <v>8805</v>
      </c>
      <c r="B160">
        <v>1</v>
      </c>
      <c r="C160" t="s">
        <v>8122</v>
      </c>
      <c r="D160">
        <v>34</v>
      </c>
      <c r="E160" t="s">
        <v>29</v>
      </c>
      <c r="F160">
        <v>3</v>
      </c>
      <c r="G160">
        <v>-5</v>
      </c>
      <c r="H160" t="s">
        <v>7882</v>
      </c>
      <c r="I160">
        <v>4</v>
      </c>
      <c r="J160">
        <v>50</v>
      </c>
      <c r="K160">
        <v>51</v>
      </c>
      <c r="L160" t="s">
        <v>8121</v>
      </c>
      <c r="M160">
        <v>180</v>
      </c>
    </row>
    <row r="161" spans="1:13" x14ac:dyDescent="0.25">
      <c r="A161" t="s">
        <v>8806</v>
      </c>
      <c r="B161">
        <v>1</v>
      </c>
      <c r="C161" t="s">
        <v>8124</v>
      </c>
      <c r="D161">
        <v>34</v>
      </c>
      <c r="E161" t="s">
        <v>29</v>
      </c>
      <c r="F161">
        <v>3</v>
      </c>
      <c r="G161">
        <v>0</v>
      </c>
      <c r="H161" t="s">
        <v>7882</v>
      </c>
      <c r="I161">
        <v>4</v>
      </c>
      <c r="J161">
        <v>50</v>
      </c>
      <c r="K161">
        <v>51</v>
      </c>
      <c r="L161" t="s">
        <v>8123</v>
      </c>
      <c r="M161">
        <v>180</v>
      </c>
    </row>
    <row r="162" spans="1:13" x14ac:dyDescent="0.25">
      <c r="A162" t="s">
        <v>8807</v>
      </c>
      <c r="B162">
        <v>1</v>
      </c>
      <c r="C162" t="s">
        <v>8126</v>
      </c>
      <c r="D162">
        <v>693</v>
      </c>
      <c r="E162" t="s">
        <v>29</v>
      </c>
      <c r="F162">
        <v>6</v>
      </c>
      <c r="G162">
        <v>-15</v>
      </c>
      <c r="H162" t="s">
        <v>7882</v>
      </c>
      <c r="I162">
        <v>2</v>
      </c>
      <c r="J162">
        <v>70</v>
      </c>
      <c r="K162">
        <v>52</v>
      </c>
      <c r="L162" t="s">
        <v>8125</v>
      </c>
      <c r="M162">
        <v>3032</v>
      </c>
    </row>
    <row r="163" spans="1:13" x14ac:dyDescent="0.25">
      <c r="A163" t="s">
        <v>8808</v>
      </c>
      <c r="B163">
        <v>1</v>
      </c>
      <c r="C163" t="s">
        <v>8128</v>
      </c>
      <c r="D163">
        <v>693</v>
      </c>
      <c r="E163" t="s">
        <v>29</v>
      </c>
      <c r="F163">
        <v>6</v>
      </c>
      <c r="G163">
        <v>-10</v>
      </c>
      <c r="H163" t="s">
        <v>7882</v>
      </c>
      <c r="I163">
        <v>2</v>
      </c>
      <c r="J163">
        <v>70</v>
      </c>
      <c r="K163">
        <v>52</v>
      </c>
      <c r="L163" t="s">
        <v>8127</v>
      </c>
      <c r="M163">
        <v>3032</v>
      </c>
    </row>
    <row r="164" spans="1:13" x14ac:dyDescent="0.25">
      <c r="A164" t="s">
        <v>8809</v>
      </c>
      <c r="B164">
        <v>1</v>
      </c>
      <c r="C164" t="s">
        <v>8130</v>
      </c>
      <c r="D164">
        <v>693</v>
      </c>
      <c r="E164" t="s">
        <v>29</v>
      </c>
      <c r="F164">
        <v>6</v>
      </c>
      <c r="G164">
        <v>-5</v>
      </c>
      <c r="H164" t="s">
        <v>7882</v>
      </c>
      <c r="I164">
        <v>2</v>
      </c>
      <c r="J164">
        <v>70</v>
      </c>
      <c r="K164">
        <v>52</v>
      </c>
      <c r="L164" t="s">
        <v>8129</v>
      </c>
      <c r="M164">
        <v>3032</v>
      </c>
    </row>
    <row r="165" spans="1:13" x14ac:dyDescent="0.25">
      <c r="A165" t="s">
        <v>8810</v>
      </c>
      <c r="B165">
        <v>1</v>
      </c>
      <c r="C165" t="s">
        <v>8132</v>
      </c>
      <c r="D165">
        <v>693</v>
      </c>
      <c r="E165" t="s">
        <v>29</v>
      </c>
      <c r="F165">
        <v>6</v>
      </c>
      <c r="G165">
        <v>0</v>
      </c>
      <c r="H165" t="s">
        <v>7882</v>
      </c>
      <c r="I165">
        <v>2</v>
      </c>
      <c r="J165">
        <v>70</v>
      </c>
      <c r="K165">
        <v>52</v>
      </c>
      <c r="L165" t="s">
        <v>8131</v>
      </c>
      <c r="M165">
        <v>3032</v>
      </c>
    </row>
    <row r="166" spans="1:13" x14ac:dyDescent="0.25">
      <c r="A166" t="s">
        <v>8959</v>
      </c>
      <c r="B166">
        <v>1</v>
      </c>
      <c r="C166" t="s">
        <v>8430</v>
      </c>
      <c r="D166">
        <v>770</v>
      </c>
      <c r="E166" t="s">
        <v>25</v>
      </c>
      <c r="F166">
        <v>6</v>
      </c>
      <c r="G166">
        <v>-15</v>
      </c>
      <c r="H166" t="s">
        <v>7882</v>
      </c>
      <c r="I166">
        <v>14</v>
      </c>
      <c r="J166">
        <v>74</v>
      </c>
      <c r="K166">
        <v>53</v>
      </c>
      <c r="L166" t="s">
        <v>8429</v>
      </c>
      <c r="M166">
        <v>1770</v>
      </c>
    </row>
    <row r="167" spans="1:13" x14ac:dyDescent="0.25">
      <c r="A167" t="s">
        <v>8960</v>
      </c>
      <c r="B167">
        <v>1</v>
      </c>
      <c r="C167" t="s">
        <v>8432</v>
      </c>
      <c r="D167">
        <v>770</v>
      </c>
      <c r="E167" t="s">
        <v>25</v>
      </c>
      <c r="F167">
        <v>6</v>
      </c>
      <c r="G167">
        <v>-10</v>
      </c>
      <c r="H167" t="s">
        <v>7882</v>
      </c>
      <c r="I167">
        <v>14</v>
      </c>
      <c r="J167">
        <v>74</v>
      </c>
      <c r="K167">
        <v>53</v>
      </c>
      <c r="L167" t="s">
        <v>8431</v>
      </c>
      <c r="M167">
        <v>1770</v>
      </c>
    </row>
    <row r="168" spans="1:13" x14ac:dyDescent="0.25">
      <c r="A168" t="s">
        <v>8961</v>
      </c>
      <c r="B168">
        <v>1</v>
      </c>
      <c r="C168" t="s">
        <v>8434</v>
      </c>
      <c r="D168">
        <v>770</v>
      </c>
      <c r="E168" t="s">
        <v>25</v>
      </c>
      <c r="F168">
        <v>6</v>
      </c>
      <c r="G168">
        <v>-5</v>
      </c>
      <c r="H168" t="s">
        <v>7882</v>
      </c>
      <c r="I168">
        <v>14</v>
      </c>
      <c r="J168">
        <v>74</v>
      </c>
      <c r="K168">
        <v>53</v>
      </c>
      <c r="L168" t="s">
        <v>8433</v>
      </c>
      <c r="M168">
        <v>1770</v>
      </c>
    </row>
    <row r="169" spans="1:13" x14ac:dyDescent="0.25">
      <c r="A169" t="s">
        <v>8962</v>
      </c>
      <c r="B169">
        <v>1</v>
      </c>
      <c r="C169" t="s">
        <v>8436</v>
      </c>
      <c r="D169">
        <v>770</v>
      </c>
      <c r="E169" t="s">
        <v>25</v>
      </c>
      <c r="F169">
        <v>6</v>
      </c>
      <c r="G169">
        <v>0</v>
      </c>
      <c r="H169" t="s">
        <v>7882</v>
      </c>
      <c r="I169">
        <v>14</v>
      </c>
      <c r="J169">
        <v>74</v>
      </c>
      <c r="K169">
        <v>53</v>
      </c>
      <c r="L169" t="s">
        <v>8435</v>
      </c>
      <c r="M169">
        <v>1770</v>
      </c>
    </row>
    <row r="170" spans="1:13" x14ac:dyDescent="0.25">
      <c r="A170" t="s">
        <v>8811</v>
      </c>
      <c r="B170">
        <v>1</v>
      </c>
      <c r="C170" t="s">
        <v>8134</v>
      </c>
      <c r="D170">
        <v>49</v>
      </c>
      <c r="E170" t="s">
        <v>29</v>
      </c>
      <c r="F170">
        <v>6</v>
      </c>
      <c r="G170">
        <v>-15</v>
      </c>
      <c r="H170" t="s">
        <v>7882</v>
      </c>
      <c r="I170">
        <v>2</v>
      </c>
      <c r="J170">
        <v>102</v>
      </c>
      <c r="K170">
        <v>53</v>
      </c>
      <c r="L170" t="s">
        <v>8133</v>
      </c>
      <c r="M170">
        <v>253</v>
      </c>
    </row>
    <row r="171" spans="1:13" x14ac:dyDescent="0.25">
      <c r="A171" t="s">
        <v>8812</v>
      </c>
      <c r="B171">
        <v>1</v>
      </c>
      <c r="C171" t="s">
        <v>8136</v>
      </c>
      <c r="D171">
        <v>49</v>
      </c>
      <c r="E171" t="s">
        <v>29</v>
      </c>
      <c r="F171">
        <v>6</v>
      </c>
      <c r="G171">
        <v>-10</v>
      </c>
      <c r="H171" t="s">
        <v>7882</v>
      </c>
      <c r="I171">
        <v>2</v>
      </c>
      <c r="J171">
        <v>102</v>
      </c>
      <c r="K171">
        <v>53</v>
      </c>
      <c r="L171" t="s">
        <v>8135</v>
      </c>
      <c r="M171">
        <v>253</v>
      </c>
    </row>
    <row r="172" spans="1:13" x14ac:dyDescent="0.25">
      <c r="A172" t="s">
        <v>8813</v>
      </c>
      <c r="B172">
        <v>1</v>
      </c>
      <c r="C172" t="s">
        <v>8138</v>
      </c>
      <c r="D172">
        <v>49</v>
      </c>
      <c r="E172" t="s">
        <v>29</v>
      </c>
      <c r="F172">
        <v>6</v>
      </c>
      <c r="G172">
        <v>-5</v>
      </c>
      <c r="H172" t="s">
        <v>7882</v>
      </c>
      <c r="I172">
        <v>2</v>
      </c>
      <c r="J172">
        <v>102</v>
      </c>
      <c r="K172">
        <v>53</v>
      </c>
      <c r="L172" t="s">
        <v>8137</v>
      </c>
      <c r="M172">
        <v>253</v>
      </c>
    </row>
    <row r="173" spans="1:13" x14ac:dyDescent="0.25">
      <c r="A173" t="s">
        <v>8814</v>
      </c>
      <c r="B173">
        <v>1</v>
      </c>
      <c r="C173" t="s">
        <v>8140</v>
      </c>
      <c r="D173">
        <v>49</v>
      </c>
      <c r="E173" t="s">
        <v>29</v>
      </c>
      <c r="F173">
        <v>6</v>
      </c>
      <c r="G173">
        <v>0</v>
      </c>
      <c r="H173" t="s">
        <v>7882</v>
      </c>
      <c r="I173">
        <v>2</v>
      </c>
      <c r="J173">
        <v>102</v>
      </c>
      <c r="K173">
        <v>53</v>
      </c>
      <c r="L173" t="s">
        <v>8139</v>
      </c>
      <c r="M173">
        <v>253</v>
      </c>
    </row>
    <row r="174" spans="1:13" x14ac:dyDescent="0.25">
      <c r="A174" t="s">
        <v>8731</v>
      </c>
      <c r="B174">
        <v>1</v>
      </c>
      <c r="C174" t="s">
        <v>7974</v>
      </c>
      <c r="D174">
        <v>29</v>
      </c>
      <c r="E174" t="s">
        <v>32</v>
      </c>
      <c r="F174">
        <v>3</v>
      </c>
      <c r="G174">
        <v>-15</v>
      </c>
      <c r="H174" t="s">
        <v>7882</v>
      </c>
      <c r="I174">
        <v>12</v>
      </c>
      <c r="J174">
        <v>54</v>
      </c>
      <c r="K174">
        <v>53</v>
      </c>
      <c r="L174" t="s">
        <v>7973</v>
      </c>
      <c r="M174">
        <v>330</v>
      </c>
    </row>
    <row r="175" spans="1:13" x14ac:dyDescent="0.25">
      <c r="A175" t="s">
        <v>8732</v>
      </c>
      <c r="B175">
        <v>1</v>
      </c>
      <c r="C175" t="s">
        <v>7976</v>
      </c>
      <c r="D175">
        <v>88</v>
      </c>
      <c r="E175" t="s">
        <v>32</v>
      </c>
      <c r="F175">
        <v>6</v>
      </c>
      <c r="G175">
        <v>-15</v>
      </c>
      <c r="H175" t="s">
        <v>7882</v>
      </c>
      <c r="I175">
        <v>10</v>
      </c>
      <c r="J175">
        <v>88</v>
      </c>
      <c r="K175">
        <v>53</v>
      </c>
      <c r="L175" t="s">
        <v>7975</v>
      </c>
      <c r="M175">
        <v>1033</v>
      </c>
    </row>
    <row r="176" spans="1:13" x14ac:dyDescent="0.25">
      <c r="A176" t="s">
        <v>8733</v>
      </c>
      <c r="B176">
        <v>1</v>
      </c>
      <c r="C176" t="s">
        <v>7978</v>
      </c>
      <c r="D176">
        <v>29</v>
      </c>
      <c r="E176" t="s">
        <v>32</v>
      </c>
      <c r="F176">
        <v>3</v>
      </c>
      <c r="G176">
        <v>-10</v>
      </c>
      <c r="H176" t="s">
        <v>7882</v>
      </c>
      <c r="I176">
        <v>12</v>
      </c>
      <c r="J176">
        <v>54</v>
      </c>
      <c r="K176">
        <v>53</v>
      </c>
      <c r="L176" t="s">
        <v>7977</v>
      </c>
      <c r="M176">
        <v>330</v>
      </c>
    </row>
    <row r="177" spans="1:13" x14ac:dyDescent="0.25">
      <c r="A177" t="s">
        <v>8734</v>
      </c>
      <c r="B177">
        <v>1</v>
      </c>
      <c r="C177" t="s">
        <v>7980</v>
      </c>
      <c r="D177">
        <v>88</v>
      </c>
      <c r="E177" t="s">
        <v>32</v>
      </c>
      <c r="F177">
        <v>6</v>
      </c>
      <c r="G177">
        <v>-10</v>
      </c>
      <c r="H177" t="s">
        <v>7882</v>
      </c>
      <c r="I177">
        <v>10</v>
      </c>
      <c r="J177">
        <v>88</v>
      </c>
      <c r="K177">
        <v>53</v>
      </c>
      <c r="L177" t="s">
        <v>7979</v>
      </c>
      <c r="M177">
        <v>1033</v>
      </c>
    </row>
    <row r="178" spans="1:13" x14ac:dyDescent="0.25">
      <c r="A178" t="s">
        <v>8735</v>
      </c>
      <c r="B178">
        <v>1</v>
      </c>
      <c r="C178" t="s">
        <v>7982</v>
      </c>
      <c r="D178">
        <v>29</v>
      </c>
      <c r="E178" t="s">
        <v>32</v>
      </c>
      <c r="F178">
        <v>3</v>
      </c>
      <c r="G178">
        <v>-5</v>
      </c>
      <c r="H178" t="s">
        <v>7882</v>
      </c>
      <c r="I178">
        <v>12</v>
      </c>
      <c r="J178">
        <v>54</v>
      </c>
      <c r="K178">
        <v>53</v>
      </c>
      <c r="L178" t="s">
        <v>7981</v>
      </c>
      <c r="M178">
        <v>330</v>
      </c>
    </row>
    <row r="179" spans="1:13" x14ac:dyDescent="0.25">
      <c r="A179" t="s">
        <v>8736</v>
      </c>
      <c r="B179">
        <v>1</v>
      </c>
      <c r="C179" t="s">
        <v>7984</v>
      </c>
      <c r="D179">
        <v>88</v>
      </c>
      <c r="E179" t="s">
        <v>32</v>
      </c>
      <c r="F179">
        <v>6</v>
      </c>
      <c r="G179">
        <v>-5</v>
      </c>
      <c r="H179" t="s">
        <v>7882</v>
      </c>
      <c r="I179">
        <v>10</v>
      </c>
      <c r="J179">
        <v>88</v>
      </c>
      <c r="K179">
        <v>53</v>
      </c>
      <c r="L179" t="s">
        <v>7983</v>
      </c>
      <c r="M179">
        <v>1033</v>
      </c>
    </row>
    <row r="180" spans="1:13" x14ac:dyDescent="0.25">
      <c r="A180" t="s">
        <v>8737</v>
      </c>
      <c r="B180">
        <v>1</v>
      </c>
      <c r="C180" t="s">
        <v>7986</v>
      </c>
      <c r="D180">
        <v>29</v>
      </c>
      <c r="E180" t="s">
        <v>32</v>
      </c>
      <c r="F180">
        <v>3</v>
      </c>
      <c r="G180">
        <v>0</v>
      </c>
      <c r="H180" t="s">
        <v>7882</v>
      </c>
      <c r="I180">
        <v>12</v>
      </c>
      <c r="J180">
        <v>54</v>
      </c>
      <c r="K180">
        <v>53</v>
      </c>
      <c r="L180" t="s">
        <v>7985</v>
      </c>
      <c r="M180">
        <v>330</v>
      </c>
    </row>
    <row r="181" spans="1:13" x14ac:dyDescent="0.25">
      <c r="A181" t="s">
        <v>8738</v>
      </c>
      <c r="B181">
        <v>1</v>
      </c>
      <c r="C181" t="s">
        <v>7988</v>
      </c>
      <c r="D181">
        <v>88</v>
      </c>
      <c r="E181" t="s">
        <v>32</v>
      </c>
      <c r="F181">
        <v>6</v>
      </c>
      <c r="G181">
        <v>0</v>
      </c>
      <c r="H181" t="s">
        <v>7882</v>
      </c>
      <c r="I181">
        <v>10</v>
      </c>
      <c r="J181">
        <v>88</v>
      </c>
      <c r="K181">
        <v>53</v>
      </c>
      <c r="L181" t="s">
        <v>7987</v>
      </c>
      <c r="M181">
        <v>1033</v>
      </c>
    </row>
    <row r="182" spans="1:13" x14ac:dyDescent="0.25">
      <c r="A182" t="s">
        <v>8963</v>
      </c>
      <c r="B182">
        <v>1</v>
      </c>
      <c r="C182" t="s">
        <v>8438</v>
      </c>
      <c r="D182">
        <v>434</v>
      </c>
      <c r="E182" t="s">
        <v>25</v>
      </c>
      <c r="F182">
        <v>3</v>
      </c>
      <c r="G182">
        <v>-15</v>
      </c>
      <c r="H182" t="s">
        <v>7882</v>
      </c>
      <c r="I182">
        <v>16</v>
      </c>
      <c r="J182">
        <v>690</v>
      </c>
      <c r="K182">
        <v>54</v>
      </c>
      <c r="L182" t="s">
        <v>8437</v>
      </c>
      <c r="M182">
        <v>979</v>
      </c>
    </row>
    <row r="183" spans="1:13" x14ac:dyDescent="0.25">
      <c r="A183" t="s">
        <v>8964</v>
      </c>
      <c r="B183">
        <v>1</v>
      </c>
      <c r="C183" t="s">
        <v>8440</v>
      </c>
      <c r="D183">
        <v>434</v>
      </c>
      <c r="E183" t="s">
        <v>25</v>
      </c>
      <c r="F183">
        <v>3</v>
      </c>
      <c r="G183">
        <v>-10</v>
      </c>
      <c r="H183" t="s">
        <v>7882</v>
      </c>
      <c r="I183">
        <v>16</v>
      </c>
      <c r="J183">
        <v>690</v>
      </c>
      <c r="K183">
        <v>54</v>
      </c>
      <c r="L183" t="s">
        <v>8439</v>
      </c>
      <c r="M183">
        <v>979</v>
      </c>
    </row>
    <row r="184" spans="1:13" x14ac:dyDescent="0.25">
      <c r="A184" t="s">
        <v>8965</v>
      </c>
      <c r="B184">
        <v>1</v>
      </c>
      <c r="C184" t="s">
        <v>8442</v>
      </c>
      <c r="D184">
        <v>434</v>
      </c>
      <c r="E184" t="s">
        <v>25</v>
      </c>
      <c r="F184">
        <v>3</v>
      </c>
      <c r="G184">
        <v>-5</v>
      </c>
      <c r="H184" t="s">
        <v>7882</v>
      </c>
      <c r="I184">
        <v>16</v>
      </c>
      <c r="J184">
        <v>690</v>
      </c>
      <c r="K184">
        <v>54</v>
      </c>
      <c r="L184" t="s">
        <v>8441</v>
      </c>
      <c r="M184">
        <v>979</v>
      </c>
    </row>
    <row r="185" spans="1:13" x14ac:dyDescent="0.25">
      <c r="A185" t="s">
        <v>8966</v>
      </c>
      <c r="B185">
        <v>1</v>
      </c>
      <c r="C185" t="s">
        <v>8444</v>
      </c>
      <c r="D185">
        <v>434</v>
      </c>
      <c r="E185" t="s">
        <v>25</v>
      </c>
      <c r="F185">
        <v>3</v>
      </c>
      <c r="G185">
        <v>0</v>
      </c>
      <c r="H185" t="s">
        <v>7882</v>
      </c>
      <c r="I185">
        <v>16</v>
      </c>
      <c r="J185">
        <v>690</v>
      </c>
      <c r="K185">
        <v>54</v>
      </c>
      <c r="L185" t="s">
        <v>8443</v>
      </c>
      <c r="M185">
        <v>979</v>
      </c>
    </row>
    <row r="186" spans="1:13" x14ac:dyDescent="0.25">
      <c r="A186" t="s">
        <v>8815</v>
      </c>
      <c r="B186">
        <v>1</v>
      </c>
      <c r="C186" t="s">
        <v>8142</v>
      </c>
      <c r="D186">
        <v>177</v>
      </c>
      <c r="E186" t="s">
        <v>29</v>
      </c>
      <c r="F186">
        <v>3</v>
      </c>
      <c r="G186">
        <v>-15</v>
      </c>
      <c r="H186" t="s">
        <v>7882</v>
      </c>
      <c r="I186">
        <v>4</v>
      </c>
      <c r="J186">
        <v>218</v>
      </c>
      <c r="K186">
        <v>55</v>
      </c>
      <c r="L186" t="s">
        <v>8141</v>
      </c>
      <c r="M186">
        <v>1003</v>
      </c>
    </row>
    <row r="187" spans="1:13" x14ac:dyDescent="0.25">
      <c r="A187" t="s">
        <v>8816</v>
      </c>
      <c r="B187">
        <v>1</v>
      </c>
      <c r="C187" t="s">
        <v>8144</v>
      </c>
      <c r="D187">
        <v>177</v>
      </c>
      <c r="E187" t="s">
        <v>29</v>
      </c>
      <c r="F187">
        <v>3</v>
      </c>
      <c r="G187">
        <v>-10</v>
      </c>
      <c r="H187" t="s">
        <v>7882</v>
      </c>
      <c r="I187">
        <v>4</v>
      </c>
      <c r="J187">
        <v>218</v>
      </c>
      <c r="K187">
        <v>55</v>
      </c>
      <c r="L187" t="s">
        <v>8143</v>
      </c>
      <c r="M187">
        <v>1003</v>
      </c>
    </row>
    <row r="188" spans="1:13" x14ac:dyDescent="0.25">
      <c r="A188" t="s">
        <v>8817</v>
      </c>
      <c r="B188">
        <v>1</v>
      </c>
      <c r="C188" t="s">
        <v>8146</v>
      </c>
      <c r="D188">
        <v>177</v>
      </c>
      <c r="E188" t="s">
        <v>29</v>
      </c>
      <c r="F188">
        <v>3</v>
      </c>
      <c r="G188">
        <v>-5</v>
      </c>
      <c r="H188" t="s">
        <v>7882</v>
      </c>
      <c r="I188">
        <v>4</v>
      </c>
      <c r="J188">
        <v>218</v>
      </c>
      <c r="K188">
        <v>55</v>
      </c>
      <c r="L188" t="s">
        <v>8145</v>
      </c>
      <c r="M188">
        <v>1003</v>
      </c>
    </row>
    <row r="189" spans="1:13" x14ac:dyDescent="0.25">
      <c r="A189" t="s">
        <v>8818</v>
      </c>
      <c r="B189">
        <v>1</v>
      </c>
      <c r="C189" t="s">
        <v>8148</v>
      </c>
      <c r="D189">
        <v>177</v>
      </c>
      <c r="E189" t="s">
        <v>29</v>
      </c>
      <c r="F189">
        <v>3</v>
      </c>
      <c r="G189">
        <v>0</v>
      </c>
      <c r="H189" t="s">
        <v>7882</v>
      </c>
      <c r="I189">
        <v>4</v>
      </c>
      <c r="J189">
        <v>218</v>
      </c>
      <c r="K189">
        <v>55</v>
      </c>
      <c r="L189" t="s">
        <v>8147</v>
      </c>
      <c r="M189">
        <v>1003</v>
      </c>
    </row>
    <row r="190" spans="1:13" x14ac:dyDescent="0.25">
      <c r="A190" t="s">
        <v>8891</v>
      </c>
      <c r="B190">
        <v>1</v>
      </c>
      <c r="C190" t="s">
        <v>8294</v>
      </c>
      <c r="D190">
        <v>453</v>
      </c>
      <c r="E190" t="s">
        <v>22</v>
      </c>
      <c r="F190">
        <v>3</v>
      </c>
      <c r="G190">
        <v>-15</v>
      </c>
      <c r="H190" t="s">
        <v>7882</v>
      </c>
      <c r="I190">
        <v>8</v>
      </c>
      <c r="J190">
        <v>32</v>
      </c>
      <c r="K190">
        <v>64</v>
      </c>
      <c r="L190" t="s">
        <v>8293</v>
      </c>
      <c r="M190">
        <v>1490</v>
      </c>
    </row>
    <row r="191" spans="1:13" x14ac:dyDescent="0.25">
      <c r="A191" t="s">
        <v>8892</v>
      </c>
      <c r="B191">
        <v>1</v>
      </c>
      <c r="C191" t="s">
        <v>8296</v>
      </c>
      <c r="D191">
        <v>453</v>
      </c>
      <c r="E191" t="s">
        <v>22</v>
      </c>
      <c r="F191">
        <v>3</v>
      </c>
      <c r="G191">
        <v>-10</v>
      </c>
      <c r="H191" t="s">
        <v>7882</v>
      </c>
      <c r="I191">
        <v>8</v>
      </c>
      <c r="J191">
        <v>32</v>
      </c>
      <c r="K191">
        <v>64</v>
      </c>
      <c r="L191" t="s">
        <v>8295</v>
      </c>
      <c r="M191">
        <v>1490</v>
      </c>
    </row>
    <row r="192" spans="1:13" x14ac:dyDescent="0.25">
      <c r="A192" t="s">
        <v>8893</v>
      </c>
      <c r="B192">
        <v>1</v>
      </c>
      <c r="C192" t="s">
        <v>8298</v>
      </c>
      <c r="D192">
        <v>453</v>
      </c>
      <c r="E192" t="s">
        <v>22</v>
      </c>
      <c r="F192">
        <v>3</v>
      </c>
      <c r="G192">
        <v>-5</v>
      </c>
      <c r="H192" t="s">
        <v>7882</v>
      </c>
      <c r="I192">
        <v>8</v>
      </c>
      <c r="J192">
        <v>32</v>
      </c>
      <c r="K192">
        <v>64</v>
      </c>
      <c r="L192" t="s">
        <v>8297</v>
      </c>
      <c r="M192">
        <v>1490</v>
      </c>
    </row>
    <row r="193" spans="1:13" x14ac:dyDescent="0.25">
      <c r="A193" t="s">
        <v>8894</v>
      </c>
      <c r="B193">
        <v>1</v>
      </c>
      <c r="C193" t="s">
        <v>8300</v>
      </c>
      <c r="D193">
        <v>453</v>
      </c>
      <c r="E193" t="s">
        <v>22</v>
      </c>
      <c r="F193">
        <v>3</v>
      </c>
      <c r="G193">
        <v>0</v>
      </c>
      <c r="H193" t="s">
        <v>7882</v>
      </c>
      <c r="I193">
        <v>8</v>
      </c>
      <c r="J193">
        <v>32</v>
      </c>
      <c r="K193">
        <v>64</v>
      </c>
      <c r="L193" t="s">
        <v>8299</v>
      </c>
      <c r="M193">
        <v>1490</v>
      </c>
    </row>
    <row r="194" spans="1:13" x14ac:dyDescent="0.25">
      <c r="A194" t="s">
        <v>8967</v>
      </c>
      <c r="B194">
        <v>1</v>
      </c>
      <c r="C194" t="s">
        <v>8446</v>
      </c>
      <c r="D194">
        <v>895</v>
      </c>
      <c r="E194" t="s">
        <v>25</v>
      </c>
      <c r="F194">
        <v>3</v>
      </c>
      <c r="G194">
        <v>-15</v>
      </c>
      <c r="H194" t="s">
        <v>7882</v>
      </c>
      <c r="I194">
        <v>16</v>
      </c>
      <c r="J194">
        <v>16</v>
      </c>
      <c r="K194">
        <v>68</v>
      </c>
      <c r="L194" t="s">
        <v>8445</v>
      </c>
      <c r="M194">
        <v>2125</v>
      </c>
    </row>
    <row r="195" spans="1:13" x14ac:dyDescent="0.25">
      <c r="A195" t="s">
        <v>8968</v>
      </c>
      <c r="B195">
        <v>1</v>
      </c>
      <c r="C195" t="s">
        <v>8448</v>
      </c>
      <c r="D195">
        <v>895</v>
      </c>
      <c r="E195" t="s">
        <v>25</v>
      </c>
      <c r="F195">
        <v>3</v>
      </c>
      <c r="G195">
        <v>-10</v>
      </c>
      <c r="H195" t="s">
        <v>7882</v>
      </c>
      <c r="I195">
        <v>16</v>
      </c>
      <c r="J195">
        <v>16</v>
      </c>
      <c r="K195">
        <v>68</v>
      </c>
      <c r="L195" t="s">
        <v>8447</v>
      </c>
      <c r="M195">
        <v>2125</v>
      </c>
    </row>
    <row r="196" spans="1:13" x14ac:dyDescent="0.25">
      <c r="A196" t="s">
        <v>8969</v>
      </c>
      <c r="B196">
        <v>1</v>
      </c>
      <c r="C196" t="s">
        <v>8450</v>
      </c>
      <c r="D196">
        <v>895</v>
      </c>
      <c r="E196" t="s">
        <v>25</v>
      </c>
      <c r="F196">
        <v>3</v>
      </c>
      <c r="G196">
        <v>-5</v>
      </c>
      <c r="H196" t="s">
        <v>7882</v>
      </c>
      <c r="I196">
        <v>16</v>
      </c>
      <c r="J196">
        <v>16</v>
      </c>
      <c r="K196">
        <v>68</v>
      </c>
      <c r="L196" t="s">
        <v>8449</v>
      </c>
      <c r="M196">
        <v>2125</v>
      </c>
    </row>
    <row r="197" spans="1:13" x14ac:dyDescent="0.25">
      <c r="A197" t="s">
        <v>8970</v>
      </c>
      <c r="B197">
        <v>1</v>
      </c>
      <c r="C197" t="s">
        <v>8452</v>
      </c>
      <c r="D197">
        <v>895</v>
      </c>
      <c r="E197" t="s">
        <v>25</v>
      </c>
      <c r="F197">
        <v>3</v>
      </c>
      <c r="G197">
        <v>0</v>
      </c>
      <c r="H197" t="s">
        <v>7882</v>
      </c>
      <c r="I197">
        <v>16</v>
      </c>
      <c r="J197">
        <v>16</v>
      </c>
      <c r="K197">
        <v>68</v>
      </c>
      <c r="L197" t="s">
        <v>8451</v>
      </c>
      <c r="M197">
        <v>2125</v>
      </c>
    </row>
    <row r="198" spans="1:13" x14ac:dyDescent="0.25">
      <c r="A198" t="s">
        <v>8819</v>
      </c>
      <c r="B198">
        <v>1</v>
      </c>
      <c r="C198" t="s">
        <v>8150</v>
      </c>
      <c r="D198">
        <v>217</v>
      </c>
      <c r="E198" t="s">
        <v>29</v>
      </c>
      <c r="F198">
        <v>3</v>
      </c>
      <c r="G198">
        <v>-15</v>
      </c>
      <c r="H198" t="s">
        <v>7882</v>
      </c>
      <c r="I198">
        <v>4</v>
      </c>
      <c r="J198">
        <v>38</v>
      </c>
      <c r="K198">
        <v>71</v>
      </c>
      <c r="L198" t="s">
        <v>8149</v>
      </c>
      <c r="M198">
        <v>1261</v>
      </c>
    </row>
    <row r="199" spans="1:13" x14ac:dyDescent="0.25">
      <c r="A199" t="s">
        <v>8820</v>
      </c>
      <c r="B199">
        <v>1</v>
      </c>
      <c r="C199" t="s">
        <v>8152</v>
      </c>
      <c r="D199">
        <v>217</v>
      </c>
      <c r="E199" t="s">
        <v>29</v>
      </c>
      <c r="F199">
        <v>3</v>
      </c>
      <c r="G199">
        <v>-10</v>
      </c>
      <c r="H199" t="s">
        <v>7882</v>
      </c>
      <c r="I199">
        <v>4</v>
      </c>
      <c r="J199">
        <v>38</v>
      </c>
      <c r="K199">
        <v>71</v>
      </c>
      <c r="L199" t="s">
        <v>8151</v>
      </c>
      <c r="M199">
        <v>1261</v>
      </c>
    </row>
    <row r="200" spans="1:13" x14ac:dyDescent="0.25">
      <c r="A200" t="s">
        <v>8821</v>
      </c>
      <c r="B200">
        <v>1</v>
      </c>
      <c r="C200" t="s">
        <v>8154</v>
      </c>
      <c r="D200">
        <v>217</v>
      </c>
      <c r="E200" t="s">
        <v>29</v>
      </c>
      <c r="F200">
        <v>3</v>
      </c>
      <c r="G200">
        <v>-5</v>
      </c>
      <c r="H200" t="s">
        <v>7882</v>
      </c>
      <c r="I200">
        <v>4</v>
      </c>
      <c r="J200">
        <v>38</v>
      </c>
      <c r="K200">
        <v>71</v>
      </c>
      <c r="L200" t="s">
        <v>8153</v>
      </c>
      <c r="M200">
        <v>1261</v>
      </c>
    </row>
    <row r="201" spans="1:13" x14ac:dyDescent="0.25">
      <c r="A201" t="s">
        <v>8822</v>
      </c>
      <c r="B201">
        <v>1</v>
      </c>
      <c r="C201" t="s">
        <v>8156</v>
      </c>
      <c r="D201">
        <v>217</v>
      </c>
      <c r="E201" t="s">
        <v>29</v>
      </c>
      <c r="F201">
        <v>3</v>
      </c>
      <c r="G201">
        <v>0</v>
      </c>
      <c r="H201" t="s">
        <v>7882</v>
      </c>
      <c r="I201">
        <v>4</v>
      </c>
      <c r="J201">
        <v>38</v>
      </c>
      <c r="K201">
        <v>71</v>
      </c>
      <c r="L201" t="s">
        <v>8155</v>
      </c>
      <c r="M201">
        <v>1261</v>
      </c>
    </row>
    <row r="202" spans="1:13" x14ac:dyDescent="0.25">
      <c r="A202" t="s">
        <v>8971</v>
      </c>
      <c r="B202">
        <v>1</v>
      </c>
      <c r="C202" t="s">
        <v>8454</v>
      </c>
      <c r="D202">
        <v>150</v>
      </c>
      <c r="E202" t="s">
        <v>25</v>
      </c>
      <c r="F202">
        <v>3</v>
      </c>
      <c r="G202">
        <v>-15</v>
      </c>
      <c r="H202" t="s">
        <v>7882</v>
      </c>
      <c r="I202">
        <v>16</v>
      </c>
      <c r="J202">
        <v>8</v>
      </c>
      <c r="K202">
        <v>79</v>
      </c>
      <c r="L202" t="s">
        <v>8453</v>
      </c>
      <c r="M202">
        <v>358</v>
      </c>
    </row>
    <row r="203" spans="1:13" x14ac:dyDescent="0.25">
      <c r="A203" t="s">
        <v>8972</v>
      </c>
      <c r="B203">
        <v>1</v>
      </c>
      <c r="C203" t="s">
        <v>8456</v>
      </c>
      <c r="D203">
        <v>150</v>
      </c>
      <c r="E203" t="s">
        <v>25</v>
      </c>
      <c r="F203">
        <v>3</v>
      </c>
      <c r="G203">
        <v>-10</v>
      </c>
      <c r="H203" t="s">
        <v>7882</v>
      </c>
      <c r="I203">
        <v>16</v>
      </c>
      <c r="J203">
        <v>8</v>
      </c>
      <c r="K203">
        <v>79</v>
      </c>
      <c r="L203" t="s">
        <v>8455</v>
      </c>
      <c r="M203">
        <v>358</v>
      </c>
    </row>
    <row r="204" spans="1:13" x14ac:dyDescent="0.25">
      <c r="A204" t="s">
        <v>8973</v>
      </c>
      <c r="B204">
        <v>1</v>
      </c>
      <c r="C204" t="s">
        <v>8458</v>
      </c>
      <c r="D204">
        <v>150</v>
      </c>
      <c r="E204" t="s">
        <v>25</v>
      </c>
      <c r="F204">
        <v>3</v>
      </c>
      <c r="G204">
        <v>-5</v>
      </c>
      <c r="H204" t="s">
        <v>7882</v>
      </c>
      <c r="I204">
        <v>16</v>
      </c>
      <c r="J204">
        <v>8</v>
      </c>
      <c r="K204">
        <v>79</v>
      </c>
      <c r="L204" t="s">
        <v>8457</v>
      </c>
      <c r="M204">
        <v>358</v>
      </c>
    </row>
    <row r="205" spans="1:13" x14ac:dyDescent="0.25">
      <c r="A205" t="s">
        <v>8974</v>
      </c>
      <c r="B205">
        <v>1</v>
      </c>
      <c r="C205" t="s">
        <v>8460</v>
      </c>
      <c r="D205">
        <v>150</v>
      </c>
      <c r="E205" t="s">
        <v>25</v>
      </c>
      <c r="F205">
        <v>3</v>
      </c>
      <c r="G205">
        <v>0</v>
      </c>
      <c r="H205" t="s">
        <v>7882</v>
      </c>
      <c r="I205">
        <v>16</v>
      </c>
      <c r="J205">
        <v>8</v>
      </c>
      <c r="K205">
        <v>79</v>
      </c>
      <c r="L205" t="s">
        <v>8459</v>
      </c>
      <c r="M205">
        <v>358</v>
      </c>
    </row>
    <row r="206" spans="1:13" x14ac:dyDescent="0.25">
      <c r="A206" t="s">
        <v>8975</v>
      </c>
      <c r="B206">
        <v>1</v>
      </c>
      <c r="C206" t="s">
        <v>8462</v>
      </c>
      <c r="D206">
        <v>364</v>
      </c>
      <c r="E206" t="s">
        <v>25</v>
      </c>
      <c r="F206">
        <v>3</v>
      </c>
      <c r="G206">
        <v>-15</v>
      </c>
      <c r="H206" t="s">
        <v>7882</v>
      </c>
      <c r="I206">
        <v>16</v>
      </c>
      <c r="J206">
        <v>18</v>
      </c>
      <c r="K206">
        <v>80</v>
      </c>
      <c r="L206" t="s">
        <v>8461</v>
      </c>
      <c r="M206">
        <v>811</v>
      </c>
    </row>
    <row r="207" spans="1:13" x14ac:dyDescent="0.25">
      <c r="A207" t="s">
        <v>8976</v>
      </c>
      <c r="B207">
        <v>1</v>
      </c>
      <c r="C207" t="s">
        <v>8464</v>
      </c>
      <c r="D207">
        <v>364</v>
      </c>
      <c r="E207" t="s">
        <v>25</v>
      </c>
      <c r="F207">
        <v>3</v>
      </c>
      <c r="G207">
        <v>-10</v>
      </c>
      <c r="H207" t="s">
        <v>7882</v>
      </c>
      <c r="I207">
        <v>16</v>
      </c>
      <c r="J207">
        <v>18</v>
      </c>
      <c r="K207">
        <v>80</v>
      </c>
      <c r="L207" t="s">
        <v>8463</v>
      </c>
      <c r="M207">
        <v>811</v>
      </c>
    </row>
    <row r="208" spans="1:13" x14ac:dyDescent="0.25">
      <c r="A208" t="s">
        <v>8977</v>
      </c>
      <c r="B208">
        <v>1</v>
      </c>
      <c r="C208" t="s">
        <v>8466</v>
      </c>
      <c r="D208">
        <v>364</v>
      </c>
      <c r="E208" t="s">
        <v>25</v>
      </c>
      <c r="F208">
        <v>3</v>
      </c>
      <c r="G208">
        <v>-5</v>
      </c>
      <c r="H208" t="s">
        <v>7882</v>
      </c>
      <c r="I208">
        <v>16</v>
      </c>
      <c r="J208">
        <v>18</v>
      </c>
      <c r="K208">
        <v>80</v>
      </c>
      <c r="L208" t="s">
        <v>8465</v>
      </c>
      <c r="M208">
        <v>811</v>
      </c>
    </row>
    <row r="209" spans="1:13" x14ac:dyDescent="0.25">
      <c r="A209" t="s">
        <v>8978</v>
      </c>
      <c r="B209">
        <v>1</v>
      </c>
      <c r="C209" t="s">
        <v>8468</v>
      </c>
      <c r="D209">
        <v>364</v>
      </c>
      <c r="E209" t="s">
        <v>25</v>
      </c>
      <c r="F209">
        <v>3</v>
      </c>
      <c r="G209">
        <v>0</v>
      </c>
      <c r="H209" t="s">
        <v>7882</v>
      </c>
      <c r="I209">
        <v>16</v>
      </c>
      <c r="J209">
        <v>18</v>
      </c>
      <c r="K209">
        <v>80</v>
      </c>
      <c r="L209" t="s">
        <v>8467</v>
      </c>
      <c r="M209">
        <v>811</v>
      </c>
    </row>
    <row r="210" spans="1:13" x14ac:dyDescent="0.25">
      <c r="A210" t="s">
        <v>8739</v>
      </c>
      <c r="B210">
        <v>1</v>
      </c>
      <c r="C210" t="s">
        <v>7990</v>
      </c>
      <c r="D210">
        <v>144</v>
      </c>
      <c r="E210" t="s">
        <v>32</v>
      </c>
      <c r="F210">
        <v>3</v>
      </c>
      <c r="G210">
        <v>-15</v>
      </c>
      <c r="H210" t="s">
        <v>7882</v>
      </c>
      <c r="I210">
        <v>12</v>
      </c>
      <c r="J210">
        <v>46</v>
      </c>
      <c r="K210">
        <v>81</v>
      </c>
      <c r="L210" t="s">
        <v>7989</v>
      </c>
      <c r="M210">
        <v>1570</v>
      </c>
    </row>
    <row r="211" spans="1:13" x14ac:dyDescent="0.25">
      <c r="A211" t="s">
        <v>8740</v>
      </c>
      <c r="B211">
        <v>1</v>
      </c>
      <c r="C211" t="s">
        <v>7992</v>
      </c>
      <c r="D211">
        <v>144</v>
      </c>
      <c r="E211" t="s">
        <v>32</v>
      </c>
      <c r="F211">
        <v>3</v>
      </c>
      <c r="G211">
        <v>-10</v>
      </c>
      <c r="H211" t="s">
        <v>7882</v>
      </c>
      <c r="I211">
        <v>12</v>
      </c>
      <c r="J211">
        <v>46</v>
      </c>
      <c r="K211">
        <v>81</v>
      </c>
      <c r="L211" t="s">
        <v>7991</v>
      </c>
      <c r="M211">
        <v>1570</v>
      </c>
    </row>
    <row r="212" spans="1:13" x14ac:dyDescent="0.25">
      <c r="A212" t="s">
        <v>8741</v>
      </c>
      <c r="B212">
        <v>1</v>
      </c>
      <c r="C212" t="s">
        <v>7994</v>
      </c>
      <c r="D212">
        <v>144</v>
      </c>
      <c r="E212" t="s">
        <v>32</v>
      </c>
      <c r="F212">
        <v>3</v>
      </c>
      <c r="G212">
        <v>-5</v>
      </c>
      <c r="H212" t="s">
        <v>7882</v>
      </c>
      <c r="I212">
        <v>12</v>
      </c>
      <c r="J212">
        <v>46</v>
      </c>
      <c r="K212">
        <v>81</v>
      </c>
      <c r="L212" t="s">
        <v>7993</v>
      </c>
      <c r="M212">
        <v>1570</v>
      </c>
    </row>
    <row r="213" spans="1:13" x14ac:dyDescent="0.25">
      <c r="A213" t="s">
        <v>8742</v>
      </c>
      <c r="B213">
        <v>1</v>
      </c>
      <c r="C213" t="s">
        <v>7996</v>
      </c>
      <c r="D213">
        <v>144</v>
      </c>
      <c r="E213" t="s">
        <v>32</v>
      </c>
      <c r="F213">
        <v>3</v>
      </c>
      <c r="G213">
        <v>0</v>
      </c>
      <c r="H213" t="s">
        <v>7882</v>
      </c>
      <c r="I213">
        <v>12</v>
      </c>
      <c r="J213">
        <v>46</v>
      </c>
      <c r="K213">
        <v>81</v>
      </c>
      <c r="L213" t="s">
        <v>7995</v>
      </c>
      <c r="M213">
        <v>1570</v>
      </c>
    </row>
    <row r="214" spans="1:13" x14ac:dyDescent="0.25">
      <c r="A214" t="s">
        <v>8979</v>
      </c>
      <c r="B214">
        <v>1</v>
      </c>
      <c r="C214" t="s">
        <v>8470</v>
      </c>
      <c r="D214">
        <v>268</v>
      </c>
      <c r="E214" t="s">
        <v>25</v>
      </c>
      <c r="F214">
        <v>3</v>
      </c>
      <c r="G214">
        <v>-15</v>
      </c>
      <c r="H214" t="s">
        <v>7882</v>
      </c>
      <c r="I214">
        <v>16</v>
      </c>
      <c r="J214">
        <v>10</v>
      </c>
      <c r="K214">
        <v>82</v>
      </c>
      <c r="L214" t="s">
        <v>8469</v>
      </c>
      <c r="M214">
        <v>626</v>
      </c>
    </row>
    <row r="215" spans="1:13" x14ac:dyDescent="0.25">
      <c r="A215" t="s">
        <v>8980</v>
      </c>
      <c r="B215">
        <v>1</v>
      </c>
      <c r="C215" t="s">
        <v>8472</v>
      </c>
      <c r="D215">
        <v>268</v>
      </c>
      <c r="E215" t="s">
        <v>25</v>
      </c>
      <c r="F215">
        <v>3</v>
      </c>
      <c r="G215">
        <v>-10</v>
      </c>
      <c r="H215" t="s">
        <v>7882</v>
      </c>
      <c r="I215">
        <v>16</v>
      </c>
      <c r="J215">
        <v>10</v>
      </c>
      <c r="K215">
        <v>82</v>
      </c>
      <c r="L215" t="s">
        <v>8471</v>
      </c>
      <c r="M215">
        <v>626</v>
      </c>
    </row>
    <row r="216" spans="1:13" x14ac:dyDescent="0.25">
      <c r="A216" t="s">
        <v>8981</v>
      </c>
      <c r="B216">
        <v>1</v>
      </c>
      <c r="C216" t="s">
        <v>8474</v>
      </c>
      <c r="D216">
        <v>268</v>
      </c>
      <c r="E216" t="s">
        <v>25</v>
      </c>
      <c r="F216">
        <v>3</v>
      </c>
      <c r="G216">
        <v>-5</v>
      </c>
      <c r="H216" t="s">
        <v>7882</v>
      </c>
      <c r="I216">
        <v>16</v>
      </c>
      <c r="J216">
        <v>10</v>
      </c>
      <c r="K216">
        <v>82</v>
      </c>
      <c r="L216" t="s">
        <v>8473</v>
      </c>
      <c r="M216">
        <v>626</v>
      </c>
    </row>
    <row r="217" spans="1:13" x14ac:dyDescent="0.25">
      <c r="A217" t="s">
        <v>8982</v>
      </c>
      <c r="B217">
        <v>1</v>
      </c>
      <c r="C217" t="s">
        <v>8476</v>
      </c>
      <c r="D217">
        <v>268</v>
      </c>
      <c r="E217" t="s">
        <v>25</v>
      </c>
      <c r="F217">
        <v>3</v>
      </c>
      <c r="G217">
        <v>0</v>
      </c>
      <c r="H217" t="s">
        <v>7882</v>
      </c>
      <c r="I217">
        <v>16</v>
      </c>
      <c r="J217">
        <v>10</v>
      </c>
      <c r="K217">
        <v>82</v>
      </c>
      <c r="L217" t="s">
        <v>8475</v>
      </c>
      <c r="M217">
        <v>626</v>
      </c>
    </row>
    <row r="218" spans="1:13" x14ac:dyDescent="0.25">
      <c r="A218" t="s">
        <v>8743</v>
      </c>
      <c r="B218">
        <v>1</v>
      </c>
      <c r="C218" t="s">
        <v>7998</v>
      </c>
      <c r="D218">
        <v>139</v>
      </c>
      <c r="E218" t="s">
        <v>32</v>
      </c>
      <c r="F218">
        <v>6</v>
      </c>
      <c r="G218">
        <v>-15</v>
      </c>
      <c r="H218" t="s">
        <v>7882</v>
      </c>
      <c r="I218">
        <v>10</v>
      </c>
      <c r="J218">
        <v>152</v>
      </c>
      <c r="K218">
        <v>83</v>
      </c>
      <c r="L218" t="s">
        <v>7997</v>
      </c>
      <c r="M218">
        <v>1523</v>
      </c>
    </row>
    <row r="219" spans="1:13" x14ac:dyDescent="0.25">
      <c r="A219" t="s">
        <v>8744</v>
      </c>
      <c r="B219">
        <v>1</v>
      </c>
      <c r="C219" t="s">
        <v>8000</v>
      </c>
      <c r="D219">
        <v>139</v>
      </c>
      <c r="E219" t="s">
        <v>32</v>
      </c>
      <c r="F219">
        <v>6</v>
      </c>
      <c r="G219">
        <v>-10</v>
      </c>
      <c r="H219" t="s">
        <v>7882</v>
      </c>
      <c r="I219">
        <v>10</v>
      </c>
      <c r="J219">
        <v>152</v>
      </c>
      <c r="K219">
        <v>83</v>
      </c>
      <c r="L219" t="s">
        <v>7999</v>
      </c>
      <c r="M219">
        <v>1523</v>
      </c>
    </row>
    <row r="220" spans="1:13" x14ac:dyDescent="0.25">
      <c r="A220" t="s">
        <v>8745</v>
      </c>
      <c r="B220">
        <v>1</v>
      </c>
      <c r="C220" t="s">
        <v>8002</v>
      </c>
      <c r="D220">
        <v>139</v>
      </c>
      <c r="E220" t="s">
        <v>32</v>
      </c>
      <c r="F220">
        <v>6</v>
      </c>
      <c r="G220">
        <v>-5</v>
      </c>
      <c r="H220" t="s">
        <v>7882</v>
      </c>
      <c r="I220">
        <v>10</v>
      </c>
      <c r="J220">
        <v>152</v>
      </c>
      <c r="K220">
        <v>83</v>
      </c>
      <c r="L220" t="s">
        <v>8001</v>
      </c>
      <c r="M220">
        <v>1523</v>
      </c>
    </row>
    <row r="221" spans="1:13" x14ac:dyDescent="0.25">
      <c r="A221" t="s">
        <v>8746</v>
      </c>
      <c r="B221">
        <v>1</v>
      </c>
      <c r="C221" t="s">
        <v>8004</v>
      </c>
      <c r="D221">
        <v>139</v>
      </c>
      <c r="E221" t="s">
        <v>32</v>
      </c>
      <c r="F221">
        <v>6</v>
      </c>
      <c r="G221">
        <v>0</v>
      </c>
      <c r="H221" t="s">
        <v>7882</v>
      </c>
      <c r="I221">
        <v>10</v>
      </c>
      <c r="J221">
        <v>152</v>
      </c>
      <c r="K221">
        <v>83</v>
      </c>
      <c r="L221" t="s">
        <v>8003</v>
      </c>
      <c r="M221">
        <v>1523</v>
      </c>
    </row>
    <row r="222" spans="1:13" x14ac:dyDescent="0.25">
      <c r="A222" t="s">
        <v>8983</v>
      </c>
      <c r="B222">
        <v>1</v>
      </c>
      <c r="C222" t="s">
        <v>8478</v>
      </c>
      <c r="D222">
        <v>1169</v>
      </c>
      <c r="E222" t="s">
        <v>25</v>
      </c>
      <c r="F222">
        <v>6</v>
      </c>
      <c r="G222">
        <v>-15</v>
      </c>
      <c r="H222" t="s">
        <v>7882</v>
      </c>
      <c r="I222">
        <v>14</v>
      </c>
      <c r="J222">
        <v>210</v>
      </c>
      <c r="K222">
        <v>84</v>
      </c>
      <c r="L222" t="s">
        <v>8477</v>
      </c>
      <c r="M222">
        <v>3683</v>
      </c>
    </row>
    <row r="223" spans="1:13" x14ac:dyDescent="0.25">
      <c r="A223" t="s">
        <v>8984</v>
      </c>
      <c r="B223">
        <v>1</v>
      </c>
      <c r="C223" t="s">
        <v>8480</v>
      </c>
      <c r="D223">
        <v>1169</v>
      </c>
      <c r="E223" t="s">
        <v>25</v>
      </c>
      <c r="F223">
        <v>6</v>
      </c>
      <c r="G223">
        <v>-10</v>
      </c>
      <c r="H223" t="s">
        <v>7882</v>
      </c>
      <c r="I223">
        <v>14</v>
      </c>
      <c r="J223">
        <v>210</v>
      </c>
      <c r="K223">
        <v>84</v>
      </c>
      <c r="L223" t="s">
        <v>8479</v>
      </c>
      <c r="M223">
        <v>3683</v>
      </c>
    </row>
    <row r="224" spans="1:13" x14ac:dyDescent="0.25">
      <c r="A224" t="s">
        <v>8985</v>
      </c>
      <c r="B224">
        <v>1</v>
      </c>
      <c r="C224" t="s">
        <v>8482</v>
      </c>
      <c r="D224">
        <v>1169</v>
      </c>
      <c r="E224" t="s">
        <v>25</v>
      </c>
      <c r="F224">
        <v>6</v>
      </c>
      <c r="G224">
        <v>-5</v>
      </c>
      <c r="H224" t="s">
        <v>7882</v>
      </c>
      <c r="I224">
        <v>14</v>
      </c>
      <c r="J224">
        <v>210</v>
      </c>
      <c r="K224">
        <v>84</v>
      </c>
      <c r="L224" t="s">
        <v>8481</v>
      </c>
      <c r="M224">
        <v>3683</v>
      </c>
    </row>
    <row r="225" spans="1:13" x14ac:dyDescent="0.25">
      <c r="A225" t="s">
        <v>8986</v>
      </c>
      <c r="B225">
        <v>1</v>
      </c>
      <c r="C225" t="s">
        <v>8484</v>
      </c>
      <c r="D225">
        <v>1169</v>
      </c>
      <c r="E225" t="s">
        <v>25</v>
      </c>
      <c r="F225">
        <v>6</v>
      </c>
      <c r="G225">
        <v>0</v>
      </c>
      <c r="H225" t="s">
        <v>7882</v>
      </c>
      <c r="I225">
        <v>14</v>
      </c>
      <c r="J225">
        <v>210</v>
      </c>
      <c r="K225">
        <v>84</v>
      </c>
      <c r="L225" t="s">
        <v>8483</v>
      </c>
      <c r="M225">
        <v>3683</v>
      </c>
    </row>
    <row r="226" spans="1:13" x14ac:dyDescent="0.25">
      <c r="A226" t="s">
        <v>8823</v>
      </c>
      <c r="B226">
        <v>1</v>
      </c>
      <c r="C226" t="s">
        <v>8158</v>
      </c>
      <c r="D226">
        <v>270</v>
      </c>
      <c r="E226" t="s">
        <v>29</v>
      </c>
      <c r="F226">
        <v>3</v>
      </c>
      <c r="G226">
        <v>-15</v>
      </c>
      <c r="H226" t="s">
        <v>7882</v>
      </c>
      <c r="I226">
        <v>4</v>
      </c>
      <c r="J226">
        <v>154</v>
      </c>
      <c r="K226">
        <v>86</v>
      </c>
      <c r="L226" t="s">
        <v>8157</v>
      </c>
      <c r="M226">
        <v>1578</v>
      </c>
    </row>
    <row r="227" spans="1:13" x14ac:dyDescent="0.25">
      <c r="A227" t="s">
        <v>8824</v>
      </c>
      <c r="B227">
        <v>1</v>
      </c>
      <c r="C227" t="s">
        <v>8160</v>
      </c>
      <c r="D227">
        <v>270</v>
      </c>
      <c r="E227" t="s">
        <v>29</v>
      </c>
      <c r="F227">
        <v>3</v>
      </c>
      <c r="G227">
        <v>-10</v>
      </c>
      <c r="H227" t="s">
        <v>7882</v>
      </c>
      <c r="I227">
        <v>4</v>
      </c>
      <c r="J227">
        <v>154</v>
      </c>
      <c r="K227">
        <v>86</v>
      </c>
      <c r="L227" t="s">
        <v>8159</v>
      </c>
      <c r="M227">
        <v>1578</v>
      </c>
    </row>
    <row r="228" spans="1:13" x14ac:dyDescent="0.25">
      <c r="A228" t="s">
        <v>8825</v>
      </c>
      <c r="B228">
        <v>1</v>
      </c>
      <c r="C228" t="s">
        <v>8162</v>
      </c>
      <c r="D228">
        <v>270</v>
      </c>
      <c r="E228" t="s">
        <v>29</v>
      </c>
      <c r="F228">
        <v>3</v>
      </c>
      <c r="G228">
        <v>-5</v>
      </c>
      <c r="H228" t="s">
        <v>7882</v>
      </c>
      <c r="I228">
        <v>4</v>
      </c>
      <c r="J228">
        <v>154</v>
      </c>
      <c r="K228">
        <v>86</v>
      </c>
      <c r="L228" t="s">
        <v>8161</v>
      </c>
      <c r="M228">
        <v>1578</v>
      </c>
    </row>
    <row r="229" spans="1:13" x14ac:dyDescent="0.25">
      <c r="A229" t="s">
        <v>8826</v>
      </c>
      <c r="B229">
        <v>1</v>
      </c>
      <c r="C229" t="s">
        <v>8164</v>
      </c>
      <c r="D229">
        <v>270</v>
      </c>
      <c r="E229" t="s">
        <v>29</v>
      </c>
      <c r="F229">
        <v>3</v>
      </c>
      <c r="G229">
        <v>0</v>
      </c>
      <c r="H229" t="s">
        <v>7882</v>
      </c>
      <c r="I229">
        <v>4</v>
      </c>
      <c r="J229">
        <v>154</v>
      </c>
      <c r="K229">
        <v>86</v>
      </c>
      <c r="L229" t="s">
        <v>8163</v>
      </c>
      <c r="M229">
        <v>1578</v>
      </c>
    </row>
    <row r="230" spans="1:13" x14ac:dyDescent="0.25">
      <c r="A230" t="s">
        <v>8895</v>
      </c>
      <c r="B230">
        <v>1</v>
      </c>
      <c r="C230" t="s">
        <v>8302</v>
      </c>
      <c r="D230">
        <v>585</v>
      </c>
      <c r="E230" t="s">
        <v>22</v>
      </c>
      <c r="F230">
        <v>6</v>
      </c>
      <c r="G230">
        <v>-15</v>
      </c>
      <c r="H230" t="s">
        <v>7882</v>
      </c>
      <c r="I230">
        <v>6</v>
      </c>
      <c r="J230">
        <v>158</v>
      </c>
      <c r="K230">
        <v>87</v>
      </c>
      <c r="L230" t="s">
        <v>8301</v>
      </c>
      <c r="M230">
        <v>1927</v>
      </c>
    </row>
    <row r="231" spans="1:13" x14ac:dyDescent="0.25">
      <c r="A231" t="s">
        <v>8896</v>
      </c>
      <c r="B231">
        <v>1</v>
      </c>
      <c r="C231" t="s">
        <v>8304</v>
      </c>
      <c r="D231">
        <v>585</v>
      </c>
      <c r="E231" t="s">
        <v>22</v>
      </c>
      <c r="F231">
        <v>6</v>
      </c>
      <c r="G231">
        <v>-10</v>
      </c>
      <c r="H231" t="s">
        <v>7882</v>
      </c>
      <c r="I231">
        <v>6</v>
      </c>
      <c r="J231">
        <v>158</v>
      </c>
      <c r="K231">
        <v>87</v>
      </c>
      <c r="L231" t="s">
        <v>8303</v>
      </c>
      <c r="M231">
        <v>1927</v>
      </c>
    </row>
    <row r="232" spans="1:13" x14ac:dyDescent="0.25">
      <c r="A232" t="s">
        <v>8897</v>
      </c>
      <c r="B232">
        <v>1</v>
      </c>
      <c r="C232" t="s">
        <v>8306</v>
      </c>
      <c r="D232">
        <v>585</v>
      </c>
      <c r="E232" t="s">
        <v>22</v>
      </c>
      <c r="F232">
        <v>6</v>
      </c>
      <c r="G232">
        <v>-5</v>
      </c>
      <c r="H232" t="s">
        <v>7882</v>
      </c>
      <c r="I232">
        <v>6</v>
      </c>
      <c r="J232">
        <v>158</v>
      </c>
      <c r="K232">
        <v>87</v>
      </c>
      <c r="L232" t="s">
        <v>8305</v>
      </c>
      <c r="M232">
        <v>1927</v>
      </c>
    </row>
    <row r="233" spans="1:13" x14ac:dyDescent="0.25">
      <c r="A233" t="s">
        <v>8898</v>
      </c>
      <c r="B233">
        <v>1</v>
      </c>
      <c r="C233" t="s">
        <v>8308</v>
      </c>
      <c r="D233">
        <v>585</v>
      </c>
      <c r="E233" t="s">
        <v>22</v>
      </c>
      <c r="F233">
        <v>6</v>
      </c>
      <c r="G233">
        <v>0</v>
      </c>
      <c r="H233" t="s">
        <v>7882</v>
      </c>
      <c r="I233">
        <v>6</v>
      </c>
      <c r="J233">
        <v>158</v>
      </c>
      <c r="K233">
        <v>87</v>
      </c>
      <c r="L233" t="s">
        <v>8307</v>
      </c>
      <c r="M233">
        <v>1927</v>
      </c>
    </row>
    <row r="234" spans="1:13" x14ac:dyDescent="0.25">
      <c r="A234" t="s">
        <v>8827</v>
      </c>
      <c r="B234">
        <v>1</v>
      </c>
      <c r="C234" t="s">
        <v>8166</v>
      </c>
      <c r="D234">
        <v>924</v>
      </c>
      <c r="E234" t="s">
        <v>29</v>
      </c>
      <c r="F234">
        <v>3</v>
      </c>
      <c r="G234">
        <v>-15</v>
      </c>
      <c r="H234" t="s">
        <v>7882</v>
      </c>
      <c r="I234">
        <v>4</v>
      </c>
      <c r="J234">
        <v>120</v>
      </c>
      <c r="K234">
        <v>87</v>
      </c>
      <c r="L234" t="s">
        <v>8165</v>
      </c>
      <c r="M234">
        <v>3510</v>
      </c>
    </row>
    <row r="235" spans="1:13" x14ac:dyDescent="0.25">
      <c r="A235" t="s">
        <v>8828</v>
      </c>
      <c r="B235">
        <v>1</v>
      </c>
      <c r="C235" t="s">
        <v>8168</v>
      </c>
      <c r="D235">
        <v>924</v>
      </c>
      <c r="E235" t="s">
        <v>29</v>
      </c>
      <c r="F235">
        <v>3</v>
      </c>
      <c r="G235">
        <v>-10</v>
      </c>
      <c r="H235" t="s">
        <v>7882</v>
      </c>
      <c r="I235">
        <v>4</v>
      </c>
      <c r="J235">
        <v>120</v>
      </c>
      <c r="K235">
        <v>87</v>
      </c>
      <c r="L235" t="s">
        <v>8167</v>
      </c>
      <c r="M235">
        <v>3510</v>
      </c>
    </row>
    <row r="236" spans="1:13" x14ac:dyDescent="0.25">
      <c r="A236" t="s">
        <v>8829</v>
      </c>
      <c r="B236">
        <v>1</v>
      </c>
      <c r="C236" t="s">
        <v>8170</v>
      </c>
      <c r="D236">
        <v>924</v>
      </c>
      <c r="E236" t="s">
        <v>29</v>
      </c>
      <c r="F236">
        <v>3</v>
      </c>
      <c r="G236">
        <v>-5</v>
      </c>
      <c r="H236" t="s">
        <v>7882</v>
      </c>
      <c r="I236">
        <v>4</v>
      </c>
      <c r="J236">
        <v>120</v>
      </c>
      <c r="K236">
        <v>87</v>
      </c>
      <c r="L236" t="s">
        <v>8169</v>
      </c>
      <c r="M236">
        <v>3510</v>
      </c>
    </row>
    <row r="237" spans="1:13" x14ac:dyDescent="0.25">
      <c r="A237" t="s">
        <v>8830</v>
      </c>
      <c r="B237">
        <v>1</v>
      </c>
      <c r="C237" t="s">
        <v>8172</v>
      </c>
      <c r="D237">
        <v>924</v>
      </c>
      <c r="E237" t="s">
        <v>29</v>
      </c>
      <c r="F237">
        <v>3</v>
      </c>
      <c r="G237">
        <v>0</v>
      </c>
      <c r="H237" t="s">
        <v>7882</v>
      </c>
      <c r="I237">
        <v>4</v>
      </c>
      <c r="J237">
        <v>120</v>
      </c>
      <c r="K237">
        <v>87</v>
      </c>
      <c r="L237" t="s">
        <v>8171</v>
      </c>
      <c r="M237">
        <v>3510</v>
      </c>
    </row>
    <row r="238" spans="1:13" x14ac:dyDescent="0.25">
      <c r="A238" t="s">
        <v>8899</v>
      </c>
      <c r="B238">
        <v>1</v>
      </c>
      <c r="C238" t="s">
        <v>8310</v>
      </c>
      <c r="D238">
        <v>474</v>
      </c>
      <c r="E238" t="s">
        <v>22</v>
      </c>
      <c r="F238">
        <v>3</v>
      </c>
      <c r="G238">
        <v>-15</v>
      </c>
      <c r="H238" t="s">
        <v>7882</v>
      </c>
      <c r="I238">
        <v>8</v>
      </c>
      <c r="J238">
        <v>0</v>
      </c>
      <c r="K238">
        <v>92</v>
      </c>
      <c r="L238" t="s">
        <v>8309</v>
      </c>
      <c r="M238">
        <v>1553</v>
      </c>
    </row>
    <row r="239" spans="1:13" x14ac:dyDescent="0.25">
      <c r="A239" t="s">
        <v>8900</v>
      </c>
      <c r="B239">
        <v>1</v>
      </c>
      <c r="C239" t="s">
        <v>8312</v>
      </c>
      <c r="D239">
        <v>474</v>
      </c>
      <c r="E239" t="s">
        <v>22</v>
      </c>
      <c r="F239">
        <v>3</v>
      </c>
      <c r="G239">
        <v>-10</v>
      </c>
      <c r="H239" t="s">
        <v>7882</v>
      </c>
      <c r="I239">
        <v>8</v>
      </c>
      <c r="J239">
        <v>0</v>
      </c>
      <c r="K239">
        <v>92</v>
      </c>
      <c r="L239" t="s">
        <v>8311</v>
      </c>
      <c r="M239">
        <v>1553</v>
      </c>
    </row>
    <row r="240" spans="1:13" x14ac:dyDescent="0.25">
      <c r="A240" t="s">
        <v>8901</v>
      </c>
      <c r="B240">
        <v>1</v>
      </c>
      <c r="C240" t="s">
        <v>8314</v>
      </c>
      <c r="D240">
        <v>474</v>
      </c>
      <c r="E240" t="s">
        <v>22</v>
      </c>
      <c r="F240">
        <v>3</v>
      </c>
      <c r="G240">
        <v>-5</v>
      </c>
      <c r="H240" t="s">
        <v>7882</v>
      </c>
      <c r="I240">
        <v>8</v>
      </c>
      <c r="J240">
        <v>0</v>
      </c>
      <c r="K240">
        <v>92</v>
      </c>
      <c r="L240" t="s">
        <v>8313</v>
      </c>
      <c r="M240">
        <v>1553</v>
      </c>
    </row>
    <row r="241" spans="1:13" x14ac:dyDescent="0.25">
      <c r="A241" t="s">
        <v>8902</v>
      </c>
      <c r="B241">
        <v>1</v>
      </c>
      <c r="C241" t="s">
        <v>8316</v>
      </c>
      <c r="D241">
        <v>474</v>
      </c>
      <c r="E241" t="s">
        <v>22</v>
      </c>
      <c r="F241">
        <v>3</v>
      </c>
      <c r="G241">
        <v>0</v>
      </c>
      <c r="H241" t="s">
        <v>7882</v>
      </c>
      <c r="I241">
        <v>8</v>
      </c>
      <c r="J241">
        <v>0</v>
      </c>
      <c r="K241">
        <v>92</v>
      </c>
      <c r="L241" t="s">
        <v>8315</v>
      </c>
      <c r="M241">
        <v>1553</v>
      </c>
    </row>
    <row r="242" spans="1:13" x14ac:dyDescent="0.25">
      <c r="A242" t="s">
        <v>8831</v>
      </c>
      <c r="B242">
        <v>1</v>
      </c>
      <c r="C242" t="s">
        <v>8174</v>
      </c>
      <c r="D242">
        <v>258</v>
      </c>
      <c r="E242" t="s">
        <v>29</v>
      </c>
      <c r="F242">
        <v>3</v>
      </c>
      <c r="G242">
        <v>-15</v>
      </c>
      <c r="H242" t="s">
        <v>7882</v>
      </c>
      <c r="I242">
        <v>4</v>
      </c>
      <c r="J242">
        <v>52</v>
      </c>
      <c r="K242">
        <v>93</v>
      </c>
      <c r="L242" t="s">
        <v>8173</v>
      </c>
      <c r="M242">
        <v>1535</v>
      </c>
    </row>
    <row r="243" spans="1:13" x14ac:dyDescent="0.25">
      <c r="A243" t="s">
        <v>8832</v>
      </c>
      <c r="B243">
        <v>1</v>
      </c>
      <c r="C243" t="s">
        <v>8176</v>
      </c>
      <c r="D243">
        <v>258</v>
      </c>
      <c r="E243" t="s">
        <v>29</v>
      </c>
      <c r="F243">
        <v>3</v>
      </c>
      <c r="G243">
        <v>-10</v>
      </c>
      <c r="H243" t="s">
        <v>7882</v>
      </c>
      <c r="I243">
        <v>4</v>
      </c>
      <c r="J243">
        <v>52</v>
      </c>
      <c r="K243">
        <v>93</v>
      </c>
      <c r="L243" t="s">
        <v>8175</v>
      </c>
      <c r="M243">
        <v>1535</v>
      </c>
    </row>
    <row r="244" spans="1:13" x14ac:dyDescent="0.25">
      <c r="A244" t="s">
        <v>8833</v>
      </c>
      <c r="B244">
        <v>1</v>
      </c>
      <c r="C244" t="s">
        <v>8178</v>
      </c>
      <c r="D244">
        <v>258</v>
      </c>
      <c r="E244" t="s">
        <v>29</v>
      </c>
      <c r="F244">
        <v>3</v>
      </c>
      <c r="G244">
        <v>-5</v>
      </c>
      <c r="H244" t="s">
        <v>7882</v>
      </c>
      <c r="I244">
        <v>4</v>
      </c>
      <c r="J244">
        <v>52</v>
      </c>
      <c r="K244">
        <v>93</v>
      </c>
      <c r="L244" t="s">
        <v>8177</v>
      </c>
      <c r="M244">
        <v>1535</v>
      </c>
    </row>
    <row r="245" spans="1:13" x14ac:dyDescent="0.25">
      <c r="A245" t="s">
        <v>8834</v>
      </c>
      <c r="B245">
        <v>1</v>
      </c>
      <c r="C245" t="s">
        <v>8180</v>
      </c>
      <c r="D245">
        <v>258</v>
      </c>
      <c r="E245" t="s">
        <v>29</v>
      </c>
      <c r="F245">
        <v>3</v>
      </c>
      <c r="G245">
        <v>0</v>
      </c>
      <c r="H245" t="s">
        <v>7882</v>
      </c>
      <c r="I245">
        <v>4</v>
      </c>
      <c r="J245">
        <v>52</v>
      </c>
      <c r="K245">
        <v>93</v>
      </c>
      <c r="L245" t="s">
        <v>8179</v>
      </c>
      <c r="M245">
        <v>1535</v>
      </c>
    </row>
    <row r="246" spans="1:13" x14ac:dyDescent="0.25">
      <c r="A246" t="s">
        <v>8835</v>
      </c>
      <c r="B246">
        <v>1</v>
      </c>
      <c r="C246" t="s">
        <v>8182</v>
      </c>
      <c r="D246">
        <v>518</v>
      </c>
      <c r="E246" t="s">
        <v>29</v>
      </c>
      <c r="F246">
        <v>6</v>
      </c>
      <c r="G246">
        <v>-15</v>
      </c>
      <c r="H246" t="s">
        <v>7882</v>
      </c>
      <c r="I246">
        <v>2</v>
      </c>
      <c r="J246">
        <v>46</v>
      </c>
      <c r="K246">
        <v>97</v>
      </c>
      <c r="L246" t="s">
        <v>8181</v>
      </c>
      <c r="M246">
        <v>2577</v>
      </c>
    </row>
    <row r="247" spans="1:13" x14ac:dyDescent="0.25">
      <c r="A247" t="s">
        <v>8836</v>
      </c>
      <c r="B247">
        <v>1</v>
      </c>
      <c r="C247" t="s">
        <v>8184</v>
      </c>
      <c r="D247">
        <v>518</v>
      </c>
      <c r="E247" t="s">
        <v>29</v>
      </c>
      <c r="F247">
        <v>6</v>
      </c>
      <c r="G247">
        <v>-10</v>
      </c>
      <c r="H247" t="s">
        <v>7882</v>
      </c>
      <c r="I247">
        <v>2</v>
      </c>
      <c r="J247">
        <v>46</v>
      </c>
      <c r="K247">
        <v>97</v>
      </c>
      <c r="L247" t="s">
        <v>8183</v>
      </c>
      <c r="M247">
        <v>2577</v>
      </c>
    </row>
    <row r="248" spans="1:13" x14ac:dyDescent="0.25">
      <c r="A248" t="s">
        <v>8837</v>
      </c>
      <c r="B248">
        <v>1</v>
      </c>
      <c r="C248" t="s">
        <v>8186</v>
      </c>
      <c r="D248">
        <v>518</v>
      </c>
      <c r="E248" t="s">
        <v>29</v>
      </c>
      <c r="F248">
        <v>6</v>
      </c>
      <c r="G248">
        <v>-5</v>
      </c>
      <c r="H248" t="s">
        <v>7882</v>
      </c>
      <c r="I248">
        <v>2</v>
      </c>
      <c r="J248">
        <v>46</v>
      </c>
      <c r="K248">
        <v>97</v>
      </c>
      <c r="L248" t="s">
        <v>8185</v>
      </c>
      <c r="M248">
        <v>2577</v>
      </c>
    </row>
    <row r="249" spans="1:13" x14ac:dyDescent="0.25">
      <c r="A249" t="s">
        <v>8838</v>
      </c>
      <c r="B249">
        <v>1</v>
      </c>
      <c r="C249" t="s">
        <v>8188</v>
      </c>
      <c r="D249">
        <v>518</v>
      </c>
      <c r="E249" t="s">
        <v>29</v>
      </c>
      <c r="F249">
        <v>6</v>
      </c>
      <c r="G249">
        <v>0</v>
      </c>
      <c r="H249" t="s">
        <v>7882</v>
      </c>
      <c r="I249">
        <v>2</v>
      </c>
      <c r="J249">
        <v>46</v>
      </c>
      <c r="K249">
        <v>97</v>
      </c>
      <c r="L249" t="s">
        <v>8187</v>
      </c>
      <c r="M249">
        <v>2577</v>
      </c>
    </row>
    <row r="250" spans="1:13" x14ac:dyDescent="0.25">
      <c r="A250" t="s">
        <v>8987</v>
      </c>
      <c r="B250">
        <v>1</v>
      </c>
      <c r="C250" t="s">
        <v>8486</v>
      </c>
      <c r="D250">
        <v>741</v>
      </c>
      <c r="E250" t="s">
        <v>25</v>
      </c>
      <c r="F250">
        <v>3</v>
      </c>
      <c r="G250">
        <v>-15</v>
      </c>
      <c r="H250" t="s">
        <v>7882</v>
      </c>
      <c r="I250">
        <v>16</v>
      </c>
      <c r="J250">
        <v>350</v>
      </c>
      <c r="K250">
        <v>98</v>
      </c>
      <c r="L250" t="s">
        <v>8485</v>
      </c>
      <c r="M250">
        <v>1693</v>
      </c>
    </row>
    <row r="251" spans="1:13" x14ac:dyDescent="0.25">
      <c r="A251" t="s">
        <v>8988</v>
      </c>
      <c r="B251">
        <v>1</v>
      </c>
      <c r="C251" t="s">
        <v>8488</v>
      </c>
      <c r="D251">
        <v>741</v>
      </c>
      <c r="E251" t="s">
        <v>25</v>
      </c>
      <c r="F251">
        <v>3</v>
      </c>
      <c r="G251">
        <v>-10</v>
      </c>
      <c r="H251" t="s">
        <v>7882</v>
      </c>
      <c r="I251">
        <v>16</v>
      </c>
      <c r="J251">
        <v>350</v>
      </c>
      <c r="K251">
        <v>98</v>
      </c>
      <c r="L251" t="s">
        <v>8487</v>
      </c>
      <c r="M251">
        <v>1693</v>
      </c>
    </row>
    <row r="252" spans="1:13" x14ac:dyDescent="0.25">
      <c r="A252" t="s">
        <v>8989</v>
      </c>
      <c r="B252">
        <v>1</v>
      </c>
      <c r="C252" t="s">
        <v>8490</v>
      </c>
      <c r="D252">
        <v>741</v>
      </c>
      <c r="E252" t="s">
        <v>25</v>
      </c>
      <c r="F252">
        <v>3</v>
      </c>
      <c r="G252">
        <v>-5</v>
      </c>
      <c r="H252" t="s">
        <v>7882</v>
      </c>
      <c r="I252">
        <v>16</v>
      </c>
      <c r="J252">
        <v>350</v>
      </c>
      <c r="K252">
        <v>98</v>
      </c>
      <c r="L252" t="s">
        <v>8489</v>
      </c>
      <c r="M252">
        <v>1693</v>
      </c>
    </row>
    <row r="253" spans="1:13" x14ac:dyDescent="0.25">
      <c r="A253" t="s">
        <v>8990</v>
      </c>
      <c r="B253">
        <v>1</v>
      </c>
      <c r="C253" t="s">
        <v>8492</v>
      </c>
      <c r="D253">
        <v>741</v>
      </c>
      <c r="E253" t="s">
        <v>25</v>
      </c>
      <c r="F253">
        <v>3</v>
      </c>
      <c r="G253">
        <v>0</v>
      </c>
      <c r="H253" t="s">
        <v>7882</v>
      </c>
      <c r="I253">
        <v>16</v>
      </c>
      <c r="J253">
        <v>350</v>
      </c>
      <c r="K253">
        <v>98</v>
      </c>
      <c r="L253" t="s">
        <v>8491</v>
      </c>
      <c r="M253">
        <v>1693</v>
      </c>
    </row>
    <row r="254" spans="1:13" x14ac:dyDescent="0.25">
      <c r="A254" t="s">
        <v>8991</v>
      </c>
      <c r="B254">
        <v>1</v>
      </c>
      <c r="C254" t="s">
        <v>8494</v>
      </c>
      <c r="D254">
        <v>387</v>
      </c>
      <c r="E254" t="s">
        <v>25</v>
      </c>
      <c r="F254">
        <v>3</v>
      </c>
      <c r="G254">
        <v>-15</v>
      </c>
      <c r="H254" t="s">
        <v>7882</v>
      </c>
      <c r="I254">
        <v>16</v>
      </c>
      <c r="J254">
        <v>234</v>
      </c>
      <c r="K254">
        <v>99</v>
      </c>
      <c r="L254" t="s">
        <v>8493</v>
      </c>
      <c r="M254">
        <v>876</v>
      </c>
    </row>
    <row r="255" spans="1:13" x14ac:dyDescent="0.25">
      <c r="A255" t="s">
        <v>8992</v>
      </c>
      <c r="B255">
        <v>1</v>
      </c>
      <c r="C255" t="s">
        <v>8496</v>
      </c>
      <c r="D255">
        <v>387</v>
      </c>
      <c r="E255" t="s">
        <v>25</v>
      </c>
      <c r="F255">
        <v>3</v>
      </c>
      <c r="G255">
        <v>-10</v>
      </c>
      <c r="H255" t="s">
        <v>7882</v>
      </c>
      <c r="I255">
        <v>16</v>
      </c>
      <c r="J255">
        <v>234</v>
      </c>
      <c r="K255">
        <v>99</v>
      </c>
      <c r="L255" t="s">
        <v>8495</v>
      </c>
      <c r="M255">
        <v>876</v>
      </c>
    </row>
    <row r="256" spans="1:13" x14ac:dyDescent="0.25">
      <c r="A256" t="s">
        <v>8993</v>
      </c>
      <c r="B256">
        <v>1</v>
      </c>
      <c r="C256" t="s">
        <v>8498</v>
      </c>
      <c r="D256">
        <v>387</v>
      </c>
      <c r="E256" t="s">
        <v>25</v>
      </c>
      <c r="F256">
        <v>3</v>
      </c>
      <c r="G256">
        <v>-5</v>
      </c>
      <c r="H256" t="s">
        <v>7882</v>
      </c>
      <c r="I256">
        <v>16</v>
      </c>
      <c r="J256">
        <v>234</v>
      </c>
      <c r="K256">
        <v>99</v>
      </c>
      <c r="L256" t="s">
        <v>8497</v>
      </c>
      <c r="M256">
        <v>876</v>
      </c>
    </row>
    <row r="257" spans="1:13" x14ac:dyDescent="0.25">
      <c r="A257" t="s">
        <v>8994</v>
      </c>
      <c r="B257">
        <v>1</v>
      </c>
      <c r="C257" t="s">
        <v>8500</v>
      </c>
      <c r="D257">
        <v>387</v>
      </c>
      <c r="E257" t="s">
        <v>25</v>
      </c>
      <c r="F257">
        <v>3</v>
      </c>
      <c r="G257">
        <v>0</v>
      </c>
      <c r="H257" t="s">
        <v>7882</v>
      </c>
      <c r="I257">
        <v>16</v>
      </c>
      <c r="J257">
        <v>234</v>
      </c>
      <c r="K257">
        <v>99</v>
      </c>
      <c r="L257" t="s">
        <v>8499</v>
      </c>
      <c r="M257">
        <v>876</v>
      </c>
    </row>
    <row r="258" spans="1:13" x14ac:dyDescent="0.25">
      <c r="A258" t="s">
        <v>8995</v>
      </c>
      <c r="B258">
        <v>1</v>
      </c>
      <c r="C258" t="s">
        <v>8502</v>
      </c>
      <c r="D258">
        <v>137</v>
      </c>
      <c r="E258" t="s">
        <v>25</v>
      </c>
      <c r="F258">
        <v>3</v>
      </c>
      <c r="G258">
        <v>-15</v>
      </c>
      <c r="H258" t="s">
        <v>7882</v>
      </c>
      <c r="I258">
        <v>16</v>
      </c>
      <c r="J258">
        <v>148</v>
      </c>
      <c r="K258">
        <v>100</v>
      </c>
      <c r="L258" t="s">
        <v>8501</v>
      </c>
      <c r="M258">
        <v>333</v>
      </c>
    </row>
    <row r="259" spans="1:13" x14ac:dyDescent="0.25">
      <c r="A259" t="s">
        <v>8996</v>
      </c>
      <c r="B259">
        <v>1</v>
      </c>
      <c r="C259" t="s">
        <v>8504</v>
      </c>
      <c r="D259">
        <v>137</v>
      </c>
      <c r="E259" t="s">
        <v>25</v>
      </c>
      <c r="F259">
        <v>3</v>
      </c>
      <c r="G259">
        <v>-10</v>
      </c>
      <c r="H259" t="s">
        <v>7882</v>
      </c>
      <c r="I259">
        <v>16</v>
      </c>
      <c r="J259">
        <v>148</v>
      </c>
      <c r="K259">
        <v>100</v>
      </c>
      <c r="L259" t="s">
        <v>8503</v>
      </c>
      <c r="M259">
        <v>333</v>
      </c>
    </row>
    <row r="260" spans="1:13" x14ac:dyDescent="0.25">
      <c r="A260" t="s">
        <v>8997</v>
      </c>
      <c r="B260">
        <v>1</v>
      </c>
      <c r="C260" t="s">
        <v>8506</v>
      </c>
      <c r="D260">
        <v>137</v>
      </c>
      <c r="E260" t="s">
        <v>25</v>
      </c>
      <c r="F260">
        <v>3</v>
      </c>
      <c r="G260">
        <v>-5</v>
      </c>
      <c r="H260" t="s">
        <v>7882</v>
      </c>
      <c r="I260">
        <v>16</v>
      </c>
      <c r="J260">
        <v>148</v>
      </c>
      <c r="K260">
        <v>100</v>
      </c>
      <c r="L260" t="s">
        <v>8505</v>
      </c>
      <c r="M260">
        <v>333</v>
      </c>
    </row>
    <row r="261" spans="1:13" x14ac:dyDescent="0.25">
      <c r="A261" t="s">
        <v>8998</v>
      </c>
      <c r="B261">
        <v>1</v>
      </c>
      <c r="C261" t="s">
        <v>8508</v>
      </c>
      <c r="D261">
        <v>137</v>
      </c>
      <c r="E261" t="s">
        <v>25</v>
      </c>
      <c r="F261">
        <v>3</v>
      </c>
      <c r="G261">
        <v>0</v>
      </c>
      <c r="H261" t="s">
        <v>7882</v>
      </c>
      <c r="I261">
        <v>16</v>
      </c>
      <c r="J261">
        <v>148</v>
      </c>
      <c r="K261">
        <v>100</v>
      </c>
      <c r="L261" t="s">
        <v>8507</v>
      </c>
      <c r="M261">
        <v>333</v>
      </c>
    </row>
    <row r="262" spans="1:13" x14ac:dyDescent="0.25">
      <c r="A262" t="s">
        <v>8903</v>
      </c>
      <c r="B262">
        <v>1</v>
      </c>
      <c r="C262" t="s">
        <v>8318</v>
      </c>
      <c r="D262">
        <v>976</v>
      </c>
      <c r="E262" t="s">
        <v>22</v>
      </c>
      <c r="F262">
        <v>6</v>
      </c>
      <c r="G262">
        <v>-15</v>
      </c>
      <c r="H262" t="s">
        <v>7882</v>
      </c>
      <c r="I262">
        <v>6</v>
      </c>
      <c r="J262">
        <v>226</v>
      </c>
      <c r="K262">
        <v>101</v>
      </c>
      <c r="L262" t="s">
        <v>8317</v>
      </c>
      <c r="M262">
        <v>3131</v>
      </c>
    </row>
    <row r="263" spans="1:13" x14ac:dyDescent="0.25">
      <c r="A263" t="s">
        <v>8904</v>
      </c>
      <c r="B263">
        <v>1</v>
      </c>
      <c r="C263" t="s">
        <v>8320</v>
      </c>
      <c r="D263">
        <v>976</v>
      </c>
      <c r="E263" t="s">
        <v>22</v>
      </c>
      <c r="F263">
        <v>6</v>
      </c>
      <c r="G263">
        <v>-10</v>
      </c>
      <c r="H263" t="s">
        <v>7882</v>
      </c>
      <c r="I263">
        <v>6</v>
      </c>
      <c r="J263">
        <v>226</v>
      </c>
      <c r="K263">
        <v>101</v>
      </c>
      <c r="L263" t="s">
        <v>8319</v>
      </c>
      <c r="M263">
        <v>3131</v>
      </c>
    </row>
    <row r="264" spans="1:13" x14ac:dyDescent="0.25">
      <c r="A264" t="s">
        <v>8905</v>
      </c>
      <c r="B264">
        <v>1</v>
      </c>
      <c r="C264" t="s">
        <v>8322</v>
      </c>
      <c r="D264">
        <v>976</v>
      </c>
      <c r="E264" t="s">
        <v>22</v>
      </c>
      <c r="F264">
        <v>6</v>
      </c>
      <c r="G264">
        <v>-5</v>
      </c>
      <c r="H264" t="s">
        <v>7882</v>
      </c>
      <c r="I264">
        <v>6</v>
      </c>
      <c r="J264">
        <v>226</v>
      </c>
      <c r="K264">
        <v>101</v>
      </c>
      <c r="L264" t="s">
        <v>8321</v>
      </c>
      <c r="M264">
        <v>3131</v>
      </c>
    </row>
    <row r="265" spans="1:13" x14ac:dyDescent="0.25">
      <c r="A265" t="s">
        <v>8906</v>
      </c>
      <c r="B265">
        <v>1</v>
      </c>
      <c r="C265" t="s">
        <v>8324</v>
      </c>
      <c r="D265">
        <v>976</v>
      </c>
      <c r="E265" t="s">
        <v>22</v>
      </c>
      <c r="F265">
        <v>6</v>
      </c>
      <c r="G265">
        <v>0</v>
      </c>
      <c r="H265" t="s">
        <v>7882</v>
      </c>
      <c r="I265">
        <v>6</v>
      </c>
      <c r="J265">
        <v>226</v>
      </c>
      <c r="K265">
        <v>101</v>
      </c>
      <c r="L265" t="s">
        <v>8323</v>
      </c>
      <c r="M265">
        <v>3131</v>
      </c>
    </row>
    <row r="266" spans="1:13" x14ac:dyDescent="0.25">
      <c r="A266" t="s">
        <v>8747</v>
      </c>
      <c r="B266">
        <v>1</v>
      </c>
      <c r="C266" t="s">
        <v>8006</v>
      </c>
      <c r="D266">
        <v>60</v>
      </c>
      <c r="E266" t="s">
        <v>32</v>
      </c>
      <c r="F266">
        <v>6</v>
      </c>
      <c r="G266">
        <v>-15</v>
      </c>
      <c r="H266" t="s">
        <v>7882</v>
      </c>
      <c r="I266">
        <v>10</v>
      </c>
      <c r="J266">
        <v>120</v>
      </c>
      <c r="K266">
        <v>103</v>
      </c>
      <c r="L266" t="s">
        <v>8005</v>
      </c>
      <c r="M266">
        <v>802</v>
      </c>
    </row>
    <row r="267" spans="1:13" x14ac:dyDescent="0.25">
      <c r="A267" t="s">
        <v>8748</v>
      </c>
      <c r="B267">
        <v>1</v>
      </c>
      <c r="C267" t="s">
        <v>8008</v>
      </c>
      <c r="D267">
        <v>407</v>
      </c>
      <c r="E267" t="s">
        <v>32</v>
      </c>
      <c r="F267">
        <v>6</v>
      </c>
      <c r="G267">
        <v>-15</v>
      </c>
      <c r="H267" t="s">
        <v>7882</v>
      </c>
      <c r="I267">
        <v>10</v>
      </c>
      <c r="J267">
        <v>130</v>
      </c>
      <c r="K267">
        <v>103</v>
      </c>
      <c r="L267" t="s">
        <v>8007</v>
      </c>
      <c r="M267">
        <v>3300</v>
      </c>
    </row>
    <row r="268" spans="1:13" x14ac:dyDescent="0.25">
      <c r="A268" t="s">
        <v>8749</v>
      </c>
      <c r="B268">
        <v>1</v>
      </c>
      <c r="C268" t="s">
        <v>8010</v>
      </c>
      <c r="D268">
        <v>60</v>
      </c>
      <c r="E268" t="s">
        <v>32</v>
      </c>
      <c r="F268">
        <v>6</v>
      </c>
      <c r="G268">
        <v>-10</v>
      </c>
      <c r="H268" t="s">
        <v>7882</v>
      </c>
      <c r="I268">
        <v>10</v>
      </c>
      <c r="J268">
        <v>120</v>
      </c>
      <c r="K268">
        <v>103</v>
      </c>
      <c r="L268" t="s">
        <v>8009</v>
      </c>
      <c r="M268">
        <v>802</v>
      </c>
    </row>
    <row r="269" spans="1:13" x14ac:dyDescent="0.25">
      <c r="A269" t="s">
        <v>8750</v>
      </c>
      <c r="B269">
        <v>1</v>
      </c>
      <c r="C269" t="s">
        <v>8012</v>
      </c>
      <c r="D269">
        <v>407</v>
      </c>
      <c r="E269" t="s">
        <v>32</v>
      </c>
      <c r="F269">
        <v>6</v>
      </c>
      <c r="G269">
        <v>-10</v>
      </c>
      <c r="H269" t="s">
        <v>7882</v>
      </c>
      <c r="I269">
        <v>10</v>
      </c>
      <c r="J269">
        <v>130</v>
      </c>
      <c r="K269">
        <v>103</v>
      </c>
      <c r="L269" t="s">
        <v>8011</v>
      </c>
      <c r="M269">
        <v>3300</v>
      </c>
    </row>
    <row r="270" spans="1:13" x14ac:dyDescent="0.25">
      <c r="A270" t="s">
        <v>8751</v>
      </c>
      <c r="B270">
        <v>1</v>
      </c>
      <c r="C270" t="s">
        <v>8014</v>
      </c>
      <c r="D270">
        <v>60</v>
      </c>
      <c r="E270" t="s">
        <v>32</v>
      </c>
      <c r="F270">
        <v>6</v>
      </c>
      <c r="G270">
        <v>-5</v>
      </c>
      <c r="H270" t="s">
        <v>7882</v>
      </c>
      <c r="I270">
        <v>10</v>
      </c>
      <c r="J270">
        <v>120</v>
      </c>
      <c r="K270">
        <v>103</v>
      </c>
      <c r="L270" t="s">
        <v>8013</v>
      </c>
      <c r="M270">
        <v>802</v>
      </c>
    </row>
    <row r="271" spans="1:13" x14ac:dyDescent="0.25">
      <c r="A271" t="s">
        <v>8752</v>
      </c>
      <c r="B271">
        <v>1</v>
      </c>
      <c r="C271" t="s">
        <v>8016</v>
      </c>
      <c r="D271">
        <v>407</v>
      </c>
      <c r="E271" t="s">
        <v>32</v>
      </c>
      <c r="F271">
        <v>6</v>
      </c>
      <c r="G271">
        <v>-5</v>
      </c>
      <c r="H271" t="s">
        <v>7882</v>
      </c>
      <c r="I271">
        <v>10</v>
      </c>
      <c r="J271">
        <v>130</v>
      </c>
      <c r="K271">
        <v>103</v>
      </c>
      <c r="L271" t="s">
        <v>8015</v>
      </c>
      <c r="M271">
        <v>3300</v>
      </c>
    </row>
    <row r="272" spans="1:13" x14ac:dyDescent="0.25">
      <c r="A272" t="s">
        <v>8753</v>
      </c>
      <c r="B272">
        <v>1</v>
      </c>
      <c r="C272" t="s">
        <v>8018</v>
      </c>
      <c r="D272">
        <v>60</v>
      </c>
      <c r="E272" t="s">
        <v>32</v>
      </c>
      <c r="F272">
        <v>6</v>
      </c>
      <c r="G272">
        <v>0</v>
      </c>
      <c r="H272" t="s">
        <v>7882</v>
      </c>
      <c r="I272">
        <v>10</v>
      </c>
      <c r="J272">
        <v>120</v>
      </c>
      <c r="K272">
        <v>103</v>
      </c>
      <c r="L272" t="s">
        <v>8017</v>
      </c>
      <c r="M272">
        <v>802</v>
      </c>
    </row>
    <row r="273" spans="1:13" x14ac:dyDescent="0.25">
      <c r="A273" t="s">
        <v>8754</v>
      </c>
      <c r="B273">
        <v>1</v>
      </c>
      <c r="C273" t="s">
        <v>8020</v>
      </c>
      <c r="D273">
        <v>407</v>
      </c>
      <c r="E273" t="s">
        <v>32</v>
      </c>
      <c r="F273">
        <v>6</v>
      </c>
      <c r="G273">
        <v>0</v>
      </c>
      <c r="H273" t="s">
        <v>7882</v>
      </c>
      <c r="I273">
        <v>10</v>
      </c>
      <c r="J273">
        <v>130</v>
      </c>
      <c r="K273">
        <v>103</v>
      </c>
      <c r="L273" t="s">
        <v>8019</v>
      </c>
      <c r="M273">
        <v>3300</v>
      </c>
    </row>
    <row r="274" spans="1:13" x14ac:dyDescent="0.25">
      <c r="A274" t="s">
        <v>8755</v>
      </c>
      <c r="B274">
        <v>1</v>
      </c>
      <c r="C274" t="s">
        <v>8022</v>
      </c>
      <c r="D274">
        <v>480</v>
      </c>
      <c r="E274" t="s">
        <v>32</v>
      </c>
      <c r="F274">
        <v>3</v>
      </c>
      <c r="G274">
        <v>-15</v>
      </c>
      <c r="H274" t="s">
        <v>7882</v>
      </c>
      <c r="I274">
        <v>12</v>
      </c>
      <c r="J274">
        <v>122</v>
      </c>
      <c r="K274">
        <v>104</v>
      </c>
      <c r="L274" t="s">
        <v>8021</v>
      </c>
      <c r="M274">
        <v>3775</v>
      </c>
    </row>
    <row r="275" spans="1:13" x14ac:dyDescent="0.25">
      <c r="A275" t="s">
        <v>8756</v>
      </c>
      <c r="B275">
        <v>1</v>
      </c>
      <c r="C275" t="s">
        <v>8024</v>
      </c>
      <c r="D275">
        <v>480</v>
      </c>
      <c r="E275" t="s">
        <v>32</v>
      </c>
      <c r="F275">
        <v>3</v>
      </c>
      <c r="G275">
        <v>-10</v>
      </c>
      <c r="H275" t="s">
        <v>7882</v>
      </c>
      <c r="I275">
        <v>12</v>
      </c>
      <c r="J275">
        <v>122</v>
      </c>
      <c r="K275">
        <v>104</v>
      </c>
      <c r="L275" t="s">
        <v>8023</v>
      </c>
      <c r="M275">
        <v>3775</v>
      </c>
    </row>
    <row r="276" spans="1:13" x14ac:dyDescent="0.25">
      <c r="A276" t="s">
        <v>8757</v>
      </c>
      <c r="B276">
        <v>1</v>
      </c>
      <c r="C276" t="s">
        <v>8026</v>
      </c>
      <c r="D276">
        <v>480</v>
      </c>
      <c r="E276" t="s">
        <v>32</v>
      </c>
      <c r="F276">
        <v>3</v>
      </c>
      <c r="G276">
        <v>-5</v>
      </c>
      <c r="H276" t="s">
        <v>7882</v>
      </c>
      <c r="I276">
        <v>12</v>
      </c>
      <c r="J276">
        <v>122</v>
      </c>
      <c r="K276">
        <v>104</v>
      </c>
      <c r="L276" t="s">
        <v>8025</v>
      </c>
      <c r="M276">
        <v>3775</v>
      </c>
    </row>
    <row r="277" spans="1:13" x14ac:dyDescent="0.25">
      <c r="A277" t="s">
        <v>8758</v>
      </c>
      <c r="B277">
        <v>1</v>
      </c>
      <c r="C277" t="s">
        <v>8028</v>
      </c>
      <c r="D277">
        <v>480</v>
      </c>
      <c r="E277" t="s">
        <v>32</v>
      </c>
      <c r="F277">
        <v>3</v>
      </c>
      <c r="G277">
        <v>0</v>
      </c>
      <c r="H277" t="s">
        <v>7882</v>
      </c>
      <c r="I277">
        <v>12</v>
      </c>
      <c r="J277">
        <v>122</v>
      </c>
      <c r="K277">
        <v>104</v>
      </c>
      <c r="L277" t="s">
        <v>8027</v>
      </c>
      <c r="M277">
        <v>3775</v>
      </c>
    </row>
    <row r="278" spans="1:13" x14ac:dyDescent="0.25">
      <c r="A278" t="s">
        <v>8907</v>
      </c>
      <c r="B278">
        <v>1</v>
      </c>
      <c r="C278" t="s">
        <v>8326</v>
      </c>
      <c r="D278">
        <v>426</v>
      </c>
      <c r="E278" t="s">
        <v>22</v>
      </c>
      <c r="F278">
        <v>3</v>
      </c>
      <c r="G278">
        <v>-15</v>
      </c>
      <c r="H278" t="s">
        <v>7882</v>
      </c>
      <c r="I278">
        <v>8</v>
      </c>
      <c r="J278">
        <v>142</v>
      </c>
      <c r="K278">
        <v>105</v>
      </c>
      <c r="L278" t="s">
        <v>8325</v>
      </c>
      <c r="M278">
        <v>1408</v>
      </c>
    </row>
    <row r="279" spans="1:13" x14ac:dyDescent="0.25">
      <c r="A279" t="s">
        <v>8908</v>
      </c>
      <c r="B279">
        <v>1</v>
      </c>
      <c r="C279" t="s">
        <v>8328</v>
      </c>
      <c r="D279">
        <v>426</v>
      </c>
      <c r="E279" t="s">
        <v>22</v>
      </c>
      <c r="F279">
        <v>3</v>
      </c>
      <c r="G279">
        <v>-10</v>
      </c>
      <c r="H279" t="s">
        <v>7882</v>
      </c>
      <c r="I279">
        <v>8</v>
      </c>
      <c r="J279">
        <v>142</v>
      </c>
      <c r="K279">
        <v>105</v>
      </c>
      <c r="L279" t="s">
        <v>8327</v>
      </c>
      <c r="M279">
        <v>1408</v>
      </c>
    </row>
    <row r="280" spans="1:13" x14ac:dyDescent="0.25">
      <c r="A280" t="s">
        <v>8909</v>
      </c>
      <c r="B280">
        <v>1</v>
      </c>
      <c r="C280" t="s">
        <v>8330</v>
      </c>
      <c r="D280">
        <v>426</v>
      </c>
      <c r="E280" t="s">
        <v>22</v>
      </c>
      <c r="F280">
        <v>3</v>
      </c>
      <c r="G280">
        <v>-5</v>
      </c>
      <c r="H280" t="s">
        <v>7882</v>
      </c>
      <c r="I280">
        <v>8</v>
      </c>
      <c r="J280">
        <v>142</v>
      </c>
      <c r="K280">
        <v>105</v>
      </c>
      <c r="L280" t="s">
        <v>8329</v>
      </c>
      <c r="M280">
        <v>1408</v>
      </c>
    </row>
    <row r="281" spans="1:13" x14ac:dyDescent="0.25">
      <c r="A281" t="s">
        <v>8910</v>
      </c>
      <c r="B281">
        <v>1</v>
      </c>
      <c r="C281" t="s">
        <v>8332</v>
      </c>
      <c r="D281">
        <v>426</v>
      </c>
      <c r="E281" t="s">
        <v>22</v>
      </c>
      <c r="F281">
        <v>3</v>
      </c>
      <c r="G281">
        <v>0</v>
      </c>
      <c r="H281" t="s">
        <v>7882</v>
      </c>
      <c r="I281">
        <v>8</v>
      </c>
      <c r="J281">
        <v>142</v>
      </c>
      <c r="K281">
        <v>105</v>
      </c>
      <c r="L281" t="s">
        <v>8331</v>
      </c>
      <c r="M281">
        <v>1408</v>
      </c>
    </row>
    <row r="282" spans="1:13" x14ac:dyDescent="0.25">
      <c r="A282" t="s">
        <v>8911</v>
      </c>
      <c r="B282">
        <v>1</v>
      </c>
      <c r="C282" t="s">
        <v>8334</v>
      </c>
      <c r="D282">
        <v>21</v>
      </c>
      <c r="E282" t="s">
        <v>22</v>
      </c>
      <c r="F282">
        <v>6</v>
      </c>
      <c r="G282">
        <v>-15</v>
      </c>
      <c r="H282" t="s">
        <v>7882</v>
      </c>
      <c r="I282">
        <v>6</v>
      </c>
      <c r="J282">
        <v>122</v>
      </c>
      <c r="K282">
        <v>110</v>
      </c>
      <c r="L282" t="s">
        <v>8333</v>
      </c>
      <c r="M282">
        <v>71</v>
      </c>
    </row>
    <row r="283" spans="1:13" x14ac:dyDescent="0.25">
      <c r="A283" t="s">
        <v>8912</v>
      </c>
      <c r="B283">
        <v>1</v>
      </c>
      <c r="C283" t="s">
        <v>8336</v>
      </c>
      <c r="D283">
        <v>21</v>
      </c>
      <c r="E283" t="s">
        <v>22</v>
      </c>
      <c r="F283">
        <v>6</v>
      </c>
      <c r="G283">
        <v>-10</v>
      </c>
      <c r="H283" t="s">
        <v>7882</v>
      </c>
      <c r="I283">
        <v>6</v>
      </c>
      <c r="J283">
        <v>122</v>
      </c>
      <c r="K283">
        <v>110</v>
      </c>
      <c r="L283" t="s">
        <v>8335</v>
      </c>
      <c r="M283">
        <v>71</v>
      </c>
    </row>
    <row r="284" spans="1:13" x14ac:dyDescent="0.25">
      <c r="A284" t="s">
        <v>8913</v>
      </c>
      <c r="B284">
        <v>1</v>
      </c>
      <c r="C284" t="s">
        <v>8338</v>
      </c>
      <c r="D284">
        <v>21</v>
      </c>
      <c r="E284" t="s">
        <v>22</v>
      </c>
      <c r="F284">
        <v>6</v>
      </c>
      <c r="G284">
        <v>-5</v>
      </c>
      <c r="H284" t="s">
        <v>7882</v>
      </c>
      <c r="I284">
        <v>6</v>
      </c>
      <c r="J284">
        <v>122</v>
      </c>
      <c r="K284">
        <v>110</v>
      </c>
      <c r="L284" t="s">
        <v>8337</v>
      </c>
      <c r="M284">
        <v>71</v>
      </c>
    </row>
    <row r="285" spans="1:13" x14ac:dyDescent="0.25">
      <c r="A285" t="s">
        <v>8914</v>
      </c>
      <c r="B285">
        <v>1</v>
      </c>
      <c r="C285" t="s">
        <v>8340</v>
      </c>
      <c r="D285">
        <v>21</v>
      </c>
      <c r="E285" t="s">
        <v>22</v>
      </c>
      <c r="F285">
        <v>6</v>
      </c>
      <c r="G285">
        <v>0</v>
      </c>
      <c r="H285" t="s">
        <v>7882</v>
      </c>
      <c r="I285">
        <v>6</v>
      </c>
      <c r="J285">
        <v>122</v>
      </c>
      <c r="K285">
        <v>110</v>
      </c>
      <c r="L285" t="s">
        <v>8339</v>
      </c>
      <c r="M285">
        <v>71</v>
      </c>
    </row>
    <row r="286" spans="1:13" x14ac:dyDescent="0.25">
      <c r="A286" t="s">
        <v>8999</v>
      </c>
      <c r="B286">
        <v>1</v>
      </c>
      <c r="C286" t="s">
        <v>8510</v>
      </c>
      <c r="D286">
        <v>596</v>
      </c>
      <c r="E286" t="s">
        <v>25</v>
      </c>
      <c r="F286">
        <v>6</v>
      </c>
      <c r="G286">
        <v>-15</v>
      </c>
      <c r="H286" t="s">
        <v>7882</v>
      </c>
      <c r="I286">
        <v>14</v>
      </c>
      <c r="J286">
        <v>132</v>
      </c>
      <c r="K286">
        <v>111</v>
      </c>
      <c r="L286" t="s">
        <v>8509</v>
      </c>
      <c r="M286">
        <v>1365</v>
      </c>
    </row>
    <row r="287" spans="1:13" x14ac:dyDescent="0.25">
      <c r="A287" t="s">
        <v>9000</v>
      </c>
      <c r="B287">
        <v>1</v>
      </c>
      <c r="C287" t="s">
        <v>8512</v>
      </c>
      <c r="D287">
        <v>596</v>
      </c>
      <c r="E287" t="s">
        <v>25</v>
      </c>
      <c r="F287">
        <v>6</v>
      </c>
      <c r="G287">
        <v>-10</v>
      </c>
      <c r="H287" t="s">
        <v>7882</v>
      </c>
      <c r="I287">
        <v>14</v>
      </c>
      <c r="J287">
        <v>132</v>
      </c>
      <c r="K287">
        <v>111</v>
      </c>
      <c r="L287" t="s">
        <v>8511</v>
      </c>
      <c r="M287">
        <v>1365</v>
      </c>
    </row>
    <row r="288" spans="1:13" x14ac:dyDescent="0.25">
      <c r="A288" t="s">
        <v>9001</v>
      </c>
      <c r="B288">
        <v>1</v>
      </c>
      <c r="C288" t="s">
        <v>8514</v>
      </c>
      <c r="D288">
        <v>596</v>
      </c>
      <c r="E288" t="s">
        <v>25</v>
      </c>
      <c r="F288">
        <v>6</v>
      </c>
      <c r="G288">
        <v>-5</v>
      </c>
      <c r="H288" t="s">
        <v>7882</v>
      </c>
      <c r="I288">
        <v>14</v>
      </c>
      <c r="J288">
        <v>132</v>
      </c>
      <c r="K288">
        <v>111</v>
      </c>
      <c r="L288" t="s">
        <v>8513</v>
      </c>
      <c r="M288">
        <v>1365</v>
      </c>
    </row>
    <row r="289" spans="1:13" x14ac:dyDescent="0.25">
      <c r="A289" t="s">
        <v>9002</v>
      </c>
      <c r="B289">
        <v>1</v>
      </c>
      <c r="C289" t="s">
        <v>8516</v>
      </c>
      <c r="D289">
        <v>596</v>
      </c>
      <c r="E289" t="s">
        <v>25</v>
      </c>
      <c r="F289">
        <v>6</v>
      </c>
      <c r="G289">
        <v>0</v>
      </c>
      <c r="H289" t="s">
        <v>7882</v>
      </c>
      <c r="I289">
        <v>14</v>
      </c>
      <c r="J289">
        <v>132</v>
      </c>
      <c r="K289">
        <v>111</v>
      </c>
      <c r="L289" t="s">
        <v>8515</v>
      </c>
      <c r="M289">
        <v>1365</v>
      </c>
    </row>
    <row r="290" spans="1:13" x14ac:dyDescent="0.25">
      <c r="A290" t="s">
        <v>8839</v>
      </c>
      <c r="B290">
        <v>1</v>
      </c>
      <c r="C290" t="s">
        <v>8190</v>
      </c>
      <c r="D290">
        <v>507</v>
      </c>
      <c r="E290" t="s">
        <v>29</v>
      </c>
      <c r="F290">
        <v>6</v>
      </c>
      <c r="G290">
        <v>-15</v>
      </c>
      <c r="H290" t="s">
        <v>7882</v>
      </c>
      <c r="I290">
        <v>2</v>
      </c>
      <c r="J290">
        <v>186</v>
      </c>
      <c r="K290">
        <v>111</v>
      </c>
      <c r="L290" t="s">
        <v>8189</v>
      </c>
      <c r="M290">
        <v>2549</v>
      </c>
    </row>
    <row r="291" spans="1:13" x14ac:dyDescent="0.25">
      <c r="A291" t="s">
        <v>8840</v>
      </c>
      <c r="B291">
        <v>1</v>
      </c>
      <c r="C291" t="s">
        <v>8192</v>
      </c>
      <c r="D291">
        <v>507</v>
      </c>
      <c r="E291" t="s">
        <v>29</v>
      </c>
      <c r="F291">
        <v>6</v>
      </c>
      <c r="G291">
        <v>-10</v>
      </c>
      <c r="H291" t="s">
        <v>7882</v>
      </c>
      <c r="I291">
        <v>2</v>
      </c>
      <c r="J291">
        <v>186</v>
      </c>
      <c r="K291">
        <v>111</v>
      </c>
      <c r="L291" t="s">
        <v>8191</v>
      </c>
      <c r="M291">
        <v>2549</v>
      </c>
    </row>
    <row r="292" spans="1:13" x14ac:dyDescent="0.25">
      <c r="A292" t="s">
        <v>8841</v>
      </c>
      <c r="B292">
        <v>1</v>
      </c>
      <c r="C292" t="s">
        <v>8194</v>
      </c>
      <c r="D292">
        <v>507</v>
      </c>
      <c r="E292" t="s">
        <v>29</v>
      </c>
      <c r="F292">
        <v>6</v>
      </c>
      <c r="G292">
        <v>-5</v>
      </c>
      <c r="H292" t="s">
        <v>7882</v>
      </c>
      <c r="I292">
        <v>2</v>
      </c>
      <c r="J292">
        <v>186</v>
      </c>
      <c r="K292">
        <v>111</v>
      </c>
      <c r="L292" t="s">
        <v>8193</v>
      </c>
      <c r="M292">
        <v>2549</v>
      </c>
    </row>
    <row r="293" spans="1:13" x14ac:dyDescent="0.25">
      <c r="A293" t="s">
        <v>8842</v>
      </c>
      <c r="B293">
        <v>1</v>
      </c>
      <c r="C293" t="s">
        <v>8196</v>
      </c>
      <c r="D293">
        <v>507</v>
      </c>
      <c r="E293" t="s">
        <v>29</v>
      </c>
      <c r="F293">
        <v>6</v>
      </c>
      <c r="G293">
        <v>0</v>
      </c>
      <c r="H293" t="s">
        <v>7882</v>
      </c>
      <c r="I293">
        <v>2</v>
      </c>
      <c r="J293">
        <v>186</v>
      </c>
      <c r="K293">
        <v>111</v>
      </c>
      <c r="L293" t="s">
        <v>8195</v>
      </c>
      <c r="M293">
        <v>2549</v>
      </c>
    </row>
    <row r="294" spans="1:13" x14ac:dyDescent="0.25">
      <c r="A294" t="s">
        <v>8759</v>
      </c>
      <c r="B294">
        <v>1</v>
      </c>
      <c r="C294" t="s">
        <v>8030</v>
      </c>
      <c r="D294">
        <v>331</v>
      </c>
      <c r="E294" t="s">
        <v>32</v>
      </c>
      <c r="F294">
        <v>6</v>
      </c>
      <c r="G294">
        <v>-15</v>
      </c>
      <c r="H294" t="s">
        <v>7882</v>
      </c>
      <c r="I294">
        <v>10</v>
      </c>
      <c r="J294">
        <v>176</v>
      </c>
      <c r="K294">
        <v>111</v>
      </c>
      <c r="L294" t="s">
        <v>8029</v>
      </c>
      <c r="M294">
        <v>2948</v>
      </c>
    </row>
    <row r="295" spans="1:13" x14ac:dyDescent="0.25">
      <c r="A295" t="s">
        <v>8760</v>
      </c>
      <c r="B295">
        <v>1</v>
      </c>
      <c r="C295" t="s">
        <v>8032</v>
      </c>
      <c r="D295">
        <v>331</v>
      </c>
      <c r="E295" t="s">
        <v>32</v>
      </c>
      <c r="F295">
        <v>6</v>
      </c>
      <c r="G295">
        <v>-10</v>
      </c>
      <c r="H295" t="s">
        <v>7882</v>
      </c>
      <c r="I295">
        <v>10</v>
      </c>
      <c r="J295">
        <v>176</v>
      </c>
      <c r="K295">
        <v>111</v>
      </c>
      <c r="L295" t="s">
        <v>8031</v>
      </c>
      <c r="M295">
        <v>2948</v>
      </c>
    </row>
    <row r="296" spans="1:13" x14ac:dyDescent="0.25">
      <c r="A296" t="s">
        <v>8761</v>
      </c>
      <c r="B296">
        <v>1</v>
      </c>
      <c r="C296" t="s">
        <v>8034</v>
      </c>
      <c r="D296">
        <v>331</v>
      </c>
      <c r="E296" t="s">
        <v>32</v>
      </c>
      <c r="F296">
        <v>6</v>
      </c>
      <c r="G296">
        <v>-5</v>
      </c>
      <c r="H296" t="s">
        <v>7882</v>
      </c>
      <c r="I296">
        <v>10</v>
      </c>
      <c r="J296">
        <v>176</v>
      </c>
      <c r="K296">
        <v>111</v>
      </c>
      <c r="L296" t="s">
        <v>8033</v>
      </c>
      <c r="M296">
        <v>2948</v>
      </c>
    </row>
    <row r="297" spans="1:13" x14ac:dyDescent="0.25">
      <c r="A297" t="s">
        <v>8762</v>
      </c>
      <c r="B297">
        <v>1</v>
      </c>
      <c r="C297" t="s">
        <v>8036</v>
      </c>
      <c r="D297">
        <v>331</v>
      </c>
      <c r="E297" t="s">
        <v>32</v>
      </c>
      <c r="F297">
        <v>6</v>
      </c>
      <c r="G297">
        <v>0</v>
      </c>
      <c r="H297" t="s">
        <v>7882</v>
      </c>
      <c r="I297">
        <v>10</v>
      </c>
      <c r="J297">
        <v>176</v>
      </c>
      <c r="K297">
        <v>111</v>
      </c>
      <c r="L297" t="s">
        <v>8035</v>
      </c>
      <c r="M297">
        <v>2948</v>
      </c>
    </row>
    <row r="298" spans="1:13" x14ac:dyDescent="0.25">
      <c r="A298" t="s">
        <v>8915</v>
      </c>
      <c r="B298">
        <v>1</v>
      </c>
      <c r="C298" t="s">
        <v>8342</v>
      </c>
      <c r="D298">
        <v>867</v>
      </c>
      <c r="E298" t="s">
        <v>22</v>
      </c>
      <c r="F298">
        <v>3</v>
      </c>
      <c r="G298">
        <v>-15</v>
      </c>
      <c r="H298" t="s">
        <v>7882</v>
      </c>
      <c r="I298">
        <v>8</v>
      </c>
      <c r="J298">
        <v>100</v>
      </c>
      <c r="K298">
        <v>112</v>
      </c>
      <c r="L298" t="s">
        <v>8341</v>
      </c>
      <c r="M298">
        <v>2628</v>
      </c>
    </row>
    <row r="299" spans="1:13" x14ac:dyDescent="0.25">
      <c r="A299" t="s">
        <v>8916</v>
      </c>
      <c r="B299">
        <v>1</v>
      </c>
      <c r="C299" t="s">
        <v>8344</v>
      </c>
      <c r="D299">
        <v>867</v>
      </c>
      <c r="E299" t="s">
        <v>22</v>
      </c>
      <c r="F299">
        <v>3</v>
      </c>
      <c r="G299">
        <v>-10</v>
      </c>
      <c r="H299" t="s">
        <v>7882</v>
      </c>
      <c r="I299">
        <v>8</v>
      </c>
      <c r="J299">
        <v>100</v>
      </c>
      <c r="K299">
        <v>112</v>
      </c>
      <c r="L299" t="s">
        <v>8343</v>
      </c>
      <c r="M299">
        <v>2628</v>
      </c>
    </row>
    <row r="300" spans="1:13" x14ac:dyDescent="0.25">
      <c r="A300" t="s">
        <v>8917</v>
      </c>
      <c r="B300">
        <v>1</v>
      </c>
      <c r="C300" t="s">
        <v>8346</v>
      </c>
      <c r="D300">
        <v>867</v>
      </c>
      <c r="E300" t="s">
        <v>22</v>
      </c>
      <c r="F300">
        <v>3</v>
      </c>
      <c r="G300">
        <v>-5</v>
      </c>
      <c r="H300" t="s">
        <v>7882</v>
      </c>
      <c r="I300">
        <v>8</v>
      </c>
      <c r="J300">
        <v>100</v>
      </c>
      <c r="K300">
        <v>112</v>
      </c>
      <c r="L300" t="s">
        <v>8345</v>
      </c>
      <c r="M300">
        <v>2628</v>
      </c>
    </row>
    <row r="301" spans="1:13" x14ac:dyDescent="0.25">
      <c r="A301" t="s">
        <v>8918</v>
      </c>
      <c r="B301">
        <v>1</v>
      </c>
      <c r="C301" t="s">
        <v>8348</v>
      </c>
      <c r="D301">
        <v>867</v>
      </c>
      <c r="E301" t="s">
        <v>22</v>
      </c>
      <c r="F301">
        <v>3</v>
      </c>
      <c r="G301">
        <v>0</v>
      </c>
      <c r="H301" t="s">
        <v>7882</v>
      </c>
      <c r="I301">
        <v>8</v>
      </c>
      <c r="J301">
        <v>100</v>
      </c>
      <c r="K301">
        <v>112</v>
      </c>
      <c r="L301" t="s">
        <v>8347</v>
      </c>
      <c r="M301">
        <v>2628</v>
      </c>
    </row>
    <row r="302" spans="1:13" x14ac:dyDescent="0.25">
      <c r="A302" t="s">
        <v>8919</v>
      </c>
      <c r="B302">
        <v>1</v>
      </c>
      <c r="C302" t="s">
        <v>8350</v>
      </c>
      <c r="D302">
        <v>667</v>
      </c>
      <c r="E302" t="s">
        <v>22</v>
      </c>
      <c r="F302">
        <v>3</v>
      </c>
      <c r="G302">
        <v>-15</v>
      </c>
      <c r="H302" t="s">
        <v>7882</v>
      </c>
      <c r="I302">
        <v>8</v>
      </c>
      <c r="J302">
        <v>12</v>
      </c>
      <c r="K302">
        <v>113</v>
      </c>
      <c r="L302" t="s">
        <v>8349</v>
      </c>
      <c r="M302">
        <v>2174</v>
      </c>
    </row>
    <row r="303" spans="1:13" x14ac:dyDescent="0.25">
      <c r="A303" t="s">
        <v>8920</v>
      </c>
      <c r="B303">
        <v>1</v>
      </c>
      <c r="C303" t="s">
        <v>8352</v>
      </c>
      <c r="D303">
        <v>667</v>
      </c>
      <c r="E303" t="s">
        <v>22</v>
      </c>
      <c r="F303">
        <v>3</v>
      </c>
      <c r="G303">
        <v>-10</v>
      </c>
      <c r="H303" t="s">
        <v>7882</v>
      </c>
      <c r="I303">
        <v>8</v>
      </c>
      <c r="J303">
        <v>12</v>
      </c>
      <c r="K303">
        <v>113</v>
      </c>
      <c r="L303" t="s">
        <v>8351</v>
      </c>
      <c r="M303">
        <v>2174</v>
      </c>
    </row>
    <row r="304" spans="1:13" x14ac:dyDescent="0.25">
      <c r="A304" t="s">
        <v>8921</v>
      </c>
      <c r="B304">
        <v>1</v>
      </c>
      <c r="C304" t="s">
        <v>8354</v>
      </c>
      <c r="D304">
        <v>667</v>
      </c>
      <c r="E304" t="s">
        <v>22</v>
      </c>
      <c r="F304">
        <v>3</v>
      </c>
      <c r="G304">
        <v>-5</v>
      </c>
      <c r="H304" t="s">
        <v>7882</v>
      </c>
      <c r="I304">
        <v>8</v>
      </c>
      <c r="J304">
        <v>12</v>
      </c>
      <c r="K304">
        <v>113</v>
      </c>
      <c r="L304" t="s">
        <v>8353</v>
      </c>
      <c r="M304">
        <v>2174</v>
      </c>
    </row>
    <row r="305" spans="1:13" x14ac:dyDescent="0.25">
      <c r="A305" t="s">
        <v>8922</v>
      </c>
      <c r="B305">
        <v>1</v>
      </c>
      <c r="C305" t="s">
        <v>8356</v>
      </c>
      <c r="D305">
        <v>667</v>
      </c>
      <c r="E305" t="s">
        <v>22</v>
      </c>
      <c r="F305">
        <v>3</v>
      </c>
      <c r="G305">
        <v>0</v>
      </c>
      <c r="H305" t="s">
        <v>7882</v>
      </c>
      <c r="I305">
        <v>8</v>
      </c>
      <c r="J305">
        <v>12</v>
      </c>
      <c r="K305">
        <v>113</v>
      </c>
      <c r="L305" t="s">
        <v>8355</v>
      </c>
      <c r="M305">
        <v>2174</v>
      </c>
    </row>
    <row r="306" spans="1:13" x14ac:dyDescent="0.25">
      <c r="A306" t="s">
        <v>8923</v>
      </c>
      <c r="B306">
        <v>1</v>
      </c>
      <c r="C306" t="s">
        <v>8358</v>
      </c>
      <c r="D306">
        <v>505</v>
      </c>
      <c r="E306" t="s">
        <v>22</v>
      </c>
      <c r="F306">
        <v>3</v>
      </c>
      <c r="G306">
        <v>-15</v>
      </c>
      <c r="H306" t="s">
        <v>7882</v>
      </c>
      <c r="I306">
        <v>8</v>
      </c>
      <c r="J306">
        <v>162</v>
      </c>
      <c r="K306">
        <v>114</v>
      </c>
      <c r="L306" t="s">
        <v>8357</v>
      </c>
      <c r="M306">
        <v>1676</v>
      </c>
    </row>
    <row r="307" spans="1:13" x14ac:dyDescent="0.25">
      <c r="A307" t="s">
        <v>8924</v>
      </c>
      <c r="B307">
        <v>1</v>
      </c>
      <c r="C307" t="s">
        <v>8360</v>
      </c>
      <c r="D307">
        <v>505</v>
      </c>
      <c r="E307" t="s">
        <v>22</v>
      </c>
      <c r="F307">
        <v>3</v>
      </c>
      <c r="G307">
        <v>-10</v>
      </c>
      <c r="H307" t="s">
        <v>7882</v>
      </c>
      <c r="I307">
        <v>8</v>
      </c>
      <c r="J307">
        <v>162</v>
      </c>
      <c r="K307">
        <v>114</v>
      </c>
      <c r="L307" t="s">
        <v>8359</v>
      </c>
      <c r="M307">
        <v>1676</v>
      </c>
    </row>
    <row r="308" spans="1:13" x14ac:dyDescent="0.25">
      <c r="A308" t="s">
        <v>8925</v>
      </c>
      <c r="B308">
        <v>1</v>
      </c>
      <c r="C308" t="s">
        <v>8362</v>
      </c>
      <c r="D308">
        <v>505</v>
      </c>
      <c r="E308" t="s">
        <v>22</v>
      </c>
      <c r="F308">
        <v>3</v>
      </c>
      <c r="G308">
        <v>-5</v>
      </c>
      <c r="H308" t="s">
        <v>7882</v>
      </c>
      <c r="I308">
        <v>8</v>
      </c>
      <c r="J308">
        <v>162</v>
      </c>
      <c r="K308">
        <v>114</v>
      </c>
      <c r="L308" t="s">
        <v>8361</v>
      </c>
      <c r="M308">
        <v>1676</v>
      </c>
    </row>
    <row r="309" spans="1:13" x14ac:dyDescent="0.25">
      <c r="A309" t="s">
        <v>8926</v>
      </c>
      <c r="B309">
        <v>1</v>
      </c>
      <c r="C309" t="s">
        <v>8364</v>
      </c>
      <c r="D309">
        <v>505</v>
      </c>
      <c r="E309" t="s">
        <v>22</v>
      </c>
      <c r="F309">
        <v>3</v>
      </c>
      <c r="G309">
        <v>0</v>
      </c>
      <c r="H309" t="s">
        <v>7882</v>
      </c>
      <c r="I309">
        <v>8</v>
      </c>
      <c r="J309">
        <v>162</v>
      </c>
      <c r="K309">
        <v>114</v>
      </c>
      <c r="L309" t="s">
        <v>8363</v>
      </c>
      <c r="M309">
        <v>1676</v>
      </c>
    </row>
    <row r="310" spans="1:13" x14ac:dyDescent="0.25">
      <c r="A310" t="s">
        <v>8763</v>
      </c>
      <c r="B310">
        <v>1</v>
      </c>
      <c r="C310" t="s">
        <v>8038</v>
      </c>
      <c r="D310">
        <v>179</v>
      </c>
      <c r="E310" t="s">
        <v>32</v>
      </c>
      <c r="F310">
        <v>6</v>
      </c>
      <c r="G310">
        <v>-15</v>
      </c>
      <c r="H310" t="s">
        <v>7882</v>
      </c>
      <c r="I310">
        <v>10</v>
      </c>
      <c r="J310">
        <v>130</v>
      </c>
      <c r="K310">
        <v>115</v>
      </c>
      <c r="L310" t="s">
        <v>8037</v>
      </c>
      <c r="M310">
        <v>1909</v>
      </c>
    </row>
    <row r="311" spans="1:13" x14ac:dyDescent="0.25">
      <c r="A311" t="s">
        <v>8764</v>
      </c>
      <c r="B311">
        <v>1</v>
      </c>
      <c r="C311" t="s">
        <v>8040</v>
      </c>
      <c r="D311">
        <v>179</v>
      </c>
      <c r="E311" t="s">
        <v>32</v>
      </c>
      <c r="F311">
        <v>6</v>
      </c>
      <c r="G311">
        <v>-10</v>
      </c>
      <c r="H311" t="s">
        <v>7882</v>
      </c>
      <c r="I311">
        <v>10</v>
      </c>
      <c r="J311">
        <v>130</v>
      </c>
      <c r="K311">
        <v>115</v>
      </c>
      <c r="L311" t="s">
        <v>8039</v>
      </c>
      <c r="M311">
        <v>1909</v>
      </c>
    </row>
    <row r="312" spans="1:13" x14ac:dyDescent="0.25">
      <c r="A312" t="s">
        <v>8765</v>
      </c>
      <c r="B312">
        <v>1</v>
      </c>
      <c r="C312" t="s">
        <v>8042</v>
      </c>
      <c r="D312">
        <v>179</v>
      </c>
      <c r="E312" t="s">
        <v>32</v>
      </c>
      <c r="F312">
        <v>6</v>
      </c>
      <c r="G312">
        <v>-5</v>
      </c>
      <c r="H312" t="s">
        <v>7882</v>
      </c>
      <c r="I312">
        <v>10</v>
      </c>
      <c r="J312">
        <v>130</v>
      </c>
      <c r="K312">
        <v>115</v>
      </c>
      <c r="L312" t="s">
        <v>8041</v>
      </c>
      <c r="M312">
        <v>1909</v>
      </c>
    </row>
    <row r="313" spans="1:13" x14ac:dyDescent="0.25">
      <c r="A313" t="s">
        <v>8766</v>
      </c>
      <c r="B313">
        <v>1</v>
      </c>
      <c r="C313" t="s">
        <v>8044</v>
      </c>
      <c r="D313">
        <v>179</v>
      </c>
      <c r="E313" t="s">
        <v>32</v>
      </c>
      <c r="F313">
        <v>6</v>
      </c>
      <c r="G313">
        <v>0</v>
      </c>
      <c r="H313" t="s">
        <v>7882</v>
      </c>
      <c r="I313">
        <v>10</v>
      </c>
      <c r="J313">
        <v>130</v>
      </c>
      <c r="K313">
        <v>115</v>
      </c>
      <c r="L313" t="s">
        <v>8043</v>
      </c>
      <c r="M313">
        <v>1909</v>
      </c>
    </row>
    <row r="314" spans="1:13" x14ac:dyDescent="0.25">
      <c r="A314" t="s">
        <v>8843</v>
      </c>
      <c r="B314">
        <v>1</v>
      </c>
      <c r="C314" t="s">
        <v>8198</v>
      </c>
      <c r="D314">
        <v>919</v>
      </c>
      <c r="E314" t="s">
        <v>29</v>
      </c>
      <c r="F314">
        <v>3</v>
      </c>
      <c r="G314">
        <v>-15</v>
      </c>
      <c r="H314" t="s">
        <v>7882</v>
      </c>
      <c r="I314">
        <v>4</v>
      </c>
      <c r="J314">
        <v>194</v>
      </c>
      <c r="K314">
        <v>116</v>
      </c>
      <c r="L314" t="s">
        <v>8197</v>
      </c>
      <c r="M314">
        <v>3496</v>
      </c>
    </row>
    <row r="315" spans="1:13" x14ac:dyDescent="0.25">
      <c r="A315" t="s">
        <v>8844</v>
      </c>
      <c r="B315">
        <v>1</v>
      </c>
      <c r="C315" t="s">
        <v>8200</v>
      </c>
      <c r="D315">
        <v>919</v>
      </c>
      <c r="E315" t="s">
        <v>29</v>
      </c>
      <c r="F315">
        <v>3</v>
      </c>
      <c r="G315">
        <v>-10</v>
      </c>
      <c r="H315" t="s">
        <v>7882</v>
      </c>
      <c r="I315">
        <v>4</v>
      </c>
      <c r="J315">
        <v>194</v>
      </c>
      <c r="K315">
        <v>116</v>
      </c>
      <c r="L315" t="s">
        <v>8199</v>
      </c>
      <c r="M315">
        <v>3496</v>
      </c>
    </row>
    <row r="316" spans="1:13" x14ac:dyDescent="0.25">
      <c r="A316" t="s">
        <v>8845</v>
      </c>
      <c r="B316">
        <v>1</v>
      </c>
      <c r="C316" t="s">
        <v>8202</v>
      </c>
      <c r="D316">
        <v>919</v>
      </c>
      <c r="E316" t="s">
        <v>29</v>
      </c>
      <c r="F316">
        <v>3</v>
      </c>
      <c r="G316">
        <v>-5</v>
      </c>
      <c r="H316" t="s">
        <v>7882</v>
      </c>
      <c r="I316">
        <v>4</v>
      </c>
      <c r="J316">
        <v>194</v>
      </c>
      <c r="K316">
        <v>116</v>
      </c>
      <c r="L316" t="s">
        <v>8201</v>
      </c>
      <c r="M316">
        <v>3496</v>
      </c>
    </row>
    <row r="317" spans="1:13" x14ac:dyDescent="0.25">
      <c r="A317" t="s">
        <v>8846</v>
      </c>
      <c r="B317">
        <v>1</v>
      </c>
      <c r="C317" t="s">
        <v>8204</v>
      </c>
      <c r="D317">
        <v>919</v>
      </c>
      <c r="E317" t="s">
        <v>29</v>
      </c>
      <c r="F317">
        <v>3</v>
      </c>
      <c r="G317">
        <v>0</v>
      </c>
      <c r="H317" t="s">
        <v>7882</v>
      </c>
      <c r="I317">
        <v>4</v>
      </c>
      <c r="J317">
        <v>194</v>
      </c>
      <c r="K317">
        <v>116</v>
      </c>
      <c r="L317" t="s">
        <v>8203</v>
      </c>
      <c r="M317">
        <v>3496</v>
      </c>
    </row>
    <row r="318" spans="1:13" x14ac:dyDescent="0.25">
      <c r="A318" t="s">
        <v>9003</v>
      </c>
      <c r="B318">
        <v>1</v>
      </c>
      <c r="C318" t="s">
        <v>8518</v>
      </c>
      <c r="D318">
        <v>423</v>
      </c>
      <c r="E318" t="s">
        <v>25</v>
      </c>
      <c r="F318">
        <v>3</v>
      </c>
      <c r="G318">
        <v>-15</v>
      </c>
      <c r="H318" t="s">
        <v>7882</v>
      </c>
      <c r="I318">
        <v>16</v>
      </c>
      <c r="J318">
        <v>18</v>
      </c>
      <c r="K318">
        <v>117</v>
      </c>
      <c r="L318" t="s">
        <v>8517</v>
      </c>
      <c r="M318">
        <v>959</v>
      </c>
    </row>
    <row r="319" spans="1:13" x14ac:dyDescent="0.25">
      <c r="A319" t="s">
        <v>9004</v>
      </c>
      <c r="B319">
        <v>1</v>
      </c>
      <c r="C319" t="s">
        <v>8520</v>
      </c>
      <c r="D319">
        <v>423</v>
      </c>
      <c r="E319" t="s">
        <v>25</v>
      </c>
      <c r="F319">
        <v>3</v>
      </c>
      <c r="G319">
        <v>-10</v>
      </c>
      <c r="H319" t="s">
        <v>7882</v>
      </c>
      <c r="I319">
        <v>16</v>
      </c>
      <c r="J319">
        <v>18</v>
      </c>
      <c r="K319">
        <v>117</v>
      </c>
      <c r="L319" t="s">
        <v>8519</v>
      </c>
      <c r="M319">
        <v>959</v>
      </c>
    </row>
    <row r="320" spans="1:13" x14ac:dyDescent="0.25">
      <c r="A320" t="s">
        <v>9005</v>
      </c>
      <c r="B320">
        <v>1</v>
      </c>
      <c r="C320" t="s">
        <v>8522</v>
      </c>
      <c r="D320">
        <v>423</v>
      </c>
      <c r="E320" t="s">
        <v>25</v>
      </c>
      <c r="F320">
        <v>3</v>
      </c>
      <c r="G320">
        <v>-5</v>
      </c>
      <c r="H320" t="s">
        <v>7882</v>
      </c>
      <c r="I320">
        <v>16</v>
      </c>
      <c r="J320">
        <v>18</v>
      </c>
      <c r="K320">
        <v>117</v>
      </c>
      <c r="L320" t="s">
        <v>8521</v>
      </c>
      <c r="M320">
        <v>959</v>
      </c>
    </row>
    <row r="321" spans="1:13" x14ac:dyDescent="0.25">
      <c r="A321" t="s">
        <v>9006</v>
      </c>
      <c r="B321">
        <v>1</v>
      </c>
      <c r="C321" t="s">
        <v>8524</v>
      </c>
      <c r="D321">
        <v>423</v>
      </c>
      <c r="E321" t="s">
        <v>25</v>
      </c>
      <c r="F321">
        <v>3</v>
      </c>
      <c r="G321">
        <v>0</v>
      </c>
      <c r="H321" t="s">
        <v>7882</v>
      </c>
      <c r="I321">
        <v>16</v>
      </c>
      <c r="J321">
        <v>18</v>
      </c>
      <c r="K321">
        <v>117</v>
      </c>
      <c r="L321" t="s">
        <v>8523</v>
      </c>
      <c r="M321">
        <v>959</v>
      </c>
    </row>
    <row r="322" spans="1:13" x14ac:dyDescent="0.25">
      <c r="A322" t="s">
        <v>9027</v>
      </c>
      <c r="B322">
        <v>2</v>
      </c>
      <c r="C322" t="s">
        <v>8566</v>
      </c>
      <c r="D322">
        <v>588</v>
      </c>
      <c r="E322" t="s">
        <v>29</v>
      </c>
      <c r="F322">
        <v>4</v>
      </c>
      <c r="G322">
        <v>0</v>
      </c>
      <c r="H322" t="s">
        <v>7883</v>
      </c>
      <c r="I322">
        <v>3</v>
      </c>
      <c r="J322">
        <v>54</v>
      </c>
      <c r="K322">
        <v>2</v>
      </c>
      <c r="L322" t="s">
        <v>8565</v>
      </c>
      <c r="M322">
        <v>2763</v>
      </c>
    </row>
    <row r="323" spans="1:13" x14ac:dyDescent="0.25">
      <c r="A323" t="s">
        <v>9007</v>
      </c>
      <c r="B323">
        <v>2</v>
      </c>
      <c r="C323" t="s">
        <v>8526</v>
      </c>
      <c r="D323">
        <v>353</v>
      </c>
      <c r="E323" t="s">
        <v>32</v>
      </c>
      <c r="F323">
        <v>4</v>
      </c>
      <c r="G323">
        <v>0</v>
      </c>
      <c r="H323" t="s">
        <v>7883</v>
      </c>
      <c r="I323">
        <v>11</v>
      </c>
      <c r="J323">
        <v>152</v>
      </c>
      <c r="K323">
        <v>2</v>
      </c>
      <c r="L323" t="s">
        <v>8525</v>
      </c>
      <c r="M323">
        <v>3048</v>
      </c>
    </row>
    <row r="324" spans="1:13" x14ac:dyDescent="0.25">
      <c r="A324" t="s">
        <v>9047</v>
      </c>
      <c r="B324">
        <v>2</v>
      </c>
      <c r="C324" t="s">
        <v>8606</v>
      </c>
      <c r="D324">
        <v>351</v>
      </c>
      <c r="E324" t="s">
        <v>22</v>
      </c>
      <c r="F324">
        <v>7</v>
      </c>
      <c r="G324">
        <v>0</v>
      </c>
      <c r="H324" t="s">
        <v>7883</v>
      </c>
      <c r="I324">
        <v>5</v>
      </c>
      <c r="J324">
        <v>280</v>
      </c>
      <c r="K324">
        <v>4</v>
      </c>
      <c r="L324" t="s">
        <v>8605</v>
      </c>
      <c r="M324">
        <v>1167</v>
      </c>
    </row>
    <row r="325" spans="1:13" x14ac:dyDescent="0.25">
      <c r="A325" t="s">
        <v>9028</v>
      </c>
      <c r="B325">
        <v>2</v>
      </c>
      <c r="C325" t="s">
        <v>8568</v>
      </c>
      <c r="D325">
        <v>170</v>
      </c>
      <c r="E325" t="s">
        <v>29</v>
      </c>
      <c r="F325">
        <v>7</v>
      </c>
      <c r="G325">
        <v>0</v>
      </c>
      <c r="H325" t="s">
        <v>7883</v>
      </c>
      <c r="I325">
        <v>1</v>
      </c>
      <c r="J325">
        <v>268</v>
      </c>
      <c r="K325">
        <v>4</v>
      </c>
      <c r="L325" t="s">
        <v>8567</v>
      </c>
      <c r="M325">
        <v>963</v>
      </c>
    </row>
    <row r="326" spans="1:13" x14ac:dyDescent="0.25">
      <c r="A326" t="s">
        <v>9048</v>
      </c>
      <c r="B326">
        <v>2</v>
      </c>
      <c r="C326" t="s">
        <v>8608</v>
      </c>
      <c r="D326">
        <v>1000</v>
      </c>
      <c r="E326" t="s">
        <v>22</v>
      </c>
      <c r="F326">
        <v>7</v>
      </c>
      <c r="G326">
        <v>0</v>
      </c>
      <c r="H326" t="s">
        <v>7883</v>
      </c>
      <c r="I326">
        <v>5</v>
      </c>
      <c r="J326">
        <v>430</v>
      </c>
      <c r="K326">
        <v>5</v>
      </c>
      <c r="L326" t="s">
        <v>8607</v>
      </c>
      <c r="M326">
        <v>3323</v>
      </c>
    </row>
    <row r="327" spans="1:13" x14ac:dyDescent="0.25">
      <c r="A327" t="s">
        <v>9067</v>
      </c>
      <c r="B327">
        <v>2</v>
      </c>
      <c r="C327" t="s">
        <v>8646</v>
      </c>
      <c r="D327">
        <v>1029</v>
      </c>
      <c r="E327" t="s">
        <v>25</v>
      </c>
      <c r="F327">
        <v>7</v>
      </c>
      <c r="G327">
        <v>0</v>
      </c>
      <c r="H327" t="s">
        <v>7883</v>
      </c>
      <c r="I327">
        <v>13</v>
      </c>
      <c r="J327">
        <v>166</v>
      </c>
      <c r="K327">
        <v>7</v>
      </c>
      <c r="L327" t="s">
        <v>8645</v>
      </c>
      <c r="M327">
        <v>3035</v>
      </c>
    </row>
    <row r="328" spans="1:13" x14ac:dyDescent="0.25">
      <c r="A328" t="s">
        <v>9049</v>
      </c>
      <c r="B328">
        <v>2</v>
      </c>
      <c r="C328" t="s">
        <v>8610</v>
      </c>
      <c r="D328">
        <v>317</v>
      </c>
      <c r="E328" t="s">
        <v>22</v>
      </c>
      <c r="F328">
        <v>7</v>
      </c>
      <c r="G328">
        <v>0</v>
      </c>
      <c r="H328" t="s">
        <v>7883</v>
      </c>
      <c r="I328">
        <v>5</v>
      </c>
      <c r="J328">
        <v>176</v>
      </c>
      <c r="K328">
        <v>7</v>
      </c>
      <c r="L328" t="s">
        <v>8609</v>
      </c>
      <c r="M328">
        <v>1057</v>
      </c>
    </row>
    <row r="329" spans="1:13" x14ac:dyDescent="0.25">
      <c r="A329" t="s">
        <v>9029</v>
      </c>
      <c r="B329">
        <v>2</v>
      </c>
      <c r="C329" t="s">
        <v>8570</v>
      </c>
      <c r="D329">
        <v>683</v>
      </c>
      <c r="E329" t="s">
        <v>29</v>
      </c>
      <c r="F329">
        <v>7</v>
      </c>
      <c r="G329">
        <v>0</v>
      </c>
      <c r="H329" t="s">
        <v>7883</v>
      </c>
      <c r="I329">
        <v>1</v>
      </c>
      <c r="J329">
        <v>106</v>
      </c>
      <c r="K329">
        <v>7</v>
      </c>
      <c r="L329" t="s">
        <v>8569</v>
      </c>
      <c r="M329">
        <v>2996</v>
      </c>
    </row>
    <row r="330" spans="1:13" x14ac:dyDescent="0.25">
      <c r="A330" t="s">
        <v>9008</v>
      </c>
      <c r="B330">
        <v>2</v>
      </c>
      <c r="C330" t="s">
        <v>8528</v>
      </c>
      <c r="D330">
        <v>310</v>
      </c>
      <c r="E330" t="s">
        <v>32</v>
      </c>
      <c r="F330">
        <v>7</v>
      </c>
      <c r="G330">
        <v>0</v>
      </c>
      <c r="H330" t="s">
        <v>7883</v>
      </c>
      <c r="I330">
        <v>9</v>
      </c>
      <c r="J330">
        <v>168</v>
      </c>
      <c r="K330">
        <v>7</v>
      </c>
      <c r="L330" t="s">
        <v>8527</v>
      </c>
      <c r="M330">
        <v>2864</v>
      </c>
    </row>
    <row r="331" spans="1:13" x14ac:dyDescent="0.25">
      <c r="A331" t="s">
        <v>9050</v>
      </c>
      <c r="B331">
        <v>2</v>
      </c>
      <c r="C331" t="s">
        <v>8612</v>
      </c>
      <c r="D331">
        <v>767</v>
      </c>
      <c r="E331" t="s">
        <v>22</v>
      </c>
      <c r="F331">
        <v>7</v>
      </c>
      <c r="G331">
        <v>0</v>
      </c>
      <c r="H331" t="s">
        <v>7883</v>
      </c>
      <c r="I331">
        <v>5</v>
      </c>
      <c r="J331">
        <v>184</v>
      </c>
      <c r="K331">
        <v>8</v>
      </c>
      <c r="L331" t="s">
        <v>8611</v>
      </c>
      <c r="M331">
        <v>2403</v>
      </c>
    </row>
    <row r="332" spans="1:13" x14ac:dyDescent="0.25">
      <c r="A332" t="s">
        <v>9051</v>
      </c>
      <c r="B332">
        <v>2</v>
      </c>
      <c r="C332" t="s">
        <v>8614</v>
      </c>
      <c r="D332">
        <v>769</v>
      </c>
      <c r="E332" t="s">
        <v>22</v>
      </c>
      <c r="F332">
        <v>7</v>
      </c>
      <c r="G332">
        <v>0</v>
      </c>
      <c r="H332" t="s">
        <v>7883</v>
      </c>
      <c r="I332">
        <v>5</v>
      </c>
      <c r="J332">
        <v>200</v>
      </c>
      <c r="K332">
        <v>13</v>
      </c>
      <c r="L332" t="s">
        <v>8613</v>
      </c>
      <c r="M332">
        <v>2405</v>
      </c>
    </row>
    <row r="333" spans="1:13" x14ac:dyDescent="0.25">
      <c r="A333" t="s">
        <v>9009</v>
      </c>
      <c r="B333">
        <v>2</v>
      </c>
      <c r="C333" t="s">
        <v>8530</v>
      </c>
      <c r="D333">
        <v>314</v>
      </c>
      <c r="E333" t="s">
        <v>32</v>
      </c>
      <c r="F333">
        <v>7</v>
      </c>
      <c r="G333">
        <v>0</v>
      </c>
      <c r="H333" t="s">
        <v>7883</v>
      </c>
      <c r="I333">
        <v>9</v>
      </c>
      <c r="J333">
        <v>214</v>
      </c>
      <c r="K333">
        <v>13</v>
      </c>
      <c r="L333" t="s">
        <v>8529</v>
      </c>
      <c r="M333">
        <v>2889</v>
      </c>
    </row>
    <row r="334" spans="1:13" x14ac:dyDescent="0.25">
      <c r="A334" t="s">
        <v>9010</v>
      </c>
      <c r="B334">
        <v>2</v>
      </c>
      <c r="C334" t="s">
        <v>8532</v>
      </c>
      <c r="D334">
        <v>389</v>
      </c>
      <c r="E334" t="s">
        <v>32</v>
      </c>
      <c r="F334">
        <v>7</v>
      </c>
      <c r="G334">
        <v>0</v>
      </c>
      <c r="H334" t="s">
        <v>7883</v>
      </c>
      <c r="I334">
        <v>9</v>
      </c>
      <c r="J334">
        <v>90</v>
      </c>
      <c r="K334">
        <v>13</v>
      </c>
      <c r="L334" t="s">
        <v>8531</v>
      </c>
      <c r="M334">
        <v>3189</v>
      </c>
    </row>
    <row r="335" spans="1:13" x14ac:dyDescent="0.25">
      <c r="A335" t="s">
        <v>9068</v>
      </c>
      <c r="B335">
        <v>2</v>
      </c>
      <c r="C335" t="s">
        <v>8648</v>
      </c>
      <c r="D335">
        <v>1158</v>
      </c>
      <c r="E335" t="s">
        <v>25</v>
      </c>
      <c r="F335">
        <v>7</v>
      </c>
      <c r="G335">
        <v>0</v>
      </c>
      <c r="H335" t="s">
        <v>7883</v>
      </c>
      <c r="I335">
        <v>13</v>
      </c>
      <c r="J335">
        <v>306</v>
      </c>
      <c r="K335">
        <v>14</v>
      </c>
      <c r="L335" t="s">
        <v>8647</v>
      </c>
      <c r="M335">
        <v>3645</v>
      </c>
    </row>
    <row r="336" spans="1:13" x14ac:dyDescent="0.25">
      <c r="A336" t="s">
        <v>9052</v>
      </c>
      <c r="B336">
        <v>2</v>
      </c>
      <c r="C336" t="s">
        <v>8616</v>
      </c>
      <c r="D336">
        <v>1090</v>
      </c>
      <c r="E336" t="s">
        <v>22</v>
      </c>
      <c r="F336">
        <v>7</v>
      </c>
      <c r="G336">
        <v>0</v>
      </c>
      <c r="H336" t="s">
        <v>7883</v>
      </c>
      <c r="I336">
        <v>5</v>
      </c>
      <c r="J336">
        <v>274</v>
      </c>
      <c r="K336">
        <v>14</v>
      </c>
      <c r="L336" t="s">
        <v>8615</v>
      </c>
      <c r="M336">
        <v>3842</v>
      </c>
    </row>
    <row r="337" spans="1:13" x14ac:dyDescent="0.25">
      <c r="A337" t="s">
        <v>9069</v>
      </c>
      <c r="B337">
        <v>2</v>
      </c>
      <c r="C337" t="s">
        <v>8650</v>
      </c>
      <c r="D337">
        <v>765</v>
      </c>
      <c r="E337" t="s">
        <v>25</v>
      </c>
      <c r="F337">
        <v>4</v>
      </c>
      <c r="G337">
        <v>0</v>
      </c>
      <c r="H337" t="s">
        <v>7883</v>
      </c>
      <c r="I337">
        <v>15</v>
      </c>
      <c r="J337">
        <v>46</v>
      </c>
      <c r="K337">
        <v>17</v>
      </c>
      <c r="L337" t="s">
        <v>8649</v>
      </c>
      <c r="M337">
        <v>1754</v>
      </c>
    </row>
    <row r="338" spans="1:13" x14ac:dyDescent="0.25">
      <c r="A338" t="s">
        <v>9030</v>
      </c>
      <c r="B338">
        <v>2</v>
      </c>
      <c r="C338" t="s">
        <v>8572</v>
      </c>
      <c r="D338">
        <v>655</v>
      </c>
      <c r="E338" s="2" t="s">
        <v>29</v>
      </c>
      <c r="F338">
        <v>7</v>
      </c>
      <c r="G338">
        <v>1</v>
      </c>
      <c r="H338" t="s">
        <v>7883</v>
      </c>
      <c r="I338" s="2">
        <v>0</v>
      </c>
      <c r="J338">
        <v>174</v>
      </c>
      <c r="K338">
        <v>8</v>
      </c>
      <c r="L338" t="s">
        <v>8571</v>
      </c>
      <c r="M338">
        <v>2456</v>
      </c>
    </row>
    <row r="339" spans="1:13" x14ac:dyDescent="0.25">
      <c r="A339" t="s">
        <v>9011</v>
      </c>
      <c r="B339">
        <v>2</v>
      </c>
      <c r="C339" t="s">
        <v>8534</v>
      </c>
      <c r="D339">
        <v>206</v>
      </c>
      <c r="E339" t="s">
        <v>32</v>
      </c>
      <c r="F339">
        <v>7</v>
      </c>
      <c r="G339">
        <v>0</v>
      </c>
      <c r="H339" t="s">
        <v>7883</v>
      </c>
      <c r="I339">
        <v>9</v>
      </c>
      <c r="J339">
        <v>134</v>
      </c>
      <c r="K339">
        <v>19</v>
      </c>
      <c r="L339" t="s">
        <v>8533</v>
      </c>
      <c r="M339">
        <v>2163</v>
      </c>
    </row>
    <row r="340" spans="1:13" x14ac:dyDescent="0.25">
      <c r="A340" t="s">
        <v>9012</v>
      </c>
      <c r="B340">
        <v>2</v>
      </c>
      <c r="C340" t="s">
        <v>8536</v>
      </c>
      <c r="D340">
        <v>31</v>
      </c>
      <c r="E340" t="s">
        <v>32</v>
      </c>
      <c r="F340">
        <v>4</v>
      </c>
      <c r="G340">
        <v>0</v>
      </c>
      <c r="H340" t="s">
        <v>7883</v>
      </c>
      <c r="I340">
        <v>11</v>
      </c>
      <c r="J340">
        <v>88</v>
      </c>
      <c r="K340">
        <v>20</v>
      </c>
      <c r="L340" t="s">
        <v>8535</v>
      </c>
      <c r="M340">
        <v>346</v>
      </c>
    </row>
    <row r="341" spans="1:13" x14ac:dyDescent="0.25">
      <c r="A341" t="s">
        <v>9013</v>
      </c>
      <c r="B341">
        <v>2</v>
      </c>
      <c r="C341" t="s">
        <v>8538</v>
      </c>
      <c r="D341">
        <v>204</v>
      </c>
      <c r="E341" t="s">
        <v>32</v>
      </c>
      <c r="F341">
        <v>4</v>
      </c>
      <c r="G341">
        <v>0</v>
      </c>
      <c r="H341" t="s">
        <v>7883</v>
      </c>
      <c r="I341">
        <v>11</v>
      </c>
      <c r="J341">
        <v>60</v>
      </c>
      <c r="K341">
        <v>23</v>
      </c>
      <c r="L341" t="s">
        <v>8537</v>
      </c>
      <c r="M341">
        <v>2138</v>
      </c>
    </row>
    <row r="342" spans="1:13" x14ac:dyDescent="0.25">
      <c r="A342" t="s">
        <v>9053</v>
      </c>
      <c r="B342">
        <v>2</v>
      </c>
      <c r="C342" t="s">
        <v>8618</v>
      </c>
      <c r="D342">
        <v>384</v>
      </c>
      <c r="E342" t="s">
        <v>22</v>
      </c>
      <c r="F342">
        <v>4</v>
      </c>
      <c r="G342">
        <v>0</v>
      </c>
      <c r="H342" t="s">
        <v>7883</v>
      </c>
      <c r="I342">
        <v>7</v>
      </c>
      <c r="J342">
        <v>74</v>
      </c>
      <c r="K342">
        <v>24</v>
      </c>
      <c r="L342" t="s">
        <v>8617</v>
      </c>
      <c r="M342">
        <v>1268</v>
      </c>
    </row>
    <row r="343" spans="1:13" x14ac:dyDescent="0.25">
      <c r="A343" t="s">
        <v>9070</v>
      </c>
      <c r="B343">
        <v>2</v>
      </c>
      <c r="C343" t="s">
        <v>8652</v>
      </c>
      <c r="D343">
        <v>809</v>
      </c>
      <c r="E343" t="s">
        <v>25</v>
      </c>
      <c r="F343">
        <v>4</v>
      </c>
      <c r="G343">
        <v>0</v>
      </c>
      <c r="H343" t="s">
        <v>7883</v>
      </c>
      <c r="I343">
        <v>15</v>
      </c>
      <c r="J343">
        <v>252</v>
      </c>
      <c r="K343">
        <v>25</v>
      </c>
      <c r="L343" t="s">
        <v>8651</v>
      </c>
      <c r="M343">
        <v>1856</v>
      </c>
    </row>
    <row r="344" spans="1:13" x14ac:dyDescent="0.25">
      <c r="A344" t="s">
        <v>9054</v>
      </c>
      <c r="B344">
        <v>2</v>
      </c>
      <c r="C344" t="s">
        <v>8620</v>
      </c>
      <c r="D344">
        <v>715</v>
      </c>
      <c r="E344" t="s">
        <v>22</v>
      </c>
      <c r="F344">
        <v>7</v>
      </c>
      <c r="G344">
        <v>0</v>
      </c>
      <c r="H344" t="s">
        <v>7883</v>
      </c>
      <c r="I344">
        <v>5</v>
      </c>
      <c r="J344">
        <v>152</v>
      </c>
      <c r="K344">
        <v>26</v>
      </c>
      <c r="L344" t="s">
        <v>8619</v>
      </c>
      <c r="M344">
        <v>2284</v>
      </c>
    </row>
    <row r="345" spans="1:13" x14ac:dyDescent="0.25">
      <c r="A345" t="s">
        <v>9071</v>
      </c>
      <c r="B345">
        <v>2</v>
      </c>
      <c r="C345" t="s">
        <v>8654</v>
      </c>
      <c r="D345">
        <v>166</v>
      </c>
      <c r="E345" t="s">
        <v>25</v>
      </c>
      <c r="F345">
        <v>7</v>
      </c>
      <c r="G345">
        <v>0</v>
      </c>
      <c r="H345" t="s">
        <v>7883</v>
      </c>
      <c r="I345">
        <v>13</v>
      </c>
      <c r="J345">
        <v>224</v>
      </c>
      <c r="K345">
        <v>27</v>
      </c>
      <c r="L345" t="s">
        <v>8653</v>
      </c>
      <c r="M345">
        <v>395</v>
      </c>
    </row>
    <row r="346" spans="1:13" x14ac:dyDescent="0.25">
      <c r="A346" t="s">
        <v>9055</v>
      </c>
      <c r="B346">
        <v>2</v>
      </c>
      <c r="C346" t="s">
        <v>8622</v>
      </c>
      <c r="D346">
        <v>1074</v>
      </c>
      <c r="E346" t="s">
        <v>22</v>
      </c>
      <c r="F346">
        <v>7</v>
      </c>
      <c r="G346">
        <v>0</v>
      </c>
      <c r="H346" t="s">
        <v>7883</v>
      </c>
      <c r="I346">
        <v>5</v>
      </c>
      <c r="J346">
        <v>198</v>
      </c>
      <c r="K346">
        <v>27</v>
      </c>
      <c r="L346" t="s">
        <v>8621</v>
      </c>
      <c r="M346">
        <v>3763</v>
      </c>
    </row>
    <row r="347" spans="1:13" x14ac:dyDescent="0.25">
      <c r="A347" t="s">
        <v>9031</v>
      </c>
      <c r="B347">
        <v>2</v>
      </c>
      <c r="C347" t="s">
        <v>8574</v>
      </c>
      <c r="D347">
        <v>485</v>
      </c>
      <c r="E347" t="s">
        <v>29</v>
      </c>
      <c r="F347">
        <v>7</v>
      </c>
      <c r="G347">
        <v>0</v>
      </c>
      <c r="H347" t="s">
        <v>7883</v>
      </c>
      <c r="I347">
        <v>1</v>
      </c>
      <c r="J347">
        <v>82</v>
      </c>
      <c r="K347">
        <v>27</v>
      </c>
      <c r="L347" t="s">
        <v>8573</v>
      </c>
      <c r="M347">
        <v>2500</v>
      </c>
    </row>
    <row r="348" spans="1:13" x14ac:dyDescent="0.25">
      <c r="A348" t="s">
        <v>9072</v>
      </c>
      <c r="B348">
        <v>2</v>
      </c>
      <c r="C348" t="s">
        <v>8656</v>
      </c>
      <c r="D348">
        <v>1150</v>
      </c>
      <c r="E348" t="s">
        <v>25</v>
      </c>
      <c r="F348">
        <v>7</v>
      </c>
      <c r="G348">
        <v>0</v>
      </c>
      <c r="H348" t="s">
        <v>7883</v>
      </c>
      <c r="I348">
        <v>13</v>
      </c>
      <c r="J348">
        <v>182</v>
      </c>
      <c r="K348">
        <v>31</v>
      </c>
      <c r="L348" t="s">
        <v>8655</v>
      </c>
      <c r="M348">
        <v>3622</v>
      </c>
    </row>
    <row r="349" spans="1:13" x14ac:dyDescent="0.25">
      <c r="A349" t="s">
        <v>9056</v>
      </c>
      <c r="B349">
        <v>2</v>
      </c>
      <c r="C349" t="s">
        <v>8624</v>
      </c>
      <c r="D349">
        <v>1078</v>
      </c>
      <c r="E349" t="s">
        <v>22</v>
      </c>
      <c r="F349">
        <v>7</v>
      </c>
      <c r="G349">
        <v>0</v>
      </c>
      <c r="H349" t="s">
        <v>7883</v>
      </c>
      <c r="I349">
        <v>5</v>
      </c>
      <c r="J349">
        <v>166</v>
      </c>
      <c r="K349">
        <v>31</v>
      </c>
      <c r="L349" t="s">
        <v>8623</v>
      </c>
      <c r="M349">
        <v>3791</v>
      </c>
    </row>
    <row r="350" spans="1:13" x14ac:dyDescent="0.25">
      <c r="A350" t="s">
        <v>9032</v>
      </c>
      <c r="B350">
        <v>2</v>
      </c>
      <c r="C350" t="s">
        <v>8576</v>
      </c>
      <c r="D350">
        <v>974</v>
      </c>
      <c r="E350" t="s">
        <v>29</v>
      </c>
      <c r="F350">
        <v>7</v>
      </c>
      <c r="G350">
        <v>0</v>
      </c>
      <c r="H350" t="s">
        <v>7883</v>
      </c>
      <c r="I350">
        <v>1</v>
      </c>
      <c r="J350">
        <v>168</v>
      </c>
      <c r="K350">
        <v>31</v>
      </c>
      <c r="L350" t="s">
        <v>8575</v>
      </c>
      <c r="M350">
        <v>3644</v>
      </c>
    </row>
    <row r="351" spans="1:13" x14ac:dyDescent="0.25">
      <c r="A351" t="s">
        <v>9057</v>
      </c>
      <c r="B351">
        <v>2</v>
      </c>
      <c r="C351" t="s">
        <v>8626</v>
      </c>
      <c r="D351">
        <v>945</v>
      </c>
      <c r="E351" t="s">
        <v>22</v>
      </c>
      <c r="F351">
        <v>7</v>
      </c>
      <c r="G351">
        <v>0</v>
      </c>
      <c r="H351" t="s">
        <v>7883</v>
      </c>
      <c r="I351">
        <v>5</v>
      </c>
      <c r="J351">
        <v>130</v>
      </c>
      <c r="K351">
        <v>32</v>
      </c>
      <c r="L351" t="s">
        <v>8625</v>
      </c>
      <c r="M351">
        <v>2882</v>
      </c>
    </row>
    <row r="352" spans="1:13" x14ac:dyDescent="0.25">
      <c r="A352" t="s">
        <v>9033</v>
      </c>
      <c r="B352">
        <v>2</v>
      </c>
      <c r="C352" t="s">
        <v>8578</v>
      </c>
      <c r="D352">
        <v>515</v>
      </c>
      <c r="E352" t="s">
        <v>29</v>
      </c>
      <c r="F352">
        <v>7</v>
      </c>
      <c r="G352">
        <v>0</v>
      </c>
      <c r="H352" t="s">
        <v>7883</v>
      </c>
      <c r="I352">
        <v>1</v>
      </c>
      <c r="J352">
        <v>142</v>
      </c>
      <c r="K352">
        <v>32</v>
      </c>
      <c r="L352" t="s">
        <v>8577</v>
      </c>
      <c r="M352">
        <v>2568</v>
      </c>
    </row>
    <row r="353" spans="1:13" x14ac:dyDescent="0.25">
      <c r="A353" t="s">
        <v>9034</v>
      </c>
      <c r="B353">
        <v>2</v>
      </c>
      <c r="C353" t="s">
        <v>8580</v>
      </c>
      <c r="D353">
        <v>195</v>
      </c>
      <c r="E353" t="s">
        <v>29</v>
      </c>
      <c r="F353">
        <v>4</v>
      </c>
      <c r="G353">
        <v>0</v>
      </c>
      <c r="H353" t="s">
        <v>7883</v>
      </c>
      <c r="I353">
        <v>3</v>
      </c>
      <c r="J353">
        <v>92</v>
      </c>
      <c r="K353">
        <v>34</v>
      </c>
      <c r="L353" t="s">
        <v>8579</v>
      </c>
      <c r="M353">
        <v>1136</v>
      </c>
    </row>
    <row r="354" spans="1:13" x14ac:dyDescent="0.25">
      <c r="A354" t="s">
        <v>9014</v>
      </c>
      <c r="B354">
        <v>2</v>
      </c>
      <c r="C354" t="s">
        <v>8540</v>
      </c>
      <c r="D354">
        <v>436</v>
      </c>
      <c r="E354" t="s">
        <v>32</v>
      </c>
      <c r="F354">
        <v>4</v>
      </c>
      <c r="G354">
        <v>0</v>
      </c>
      <c r="H354" t="s">
        <v>7883</v>
      </c>
      <c r="I354">
        <v>11</v>
      </c>
      <c r="J354">
        <v>148</v>
      </c>
      <c r="K354">
        <v>35</v>
      </c>
      <c r="L354" t="s">
        <v>8539</v>
      </c>
      <c r="M354">
        <v>3473</v>
      </c>
    </row>
    <row r="355" spans="1:13" x14ac:dyDescent="0.25">
      <c r="A355" t="s">
        <v>9035</v>
      </c>
      <c r="B355">
        <v>2</v>
      </c>
      <c r="C355" t="s">
        <v>8582</v>
      </c>
      <c r="D355">
        <v>770</v>
      </c>
      <c r="E355" t="s">
        <v>29</v>
      </c>
      <c r="F355">
        <v>7</v>
      </c>
      <c r="G355">
        <v>0</v>
      </c>
      <c r="H355" t="s">
        <v>7883</v>
      </c>
      <c r="I355">
        <v>1</v>
      </c>
      <c r="J355">
        <v>214</v>
      </c>
      <c r="K355">
        <v>37</v>
      </c>
      <c r="L355" t="s">
        <v>8581</v>
      </c>
      <c r="M355">
        <v>3199</v>
      </c>
    </row>
    <row r="356" spans="1:13" x14ac:dyDescent="0.25">
      <c r="A356" t="s">
        <v>9015</v>
      </c>
      <c r="B356">
        <v>2</v>
      </c>
      <c r="C356" t="s">
        <v>8542</v>
      </c>
      <c r="D356">
        <v>481</v>
      </c>
      <c r="E356" t="s">
        <v>32</v>
      </c>
      <c r="F356">
        <v>4</v>
      </c>
      <c r="G356">
        <v>0</v>
      </c>
      <c r="H356" t="s">
        <v>7883</v>
      </c>
      <c r="I356">
        <v>11</v>
      </c>
      <c r="J356">
        <v>100</v>
      </c>
      <c r="K356">
        <v>40</v>
      </c>
      <c r="L356" t="s">
        <v>8541</v>
      </c>
      <c r="M356">
        <v>3787</v>
      </c>
    </row>
    <row r="357" spans="1:13" x14ac:dyDescent="0.25">
      <c r="A357" t="s">
        <v>9073</v>
      </c>
      <c r="B357">
        <v>2</v>
      </c>
      <c r="C357" t="s">
        <v>8658</v>
      </c>
      <c r="D357">
        <v>176</v>
      </c>
      <c r="E357" t="s">
        <v>25</v>
      </c>
      <c r="F357">
        <v>4</v>
      </c>
      <c r="G357">
        <v>0</v>
      </c>
      <c r="H357" t="s">
        <v>7883</v>
      </c>
      <c r="I357">
        <v>15</v>
      </c>
      <c r="J357">
        <v>32</v>
      </c>
      <c r="K357">
        <v>41</v>
      </c>
      <c r="L357" t="s">
        <v>8657</v>
      </c>
      <c r="M357">
        <v>415</v>
      </c>
    </row>
    <row r="358" spans="1:13" x14ac:dyDescent="0.25">
      <c r="A358" t="s">
        <v>9074</v>
      </c>
      <c r="B358">
        <v>2</v>
      </c>
      <c r="C358" t="s">
        <v>8660</v>
      </c>
      <c r="D358">
        <v>156</v>
      </c>
      <c r="E358" t="s">
        <v>25</v>
      </c>
      <c r="F358">
        <v>4</v>
      </c>
      <c r="G358">
        <v>0</v>
      </c>
      <c r="H358" t="s">
        <v>7883</v>
      </c>
      <c r="I358">
        <v>15</v>
      </c>
      <c r="J358">
        <v>16</v>
      </c>
      <c r="K358">
        <v>47</v>
      </c>
      <c r="L358" t="s">
        <v>8659</v>
      </c>
      <c r="M358">
        <v>371</v>
      </c>
    </row>
    <row r="359" spans="1:13" x14ac:dyDescent="0.25">
      <c r="A359" t="s">
        <v>9036</v>
      </c>
      <c r="B359">
        <v>2</v>
      </c>
      <c r="C359" t="s">
        <v>8584</v>
      </c>
      <c r="D359">
        <v>544</v>
      </c>
      <c r="E359" t="s">
        <v>29</v>
      </c>
      <c r="F359">
        <v>4</v>
      </c>
      <c r="G359">
        <v>0</v>
      </c>
      <c r="H359" t="s">
        <v>7883</v>
      </c>
      <c r="I359">
        <v>3</v>
      </c>
      <c r="J359">
        <v>68</v>
      </c>
      <c r="K359">
        <v>56</v>
      </c>
      <c r="L359" t="s">
        <v>8583</v>
      </c>
      <c r="M359">
        <v>2658</v>
      </c>
    </row>
    <row r="360" spans="1:13" x14ac:dyDescent="0.25">
      <c r="A360" t="s">
        <v>9037</v>
      </c>
      <c r="B360">
        <v>2</v>
      </c>
      <c r="C360" t="s">
        <v>8586</v>
      </c>
      <c r="D360">
        <v>696</v>
      </c>
      <c r="E360" t="s">
        <v>29</v>
      </c>
      <c r="F360">
        <v>4</v>
      </c>
      <c r="G360">
        <v>0</v>
      </c>
      <c r="H360" t="s">
        <v>7883</v>
      </c>
      <c r="I360">
        <v>3</v>
      </c>
      <c r="J360">
        <v>20</v>
      </c>
      <c r="K360">
        <v>57</v>
      </c>
      <c r="L360" t="s">
        <v>8585</v>
      </c>
      <c r="M360">
        <v>3038</v>
      </c>
    </row>
    <row r="361" spans="1:13" x14ac:dyDescent="0.25">
      <c r="A361" t="s">
        <v>9016</v>
      </c>
      <c r="B361">
        <v>2</v>
      </c>
      <c r="C361" t="s">
        <v>8544</v>
      </c>
      <c r="D361">
        <v>380</v>
      </c>
      <c r="E361" t="s">
        <v>32</v>
      </c>
      <c r="F361">
        <v>4</v>
      </c>
      <c r="G361">
        <v>0</v>
      </c>
      <c r="H361" t="s">
        <v>7883</v>
      </c>
      <c r="I361">
        <v>11</v>
      </c>
      <c r="J361">
        <v>124</v>
      </c>
      <c r="K361">
        <v>57</v>
      </c>
      <c r="L361" t="s">
        <v>8543</v>
      </c>
      <c r="M361">
        <v>3147</v>
      </c>
    </row>
    <row r="362" spans="1:13" x14ac:dyDescent="0.25">
      <c r="A362" t="s">
        <v>9058</v>
      </c>
      <c r="B362">
        <v>2</v>
      </c>
      <c r="C362" t="s">
        <v>8628</v>
      </c>
      <c r="D362">
        <v>467</v>
      </c>
      <c r="E362" t="s">
        <v>22</v>
      </c>
      <c r="F362">
        <v>4</v>
      </c>
      <c r="G362">
        <v>0</v>
      </c>
      <c r="H362" t="s">
        <v>7883</v>
      </c>
      <c r="I362">
        <v>7</v>
      </c>
      <c r="J362">
        <v>186</v>
      </c>
      <c r="K362">
        <v>58</v>
      </c>
      <c r="L362" t="s">
        <v>8627</v>
      </c>
      <c r="M362">
        <v>1531</v>
      </c>
    </row>
    <row r="363" spans="1:13" x14ac:dyDescent="0.25">
      <c r="A363" t="s">
        <v>9038</v>
      </c>
      <c r="B363">
        <v>2</v>
      </c>
      <c r="C363" t="s">
        <v>8588</v>
      </c>
      <c r="D363">
        <v>345</v>
      </c>
      <c r="E363" t="s">
        <v>29</v>
      </c>
      <c r="F363">
        <v>4</v>
      </c>
      <c r="G363">
        <v>0</v>
      </c>
      <c r="H363" t="s">
        <v>7883</v>
      </c>
      <c r="I363">
        <v>3</v>
      </c>
      <c r="J363">
        <v>4</v>
      </c>
      <c r="K363">
        <v>59</v>
      </c>
      <c r="L363" t="s">
        <v>8587</v>
      </c>
      <c r="M363">
        <v>2006</v>
      </c>
    </row>
    <row r="364" spans="1:13" x14ac:dyDescent="0.25">
      <c r="A364" t="s">
        <v>9075</v>
      </c>
      <c r="B364">
        <v>2</v>
      </c>
      <c r="C364" t="s">
        <v>8662</v>
      </c>
      <c r="D364">
        <v>580</v>
      </c>
      <c r="E364" t="s">
        <v>25</v>
      </c>
      <c r="F364">
        <v>4</v>
      </c>
      <c r="G364">
        <v>0</v>
      </c>
      <c r="H364" t="s">
        <v>7883</v>
      </c>
      <c r="I364">
        <v>15</v>
      </c>
      <c r="J364">
        <v>12</v>
      </c>
      <c r="K364">
        <v>60</v>
      </c>
      <c r="L364" t="s">
        <v>8661</v>
      </c>
      <c r="M364">
        <v>1330</v>
      </c>
    </row>
    <row r="365" spans="1:13" x14ac:dyDescent="0.25">
      <c r="A365" t="s">
        <v>9017</v>
      </c>
      <c r="B365">
        <v>2</v>
      </c>
      <c r="C365" t="s">
        <v>8546</v>
      </c>
      <c r="D365">
        <v>322</v>
      </c>
      <c r="E365" t="s">
        <v>32</v>
      </c>
      <c r="F365">
        <v>4</v>
      </c>
      <c r="G365">
        <v>0</v>
      </c>
      <c r="H365" t="s">
        <v>7883</v>
      </c>
      <c r="I365">
        <v>11</v>
      </c>
      <c r="J365">
        <v>26</v>
      </c>
      <c r="K365">
        <v>61</v>
      </c>
      <c r="L365" t="s">
        <v>8545</v>
      </c>
      <c r="M365">
        <v>2919</v>
      </c>
    </row>
    <row r="366" spans="1:13" x14ac:dyDescent="0.25">
      <c r="A366" t="s">
        <v>9039</v>
      </c>
      <c r="B366">
        <v>2</v>
      </c>
      <c r="C366" t="s">
        <v>8590</v>
      </c>
      <c r="D366">
        <v>29</v>
      </c>
      <c r="E366" t="s">
        <v>29</v>
      </c>
      <c r="F366">
        <v>4</v>
      </c>
      <c r="G366">
        <v>0</v>
      </c>
      <c r="H366" t="s">
        <v>7883</v>
      </c>
      <c r="I366">
        <v>3</v>
      </c>
      <c r="J366">
        <v>6</v>
      </c>
      <c r="K366">
        <v>62</v>
      </c>
      <c r="L366" t="s">
        <v>8589</v>
      </c>
      <c r="M366">
        <v>156</v>
      </c>
    </row>
    <row r="367" spans="1:13" x14ac:dyDescent="0.25">
      <c r="A367" t="s">
        <v>9018</v>
      </c>
      <c r="B367">
        <v>2</v>
      </c>
      <c r="C367" t="s">
        <v>8548</v>
      </c>
      <c r="D367">
        <v>74</v>
      </c>
      <c r="E367" t="s">
        <v>32</v>
      </c>
      <c r="F367">
        <v>4</v>
      </c>
      <c r="G367">
        <v>0</v>
      </c>
      <c r="H367" t="s">
        <v>7883</v>
      </c>
      <c r="I367">
        <v>11</v>
      </c>
      <c r="J367">
        <v>90</v>
      </c>
      <c r="K367">
        <v>63</v>
      </c>
      <c r="L367" t="s">
        <v>8547</v>
      </c>
      <c r="M367">
        <v>909</v>
      </c>
    </row>
    <row r="368" spans="1:13" x14ac:dyDescent="0.25">
      <c r="A368" t="s">
        <v>9040</v>
      </c>
      <c r="B368">
        <v>2</v>
      </c>
      <c r="C368" t="s">
        <v>8592</v>
      </c>
      <c r="D368">
        <v>26</v>
      </c>
      <c r="E368" t="s">
        <v>29</v>
      </c>
      <c r="F368">
        <v>4</v>
      </c>
      <c r="G368">
        <v>0</v>
      </c>
      <c r="H368" t="s">
        <v>7883</v>
      </c>
      <c r="I368">
        <v>3</v>
      </c>
      <c r="J368">
        <v>6</v>
      </c>
      <c r="K368">
        <v>65</v>
      </c>
      <c r="L368" t="s">
        <v>8591</v>
      </c>
      <c r="M368">
        <v>146</v>
      </c>
    </row>
    <row r="369" spans="1:13" x14ac:dyDescent="0.25">
      <c r="A369" t="s">
        <v>9076</v>
      </c>
      <c r="B369">
        <v>2</v>
      </c>
      <c r="C369" t="s">
        <v>8664</v>
      </c>
      <c r="D369">
        <v>764</v>
      </c>
      <c r="E369" t="s">
        <v>25</v>
      </c>
      <c r="F369">
        <v>4</v>
      </c>
      <c r="G369">
        <v>0</v>
      </c>
      <c r="H369" t="s">
        <v>7883</v>
      </c>
      <c r="I369">
        <v>15</v>
      </c>
      <c r="J369">
        <v>64</v>
      </c>
      <c r="K369">
        <v>66</v>
      </c>
      <c r="L369" t="s">
        <v>8663</v>
      </c>
      <c r="M369">
        <v>1751</v>
      </c>
    </row>
    <row r="370" spans="1:13" x14ac:dyDescent="0.25">
      <c r="A370" t="s">
        <v>9077</v>
      </c>
      <c r="B370">
        <v>2</v>
      </c>
      <c r="C370" t="s">
        <v>8666</v>
      </c>
      <c r="D370">
        <v>66</v>
      </c>
      <c r="E370" t="s">
        <v>25</v>
      </c>
      <c r="F370">
        <v>4</v>
      </c>
      <c r="G370">
        <v>0</v>
      </c>
      <c r="H370" t="s">
        <v>7883</v>
      </c>
      <c r="I370">
        <v>15</v>
      </c>
      <c r="J370">
        <v>82</v>
      </c>
      <c r="K370">
        <v>69</v>
      </c>
      <c r="L370" t="s">
        <v>8665</v>
      </c>
      <c r="M370">
        <v>149</v>
      </c>
    </row>
    <row r="371" spans="1:13" x14ac:dyDescent="0.25">
      <c r="A371" t="s">
        <v>9078</v>
      </c>
      <c r="B371">
        <v>2</v>
      </c>
      <c r="C371" t="s">
        <v>8668</v>
      </c>
      <c r="D371">
        <v>37</v>
      </c>
      <c r="E371" t="s">
        <v>25</v>
      </c>
      <c r="F371">
        <v>4</v>
      </c>
      <c r="G371">
        <v>0</v>
      </c>
      <c r="H371" t="s">
        <v>7883</v>
      </c>
      <c r="I371">
        <v>15</v>
      </c>
      <c r="J371">
        <v>70</v>
      </c>
      <c r="K371">
        <v>70</v>
      </c>
      <c r="L371" t="s">
        <v>8667</v>
      </c>
      <c r="M371">
        <v>70</v>
      </c>
    </row>
    <row r="372" spans="1:13" x14ac:dyDescent="0.25">
      <c r="A372" t="s">
        <v>9059</v>
      </c>
      <c r="B372">
        <v>2</v>
      </c>
      <c r="C372" t="s">
        <v>8630</v>
      </c>
      <c r="D372">
        <v>462</v>
      </c>
      <c r="E372" t="s">
        <v>22</v>
      </c>
      <c r="F372">
        <v>4</v>
      </c>
      <c r="G372">
        <v>0</v>
      </c>
      <c r="H372" t="s">
        <v>7883</v>
      </c>
      <c r="I372">
        <v>7</v>
      </c>
      <c r="J372">
        <v>14</v>
      </c>
      <c r="K372">
        <v>71</v>
      </c>
      <c r="L372" t="s">
        <v>8629</v>
      </c>
      <c r="M372">
        <v>1514</v>
      </c>
    </row>
    <row r="373" spans="1:13" x14ac:dyDescent="0.25">
      <c r="A373" t="s">
        <v>9060</v>
      </c>
      <c r="B373">
        <v>2</v>
      </c>
      <c r="C373" t="s">
        <v>8632</v>
      </c>
      <c r="D373">
        <v>246</v>
      </c>
      <c r="E373" t="s">
        <v>22</v>
      </c>
      <c r="F373">
        <v>4</v>
      </c>
      <c r="G373">
        <v>0</v>
      </c>
      <c r="H373" t="s">
        <v>7883</v>
      </c>
      <c r="I373">
        <v>7</v>
      </c>
      <c r="J373">
        <v>6</v>
      </c>
      <c r="K373">
        <v>72</v>
      </c>
      <c r="L373" t="s">
        <v>8631</v>
      </c>
      <c r="M373">
        <v>808</v>
      </c>
    </row>
    <row r="374" spans="1:13" x14ac:dyDescent="0.25">
      <c r="A374" t="s">
        <v>9079</v>
      </c>
      <c r="B374">
        <v>2</v>
      </c>
      <c r="C374" t="s">
        <v>8670</v>
      </c>
      <c r="D374">
        <v>119</v>
      </c>
      <c r="E374" t="s">
        <v>25</v>
      </c>
      <c r="F374">
        <v>4</v>
      </c>
      <c r="G374">
        <v>0</v>
      </c>
      <c r="H374" t="s">
        <v>7883</v>
      </c>
      <c r="I374">
        <v>15</v>
      </c>
      <c r="J374">
        <v>52</v>
      </c>
      <c r="K374">
        <v>73</v>
      </c>
      <c r="L374" t="s">
        <v>8669</v>
      </c>
      <c r="M374">
        <v>282</v>
      </c>
    </row>
    <row r="375" spans="1:13" x14ac:dyDescent="0.25">
      <c r="A375" t="s">
        <v>9080</v>
      </c>
      <c r="B375">
        <v>2</v>
      </c>
      <c r="C375" t="s">
        <v>8672</v>
      </c>
      <c r="D375">
        <v>811</v>
      </c>
      <c r="E375" t="s">
        <v>25</v>
      </c>
      <c r="F375">
        <v>4</v>
      </c>
      <c r="G375">
        <v>0</v>
      </c>
      <c r="H375" t="s">
        <v>7883</v>
      </c>
      <c r="I375">
        <v>15</v>
      </c>
      <c r="J375">
        <v>54</v>
      </c>
      <c r="K375">
        <v>74</v>
      </c>
      <c r="L375" t="s">
        <v>8671</v>
      </c>
      <c r="M375">
        <v>1860</v>
      </c>
    </row>
    <row r="376" spans="1:13" x14ac:dyDescent="0.25">
      <c r="A376" t="s">
        <v>9041</v>
      </c>
      <c r="B376">
        <v>2</v>
      </c>
      <c r="C376" t="s">
        <v>8594</v>
      </c>
      <c r="D376">
        <v>232</v>
      </c>
      <c r="E376" t="s">
        <v>29</v>
      </c>
      <c r="F376">
        <v>4</v>
      </c>
      <c r="G376">
        <v>0</v>
      </c>
      <c r="H376" t="s">
        <v>7883</v>
      </c>
      <c r="I376">
        <v>3</v>
      </c>
      <c r="J376">
        <v>16</v>
      </c>
      <c r="K376">
        <v>75</v>
      </c>
      <c r="L376" t="s">
        <v>8593</v>
      </c>
      <c r="M376">
        <v>1383</v>
      </c>
    </row>
    <row r="377" spans="1:13" x14ac:dyDescent="0.25">
      <c r="A377" t="s">
        <v>9061</v>
      </c>
      <c r="B377">
        <v>2</v>
      </c>
      <c r="C377" t="s">
        <v>8634</v>
      </c>
      <c r="D377">
        <v>208</v>
      </c>
      <c r="E377" t="s">
        <v>22</v>
      </c>
      <c r="F377">
        <v>4</v>
      </c>
      <c r="G377">
        <v>0</v>
      </c>
      <c r="H377" t="s">
        <v>7883</v>
      </c>
      <c r="I377">
        <v>7</v>
      </c>
      <c r="J377">
        <v>4</v>
      </c>
      <c r="K377">
        <v>76</v>
      </c>
      <c r="L377" t="s">
        <v>8633</v>
      </c>
      <c r="M377">
        <v>665</v>
      </c>
    </row>
    <row r="378" spans="1:13" x14ac:dyDescent="0.25">
      <c r="A378" t="s">
        <v>9062</v>
      </c>
      <c r="B378">
        <v>2</v>
      </c>
      <c r="C378" t="s">
        <v>8636</v>
      </c>
      <c r="D378">
        <v>183</v>
      </c>
      <c r="E378" t="s">
        <v>22</v>
      </c>
      <c r="F378">
        <v>4</v>
      </c>
      <c r="G378">
        <v>0</v>
      </c>
      <c r="H378" t="s">
        <v>7883</v>
      </c>
      <c r="I378">
        <v>7</v>
      </c>
      <c r="J378">
        <v>6</v>
      </c>
      <c r="K378">
        <v>77</v>
      </c>
      <c r="L378" t="s">
        <v>8635</v>
      </c>
      <c r="M378">
        <v>568</v>
      </c>
    </row>
    <row r="379" spans="1:13" x14ac:dyDescent="0.25">
      <c r="A379" t="s">
        <v>9063</v>
      </c>
      <c r="B379">
        <v>2</v>
      </c>
      <c r="C379" t="s">
        <v>8638</v>
      </c>
      <c r="D379">
        <v>382</v>
      </c>
      <c r="E379" t="s">
        <v>22</v>
      </c>
      <c r="F379">
        <v>4</v>
      </c>
      <c r="G379">
        <v>0</v>
      </c>
      <c r="H379" t="s">
        <v>7883</v>
      </c>
      <c r="I379">
        <v>7</v>
      </c>
      <c r="J379">
        <v>6</v>
      </c>
      <c r="K379">
        <v>78</v>
      </c>
      <c r="L379" t="s">
        <v>8637</v>
      </c>
      <c r="M379">
        <v>1263</v>
      </c>
    </row>
    <row r="380" spans="1:13" x14ac:dyDescent="0.25">
      <c r="A380" t="s">
        <v>9019</v>
      </c>
      <c r="B380">
        <v>2</v>
      </c>
      <c r="C380" t="s">
        <v>8550</v>
      </c>
      <c r="D380">
        <v>302</v>
      </c>
      <c r="E380" t="s">
        <v>32</v>
      </c>
      <c r="F380">
        <v>4</v>
      </c>
      <c r="G380">
        <v>0</v>
      </c>
      <c r="H380" t="s">
        <v>7883</v>
      </c>
      <c r="I380">
        <v>11</v>
      </c>
      <c r="J380">
        <v>66</v>
      </c>
      <c r="K380">
        <v>81</v>
      </c>
      <c r="L380" t="s">
        <v>8549</v>
      </c>
      <c r="M380">
        <v>2818</v>
      </c>
    </row>
    <row r="381" spans="1:13" x14ac:dyDescent="0.25">
      <c r="A381" t="s">
        <v>9081</v>
      </c>
      <c r="B381">
        <v>2</v>
      </c>
      <c r="C381" t="s">
        <v>8674</v>
      </c>
      <c r="D381">
        <v>922</v>
      </c>
      <c r="E381" t="s">
        <v>25</v>
      </c>
      <c r="F381">
        <v>7</v>
      </c>
      <c r="G381">
        <v>0</v>
      </c>
      <c r="H381" t="s">
        <v>7883</v>
      </c>
      <c r="I381">
        <v>13</v>
      </c>
      <c r="J381">
        <v>110</v>
      </c>
      <c r="K381">
        <v>83</v>
      </c>
      <c r="L381" t="s">
        <v>8673</v>
      </c>
      <c r="M381">
        <v>2234</v>
      </c>
    </row>
    <row r="382" spans="1:13" x14ac:dyDescent="0.25">
      <c r="A382" t="s">
        <v>9020</v>
      </c>
      <c r="B382">
        <v>2</v>
      </c>
      <c r="C382" t="s">
        <v>8552</v>
      </c>
      <c r="D382">
        <v>313</v>
      </c>
      <c r="E382" t="s">
        <v>32</v>
      </c>
      <c r="F382">
        <v>7</v>
      </c>
      <c r="G382">
        <v>0</v>
      </c>
      <c r="H382" t="s">
        <v>7883</v>
      </c>
      <c r="I382">
        <v>9</v>
      </c>
      <c r="J382">
        <v>104</v>
      </c>
      <c r="K382">
        <v>83</v>
      </c>
      <c r="L382" t="s">
        <v>8551</v>
      </c>
      <c r="M382">
        <v>2885</v>
      </c>
    </row>
    <row r="383" spans="1:13" x14ac:dyDescent="0.25">
      <c r="A383" t="s">
        <v>9042</v>
      </c>
      <c r="B383">
        <v>2</v>
      </c>
      <c r="C383" t="s">
        <v>8596</v>
      </c>
      <c r="D383">
        <v>3</v>
      </c>
      <c r="E383" t="s">
        <v>29</v>
      </c>
      <c r="F383">
        <v>4</v>
      </c>
      <c r="G383">
        <v>0</v>
      </c>
      <c r="H383" t="s">
        <v>7883</v>
      </c>
      <c r="I383">
        <v>3</v>
      </c>
      <c r="J383">
        <v>68</v>
      </c>
      <c r="K383">
        <v>85</v>
      </c>
      <c r="L383" t="s">
        <v>8595</v>
      </c>
      <c r="M383">
        <v>9</v>
      </c>
    </row>
    <row r="384" spans="1:13" x14ac:dyDescent="0.25">
      <c r="A384" t="s">
        <v>9021</v>
      </c>
      <c r="B384">
        <v>2</v>
      </c>
      <c r="C384" t="s">
        <v>8554</v>
      </c>
      <c r="D384">
        <v>248</v>
      </c>
      <c r="E384" t="s">
        <v>32</v>
      </c>
      <c r="F384">
        <v>4</v>
      </c>
      <c r="G384">
        <v>0</v>
      </c>
      <c r="H384" t="s">
        <v>7883</v>
      </c>
      <c r="I384">
        <v>11</v>
      </c>
      <c r="J384">
        <v>100</v>
      </c>
      <c r="K384">
        <v>93</v>
      </c>
      <c r="L384" t="s">
        <v>8553</v>
      </c>
      <c r="M384">
        <v>2516</v>
      </c>
    </row>
    <row r="385" spans="1:13" x14ac:dyDescent="0.25">
      <c r="A385" t="s">
        <v>9043</v>
      </c>
      <c r="B385">
        <v>2</v>
      </c>
      <c r="C385" t="s">
        <v>8598</v>
      </c>
      <c r="D385">
        <v>565</v>
      </c>
      <c r="E385" t="s">
        <v>29</v>
      </c>
      <c r="F385">
        <v>4</v>
      </c>
      <c r="G385">
        <v>0</v>
      </c>
      <c r="H385" t="s">
        <v>7883</v>
      </c>
      <c r="I385">
        <v>3</v>
      </c>
      <c r="J385">
        <v>134</v>
      </c>
      <c r="K385">
        <v>95</v>
      </c>
      <c r="L385" t="s">
        <v>8597</v>
      </c>
      <c r="M385">
        <v>2713</v>
      </c>
    </row>
    <row r="386" spans="1:13" x14ac:dyDescent="0.25">
      <c r="A386" t="s">
        <v>9064</v>
      </c>
      <c r="B386">
        <v>2</v>
      </c>
      <c r="C386" t="s">
        <v>8640</v>
      </c>
      <c r="D386">
        <v>28</v>
      </c>
      <c r="E386" t="s">
        <v>22</v>
      </c>
      <c r="F386">
        <v>4</v>
      </c>
      <c r="G386">
        <v>0</v>
      </c>
      <c r="H386" t="s">
        <v>7883</v>
      </c>
      <c r="I386">
        <v>7</v>
      </c>
      <c r="J386">
        <v>12</v>
      </c>
      <c r="K386">
        <v>96</v>
      </c>
      <c r="L386" t="s">
        <v>8639</v>
      </c>
      <c r="M386">
        <v>100</v>
      </c>
    </row>
    <row r="387" spans="1:13" x14ac:dyDescent="0.25">
      <c r="A387" t="s">
        <v>9082</v>
      </c>
      <c r="B387">
        <v>2</v>
      </c>
      <c r="C387" t="s">
        <v>8676</v>
      </c>
      <c r="D387">
        <v>833</v>
      </c>
      <c r="E387" t="s">
        <v>25</v>
      </c>
      <c r="F387">
        <v>7</v>
      </c>
      <c r="G387">
        <v>0</v>
      </c>
      <c r="H387" t="s">
        <v>7883</v>
      </c>
      <c r="I387">
        <v>13</v>
      </c>
      <c r="J387">
        <v>252</v>
      </c>
      <c r="K387">
        <v>97</v>
      </c>
      <c r="L387" t="s">
        <v>8675</v>
      </c>
      <c r="M387">
        <v>1926</v>
      </c>
    </row>
    <row r="388" spans="1:13" x14ac:dyDescent="0.25">
      <c r="A388" t="s">
        <v>9022</v>
      </c>
      <c r="B388">
        <v>2</v>
      </c>
      <c r="C388" t="s">
        <v>8556</v>
      </c>
      <c r="D388">
        <v>428</v>
      </c>
      <c r="E388" t="s">
        <v>32</v>
      </c>
      <c r="F388">
        <v>7</v>
      </c>
      <c r="G388">
        <v>0</v>
      </c>
      <c r="H388" t="s">
        <v>7883</v>
      </c>
      <c r="I388">
        <v>9</v>
      </c>
      <c r="J388">
        <v>226</v>
      </c>
      <c r="K388">
        <v>97</v>
      </c>
      <c r="L388" t="s">
        <v>8555</v>
      </c>
      <c r="M388">
        <v>3423</v>
      </c>
    </row>
    <row r="389" spans="1:13" x14ac:dyDescent="0.25">
      <c r="A389" t="s">
        <v>9023</v>
      </c>
      <c r="B389">
        <v>2</v>
      </c>
      <c r="C389" t="s">
        <v>8558</v>
      </c>
      <c r="D389">
        <v>109</v>
      </c>
      <c r="E389" t="s">
        <v>32</v>
      </c>
      <c r="F389">
        <v>7</v>
      </c>
      <c r="G389">
        <v>0</v>
      </c>
      <c r="H389" t="s">
        <v>7883</v>
      </c>
      <c r="I389">
        <v>9</v>
      </c>
      <c r="J389">
        <v>250</v>
      </c>
      <c r="K389">
        <v>97</v>
      </c>
      <c r="L389" t="s">
        <v>8557</v>
      </c>
      <c r="M389">
        <v>1231</v>
      </c>
    </row>
    <row r="390" spans="1:13" x14ac:dyDescent="0.25">
      <c r="A390" t="s">
        <v>9083</v>
      </c>
      <c r="B390">
        <v>2</v>
      </c>
      <c r="C390" t="s">
        <v>8678</v>
      </c>
      <c r="D390">
        <v>1102</v>
      </c>
      <c r="E390" t="s">
        <v>25</v>
      </c>
      <c r="F390">
        <v>7</v>
      </c>
      <c r="G390">
        <v>0</v>
      </c>
      <c r="H390" t="s">
        <v>7883</v>
      </c>
      <c r="I390">
        <v>13</v>
      </c>
      <c r="J390">
        <v>216</v>
      </c>
      <c r="K390">
        <v>101</v>
      </c>
      <c r="L390" t="s">
        <v>8677</v>
      </c>
      <c r="M390">
        <v>3427</v>
      </c>
    </row>
    <row r="391" spans="1:13" x14ac:dyDescent="0.25">
      <c r="A391" t="s">
        <v>9044</v>
      </c>
      <c r="B391">
        <v>2</v>
      </c>
      <c r="C391" t="s">
        <v>8600</v>
      </c>
      <c r="D391">
        <v>521</v>
      </c>
      <c r="E391" t="s">
        <v>29</v>
      </c>
      <c r="F391">
        <v>7</v>
      </c>
      <c r="G391">
        <v>0</v>
      </c>
      <c r="H391" t="s">
        <v>7883</v>
      </c>
      <c r="I391">
        <v>1</v>
      </c>
      <c r="J391">
        <v>198</v>
      </c>
      <c r="K391">
        <v>101</v>
      </c>
      <c r="L391" t="s">
        <v>8599</v>
      </c>
      <c r="M391">
        <v>2601</v>
      </c>
    </row>
    <row r="392" spans="1:13" x14ac:dyDescent="0.25">
      <c r="A392" t="s">
        <v>9084</v>
      </c>
      <c r="B392">
        <v>2</v>
      </c>
      <c r="C392" t="s">
        <v>8680</v>
      </c>
      <c r="D392">
        <v>1173</v>
      </c>
      <c r="E392" t="s">
        <v>25</v>
      </c>
      <c r="F392">
        <v>7</v>
      </c>
      <c r="G392">
        <v>0</v>
      </c>
      <c r="H392" t="s">
        <v>7883</v>
      </c>
      <c r="I392">
        <v>13</v>
      </c>
      <c r="J392">
        <v>130</v>
      </c>
      <c r="K392">
        <v>102</v>
      </c>
      <c r="L392" t="s">
        <v>8679</v>
      </c>
      <c r="M392">
        <v>3691</v>
      </c>
    </row>
    <row r="393" spans="1:13" x14ac:dyDescent="0.25">
      <c r="A393" t="s">
        <v>9045</v>
      </c>
      <c r="B393">
        <v>2</v>
      </c>
      <c r="C393" t="s">
        <v>8602</v>
      </c>
      <c r="D393">
        <v>902</v>
      </c>
      <c r="E393" t="s">
        <v>29</v>
      </c>
      <c r="F393">
        <v>7</v>
      </c>
      <c r="G393">
        <v>0</v>
      </c>
      <c r="H393" t="s">
        <v>7883</v>
      </c>
      <c r="I393">
        <v>1</v>
      </c>
      <c r="J393">
        <v>142</v>
      </c>
      <c r="K393">
        <v>102</v>
      </c>
      <c r="L393" t="s">
        <v>8601</v>
      </c>
      <c r="M393">
        <v>3455</v>
      </c>
    </row>
    <row r="394" spans="1:13" x14ac:dyDescent="0.25">
      <c r="A394" t="s">
        <v>9024</v>
      </c>
      <c r="B394">
        <v>2</v>
      </c>
      <c r="C394" t="s">
        <v>8560</v>
      </c>
      <c r="D394">
        <v>362</v>
      </c>
      <c r="E394" t="s">
        <v>32</v>
      </c>
      <c r="F394">
        <v>7</v>
      </c>
      <c r="G394">
        <v>0</v>
      </c>
      <c r="H394" t="s">
        <v>7883</v>
      </c>
      <c r="I394">
        <v>9</v>
      </c>
      <c r="J394">
        <v>272</v>
      </c>
      <c r="K394">
        <v>102</v>
      </c>
      <c r="L394" t="s">
        <v>8559</v>
      </c>
      <c r="M394">
        <v>3100</v>
      </c>
    </row>
    <row r="395" spans="1:13" x14ac:dyDescent="0.25">
      <c r="A395" t="s">
        <v>9025</v>
      </c>
      <c r="B395">
        <v>2</v>
      </c>
      <c r="C395" t="s">
        <v>8562</v>
      </c>
      <c r="D395">
        <v>145</v>
      </c>
      <c r="E395" t="s">
        <v>32</v>
      </c>
      <c r="F395">
        <v>7</v>
      </c>
      <c r="G395">
        <v>0</v>
      </c>
      <c r="H395" t="s">
        <v>7883</v>
      </c>
      <c r="I395">
        <v>9</v>
      </c>
      <c r="J395">
        <v>198</v>
      </c>
      <c r="K395">
        <v>103</v>
      </c>
      <c r="L395" t="s">
        <v>8561</v>
      </c>
      <c r="M395">
        <v>1573</v>
      </c>
    </row>
    <row r="396" spans="1:13" x14ac:dyDescent="0.25">
      <c r="A396" t="s">
        <v>9085</v>
      </c>
      <c r="B396">
        <v>2</v>
      </c>
      <c r="C396" t="s">
        <v>8682</v>
      </c>
      <c r="D396">
        <v>1149</v>
      </c>
      <c r="E396" t="s">
        <v>25</v>
      </c>
      <c r="F396">
        <v>7</v>
      </c>
      <c r="G396">
        <v>0</v>
      </c>
      <c r="H396" t="s">
        <v>7883</v>
      </c>
      <c r="I396">
        <v>13</v>
      </c>
      <c r="J396">
        <v>232</v>
      </c>
      <c r="K396">
        <v>104</v>
      </c>
      <c r="L396" t="s">
        <v>8681</v>
      </c>
      <c r="M396">
        <v>3621</v>
      </c>
    </row>
    <row r="397" spans="1:13" x14ac:dyDescent="0.25">
      <c r="A397" t="s">
        <v>9026</v>
      </c>
      <c r="B397">
        <v>2</v>
      </c>
      <c r="C397" t="s">
        <v>8564</v>
      </c>
      <c r="D397">
        <v>354</v>
      </c>
      <c r="E397" t="s">
        <v>32</v>
      </c>
      <c r="F397">
        <v>7</v>
      </c>
      <c r="G397">
        <v>0</v>
      </c>
      <c r="H397" t="s">
        <v>7883</v>
      </c>
      <c r="I397">
        <v>9</v>
      </c>
      <c r="J397">
        <v>228</v>
      </c>
      <c r="K397">
        <v>104</v>
      </c>
      <c r="L397" t="s">
        <v>8563</v>
      </c>
      <c r="M397">
        <v>3062</v>
      </c>
    </row>
    <row r="398" spans="1:13" x14ac:dyDescent="0.25">
      <c r="A398" t="s">
        <v>9065</v>
      </c>
      <c r="B398">
        <v>2</v>
      </c>
      <c r="C398" t="s">
        <v>8642</v>
      </c>
      <c r="D398">
        <v>205</v>
      </c>
      <c r="E398" t="s">
        <v>22</v>
      </c>
      <c r="F398">
        <v>4</v>
      </c>
      <c r="G398">
        <v>0</v>
      </c>
      <c r="H398" t="s">
        <v>7883</v>
      </c>
      <c r="I398">
        <v>7</v>
      </c>
      <c r="J398">
        <v>158</v>
      </c>
      <c r="K398">
        <v>108</v>
      </c>
      <c r="L398" t="s">
        <v>8641</v>
      </c>
      <c r="M398">
        <v>656</v>
      </c>
    </row>
    <row r="399" spans="1:13" x14ac:dyDescent="0.25">
      <c r="A399" t="s">
        <v>9066</v>
      </c>
      <c r="B399">
        <v>2</v>
      </c>
      <c r="C399" t="s">
        <v>8644</v>
      </c>
      <c r="D399">
        <v>778</v>
      </c>
      <c r="E399" t="s">
        <v>22</v>
      </c>
      <c r="F399">
        <v>4</v>
      </c>
      <c r="G399">
        <v>0</v>
      </c>
      <c r="H399" t="s">
        <v>7883</v>
      </c>
      <c r="I399">
        <v>7</v>
      </c>
      <c r="J399">
        <v>50</v>
      </c>
      <c r="K399">
        <v>109</v>
      </c>
      <c r="L399" t="s">
        <v>8643</v>
      </c>
      <c r="M399">
        <v>2420</v>
      </c>
    </row>
    <row r="400" spans="1:13" x14ac:dyDescent="0.25">
      <c r="A400" t="s">
        <v>9086</v>
      </c>
      <c r="B400">
        <v>2</v>
      </c>
      <c r="C400" t="s">
        <v>8684</v>
      </c>
      <c r="D400">
        <v>140</v>
      </c>
      <c r="E400" t="s">
        <v>25</v>
      </c>
      <c r="F400">
        <v>7</v>
      </c>
      <c r="G400">
        <v>0</v>
      </c>
      <c r="H400" t="s">
        <v>7883</v>
      </c>
      <c r="I400">
        <v>13</v>
      </c>
      <c r="J400">
        <v>138</v>
      </c>
      <c r="K400">
        <v>115</v>
      </c>
      <c r="L400" t="s">
        <v>8683</v>
      </c>
      <c r="M400">
        <v>337</v>
      </c>
    </row>
    <row r="401" spans="1:13" x14ac:dyDescent="0.25">
      <c r="A401" t="s">
        <v>9046</v>
      </c>
      <c r="B401">
        <v>2</v>
      </c>
      <c r="C401" t="s">
        <v>8604</v>
      </c>
      <c r="D401">
        <v>212</v>
      </c>
      <c r="E401" t="s">
        <v>29</v>
      </c>
      <c r="F401">
        <v>7</v>
      </c>
      <c r="G401">
        <v>0</v>
      </c>
      <c r="H401" t="s">
        <v>7883</v>
      </c>
      <c r="I401">
        <v>1</v>
      </c>
      <c r="J401">
        <v>110</v>
      </c>
      <c r="K401">
        <v>115</v>
      </c>
      <c r="L401" t="s">
        <v>8603</v>
      </c>
      <c r="M401">
        <v>1235</v>
      </c>
    </row>
  </sheetData>
  <conditionalFormatting sqref="I225">
    <cfRule type="cellIs" dxfId="27" priority="16" operator="equal">
      <formula>16</formula>
    </cfRule>
  </conditionalFormatting>
  <conditionalFormatting sqref="I225">
    <cfRule type="cellIs" dxfId="26" priority="13" operator="equal">
      <formula>11</formula>
    </cfRule>
    <cfRule type="cellIs" dxfId="25" priority="14" operator="equal">
      <formula>12</formula>
    </cfRule>
    <cfRule type="cellIs" dxfId="24" priority="15" operator="equal">
      <formula>9</formula>
    </cfRule>
  </conditionalFormatting>
  <conditionalFormatting sqref="I222">
    <cfRule type="cellIs" dxfId="23" priority="12" operator="equal">
      <formula>16</formula>
    </cfRule>
  </conditionalFormatting>
  <conditionalFormatting sqref="I222">
    <cfRule type="cellIs" dxfId="22" priority="9" operator="equal">
      <formula>11</formula>
    </cfRule>
    <cfRule type="cellIs" dxfId="21" priority="10" operator="equal">
      <formula>12</formula>
    </cfRule>
    <cfRule type="cellIs" dxfId="20" priority="11" operator="equal">
      <formula>9</formula>
    </cfRule>
  </conditionalFormatting>
  <conditionalFormatting sqref="I223">
    <cfRule type="cellIs" dxfId="19" priority="8" operator="equal">
      <formula>16</formula>
    </cfRule>
  </conditionalFormatting>
  <conditionalFormatting sqref="I223">
    <cfRule type="cellIs" dxfId="18" priority="5" operator="equal">
      <formula>11</formula>
    </cfRule>
    <cfRule type="cellIs" dxfId="17" priority="6" operator="equal">
      <formula>12</formula>
    </cfRule>
    <cfRule type="cellIs" dxfId="16" priority="7" operator="equal">
      <formula>9</formula>
    </cfRule>
  </conditionalFormatting>
  <conditionalFormatting sqref="I224">
    <cfRule type="cellIs" dxfId="15" priority="4" operator="equal">
      <formula>16</formula>
    </cfRule>
  </conditionalFormatting>
  <conditionalFormatting sqref="I224">
    <cfRule type="cellIs" dxfId="14" priority="1" operator="equal">
      <formula>11</formula>
    </cfRule>
    <cfRule type="cellIs" dxfId="13" priority="2" operator="equal">
      <formula>12</formula>
    </cfRule>
    <cfRule type="cellIs" dxfId="12" priority="3" operator="equal">
      <formula>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885A8-4BCC-4480-AEE0-B96C594155B6}">
  <dimension ref="A1:AE3871"/>
  <sheetViews>
    <sheetView workbookViewId="0">
      <selection activeCell="A9" sqref="A9:XFD9"/>
    </sheetView>
  </sheetViews>
  <sheetFormatPr defaultRowHeight="15" x14ac:dyDescent="0.25"/>
  <cols>
    <col min="1" max="1" width="6.85546875" customWidth="1"/>
    <col min="2" max="2" width="31.42578125" customWidth="1"/>
    <col min="6" max="6" width="14.42578125" customWidth="1"/>
    <col min="7" max="7" width="11.5703125" customWidth="1"/>
    <col min="10" max="10" width="9.28515625" customWidth="1"/>
    <col min="11" max="12" width="9" customWidth="1"/>
    <col min="15" max="15" width="8.5703125" customWidth="1"/>
    <col min="16" max="26" width="1.5703125" customWidth="1"/>
    <col min="27" max="27" width="38" customWidth="1"/>
    <col min="28" max="28" width="39" customWidth="1"/>
    <col min="29" max="29" width="8.5703125" customWidth="1"/>
    <col min="30" max="31" width="39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98</v>
      </c>
      <c r="G1" t="s">
        <v>99</v>
      </c>
      <c r="H1" t="s">
        <v>97</v>
      </c>
      <c r="I1" t="s">
        <v>2281</v>
      </c>
      <c r="J1" t="s">
        <v>4</v>
      </c>
      <c r="K1" t="s">
        <v>5</v>
      </c>
      <c r="L1" t="s">
        <v>233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232</v>
      </c>
      <c r="AC1" t="s">
        <v>20</v>
      </c>
      <c r="AD1" t="s">
        <v>7879</v>
      </c>
      <c r="AE1" t="s">
        <v>232</v>
      </c>
    </row>
    <row r="2" spans="1:31" x14ac:dyDescent="0.25">
      <c r="A2">
        <v>3865</v>
      </c>
      <c r="B2" t="s">
        <v>68</v>
      </c>
      <c r="C2">
        <v>4</v>
      </c>
      <c r="D2">
        <v>1055</v>
      </c>
      <c r="E2">
        <v>3865</v>
      </c>
      <c r="F2">
        <v>11907001</v>
      </c>
      <c r="G2">
        <v>11995200</v>
      </c>
      <c r="H2">
        <f t="shared" ref="H2:H65" si="0">F2/44100</f>
        <v>270.00002267573694</v>
      </c>
      <c r="I2">
        <f t="shared" ref="I2:I65" si="1">G2/44100</f>
        <v>272</v>
      </c>
      <c r="J2" t="s">
        <v>29</v>
      </c>
      <c r="K2">
        <v>7</v>
      </c>
      <c r="L2" t="e">
        <f t="array" ref="L2">VLOOKUP(J2:$J$3871&amp;K2:$K$3871,CHOOSE({1,2},#REF!&amp;#REF!,#REF!),2,0)</f>
        <v>#N/A</v>
      </c>
      <c r="M2">
        <v>0</v>
      </c>
      <c r="N2">
        <v>1</v>
      </c>
      <c r="O2" t="s">
        <v>23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0</v>
      </c>
      <c r="Z2">
        <v>1</v>
      </c>
      <c r="AA2" t="s">
        <v>2366</v>
      </c>
      <c r="AB2" t="s">
        <v>390</v>
      </c>
      <c r="AC2" t="s">
        <v>2366</v>
      </c>
      <c r="AD2" t="e">
        <f>VLOOKUP(AB2,#REF!,2,FALSE)</f>
        <v>#REF!</v>
      </c>
      <c r="AE2" t="e">
        <f>RIGHT(#REF!,(FIND("Complex",#REF!,1)-7))</f>
        <v>#REF!</v>
      </c>
    </row>
    <row r="3" spans="1:31" x14ac:dyDescent="0.25">
      <c r="A3">
        <v>963</v>
      </c>
      <c r="B3" t="s">
        <v>68</v>
      </c>
      <c r="C3">
        <v>4</v>
      </c>
      <c r="D3">
        <v>170</v>
      </c>
      <c r="E3">
        <v>963</v>
      </c>
      <c r="F3">
        <v>11818801</v>
      </c>
      <c r="G3">
        <v>11907000</v>
      </c>
      <c r="H3">
        <f t="shared" si="0"/>
        <v>268.00002267573694</v>
      </c>
      <c r="I3">
        <f t="shared" si="1"/>
        <v>270</v>
      </c>
      <c r="J3" t="s">
        <v>29</v>
      </c>
      <c r="K3">
        <v>7</v>
      </c>
      <c r="L3" t="e">
        <f t="array" ref="L3">VLOOKUP(J3:$J$3871&amp;K3:$K$3871,CHOOSE({1,2},#REF!&amp;#REF!,#REF!),2,0)</f>
        <v>#N/A</v>
      </c>
      <c r="M3">
        <v>0</v>
      </c>
      <c r="N3">
        <v>1</v>
      </c>
      <c r="O3" t="s">
        <v>23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0</v>
      </c>
      <c r="Z3">
        <v>1</v>
      </c>
      <c r="AA3" t="s">
        <v>2368</v>
      </c>
      <c r="AB3" t="s">
        <v>108</v>
      </c>
      <c r="AC3" t="s">
        <v>2368</v>
      </c>
      <c r="AD3" t="e">
        <f>VLOOKUP(AB3,#REF!,2,FALSE)</f>
        <v>#REF!</v>
      </c>
      <c r="AE3" t="e">
        <f>RIGHT(#REF!,(FIND("Complex",#REF!,1)-5))</f>
        <v>#REF!</v>
      </c>
    </row>
    <row r="4" spans="1:31" x14ac:dyDescent="0.25">
      <c r="A4">
        <v>3707</v>
      </c>
      <c r="B4" t="s">
        <v>68</v>
      </c>
      <c r="C4">
        <v>4</v>
      </c>
      <c r="D4">
        <v>999</v>
      </c>
      <c r="E4">
        <v>3707</v>
      </c>
      <c r="F4">
        <v>11730601</v>
      </c>
      <c r="G4">
        <v>11818800</v>
      </c>
      <c r="H4">
        <f t="shared" si="0"/>
        <v>266.00002267573694</v>
      </c>
      <c r="I4">
        <f t="shared" si="1"/>
        <v>268</v>
      </c>
      <c r="J4" t="s">
        <v>29</v>
      </c>
      <c r="K4">
        <v>7</v>
      </c>
      <c r="L4" t="e">
        <f t="array" ref="L4">VLOOKUP(J4:$J$3871&amp;K4:$K$3871,CHOOSE({1,2},#REF!&amp;#REF!,#REF!),2,0)</f>
        <v>#N/A</v>
      </c>
      <c r="M4">
        <v>0</v>
      </c>
      <c r="N4">
        <v>1</v>
      </c>
      <c r="O4" t="s">
        <v>23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1</v>
      </c>
      <c r="Y4">
        <v>0</v>
      </c>
      <c r="Z4">
        <v>1</v>
      </c>
      <c r="AA4" t="s">
        <v>2370</v>
      </c>
      <c r="AB4" t="s">
        <v>391</v>
      </c>
      <c r="AC4" t="s">
        <v>2370</v>
      </c>
      <c r="AD4" t="e">
        <f>VLOOKUP(AB4,#REF!,2,FALSE)</f>
        <v>#REF!</v>
      </c>
      <c r="AE4" t="e">
        <f>RIGHT(#REF!,(FIND("Complex",#REF!,1)-6))</f>
        <v>#REF!</v>
      </c>
    </row>
    <row r="5" spans="1:31" x14ac:dyDescent="0.25">
      <c r="A5">
        <v>3566</v>
      </c>
      <c r="B5" t="s">
        <v>68</v>
      </c>
      <c r="C5">
        <v>4</v>
      </c>
      <c r="D5">
        <v>947</v>
      </c>
      <c r="E5">
        <v>3566</v>
      </c>
      <c r="F5">
        <v>11642401</v>
      </c>
      <c r="G5">
        <v>11730600</v>
      </c>
      <c r="H5">
        <f t="shared" si="0"/>
        <v>264.00002267573694</v>
      </c>
      <c r="I5">
        <f t="shared" si="1"/>
        <v>266</v>
      </c>
      <c r="J5" t="s">
        <v>29</v>
      </c>
      <c r="K5">
        <v>7</v>
      </c>
      <c r="L5" t="e">
        <f t="array" ref="L5">VLOOKUP(J5:$J$3871&amp;K5:$K$3871,CHOOSE({1,2},#REF!&amp;#REF!,#REF!),2,0)</f>
        <v>#N/A</v>
      </c>
      <c r="M5">
        <v>0</v>
      </c>
      <c r="N5">
        <v>1</v>
      </c>
      <c r="O5" t="s">
        <v>23</v>
      </c>
      <c r="P5">
        <v>1</v>
      </c>
      <c r="Q5">
        <v>1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  <c r="Y5">
        <v>0</v>
      </c>
      <c r="Z5">
        <v>1</v>
      </c>
      <c r="AA5" t="s">
        <v>2373</v>
      </c>
      <c r="AB5" t="s">
        <v>392</v>
      </c>
      <c r="AC5" t="s">
        <v>2373</v>
      </c>
      <c r="AD5" t="e">
        <f>VLOOKUP(AB5,#REF!,2,FALSE)</f>
        <v>#REF!</v>
      </c>
      <c r="AE5" t="e">
        <f>RIGHT(#REF!,(FIND("Complex",#REF!,1)-6))</f>
        <v>#REF!</v>
      </c>
    </row>
    <row r="6" spans="1:31" x14ac:dyDescent="0.25">
      <c r="A6">
        <v>2534</v>
      </c>
      <c r="B6" t="s">
        <v>81</v>
      </c>
      <c r="C6">
        <v>5</v>
      </c>
      <c r="D6">
        <v>499</v>
      </c>
      <c r="E6">
        <v>2534</v>
      </c>
      <c r="F6">
        <v>19933201</v>
      </c>
      <c r="G6">
        <v>20021400</v>
      </c>
      <c r="H6">
        <f t="shared" si="0"/>
        <v>452.00002267573694</v>
      </c>
      <c r="I6">
        <f t="shared" si="1"/>
        <v>454</v>
      </c>
      <c r="J6" t="s">
        <v>29</v>
      </c>
      <c r="K6">
        <v>7</v>
      </c>
      <c r="L6" t="e">
        <f t="array" ref="L6">VLOOKUP(J6:$J$3871&amp;K6:$K$3871,CHOOSE({1,2},#REF!&amp;#REF!,#REF!),2,0)</f>
        <v>#N/A</v>
      </c>
      <c r="M6">
        <v>0</v>
      </c>
      <c r="N6">
        <v>1</v>
      </c>
      <c r="O6" t="s">
        <v>23</v>
      </c>
      <c r="P6">
        <v>1</v>
      </c>
      <c r="Q6">
        <v>1</v>
      </c>
      <c r="R6">
        <v>0</v>
      </c>
      <c r="S6">
        <v>0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0</v>
      </c>
      <c r="AA6" t="s">
        <v>2319</v>
      </c>
      <c r="AB6" t="s">
        <v>409</v>
      </c>
      <c r="AC6" t="s">
        <v>2319</v>
      </c>
      <c r="AD6" t="e">
        <f>VLOOKUP(AB6,#REF!,2,FALSE)</f>
        <v>#REF!</v>
      </c>
      <c r="AE6" t="e">
        <f>RIGHT(#REF!,(FIND("Complex",#REF!,1)-6))</f>
        <v>#REF!</v>
      </c>
    </row>
    <row r="7" spans="1:31" x14ac:dyDescent="0.25">
      <c r="A7">
        <v>851</v>
      </c>
      <c r="B7" t="s">
        <v>81</v>
      </c>
      <c r="C7">
        <v>5</v>
      </c>
      <c r="D7">
        <v>148</v>
      </c>
      <c r="E7">
        <v>851</v>
      </c>
      <c r="F7">
        <v>19668601</v>
      </c>
      <c r="G7">
        <v>19756800</v>
      </c>
      <c r="H7">
        <f t="shared" si="0"/>
        <v>446.00002267573694</v>
      </c>
      <c r="I7">
        <f t="shared" si="1"/>
        <v>448</v>
      </c>
      <c r="J7" t="s">
        <v>29</v>
      </c>
      <c r="K7">
        <v>7</v>
      </c>
      <c r="L7" t="e">
        <f t="array" ref="L7">VLOOKUP(J7:$J$3871&amp;K7:$K$3871,CHOOSE({1,2},#REF!&amp;#REF!,#REF!),2,0)</f>
        <v>#N/A</v>
      </c>
      <c r="M7">
        <v>0</v>
      </c>
      <c r="N7">
        <v>1</v>
      </c>
      <c r="O7" t="s">
        <v>23</v>
      </c>
      <c r="P7">
        <v>1</v>
      </c>
      <c r="Q7">
        <v>1</v>
      </c>
      <c r="R7">
        <v>0</v>
      </c>
      <c r="S7">
        <v>0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0</v>
      </c>
      <c r="AA7" t="s">
        <v>2321</v>
      </c>
      <c r="AB7" t="s">
        <v>410</v>
      </c>
      <c r="AC7" t="s">
        <v>2321</v>
      </c>
      <c r="AD7" t="e">
        <f>VLOOKUP(AB7,#REF!,2,FALSE)</f>
        <v>#REF!</v>
      </c>
      <c r="AE7" t="e">
        <f>RIGHT(#REF!,(FIND("Complex",#REF!,1)-5))</f>
        <v>#REF!</v>
      </c>
    </row>
    <row r="8" spans="1:31" x14ac:dyDescent="0.25">
      <c r="A8">
        <v>2652</v>
      </c>
      <c r="B8" t="s">
        <v>81</v>
      </c>
      <c r="C8">
        <v>5</v>
      </c>
      <c r="D8">
        <v>542</v>
      </c>
      <c r="E8">
        <v>2652</v>
      </c>
      <c r="F8">
        <v>19580401</v>
      </c>
      <c r="G8">
        <v>19668600</v>
      </c>
      <c r="H8">
        <f t="shared" si="0"/>
        <v>444.00002267573694</v>
      </c>
      <c r="I8">
        <f t="shared" si="1"/>
        <v>446</v>
      </c>
      <c r="J8" t="s">
        <v>29</v>
      </c>
      <c r="K8">
        <v>7</v>
      </c>
      <c r="L8" t="e">
        <f t="array" ref="L8">VLOOKUP(J8:$J$3871&amp;K8:$K$3871,CHOOSE({1,2},#REF!&amp;#REF!,#REF!),2,0)</f>
        <v>#N/A</v>
      </c>
      <c r="M8">
        <v>0</v>
      </c>
      <c r="N8">
        <v>1</v>
      </c>
      <c r="O8" t="s">
        <v>23</v>
      </c>
      <c r="P8">
        <v>1</v>
      </c>
      <c r="Q8">
        <v>1</v>
      </c>
      <c r="R8">
        <v>0</v>
      </c>
      <c r="S8">
        <v>0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0</v>
      </c>
      <c r="AA8" t="s">
        <v>2322</v>
      </c>
      <c r="AB8" t="s">
        <v>411</v>
      </c>
      <c r="AC8" t="s">
        <v>2322</v>
      </c>
      <c r="AD8" t="e">
        <f>VLOOKUP(AB8,#REF!,2,FALSE)</f>
        <v>#REF!</v>
      </c>
      <c r="AE8" t="e">
        <f>RIGHT(#REF!,(FIND("Complex",#REF!,1)-6))</f>
        <v>#REF!</v>
      </c>
    </row>
    <row r="9" spans="1:31" x14ac:dyDescent="0.25">
      <c r="A9">
        <v>2996</v>
      </c>
      <c r="B9" t="s">
        <v>94</v>
      </c>
      <c r="C9">
        <v>7</v>
      </c>
      <c r="D9">
        <v>683</v>
      </c>
      <c r="E9">
        <v>2996</v>
      </c>
      <c r="F9">
        <v>4674601</v>
      </c>
      <c r="G9">
        <v>4762800</v>
      </c>
      <c r="H9">
        <f t="shared" si="0"/>
        <v>106.00002267573696</v>
      </c>
      <c r="I9">
        <f t="shared" si="1"/>
        <v>108</v>
      </c>
      <c r="J9" t="s">
        <v>29</v>
      </c>
      <c r="K9">
        <v>7</v>
      </c>
      <c r="L9" t="e">
        <f t="array" ref="L9">VLOOKUP(J9:$J$3871&amp;K9:$K$3871,CHOOSE({1,2},#REF!&amp;#REF!,#REF!),2,0)</f>
        <v>#N/A</v>
      </c>
      <c r="M9">
        <v>0</v>
      </c>
      <c r="N9">
        <v>1</v>
      </c>
      <c r="O9" t="s">
        <v>23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1</v>
      </c>
      <c r="AA9" t="s">
        <v>2601</v>
      </c>
      <c r="AB9" t="s">
        <v>138</v>
      </c>
      <c r="AC9" t="s">
        <v>2601</v>
      </c>
      <c r="AD9" t="e">
        <f>VLOOKUP(AB9,#REF!,2,FALSE)</f>
        <v>#REF!</v>
      </c>
      <c r="AE9" t="e">
        <f>RIGHT(#REF!,(FIND("Complex",#REF!,1)-6))</f>
        <v>#REF!</v>
      </c>
    </row>
    <row r="10" spans="1:31" x14ac:dyDescent="0.25">
      <c r="A10">
        <v>3647</v>
      </c>
      <c r="B10" t="s">
        <v>89</v>
      </c>
      <c r="C10">
        <v>8</v>
      </c>
      <c r="D10">
        <v>975</v>
      </c>
      <c r="E10">
        <v>3647</v>
      </c>
      <c r="F10">
        <v>7673401</v>
      </c>
      <c r="G10">
        <v>7761600</v>
      </c>
      <c r="H10">
        <f t="shared" si="0"/>
        <v>174.00002267573697</v>
      </c>
      <c r="I10">
        <f t="shared" si="1"/>
        <v>176</v>
      </c>
      <c r="J10" t="s">
        <v>29</v>
      </c>
      <c r="K10">
        <v>7</v>
      </c>
      <c r="L10" t="e">
        <f t="array" ref="L10">VLOOKUP(J10:$J$3871&amp;K10:$K$3871,CHOOSE({1,2},#REF!&amp;#REF!,#REF!),2,0)</f>
        <v>#N/A</v>
      </c>
      <c r="M10">
        <v>0</v>
      </c>
      <c r="N10">
        <v>1</v>
      </c>
      <c r="O10" t="s">
        <v>23</v>
      </c>
      <c r="P10">
        <v>1</v>
      </c>
      <c r="Q10">
        <v>1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1</v>
      </c>
      <c r="Y10">
        <v>0</v>
      </c>
      <c r="Z10">
        <v>1</v>
      </c>
      <c r="AA10" t="s">
        <v>2520</v>
      </c>
      <c r="AB10" t="s">
        <v>488</v>
      </c>
      <c r="AC10" t="s">
        <v>2520</v>
      </c>
      <c r="AD10" t="e">
        <f>VLOOKUP(AB10,#REF!,2,FALSE)</f>
        <v>#REF!</v>
      </c>
      <c r="AE10" t="e">
        <f>RIGHT(#REF!,(FIND("Complex",#REF!,1)-6))</f>
        <v>#REF!</v>
      </c>
    </row>
    <row r="11" spans="1:31" x14ac:dyDescent="0.25">
      <c r="A11">
        <v>3429</v>
      </c>
      <c r="B11" t="s">
        <v>79</v>
      </c>
      <c r="C11">
        <v>13</v>
      </c>
      <c r="D11">
        <v>887</v>
      </c>
      <c r="E11">
        <v>3429</v>
      </c>
      <c r="F11">
        <v>9613801</v>
      </c>
      <c r="G11">
        <v>9702000</v>
      </c>
      <c r="H11">
        <f t="shared" si="0"/>
        <v>218.00002267573697</v>
      </c>
      <c r="I11">
        <f t="shared" si="1"/>
        <v>220</v>
      </c>
      <c r="J11" t="s">
        <v>29</v>
      </c>
      <c r="K11">
        <v>7</v>
      </c>
      <c r="L11" t="e">
        <f t="array" ref="L11">VLOOKUP(J11:$J$3871&amp;K11:$K$3871,CHOOSE({1,2},#REF!&amp;#REF!,#REF!),2,0)</f>
        <v>#N/A</v>
      </c>
      <c r="M11">
        <v>0</v>
      </c>
      <c r="N11">
        <v>1</v>
      </c>
      <c r="O11" t="s">
        <v>23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0</v>
      </c>
      <c r="W11">
        <v>1</v>
      </c>
      <c r="X11">
        <v>0</v>
      </c>
      <c r="Y11">
        <v>1</v>
      </c>
      <c r="Z11">
        <v>0</v>
      </c>
      <c r="AA11" t="s">
        <v>2453</v>
      </c>
      <c r="AB11" t="s">
        <v>525</v>
      </c>
      <c r="AC11" t="s">
        <v>2453</v>
      </c>
      <c r="AD11" t="e">
        <f>VLOOKUP(AB11,#REF!,2,FALSE)</f>
        <v>#REF!</v>
      </c>
      <c r="AE11" t="e">
        <f>RIGHT(#REF!,(FIND("Complex",#REF!,1)-5))</f>
        <v>#REF!</v>
      </c>
    </row>
    <row r="12" spans="1:31" x14ac:dyDescent="0.25">
      <c r="A12">
        <v>3058</v>
      </c>
      <c r="B12" t="s">
        <v>79</v>
      </c>
      <c r="C12">
        <v>13</v>
      </c>
      <c r="D12">
        <v>707</v>
      </c>
      <c r="E12">
        <v>3058</v>
      </c>
      <c r="F12">
        <v>9525601</v>
      </c>
      <c r="G12">
        <v>9613800</v>
      </c>
      <c r="H12">
        <f t="shared" si="0"/>
        <v>216.00002267573697</v>
      </c>
      <c r="I12">
        <f t="shared" si="1"/>
        <v>218</v>
      </c>
      <c r="J12" t="s">
        <v>29</v>
      </c>
      <c r="K12">
        <v>7</v>
      </c>
      <c r="L12" t="e">
        <f t="array" ref="L12">VLOOKUP(J12:$J$3871&amp;K12:$K$3871,CHOOSE({1,2},#REF!&amp;#REF!,#REF!),2,0)</f>
        <v>#N/A</v>
      </c>
      <c r="M12">
        <v>0</v>
      </c>
      <c r="N12">
        <v>1</v>
      </c>
      <c r="O12" t="s">
        <v>23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0</v>
      </c>
      <c r="W12">
        <v>1</v>
      </c>
      <c r="X12">
        <v>0</v>
      </c>
      <c r="Y12">
        <v>1</v>
      </c>
      <c r="Z12">
        <v>0</v>
      </c>
      <c r="AA12" t="s">
        <v>2455</v>
      </c>
      <c r="AB12" t="s">
        <v>117</v>
      </c>
      <c r="AC12" t="s">
        <v>2455</v>
      </c>
      <c r="AD12" t="e">
        <f>VLOOKUP(AB12,#REF!,2,FALSE)</f>
        <v>#REF!</v>
      </c>
      <c r="AE12" t="e">
        <f>RIGHT(#REF!,(FIND("Complex",#REF!,1)-5))</f>
        <v>#REF!</v>
      </c>
    </row>
    <row r="13" spans="1:31" x14ac:dyDescent="0.25">
      <c r="A13">
        <v>647</v>
      </c>
      <c r="B13" t="s">
        <v>79</v>
      </c>
      <c r="C13">
        <v>13</v>
      </c>
      <c r="D13">
        <v>114</v>
      </c>
      <c r="E13">
        <v>647</v>
      </c>
      <c r="F13">
        <v>9349201</v>
      </c>
      <c r="G13">
        <v>9437400</v>
      </c>
      <c r="H13">
        <f t="shared" si="0"/>
        <v>212.00002267573697</v>
      </c>
      <c r="I13">
        <f t="shared" si="1"/>
        <v>214</v>
      </c>
      <c r="J13" t="s">
        <v>29</v>
      </c>
      <c r="K13">
        <v>7</v>
      </c>
      <c r="L13" t="e">
        <f t="array" ref="L13">VLOOKUP(J13:$J$3871&amp;K13:$K$3871,CHOOSE({1,2},#REF!&amp;#REF!,#REF!),2,0)</f>
        <v>#N/A</v>
      </c>
      <c r="M13">
        <v>0</v>
      </c>
      <c r="N13">
        <v>1</v>
      </c>
      <c r="O13" t="s">
        <v>23</v>
      </c>
      <c r="P13">
        <v>1</v>
      </c>
      <c r="Q13">
        <v>1</v>
      </c>
      <c r="R13">
        <v>1</v>
      </c>
      <c r="S13">
        <v>0</v>
      </c>
      <c r="T13">
        <v>1</v>
      </c>
      <c r="U13">
        <v>1</v>
      </c>
      <c r="V13">
        <v>0</v>
      </c>
      <c r="W13">
        <v>1</v>
      </c>
      <c r="X13">
        <v>0</v>
      </c>
      <c r="Y13">
        <v>1</v>
      </c>
      <c r="Z13">
        <v>0</v>
      </c>
      <c r="AA13" t="s">
        <v>2465</v>
      </c>
      <c r="AB13" t="s">
        <v>526</v>
      </c>
      <c r="AC13" t="s">
        <v>2465</v>
      </c>
      <c r="AD13" t="e">
        <f>VLOOKUP(AB13,#REF!,2,FALSE)</f>
        <v>#REF!</v>
      </c>
      <c r="AE13" t="e">
        <f>RIGHT(#REF!,(FIND("Complex",#REF!,1)-4))</f>
        <v>#REF!</v>
      </c>
    </row>
    <row r="14" spans="1:31" x14ac:dyDescent="0.25">
      <c r="A14">
        <v>3571</v>
      </c>
      <c r="B14" t="s">
        <v>79</v>
      </c>
      <c r="C14">
        <v>13</v>
      </c>
      <c r="D14">
        <v>951</v>
      </c>
      <c r="E14">
        <v>3571</v>
      </c>
      <c r="F14">
        <v>8908201</v>
      </c>
      <c r="G14">
        <v>8996400</v>
      </c>
      <c r="H14">
        <f t="shared" si="0"/>
        <v>202.00002267573697</v>
      </c>
      <c r="I14">
        <f t="shared" si="1"/>
        <v>204</v>
      </c>
      <c r="J14" t="s">
        <v>29</v>
      </c>
      <c r="K14">
        <v>7</v>
      </c>
      <c r="L14" t="e">
        <f t="array" ref="L14">VLOOKUP(J14:$J$3871&amp;K14:$K$3871,CHOOSE({1,2},#REF!&amp;#REF!,#REF!),2,0)</f>
        <v>#N/A</v>
      </c>
      <c r="M14">
        <v>0</v>
      </c>
      <c r="N14">
        <v>1</v>
      </c>
      <c r="O14" t="s">
        <v>23</v>
      </c>
      <c r="P14">
        <v>1</v>
      </c>
      <c r="Q14">
        <v>1</v>
      </c>
      <c r="R14">
        <v>1</v>
      </c>
      <c r="S14">
        <v>0</v>
      </c>
      <c r="T14">
        <v>1</v>
      </c>
      <c r="U14">
        <v>1</v>
      </c>
      <c r="V14">
        <v>0</v>
      </c>
      <c r="W14">
        <v>1</v>
      </c>
      <c r="X14">
        <v>0</v>
      </c>
      <c r="Y14">
        <v>1</v>
      </c>
      <c r="Z14">
        <v>0</v>
      </c>
      <c r="AA14" t="s">
        <v>2478</v>
      </c>
      <c r="AB14" t="s">
        <v>527</v>
      </c>
      <c r="AC14" t="s">
        <v>2478</v>
      </c>
      <c r="AD14" t="e">
        <f>VLOOKUP(AB14,#REF!,2,FALSE)</f>
        <v>#REF!</v>
      </c>
      <c r="AE14" t="e">
        <f>RIGHT(#REF!,(FIND("Complex",#REF!,1)-5))</f>
        <v>#REF!</v>
      </c>
    </row>
    <row r="15" spans="1:31" x14ac:dyDescent="0.25">
      <c r="A15">
        <v>2490</v>
      </c>
      <c r="B15" t="s">
        <v>79</v>
      </c>
      <c r="C15">
        <v>13</v>
      </c>
      <c r="D15">
        <v>482</v>
      </c>
      <c r="E15">
        <v>2490</v>
      </c>
      <c r="F15">
        <v>8731801</v>
      </c>
      <c r="G15">
        <v>8820000</v>
      </c>
      <c r="H15">
        <f t="shared" si="0"/>
        <v>198.00002267573697</v>
      </c>
      <c r="I15">
        <f t="shared" si="1"/>
        <v>200</v>
      </c>
      <c r="J15" t="s">
        <v>29</v>
      </c>
      <c r="K15">
        <v>7</v>
      </c>
      <c r="L15" t="e">
        <f t="array" ref="L15">VLOOKUP(J15:$J$3871&amp;K15:$K$3871,CHOOSE({1,2},#REF!&amp;#REF!,#REF!),2,0)</f>
        <v>#N/A</v>
      </c>
      <c r="M15">
        <v>0</v>
      </c>
      <c r="N15">
        <v>1</v>
      </c>
      <c r="O15" t="s">
        <v>23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1</v>
      </c>
      <c r="Z15">
        <v>0</v>
      </c>
      <c r="AA15" t="s">
        <v>2485</v>
      </c>
      <c r="AB15" t="s">
        <v>528</v>
      </c>
      <c r="AC15" t="s">
        <v>2485</v>
      </c>
      <c r="AD15" t="e">
        <f>VLOOKUP(AB15,#REF!,2,FALSE)</f>
        <v>#REF!</v>
      </c>
      <c r="AE15" t="e">
        <f>RIGHT(#REF!,(FIND("Complex",#REF!,1)-5))</f>
        <v>#REF!</v>
      </c>
    </row>
    <row r="16" spans="1:31" x14ac:dyDescent="0.25">
      <c r="A16">
        <v>2604</v>
      </c>
      <c r="B16" t="s">
        <v>79</v>
      </c>
      <c r="C16">
        <v>13</v>
      </c>
      <c r="D16">
        <v>523</v>
      </c>
      <c r="E16">
        <v>2604</v>
      </c>
      <c r="F16">
        <v>6085801</v>
      </c>
      <c r="G16">
        <v>6174000</v>
      </c>
      <c r="H16">
        <f t="shared" si="0"/>
        <v>138.00002267573697</v>
      </c>
      <c r="I16">
        <f t="shared" si="1"/>
        <v>140</v>
      </c>
      <c r="J16" t="s">
        <v>29</v>
      </c>
      <c r="K16">
        <v>7</v>
      </c>
      <c r="L16" t="e">
        <f t="array" ref="L16">VLOOKUP(J16:$J$3871&amp;K16:$K$3871,CHOOSE({1,2},#REF!&amp;#REF!,#REF!),2,0)</f>
        <v>#N/A</v>
      </c>
      <c r="M16">
        <v>0</v>
      </c>
      <c r="N16">
        <v>1</v>
      </c>
      <c r="O16" t="s">
        <v>23</v>
      </c>
      <c r="P16">
        <v>1</v>
      </c>
      <c r="Q16">
        <v>1</v>
      </c>
      <c r="R16">
        <v>1</v>
      </c>
      <c r="S16">
        <v>0</v>
      </c>
      <c r="T16">
        <v>0</v>
      </c>
      <c r="U16">
        <v>1</v>
      </c>
      <c r="V16">
        <v>1</v>
      </c>
      <c r="W16">
        <v>1</v>
      </c>
      <c r="X16">
        <v>0</v>
      </c>
      <c r="Y16">
        <v>1</v>
      </c>
      <c r="Z16">
        <v>0</v>
      </c>
      <c r="AA16" t="s">
        <v>2551</v>
      </c>
      <c r="AB16" t="s">
        <v>529</v>
      </c>
      <c r="AC16" t="s">
        <v>2551</v>
      </c>
      <c r="AD16" t="e">
        <f>VLOOKUP(AB16,#REF!,2,FALSE)</f>
        <v>#REF!</v>
      </c>
      <c r="AE16" t="e">
        <f>RIGHT(#REF!,(FIND("Complex",#REF!,1)-5))</f>
        <v>#REF!</v>
      </c>
    </row>
    <row r="17" spans="1:31" x14ac:dyDescent="0.25">
      <c r="A17">
        <v>3538</v>
      </c>
      <c r="B17" t="s">
        <v>79</v>
      </c>
      <c r="C17">
        <v>13</v>
      </c>
      <c r="D17">
        <v>934</v>
      </c>
      <c r="E17">
        <v>3538</v>
      </c>
      <c r="F17">
        <v>5027401</v>
      </c>
      <c r="G17">
        <v>5115600</v>
      </c>
      <c r="H17">
        <f t="shared" si="0"/>
        <v>114.00002267573696</v>
      </c>
      <c r="I17">
        <f t="shared" si="1"/>
        <v>116</v>
      </c>
      <c r="J17" t="s">
        <v>29</v>
      </c>
      <c r="K17">
        <v>7</v>
      </c>
      <c r="L17" t="e">
        <f t="array" ref="L17">VLOOKUP(J17:$J$3871&amp;K17:$K$3871,CHOOSE({1,2},#REF!&amp;#REF!,#REF!),2,0)</f>
        <v>#N/A</v>
      </c>
      <c r="M17">
        <v>0</v>
      </c>
      <c r="N17">
        <v>1</v>
      </c>
      <c r="O17" t="s">
        <v>23</v>
      </c>
      <c r="P17">
        <v>1</v>
      </c>
      <c r="Q17">
        <v>1</v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0</v>
      </c>
      <c r="Y17">
        <v>1</v>
      </c>
      <c r="Z17">
        <v>0</v>
      </c>
      <c r="AA17" t="s">
        <v>2589</v>
      </c>
      <c r="AB17" t="s">
        <v>530</v>
      </c>
      <c r="AC17" t="s">
        <v>2589</v>
      </c>
      <c r="AD17" t="e">
        <f>VLOOKUP(AB17,#REF!,2,FALSE)</f>
        <v>#REF!</v>
      </c>
      <c r="AE17" t="e">
        <f>RIGHT(#REF!,(FIND("Complex",#REF!,1)-5))</f>
        <v>#REF!</v>
      </c>
    </row>
    <row r="18" spans="1:31" x14ac:dyDescent="0.25">
      <c r="A18">
        <v>1512</v>
      </c>
      <c r="B18" t="s">
        <v>28</v>
      </c>
      <c r="C18">
        <v>14</v>
      </c>
      <c r="D18">
        <v>252</v>
      </c>
      <c r="E18">
        <v>1512</v>
      </c>
      <c r="F18">
        <v>11554201</v>
      </c>
      <c r="G18">
        <v>11642400</v>
      </c>
      <c r="H18">
        <f t="shared" si="0"/>
        <v>262.00002267573694</v>
      </c>
      <c r="I18">
        <f t="shared" si="1"/>
        <v>264</v>
      </c>
      <c r="J18" t="s">
        <v>29</v>
      </c>
      <c r="K18">
        <v>7</v>
      </c>
      <c r="L18" t="e">
        <f t="array" ref="L18">VLOOKUP(J18:$J$3871&amp;K18:$K$3871,CHOOSE({1,2},#REF!&amp;#REF!,#REF!),2,0)</f>
        <v>#N/A</v>
      </c>
      <c r="M18">
        <v>0</v>
      </c>
      <c r="N18">
        <v>1</v>
      </c>
      <c r="O18" t="s">
        <v>23</v>
      </c>
      <c r="P18">
        <v>1</v>
      </c>
      <c r="Q18">
        <v>1</v>
      </c>
      <c r="R18">
        <v>0</v>
      </c>
      <c r="S18">
        <v>1</v>
      </c>
      <c r="T18">
        <v>1</v>
      </c>
      <c r="U18">
        <v>0</v>
      </c>
      <c r="V18">
        <v>0</v>
      </c>
      <c r="W18">
        <v>1</v>
      </c>
      <c r="X18">
        <v>1</v>
      </c>
      <c r="Y18">
        <v>0</v>
      </c>
      <c r="Z18">
        <v>1</v>
      </c>
      <c r="AA18" t="s">
        <v>2376</v>
      </c>
      <c r="AB18" t="s">
        <v>571</v>
      </c>
      <c r="AC18" t="s">
        <v>2376</v>
      </c>
      <c r="AD18" t="e">
        <f>VLOOKUP(AB18,#REF!,2,FALSE)</f>
        <v>#REF!</v>
      </c>
      <c r="AE18" t="e">
        <f>RIGHT(#REF!,(FIND("Complex",#REF!,1)-5))</f>
        <v>#REF!</v>
      </c>
    </row>
    <row r="19" spans="1:31" x14ac:dyDescent="0.25">
      <c r="A19">
        <v>3533</v>
      </c>
      <c r="B19" t="s">
        <v>28</v>
      </c>
      <c r="C19">
        <v>14</v>
      </c>
      <c r="D19">
        <v>931</v>
      </c>
      <c r="E19">
        <v>3533</v>
      </c>
      <c r="F19">
        <v>11466001</v>
      </c>
      <c r="G19">
        <v>11554200</v>
      </c>
      <c r="H19">
        <f t="shared" si="0"/>
        <v>260.00002267573694</v>
      </c>
      <c r="I19">
        <f t="shared" si="1"/>
        <v>262</v>
      </c>
      <c r="J19" t="s">
        <v>29</v>
      </c>
      <c r="K19">
        <v>7</v>
      </c>
      <c r="L19" t="e">
        <f t="array" ref="L19">VLOOKUP(J19:$J$3871&amp;K19:$K$3871,CHOOSE({1,2},#REF!&amp;#REF!,#REF!),2,0)</f>
        <v>#N/A</v>
      </c>
      <c r="M19">
        <v>0</v>
      </c>
      <c r="N19">
        <v>1</v>
      </c>
      <c r="O19" t="s">
        <v>23</v>
      </c>
      <c r="P19">
        <v>1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1</v>
      </c>
      <c r="Y19">
        <v>0</v>
      </c>
      <c r="Z19">
        <v>1</v>
      </c>
      <c r="AA19" t="s">
        <v>2379</v>
      </c>
      <c r="AB19" t="s">
        <v>572</v>
      </c>
      <c r="AC19" t="s">
        <v>2379</v>
      </c>
      <c r="AD19" t="e">
        <f>VLOOKUP(AB19,#REF!,2,FALSE)</f>
        <v>#REF!</v>
      </c>
      <c r="AE19" t="e">
        <f>RIGHT(#REF!,(FIND("Complex",#REF!,1)-5))</f>
        <v>#REF!</v>
      </c>
    </row>
    <row r="20" spans="1:31" x14ac:dyDescent="0.25">
      <c r="A20">
        <v>2177</v>
      </c>
      <c r="B20" t="s">
        <v>28</v>
      </c>
      <c r="C20">
        <v>14</v>
      </c>
      <c r="D20">
        <v>396</v>
      </c>
      <c r="E20">
        <v>2177</v>
      </c>
      <c r="F20">
        <v>11377801</v>
      </c>
      <c r="G20">
        <v>11466000</v>
      </c>
      <c r="H20">
        <f t="shared" si="0"/>
        <v>258.00002267573694</v>
      </c>
      <c r="I20">
        <f t="shared" si="1"/>
        <v>260</v>
      </c>
      <c r="J20" t="s">
        <v>29</v>
      </c>
      <c r="K20">
        <v>7</v>
      </c>
      <c r="L20" t="e">
        <f t="array" ref="L20">VLOOKUP(J20:$J$3871&amp;K20:$K$3871,CHOOSE({1,2},#REF!&amp;#REF!,#REF!),2,0)</f>
        <v>#N/A</v>
      </c>
      <c r="M20">
        <v>0</v>
      </c>
      <c r="N20">
        <v>1</v>
      </c>
      <c r="O20" t="s">
        <v>23</v>
      </c>
      <c r="P20">
        <v>1</v>
      </c>
      <c r="Q20">
        <v>1</v>
      </c>
      <c r="R20">
        <v>0</v>
      </c>
      <c r="S20">
        <v>1</v>
      </c>
      <c r="T20">
        <v>1</v>
      </c>
      <c r="U20">
        <v>0</v>
      </c>
      <c r="V20">
        <v>0</v>
      </c>
      <c r="W20">
        <v>1</v>
      </c>
      <c r="X20">
        <v>1</v>
      </c>
      <c r="Y20">
        <v>0</v>
      </c>
      <c r="Z20">
        <v>1</v>
      </c>
      <c r="AA20" t="s">
        <v>2383</v>
      </c>
      <c r="AB20" t="s">
        <v>573</v>
      </c>
      <c r="AC20" t="s">
        <v>2383</v>
      </c>
      <c r="AD20" t="e">
        <f>VLOOKUP(AB20,#REF!,2,FALSE)</f>
        <v>#REF!</v>
      </c>
      <c r="AE20" t="e">
        <f>RIGHT(#REF!,(FIND("Complex",#REF!,1)-5))</f>
        <v>#REF!</v>
      </c>
    </row>
    <row r="21" spans="1:31" x14ac:dyDescent="0.25">
      <c r="A21">
        <v>3738</v>
      </c>
      <c r="B21" t="s">
        <v>28</v>
      </c>
      <c r="C21">
        <v>14</v>
      </c>
      <c r="D21">
        <v>1010</v>
      </c>
      <c r="E21">
        <v>3738</v>
      </c>
      <c r="F21">
        <v>10936801</v>
      </c>
      <c r="G21">
        <v>11025000</v>
      </c>
      <c r="H21">
        <f t="shared" si="0"/>
        <v>248.00002267573697</v>
      </c>
      <c r="I21">
        <f t="shared" si="1"/>
        <v>250</v>
      </c>
      <c r="J21" t="s">
        <v>29</v>
      </c>
      <c r="K21">
        <v>7</v>
      </c>
      <c r="L21" t="e">
        <f t="array" ref="L21">VLOOKUP(J21:$J$3871&amp;K21:$K$3871,CHOOSE({1,2},#REF!&amp;#REF!,#REF!),2,0)</f>
        <v>#N/A</v>
      </c>
      <c r="M21">
        <v>0</v>
      </c>
      <c r="N21">
        <v>1</v>
      </c>
      <c r="O21" t="s">
        <v>23</v>
      </c>
      <c r="P21">
        <v>1</v>
      </c>
      <c r="Q21">
        <v>1</v>
      </c>
      <c r="R21">
        <v>0</v>
      </c>
      <c r="S21">
        <v>1</v>
      </c>
      <c r="T21">
        <v>1</v>
      </c>
      <c r="U21">
        <v>0</v>
      </c>
      <c r="V21">
        <v>0</v>
      </c>
      <c r="W21">
        <v>1</v>
      </c>
      <c r="X21">
        <v>1</v>
      </c>
      <c r="Y21">
        <v>0</v>
      </c>
      <c r="Z21">
        <v>1</v>
      </c>
      <c r="AA21" t="s">
        <v>2401</v>
      </c>
      <c r="AB21" t="s">
        <v>574</v>
      </c>
      <c r="AC21" t="s">
        <v>2401</v>
      </c>
      <c r="AD21" t="e">
        <f>VLOOKUP(AB21,#REF!,2,FALSE)</f>
        <v>#REF!</v>
      </c>
      <c r="AE21" t="e">
        <f>RIGHT(#REF!,(FIND("Complex",#REF!,1)-6))</f>
        <v>#REF!</v>
      </c>
    </row>
    <row r="22" spans="1:31" x14ac:dyDescent="0.25">
      <c r="A22">
        <v>131</v>
      </c>
      <c r="B22" t="s">
        <v>28</v>
      </c>
      <c r="C22">
        <v>14</v>
      </c>
      <c r="D22">
        <v>25</v>
      </c>
      <c r="E22">
        <v>131</v>
      </c>
      <c r="F22">
        <v>10584001</v>
      </c>
      <c r="G22">
        <v>10672200</v>
      </c>
      <c r="H22">
        <f t="shared" si="0"/>
        <v>240.00002267573697</v>
      </c>
      <c r="I22">
        <f t="shared" si="1"/>
        <v>242</v>
      </c>
      <c r="J22" t="s">
        <v>29</v>
      </c>
      <c r="K22">
        <v>7</v>
      </c>
      <c r="L22" t="e">
        <f t="array" ref="L22">VLOOKUP(J22:$J$3871&amp;K22:$K$3871,CHOOSE({1,2},#REF!&amp;#REF!,#REF!),2,0)</f>
        <v>#N/A</v>
      </c>
      <c r="M22">
        <v>0</v>
      </c>
      <c r="N22">
        <v>1</v>
      </c>
      <c r="O22" t="s">
        <v>23</v>
      </c>
      <c r="P22">
        <v>1</v>
      </c>
      <c r="Q22">
        <v>1</v>
      </c>
      <c r="R22">
        <v>0</v>
      </c>
      <c r="S22">
        <v>1</v>
      </c>
      <c r="T22">
        <v>1</v>
      </c>
      <c r="U22">
        <v>0</v>
      </c>
      <c r="V22">
        <v>0</v>
      </c>
      <c r="W22">
        <v>1</v>
      </c>
      <c r="X22">
        <v>1</v>
      </c>
      <c r="Y22">
        <v>0</v>
      </c>
      <c r="Z22">
        <v>1</v>
      </c>
      <c r="AA22" t="s">
        <v>2414</v>
      </c>
      <c r="AB22" t="s">
        <v>575</v>
      </c>
      <c r="AC22" t="s">
        <v>2414</v>
      </c>
      <c r="AD22" t="e">
        <f>VLOOKUP(AB22,#REF!,2,FALSE)</f>
        <v>#REF!</v>
      </c>
      <c r="AE22" t="e">
        <f>RIGHT(#REF!,(FIND("Complex",#REF!,1)-4))</f>
        <v>#REF!</v>
      </c>
    </row>
    <row r="23" spans="1:31" x14ac:dyDescent="0.25">
      <c r="A23">
        <v>2869</v>
      </c>
      <c r="B23" t="s">
        <v>28</v>
      </c>
      <c r="C23">
        <v>14</v>
      </c>
      <c r="D23">
        <v>625</v>
      </c>
      <c r="E23">
        <v>2869</v>
      </c>
      <c r="F23">
        <v>10407601</v>
      </c>
      <c r="G23">
        <v>10495800</v>
      </c>
      <c r="H23">
        <f t="shared" si="0"/>
        <v>236.00002267573697</v>
      </c>
      <c r="I23">
        <f t="shared" si="1"/>
        <v>238</v>
      </c>
      <c r="J23" t="s">
        <v>29</v>
      </c>
      <c r="K23">
        <v>7</v>
      </c>
      <c r="L23" t="e">
        <f t="array" ref="L23">VLOOKUP(J23:$J$3871&amp;K23:$K$3871,CHOOSE({1,2},#REF!&amp;#REF!,#REF!),2,0)</f>
        <v>#N/A</v>
      </c>
      <c r="M23">
        <v>0</v>
      </c>
      <c r="N23">
        <v>1</v>
      </c>
      <c r="O23" t="s">
        <v>23</v>
      </c>
      <c r="P23">
        <v>1</v>
      </c>
      <c r="Q23">
        <v>1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1</v>
      </c>
      <c r="Y23">
        <v>0</v>
      </c>
      <c r="Z23">
        <v>1</v>
      </c>
      <c r="AA23" t="s">
        <v>2422</v>
      </c>
      <c r="AB23" t="s">
        <v>576</v>
      </c>
      <c r="AC23" t="s">
        <v>2422</v>
      </c>
      <c r="AD23" t="e">
        <f>VLOOKUP(AB23,#REF!,2,FALSE)</f>
        <v>#REF!</v>
      </c>
      <c r="AE23" t="e">
        <f>RIGHT(#REF!,(FIND("Complex",#REF!,1)-5))</f>
        <v>#REF!</v>
      </c>
    </row>
    <row r="24" spans="1:31" x14ac:dyDescent="0.25">
      <c r="A24">
        <v>3855</v>
      </c>
      <c r="B24" t="s">
        <v>28</v>
      </c>
      <c r="C24">
        <v>14</v>
      </c>
      <c r="D24">
        <v>1050</v>
      </c>
      <c r="E24">
        <v>3855</v>
      </c>
      <c r="F24">
        <v>10319401</v>
      </c>
      <c r="G24">
        <v>10407600</v>
      </c>
      <c r="H24">
        <f t="shared" si="0"/>
        <v>234.00002267573697</v>
      </c>
      <c r="I24">
        <f t="shared" si="1"/>
        <v>236</v>
      </c>
      <c r="J24" t="s">
        <v>29</v>
      </c>
      <c r="K24">
        <v>7</v>
      </c>
      <c r="L24" t="e">
        <f t="array" ref="L24">VLOOKUP(J24:$J$3871&amp;K24:$K$3871,CHOOSE({1,2},#REF!&amp;#REF!,#REF!),2,0)</f>
        <v>#N/A</v>
      </c>
      <c r="M24">
        <v>0</v>
      </c>
      <c r="N24">
        <v>1</v>
      </c>
      <c r="O24" t="s">
        <v>23</v>
      </c>
      <c r="P24">
        <v>1</v>
      </c>
      <c r="Q24">
        <v>1</v>
      </c>
      <c r="R24">
        <v>0</v>
      </c>
      <c r="S24">
        <v>1</v>
      </c>
      <c r="T24">
        <v>1</v>
      </c>
      <c r="U24">
        <v>0</v>
      </c>
      <c r="V24">
        <v>0</v>
      </c>
      <c r="W24">
        <v>1</v>
      </c>
      <c r="X24">
        <v>1</v>
      </c>
      <c r="Y24">
        <v>0</v>
      </c>
      <c r="Z24">
        <v>1</v>
      </c>
      <c r="AA24" t="s">
        <v>2426</v>
      </c>
      <c r="AB24" t="s">
        <v>577</v>
      </c>
      <c r="AC24" t="s">
        <v>2426</v>
      </c>
      <c r="AD24" t="e">
        <f>VLOOKUP(AB24,#REF!,2,FALSE)</f>
        <v>#REF!</v>
      </c>
      <c r="AE24" t="e">
        <f>RIGHT(#REF!,(FIND("Complex",#REF!,1)-6))</f>
        <v>#REF!</v>
      </c>
    </row>
    <row r="25" spans="1:31" x14ac:dyDescent="0.25">
      <c r="A25">
        <v>3057</v>
      </c>
      <c r="B25" t="s">
        <v>28</v>
      </c>
      <c r="C25">
        <v>14</v>
      </c>
      <c r="D25">
        <v>706</v>
      </c>
      <c r="E25">
        <v>3057</v>
      </c>
      <c r="F25">
        <v>8820001</v>
      </c>
      <c r="G25">
        <v>8908200</v>
      </c>
      <c r="H25">
        <f t="shared" si="0"/>
        <v>200.00002267573697</v>
      </c>
      <c r="I25">
        <f t="shared" si="1"/>
        <v>202</v>
      </c>
      <c r="J25" t="s">
        <v>29</v>
      </c>
      <c r="K25">
        <v>7</v>
      </c>
      <c r="L25" t="e">
        <f t="array" ref="L25">VLOOKUP(J25:$J$3871&amp;K25:$K$3871,CHOOSE({1,2},#REF!&amp;#REF!,#REF!),2,0)</f>
        <v>#N/A</v>
      </c>
      <c r="M25">
        <v>0</v>
      </c>
      <c r="N25">
        <v>1</v>
      </c>
      <c r="O25" t="s">
        <v>23</v>
      </c>
      <c r="P25">
        <v>1</v>
      </c>
      <c r="Q25">
        <v>1</v>
      </c>
      <c r="R25">
        <v>0</v>
      </c>
      <c r="S25">
        <v>1</v>
      </c>
      <c r="T25">
        <v>1</v>
      </c>
      <c r="U25">
        <v>0</v>
      </c>
      <c r="V25">
        <v>0</v>
      </c>
      <c r="W25">
        <v>1</v>
      </c>
      <c r="X25">
        <v>1</v>
      </c>
      <c r="Y25">
        <v>0</v>
      </c>
      <c r="Z25">
        <v>1</v>
      </c>
      <c r="AA25" t="s">
        <v>2481</v>
      </c>
      <c r="AB25" t="s">
        <v>578</v>
      </c>
      <c r="AC25" t="s">
        <v>2481</v>
      </c>
      <c r="AD25" t="e">
        <f>VLOOKUP(AB25,#REF!,2,FALSE)</f>
        <v>#REF!</v>
      </c>
      <c r="AE25" t="e">
        <f>RIGHT(#REF!,(FIND("Complex",#REF!,1)-5))</f>
        <v>#REF!</v>
      </c>
    </row>
    <row r="26" spans="1:31" x14ac:dyDescent="0.25">
      <c r="A26">
        <v>2749</v>
      </c>
      <c r="B26" t="s">
        <v>43</v>
      </c>
      <c r="C26">
        <v>19</v>
      </c>
      <c r="D26">
        <v>582</v>
      </c>
      <c r="E26">
        <v>2749</v>
      </c>
      <c r="F26">
        <v>2293201</v>
      </c>
      <c r="G26">
        <v>2381400</v>
      </c>
      <c r="H26">
        <f t="shared" si="0"/>
        <v>52.000022675736965</v>
      </c>
      <c r="I26">
        <f t="shared" si="1"/>
        <v>54</v>
      </c>
      <c r="J26" t="s">
        <v>29</v>
      </c>
      <c r="K26">
        <v>7</v>
      </c>
      <c r="L26" t="e">
        <f t="array" ref="L26">VLOOKUP(J26:$J$3871&amp;K26:$K$3871,CHOOSE({1,2},#REF!&amp;#REF!,#REF!),2,0)</f>
        <v>#N/A</v>
      </c>
      <c r="M26">
        <v>0</v>
      </c>
      <c r="N26">
        <v>1</v>
      </c>
      <c r="O26" t="s">
        <v>23</v>
      </c>
      <c r="P26">
        <v>1</v>
      </c>
      <c r="Q26">
        <v>1</v>
      </c>
      <c r="R26">
        <v>1</v>
      </c>
      <c r="S26">
        <v>0</v>
      </c>
      <c r="T26">
        <v>1</v>
      </c>
      <c r="U26">
        <v>0</v>
      </c>
      <c r="V26">
        <v>0</v>
      </c>
      <c r="W26">
        <v>1</v>
      </c>
      <c r="X26">
        <v>1</v>
      </c>
      <c r="Y26">
        <v>1</v>
      </c>
      <c r="Z26">
        <v>0</v>
      </c>
      <c r="AA26" t="s">
        <v>2303</v>
      </c>
      <c r="AB26" t="s">
        <v>648</v>
      </c>
      <c r="AC26" t="s">
        <v>2303</v>
      </c>
      <c r="AD26" t="e">
        <f>VLOOKUP(AB26,#REF!,2,FALSE)</f>
        <v>#REF!</v>
      </c>
      <c r="AE26" t="e">
        <f>RIGHT(#REF!,(FIND("Complex",#REF!,1)-6))</f>
        <v>#REF!</v>
      </c>
    </row>
    <row r="27" spans="1:31" x14ac:dyDescent="0.25">
      <c r="A27">
        <v>2631</v>
      </c>
      <c r="B27" t="s">
        <v>43</v>
      </c>
      <c r="C27">
        <v>19</v>
      </c>
      <c r="D27">
        <v>533</v>
      </c>
      <c r="E27">
        <v>2631</v>
      </c>
      <c r="F27">
        <v>5997601</v>
      </c>
      <c r="G27">
        <v>6085800</v>
      </c>
      <c r="H27">
        <f t="shared" si="0"/>
        <v>136.00002267573697</v>
      </c>
      <c r="I27">
        <f t="shared" si="1"/>
        <v>138</v>
      </c>
      <c r="J27" t="s">
        <v>29</v>
      </c>
      <c r="K27">
        <v>7</v>
      </c>
      <c r="L27" t="e">
        <f t="array" ref="L27">VLOOKUP(J27:$J$3871&amp;K27:$K$3871,CHOOSE({1,2},#REF!&amp;#REF!,#REF!),2,0)</f>
        <v>#N/A</v>
      </c>
      <c r="M27">
        <v>0</v>
      </c>
      <c r="N27">
        <v>1</v>
      </c>
      <c r="O27" t="s">
        <v>23</v>
      </c>
      <c r="P27">
        <v>1</v>
      </c>
      <c r="Q27">
        <v>1</v>
      </c>
      <c r="R27">
        <v>1</v>
      </c>
      <c r="S27">
        <v>0</v>
      </c>
      <c r="T27">
        <v>1</v>
      </c>
      <c r="U27">
        <v>0</v>
      </c>
      <c r="V27">
        <v>0</v>
      </c>
      <c r="W27">
        <v>1</v>
      </c>
      <c r="X27">
        <v>1</v>
      </c>
      <c r="Y27">
        <v>1</v>
      </c>
      <c r="Z27">
        <v>0</v>
      </c>
      <c r="AA27" t="s">
        <v>2555</v>
      </c>
      <c r="AB27" t="s">
        <v>649</v>
      </c>
      <c r="AC27" t="s">
        <v>2555</v>
      </c>
      <c r="AD27" t="e">
        <f>VLOOKUP(AB27,#REF!,2,FALSE)</f>
        <v>#REF!</v>
      </c>
      <c r="AE27" t="e">
        <f>RIGHT(#REF!,(FIND("Complex",#REF!,1)-5))</f>
        <v>#REF!</v>
      </c>
    </row>
    <row r="28" spans="1:31" x14ac:dyDescent="0.25">
      <c r="A28">
        <v>2330</v>
      </c>
      <c r="B28" t="s">
        <v>43</v>
      </c>
      <c r="C28">
        <v>19</v>
      </c>
      <c r="D28">
        <v>427</v>
      </c>
      <c r="E28">
        <v>2330</v>
      </c>
      <c r="F28">
        <v>4410001</v>
      </c>
      <c r="G28">
        <v>4498200</v>
      </c>
      <c r="H28">
        <f t="shared" si="0"/>
        <v>100.00002267573696</v>
      </c>
      <c r="I28">
        <f t="shared" si="1"/>
        <v>102</v>
      </c>
      <c r="J28" t="s">
        <v>29</v>
      </c>
      <c r="K28">
        <v>7</v>
      </c>
      <c r="L28" t="e">
        <f t="array" ref="L28">VLOOKUP(J28:$J$3871&amp;K28:$K$3871,CHOOSE({1,2},#REF!&amp;#REF!,#REF!),2,0)</f>
        <v>#N/A</v>
      </c>
      <c r="M28">
        <v>0</v>
      </c>
      <c r="N28">
        <v>1</v>
      </c>
      <c r="O28" t="s">
        <v>23</v>
      </c>
      <c r="P28">
        <v>1</v>
      </c>
      <c r="Q28">
        <v>1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1</v>
      </c>
      <c r="Y28">
        <v>1</v>
      </c>
      <c r="Z28">
        <v>0</v>
      </c>
      <c r="AA28" t="s">
        <v>2614</v>
      </c>
      <c r="AB28" t="s">
        <v>140</v>
      </c>
      <c r="AC28" t="s">
        <v>2614</v>
      </c>
      <c r="AD28" t="e">
        <f>VLOOKUP(AB28,#REF!,2,FALSE)</f>
        <v>#REF!</v>
      </c>
      <c r="AE28" t="e">
        <f>RIGHT(#REF!,(FIND("Complex",#REF!,1)-5))</f>
        <v>#REF!</v>
      </c>
    </row>
    <row r="29" spans="1:31" x14ac:dyDescent="0.25">
      <c r="A29">
        <v>3625</v>
      </c>
      <c r="B29" t="s">
        <v>46</v>
      </c>
      <c r="C29">
        <v>27</v>
      </c>
      <c r="D29">
        <v>968</v>
      </c>
      <c r="E29">
        <v>3625</v>
      </c>
      <c r="F29">
        <v>3969001</v>
      </c>
      <c r="G29">
        <v>4057200</v>
      </c>
      <c r="H29">
        <f t="shared" si="0"/>
        <v>90.000022675736957</v>
      </c>
      <c r="I29">
        <f t="shared" si="1"/>
        <v>92</v>
      </c>
      <c r="J29" t="s">
        <v>29</v>
      </c>
      <c r="K29">
        <v>7</v>
      </c>
      <c r="L29" t="e">
        <f t="array" ref="L29">VLOOKUP(J29:$J$3871&amp;K29:$K$3871,CHOOSE({1,2},#REF!&amp;#REF!,#REF!),2,0)</f>
        <v>#N/A</v>
      </c>
      <c r="M29">
        <v>0</v>
      </c>
      <c r="N29">
        <v>1</v>
      </c>
      <c r="O29" t="s">
        <v>23</v>
      </c>
      <c r="P29">
        <v>1</v>
      </c>
      <c r="Q29">
        <v>1</v>
      </c>
      <c r="R29">
        <v>0</v>
      </c>
      <c r="S29">
        <v>1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1</v>
      </c>
      <c r="AA29" t="s">
        <v>2292</v>
      </c>
      <c r="AB29" t="s">
        <v>807</v>
      </c>
      <c r="AC29" t="s">
        <v>2292</v>
      </c>
      <c r="AD29" t="e">
        <f>VLOOKUP(AB29,#REF!,2,FALSE)</f>
        <v>#REF!</v>
      </c>
      <c r="AE29" t="e">
        <f>RIGHT(#REF!,(FIND("Complex",#REF!,1)-6))</f>
        <v>#REF!</v>
      </c>
    </row>
    <row r="30" spans="1:31" x14ac:dyDescent="0.25">
      <c r="A30">
        <v>2500</v>
      </c>
      <c r="B30" t="s">
        <v>46</v>
      </c>
      <c r="C30">
        <v>27</v>
      </c>
      <c r="D30">
        <v>485</v>
      </c>
      <c r="E30">
        <v>2500</v>
      </c>
      <c r="F30">
        <v>3616201</v>
      </c>
      <c r="G30">
        <v>3704400</v>
      </c>
      <c r="H30">
        <f t="shared" si="0"/>
        <v>82.000022675736957</v>
      </c>
      <c r="I30">
        <f t="shared" si="1"/>
        <v>84</v>
      </c>
      <c r="J30" t="s">
        <v>29</v>
      </c>
      <c r="K30">
        <v>7</v>
      </c>
      <c r="L30" t="e">
        <f t="array" ref="L30">VLOOKUP(J30:$J$3871&amp;K30:$K$3871,CHOOSE({1,2},#REF!&amp;#REF!,#REF!),2,0)</f>
        <v>#N/A</v>
      </c>
      <c r="M30">
        <v>0</v>
      </c>
      <c r="N30">
        <v>1</v>
      </c>
      <c r="O30" t="s">
        <v>23</v>
      </c>
      <c r="P30">
        <v>1</v>
      </c>
      <c r="Q30">
        <v>1</v>
      </c>
      <c r="R30">
        <v>0</v>
      </c>
      <c r="S30">
        <v>1</v>
      </c>
      <c r="T30">
        <v>1</v>
      </c>
      <c r="U30">
        <v>0</v>
      </c>
      <c r="V30">
        <v>0</v>
      </c>
      <c r="W30">
        <v>1</v>
      </c>
      <c r="X30">
        <v>1</v>
      </c>
      <c r="Y30">
        <v>0</v>
      </c>
      <c r="Z30">
        <v>1</v>
      </c>
      <c r="AA30" t="s">
        <v>2298</v>
      </c>
      <c r="AB30" t="s">
        <v>101</v>
      </c>
      <c r="AC30" t="s">
        <v>2298</v>
      </c>
      <c r="AD30" t="e">
        <f>VLOOKUP(AB30,#REF!,2,FALSE)</f>
        <v>#REF!</v>
      </c>
      <c r="AE30" t="e">
        <f>RIGHT(#REF!,(FIND("Complex",#REF!,1)-6))</f>
        <v>#REF!</v>
      </c>
    </row>
    <row r="31" spans="1:31" x14ac:dyDescent="0.25">
      <c r="A31">
        <v>3700</v>
      </c>
      <c r="B31" t="s">
        <v>46</v>
      </c>
      <c r="C31">
        <v>27</v>
      </c>
      <c r="D31">
        <v>995</v>
      </c>
      <c r="E31">
        <v>3700</v>
      </c>
      <c r="F31">
        <v>10936801</v>
      </c>
      <c r="G31">
        <v>11025000</v>
      </c>
      <c r="H31">
        <f t="shared" si="0"/>
        <v>248.00002267573697</v>
      </c>
      <c r="I31">
        <f t="shared" si="1"/>
        <v>250</v>
      </c>
      <c r="J31" t="s">
        <v>29</v>
      </c>
      <c r="K31">
        <v>7</v>
      </c>
      <c r="L31" t="e">
        <f t="array" ref="L31">VLOOKUP(J31:$J$3871&amp;K31:$K$3871,CHOOSE({1,2},#REF!&amp;#REF!,#REF!),2,0)</f>
        <v>#N/A</v>
      </c>
      <c r="M31">
        <v>0</v>
      </c>
      <c r="N31">
        <v>1</v>
      </c>
      <c r="O31" t="s">
        <v>23</v>
      </c>
      <c r="P31">
        <v>1</v>
      </c>
      <c r="Q31">
        <v>1</v>
      </c>
      <c r="R31">
        <v>0</v>
      </c>
      <c r="S31">
        <v>1</v>
      </c>
      <c r="T31">
        <v>1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 t="s">
        <v>2400</v>
      </c>
      <c r="AB31" t="s">
        <v>808</v>
      </c>
      <c r="AC31" t="s">
        <v>2400</v>
      </c>
      <c r="AD31" t="e">
        <f>VLOOKUP(AB31,#REF!,2,FALSE)</f>
        <v>#REF!</v>
      </c>
      <c r="AE31" t="e">
        <f>RIGHT(#REF!,(FIND("Complex",#REF!,1)-5))</f>
        <v>#REF!</v>
      </c>
    </row>
    <row r="32" spans="1:31" x14ac:dyDescent="0.25">
      <c r="A32">
        <v>3657</v>
      </c>
      <c r="B32" t="s">
        <v>46</v>
      </c>
      <c r="C32">
        <v>27</v>
      </c>
      <c r="D32">
        <v>981</v>
      </c>
      <c r="E32">
        <v>3657</v>
      </c>
      <c r="F32">
        <v>10319401</v>
      </c>
      <c r="G32">
        <v>10407600</v>
      </c>
      <c r="H32">
        <f t="shared" si="0"/>
        <v>234.00002267573697</v>
      </c>
      <c r="I32">
        <f t="shared" si="1"/>
        <v>236</v>
      </c>
      <c r="J32" t="s">
        <v>29</v>
      </c>
      <c r="K32">
        <v>7</v>
      </c>
      <c r="L32" t="e">
        <f t="array" ref="L32">VLOOKUP(J32:$J$3871&amp;K32:$K$3871,CHOOSE({1,2},#REF!&amp;#REF!,#REF!),2,0)</f>
        <v>#N/A</v>
      </c>
      <c r="M32">
        <v>0</v>
      </c>
      <c r="N32">
        <v>1</v>
      </c>
      <c r="O32" t="s">
        <v>23</v>
      </c>
      <c r="P32">
        <v>1</v>
      </c>
      <c r="Q32">
        <v>1</v>
      </c>
      <c r="R32">
        <v>0</v>
      </c>
      <c r="S32">
        <v>1</v>
      </c>
      <c r="T32">
        <v>1</v>
      </c>
      <c r="U32">
        <v>0</v>
      </c>
      <c r="V32">
        <v>0</v>
      </c>
      <c r="W32">
        <v>1</v>
      </c>
      <c r="X32">
        <v>1</v>
      </c>
      <c r="Y32">
        <v>1</v>
      </c>
      <c r="Z32">
        <v>0</v>
      </c>
      <c r="AA32" t="s">
        <v>2425</v>
      </c>
      <c r="AB32" t="s">
        <v>809</v>
      </c>
      <c r="AC32" t="s">
        <v>2425</v>
      </c>
      <c r="AD32" t="e">
        <f>VLOOKUP(AB32,#REF!,2,FALSE)</f>
        <v>#REF!</v>
      </c>
      <c r="AE32" t="e">
        <f>RIGHT(#REF!,(FIND("Complex",#REF!,1)-5))</f>
        <v>#REF!</v>
      </c>
    </row>
    <row r="33" spans="1:31" x14ac:dyDescent="0.25">
      <c r="A33">
        <v>3776</v>
      </c>
      <c r="B33" t="s">
        <v>46</v>
      </c>
      <c r="C33">
        <v>27</v>
      </c>
      <c r="D33">
        <v>1019</v>
      </c>
      <c r="E33">
        <v>3776</v>
      </c>
      <c r="F33">
        <v>10054801</v>
      </c>
      <c r="G33">
        <v>10143000</v>
      </c>
      <c r="H33">
        <f t="shared" si="0"/>
        <v>228.00002267573697</v>
      </c>
      <c r="I33">
        <f t="shared" si="1"/>
        <v>230</v>
      </c>
      <c r="J33" t="s">
        <v>29</v>
      </c>
      <c r="K33">
        <v>7</v>
      </c>
      <c r="L33" t="e">
        <f t="array" ref="L33">VLOOKUP(J33:$J$3871&amp;K33:$K$3871,CHOOSE({1,2},#REF!&amp;#REF!,#REF!),2,0)</f>
        <v>#N/A</v>
      </c>
      <c r="M33">
        <v>0</v>
      </c>
      <c r="N33">
        <v>1</v>
      </c>
      <c r="O33" t="s">
        <v>23</v>
      </c>
      <c r="P33">
        <v>1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 t="s">
        <v>2435</v>
      </c>
      <c r="AB33" t="s">
        <v>810</v>
      </c>
      <c r="AC33" t="s">
        <v>2435</v>
      </c>
      <c r="AD33" t="e">
        <f>VLOOKUP(AB33,#REF!,2,FALSE)</f>
        <v>#REF!</v>
      </c>
      <c r="AE33" t="e">
        <f>RIGHT(#REF!,(FIND("Complex",#REF!,1)-6))</f>
        <v>#REF!</v>
      </c>
    </row>
    <row r="34" spans="1:31" x14ac:dyDescent="0.25">
      <c r="A34">
        <v>3603</v>
      </c>
      <c r="B34" t="s">
        <v>46</v>
      </c>
      <c r="C34">
        <v>27</v>
      </c>
      <c r="D34">
        <v>960</v>
      </c>
      <c r="E34">
        <v>3603</v>
      </c>
      <c r="F34">
        <v>9790201</v>
      </c>
      <c r="G34">
        <v>9878400</v>
      </c>
      <c r="H34">
        <f t="shared" si="0"/>
        <v>222.00002267573697</v>
      </c>
      <c r="I34">
        <f t="shared" si="1"/>
        <v>224</v>
      </c>
      <c r="J34" t="s">
        <v>29</v>
      </c>
      <c r="K34">
        <v>7</v>
      </c>
      <c r="L34" t="e">
        <f t="array" ref="L34">VLOOKUP(J34:$J$3871&amp;K34:$K$3871,CHOOSE({1,2},#REF!&amp;#REF!,#REF!),2,0)</f>
        <v>#N/A</v>
      </c>
      <c r="M34">
        <v>0</v>
      </c>
      <c r="N34">
        <v>1</v>
      </c>
      <c r="O34" t="s">
        <v>23</v>
      </c>
      <c r="P34">
        <v>1</v>
      </c>
      <c r="Q34">
        <v>1</v>
      </c>
      <c r="R34">
        <v>0</v>
      </c>
      <c r="S34">
        <v>1</v>
      </c>
      <c r="T34">
        <v>1</v>
      </c>
      <c r="U34">
        <v>0</v>
      </c>
      <c r="V34">
        <v>0</v>
      </c>
      <c r="W34">
        <v>1</v>
      </c>
      <c r="X34">
        <v>1</v>
      </c>
      <c r="Y34">
        <v>1</v>
      </c>
      <c r="Z34">
        <v>0</v>
      </c>
      <c r="AA34" t="s">
        <v>2447</v>
      </c>
      <c r="AB34" t="s">
        <v>811</v>
      </c>
      <c r="AC34" t="s">
        <v>2447</v>
      </c>
      <c r="AD34" t="e">
        <f>VLOOKUP(AB34,#REF!,2,FALSE)</f>
        <v>#REF!</v>
      </c>
      <c r="AE34" t="e">
        <f>RIGHT(#REF!,(FIND("Complex",#REF!,1)-5))</f>
        <v>#REF!</v>
      </c>
    </row>
    <row r="35" spans="1:31" x14ac:dyDescent="0.25">
      <c r="A35">
        <v>1133</v>
      </c>
      <c r="B35" t="s">
        <v>46</v>
      </c>
      <c r="C35">
        <v>27</v>
      </c>
      <c r="D35">
        <v>193</v>
      </c>
      <c r="E35">
        <v>1133</v>
      </c>
      <c r="F35">
        <v>9172801</v>
      </c>
      <c r="G35">
        <v>9261000</v>
      </c>
      <c r="H35">
        <f t="shared" si="0"/>
        <v>208.00002267573697</v>
      </c>
      <c r="I35">
        <f t="shared" si="1"/>
        <v>210</v>
      </c>
      <c r="J35" t="s">
        <v>29</v>
      </c>
      <c r="K35">
        <v>7</v>
      </c>
      <c r="L35" t="e">
        <f t="array" ref="L35">VLOOKUP(J35:$J$3871&amp;K35:$K$3871,CHOOSE({1,2},#REF!&amp;#REF!,#REF!),2,0)</f>
        <v>#N/A</v>
      </c>
      <c r="M35">
        <v>0</v>
      </c>
      <c r="N35">
        <v>1</v>
      </c>
      <c r="O35" t="s">
        <v>23</v>
      </c>
      <c r="P35">
        <v>1</v>
      </c>
      <c r="Q35">
        <v>1</v>
      </c>
      <c r="R35">
        <v>0</v>
      </c>
      <c r="S35">
        <v>1</v>
      </c>
      <c r="T35">
        <v>1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 t="s">
        <v>2470</v>
      </c>
      <c r="AB35" t="s">
        <v>812</v>
      </c>
      <c r="AC35" t="s">
        <v>2470</v>
      </c>
      <c r="AD35" t="e">
        <f>VLOOKUP(AB35,#REF!,2,FALSE)</f>
        <v>#REF!</v>
      </c>
      <c r="AE35" t="e">
        <f>RIGHT(#REF!,(FIND("Complex",#REF!,1)-5))</f>
        <v>#REF!</v>
      </c>
    </row>
    <row r="36" spans="1:31" x14ac:dyDescent="0.25">
      <c r="A36">
        <v>3740</v>
      </c>
      <c r="B36" t="s">
        <v>46</v>
      </c>
      <c r="C36">
        <v>27</v>
      </c>
      <c r="D36">
        <v>1012</v>
      </c>
      <c r="E36">
        <v>3740</v>
      </c>
      <c r="F36">
        <v>8290801</v>
      </c>
      <c r="G36">
        <v>8379000</v>
      </c>
      <c r="H36">
        <f t="shared" si="0"/>
        <v>188.00002267573697</v>
      </c>
      <c r="I36">
        <f t="shared" si="1"/>
        <v>190</v>
      </c>
      <c r="J36" t="s">
        <v>29</v>
      </c>
      <c r="K36">
        <v>7</v>
      </c>
      <c r="L36" t="e">
        <f t="array" ref="L36">VLOOKUP(J36:$J$3871&amp;K36:$K$3871,CHOOSE({1,2},#REF!&amp;#REF!,#REF!),2,0)</f>
        <v>#N/A</v>
      </c>
      <c r="M36">
        <v>0</v>
      </c>
      <c r="N36">
        <v>1</v>
      </c>
      <c r="O36" t="s">
        <v>23</v>
      </c>
      <c r="P36">
        <v>1</v>
      </c>
      <c r="Q36">
        <v>1</v>
      </c>
      <c r="R36">
        <v>0</v>
      </c>
      <c r="S36">
        <v>1</v>
      </c>
      <c r="T36">
        <v>1</v>
      </c>
      <c r="U36">
        <v>0</v>
      </c>
      <c r="V36">
        <v>0</v>
      </c>
      <c r="W36">
        <v>1</v>
      </c>
      <c r="X36">
        <v>1</v>
      </c>
      <c r="Y36">
        <v>0</v>
      </c>
      <c r="Z36">
        <v>1</v>
      </c>
      <c r="AA36" t="s">
        <v>2501</v>
      </c>
      <c r="AB36" t="s">
        <v>813</v>
      </c>
      <c r="AC36" t="s">
        <v>2501</v>
      </c>
      <c r="AD36" t="e">
        <f>VLOOKUP(AB36,#REF!,2,FALSE)</f>
        <v>#REF!</v>
      </c>
      <c r="AE36" t="e">
        <f>RIGHT(#REF!,(FIND("Complex",#REF!,1)-6))</f>
        <v>#REF!</v>
      </c>
    </row>
    <row r="37" spans="1:31" x14ac:dyDescent="0.25">
      <c r="A37">
        <v>3511</v>
      </c>
      <c r="B37" t="s">
        <v>46</v>
      </c>
      <c r="C37">
        <v>27</v>
      </c>
      <c r="D37">
        <v>925</v>
      </c>
      <c r="E37">
        <v>3511</v>
      </c>
      <c r="F37">
        <v>7938001</v>
      </c>
      <c r="G37">
        <v>8026200</v>
      </c>
      <c r="H37">
        <f t="shared" si="0"/>
        <v>180.00002267573697</v>
      </c>
      <c r="I37">
        <f t="shared" si="1"/>
        <v>182</v>
      </c>
      <c r="J37" t="s">
        <v>29</v>
      </c>
      <c r="K37">
        <v>7</v>
      </c>
      <c r="L37" t="e">
        <f t="array" ref="L37">VLOOKUP(J37:$J$3871&amp;K37:$K$3871,CHOOSE({1,2},#REF!&amp;#REF!,#REF!),2,0)</f>
        <v>#N/A</v>
      </c>
      <c r="M37">
        <v>0</v>
      </c>
      <c r="N37">
        <v>1</v>
      </c>
      <c r="O37" t="s">
        <v>23</v>
      </c>
      <c r="P37">
        <v>1</v>
      </c>
      <c r="Q37">
        <v>1</v>
      </c>
      <c r="R37">
        <v>0</v>
      </c>
      <c r="S37">
        <v>1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 t="s">
        <v>2514</v>
      </c>
      <c r="AB37" t="s">
        <v>814</v>
      </c>
      <c r="AC37" t="s">
        <v>2514</v>
      </c>
      <c r="AD37" t="e">
        <f>VLOOKUP(AB37,#REF!,2,FALSE)</f>
        <v>#REF!</v>
      </c>
      <c r="AE37" t="e">
        <f>RIGHT(#REF!,(FIND("Complex",#REF!,1)-5))</f>
        <v>#REF!</v>
      </c>
    </row>
    <row r="38" spans="1:31" x14ac:dyDescent="0.25">
      <c r="A38">
        <v>3713</v>
      </c>
      <c r="B38" t="s">
        <v>46</v>
      </c>
      <c r="C38">
        <v>27</v>
      </c>
      <c r="D38">
        <v>1001</v>
      </c>
      <c r="E38">
        <v>3713</v>
      </c>
      <c r="F38">
        <v>5380201</v>
      </c>
      <c r="G38">
        <v>5468400</v>
      </c>
      <c r="H38">
        <f t="shared" si="0"/>
        <v>122.00002267573696</v>
      </c>
      <c r="I38">
        <f t="shared" si="1"/>
        <v>124</v>
      </c>
      <c r="J38" t="s">
        <v>29</v>
      </c>
      <c r="K38">
        <v>7</v>
      </c>
      <c r="L38" t="e">
        <f t="array" ref="L38">VLOOKUP(J38:$J$3871&amp;K38:$K$3871,CHOOSE({1,2},#REF!&amp;#REF!,#REF!),2,0)</f>
        <v>#N/A</v>
      </c>
      <c r="M38">
        <v>0</v>
      </c>
      <c r="N38">
        <v>1</v>
      </c>
      <c r="O38" t="s">
        <v>23</v>
      </c>
      <c r="P38">
        <v>1</v>
      </c>
      <c r="Q38">
        <v>1</v>
      </c>
      <c r="R38">
        <v>0</v>
      </c>
      <c r="S38">
        <v>1</v>
      </c>
      <c r="T38">
        <v>1</v>
      </c>
      <c r="U38">
        <v>0</v>
      </c>
      <c r="V38">
        <v>0</v>
      </c>
      <c r="W38">
        <v>1</v>
      </c>
      <c r="X38">
        <v>1</v>
      </c>
      <c r="Y38">
        <v>1</v>
      </c>
      <c r="Z38">
        <v>0</v>
      </c>
      <c r="AA38" t="s">
        <v>2577</v>
      </c>
      <c r="AB38" t="s">
        <v>815</v>
      </c>
      <c r="AC38" t="s">
        <v>2577</v>
      </c>
      <c r="AD38" t="e">
        <f>VLOOKUP(AB38,#REF!,2,FALSE)</f>
        <v>#REF!</v>
      </c>
      <c r="AE38" t="e">
        <f>RIGHT(#REF!,(FIND("Complex",#REF!,1)-6))</f>
        <v>#REF!</v>
      </c>
    </row>
    <row r="39" spans="1:31" x14ac:dyDescent="0.25">
      <c r="A39">
        <v>3797</v>
      </c>
      <c r="B39" t="s">
        <v>46</v>
      </c>
      <c r="C39">
        <v>27</v>
      </c>
      <c r="D39">
        <v>1030</v>
      </c>
      <c r="E39">
        <v>3797</v>
      </c>
      <c r="F39">
        <v>5203801</v>
      </c>
      <c r="G39">
        <v>5292000</v>
      </c>
      <c r="H39">
        <f t="shared" si="0"/>
        <v>118.00002267573696</v>
      </c>
      <c r="I39">
        <f t="shared" si="1"/>
        <v>120</v>
      </c>
      <c r="J39" t="s">
        <v>29</v>
      </c>
      <c r="K39">
        <v>7</v>
      </c>
      <c r="L39" t="e">
        <f t="array" ref="L39">VLOOKUP(J39:$J$3871&amp;K39:$K$3871,CHOOSE({1,2},#REF!&amp;#REF!,#REF!),2,0)</f>
        <v>#N/A</v>
      </c>
      <c r="M39">
        <v>0</v>
      </c>
      <c r="N39">
        <v>1</v>
      </c>
      <c r="O39" t="s">
        <v>23</v>
      </c>
      <c r="P39">
        <v>1</v>
      </c>
      <c r="Q39">
        <v>1</v>
      </c>
      <c r="R39">
        <v>0</v>
      </c>
      <c r="S39">
        <v>1</v>
      </c>
      <c r="T39">
        <v>1</v>
      </c>
      <c r="U39">
        <v>0</v>
      </c>
      <c r="V39">
        <v>0</v>
      </c>
      <c r="W39">
        <v>1</v>
      </c>
      <c r="X39">
        <v>1</v>
      </c>
      <c r="Y39">
        <v>1</v>
      </c>
      <c r="Z39">
        <v>0</v>
      </c>
      <c r="AA39" t="s">
        <v>2583</v>
      </c>
      <c r="AB39" t="s">
        <v>816</v>
      </c>
      <c r="AC39" t="s">
        <v>2583</v>
      </c>
      <c r="AD39" t="e">
        <f>VLOOKUP(AB39,#REF!,2,FALSE)</f>
        <v>#REF!</v>
      </c>
      <c r="AE39" t="e">
        <f>RIGHT(#REF!,(FIND("Complex",#REF!,1)-6))</f>
        <v>#REF!</v>
      </c>
    </row>
    <row r="40" spans="1:31" x14ac:dyDescent="0.25">
      <c r="A40">
        <v>2540</v>
      </c>
      <c r="B40" t="s">
        <v>54</v>
      </c>
      <c r="C40">
        <v>31</v>
      </c>
      <c r="D40">
        <v>501</v>
      </c>
      <c r="E40">
        <v>2540</v>
      </c>
      <c r="F40">
        <v>7497001</v>
      </c>
      <c r="G40">
        <v>7585200</v>
      </c>
      <c r="H40">
        <f t="shared" si="0"/>
        <v>170.00002267573697</v>
      </c>
      <c r="I40">
        <f t="shared" si="1"/>
        <v>172</v>
      </c>
      <c r="J40" t="s">
        <v>29</v>
      </c>
      <c r="K40">
        <v>7</v>
      </c>
      <c r="L40" t="e">
        <f t="array" ref="L40">VLOOKUP(J40:$J$3871&amp;K40:$K$3871,CHOOSE({1,2},#REF!&amp;#REF!,#REF!),2,0)</f>
        <v>#N/A</v>
      </c>
      <c r="M40">
        <v>0</v>
      </c>
      <c r="N40">
        <v>1</v>
      </c>
      <c r="O40" t="s">
        <v>23</v>
      </c>
      <c r="P40">
        <v>1</v>
      </c>
      <c r="Q40">
        <v>1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1</v>
      </c>
      <c r="Z40">
        <v>1</v>
      </c>
      <c r="AA40" t="s">
        <v>2524</v>
      </c>
      <c r="AB40" t="s">
        <v>917</v>
      </c>
      <c r="AC40" t="s">
        <v>2524</v>
      </c>
      <c r="AD40" t="e">
        <f>VLOOKUP(AB40,#REF!,2,FALSE)</f>
        <v>#REF!</v>
      </c>
      <c r="AE40" t="e">
        <f>RIGHT(#REF!,(FIND("Complex",#REF!,1)-5))</f>
        <v>#REF!</v>
      </c>
    </row>
    <row r="41" spans="1:31" x14ac:dyDescent="0.25">
      <c r="A41">
        <v>3644</v>
      </c>
      <c r="B41" t="s">
        <v>54</v>
      </c>
      <c r="C41">
        <v>31</v>
      </c>
      <c r="D41">
        <v>974</v>
      </c>
      <c r="E41">
        <v>3644</v>
      </c>
      <c r="F41">
        <v>7408801</v>
      </c>
      <c r="G41">
        <v>7497000</v>
      </c>
      <c r="H41">
        <f t="shared" si="0"/>
        <v>168.00002267573697</v>
      </c>
      <c r="I41">
        <f t="shared" si="1"/>
        <v>170</v>
      </c>
      <c r="J41" t="s">
        <v>29</v>
      </c>
      <c r="K41">
        <v>7</v>
      </c>
      <c r="L41" t="e">
        <f t="array" ref="L41">VLOOKUP(J41:$J$3871&amp;K41:$K$3871,CHOOSE({1,2},#REF!&amp;#REF!,#REF!),2,0)</f>
        <v>#N/A</v>
      </c>
      <c r="M41">
        <v>0</v>
      </c>
      <c r="N41">
        <v>1</v>
      </c>
      <c r="O41" t="s">
        <v>23</v>
      </c>
      <c r="P41">
        <v>1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1</v>
      </c>
      <c r="Y41">
        <v>1</v>
      </c>
      <c r="Z41">
        <v>1</v>
      </c>
      <c r="AA41" t="s">
        <v>2527</v>
      </c>
      <c r="AB41" t="s">
        <v>127</v>
      </c>
      <c r="AC41" t="s">
        <v>2527</v>
      </c>
      <c r="AD41" t="e">
        <f>VLOOKUP(AB41,#REF!,2,FALSE)</f>
        <v>#REF!</v>
      </c>
      <c r="AE41" t="e">
        <f>RIGHT(#REF!,(FIND("Complex",#REF!,1)-5))</f>
        <v>#REF!</v>
      </c>
    </row>
    <row r="42" spans="1:31" x14ac:dyDescent="0.25">
      <c r="A42">
        <v>3366</v>
      </c>
      <c r="B42" t="s">
        <v>54</v>
      </c>
      <c r="C42">
        <v>31</v>
      </c>
      <c r="D42">
        <v>859</v>
      </c>
      <c r="E42">
        <v>3366</v>
      </c>
      <c r="F42">
        <v>7232401</v>
      </c>
      <c r="G42">
        <v>7320600</v>
      </c>
      <c r="H42">
        <f t="shared" si="0"/>
        <v>164.00002267573697</v>
      </c>
      <c r="I42">
        <f t="shared" si="1"/>
        <v>166</v>
      </c>
      <c r="J42" t="s">
        <v>29</v>
      </c>
      <c r="K42">
        <v>7</v>
      </c>
      <c r="L42" t="e">
        <f t="array" ref="L42">VLOOKUP(J42:$J$3871&amp;K42:$K$3871,CHOOSE({1,2},#REF!&amp;#REF!,#REF!),2,0)</f>
        <v>#N/A</v>
      </c>
      <c r="M42">
        <v>0</v>
      </c>
      <c r="N42">
        <v>1</v>
      </c>
      <c r="O42" t="s">
        <v>23</v>
      </c>
      <c r="P42">
        <v>1</v>
      </c>
      <c r="Q42">
        <v>1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1</v>
      </c>
      <c r="Y42">
        <v>1</v>
      </c>
      <c r="Z42">
        <v>1</v>
      </c>
      <c r="AA42" t="s">
        <v>2531</v>
      </c>
      <c r="AB42" t="s">
        <v>918</v>
      </c>
      <c r="AC42" t="s">
        <v>2531</v>
      </c>
      <c r="AD42" t="e">
        <f>VLOOKUP(AB42,#REF!,2,FALSE)</f>
        <v>#REF!</v>
      </c>
      <c r="AE42" t="e">
        <f>RIGHT(#REF!,(FIND("Complex",#REF!,1)-5))</f>
        <v>#REF!</v>
      </c>
    </row>
    <row r="43" spans="1:31" x14ac:dyDescent="0.25">
      <c r="A43">
        <v>3604</v>
      </c>
      <c r="B43" t="s">
        <v>54</v>
      </c>
      <c r="C43">
        <v>31</v>
      </c>
      <c r="D43">
        <v>961</v>
      </c>
      <c r="E43">
        <v>3604</v>
      </c>
      <c r="F43">
        <v>6174001</v>
      </c>
      <c r="G43">
        <v>6262200</v>
      </c>
      <c r="H43">
        <f t="shared" si="0"/>
        <v>140.00002267573697</v>
      </c>
      <c r="I43">
        <f t="shared" si="1"/>
        <v>142</v>
      </c>
      <c r="J43" t="s">
        <v>29</v>
      </c>
      <c r="K43">
        <v>7</v>
      </c>
      <c r="L43" t="e">
        <f t="array" ref="L43">VLOOKUP(J43:$J$3871&amp;K43:$K$3871,CHOOSE({1,2},#REF!&amp;#REF!,#REF!),2,0)</f>
        <v>#N/A</v>
      </c>
      <c r="M43">
        <v>0</v>
      </c>
      <c r="N43">
        <v>1</v>
      </c>
      <c r="O43" t="s">
        <v>23</v>
      </c>
      <c r="P43">
        <v>1</v>
      </c>
      <c r="Q43">
        <v>1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1</v>
      </c>
      <c r="Y43">
        <v>1</v>
      </c>
      <c r="Z43">
        <v>1</v>
      </c>
      <c r="AA43" t="s">
        <v>2547</v>
      </c>
      <c r="AB43" t="s">
        <v>919</v>
      </c>
      <c r="AC43" t="s">
        <v>2547</v>
      </c>
      <c r="AD43" t="e">
        <f>VLOOKUP(AB43,#REF!,2,FALSE)</f>
        <v>#REF!</v>
      </c>
      <c r="AE43" t="e">
        <f>RIGHT(#REF!,(FIND("Complex",#REF!,1)-5))</f>
        <v>#REF!</v>
      </c>
    </row>
    <row r="44" spans="1:31" x14ac:dyDescent="0.25">
      <c r="A44">
        <v>2568</v>
      </c>
      <c r="B44" t="s">
        <v>63</v>
      </c>
      <c r="C44">
        <v>32</v>
      </c>
      <c r="D44">
        <v>515</v>
      </c>
      <c r="E44">
        <v>2568</v>
      </c>
      <c r="F44">
        <v>6262201</v>
      </c>
      <c r="G44">
        <v>6350400</v>
      </c>
      <c r="H44">
        <f t="shared" si="0"/>
        <v>142.00002267573697</v>
      </c>
      <c r="I44">
        <f t="shared" si="1"/>
        <v>144</v>
      </c>
      <c r="J44" t="s">
        <v>29</v>
      </c>
      <c r="K44">
        <v>7</v>
      </c>
      <c r="L44" t="e">
        <f t="array" ref="L44">VLOOKUP(J44:$J$3871&amp;K44:$K$3871,CHOOSE({1,2},#REF!&amp;#REF!,#REF!),2,0)</f>
        <v>#N/A</v>
      </c>
      <c r="M44">
        <v>0</v>
      </c>
      <c r="N44">
        <v>1</v>
      </c>
      <c r="O44" t="s">
        <v>23</v>
      </c>
      <c r="P44">
        <v>1</v>
      </c>
      <c r="Q44">
        <v>1</v>
      </c>
      <c r="R44">
        <v>0</v>
      </c>
      <c r="S44">
        <v>0</v>
      </c>
      <c r="T44">
        <v>1</v>
      </c>
      <c r="U44">
        <v>0</v>
      </c>
      <c r="V44">
        <v>0</v>
      </c>
      <c r="W44">
        <v>1</v>
      </c>
      <c r="X44">
        <v>1</v>
      </c>
      <c r="Y44">
        <v>1</v>
      </c>
      <c r="Z44">
        <v>1</v>
      </c>
      <c r="AA44" t="s">
        <v>2544</v>
      </c>
      <c r="AB44" t="s">
        <v>131</v>
      </c>
      <c r="AC44" t="s">
        <v>2544</v>
      </c>
      <c r="AD44" t="e">
        <f>VLOOKUP(AB44,#REF!,2,FALSE)</f>
        <v>#REF!</v>
      </c>
      <c r="AE44" t="e">
        <f>RIGHT(#REF!,(FIND("Complex",#REF!,1)-5))</f>
        <v>#REF!</v>
      </c>
    </row>
    <row r="45" spans="1:31" x14ac:dyDescent="0.25">
      <c r="A45">
        <v>3199</v>
      </c>
      <c r="B45" t="s">
        <v>38</v>
      </c>
      <c r="C45">
        <v>37</v>
      </c>
      <c r="D45">
        <v>770</v>
      </c>
      <c r="E45">
        <v>3199</v>
      </c>
      <c r="F45">
        <v>9437401</v>
      </c>
      <c r="G45">
        <v>9525600</v>
      </c>
      <c r="H45">
        <f t="shared" si="0"/>
        <v>214.00002267573697</v>
      </c>
      <c r="I45">
        <f t="shared" si="1"/>
        <v>216</v>
      </c>
      <c r="J45" t="s">
        <v>29</v>
      </c>
      <c r="K45">
        <v>7</v>
      </c>
      <c r="L45" t="e">
        <f t="array" ref="L45">VLOOKUP(J45:$J$3871&amp;K45:$K$3871,CHOOSE({1,2},#REF!&amp;#REF!,#REF!),2,0)</f>
        <v>#N/A</v>
      </c>
      <c r="M45">
        <v>0</v>
      </c>
      <c r="N45">
        <v>1</v>
      </c>
      <c r="O45" t="s">
        <v>23</v>
      </c>
      <c r="P45">
        <v>1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1</v>
      </c>
      <c r="X45">
        <v>1</v>
      </c>
      <c r="Y45">
        <v>1</v>
      </c>
      <c r="Z45">
        <v>1</v>
      </c>
      <c r="AA45" t="s">
        <v>2457</v>
      </c>
      <c r="AB45" t="s">
        <v>119</v>
      </c>
      <c r="AC45" t="s">
        <v>2457</v>
      </c>
      <c r="AD45" t="e">
        <f>VLOOKUP(AB45,#REF!,2,FALSE)</f>
        <v>#REF!</v>
      </c>
      <c r="AE45" t="e">
        <f>RIGHT(#REF!,(FIND("Complex",#REF!,1)-5))</f>
        <v>#REF!</v>
      </c>
    </row>
    <row r="46" spans="1:31" x14ac:dyDescent="0.25">
      <c r="A46">
        <v>3238</v>
      </c>
      <c r="B46" t="s">
        <v>38</v>
      </c>
      <c r="C46">
        <v>37</v>
      </c>
      <c r="D46">
        <v>794</v>
      </c>
      <c r="E46">
        <v>3238</v>
      </c>
      <c r="F46">
        <v>8996401</v>
      </c>
      <c r="G46">
        <v>9084600</v>
      </c>
      <c r="H46">
        <f t="shared" si="0"/>
        <v>204.00002267573697</v>
      </c>
      <c r="I46">
        <f t="shared" si="1"/>
        <v>206</v>
      </c>
      <c r="J46" t="s">
        <v>29</v>
      </c>
      <c r="K46">
        <v>7</v>
      </c>
      <c r="L46" t="e">
        <f t="array" ref="L46">VLOOKUP(J46:$J$3871&amp;K46:$K$3871,CHOOSE({1,2},#REF!&amp;#REF!,#REF!),2,0)</f>
        <v>#N/A</v>
      </c>
      <c r="M46">
        <v>0</v>
      </c>
      <c r="N46">
        <v>1</v>
      </c>
      <c r="O46" t="s">
        <v>23</v>
      </c>
      <c r="P46">
        <v>1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1</v>
      </c>
      <c r="Y46">
        <v>1</v>
      </c>
      <c r="Z46">
        <v>1</v>
      </c>
      <c r="AA46" t="s">
        <v>2473</v>
      </c>
      <c r="AB46" t="s">
        <v>1116</v>
      </c>
      <c r="AC46" t="s">
        <v>2473</v>
      </c>
      <c r="AD46" t="e">
        <f>VLOOKUP(AB46,#REF!,2,FALSE)</f>
        <v>#REF!</v>
      </c>
      <c r="AE46" t="e">
        <f>RIGHT(#REF!,(FIND("Complex",#REF!,1)-5))</f>
        <v>#REF!</v>
      </c>
    </row>
    <row r="47" spans="1:31" x14ac:dyDescent="0.25">
      <c r="A47">
        <v>3678</v>
      </c>
      <c r="B47" t="s">
        <v>83</v>
      </c>
      <c r="C47">
        <v>97</v>
      </c>
      <c r="D47">
        <v>989</v>
      </c>
      <c r="E47">
        <v>3678</v>
      </c>
      <c r="F47">
        <v>10936801</v>
      </c>
      <c r="G47">
        <v>11025000</v>
      </c>
      <c r="H47">
        <f t="shared" si="0"/>
        <v>248.00002267573697</v>
      </c>
      <c r="I47">
        <f t="shared" si="1"/>
        <v>250</v>
      </c>
      <c r="J47" t="s">
        <v>29</v>
      </c>
      <c r="K47">
        <v>7</v>
      </c>
      <c r="L47" t="e">
        <f t="array" ref="L47">VLOOKUP(J47:$J$3871&amp;K47:$K$3871,CHOOSE({1,2},#REF!&amp;#REF!,#REF!),2,0)</f>
        <v>#N/A</v>
      </c>
      <c r="M47">
        <v>0</v>
      </c>
      <c r="N47">
        <v>1</v>
      </c>
      <c r="O47" t="s">
        <v>23</v>
      </c>
      <c r="P47">
        <v>1</v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 t="s">
        <v>2399</v>
      </c>
      <c r="AB47" t="s">
        <v>1854</v>
      </c>
      <c r="AC47" t="s">
        <v>2399</v>
      </c>
      <c r="AD47" t="e">
        <f>VLOOKUP(AB47,#REF!,2,FALSE)</f>
        <v>#REF!</v>
      </c>
      <c r="AE47" t="e">
        <f>RIGHT(#REF!,(FIND("Complex",#REF!,1)-5))</f>
        <v>#REF!</v>
      </c>
    </row>
    <row r="48" spans="1:31" x14ac:dyDescent="0.25">
      <c r="A48">
        <v>3383</v>
      </c>
      <c r="B48" t="s">
        <v>83</v>
      </c>
      <c r="C48">
        <v>97</v>
      </c>
      <c r="D48">
        <v>867</v>
      </c>
      <c r="E48">
        <v>3383</v>
      </c>
      <c r="F48">
        <v>10584001</v>
      </c>
      <c r="G48">
        <v>10672200</v>
      </c>
      <c r="H48">
        <f t="shared" si="0"/>
        <v>240.00002267573697</v>
      </c>
      <c r="I48">
        <f t="shared" si="1"/>
        <v>242</v>
      </c>
      <c r="J48" t="s">
        <v>29</v>
      </c>
      <c r="K48">
        <v>7</v>
      </c>
      <c r="L48" t="e">
        <f t="array" ref="L48">VLOOKUP(J48:$J$3871&amp;K48:$K$3871,CHOOSE({1,2},#REF!&amp;#REF!,#REF!),2,0)</f>
        <v>#N/A</v>
      </c>
      <c r="M48">
        <v>0</v>
      </c>
      <c r="N48">
        <v>1</v>
      </c>
      <c r="O48" t="s">
        <v>23</v>
      </c>
      <c r="P48">
        <v>1</v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 t="s">
        <v>2412</v>
      </c>
      <c r="AB48" t="s">
        <v>1855</v>
      </c>
      <c r="AC48" t="s">
        <v>2412</v>
      </c>
      <c r="AD48" t="e">
        <f>VLOOKUP(AB48,#REF!,2,FALSE)</f>
        <v>#REF!</v>
      </c>
      <c r="AE48" t="e">
        <f>RIGHT(#REF!,(FIND("Complex",#REF!,1)-5))</f>
        <v>#REF!</v>
      </c>
    </row>
    <row r="49" spans="1:31" x14ac:dyDescent="0.25">
      <c r="A49">
        <v>863</v>
      </c>
      <c r="B49" t="s">
        <v>83</v>
      </c>
      <c r="C49">
        <v>97</v>
      </c>
      <c r="D49">
        <v>150</v>
      </c>
      <c r="E49">
        <v>863</v>
      </c>
      <c r="F49">
        <v>9790201</v>
      </c>
      <c r="G49">
        <v>9878400</v>
      </c>
      <c r="H49">
        <f t="shared" si="0"/>
        <v>222.00002267573697</v>
      </c>
      <c r="I49">
        <f t="shared" si="1"/>
        <v>224</v>
      </c>
      <c r="J49" t="s">
        <v>29</v>
      </c>
      <c r="K49">
        <v>7</v>
      </c>
      <c r="L49" t="e">
        <f t="array" ref="L49">VLOOKUP(J49:$J$3871&amp;K49:$K$3871,CHOOSE({1,2},#REF!&amp;#REF!,#REF!),2,0)</f>
        <v>#N/A</v>
      </c>
      <c r="M49">
        <v>0</v>
      </c>
      <c r="N49">
        <v>1</v>
      </c>
      <c r="O49" t="s">
        <v>23</v>
      </c>
      <c r="P49">
        <v>1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1</v>
      </c>
      <c r="X49">
        <v>1</v>
      </c>
      <c r="Y49">
        <v>0</v>
      </c>
      <c r="Z49">
        <v>0</v>
      </c>
      <c r="AA49" t="s">
        <v>2446</v>
      </c>
      <c r="AB49" t="s">
        <v>1856</v>
      </c>
      <c r="AC49" t="s">
        <v>2446</v>
      </c>
      <c r="AD49" t="e">
        <f>VLOOKUP(AB49,#REF!,2,FALSE)</f>
        <v>#REF!</v>
      </c>
      <c r="AE49" t="e">
        <f>RIGHT(#REF!,(FIND("Complex",#REF!,1)-4))</f>
        <v>#REF!</v>
      </c>
    </row>
    <row r="50" spans="1:31" x14ac:dyDescent="0.25">
      <c r="A50">
        <v>196</v>
      </c>
      <c r="B50" t="s">
        <v>74</v>
      </c>
      <c r="C50">
        <v>101</v>
      </c>
      <c r="D50">
        <v>41</v>
      </c>
      <c r="E50">
        <v>196</v>
      </c>
      <c r="F50">
        <v>9349201</v>
      </c>
      <c r="G50">
        <v>9437400</v>
      </c>
      <c r="H50">
        <f t="shared" si="0"/>
        <v>212.00002267573697</v>
      </c>
      <c r="I50">
        <f t="shared" si="1"/>
        <v>214</v>
      </c>
      <c r="J50" t="s">
        <v>29</v>
      </c>
      <c r="K50">
        <v>7</v>
      </c>
      <c r="L50" t="e">
        <f t="array" ref="L50">VLOOKUP(J50:$J$3871&amp;K50:$K$3871,CHOOSE({1,2},#REF!&amp;#REF!,#REF!),2,0)</f>
        <v>#N/A</v>
      </c>
      <c r="M50">
        <v>0</v>
      </c>
      <c r="N50">
        <v>1</v>
      </c>
      <c r="O50" t="s">
        <v>23</v>
      </c>
      <c r="P50">
        <v>1</v>
      </c>
      <c r="Q50">
        <v>1</v>
      </c>
      <c r="R50">
        <v>0</v>
      </c>
      <c r="S50">
        <v>1</v>
      </c>
      <c r="T50">
        <v>1</v>
      </c>
      <c r="U50">
        <v>0</v>
      </c>
      <c r="V50">
        <v>0</v>
      </c>
      <c r="W50">
        <v>1</v>
      </c>
      <c r="X50">
        <v>1</v>
      </c>
      <c r="Y50">
        <v>1</v>
      </c>
      <c r="Z50">
        <v>0</v>
      </c>
      <c r="AA50" t="s">
        <v>2467</v>
      </c>
      <c r="AB50" t="s">
        <v>1912</v>
      </c>
      <c r="AC50" t="s">
        <v>2467</v>
      </c>
      <c r="AD50" t="e">
        <f>VLOOKUP(AB50,#REF!,2,FALSE)</f>
        <v>#REF!</v>
      </c>
      <c r="AE50" t="e">
        <f>RIGHT(#REF!,(FIND("Complex",#REF!,1)-3))</f>
        <v>#REF!</v>
      </c>
    </row>
    <row r="51" spans="1:31" x14ac:dyDescent="0.25">
      <c r="A51">
        <v>2601</v>
      </c>
      <c r="B51" t="s">
        <v>74</v>
      </c>
      <c r="C51">
        <v>101</v>
      </c>
      <c r="D51">
        <v>521</v>
      </c>
      <c r="E51">
        <v>2601</v>
      </c>
      <c r="F51">
        <v>8731801</v>
      </c>
      <c r="G51">
        <v>8820000</v>
      </c>
      <c r="H51">
        <f t="shared" si="0"/>
        <v>198.00002267573697</v>
      </c>
      <c r="I51">
        <f t="shared" si="1"/>
        <v>200</v>
      </c>
      <c r="J51" t="s">
        <v>29</v>
      </c>
      <c r="K51">
        <v>7</v>
      </c>
      <c r="L51" t="e">
        <f t="array" ref="L51">VLOOKUP(J51:$J$3871&amp;K51:$K$3871,CHOOSE({1,2},#REF!&amp;#REF!,#REF!),2,0)</f>
        <v>#N/A</v>
      </c>
      <c r="M51">
        <v>0</v>
      </c>
      <c r="N51">
        <v>1</v>
      </c>
      <c r="O51" t="s">
        <v>23</v>
      </c>
      <c r="P51">
        <v>1</v>
      </c>
      <c r="Q51">
        <v>1</v>
      </c>
      <c r="R51">
        <v>0</v>
      </c>
      <c r="S51">
        <v>1</v>
      </c>
      <c r="T51">
        <v>1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 t="s">
        <v>2487</v>
      </c>
      <c r="AB51" t="s">
        <v>290</v>
      </c>
      <c r="AC51" t="s">
        <v>2487</v>
      </c>
      <c r="AD51" t="e">
        <f>VLOOKUP(AB51,#REF!,2,FALSE)</f>
        <v>#REF!</v>
      </c>
      <c r="AE51" t="e">
        <f>RIGHT(#REF!,(FIND("Complex",#REF!,1)-4))</f>
        <v>#REF!</v>
      </c>
    </row>
    <row r="52" spans="1:31" x14ac:dyDescent="0.25">
      <c r="A52">
        <v>1818</v>
      </c>
      <c r="B52" t="s">
        <v>55</v>
      </c>
      <c r="C52">
        <v>102</v>
      </c>
      <c r="D52">
        <v>313</v>
      </c>
      <c r="E52">
        <v>1818</v>
      </c>
      <c r="F52">
        <v>2998801</v>
      </c>
      <c r="G52">
        <v>3087000</v>
      </c>
      <c r="H52">
        <f t="shared" si="0"/>
        <v>68.000022675736957</v>
      </c>
      <c r="I52">
        <f t="shared" si="1"/>
        <v>70</v>
      </c>
      <c r="J52" t="s">
        <v>29</v>
      </c>
      <c r="K52">
        <v>7</v>
      </c>
      <c r="L52" t="e">
        <f t="array" ref="L52">VLOOKUP(J52:$J$3871&amp;K52:$K$3871,CHOOSE({1,2},#REF!&amp;#REF!,#REF!),2,0)</f>
        <v>#N/A</v>
      </c>
      <c r="M52">
        <v>0</v>
      </c>
      <c r="N52">
        <v>1</v>
      </c>
      <c r="O52" t="s">
        <v>23</v>
      </c>
      <c r="P52">
        <v>1</v>
      </c>
      <c r="Q52">
        <v>0</v>
      </c>
      <c r="R52">
        <v>1</v>
      </c>
      <c r="S52">
        <v>1</v>
      </c>
      <c r="T52">
        <v>1</v>
      </c>
      <c r="U52">
        <v>1</v>
      </c>
      <c r="V52">
        <v>0</v>
      </c>
      <c r="W52">
        <v>1</v>
      </c>
      <c r="X52">
        <v>1</v>
      </c>
      <c r="Y52">
        <v>0</v>
      </c>
      <c r="Z52">
        <v>0</v>
      </c>
      <c r="AA52" t="s">
        <v>2302</v>
      </c>
      <c r="AB52" t="s">
        <v>1950</v>
      </c>
      <c r="AC52" t="s">
        <v>2302</v>
      </c>
      <c r="AD52" t="e">
        <f>VLOOKUP(AB52,#REF!,2,FALSE)</f>
        <v>#REF!</v>
      </c>
      <c r="AE52" t="e">
        <f>RIGHT(#REF!,(FIND("Complex",#REF!,1)-5))</f>
        <v>#REF!</v>
      </c>
    </row>
    <row r="53" spans="1:31" x14ac:dyDescent="0.25">
      <c r="A53">
        <v>3808</v>
      </c>
      <c r="B53" t="s">
        <v>55</v>
      </c>
      <c r="C53">
        <v>102</v>
      </c>
      <c r="D53">
        <v>1033</v>
      </c>
      <c r="E53">
        <v>3808</v>
      </c>
      <c r="F53">
        <v>11466001</v>
      </c>
      <c r="G53">
        <v>11554200</v>
      </c>
      <c r="H53">
        <f t="shared" si="0"/>
        <v>260.00002267573694</v>
      </c>
      <c r="I53">
        <f t="shared" si="1"/>
        <v>262</v>
      </c>
      <c r="J53" t="s">
        <v>29</v>
      </c>
      <c r="K53">
        <v>7</v>
      </c>
      <c r="L53" t="e">
        <f t="array" ref="L53">VLOOKUP(J53:$J$3871&amp;K53:$K$3871,CHOOSE({1,2},#REF!&amp;#REF!,#REF!),2,0)</f>
        <v>#N/A</v>
      </c>
      <c r="M53">
        <v>0</v>
      </c>
      <c r="N53">
        <v>1</v>
      </c>
      <c r="O53" t="s">
        <v>23</v>
      </c>
      <c r="P53">
        <v>1</v>
      </c>
      <c r="Q53">
        <v>0</v>
      </c>
      <c r="R53">
        <v>1</v>
      </c>
      <c r="S53">
        <v>1</v>
      </c>
      <c r="T53">
        <v>1</v>
      </c>
      <c r="U53">
        <v>1</v>
      </c>
      <c r="V53">
        <v>0</v>
      </c>
      <c r="W53">
        <v>1</v>
      </c>
      <c r="X53">
        <v>1</v>
      </c>
      <c r="Y53">
        <v>0</v>
      </c>
      <c r="Z53">
        <v>0</v>
      </c>
      <c r="AA53" t="s">
        <v>2380</v>
      </c>
      <c r="AB53" t="s">
        <v>1951</v>
      </c>
      <c r="AC53" t="s">
        <v>2380</v>
      </c>
      <c r="AD53" t="e">
        <f>VLOOKUP(AB53,#REF!,2,FALSE)</f>
        <v>#REF!</v>
      </c>
      <c r="AE53" t="e">
        <f>RIGHT(#REF!,(FIND("Complex",#REF!,1)-5))</f>
        <v>#REF!</v>
      </c>
    </row>
    <row r="54" spans="1:31" x14ac:dyDescent="0.25">
      <c r="A54">
        <v>1438</v>
      </c>
      <c r="B54" t="s">
        <v>55</v>
      </c>
      <c r="C54">
        <v>102</v>
      </c>
      <c r="D54">
        <v>242</v>
      </c>
      <c r="E54">
        <v>1438</v>
      </c>
      <c r="F54">
        <v>10936801</v>
      </c>
      <c r="G54">
        <v>11025000</v>
      </c>
      <c r="H54">
        <f t="shared" si="0"/>
        <v>248.00002267573697</v>
      </c>
      <c r="I54">
        <f t="shared" si="1"/>
        <v>250</v>
      </c>
      <c r="J54" t="s">
        <v>29</v>
      </c>
      <c r="K54">
        <v>7</v>
      </c>
      <c r="L54" t="e">
        <f t="array" ref="L54">VLOOKUP(J54:$J$3871&amp;K54:$K$3871,CHOOSE({1,2},#REF!&amp;#REF!,#REF!),2,0)</f>
        <v>#N/A</v>
      </c>
      <c r="M54">
        <v>0</v>
      </c>
      <c r="N54">
        <v>1</v>
      </c>
      <c r="O54" t="s">
        <v>23</v>
      </c>
      <c r="P54">
        <v>1</v>
      </c>
      <c r="Q54">
        <v>0</v>
      </c>
      <c r="R54">
        <v>1</v>
      </c>
      <c r="S54">
        <v>1</v>
      </c>
      <c r="T54">
        <v>1</v>
      </c>
      <c r="U54">
        <v>1</v>
      </c>
      <c r="V54">
        <v>0</v>
      </c>
      <c r="W54">
        <v>1</v>
      </c>
      <c r="X54">
        <v>1</v>
      </c>
      <c r="Y54">
        <v>0</v>
      </c>
      <c r="Z54">
        <v>0</v>
      </c>
      <c r="AA54" t="s">
        <v>2402</v>
      </c>
      <c r="AB54" t="s">
        <v>1952</v>
      </c>
      <c r="AC54" t="s">
        <v>2402</v>
      </c>
      <c r="AD54" t="e">
        <f>VLOOKUP(AB54,#REF!,2,FALSE)</f>
        <v>#REF!</v>
      </c>
      <c r="AE54" t="e">
        <f>RIGHT(#REF!,(FIND("Complex",#REF!,1)-4))</f>
        <v>#REF!</v>
      </c>
    </row>
    <row r="55" spans="1:31" x14ac:dyDescent="0.25">
      <c r="A55">
        <v>3790</v>
      </c>
      <c r="B55" t="s">
        <v>55</v>
      </c>
      <c r="C55">
        <v>102</v>
      </c>
      <c r="D55">
        <v>1028</v>
      </c>
      <c r="E55">
        <v>3790</v>
      </c>
      <c r="F55">
        <v>10848601</v>
      </c>
      <c r="G55">
        <v>10936800</v>
      </c>
      <c r="H55">
        <f t="shared" si="0"/>
        <v>246.00002267573697</v>
      </c>
      <c r="I55">
        <f t="shared" si="1"/>
        <v>248</v>
      </c>
      <c r="J55" t="s">
        <v>29</v>
      </c>
      <c r="K55">
        <v>7</v>
      </c>
      <c r="L55" t="e">
        <f t="array" ref="L55">VLOOKUP(J55:$J$3871&amp;K55:$K$3871,CHOOSE({1,2},#REF!&amp;#REF!,#REF!),2,0)</f>
        <v>#N/A</v>
      </c>
      <c r="M55">
        <v>0</v>
      </c>
      <c r="N55">
        <v>1</v>
      </c>
      <c r="O55" t="s">
        <v>23</v>
      </c>
      <c r="P55">
        <v>1</v>
      </c>
      <c r="Q55">
        <v>0</v>
      </c>
      <c r="R55">
        <v>1</v>
      </c>
      <c r="S55">
        <v>1</v>
      </c>
      <c r="T55">
        <v>1</v>
      </c>
      <c r="U55">
        <v>1</v>
      </c>
      <c r="V55">
        <v>0</v>
      </c>
      <c r="W55">
        <v>1</v>
      </c>
      <c r="X55">
        <v>1</v>
      </c>
      <c r="Y55">
        <v>0</v>
      </c>
      <c r="Z55">
        <v>0</v>
      </c>
      <c r="AA55" t="s">
        <v>2405</v>
      </c>
      <c r="AB55" t="s">
        <v>1953</v>
      </c>
      <c r="AC55" t="s">
        <v>2405</v>
      </c>
      <c r="AD55" t="e">
        <f>VLOOKUP(AB55,#REF!,2,FALSE)</f>
        <v>#REF!</v>
      </c>
      <c r="AE55" t="e">
        <f>RIGHT(#REF!,(FIND("Complex",#REF!,1)-5))</f>
        <v>#REF!</v>
      </c>
    </row>
    <row r="56" spans="1:31" x14ac:dyDescent="0.25">
      <c r="A56">
        <v>2114</v>
      </c>
      <c r="B56" t="s">
        <v>55</v>
      </c>
      <c r="C56">
        <v>102</v>
      </c>
      <c r="D56">
        <v>378</v>
      </c>
      <c r="E56">
        <v>2114</v>
      </c>
      <c r="F56">
        <v>10672201</v>
      </c>
      <c r="G56">
        <v>10760400</v>
      </c>
      <c r="H56">
        <f t="shared" si="0"/>
        <v>242.00002267573697</v>
      </c>
      <c r="I56">
        <f t="shared" si="1"/>
        <v>244</v>
      </c>
      <c r="J56" t="s">
        <v>29</v>
      </c>
      <c r="K56">
        <v>7</v>
      </c>
      <c r="L56" t="e">
        <f t="array" ref="L56">VLOOKUP(J56:$J$3871&amp;K56:$K$3871,CHOOSE({1,2},#REF!&amp;#REF!,#REF!),2,0)</f>
        <v>#N/A</v>
      </c>
      <c r="M56">
        <v>0</v>
      </c>
      <c r="N56">
        <v>1</v>
      </c>
      <c r="O56" t="s">
        <v>23</v>
      </c>
      <c r="P56">
        <v>1</v>
      </c>
      <c r="Q56">
        <v>0</v>
      </c>
      <c r="R56">
        <v>1</v>
      </c>
      <c r="S56">
        <v>1</v>
      </c>
      <c r="T56">
        <v>1</v>
      </c>
      <c r="U56">
        <v>1</v>
      </c>
      <c r="V56">
        <v>0</v>
      </c>
      <c r="W56">
        <v>1</v>
      </c>
      <c r="X56">
        <v>1</v>
      </c>
      <c r="Y56">
        <v>0</v>
      </c>
      <c r="Z56">
        <v>0</v>
      </c>
      <c r="AA56" t="s">
        <v>2411</v>
      </c>
      <c r="AB56" t="s">
        <v>1954</v>
      </c>
      <c r="AC56" t="s">
        <v>2411</v>
      </c>
      <c r="AD56" t="e">
        <f>VLOOKUP(AB56,#REF!,2,FALSE)</f>
        <v>#REF!</v>
      </c>
      <c r="AE56" t="e">
        <f>RIGHT(#REF!,(FIND("Complex",#REF!,1)-4))</f>
        <v>#REF!</v>
      </c>
    </row>
    <row r="57" spans="1:31" x14ac:dyDescent="0.25">
      <c r="A57">
        <v>3814</v>
      </c>
      <c r="B57" t="s">
        <v>55</v>
      </c>
      <c r="C57">
        <v>102</v>
      </c>
      <c r="D57">
        <v>1035</v>
      </c>
      <c r="E57">
        <v>3814</v>
      </c>
      <c r="F57">
        <v>10407601</v>
      </c>
      <c r="G57">
        <v>10495800</v>
      </c>
      <c r="H57">
        <f t="shared" si="0"/>
        <v>236.00002267573697</v>
      </c>
      <c r="I57">
        <f t="shared" si="1"/>
        <v>238</v>
      </c>
      <c r="J57" t="s">
        <v>29</v>
      </c>
      <c r="K57">
        <v>7</v>
      </c>
      <c r="L57" t="e">
        <f t="array" ref="L57">VLOOKUP(J57:$J$3871&amp;K57:$K$3871,CHOOSE({1,2},#REF!&amp;#REF!,#REF!),2,0)</f>
        <v>#N/A</v>
      </c>
      <c r="M57">
        <v>0</v>
      </c>
      <c r="N57">
        <v>1</v>
      </c>
      <c r="O57" t="s">
        <v>23</v>
      </c>
      <c r="P57">
        <v>1</v>
      </c>
      <c r="Q57">
        <v>0</v>
      </c>
      <c r="R57">
        <v>1</v>
      </c>
      <c r="S57">
        <v>1</v>
      </c>
      <c r="T57">
        <v>1</v>
      </c>
      <c r="U57">
        <v>1</v>
      </c>
      <c r="V57">
        <v>0</v>
      </c>
      <c r="W57">
        <v>1</v>
      </c>
      <c r="X57">
        <v>1</v>
      </c>
      <c r="Y57">
        <v>0</v>
      </c>
      <c r="Z57">
        <v>0</v>
      </c>
      <c r="AA57" t="s">
        <v>2423</v>
      </c>
      <c r="AB57" t="s">
        <v>1955</v>
      </c>
      <c r="AC57" t="s">
        <v>2423</v>
      </c>
      <c r="AD57" t="e">
        <f>VLOOKUP(AB57,#REF!,2,FALSE)</f>
        <v>#REF!</v>
      </c>
      <c r="AE57" t="e">
        <f>RIGHT(#REF!,(FIND("Complex",#REF!,1)-5))</f>
        <v>#REF!</v>
      </c>
    </row>
    <row r="58" spans="1:31" x14ac:dyDescent="0.25">
      <c r="A58">
        <v>3236</v>
      </c>
      <c r="B58" t="s">
        <v>55</v>
      </c>
      <c r="C58">
        <v>102</v>
      </c>
      <c r="D58">
        <v>793</v>
      </c>
      <c r="E58">
        <v>3236</v>
      </c>
      <c r="F58">
        <v>10319401</v>
      </c>
      <c r="G58">
        <v>10407600</v>
      </c>
      <c r="H58">
        <f t="shared" si="0"/>
        <v>234.00002267573697</v>
      </c>
      <c r="I58">
        <f t="shared" si="1"/>
        <v>236</v>
      </c>
      <c r="J58" t="s">
        <v>29</v>
      </c>
      <c r="K58">
        <v>7</v>
      </c>
      <c r="L58" t="e">
        <f t="array" ref="L58">VLOOKUP(J58:$J$3871&amp;K58:$K$3871,CHOOSE({1,2},#REF!&amp;#REF!,#REF!),2,0)</f>
        <v>#N/A</v>
      </c>
      <c r="M58">
        <v>0</v>
      </c>
      <c r="N58">
        <v>1</v>
      </c>
      <c r="O58" t="s">
        <v>23</v>
      </c>
      <c r="P58">
        <v>1</v>
      </c>
      <c r="Q58">
        <v>0</v>
      </c>
      <c r="R58">
        <v>1</v>
      </c>
      <c r="S58">
        <v>1</v>
      </c>
      <c r="T58">
        <v>1</v>
      </c>
      <c r="U58">
        <v>1</v>
      </c>
      <c r="V58">
        <v>0</v>
      </c>
      <c r="W58">
        <v>1</v>
      </c>
      <c r="X58">
        <v>1</v>
      </c>
      <c r="Y58">
        <v>0</v>
      </c>
      <c r="Z58">
        <v>0</v>
      </c>
      <c r="AA58" t="s">
        <v>2427</v>
      </c>
      <c r="AB58" t="s">
        <v>1956</v>
      </c>
      <c r="AC58" t="s">
        <v>2427</v>
      </c>
      <c r="AD58" t="e">
        <f>VLOOKUP(AB58,#REF!,2,FALSE)</f>
        <v>#REF!</v>
      </c>
      <c r="AE58" t="e">
        <f>RIGHT(#REF!,(FIND("Complex",#REF!,1)-4))</f>
        <v>#REF!</v>
      </c>
    </row>
    <row r="59" spans="1:31" x14ac:dyDescent="0.25">
      <c r="A59">
        <v>2923</v>
      </c>
      <c r="B59" t="s">
        <v>55</v>
      </c>
      <c r="C59">
        <v>102</v>
      </c>
      <c r="D59">
        <v>646</v>
      </c>
      <c r="E59">
        <v>2923</v>
      </c>
      <c r="F59">
        <v>10231201</v>
      </c>
      <c r="G59">
        <v>10319400</v>
      </c>
      <c r="H59">
        <f t="shared" si="0"/>
        <v>232.00002267573697</v>
      </c>
      <c r="I59">
        <f t="shared" si="1"/>
        <v>234</v>
      </c>
      <c r="J59" t="s">
        <v>29</v>
      </c>
      <c r="K59">
        <v>7</v>
      </c>
      <c r="L59" t="e">
        <f t="array" ref="L59">VLOOKUP(J59:$J$3871&amp;K59:$K$3871,CHOOSE({1,2},#REF!&amp;#REF!,#REF!),2,0)</f>
        <v>#N/A</v>
      </c>
      <c r="M59">
        <v>0</v>
      </c>
      <c r="N59">
        <v>1</v>
      </c>
      <c r="O59" t="s">
        <v>23</v>
      </c>
      <c r="P59">
        <v>1</v>
      </c>
      <c r="Q59">
        <v>0</v>
      </c>
      <c r="R59">
        <v>1</v>
      </c>
      <c r="S59">
        <v>1</v>
      </c>
      <c r="T59">
        <v>1</v>
      </c>
      <c r="U59">
        <v>1</v>
      </c>
      <c r="V59">
        <v>0</v>
      </c>
      <c r="W59">
        <v>1</v>
      </c>
      <c r="X59">
        <v>1</v>
      </c>
      <c r="Y59">
        <v>0</v>
      </c>
      <c r="Z59">
        <v>0</v>
      </c>
      <c r="AA59" t="s">
        <v>2432</v>
      </c>
      <c r="AB59" t="s">
        <v>1957</v>
      </c>
      <c r="AC59" t="s">
        <v>2432</v>
      </c>
      <c r="AD59" t="e">
        <f>VLOOKUP(AB59,#REF!,2,FALSE)</f>
        <v>#REF!</v>
      </c>
      <c r="AE59" t="e">
        <f>RIGHT(#REF!,(FIND("Complex",#REF!,1)-4))</f>
        <v>#REF!</v>
      </c>
    </row>
    <row r="60" spans="1:31" x14ac:dyDescent="0.25">
      <c r="A60">
        <v>3836</v>
      </c>
      <c r="B60" t="s">
        <v>55</v>
      </c>
      <c r="C60">
        <v>102</v>
      </c>
      <c r="D60">
        <v>1043</v>
      </c>
      <c r="E60">
        <v>3836</v>
      </c>
      <c r="F60">
        <v>9878401</v>
      </c>
      <c r="G60">
        <v>9966600</v>
      </c>
      <c r="H60">
        <f t="shared" si="0"/>
        <v>224.00002267573697</v>
      </c>
      <c r="I60">
        <f t="shared" si="1"/>
        <v>226</v>
      </c>
      <c r="J60" t="s">
        <v>29</v>
      </c>
      <c r="K60">
        <v>7</v>
      </c>
      <c r="L60" t="e">
        <f t="array" ref="L60">VLOOKUP(J60:$J$3871&amp;K60:$K$3871,CHOOSE({1,2},#REF!&amp;#REF!,#REF!),2,0)</f>
        <v>#N/A</v>
      </c>
      <c r="M60">
        <v>0</v>
      </c>
      <c r="N60">
        <v>1</v>
      </c>
      <c r="O60" t="s">
        <v>23</v>
      </c>
      <c r="P60">
        <v>1</v>
      </c>
      <c r="Q60">
        <v>0</v>
      </c>
      <c r="R60">
        <v>1</v>
      </c>
      <c r="S60">
        <v>1</v>
      </c>
      <c r="T60">
        <v>1</v>
      </c>
      <c r="U60">
        <v>1</v>
      </c>
      <c r="V60">
        <v>0</v>
      </c>
      <c r="W60">
        <v>1</v>
      </c>
      <c r="X60">
        <v>1</v>
      </c>
      <c r="Y60">
        <v>0</v>
      </c>
      <c r="Z60">
        <v>0</v>
      </c>
      <c r="AA60" t="s">
        <v>2445</v>
      </c>
      <c r="AB60" t="s">
        <v>1958</v>
      </c>
      <c r="AC60" t="s">
        <v>2445</v>
      </c>
      <c r="AD60" t="e">
        <f>VLOOKUP(AB60,#REF!,2,FALSE)</f>
        <v>#REF!</v>
      </c>
      <c r="AE60" t="e">
        <f>RIGHT(#REF!,(FIND("Complex",#REF!,1)-5))</f>
        <v>#REF!</v>
      </c>
    </row>
    <row r="61" spans="1:31" x14ac:dyDescent="0.25">
      <c r="A61">
        <v>1481</v>
      </c>
      <c r="B61" t="s">
        <v>55</v>
      </c>
      <c r="C61">
        <v>102</v>
      </c>
      <c r="D61">
        <v>248</v>
      </c>
      <c r="E61">
        <v>1481</v>
      </c>
      <c r="F61">
        <v>6791401</v>
      </c>
      <c r="G61">
        <v>6879600</v>
      </c>
      <c r="H61">
        <f t="shared" si="0"/>
        <v>154.00002267573697</v>
      </c>
      <c r="I61">
        <f t="shared" si="1"/>
        <v>156</v>
      </c>
      <c r="J61" t="s">
        <v>29</v>
      </c>
      <c r="K61">
        <v>7</v>
      </c>
      <c r="L61" t="e">
        <f t="array" ref="L61">VLOOKUP(J61:$J$3871&amp;K61:$K$3871,CHOOSE({1,2},#REF!&amp;#REF!,#REF!),2,0)</f>
        <v>#N/A</v>
      </c>
      <c r="M61">
        <v>0</v>
      </c>
      <c r="N61">
        <v>1</v>
      </c>
      <c r="O61" t="s">
        <v>23</v>
      </c>
      <c r="P61">
        <v>1</v>
      </c>
      <c r="Q61">
        <v>0</v>
      </c>
      <c r="R61">
        <v>1</v>
      </c>
      <c r="S61">
        <v>1</v>
      </c>
      <c r="T61">
        <v>1</v>
      </c>
      <c r="U61">
        <v>1</v>
      </c>
      <c r="V61">
        <v>0</v>
      </c>
      <c r="W61">
        <v>1</v>
      </c>
      <c r="X61">
        <v>1</v>
      </c>
      <c r="Y61">
        <v>0</v>
      </c>
      <c r="Z61">
        <v>0</v>
      </c>
      <c r="AA61" t="s">
        <v>2536</v>
      </c>
      <c r="AB61" t="s">
        <v>1959</v>
      </c>
      <c r="AC61" t="s">
        <v>2536</v>
      </c>
      <c r="AD61" t="e">
        <f>VLOOKUP(AB61,#REF!,2,FALSE)</f>
        <v>#REF!</v>
      </c>
      <c r="AE61" t="e">
        <f>RIGHT(#REF!,(FIND("Complex",#REF!,1)-4))</f>
        <v>#REF!</v>
      </c>
    </row>
    <row r="62" spans="1:31" x14ac:dyDescent="0.25">
      <c r="A62">
        <v>3298</v>
      </c>
      <c r="B62" t="s">
        <v>55</v>
      </c>
      <c r="C62">
        <v>102</v>
      </c>
      <c r="D62">
        <v>827</v>
      </c>
      <c r="E62">
        <v>3298</v>
      </c>
      <c r="F62">
        <v>6438601</v>
      </c>
      <c r="G62">
        <v>6526800</v>
      </c>
      <c r="H62">
        <f t="shared" si="0"/>
        <v>146.00002267573697</v>
      </c>
      <c r="I62">
        <f t="shared" si="1"/>
        <v>148</v>
      </c>
      <c r="J62" t="s">
        <v>29</v>
      </c>
      <c r="K62">
        <v>7</v>
      </c>
      <c r="L62" t="e">
        <f t="array" ref="L62">VLOOKUP(J62:$J$3871&amp;K62:$K$3871,CHOOSE({1,2},#REF!&amp;#REF!,#REF!),2,0)</f>
        <v>#N/A</v>
      </c>
      <c r="M62">
        <v>0</v>
      </c>
      <c r="N62">
        <v>1</v>
      </c>
      <c r="O62" t="s">
        <v>23</v>
      </c>
      <c r="P62">
        <v>1</v>
      </c>
      <c r="Q62">
        <v>0</v>
      </c>
      <c r="R62">
        <v>1</v>
      </c>
      <c r="S62">
        <v>1</v>
      </c>
      <c r="T62">
        <v>1</v>
      </c>
      <c r="U62">
        <v>1</v>
      </c>
      <c r="V62">
        <v>0</v>
      </c>
      <c r="W62">
        <v>1</v>
      </c>
      <c r="X62">
        <v>1</v>
      </c>
      <c r="Y62">
        <v>0</v>
      </c>
      <c r="Z62">
        <v>0</v>
      </c>
      <c r="AA62" t="s">
        <v>2541</v>
      </c>
      <c r="AB62" t="s">
        <v>1960</v>
      </c>
      <c r="AC62" t="s">
        <v>2541</v>
      </c>
      <c r="AD62" t="e">
        <f>VLOOKUP(AB62,#REF!,2,FALSE)</f>
        <v>#REF!</v>
      </c>
      <c r="AE62" t="e">
        <f>RIGHT(#REF!,(FIND("Complex",#REF!,1)-4))</f>
        <v>#REF!</v>
      </c>
    </row>
    <row r="63" spans="1:31" x14ac:dyDescent="0.25">
      <c r="A63">
        <v>3455</v>
      </c>
      <c r="B63" t="s">
        <v>55</v>
      </c>
      <c r="C63">
        <v>102</v>
      </c>
      <c r="D63">
        <v>902</v>
      </c>
      <c r="E63">
        <v>3455</v>
      </c>
      <c r="F63">
        <v>6262201</v>
      </c>
      <c r="G63">
        <v>6350400</v>
      </c>
      <c r="H63">
        <f t="shared" si="0"/>
        <v>142.00002267573697</v>
      </c>
      <c r="I63">
        <f t="shared" si="1"/>
        <v>144</v>
      </c>
      <c r="J63" t="s">
        <v>29</v>
      </c>
      <c r="K63">
        <v>7</v>
      </c>
      <c r="L63" t="e">
        <f t="array" ref="L63">VLOOKUP(J63:$J$3871&amp;K63:$K$3871,CHOOSE({1,2},#REF!&amp;#REF!,#REF!),2,0)</f>
        <v>#N/A</v>
      </c>
      <c r="M63">
        <v>0</v>
      </c>
      <c r="N63">
        <v>1</v>
      </c>
      <c r="O63" t="s">
        <v>23</v>
      </c>
      <c r="P63">
        <v>1</v>
      </c>
      <c r="Q63">
        <v>0</v>
      </c>
      <c r="R63">
        <v>1</v>
      </c>
      <c r="S63">
        <v>1</v>
      </c>
      <c r="T63">
        <v>1</v>
      </c>
      <c r="U63">
        <v>1</v>
      </c>
      <c r="V63">
        <v>0</v>
      </c>
      <c r="W63">
        <v>1</v>
      </c>
      <c r="X63">
        <v>1</v>
      </c>
      <c r="Y63">
        <v>0</v>
      </c>
      <c r="Z63">
        <v>0</v>
      </c>
      <c r="AA63" t="s">
        <v>2545</v>
      </c>
      <c r="AB63" t="s">
        <v>132</v>
      </c>
      <c r="AC63" t="s">
        <v>2545</v>
      </c>
      <c r="AD63" t="e">
        <f>VLOOKUP(AB63,#REF!,2,FALSE)</f>
        <v>#REF!</v>
      </c>
      <c r="AE63" t="e">
        <f>RIGHT(#REF!,(FIND("Complex",#REF!,1)-4))</f>
        <v>#REF!</v>
      </c>
    </row>
    <row r="64" spans="1:31" x14ac:dyDescent="0.25">
      <c r="A64">
        <v>3780</v>
      </c>
      <c r="B64" t="s">
        <v>55</v>
      </c>
      <c r="C64">
        <v>102</v>
      </c>
      <c r="D64">
        <v>1022</v>
      </c>
      <c r="E64">
        <v>3780</v>
      </c>
      <c r="F64">
        <v>5380201</v>
      </c>
      <c r="G64">
        <v>5468400</v>
      </c>
      <c r="H64">
        <f t="shared" si="0"/>
        <v>122.00002267573696</v>
      </c>
      <c r="I64">
        <f t="shared" si="1"/>
        <v>124</v>
      </c>
      <c r="J64" t="s">
        <v>29</v>
      </c>
      <c r="K64">
        <v>7</v>
      </c>
      <c r="L64" t="e">
        <f t="array" ref="L64">VLOOKUP(J64:$J$3871&amp;K64:$K$3871,CHOOSE({1,2},#REF!&amp;#REF!,#REF!),2,0)</f>
        <v>#N/A</v>
      </c>
      <c r="M64">
        <v>0</v>
      </c>
      <c r="N64">
        <v>1</v>
      </c>
      <c r="O64" t="s">
        <v>23</v>
      </c>
      <c r="P64">
        <v>1</v>
      </c>
      <c r="Q64">
        <v>0</v>
      </c>
      <c r="R64">
        <v>1</v>
      </c>
      <c r="S64">
        <v>1</v>
      </c>
      <c r="T64">
        <v>1</v>
      </c>
      <c r="U64">
        <v>1</v>
      </c>
      <c r="V64">
        <v>0</v>
      </c>
      <c r="W64">
        <v>1</v>
      </c>
      <c r="X64">
        <v>1</v>
      </c>
      <c r="Y64">
        <v>0</v>
      </c>
      <c r="Z64">
        <v>0</v>
      </c>
      <c r="AA64" t="s">
        <v>2578</v>
      </c>
      <c r="AB64" t="s">
        <v>1961</v>
      </c>
      <c r="AC64" t="s">
        <v>2578</v>
      </c>
      <c r="AD64" t="e">
        <f>VLOOKUP(AB64,#REF!,2,FALSE)</f>
        <v>#REF!</v>
      </c>
      <c r="AE64" t="e">
        <f>RIGHT(#REF!,(FIND("Complex",#REF!,1)-5))</f>
        <v>#REF!</v>
      </c>
    </row>
    <row r="65" spans="1:31" x14ac:dyDescent="0.25">
      <c r="A65">
        <v>3043</v>
      </c>
      <c r="B65" t="s">
        <v>55</v>
      </c>
      <c r="C65">
        <v>102</v>
      </c>
      <c r="D65">
        <v>699</v>
      </c>
      <c r="E65">
        <v>3043</v>
      </c>
      <c r="F65">
        <v>5292001</v>
      </c>
      <c r="G65">
        <v>5380200</v>
      </c>
      <c r="H65">
        <f t="shared" si="0"/>
        <v>120.00002267573696</v>
      </c>
      <c r="I65">
        <f t="shared" si="1"/>
        <v>122</v>
      </c>
      <c r="J65" t="s">
        <v>29</v>
      </c>
      <c r="K65">
        <v>7</v>
      </c>
      <c r="L65" t="e">
        <f t="array" ref="L65">VLOOKUP(J65:$J$3871&amp;K65:$K$3871,CHOOSE({1,2},#REF!&amp;#REF!,#REF!),2,0)</f>
        <v>#N/A</v>
      </c>
      <c r="M65">
        <v>0</v>
      </c>
      <c r="N65">
        <v>1</v>
      </c>
      <c r="O65" t="s">
        <v>23</v>
      </c>
      <c r="P65">
        <v>1</v>
      </c>
      <c r="Q65">
        <v>0</v>
      </c>
      <c r="R65">
        <v>1</v>
      </c>
      <c r="S65">
        <v>1</v>
      </c>
      <c r="T65">
        <v>1</v>
      </c>
      <c r="U65">
        <v>1</v>
      </c>
      <c r="V65">
        <v>0</v>
      </c>
      <c r="W65">
        <v>1</v>
      </c>
      <c r="X65">
        <v>1</v>
      </c>
      <c r="Y65">
        <v>0</v>
      </c>
      <c r="Z65">
        <v>0</v>
      </c>
      <c r="AA65" t="s">
        <v>2581</v>
      </c>
      <c r="AB65" t="s">
        <v>1962</v>
      </c>
      <c r="AC65" t="s">
        <v>2581</v>
      </c>
      <c r="AD65" t="e">
        <f>VLOOKUP(AB65,#REF!,2,FALSE)</f>
        <v>#REF!</v>
      </c>
      <c r="AE65" t="e">
        <f>RIGHT(#REF!,(FIND("Complex",#REF!,1)-4))</f>
        <v>#REF!</v>
      </c>
    </row>
    <row r="66" spans="1:31" x14ac:dyDescent="0.25">
      <c r="A66">
        <v>2222</v>
      </c>
      <c r="B66" t="s">
        <v>95</v>
      </c>
      <c r="C66">
        <v>103</v>
      </c>
      <c r="D66">
        <v>403</v>
      </c>
      <c r="E66">
        <v>2222</v>
      </c>
      <c r="F66">
        <v>8379001</v>
      </c>
      <c r="G66">
        <v>8467200</v>
      </c>
      <c r="H66">
        <f t="shared" ref="H66:H129" si="2">F66/44100</f>
        <v>190.00002267573697</v>
      </c>
      <c r="I66">
        <f t="shared" ref="I66:I129" si="3">G66/44100</f>
        <v>192</v>
      </c>
      <c r="J66" t="s">
        <v>29</v>
      </c>
      <c r="K66">
        <v>7</v>
      </c>
      <c r="L66" t="e">
        <f t="array" ref="L66">VLOOKUP(J66:$J$3871&amp;K66:$K$3871,CHOOSE({1,2},#REF!&amp;#REF!,#REF!),2,0)</f>
        <v>#N/A</v>
      </c>
      <c r="M66">
        <v>0</v>
      </c>
      <c r="N66">
        <v>1</v>
      </c>
      <c r="O66" t="s">
        <v>23</v>
      </c>
      <c r="P66">
        <v>1</v>
      </c>
      <c r="Q66">
        <v>0</v>
      </c>
      <c r="R66">
        <v>1</v>
      </c>
      <c r="S66">
        <v>1</v>
      </c>
      <c r="T66">
        <v>1</v>
      </c>
      <c r="U66">
        <v>0</v>
      </c>
      <c r="V66">
        <v>0</v>
      </c>
      <c r="W66">
        <v>1</v>
      </c>
      <c r="X66">
        <v>1</v>
      </c>
      <c r="Y66">
        <v>1</v>
      </c>
      <c r="Z66">
        <v>0</v>
      </c>
      <c r="AA66" t="s">
        <v>2498</v>
      </c>
      <c r="AB66" t="s">
        <v>2026</v>
      </c>
      <c r="AC66" t="s">
        <v>2498</v>
      </c>
      <c r="AD66" t="e">
        <f>VLOOKUP(AB66,#REF!,2,FALSE)</f>
        <v>#REF!</v>
      </c>
      <c r="AE66" t="e">
        <f>RIGHT(#REF!,(FIND("Complex",#REF!,1)-4))</f>
        <v>#REF!</v>
      </c>
    </row>
    <row r="67" spans="1:31" x14ac:dyDescent="0.25">
      <c r="A67">
        <v>3347</v>
      </c>
      <c r="B67" t="s">
        <v>95</v>
      </c>
      <c r="C67">
        <v>103</v>
      </c>
      <c r="D67">
        <v>850</v>
      </c>
      <c r="E67">
        <v>3347</v>
      </c>
      <c r="F67">
        <v>8202601</v>
      </c>
      <c r="G67">
        <v>8290800</v>
      </c>
      <c r="H67">
        <f t="shared" si="2"/>
        <v>186.00002267573697</v>
      </c>
      <c r="I67">
        <f t="shared" si="3"/>
        <v>188</v>
      </c>
      <c r="J67" t="s">
        <v>29</v>
      </c>
      <c r="K67">
        <v>7</v>
      </c>
      <c r="L67" t="e">
        <f t="array" ref="L67">VLOOKUP(J67:$J$3871&amp;K67:$K$3871,CHOOSE({1,2},#REF!&amp;#REF!,#REF!),2,0)</f>
        <v>#N/A</v>
      </c>
      <c r="M67">
        <v>0</v>
      </c>
      <c r="N67">
        <v>1</v>
      </c>
      <c r="O67" t="s">
        <v>23</v>
      </c>
      <c r="P67">
        <v>1</v>
      </c>
      <c r="Q67">
        <v>0</v>
      </c>
      <c r="R67">
        <v>1</v>
      </c>
      <c r="S67">
        <v>1</v>
      </c>
      <c r="T67">
        <v>1</v>
      </c>
      <c r="U67">
        <v>0</v>
      </c>
      <c r="V67">
        <v>0</v>
      </c>
      <c r="W67">
        <v>1</v>
      </c>
      <c r="X67">
        <v>1</v>
      </c>
      <c r="Y67">
        <v>1</v>
      </c>
      <c r="Z67">
        <v>0</v>
      </c>
      <c r="AA67" t="s">
        <v>2505</v>
      </c>
      <c r="AB67" t="s">
        <v>2027</v>
      </c>
      <c r="AC67" t="s">
        <v>2505</v>
      </c>
      <c r="AD67" t="e">
        <f>VLOOKUP(AB67,#REF!,2,FALSE)</f>
        <v>#REF!</v>
      </c>
      <c r="AE67" t="e">
        <f>RIGHT(#REF!,(FIND("Complex",#REF!,1)-4))</f>
        <v>#REF!</v>
      </c>
    </row>
    <row r="68" spans="1:31" x14ac:dyDescent="0.25">
      <c r="A68">
        <v>2859</v>
      </c>
      <c r="B68" t="s">
        <v>95</v>
      </c>
      <c r="C68">
        <v>103</v>
      </c>
      <c r="D68">
        <v>621</v>
      </c>
      <c r="E68">
        <v>2859</v>
      </c>
      <c r="F68">
        <v>7938001</v>
      </c>
      <c r="G68">
        <v>8026200</v>
      </c>
      <c r="H68">
        <f t="shared" si="2"/>
        <v>180.00002267573697</v>
      </c>
      <c r="I68">
        <f t="shared" si="3"/>
        <v>182</v>
      </c>
      <c r="J68" t="s">
        <v>29</v>
      </c>
      <c r="K68">
        <v>7</v>
      </c>
      <c r="L68" t="e">
        <f t="array" ref="L68">VLOOKUP(J68:$J$3871&amp;K68:$K$3871,CHOOSE({1,2},#REF!&amp;#REF!,#REF!),2,0)</f>
        <v>#N/A</v>
      </c>
      <c r="M68">
        <v>0</v>
      </c>
      <c r="N68">
        <v>1</v>
      </c>
      <c r="O68" t="s">
        <v>23</v>
      </c>
      <c r="P68">
        <v>1</v>
      </c>
      <c r="Q68">
        <v>0</v>
      </c>
      <c r="R68">
        <v>1</v>
      </c>
      <c r="S68">
        <v>1</v>
      </c>
      <c r="T68">
        <v>1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 t="s">
        <v>2515</v>
      </c>
      <c r="AB68" t="s">
        <v>2028</v>
      </c>
      <c r="AC68" t="s">
        <v>2515</v>
      </c>
      <c r="AD68" t="e">
        <f>VLOOKUP(AB68,#REF!,2,FALSE)</f>
        <v>#REF!</v>
      </c>
      <c r="AE68" t="e">
        <f>RIGHT(#REF!,(FIND("Complex",#REF!,1)-4))</f>
        <v>#REF!</v>
      </c>
    </row>
    <row r="69" spans="1:31" x14ac:dyDescent="0.25">
      <c r="A69">
        <v>2496</v>
      </c>
      <c r="B69" t="s">
        <v>95</v>
      </c>
      <c r="C69">
        <v>103</v>
      </c>
      <c r="D69">
        <v>483</v>
      </c>
      <c r="E69">
        <v>2496</v>
      </c>
      <c r="F69">
        <v>7849801</v>
      </c>
      <c r="G69">
        <v>7938000</v>
      </c>
      <c r="H69">
        <f t="shared" si="2"/>
        <v>178.00002267573697</v>
      </c>
      <c r="I69">
        <f t="shared" si="3"/>
        <v>180</v>
      </c>
      <c r="J69" t="s">
        <v>29</v>
      </c>
      <c r="K69">
        <v>7</v>
      </c>
      <c r="L69" t="e">
        <f t="array" ref="L69">VLOOKUP(J69:$J$3871&amp;K69:$K$3871,CHOOSE({1,2},#REF!&amp;#REF!,#REF!),2,0)</f>
        <v>#N/A</v>
      </c>
      <c r="M69">
        <v>0</v>
      </c>
      <c r="N69">
        <v>1</v>
      </c>
      <c r="O69" t="s">
        <v>23</v>
      </c>
      <c r="P69">
        <v>1</v>
      </c>
      <c r="Q69">
        <v>0</v>
      </c>
      <c r="R69">
        <v>1</v>
      </c>
      <c r="S69">
        <v>1</v>
      </c>
      <c r="T69">
        <v>1</v>
      </c>
      <c r="U69">
        <v>0</v>
      </c>
      <c r="V69">
        <v>0</v>
      </c>
      <c r="W69">
        <v>1</v>
      </c>
      <c r="X69">
        <v>1</v>
      </c>
      <c r="Y69">
        <v>1</v>
      </c>
      <c r="Z69">
        <v>0</v>
      </c>
      <c r="AA69" t="s">
        <v>2518</v>
      </c>
      <c r="AB69" t="s">
        <v>2029</v>
      </c>
      <c r="AC69" t="s">
        <v>2518</v>
      </c>
      <c r="AD69" t="e">
        <f>VLOOKUP(AB69,#REF!,2,FALSE)</f>
        <v>#REF!</v>
      </c>
      <c r="AE69" t="e">
        <f>RIGHT(#REF!,(FIND("Complex",#REF!,1)-4))</f>
        <v>#REF!</v>
      </c>
    </row>
    <row r="70" spans="1:31" ht="14.25" customHeight="1" x14ac:dyDescent="0.25">
      <c r="A70">
        <v>79</v>
      </c>
      <c r="B70" t="s">
        <v>72</v>
      </c>
      <c r="C70">
        <v>104</v>
      </c>
      <c r="D70">
        <v>14</v>
      </c>
      <c r="E70">
        <v>79</v>
      </c>
      <c r="F70">
        <v>17022601</v>
      </c>
      <c r="G70">
        <v>17110800</v>
      </c>
      <c r="H70">
        <f t="shared" si="2"/>
        <v>386.00002267573694</v>
      </c>
      <c r="I70">
        <f t="shared" si="3"/>
        <v>388</v>
      </c>
      <c r="J70" t="s">
        <v>29</v>
      </c>
      <c r="K70">
        <v>7</v>
      </c>
      <c r="L70" t="e">
        <f t="array" ref="L70">VLOOKUP(J70:$J$3871&amp;K70:$K$3871,CHOOSE({1,2},#REF!&amp;#REF!,#REF!),2,0)</f>
        <v>#N/A</v>
      </c>
      <c r="M70">
        <v>0</v>
      </c>
      <c r="N70">
        <v>1</v>
      </c>
      <c r="O70" t="s">
        <v>23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 t="s">
        <v>2329</v>
      </c>
      <c r="AB70" t="s">
        <v>2068</v>
      </c>
      <c r="AC70" t="s">
        <v>2329</v>
      </c>
      <c r="AD70" t="e">
        <f>VLOOKUP(AB70,#REF!,2,FALSE)</f>
        <v>#REF!</v>
      </c>
      <c r="AE70" t="e">
        <f>RIGHT(#REF!,(FIND("Complex",#REF!,1)-2))</f>
        <v>#REF!</v>
      </c>
    </row>
    <row r="71" spans="1:31" x14ac:dyDescent="0.25">
      <c r="A71">
        <v>3239</v>
      </c>
      <c r="B71" t="s">
        <v>72</v>
      </c>
      <c r="C71">
        <v>104</v>
      </c>
      <c r="D71">
        <v>795</v>
      </c>
      <c r="E71">
        <v>3239</v>
      </c>
      <c r="F71">
        <v>16228801</v>
      </c>
      <c r="G71">
        <v>16317000</v>
      </c>
      <c r="H71">
        <f t="shared" si="2"/>
        <v>368.00002267573694</v>
      </c>
      <c r="I71">
        <f t="shared" si="3"/>
        <v>370</v>
      </c>
      <c r="J71" t="s">
        <v>29</v>
      </c>
      <c r="K71">
        <v>7</v>
      </c>
      <c r="L71" t="e">
        <f t="array" ref="L71">VLOOKUP(J71:$J$3871&amp;K71:$K$3871,CHOOSE({1,2},#REF!&amp;#REF!,#REF!),2,0)</f>
        <v>#N/A</v>
      </c>
      <c r="M71">
        <v>0</v>
      </c>
      <c r="N71">
        <v>1</v>
      </c>
      <c r="O71" t="s">
        <v>23</v>
      </c>
      <c r="P71">
        <v>1</v>
      </c>
      <c r="Q71">
        <v>1</v>
      </c>
      <c r="R71">
        <v>1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0</v>
      </c>
      <c r="Z71">
        <v>0</v>
      </c>
      <c r="AA71" t="s">
        <v>2334</v>
      </c>
      <c r="AB71" t="s">
        <v>2069</v>
      </c>
      <c r="AC71" t="s">
        <v>2334</v>
      </c>
      <c r="AD71" t="e">
        <f>VLOOKUP(AB71,#REF!,2,FALSE)</f>
        <v>#REF!</v>
      </c>
      <c r="AE71" t="e">
        <f>RIGHT(#REF!,(FIND("Complex",#REF!,1)-4))</f>
        <v>#REF!</v>
      </c>
    </row>
    <row r="72" spans="1:31" x14ac:dyDescent="0.25">
      <c r="A72">
        <v>3803</v>
      </c>
      <c r="B72" t="s">
        <v>72</v>
      </c>
      <c r="C72">
        <v>104</v>
      </c>
      <c r="D72">
        <v>1032</v>
      </c>
      <c r="E72">
        <v>3803</v>
      </c>
      <c r="F72">
        <v>15964201</v>
      </c>
      <c r="G72">
        <v>16052400</v>
      </c>
      <c r="H72">
        <f t="shared" si="2"/>
        <v>362.00002267573694</v>
      </c>
      <c r="I72">
        <f t="shared" si="3"/>
        <v>364</v>
      </c>
      <c r="J72" t="s">
        <v>29</v>
      </c>
      <c r="K72">
        <v>7</v>
      </c>
      <c r="L72" t="e">
        <f t="array" ref="L72">VLOOKUP(J72:$J$3871&amp;K72:$K$3871,CHOOSE({1,2},#REF!&amp;#REF!,#REF!),2,0)</f>
        <v>#N/A</v>
      </c>
      <c r="M72">
        <v>0</v>
      </c>
      <c r="N72">
        <v>1</v>
      </c>
      <c r="O72" t="s">
        <v>23</v>
      </c>
      <c r="P72">
        <v>1</v>
      </c>
      <c r="Q72">
        <v>1</v>
      </c>
      <c r="R72">
        <v>1</v>
      </c>
      <c r="S72">
        <v>1</v>
      </c>
      <c r="T72">
        <v>1</v>
      </c>
      <c r="U72">
        <v>0</v>
      </c>
      <c r="V72">
        <v>0</v>
      </c>
      <c r="W72">
        <v>1</v>
      </c>
      <c r="X72">
        <v>1</v>
      </c>
      <c r="Y72">
        <v>0</v>
      </c>
      <c r="Z72">
        <v>0</v>
      </c>
      <c r="AA72" t="s">
        <v>2335</v>
      </c>
      <c r="AB72" t="s">
        <v>2070</v>
      </c>
      <c r="AC72" t="s">
        <v>2335</v>
      </c>
      <c r="AD72" t="e">
        <f>VLOOKUP(AB72,#REF!,2,FALSE)</f>
        <v>#REF!</v>
      </c>
      <c r="AE72" t="e">
        <f>RIGHT(#REF!,(FIND("Complex",#REF!,1)-5))</f>
        <v>#REF!</v>
      </c>
    </row>
    <row r="73" spans="1:31" x14ac:dyDescent="0.25">
      <c r="A73">
        <v>3702</v>
      </c>
      <c r="B73" t="s">
        <v>72</v>
      </c>
      <c r="C73">
        <v>104</v>
      </c>
      <c r="D73">
        <v>997</v>
      </c>
      <c r="E73">
        <v>3702</v>
      </c>
      <c r="F73">
        <v>15699601</v>
      </c>
      <c r="G73">
        <v>15787800</v>
      </c>
      <c r="H73">
        <f t="shared" si="2"/>
        <v>356.00002267573694</v>
      </c>
      <c r="I73">
        <f t="shared" si="3"/>
        <v>358</v>
      </c>
      <c r="J73" t="s">
        <v>29</v>
      </c>
      <c r="K73">
        <v>7</v>
      </c>
      <c r="L73" t="e">
        <f t="array" ref="L73">VLOOKUP(J73:$J$3871&amp;K73:$K$3871,CHOOSE({1,2},#REF!&amp;#REF!,#REF!),2,0)</f>
        <v>#N/A</v>
      </c>
      <c r="M73">
        <v>0</v>
      </c>
      <c r="N73">
        <v>1</v>
      </c>
      <c r="O73" t="s">
        <v>23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0</v>
      </c>
      <c r="W73">
        <v>1</v>
      </c>
      <c r="X73">
        <v>1</v>
      </c>
      <c r="Y73">
        <v>0</v>
      </c>
      <c r="Z73">
        <v>0</v>
      </c>
      <c r="AA73" t="s">
        <v>2336</v>
      </c>
      <c r="AB73" t="s">
        <v>2071</v>
      </c>
      <c r="AC73" t="s">
        <v>2336</v>
      </c>
      <c r="AD73" t="e">
        <f>VLOOKUP(AB73,#REF!,2,FALSE)</f>
        <v>#REF!</v>
      </c>
      <c r="AE73" t="e">
        <f>RIGHT(#REF!,(FIND("Complex",#REF!,1)-4))</f>
        <v>#REF!</v>
      </c>
    </row>
    <row r="74" spans="1:31" x14ac:dyDescent="0.25">
      <c r="A74">
        <v>3793</v>
      </c>
      <c r="B74" t="s">
        <v>72</v>
      </c>
      <c r="C74">
        <v>104</v>
      </c>
      <c r="D74">
        <v>1029</v>
      </c>
      <c r="E74">
        <v>3793</v>
      </c>
      <c r="F74">
        <v>13759201</v>
      </c>
      <c r="G74">
        <v>13847400</v>
      </c>
      <c r="H74">
        <f t="shared" si="2"/>
        <v>312.00002267573694</v>
      </c>
      <c r="I74">
        <f t="shared" si="3"/>
        <v>314</v>
      </c>
      <c r="J74" t="s">
        <v>29</v>
      </c>
      <c r="K74">
        <v>7</v>
      </c>
      <c r="L74" t="e">
        <f t="array" ref="L74">VLOOKUP(J74:$J$3871&amp;K74:$K$3871,CHOOSE({1,2},#REF!&amp;#REF!,#REF!),2,0)</f>
        <v>#N/A</v>
      </c>
      <c r="M74">
        <v>0</v>
      </c>
      <c r="N74">
        <v>1</v>
      </c>
      <c r="O74" t="s">
        <v>23</v>
      </c>
      <c r="P74">
        <v>1</v>
      </c>
      <c r="Q74">
        <v>1</v>
      </c>
      <c r="R74">
        <v>1</v>
      </c>
      <c r="S74">
        <v>1</v>
      </c>
      <c r="T74">
        <v>1</v>
      </c>
      <c r="U74">
        <v>0</v>
      </c>
      <c r="V74">
        <v>0</v>
      </c>
      <c r="W74">
        <v>1</v>
      </c>
      <c r="X74">
        <v>1</v>
      </c>
      <c r="Y74">
        <v>0</v>
      </c>
      <c r="Z74">
        <v>0</v>
      </c>
      <c r="AA74" t="s">
        <v>2345</v>
      </c>
      <c r="AB74" t="s">
        <v>2072</v>
      </c>
      <c r="AC74" t="s">
        <v>2345</v>
      </c>
      <c r="AD74" t="e">
        <f>VLOOKUP(AB74,#REF!,2,FALSE)</f>
        <v>#REF!</v>
      </c>
      <c r="AE74" t="e">
        <f>RIGHT(#REF!,(FIND("Complex",#REF!,1)-5))</f>
        <v>#REF!</v>
      </c>
    </row>
    <row r="75" spans="1:31" x14ac:dyDescent="0.25">
      <c r="A75">
        <v>3648</v>
      </c>
      <c r="B75" t="s">
        <v>72</v>
      </c>
      <c r="C75">
        <v>104</v>
      </c>
      <c r="D75">
        <v>976</v>
      </c>
      <c r="E75">
        <v>3648</v>
      </c>
      <c r="F75">
        <v>9702001</v>
      </c>
      <c r="G75">
        <v>9790200</v>
      </c>
      <c r="H75">
        <f t="shared" si="2"/>
        <v>220.00002267573697</v>
      </c>
      <c r="I75">
        <f t="shared" si="3"/>
        <v>222</v>
      </c>
      <c r="J75" t="s">
        <v>29</v>
      </c>
      <c r="K75">
        <v>7</v>
      </c>
      <c r="L75" t="e">
        <f t="array" ref="L75">VLOOKUP(J75:$J$3871&amp;K75:$K$3871,CHOOSE({1,2},#REF!&amp;#REF!,#REF!),2,0)</f>
        <v>#N/A</v>
      </c>
      <c r="M75">
        <v>0</v>
      </c>
      <c r="N75">
        <v>1</v>
      </c>
      <c r="O75" t="s">
        <v>23</v>
      </c>
      <c r="P75">
        <v>1</v>
      </c>
      <c r="Q75">
        <v>0</v>
      </c>
      <c r="R75">
        <v>1</v>
      </c>
      <c r="S75">
        <v>1</v>
      </c>
      <c r="T75">
        <v>1</v>
      </c>
      <c r="U75">
        <v>0</v>
      </c>
      <c r="V75">
        <v>0</v>
      </c>
      <c r="W75">
        <v>1</v>
      </c>
      <c r="X75">
        <v>1</v>
      </c>
      <c r="Y75">
        <v>1</v>
      </c>
      <c r="Z75">
        <v>0</v>
      </c>
      <c r="AA75" t="s">
        <v>2451</v>
      </c>
      <c r="AB75" t="s">
        <v>116</v>
      </c>
      <c r="AC75" t="s">
        <v>2451</v>
      </c>
      <c r="AD75" t="e">
        <f>VLOOKUP(AB75,#REF!,2,FALSE)</f>
        <v>#REF!</v>
      </c>
      <c r="AE75" t="e">
        <f>RIGHT(#REF!,(FIND("Complex",#REF!,1)-4))</f>
        <v>#REF!</v>
      </c>
    </row>
    <row r="76" spans="1:31" x14ac:dyDescent="0.25">
      <c r="A76">
        <v>2809</v>
      </c>
      <c r="B76" t="s">
        <v>72</v>
      </c>
      <c r="C76">
        <v>104</v>
      </c>
      <c r="D76">
        <v>609</v>
      </c>
      <c r="E76">
        <v>2809</v>
      </c>
      <c r="F76">
        <v>5115601</v>
      </c>
      <c r="G76">
        <v>5203800</v>
      </c>
      <c r="H76">
        <f t="shared" si="2"/>
        <v>116.00002267573696</v>
      </c>
      <c r="I76">
        <f t="shared" si="3"/>
        <v>118</v>
      </c>
      <c r="J76" t="s">
        <v>29</v>
      </c>
      <c r="K76">
        <v>7</v>
      </c>
      <c r="L76" t="e">
        <f t="array" ref="L76">VLOOKUP(J76:$J$3871&amp;K76:$K$3871,CHOOSE({1,2},#REF!&amp;#REF!,#REF!),2,0)</f>
        <v>#N/A</v>
      </c>
      <c r="M76">
        <v>0</v>
      </c>
      <c r="N76">
        <v>1</v>
      </c>
      <c r="O76" t="s">
        <v>23</v>
      </c>
      <c r="P76">
        <v>1</v>
      </c>
      <c r="Q76">
        <v>0</v>
      </c>
      <c r="R76">
        <v>1</v>
      </c>
      <c r="S76">
        <v>1</v>
      </c>
      <c r="T76">
        <v>1</v>
      </c>
      <c r="U76">
        <v>0</v>
      </c>
      <c r="V76">
        <v>0</v>
      </c>
      <c r="W76">
        <v>1</v>
      </c>
      <c r="X76">
        <v>1</v>
      </c>
      <c r="Y76">
        <v>1</v>
      </c>
      <c r="Z76">
        <v>0</v>
      </c>
      <c r="AA76" t="s">
        <v>2588</v>
      </c>
      <c r="AB76" t="s">
        <v>2073</v>
      </c>
      <c r="AC76" t="s">
        <v>2588</v>
      </c>
      <c r="AD76" t="e">
        <f>VLOOKUP(AB76,#REF!,2,FALSE)</f>
        <v>#REF!</v>
      </c>
      <c r="AE76" t="e">
        <f>RIGHT(#REF!,(FIND("Complex",#REF!,1)-4))</f>
        <v>#REF!</v>
      </c>
    </row>
    <row r="77" spans="1:31" x14ac:dyDescent="0.25">
      <c r="A77">
        <v>1235</v>
      </c>
      <c r="B77" t="s">
        <v>82</v>
      </c>
      <c r="C77">
        <v>115</v>
      </c>
      <c r="D77">
        <v>212</v>
      </c>
      <c r="E77">
        <v>1235</v>
      </c>
      <c r="F77">
        <v>4851001</v>
      </c>
      <c r="G77">
        <v>4939200</v>
      </c>
      <c r="H77">
        <f t="shared" si="2"/>
        <v>110.00002267573696</v>
      </c>
      <c r="I77">
        <f t="shared" si="3"/>
        <v>112</v>
      </c>
      <c r="J77" t="s">
        <v>29</v>
      </c>
      <c r="K77">
        <v>7</v>
      </c>
      <c r="L77" t="e">
        <f t="array" ref="L77">VLOOKUP(J77:$J$3871&amp;K77:$K$3871,CHOOSE({1,2},#REF!&amp;#REF!,#REF!),2,0)</f>
        <v>#N/A</v>
      </c>
      <c r="M77">
        <v>0</v>
      </c>
      <c r="N77">
        <v>1</v>
      </c>
      <c r="O77" t="s">
        <v>23</v>
      </c>
      <c r="P77">
        <v>1</v>
      </c>
      <c r="Q77">
        <v>0</v>
      </c>
      <c r="R77">
        <v>1</v>
      </c>
      <c r="S77">
        <v>1</v>
      </c>
      <c r="T77">
        <v>1</v>
      </c>
      <c r="U77">
        <v>0</v>
      </c>
      <c r="V77">
        <v>0</v>
      </c>
      <c r="W77">
        <v>1</v>
      </c>
      <c r="X77">
        <v>1</v>
      </c>
      <c r="Y77">
        <v>1</v>
      </c>
      <c r="Z77">
        <v>0</v>
      </c>
      <c r="AA77" t="s">
        <v>2595</v>
      </c>
      <c r="AB77" t="s">
        <v>137</v>
      </c>
      <c r="AC77" t="s">
        <v>2595</v>
      </c>
      <c r="AD77" t="e">
        <f>VLOOKUP(AB77,#REF!,2,FALSE)</f>
        <v>#REF!</v>
      </c>
      <c r="AE77" t="e">
        <f>RIGHT(#REF!,(FIND("Complex",#REF!,1)-4))</f>
        <v>#REF!</v>
      </c>
    </row>
    <row r="78" spans="1:31" x14ac:dyDescent="0.25">
      <c r="A78">
        <v>3345</v>
      </c>
      <c r="B78" t="s">
        <v>86</v>
      </c>
      <c r="C78">
        <v>1</v>
      </c>
      <c r="D78">
        <v>849</v>
      </c>
      <c r="E78">
        <v>3345</v>
      </c>
      <c r="F78">
        <v>4233601</v>
      </c>
      <c r="G78">
        <v>4321800</v>
      </c>
      <c r="H78">
        <f t="shared" si="2"/>
        <v>96.000022675736957</v>
      </c>
      <c r="I78">
        <f t="shared" si="3"/>
        <v>98</v>
      </c>
      <c r="J78" t="s">
        <v>29</v>
      </c>
      <c r="K78">
        <v>6</v>
      </c>
      <c r="L78" t="e">
        <f t="array" ref="L78">VLOOKUP(J78:$J$3871&amp;K78:$K$3871,CHOOSE({1,2},#REF!&amp;#REF!,#REF!),2,0)</f>
        <v>#N/A</v>
      </c>
      <c r="M78">
        <v>-15</v>
      </c>
      <c r="N78">
        <v>0</v>
      </c>
      <c r="O78" t="s">
        <v>7</v>
      </c>
      <c r="P78">
        <v>1</v>
      </c>
      <c r="Q78">
        <v>1</v>
      </c>
      <c r="R78">
        <v>0</v>
      </c>
      <c r="S78">
        <v>1</v>
      </c>
      <c r="T78">
        <v>1</v>
      </c>
      <c r="U78">
        <v>0</v>
      </c>
      <c r="V78">
        <v>0</v>
      </c>
      <c r="W78">
        <v>1</v>
      </c>
      <c r="X78">
        <v>1</v>
      </c>
      <c r="Y78">
        <v>0</v>
      </c>
      <c r="Z78">
        <v>0</v>
      </c>
      <c r="AA78" t="s">
        <v>2630</v>
      </c>
      <c r="AB78" t="s">
        <v>298</v>
      </c>
      <c r="AC78" t="s">
        <v>2630</v>
      </c>
      <c r="AD78" t="e">
        <f>VLOOKUP(AB78,#REF!,2,FALSE)</f>
        <v>#REF!</v>
      </c>
      <c r="AE78" t="e">
        <f>RIGHT(#REF!,(FIND("Complex",#REF!,1)-9))</f>
        <v>#REF!</v>
      </c>
    </row>
    <row r="79" spans="1:31" x14ac:dyDescent="0.25">
      <c r="A79">
        <v>2315</v>
      </c>
      <c r="B79" t="s">
        <v>86</v>
      </c>
      <c r="C79">
        <v>1</v>
      </c>
      <c r="D79">
        <v>421</v>
      </c>
      <c r="E79">
        <v>2315</v>
      </c>
      <c r="F79">
        <v>4057201</v>
      </c>
      <c r="G79">
        <v>4145400</v>
      </c>
      <c r="H79">
        <f t="shared" si="2"/>
        <v>92.000022675736957</v>
      </c>
      <c r="I79">
        <f t="shared" si="3"/>
        <v>94</v>
      </c>
      <c r="J79" t="s">
        <v>29</v>
      </c>
      <c r="K79">
        <v>6</v>
      </c>
      <c r="L79" t="e">
        <f t="array" ref="L79">VLOOKUP(J79:$J$3871&amp;K79:$K$3871,CHOOSE({1,2},#REF!&amp;#REF!,#REF!),2,0)</f>
        <v>#N/A</v>
      </c>
      <c r="M79">
        <v>-15</v>
      </c>
      <c r="N79">
        <v>0</v>
      </c>
      <c r="O79" t="s">
        <v>7</v>
      </c>
      <c r="P79">
        <v>1</v>
      </c>
      <c r="Q79">
        <v>1</v>
      </c>
      <c r="R79">
        <v>0</v>
      </c>
      <c r="S79">
        <v>1</v>
      </c>
      <c r="T79">
        <v>1</v>
      </c>
      <c r="U79">
        <v>0</v>
      </c>
      <c r="V79">
        <v>0</v>
      </c>
      <c r="W79">
        <v>1</v>
      </c>
      <c r="X79">
        <v>1</v>
      </c>
      <c r="Y79">
        <v>0</v>
      </c>
      <c r="Z79">
        <v>0</v>
      </c>
      <c r="AA79" t="s">
        <v>2652</v>
      </c>
      <c r="AB79" t="s">
        <v>299</v>
      </c>
      <c r="AC79" t="s">
        <v>2652</v>
      </c>
      <c r="AD79" t="e">
        <f>VLOOKUP(AB79,#REF!,2,FALSE)</f>
        <v>#REF!</v>
      </c>
      <c r="AE79" t="e">
        <f>RIGHT(#REF!,(FIND("Complex",#REF!,1)-9))</f>
        <v>#REF!</v>
      </c>
    </row>
    <row r="80" spans="1:31" x14ac:dyDescent="0.25">
      <c r="A80">
        <v>541</v>
      </c>
      <c r="B80" t="s">
        <v>86</v>
      </c>
      <c r="C80">
        <v>1</v>
      </c>
      <c r="D80">
        <v>95</v>
      </c>
      <c r="E80">
        <v>541</v>
      </c>
      <c r="F80">
        <v>3528001</v>
      </c>
      <c r="G80">
        <v>3616200</v>
      </c>
      <c r="H80">
        <f t="shared" si="2"/>
        <v>80.000022675736957</v>
      </c>
      <c r="I80">
        <f t="shared" si="3"/>
        <v>82</v>
      </c>
      <c r="J80" t="s">
        <v>29</v>
      </c>
      <c r="K80">
        <v>6</v>
      </c>
      <c r="L80" t="e">
        <f t="array" ref="L80">VLOOKUP(J80:$J$3871&amp;K80:$K$3871,CHOOSE({1,2},#REF!&amp;#REF!,#REF!),2,0)</f>
        <v>#N/A</v>
      </c>
      <c r="M80">
        <v>-15</v>
      </c>
      <c r="N80">
        <v>0</v>
      </c>
      <c r="O80" t="s">
        <v>7</v>
      </c>
      <c r="P80">
        <v>1</v>
      </c>
      <c r="Q80">
        <v>1</v>
      </c>
      <c r="R80">
        <v>0</v>
      </c>
      <c r="S80">
        <v>1</v>
      </c>
      <c r="T80">
        <v>1</v>
      </c>
      <c r="U80">
        <v>0</v>
      </c>
      <c r="V80">
        <v>0</v>
      </c>
      <c r="W80">
        <v>1</v>
      </c>
      <c r="X80">
        <v>1</v>
      </c>
      <c r="Y80">
        <v>0</v>
      </c>
      <c r="Z80">
        <v>0</v>
      </c>
      <c r="AA80" t="s">
        <v>2705</v>
      </c>
      <c r="AB80" t="s">
        <v>6162</v>
      </c>
      <c r="AC80" t="s">
        <v>2705</v>
      </c>
      <c r="AD80" t="e">
        <f>VLOOKUP(AB80,#REF!,2,FALSE)</f>
        <v>#REF!</v>
      </c>
      <c r="AE80" t="e">
        <f>RIGHT(#REF!,(FIND("Complex",#REF!,1)-8))</f>
        <v>#REF!</v>
      </c>
    </row>
    <row r="81" spans="1:31" x14ac:dyDescent="0.25">
      <c r="A81">
        <v>3709</v>
      </c>
      <c r="B81" t="s">
        <v>86</v>
      </c>
      <c r="C81">
        <v>1</v>
      </c>
      <c r="D81">
        <v>1000</v>
      </c>
      <c r="E81">
        <v>3709</v>
      </c>
      <c r="F81">
        <v>3263401</v>
      </c>
      <c r="G81">
        <v>3351600</v>
      </c>
      <c r="H81">
        <f t="shared" si="2"/>
        <v>74.000022675736957</v>
      </c>
      <c r="I81">
        <f t="shared" si="3"/>
        <v>76</v>
      </c>
      <c r="J81" t="s">
        <v>29</v>
      </c>
      <c r="K81">
        <v>6</v>
      </c>
      <c r="L81" t="e">
        <f t="array" ref="L81">VLOOKUP(J81:$J$3871&amp;K81:$K$3871,CHOOSE({1,2},#REF!&amp;#REF!,#REF!),2,0)</f>
        <v>#N/A</v>
      </c>
      <c r="M81">
        <v>-15</v>
      </c>
      <c r="N81">
        <v>0</v>
      </c>
      <c r="O81" t="s">
        <v>7</v>
      </c>
      <c r="P81">
        <v>1</v>
      </c>
      <c r="Q81">
        <v>1</v>
      </c>
      <c r="R81">
        <v>0</v>
      </c>
      <c r="S81">
        <v>1</v>
      </c>
      <c r="T81">
        <v>1</v>
      </c>
      <c r="U81">
        <v>0</v>
      </c>
      <c r="V81">
        <v>0</v>
      </c>
      <c r="W81">
        <v>1</v>
      </c>
      <c r="X81">
        <v>1</v>
      </c>
      <c r="Y81">
        <v>0</v>
      </c>
      <c r="Z81">
        <v>0</v>
      </c>
      <c r="AA81" t="s">
        <v>2729</v>
      </c>
      <c r="AB81" t="s">
        <v>300</v>
      </c>
      <c r="AC81" t="s">
        <v>2729</v>
      </c>
      <c r="AD81" t="e">
        <f>VLOOKUP(AB81,#REF!,2,FALSE)</f>
        <v>#REF!</v>
      </c>
      <c r="AE81" t="e">
        <f>RIGHT(#REF!,(FIND("Complex",#REF!,1)-10))</f>
        <v>#REF!</v>
      </c>
    </row>
    <row r="82" spans="1:31" x14ac:dyDescent="0.25">
      <c r="A82">
        <v>3652</v>
      </c>
      <c r="B82" t="s">
        <v>86</v>
      </c>
      <c r="C82">
        <v>1</v>
      </c>
      <c r="D82">
        <v>979</v>
      </c>
      <c r="E82">
        <v>3652</v>
      </c>
      <c r="F82">
        <v>3175201</v>
      </c>
      <c r="G82">
        <v>3263400</v>
      </c>
      <c r="H82">
        <f t="shared" si="2"/>
        <v>72.000022675736957</v>
      </c>
      <c r="I82">
        <f t="shared" si="3"/>
        <v>74</v>
      </c>
      <c r="J82" t="s">
        <v>29</v>
      </c>
      <c r="K82">
        <v>6</v>
      </c>
      <c r="L82" t="e">
        <f t="array" ref="L82">VLOOKUP(J82:$J$3871&amp;K82:$K$3871,CHOOSE({1,2},#REF!&amp;#REF!,#REF!),2,0)</f>
        <v>#N/A</v>
      </c>
      <c r="M82">
        <v>-15</v>
      </c>
      <c r="N82">
        <v>0</v>
      </c>
      <c r="O82" t="s">
        <v>7</v>
      </c>
      <c r="P82">
        <v>1</v>
      </c>
      <c r="Q82">
        <v>1</v>
      </c>
      <c r="R82">
        <v>0</v>
      </c>
      <c r="S82">
        <v>1</v>
      </c>
      <c r="T82">
        <v>1</v>
      </c>
      <c r="U82">
        <v>0</v>
      </c>
      <c r="V82">
        <v>0</v>
      </c>
      <c r="W82">
        <v>1</v>
      </c>
      <c r="X82">
        <v>1</v>
      </c>
      <c r="Y82">
        <v>0</v>
      </c>
      <c r="Z82">
        <v>0</v>
      </c>
      <c r="AA82" t="s">
        <v>2736</v>
      </c>
      <c r="AB82" t="s">
        <v>6171</v>
      </c>
      <c r="AC82" t="s">
        <v>2736</v>
      </c>
      <c r="AD82" t="e">
        <f>VLOOKUP(AB82,#REF!,2,FALSE)</f>
        <v>#REF!</v>
      </c>
      <c r="AE82" t="e">
        <f>RIGHT(#REF!,(FIND("Complex",#REF!,1)-9))</f>
        <v>#REF!</v>
      </c>
    </row>
    <row r="83" spans="1:31" x14ac:dyDescent="0.25">
      <c r="A83">
        <v>3379</v>
      </c>
      <c r="B83" t="s">
        <v>86</v>
      </c>
      <c r="C83">
        <v>1</v>
      </c>
      <c r="D83">
        <v>864</v>
      </c>
      <c r="E83">
        <v>3379</v>
      </c>
      <c r="F83">
        <v>2910601</v>
      </c>
      <c r="G83">
        <v>2998800</v>
      </c>
      <c r="H83">
        <f t="shared" si="2"/>
        <v>66.000022675736957</v>
      </c>
      <c r="I83">
        <f t="shared" si="3"/>
        <v>68</v>
      </c>
      <c r="J83" t="s">
        <v>29</v>
      </c>
      <c r="K83">
        <v>6</v>
      </c>
      <c r="L83" t="e">
        <f t="array" ref="L83">VLOOKUP(J83:$J$3871&amp;K83:$K$3871,CHOOSE({1,2},#REF!&amp;#REF!,#REF!),2,0)</f>
        <v>#N/A</v>
      </c>
      <c r="M83">
        <v>-15</v>
      </c>
      <c r="N83">
        <v>0</v>
      </c>
      <c r="O83" t="s">
        <v>7</v>
      </c>
      <c r="P83">
        <v>1</v>
      </c>
      <c r="Q83">
        <v>1</v>
      </c>
      <c r="R83">
        <v>0</v>
      </c>
      <c r="S83">
        <v>1</v>
      </c>
      <c r="T83">
        <v>1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 t="s">
        <v>2761</v>
      </c>
      <c r="AB83" t="s">
        <v>301</v>
      </c>
      <c r="AC83" t="s">
        <v>2761</v>
      </c>
      <c r="AD83" t="e">
        <f>VLOOKUP(AB83,#REF!,2,FALSE)</f>
        <v>#REF!</v>
      </c>
      <c r="AE83" t="e">
        <f>RIGHT(#REF!,(FIND("Complex",#REF!,1)-9))</f>
        <v>#REF!</v>
      </c>
    </row>
    <row r="84" spans="1:31" x14ac:dyDescent="0.25">
      <c r="A84">
        <v>2547</v>
      </c>
      <c r="B84" t="s">
        <v>86</v>
      </c>
      <c r="C84">
        <v>1</v>
      </c>
      <c r="D84">
        <v>506</v>
      </c>
      <c r="E84">
        <v>2547</v>
      </c>
      <c r="F84">
        <v>2822401</v>
      </c>
      <c r="G84">
        <v>2910600</v>
      </c>
      <c r="H84">
        <f t="shared" si="2"/>
        <v>64.000022675736957</v>
      </c>
      <c r="I84">
        <f t="shared" si="3"/>
        <v>66</v>
      </c>
      <c r="J84" t="s">
        <v>29</v>
      </c>
      <c r="K84">
        <v>6</v>
      </c>
      <c r="L84" t="e">
        <f t="array" ref="L84">VLOOKUP(J84:$J$3871&amp;K84:$K$3871,CHOOSE({1,2},#REF!&amp;#REF!,#REF!),2,0)</f>
        <v>#N/A</v>
      </c>
      <c r="M84">
        <v>-15</v>
      </c>
      <c r="N84">
        <v>0</v>
      </c>
      <c r="O84" t="s">
        <v>7</v>
      </c>
      <c r="P84">
        <v>1</v>
      </c>
      <c r="Q84">
        <v>1</v>
      </c>
      <c r="R84">
        <v>0</v>
      </c>
      <c r="S84">
        <v>1</v>
      </c>
      <c r="T84">
        <v>1</v>
      </c>
      <c r="U84">
        <v>0</v>
      </c>
      <c r="V84">
        <v>0</v>
      </c>
      <c r="W84">
        <v>1</v>
      </c>
      <c r="X84">
        <v>1</v>
      </c>
      <c r="Y84">
        <v>0</v>
      </c>
      <c r="Z84">
        <v>0</v>
      </c>
      <c r="AA84" t="s">
        <v>2771</v>
      </c>
      <c r="AB84" t="s">
        <v>302</v>
      </c>
      <c r="AC84" t="s">
        <v>2771</v>
      </c>
      <c r="AD84" t="e">
        <f>VLOOKUP(AB84,#REF!,2,FALSE)</f>
        <v>#REF!</v>
      </c>
      <c r="AE84" t="e">
        <f>RIGHT(#REF!,(FIND("Complex",#REF!,1)-9))</f>
        <v>#REF!</v>
      </c>
    </row>
    <row r="85" spans="1:31" x14ac:dyDescent="0.25">
      <c r="A85">
        <v>1602</v>
      </c>
      <c r="B85" t="s">
        <v>86</v>
      </c>
      <c r="C85">
        <v>1</v>
      </c>
      <c r="D85">
        <v>277</v>
      </c>
      <c r="E85">
        <v>1602</v>
      </c>
      <c r="F85">
        <v>2734201</v>
      </c>
      <c r="G85">
        <v>2822400</v>
      </c>
      <c r="H85">
        <f t="shared" si="2"/>
        <v>62.000022675736965</v>
      </c>
      <c r="I85">
        <f t="shared" si="3"/>
        <v>64</v>
      </c>
      <c r="J85" t="s">
        <v>29</v>
      </c>
      <c r="K85">
        <v>6</v>
      </c>
      <c r="L85" t="e">
        <f t="array" ref="L85">VLOOKUP(J85:$J$3871&amp;K85:$K$3871,CHOOSE({1,2},#REF!&amp;#REF!,#REF!),2,0)</f>
        <v>#N/A</v>
      </c>
      <c r="M85">
        <v>-15</v>
      </c>
      <c r="N85">
        <v>0</v>
      </c>
      <c r="O85" t="s">
        <v>7</v>
      </c>
      <c r="P85">
        <v>1</v>
      </c>
      <c r="Q85">
        <v>1</v>
      </c>
      <c r="R85">
        <v>0</v>
      </c>
      <c r="S85">
        <v>1</v>
      </c>
      <c r="T85">
        <v>1</v>
      </c>
      <c r="U85">
        <v>0</v>
      </c>
      <c r="V85">
        <v>0</v>
      </c>
      <c r="W85">
        <v>1</v>
      </c>
      <c r="X85">
        <v>1</v>
      </c>
      <c r="Y85">
        <v>0</v>
      </c>
      <c r="Z85">
        <v>0</v>
      </c>
      <c r="AA85" t="s">
        <v>2778</v>
      </c>
      <c r="AB85" t="s">
        <v>303</v>
      </c>
      <c r="AC85" t="s">
        <v>2778</v>
      </c>
      <c r="AD85" t="e">
        <f>VLOOKUP(AB85,#REF!,2,FALSE)</f>
        <v>#REF!</v>
      </c>
      <c r="AE85" t="e">
        <f>RIGHT(#REF!,(FIND("Complex",#REF!,1)-9))</f>
        <v>#REF!</v>
      </c>
    </row>
    <row r="86" spans="1:31" x14ac:dyDescent="0.25">
      <c r="A86">
        <v>3542</v>
      </c>
      <c r="B86" t="s">
        <v>86</v>
      </c>
      <c r="C86">
        <v>1</v>
      </c>
      <c r="D86">
        <v>937</v>
      </c>
      <c r="E86">
        <v>3542</v>
      </c>
      <c r="F86">
        <v>2646001</v>
      </c>
      <c r="G86">
        <v>2734200</v>
      </c>
      <c r="H86">
        <f t="shared" si="2"/>
        <v>60.000022675736965</v>
      </c>
      <c r="I86">
        <f t="shared" si="3"/>
        <v>62</v>
      </c>
      <c r="J86" t="s">
        <v>29</v>
      </c>
      <c r="K86">
        <v>6</v>
      </c>
      <c r="L86" t="e">
        <f t="array" ref="L86">VLOOKUP(J86:$J$3871&amp;K86:$K$3871,CHOOSE({1,2},#REF!&amp;#REF!,#REF!),2,0)</f>
        <v>#N/A</v>
      </c>
      <c r="M86">
        <v>-15</v>
      </c>
      <c r="N86">
        <v>0</v>
      </c>
      <c r="O86" t="s">
        <v>7</v>
      </c>
      <c r="P86">
        <v>1</v>
      </c>
      <c r="Q86">
        <v>1</v>
      </c>
      <c r="R86">
        <v>0</v>
      </c>
      <c r="S86">
        <v>1</v>
      </c>
      <c r="T86">
        <v>1</v>
      </c>
      <c r="U86">
        <v>0</v>
      </c>
      <c r="V86">
        <v>0</v>
      </c>
      <c r="W86">
        <v>1</v>
      </c>
      <c r="X86">
        <v>1</v>
      </c>
      <c r="Y86">
        <v>0</v>
      </c>
      <c r="Z86">
        <v>0</v>
      </c>
      <c r="AA86" t="s">
        <v>2785</v>
      </c>
      <c r="AB86" t="s">
        <v>304</v>
      </c>
      <c r="AC86" t="s">
        <v>2785</v>
      </c>
      <c r="AD86" t="e">
        <f>VLOOKUP(AB86,#REF!,2,FALSE)</f>
        <v>#REF!</v>
      </c>
      <c r="AE86" t="e">
        <f>RIGHT(#REF!,(FIND("Complex",#REF!,1)-9))</f>
        <v>#REF!</v>
      </c>
    </row>
    <row r="87" spans="1:31" x14ac:dyDescent="0.25">
      <c r="A87">
        <v>3248</v>
      </c>
      <c r="B87" t="s">
        <v>86</v>
      </c>
      <c r="C87">
        <v>1</v>
      </c>
      <c r="D87">
        <v>800</v>
      </c>
      <c r="E87">
        <v>3248</v>
      </c>
      <c r="F87">
        <v>264601</v>
      </c>
      <c r="G87">
        <v>352800</v>
      </c>
      <c r="H87">
        <f t="shared" si="2"/>
        <v>6.000022675736961</v>
      </c>
      <c r="I87">
        <f t="shared" si="3"/>
        <v>8</v>
      </c>
      <c r="J87" t="s">
        <v>29</v>
      </c>
      <c r="K87">
        <v>6</v>
      </c>
      <c r="L87" t="e">
        <f t="array" ref="L87">VLOOKUP(J87:$J$3871&amp;K87:$K$3871,CHOOSE({1,2},#REF!&amp;#REF!,#REF!),2,0)</f>
        <v>#N/A</v>
      </c>
      <c r="M87">
        <v>-15</v>
      </c>
      <c r="N87">
        <v>0</v>
      </c>
      <c r="O87" t="s">
        <v>7</v>
      </c>
      <c r="P87">
        <v>1</v>
      </c>
      <c r="Q87">
        <v>1</v>
      </c>
      <c r="R87">
        <v>0</v>
      </c>
      <c r="S87">
        <v>1</v>
      </c>
      <c r="T87">
        <v>1</v>
      </c>
      <c r="U87">
        <v>0</v>
      </c>
      <c r="V87">
        <v>0</v>
      </c>
      <c r="W87">
        <v>1</v>
      </c>
      <c r="X87">
        <v>1</v>
      </c>
      <c r="Y87">
        <v>0</v>
      </c>
      <c r="Z87">
        <v>0</v>
      </c>
      <c r="AA87" t="s">
        <v>2786</v>
      </c>
      <c r="AB87" t="s">
        <v>6183</v>
      </c>
      <c r="AC87" t="s">
        <v>2786</v>
      </c>
      <c r="AD87" t="e">
        <f>VLOOKUP(AB87,#REF!,2,FALSE)</f>
        <v>#REF!</v>
      </c>
      <c r="AE87" t="e">
        <f>RIGHT(#REF!,(FIND("Complex",#REF!,1)-10))</f>
        <v>#REF!</v>
      </c>
    </row>
    <row r="88" spans="1:31" x14ac:dyDescent="0.25">
      <c r="A88">
        <v>3127</v>
      </c>
      <c r="B88" t="s">
        <v>86</v>
      </c>
      <c r="C88">
        <v>1</v>
      </c>
      <c r="D88">
        <v>736</v>
      </c>
      <c r="E88">
        <v>3127</v>
      </c>
      <c r="F88">
        <v>2557801</v>
      </c>
      <c r="G88">
        <v>2646000</v>
      </c>
      <c r="H88">
        <f t="shared" si="2"/>
        <v>58.000022675736965</v>
      </c>
      <c r="I88">
        <f t="shared" si="3"/>
        <v>60</v>
      </c>
      <c r="J88" t="s">
        <v>29</v>
      </c>
      <c r="K88">
        <v>6</v>
      </c>
      <c r="L88" t="e">
        <f t="array" ref="L88">VLOOKUP(J88:$J$3871&amp;K88:$K$3871,CHOOSE({1,2},#REF!&amp;#REF!,#REF!),2,0)</f>
        <v>#N/A</v>
      </c>
      <c r="M88">
        <v>-15</v>
      </c>
      <c r="N88">
        <v>0</v>
      </c>
      <c r="O88" t="s">
        <v>7</v>
      </c>
      <c r="P88">
        <v>1</v>
      </c>
      <c r="Q88">
        <v>1</v>
      </c>
      <c r="R88">
        <v>0</v>
      </c>
      <c r="S88">
        <v>1</v>
      </c>
      <c r="T88">
        <v>1</v>
      </c>
      <c r="U88">
        <v>0</v>
      </c>
      <c r="V88">
        <v>0</v>
      </c>
      <c r="W88">
        <v>1</v>
      </c>
      <c r="X88">
        <v>1</v>
      </c>
      <c r="Y88">
        <v>0</v>
      </c>
      <c r="Z88">
        <v>0</v>
      </c>
      <c r="AA88" t="s">
        <v>2791</v>
      </c>
      <c r="AB88" t="s">
        <v>305</v>
      </c>
      <c r="AC88" t="s">
        <v>2791</v>
      </c>
      <c r="AD88" t="e">
        <f>VLOOKUP(AB88,#REF!,2,FALSE)</f>
        <v>#REF!</v>
      </c>
      <c r="AE88" t="e">
        <f>RIGHT(#REF!,(FIND("Complex",#REF!,1)-9))</f>
        <v>#REF!</v>
      </c>
    </row>
    <row r="89" spans="1:31" x14ac:dyDescent="0.25">
      <c r="A89">
        <v>3747</v>
      </c>
      <c r="B89" t="s">
        <v>86</v>
      </c>
      <c r="C89">
        <v>1</v>
      </c>
      <c r="D89">
        <v>1014</v>
      </c>
      <c r="E89">
        <v>3747</v>
      </c>
      <c r="F89">
        <v>2293201</v>
      </c>
      <c r="G89">
        <v>2381400</v>
      </c>
      <c r="H89">
        <f t="shared" si="2"/>
        <v>52.000022675736965</v>
      </c>
      <c r="I89">
        <f t="shared" si="3"/>
        <v>54</v>
      </c>
      <c r="J89" t="s">
        <v>29</v>
      </c>
      <c r="K89">
        <v>6</v>
      </c>
      <c r="L89" t="e">
        <f t="array" ref="L89">VLOOKUP(J89:$J$3871&amp;K89:$K$3871,CHOOSE({1,2},#REF!&amp;#REF!,#REF!),2,0)</f>
        <v>#N/A</v>
      </c>
      <c r="M89">
        <v>-15</v>
      </c>
      <c r="N89">
        <v>0</v>
      </c>
      <c r="O89" t="s">
        <v>7</v>
      </c>
      <c r="P89">
        <v>1</v>
      </c>
      <c r="Q89">
        <v>1</v>
      </c>
      <c r="R89">
        <v>0</v>
      </c>
      <c r="S89">
        <v>1</v>
      </c>
      <c r="T89">
        <v>1</v>
      </c>
      <c r="U89">
        <v>0</v>
      </c>
      <c r="V89">
        <v>0</v>
      </c>
      <c r="W89">
        <v>1</v>
      </c>
      <c r="X89">
        <v>1</v>
      </c>
      <c r="Y89">
        <v>0</v>
      </c>
      <c r="Z89">
        <v>0</v>
      </c>
      <c r="AA89" t="s">
        <v>2802</v>
      </c>
      <c r="AB89" t="s">
        <v>306</v>
      </c>
      <c r="AC89" t="s">
        <v>2802</v>
      </c>
      <c r="AD89" t="e">
        <f>VLOOKUP(AB89,#REF!,2,FALSE)</f>
        <v>#REF!</v>
      </c>
      <c r="AE89" t="e">
        <f>RIGHT(#REF!,(FIND("Complex",#REF!,1)-10))</f>
        <v>#REF!</v>
      </c>
    </row>
    <row r="90" spans="1:31" x14ac:dyDescent="0.25">
      <c r="A90">
        <v>1733</v>
      </c>
      <c r="B90" t="s">
        <v>86</v>
      </c>
      <c r="C90">
        <v>1</v>
      </c>
      <c r="D90">
        <v>299</v>
      </c>
      <c r="E90">
        <v>1733</v>
      </c>
      <c r="F90">
        <v>176401</v>
      </c>
      <c r="G90">
        <v>264600</v>
      </c>
      <c r="H90">
        <f t="shared" si="2"/>
        <v>4.000022675736961</v>
      </c>
      <c r="I90">
        <f t="shared" si="3"/>
        <v>6</v>
      </c>
      <c r="J90" t="s">
        <v>29</v>
      </c>
      <c r="K90">
        <v>6</v>
      </c>
      <c r="L90" t="e">
        <f t="array" ref="L90">VLOOKUP(J90:$J$3871&amp;K90:$K$3871,CHOOSE({1,2},#REF!&amp;#REF!,#REF!),2,0)</f>
        <v>#N/A</v>
      </c>
      <c r="M90">
        <v>-15</v>
      </c>
      <c r="N90">
        <v>0</v>
      </c>
      <c r="O90" t="s">
        <v>7</v>
      </c>
      <c r="P90">
        <v>1</v>
      </c>
      <c r="Q90">
        <v>1</v>
      </c>
      <c r="R90">
        <v>0</v>
      </c>
      <c r="S90">
        <v>1</v>
      </c>
      <c r="T90">
        <v>1</v>
      </c>
      <c r="U90">
        <v>0</v>
      </c>
      <c r="V90">
        <v>0</v>
      </c>
      <c r="W90">
        <v>1</v>
      </c>
      <c r="X90">
        <v>1</v>
      </c>
      <c r="Y90">
        <v>0</v>
      </c>
      <c r="Z90">
        <v>0</v>
      </c>
      <c r="AA90" t="s">
        <v>2839</v>
      </c>
      <c r="AB90" t="s">
        <v>6199</v>
      </c>
      <c r="AC90" t="s">
        <v>2839</v>
      </c>
      <c r="AD90" t="e">
        <f>VLOOKUP(AB90,#REF!,2,FALSE)</f>
        <v>#REF!</v>
      </c>
      <c r="AE90" t="e">
        <f>RIGHT(#REF!,(FIND("Complex",#REF!,1)-10))</f>
        <v>#REF!</v>
      </c>
    </row>
    <row r="91" spans="1:31" x14ac:dyDescent="0.25">
      <c r="A91">
        <v>3634</v>
      </c>
      <c r="B91" t="s">
        <v>86</v>
      </c>
      <c r="C91">
        <v>1</v>
      </c>
      <c r="D91">
        <v>971</v>
      </c>
      <c r="E91">
        <v>3634</v>
      </c>
      <c r="F91">
        <v>1499401</v>
      </c>
      <c r="G91">
        <v>1587600</v>
      </c>
      <c r="H91">
        <f t="shared" si="2"/>
        <v>34.000022675736965</v>
      </c>
      <c r="I91">
        <f t="shared" si="3"/>
        <v>36</v>
      </c>
      <c r="J91" t="s">
        <v>29</v>
      </c>
      <c r="K91">
        <v>6</v>
      </c>
      <c r="L91" t="e">
        <f t="array" ref="L91">VLOOKUP(J91:$J$3871&amp;K91:$K$3871,CHOOSE({1,2},#REF!&amp;#REF!,#REF!),2,0)</f>
        <v>#N/A</v>
      </c>
      <c r="M91">
        <v>-15</v>
      </c>
      <c r="N91">
        <v>0</v>
      </c>
      <c r="O91" t="s">
        <v>7</v>
      </c>
      <c r="P91">
        <v>1</v>
      </c>
      <c r="Q91">
        <v>1</v>
      </c>
      <c r="R91">
        <v>0</v>
      </c>
      <c r="S91">
        <v>1</v>
      </c>
      <c r="T91">
        <v>1</v>
      </c>
      <c r="U91">
        <v>0</v>
      </c>
      <c r="V91">
        <v>0</v>
      </c>
      <c r="W91">
        <v>1</v>
      </c>
      <c r="X91">
        <v>1</v>
      </c>
      <c r="Y91">
        <v>0</v>
      </c>
      <c r="Z91">
        <v>0</v>
      </c>
      <c r="AA91" t="s">
        <v>2856</v>
      </c>
      <c r="AB91" t="s">
        <v>6205</v>
      </c>
      <c r="AC91" t="s">
        <v>2856</v>
      </c>
      <c r="AD91" t="e">
        <f>VLOOKUP(AB91,#REF!,2,FALSE)</f>
        <v>#REF!</v>
      </c>
      <c r="AE91" t="e">
        <f>RIGHT(#REF!,(FIND("Complex",#REF!,1)-9))</f>
        <v>#REF!</v>
      </c>
    </row>
    <row r="92" spans="1:31" x14ac:dyDescent="0.25">
      <c r="A92">
        <v>2914</v>
      </c>
      <c r="B92" t="s">
        <v>86</v>
      </c>
      <c r="C92">
        <v>1</v>
      </c>
      <c r="D92">
        <v>643</v>
      </c>
      <c r="E92">
        <v>2914</v>
      </c>
      <c r="F92">
        <v>1146601</v>
      </c>
      <c r="G92">
        <v>1234800</v>
      </c>
      <c r="H92">
        <f t="shared" si="2"/>
        <v>26.000022675736961</v>
      </c>
      <c r="I92">
        <f t="shared" si="3"/>
        <v>28</v>
      </c>
      <c r="J92" t="s">
        <v>29</v>
      </c>
      <c r="K92">
        <v>6</v>
      </c>
      <c r="L92" t="e">
        <f t="array" ref="L92">VLOOKUP(J92:$J$3871&amp;K92:$K$3871,CHOOSE({1,2},#REF!&amp;#REF!,#REF!),2,0)</f>
        <v>#N/A</v>
      </c>
      <c r="M92">
        <v>-15</v>
      </c>
      <c r="N92">
        <v>0</v>
      </c>
      <c r="O92" t="s">
        <v>7</v>
      </c>
      <c r="P92">
        <v>1</v>
      </c>
      <c r="Q92">
        <v>1</v>
      </c>
      <c r="R92">
        <v>0</v>
      </c>
      <c r="S92">
        <v>1</v>
      </c>
      <c r="T92">
        <v>1</v>
      </c>
      <c r="U92">
        <v>0</v>
      </c>
      <c r="V92">
        <v>0</v>
      </c>
      <c r="W92">
        <v>1</v>
      </c>
      <c r="X92">
        <v>1</v>
      </c>
      <c r="Y92">
        <v>0</v>
      </c>
      <c r="Z92">
        <v>0</v>
      </c>
      <c r="AA92" t="s">
        <v>2921</v>
      </c>
      <c r="AB92" t="s">
        <v>307</v>
      </c>
      <c r="AC92" t="s">
        <v>2921</v>
      </c>
      <c r="AD92" t="e">
        <f>VLOOKUP(AB92,#REF!,2,FALSE)</f>
        <v>#REF!</v>
      </c>
      <c r="AE92" t="e">
        <f>RIGHT(#REF!,(FIND("Complex",#REF!,1)-9))</f>
        <v>#REF!</v>
      </c>
    </row>
    <row r="93" spans="1:31" x14ac:dyDescent="0.25">
      <c r="A93">
        <v>3721</v>
      </c>
      <c r="B93" t="s">
        <v>86</v>
      </c>
      <c r="C93">
        <v>1</v>
      </c>
      <c r="D93">
        <v>1004</v>
      </c>
      <c r="E93">
        <v>3721</v>
      </c>
      <c r="F93">
        <v>793801</v>
      </c>
      <c r="G93">
        <v>882000</v>
      </c>
      <c r="H93">
        <f t="shared" si="2"/>
        <v>18.000022675736961</v>
      </c>
      <c r="I93">
        <f t="shared" si="3"/>
        <v>20</v>
      </c>
      <c r="J93" t="s">
        <v>29</v>
      </c>
      <c r="K93">
        <v>6</v>
      </c>
      <c r="L93" t="e">
        <f t="array" ref="L93">VLOOKUP(J93:$J$3871&amp;K93:$K$3871,CHOOSE({1,2},#REF!&amp;#REF!,#REF!),2,0)</f>
        <v>#N/A</v>
      </c>
      <c r="M93">
        <v>-15</v>
      </c>
      <c r="N93">
        <v>0</v>
      </c>
      <c r="O93" t="s">
        <v>7</v>
      </c>
      <c r="P93">
        <v>1</v>
      </c>
      <c r="Q93">
        <v>1</v>
      </c>
      <c r="R93">
        <v>0</v>
      </c>
      <c r="S93">
        <v>1</v>
      </c>
      <c r="T93">
        <v>1</v>
      </c>
      <c r="U93">
        <v>0</v>
      </c>
      <c r="V93">
        <v>0</v>
      </c>
      <c r="W93">
        <v>1</v>
      </c>
      <c r="X93">
        <v>1</v>
      </c>
      <c r="Y93">
        <v>0</v>
      </c>
      <c r="Z93">
        <v>0</v>
      </c>
      <c r="AA93" t="s">
        <v>3135</v>
      </c>
      <c r="AB93" t="s">
        <v>308</v>
      </c>
      <c r="AC93" t="s">
        <v>3135</v>
      </c>
      <c r="AD93" t="e">
        <f>VLOOKUP(AB93,#REF!,2,FALSE)</f>
        <v>#REF!</v>
      </c>
      <c r="AE93" t="e">
        <f>RIGHT(#REF!,(FIND("Complex",#REF!,1)-10))</f>
        <v>#REF!</v>
      </c>
    </row>
    <row r="94" spans="1:31" x14ac:dyDescent="0.25">
      <c r="A94">
        <v>2974</v>
      </c>
      <c r="B94" t="s">
        <v>86</v>
      </c>
      <c r="C94">
        <v>1</v>
      </c>
      <c r="D94">
        <v>671</v>
      </c>
      <c r="E94">
        <v>2974</v>
      </c>
      <c r="F94">
        <v>7320601</v>
      </c>
      <c r="G94">
        <v>7408800</v>
      </c>
      <c r="H94">
        <f t="shared" si="2"/>
        <v>166.00002267573697</v>
      </c>
      <c r="I94">
        <f t="shared" si="3"/>
        <v>168</v>
      </c>
      <c r="J94" t="s">
        <v>29</v>
      </c>
      <c r="K94">
        <v>6</v>
      </c>
      <c r="L94" t="e">
        <f t="array" ref="L94">VLOOKUP(J94:$J$3871&amp;K94:$K$3871,CHOOSE({1,2},#REF!&amp;#REF!,#REF!),2,0)</f>
        <v>#N/A</v>
      </c>
      <c r="M94">
        <v>-15</v>
      </c>
      <c r="N94">
        <v>0</v>
      </c>
      <c r="O94" t="s">
        <v>7</v>
      </c>
      <c r="P94">
        <v>1</v>
      </c>
      <c r="Q94">
        <v>1</v>
      </c>
      <c r="R94">
        <v>0</v>
      </c>
      <c r="S94">
        <v>1</v>
      </c>
      <c r="T94">
        <v>1</v>
      </c>
      <c r="U94">
        <v>0</v>
      </c>
      <c r="V94">
        <v>0</v>
      </c>
      <c r="W94">
        <v>1</v>
      </c>
      <c r="X94">
        <v>1</v>
      </c>
      <c r="Y94">
        <v>0</v>
      </c>
      <c r="Z94">
        <v>0</v>
      </c>
      <c r="AA94" t="s">
        <v>3184</v>
      </c>
      <c r="AB94" t="s">
        <v>309</v>
      </c>
      <c r="AC94" t="s">
        <v>3184</v>
      </c>
      <c r="AD94" t="e">
        <f>VLOOKUP(AB94,#REF!,2,FALSE)</f>
        <v>#REF!</v>
      </c>
      <c r="AE94" t="e">
        <f>RIGHT(#REF!,(FIND("Complex",#REF!,1)-8))</f>
        <v>#REF!</v>
      </c>
    </row>
    <row r="95" spans="1:31" x14ac:dyDescent="0.25">
      <c r="A95">
        <v>2937</v>
      </c>
      <c r="B95" t="s">
        <v>86</v>
      </c>
      <c r="C95">
        <v>1</v>
      </c>
      <c r="D95">
        <v>655</v>
      </c>
      <c r="E95">
        <v>2937</v>
      </c>
      <c r="F95">
        <v>6879601</v>
      </c>
      <c r="G95">
        <v>6967800</v>
      </c>
      <c r="H95">
        <f t="shared" si="2"/>
        <v>156.00002267573697</v>
      </c>
      <c r="I95">
        <f t="shared" si="3"/>
        <v>158</v>
      </c>
      <c r="J95" t="s">
        <v>29</v>
      </c>
      <c r="K95">
        <v>6</v>
      </c>
      <c r="L95" t="e">
        <f t="array" ref="L95">VLOOKUP(J95:$J$3871&amp;K95:$K$3871,CHOOSE({1,2},#REF!&amp;#REF!,#REF!),2,0)</f>
        <v>#N/A</v>
      </c>
      <c r="M95">
        <v>-15</v>
      </c>
      <c r="N95">
        <v>0</v>
      </c>
      <c r="O95" t="s">
        <v>7</v>
      </c>
      <c r="P95">
        <v>1</v>
      </c>
      <c r="Q95">
        <v>1</v>
      </c>
      <c r="R95">
        <v>0</v>
      </c>
      <c r="S95">
        <v>1</v>
      </c>
      <c r="T95">
        <v>1</v>
      </c>
      <c r="U95">
        <v>0</v>
      </c>
      <c r="V95">
        <v>0</v>
      </c>
      <c r="W95">
        <v>1</v>
      </c>
      <c r="X95">
        <v>1</v>
      </c>
      <c r="Y95">
        <v>0</v>
      </c>
      <c r="Z95">
        <v>0</v>
      </c>
      <c r="AA95" t="s">
        <v>3208</v>
      </c>
      <c r="AB95" t="s">
        <v>6284</v>
      </c>
      <c r="AC95" t="s">
        <v>3208</v>
      </c>
      <c r="AD95" t="e">
        <f>VLOOKUP(AB95,#REF!,2,FALSE)</f>
        <v>#REF!</v>
      </c>
      <c r="AE95" t="e">
        <f>RIGHT(#REF!,(FIND("Complex",#REF!,1)-8))</f>
        <v>#REF!</v>
      </c>
    </row>
    <row r="96" spans="1:31" x14ac:dyDescent="0.25">
      <c r="A96">
        <v>2039</v>
      </c>
      <c r="B96" t="s">
        <v>86</v>
      </c>
      <c r="C96">
        <v>1</v>
      </c>
      <c r="D96">
        <v>360</v>
      </c>
      <c r="E96">
        <v>2039</v>
      </c>
      <c r="F96">
        <v>6791401</v>
      </c>
      <c r="G96">
        <v>6879600</v>
      </c>
      <c r="H96">
        <f t="shared" si="2"/>
        <v>154.00002267573697</v>
      </c>
      <c r="I96">
        <f t="shared" si="3"/>
        <v>156</v>
      </c>
      <c r="J96" t="s">
        <v>29</v>
      </c>
      <c r="K96">
        <v>6</v>
      </c>
      <c r="L96" t="e">
        <f t="array" ref="L96">VLOOKUP(J96:$J$3871&amp;K96:$K$3871,CHOOSE({1,2},#REF!&amp;#REF!,#REF!),2,0)</f>
        <v>#N/A</v>
      </c>
      <c r="M96">
        <v>-15</v>
      </c>
      <c r="N96">
        <v>0</v>
      </c>
      <c r="O96" t="s">
        <v>7</v>
      </c>
      <c r="P96">
        <v>1</v>
      </c>
      <c r="Q96">
        <v>1</v>
      </c>
      <c r="R96">
        <v>0</v>
      </c>
      <c r="S96">
        <v>1</v>
      </c>
      <c r="T96">
        <v>1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 t="s">
        <v>3216</v>
      </c>
      <c r="AB96" t="s">
        <v>310</v>
      </c>
      <c r="AC96" t="s">
        <v>3216</v>
      </c>
      <c r="AD96" t="e">
        <f>VLOOKUP(AB96,#REF!,2,FALSE)</f>
        <v>#REF!</v>
      </c>
      <c r="AE96" t="e">
        <f>RIGHT(#REF!,(FIND("Complex",#REF!,1)-8))</f>
        <v>#REF!</v>
      </c>
    </row>
    <row r="97" spans="1:31" x14ac:dyDescent="0.25">
      <c r="A97">
        <v>1921</v>
      </c>
      <c r="B97" t="s">
        <v>86</v>
      </c>
      <c r="C97">
        <v>1</v>
      </c>
      <c r="D97">
        <v>328</v>
      </c>
      <c r="E97">
        <v>1921</v>
      </c>
      <c r="F97">
        <v>6703201</v>
      </c>
      <c r="G97">
        <v>6791400</v>
      </c>
      <c r="H97">
        <f t="shared" si="2"/>
        <v>152.00002267573697</v>
      </c>
      <c r="I97">
        <f t="shared" si="3"/>
        <v>154</v>
      </c>
      <c r="J97" t="s">
        <v>29</v>
      </c>
      <c r="K97">
        <v>6</v>
      </c>
      <c r="L97" t="e">
        <f t="array" ref="L97">VLOOKUP(J97:$J$3871&amp;K97:$K$3871,CHOOSE({1,2},#REF!&amp;#REF!,#REF!),2,0)</f>
        <v>#N/A</v>
      </c>
      <c r="M97">
        <v>-15</v>
      </c>
      <c r="N97">
        <v>0</v>
      </c>
      <c r="O97" t="s">
        <v>7</v>
      </c>
      <c r="P97">
        <v>1</v>
      </c>
      <c r="Q97">
        <v>1</v>
      </c>
      <c r="R97">
        <v>0</v>
      </c>
      <c r="S97">
        <v>1</v>
      </c>
      <c r="T97">
        <v>1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 t="s">
        <v>3223</v>
      </c>
      <c r="AB97" t="s">
        <v>311</v>
      </c>
      <c r="AC97" t="s">
        <v>3223</v>
      </c>
      <c r="AD97" t="e">
        <f>VLOOKUP(AB97,#REF!,2,FALSE)</f>
        <v>#REF!</v>
      </c>
      <c r="AE97" t="e">
        <f>RIGHT(#REF!,(FIND("Complex",#REF!,1)-8))</f>
        <v>#REF!</v>
      </c>
    </row>
    <row r="98" spans="1:31" x14ac:dyDescent="0.25">
      <c r="A98">
        <v>3606</v>
      </c>
      <c r="B98" t="s">
        <v>86</v>
      </c>
      <c r="C98">
        <v>1</v>
      </c>
      <c r="D98">
        <v>962</v>
      </c>
      <c r="E98">
        <v>3606</v>
      </c>
      <c r="F98">
        <v>6526801</v>
      </c>
      <c r="G98">
        <v>6615000</v>
      </c>
      <c r="H98">
        <f t="shared" si="2"/>
        <v>148.00002267573697</v>
      </c>
      <c r="I98">
        <f t="shared" si="3"/>
        <v>150</v>
      </c>
      <c r="J98" t="s">
        <v>29</v>
      </c>
      <c r="K98">
        <v>6</v>
      </c>
      <c r="L98" t="e">
        <f t="array" ref="L98">VLOOKUP(J98:$J$3871&amp;K98:$K$3871,CHOOSE({1,2},#REF!&amp;#REF!,#REF!),2,0)</f>
        <v>#N/A</v>
      </c>
      <c r="M98">
        <v>-15</v>
      </c>
      <c r="N98">
        <v>0</v>
      </c>
      <c r="O98" t="s">
        <v>7</v>
      </c>
      <c r="P98">
        <v>1</v>
      </c>
      <c r="Q98">
        <v>1</v>
      </c>
      <c r="R98">
        <v>0</v>
      </c>
      <c r="S98">
        <v>1</v>
      </c>
      <c r="T98">
        <v>1</v>
      </c>
      <c r="U98">
        <v>0</v>
      </c>
      <c r="V98">
        <v>0</v>
      </c>
      <c r="W98">
        <v>1</v>
      </c>
      <c r="X98">
        <v>1</v>
      </c>
      <c r="Y98">
        <v>0</v>
      </c>
      <c r="Z98">
        <v>0</v>
      </c>
      <c r="AA98" t="s">
        <v>3237</v>
      </c>
      <c r="AB98" t="s">
        <v>6289</v>
      </c>
      <c r="AC98" t="s">
        <v>3237</v>
      </c>
      <c r="AD98" t="e">
        <f>VLOOKUP(AB98,#REF!,2,FALSE)</f>
        <v>#REF!</v>
      </c>
      <c r="AE98" t="e">
        <f>RIGHT(#REF!,(FIND("Complex",#REF!,1)-8))</f>
        <v>#REF!</v>
      </c>
    </row>
    <row r="99" spans="1:31" x14ac:dyDescent="0.25">
      <c r="A99">
        <v>2619</v>
      </c>
      <c r="B99" t="s">
        <v>86</v>
      </c>
      <c r="C99">
        <v>1</v>
      </c>
      <c r="D99">
        <v>527</v>
      </c>
      <c r="E99">
        <v>2619</v>
      </c>
      <c r="F99">
        <v>6085801</v>
      </c>
      <c r="G99">
        <v>6174000</v>
      </c>
      <c r="H99">
        <f t="shared" si="2"/>
        <v>138.00002267573697</v>
      </c>
      <c r="I99">
        <f t="shared" si="3"/>
        <v>140</v>
      </c>
      <c r="J99" t="s">
        <v>29</v>
      </c>
      <c r="K99">
        <v>6</v>
      </c>
      <c r="L99" t="e">
        <f t="array" ref="L99">VLOOKUP(J99:$J$3871&amp;K99:$K$3871,CHOOSE({1,2},#REF!&amp;#REF!,#REF!),2,0)</f>
        <v>#N/A</v>
      </c>
      <c r="M99">
        <v>-15</v>
      </c>
      <c r="N99">
        <v>0</v>
      </c>
      <c r="O99" t="s">
        <v>7</v>
      </c>
      <c r="P99">
        <v>1</v>
      </c>
      <c r="Q99">
        <v>1</v>
      </c>
      <c r="R99">
        <v>0</v>
      </c>
      <c r="S99">
        <v>1</v>
      </c>
      <c r="T99">
        <v>1</v>
      </c>
      <c r="U99">
        <v>0</v>
      </c>
      <c r="V99">
        <v>0</v>
      </c>
      <c r="W99">
        <v>1</v>
      </c>
      <c r="X99">
        <v>1</v>
      </c>
      <c r="Y99">
        <v>0</v>
      </c>
      <c r="Z99">
        <v>0</v>
      </c>
      <c r="AA99" t="s">
        <v>3281</v>
      </c>
      <c r="AB99" t="s">
        <v>312</v>
      </c>
      <c r="AC99" t="s">
        <v>3281</v>
      </c>
      <c r="AD99" t="e">
        <f>VLOOKUP(AB99,#REF!,2,FALSE)</f>
        <v>#REF!</v>
      </c>
      <c r="AE99" t="e">
        <f>RIGHT(#REF!,(FIND("Complex",#REF!,1)-8))</f>
        <v>#REF!</v>
      </c>
    </row>
    <row r="100" spans="1:31" x14ac:dyDescent="0.25">
      <c r="A100">
        <v>3282</v>
      </c>
      <c r="B100" t="s">
        <v>86</v>
      </c>
      <c r="C100">
        <v>1</v>
      </c>
      <c r="D100">
        <v>822</v>
      </c>
      <c r="E100">
        <v>3282</v>
      </c>
      <c r="F100">
        <v>441001</v>
      </c>
      <c r="G100">
        <v>529200</v>
      </c>
      <c r="H100">
        <f t="shared" si="2"/>
        <v>10.000022675736961</v>
      </c>
      <c r="I100">
        <f t="shared" si="3"/>
        <v>12</v>
      </c>
      <c r="J100" t="s">
        <v>29</v>
      </c>
      <c r="K100">
        <v>6</v>
      </c>
      <c r="L100" t="e">
        <f t="array" ref="L100">VLOOKUP(J100:$J$3871&amp;K100:$K$3871,CHOOSE({1,2},#REF!&amp;#REF!,#REF!),2,0)</f>
        <v>#N/A</v>
      </c>
      <c r="M100">
        <v>-15</v>
      </c>
      <c r="N100">
        <v>0</v>
      </c>
      <c r="O100" t="s">
        <v>7</v>
      </c>
      <c r="P100">
        <v>1</v>
      </c>
      <c r="Q100">
        <v>1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1</v>
      </c>
      <c r="X100">
        <v>1</v>
      </c>
      <c r="Y100">
        <v>0</v>
      </c>
      <c r="Z100">
        <v>0</v>
      </c>
      <c r="AA100" t="s">
        <v>3499</v>
      </c>
      <c r="AB100" t="s">
        <v>313</v>
      </c>
      <c r="AC100" t="s">
        <v>3499</v>
      </c>
      <c r="AD100" t="e">
        <f>VLOOKUP(AB100,#REF!,2,FALSE)</f>
        <v>#REF!</v>
      </c>
      <c r="AE100" t="e">
        <f>RIGHT(#REF!,(FIND("Complex",#REF!,1)-9))</f>
        <v>#REF!</v>
      </c>
    </row>
    <row r="101" spans="1:31" x14ac:dyDescent="0.25">
      <c r="A101">
        <v>2733</v>
      </c>
      <c r="B101" t="s">
        <v>48</v>
      </c>
      <c r="C101">
        <v>2</v>
      </c>
      <c r="D101">
        <v>575</v>
      </c>
      <c r="E101">
        <v>2733</v>
      </c>
      <c r="F101">
        <v>4321801</v>
      </c>
      <c r="G101">
        <v>4410000</v>
      </c>
      <c r="H101">
        <f t="shared" si="2"/>
        <v>98.000022675736957</v>
      </c>
      <c r="I101">
        <f t="shared" si="3"/>
        <v>100</v>
      </c>
      <c r="J101" t="s">
        <v>29</v>
      </c>
      <c r="K101">
        <v>6</v>
      </c>
      <c r="L101" t="e">
        <f t="array" ref="L101">VLOOKUP(J101:$J$3871&amp;K101:$K$3871,CHOOSE({1,2},#REF!&amp;#REF!,#REF!),2,0)</f>
        <v>#N/A</v>
      </c>
      <c r="M101">
        <v>-15</v>
      </c>
      <c r="N101">
        <v>0</v>
      </c>
      <c r="O101" t="s">
        <v>7</v>
      </c>
      <c r="P101">
        <v>1</v>
      </c>
      <c r="Q101">
        <v>1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 t="s">
        <v>2622</v>
      </c>
      <c r="AB101" t="s">
        <v>344</v>
      </c>
      <c r="AC101" t="s">
        <v>2622</v>
      </c>
      <c r="AD101" t="e">
        <f>VLOOKUP(AB101,#REF!,2,FALSE)</f>
        <v>#REF!</v>
      </c>
      <c r="AE101" t="e">
        <f>RIGHT(#REF!,(FIND("Complex",#REF!,1)-9))</f>
        <v>#REF!</v>
      </c>
    </row>
    <row r="102" spans="1:31" x14ac:dyDescent="0.25">
      <c r="A102">
        <v>2482</v>
      </c>
      <c r="B102" t="s">
        <v>48</v>
      </c>
      <c r="C102">
        <v>2</v>
      </c>
      <c r="D102">
        <v>478</v>
      </c>
      <c r="E102">
        <v>2482</v>
      </c>
      <c r="F102">
        <v>4233601</v>
      </c>
      <c r="G102">
        <v>4321800</v>
      </c>
      <c r="H102">
        <f t="shared" si="2"/>
        <v>96.000022675736957</v>
      </c>
      <c r="I102">
        <f t="shared" si="3"/>
        <v>98</v>
      </c>
      <c r="J102" t="s">
        <v>29</v>
      </c>
      <c r="K102">
        <v>6</v>
      </c>
      <c r="L102" t="e">
        <f t="array" ref="L102">VLOOKUP(J102:$J$3871&amp;K102:$K$3871,CHOOSE({1,2},#REF!&amp;#REF!,#REF!),2,0)</f>
        <v>#N/A</v>
      </c>
      <c r="M102">
        <v>-15</v>
      </c>
      <c r="N102">
        <v>0</v>
      </c>
      <c r="O102" t="s">
        <v>7</v>
      </c>
      <c r="P102">
        <v>1</v>
      </c>
      <c r="Q102">
        <v>1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1</v>
      </c>
      <c r="X102">
        <v>1</v>
      </c>
      <c r="Y102">
        <v>0</v>
      </c>
      <c r="Z102">
        <v>0</v>
      </c>
      <c r="AA102" t="s">
        <v>2628</v>
      </c>
      <c r="AB102" t="s">
        <v>345</v>
      </c>
      <c r="AC102" t="s">
        <v>2628</v>
      </c>
      <c r="AD102" t="e">
        <f>VLOOKUP(AB102,#REF!,2,FALSE)</f>
        <v>#REF!</v>
      </c>
      <c r="AE102" t="e">
        <f>RIGHT(#REF!,(FIND("Complex",#REF!,1)-9))</f>
        <v>#REF!</v>
      </c>
    </row>
    <row r="103" spans="1:31" x14ac:dyDescent="0.25">
      <c r="A103">
        <v>2477</v>
      </c>
      <c r="B103" t="s">
        <v>48</v>
      </c>
      <c r="C103">
        <v>2</v>
      </c>
      <c r="D103">
        <v>477</v>
      </c>
      <c r="E103">
        <v>2477</v>
      </c>
      <c r="F103">
        <v>5203801</v>
      </c>
      <c r="G103">
        <v>5292000</v>
      </c>
      <c r="H103">
        <f t="shared" si="2"/>
        <v>118.00002267573696</v>
      </c>
      <c r="I103">
        <f t="shared" si="3"/>
        <v>120</v>
      </c>
      <c r="J103" t="s">
        <v>29</v>
      </c>
      <c r="K103">
        <v>6</v>
      </c>
      <c r="L103" t="e">
        <f t="array" ref="L103">VLOOKUP(J103:$J$3871&amp;K103:$K$3871,CHOOSE({1,2},#REF!&amp;#REF!,#REF!),2,0)</f>
        <v>#N/A</v>
      </c>
      <c r="M103">
        <v>-15</v>
      </c>
      <c r="N103">
        <v>0</v>
      </c>
      <c r="O103" t="s">
        <v>7</v>
      </c>
      <c r="P103">
        <v>1</v>
      </c>
      <c r="Q103">
        <v>1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1</v>
      </c>
      <c r="X103">
        <v>1</v>
      </c>
      <c r="Y103">
        <v>0</v>
      </c>
      <c r="Z103">
        <v>0</v>
      </c>
      <c r="AA103" t="s">
        <v>3398</v>
      </c>
      <c r="AB103" t="s">
        <v>346</v>
      </c>
      <c r="AC103" t="s">
        <v>3398</v>
      </c>
      <c r="AD103" t="e">
        <f>VLOOKUP(AB103,#REF!,2,FALSE)</f>
        <v>#REF!</v>
      </c>
      <c r="AE103" t="e">
        <f>RIGHT(#REF!,(FIND("Complex",#REF!,1)-8))</f>
        <v>#REF!</v>
      </c>
    </row>
    <row r="104" spans="1:31" x14ac:dyDescent="0.25">
      <c r="A104">
        <v>3714</v>
      </c>
      <c r="B104" t="s">
        <v>68</v>
      </c>
      <c r="C104">
        <v>4</v>
      </c>
      <c r="D104">
        <v>1002</v>
      </c>
      <c r="E104">
        <v>3714</v>
      </c>
      <c r="F104">
        <v>3969001</v>
      </c>
      <c r="G104">
        <v>4057200</v>
      </c>
      <c r="H104">
        <f t="shared" si="2"/>
        <v>90.000022675736957</v>
      </c>
      <c r="I104">
        <f t="shared" si="3"/>
        <v>92</v>
      </c>
      <c r="J104" t="s">
        <v>29</v>
      </c>
      <c r="K104">
        <v>6</v>
      </c>
      <c r="L104" t="e">
        <f t="array" ref="L104">VLOOKUP(J104:$J$3871&amp;K104:$K$3871,CHOOSE({1,2},#REF!&amp;#REF!,#REF!),2,0)</f>
        <v>#N/A</v>
      </c>
      <c r="M104">
        <v>-15</v>
      </c>
      <c r="N104">
        <v>0</v>
      </c>
      <c r="O104" t="s">
        <v>7</v>
      </c>
      <c r="P104">
        <v>1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0</v>
      </c>
      <c r="AA104" t="s">
        <v>2655</v>
      </c>
      <c r="AB104" t="s">
        <v>393</v>
      </c>
      <c r="AC104" t="s">
        <v>2655</v>
      </c>
      <c r="AD104" t="e">
        <f>VLOOKUP(AB104,#REF!,2,FALSE)</f>
        <v>#REF!</v>
      </c>
      <c r="AE104" t="e">
        <f>RIGHT(#REF!,(FIND("Complex",#REF!,1)-10))</f>
        <v>#REF!</v>
      </c>
    </row>
    <row r="105" spans="1:31" x14ac:dyDescent="0.25">
      <c r="A105">
        <v>3639</v>
      </c>
      <c r="B105" t="s">
        <v>68</v>
      </c>
      <c r="C105">
        <v>4</v>
      </c>
      <c r="D105">
        <v>973</v>
      </c>
      <c r="E105">
        <v>3639</v>
      </c>
      <c r="F105">
        <v>3704401</v>
      </c>
      <c r="G105">
        <v>3792600</v>
      </c>
      <c r="H105">
        <f t="shared" si="2"/>
        <v>84.000022675736957</v>
      </c>
      <c r="I105">
        <f t="shared" si="3"/>
        <v>86</v>
      </c>
      <c r="J105" t="s">
        <v>29</v>
      </c>
      <c r="K105">
        <v>6</v>
      </c>
      <c r="L105" t="e">
        <f t="array" ref="L105">VLOOKUP(J105:$J$3871&amp;K105:$K$3871,CHOOSE({1,2},#REF!&amp;#REF!,#REF!),2,0)</f>
        <v>#N/A</v>
      </c>
      <c r="M105">
        <v>-15</v>
      </c>
      <c r="N105">
        <v>0</v>
      </c>
      <c r="O105" t="s">
        <v>7</v>
      </c>
      <c r="P105">
        <v>1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0</v>
      </c>
      <c r="AA105" t="s">
        <v>2679</v>
      </c>
      <c r="AB105" t="s">
        <v>6155</v>
      </c>
      <c r="AC105" t="s">
        <v>2679</v>
      </c>
      <c r="AD105" t="e">
        <f>VLOOKUP(AB105,#REF!,2,FALSE)</f>
        <v>#REF!</v>
      </c>
      <c r="AE105" t="e">
        <f>RIGHT(#REF!,(FIND("Complex",#REF!,1)-9))</f>
        <v>#REF!</v>
      </c>
    </row>
    <row r="106" spans="1:31" x14ac:dyDescent="0.25">
      <c r="A106">
        <v>3389</v>
      </c>
      <c r="B106" t="s">
        <v>68</v>
      </c>
      <c r="C106">
        <v>4</v>
      </c>
      <c r="D106">
        <v>871</v>
      </c>
      <c r="E106">
        <v>3389</v>
      </c>
      <c r="F106">
        <v>3439801</v>
      </c>
      <c r="G106">
        <v>3528000</v>
      </c>
      <c r="H106">
        <f t="shared" si="2"/>
        <v>78.000022675736957</v>
      </c>
      <c r="I106">
        <f t="shared" si="3"/>
        <v>80</v>
      </c>
      <c r="J106" t="s">
        <v>29</v>
      </c>
      <c r="K106">
        <v>6</v>
      </c>
      <c r="L106" t="e">
        <f t="array" ref="L106">VLOOKUP(J106:$J$3871&amp;K106:$K$3871,CHOOSE({1,2},#REF!&amp;#REF!,#REF!),2,0)</f>
        <v>#N/A</v>
      </c>
      <c r="M106">
        <v>-15</v>
      </c>
      <c r="N106">
        <v>0</v>
      </c>
      <c r="O106" t="s">
        <v>7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0</v>
      </c>
      <c r="Z106">
        <v>0</v>
      </c>
      <c r="AA106" t="s">
        <v>2708</v>
      </c>
      <c r="AB106" t="s">
        <v>6164</v>
      </c>
      <c r="AC106" t="s">
        <v>2708</v>
      </c>
      <c r="AD106" t="e">
        <f>VLOOKUP(AB106,#REF!,2,FALSE)</f>
        <v>#REF!</v>
      </c>
      <c r="AE106" t="e">
        <f>RIGHT(#REF!,(FIND("Complex",#REF!,1)-9))</f>
        <v>#REF!</v>
      </c>
    </row>
    <row r="107" spans="1:31" x14ac:dyDescent="0.25">
      <c r="A107">
        <v>3731</v>
      </c>
      <c r="B107" t="s">
        <v>68</v>
      </c>
      <c r="C107">
        <v>4</v>
      </c>
      <c r="D107">
        <v>1008</v>
      </c>
      <c r="E107">
        <v>3731</v>
      </c>
      <c r="F107">
        <v>3351601</v>
      </c>
      <c r="G107">
        <v>3439800</v>
      </c>
      <c r="H107">
        <f t="shared" si="2"/>
        <v>76.000022675736957</v>
      </c>
      <c r="I107">
        <f t="shared" si="3"/>
        <v>78</v>
      </c>
      <c r="J107" t="s">
        <v>29</v>
      </c>
      <c r="K107">
        <v>6</v>
      </c>
      <c r="L107" t="e">
        <f t="array" ref="L107">VLOOKUP(J107:$J$3871&amp;K107:$K$3871,CHOOSE({1,2},#REF!&amp;#REF!,#REF!),2,0)</f>
        <v>#N/A</v>
      </c>
      <c r="M107">
        <v>-15</v>
      </c>
      <c r="N107">
        <v>0</v>
      </c>
      <c r="O107" t="s">
        <v>7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0</v>
      </c>
      <c r="Z107">
        <v>0</v>
      </c>
      <c r="AA107" t="s">
        <v>2717</v>
      </c>
      <c r="AB107" t="s">
        <v>6166</v>
      </c>
      <c r="AC107" t="s">
        <v>2717</v>
      </c>
      <c r="AD107" t="e">
        <f>VLOOKUP(AB107,#REF!,2,FALSE)</f>
        <v>#REF!</v>
      </c>
      <c r="AE107" t="e">
        <f>RIGHT(#REF!,(FIND("Complex",#REF!,1)-10))</f>
        <v>#REF!</v>
      </c>
    </row>
    <row r="108" spans="1:31" x14ac:dyDescent="0.25">
      <c r="A108">
        <v>3863</v>
      </c>
      <c r="B108" t="s">
        <v>68</v>
      </c>
      <c r="C108">
        <v>4</v>
      </c>
      <c r="D108">
        <v>1054</v>
      </c>
      <c r="E108">
        <v>3863</v>
      </c>
      <c r="F108">
        <v>3087001</v>
      </c>
      <c r="G108">
        <v>3175200</v>
      </c>
      <c r="H108">
        <f t="shared" si="2"/>
        <v>70.000022675736957</v>
      </c>
      <c r="I108">
        <f t="shared" si="3"/>
        <v>72</v>
      </c>
      <c r="J108" t="s">
        <v>29</v>
      </c>
      <c r="K108">
        <v>6</v>
      </c>
      <c r="L108" t="e">
        <f t="array" ref="L108">VLOOKUP(J108:$J$3871&amp;K108:$K$3871,CHOOSE({1,2},#REF!&amp;#REF!,#REF!),2,0)</f>
        <v>#N/A</v>
      </c>
      <c r="M108">
        <v>-15</v>
      </c>
      <c r="N108">
        <v>0</v>
      </c>
      <c r="O108" t="s">
        <v>7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1</v>
      </c>
      <c r="X108">
        <v>1</v>
      </c>
      <c r="Y108">
        <v>0</v>
      </c>
      <c r="Z108">
        <v>0</v>
      </c>
      <c r="AA108" t="s">
        <v>2740</v>
      </c>
      <c r="AB108" t="s">
        <v>6173</v>
      </c>
      <c r="AC108" t="s">
        <v>2740</v>
      </c>
      <c r="AD108" t="e">
        <f>VLOOKUP(AB108,#REF!,2,FALSE)</f>
        <v>#REF!</v>
      </c>
      <c r="AE108" t="e">
        <f>RIGHT(#REF!,(FIND("Complex",#REF!,1)-10))</f>
        <v>#REF!</v>
      </c>
    </row>
    <row r="109" spans="1:31" x14ac:dyDescent="0.25">
      <c r="A109">
        <v>3861</v>
      </c>
      <c r="B109" t="s">
        <v>68</v>
      </c>
      <c r="C109">
        <v>4</v>
      </c>
      <c r="D109">
        <v>1053</v>
      </c>
      <c r="E109">
        <v>3861</v>
      </c>
      <c r="F109">
        <v>8379001</v>
      </c>
      <c r="G109">
        <v>8467200</v>
      </c>
      <c r="H109">
        <f t="shared" si="2"/>
        <v>190.00002267573697</v>
      </c>
      <c r="I109">
        <f t="shared" si="3"/>
        <v>192</v>
      </c>
      <c r="J109" t="s">
        <v>29</v>
      </c>
      <c r="K109">
        <v>6</v>
      </c>
      <c r="L109" t="e">
        <f t="array" ref="L109">VLOOKUP(J109:$J$3871&amp;K109:$K$3871,CHOOSE({1,2},#REF!&amp;#REF!,#REF!),2,0)</f>
        <v>#N/A</v>
      </c>
      <c r="M109">
        <v>-15</v>
      </c>
      <c r="N109">
        <v>0</v>
      </c>
      <c r="O109" t="s">
        <v>7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1</v>
      </c>
      <c r="X109">
        <v>1</v>
      </c>
      <c r="Y109">
        <v>0</v>
      </c>
      <c r="Z109">
        <v>0</v>
      </c>
      <c r="AA109" t="s">
        <v>3086</v>
      </c>
      <c r="AB109" t="s">
        <v>6261</v>
      </c>
      <c r="AC109" t="s">
        <v>3086</v>
      </c>
      <c r="AD109" t="e">
        <f>VLOOKUP(AB109,#REF!,2,FALSE)</f>
        <v>#REF!</v>
      </c>
      <c r="AE109" t="e">
        <f>RIGHT(#REF!,(FIND("Complex",#REF!,1)-9))</f>
        <v>#REF!</v>
      </c>
    </row>
    <row r="110" spans="1:31" x14ac:dyDescent="0.25">
      <c r="A110">
        <v>3856</v>
      </c>
      <c r="B110" t="s">
        <v>68</v>
      </c>
      <c r="C110">
        <v>4</v>
      </c>
      <c r="D110">
        <v>1051</v>
      </c>
      <c r="E110">
        <v>3856</v>
      </c>
      <c r="F110">
        <v>7673401</v>
      </c>
      <c r="G110">
        <v>7761600</v>
      </c>
      <c r="H110">
        <f t="shared" si="2"/>
        <v>174.00002267573697</v>
      </c>
      <c r="I110">
        <f t="shared" si="3"/>
        <v>176</v>
      </c>
      <c r="J110" t="s">
        <v>29</v>
      </c>
      <c r="K110">
        <v>6</v>
      </c>
      <c r="L110" t="e">
        <f t="array" ref="L110">VLOOKUP(J110:$J$3871&amp;K110:$K$3871,CHOOSE({1,2},#REF!&amp;#REF!,#REF!),2,0)</f>
        <v>#N/A</v>
      </c>
      <c r="M110">
        <v>-15</v>
      </c>
      <c r="N110">
        <v>0</v>
      </c>
      <c r="O110" t="s">
        <v>7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0</v>
      </c>
      <c r="AA110" t="s">
        <v>3155</v>
      </c>
      <c r="AB110" t="s">
        <v>6278</v>
      </c>
      <c r="AC110" t="s">
        <v>3155</v>
      </c>
      <c r="AD110" t="e">
        <f>VLOOKUP(AB110,#REF!,2,FALSE)</f>
        <v>#REF!</v>
      </c>
      <c r="AE110" t="e">
        <f>RIGHT(#REF!,(FIND("Complex",#REF!,1)-9))</f>
        <v>#REF!</v>
      </c>
    </row>
    <row r="111" spans="1:31" x14ac:dyDescent="0.25">
      <c r="A111">
        <v>3816</v>
      </c>
      <c r="B111" t="s">
        <v>68</v>
      </c>
      <c r="C111">
        <v>4</v>
      </c>
      <c r="D111">
        <v>1037</v>
      </c>
      <c r="E111">
        <v>3816</v>
      </c>
      <c r="F111">
        <v>7497001</v>
      </c>
      <c r="G111">
        <v>7585200</v>
      </c>
      <c r="H111">
        <f t="shared" si="2"/>
        <v>170.00002267573697</v>
      </c>
      <c r="I111">
        <f t="shared" si="3"/>
        <v>172</v>
      </c>
      <c r="J111" t="s">
        <v>29</v>
      </c>
      <c r="K111">
        <v>6</v>
      </c>
      <c r="L111" t="e">
        <f t="array" ref="L111">VLOOKUP(J111:$J$3871&amp;K111:$K$3871,CHOOSE({1,2},#REF!&amp;#REF!,#REF!),2,0)</f>
        <v>#N/A</v>
      </c>
      <c r="M111">
        <v>-15</v>
      </c>
      <c r="N111">
        <v>0</v>
      </c>
      <c r="O111" t="s">
        <v>7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1</v>
      </c>
      <c r="X111">
        <v>1</v>
      </c>
      <c r="Y111">
        <v>0</v>
      </c>
      <c r="Z111">
        <v>0</v>
      </c>
      <c r="AA111" t="s">
        <v>3171</v>
      </c>
      <c r="AB111" t="s">
        <v>394</v>
      </c>
      <c r="AC111" t="s">
        <v>3171</v>
      </c>
      <c r="AD111" t="e">
        <f>VLOOKUP(AB111,#REF!,2,FALSE)</f>
        <v>#REF!</v>
      </c>
      <c r="AE111" t="e">
        <f>RIGHT(#REF!,(FIND("Complex",#REF!,1)-9))</f>
        <v>#REF!</v>
      </c>
    </row>
    <row r="112" spans="1:31" x14ac:dyDescent="0.25">
      <c r="A112">
        <v>3676</v>
      </c>
      <c r="B112" t="s">
        <v>81</v>
      </c>
      <c r="C112">
        <v>5</v>
      </c>
      <c r="D112">
        <v>988</v>
      </c>
      <c r="E112">
        <v>3676</v>
      </c>
      <c r="F112">
        <v>18698401</v>
      </c>
      <c r="G112">
        <v>18786600</v>
      </c>
      <c r="H112">
        <f t="shared" si="2"/>
        <v>424.00002267573694</v>
      </c>
      <c r="I112">
        <f t="shared" si="3"/>
        <v>426</v>
      </c>
      <c r="J112" t="s">
        <v>29</v>
      </c>
      <c r="K112">
        <v>6</v>
      </c>
      <c r="L112" t="e">
        <f t="array" ref="L112">VLOOKUP(J112:$J$3871&amp;K112:$K$3871,CHOOSE({1,2},#REF!&amp;#REF!,#REF!),2,0)</f>
        <v>#N/A</v>
      </c>
      <c r="M112">
        <v>-15</v>
      </c>
      <c r="N112">
        <v>0</v>
      </c>
      <c r="O112" t="s">
        <v>7</v>
      </c>
      <c r="P112">
        <v>1</v>
      </c>
      <c r="Q112">
        <v>1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0</v>
      </c>
      <c r="AA112" t="s">
        <v>2826</v>
      </c>
      <c r="AB112" t="s">
        <v>412</v>
      </c>
      <c r="AC112" t="s">
        <v>2826</v>
      </c>
      <c r="AD112" t="e">
        <f>VLOOKUP(AB112,#REF!,2,FALSE)</f>
        <v>#REF!</v>
      </c>
      <c r="AE112" t="e">
        <f>RIGHT(#REF!,(FIND("Complex",#REF!,1)-8))</f>
        <v>#REF!</v>
      </c>
    </row>
    <row r="113" spans="1:31" x14ac:dyDescent="0.25">
      <c r="A113">
        <v>3098</v>
      </c>
      <c r="B113" t="s">
        <v>81</v>
      </c>
      <c r="C113">
        <v>5</v>
      </c>
      <c r="D113">
        <v>727</v>
      </c>
      <c r="E113">
        <v>3098</v>
      </c>
      <c r="F113">
        <v>18169201</v>
      </c>
      <c r="G113">
        <v>18257400</v>
      </c>
      <c r="H113">
        <f t="shared" si="2"/>
        <v>412.00002267573694</v>
      </c>
      <c r="I113">
        <f t="shared" si="3"/>
        <v>414</v>
      </c>
      <c r="J113" t="s">
        <v>29</v>
      </c>
      <c r="K113">
        <v>6</v>
      </c>
      <c r="L113" t="e">
        <f t="array" ref="L113">VLOOKUP(J113:$J$3871&amp;K113:$K$3871,CHOOSE({1,2},#REF!&amp;#REF!,#REF!),2,0)</f>
        <v>#N/A</v>
      </c>
      <c r="M113">
        <v>-15</v>
      </c>
      <c r="N113">
        <v>0</v>
      </c>
      <c r="O113" t="s">
        <v>7</v>
      </c>
      <c r="P113">
        <v>1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1</v>
      </c>
      <c r="W113">
        <v>1</v>
      </c>
      <c r="X113">
        <v>1</v>
      </c>
      <c r="Y113">
        <v>0</v>
      </c>
      <c r="Z113">
        <v>0</v>
      </c>
      <c r="AA113" t="s">
        <v>2834</v>
      </c>
      <c r="AB113" t="s">
        <v>413</v>
      </c>
      <c r="AC113" t="s">
        <v>2834</v>
      </c>
      <c r="AD113" t="e">
        <f>VLOOKUP(AB113,#REF!,2,FALSE)</f>
        <v>#REF!</v>
      </c>
      <c r="AE113" t="e">
        <f>RIGHT(#REF!,(FIND("Complex",#REF!,1)-8))</f>
        <v>#REF!</v>
      </c>
    </row>
    <row r="114" spans="1:31" x14ac:dyDescent="0.25">
      <c r="A114">
        <v>3123</v>
      </c>
      <c r="B114" t="s">
        <v>81</v>
      </c>
      <c r="C114">
        <v>5</v>
      </c>
      <c r="D114">
        <v>734</v>
      </c>
      <c r="E114">
        <v>3123</v>
      </c>
      <c r="F114">
        <v>18081001</v>
      </c>
      <c r="G114">
        <v>18169200</v>
      </c>
      <c r="H114">
        <f t="shared" si="2"/>
        <v>410.00002267573694</v>
      </c>
      <c r="I114">
        <f t="shared" si="3"/>
        <v>412</v>
      </c>
      <c r="J114" t="s">
        <v>29</v>
      </c>
      <c r="K114">
        <v>6</v>
      </c>
      <c r="L114" t="e">
        <f t="array" ref="L114">VLOOKUP(J114:$J$3871&amp;K114:$K$3871,CHOOSE({1,2},#REF!&amp;#REF!,#REF!),2,0)</f>
        <v>#N/A</v>
      </c>
      <c r="M114">
        <v>-15</v>
      </c>
      <c r="N114">
        <v>0</v>
      </c>
      <c r="O114" t="s">
        <v>7</v>
      </c>
      <c r="P114">
        <v>1</v>
      </c>
      <c r="Q114">
        <v>1</v>
      </c>
      <c r="R114">
        <v>0</v>
      </c>
      <c r="S114">
        <v>0</v>
      </c>
      <c r="T114">
        <v>1</v>
      </c>
      <c r="U114">
        <v>0</v>
      </c>
      <c r="V114">
        <v>1</v>
      </c>
      <c r="W114">
        <v>1</v>
      </c>
      <c r="X114">
        <v>1</v>
      </c>
      <c r="Y114">
        <v>0</v>
      </c>
      <c r="Z114">
        <v>0</v>
      </c>
      <c r="AA114" t="s">
        <v>2835</v>
      </c>
      <c r="AB114" t="s">
        <v>414</v>
      </c>
      <c r="AC114" t="s">
        <v>2835</v>
      </c>
      <c r="AD114" t="e">
        <f>VLOOKUP(AB114,#REF!,2,FALSE)</f>
        <v>#REF!</v>
      </c>
      <c r="AE114" t="e">
        <f>RIGHT(#REF!,(FIND("Complex",#REF!,1)-8))</f>
        <v>#REF!</v>
      </c>
    </row>
    <row r="115" spans="1:31" x14ac:dyDescent="0.25">
      <c r="A115">
        <v>3211</v>
      </c>
      <c r="B115" t="s">
        <v>81</v>
      </c>
      <c r="C115">
        <v>5</v>
      </c>
      <c r="D115">
        <v>776</v>
      </c>
      <c r="E115">
        <v>3211</v>
      </c>
      <c r="F115">
        <v>17992801</v>
      </c>
      <c r="G115">
        <v>18081000</v>
      </c>
      <c r="H115">
        <f t="shared" si="2"/>
        <v>408.00002267573694</v>
      </c>
      <c r="I115">
        <f t="shared" si="3"/>
        <v>410</v>
      </c>
      <c r="J115" t="s">
        <v>29</v>
      </c>
      <c r="K115">
        <v>6</v>
      </c>
      <c r="L115" t="e">
        <f t="array" ref="L115">VLOOKUP(J115:$J$3871&amp;K115:$K$3871,CHOOSE({1,2},#REF!&amp;#REF!,#REF!),2,0)</f>
        <v>#N/A</v>
      </c>
      <c r="M115">
        <v>-15</v>
      </c>
      <c r="N115">
        <v>0</v>
      </c>
      <c r="O115" t="s">
        <v>7</v>
      </c>
      <c r="P115">
        <v>1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1</v>
      </c>
      <c r="X115">
        <v>1</v>
      </c>
      <c r="Y115">
        <v>0</v>
      </c>
      <c r="Z115">
        <v>0</v>
      </c>
      <c r="AA115" t="s">
        <v>2836</v>
      </c>
      <c r="AB115" t="s">
        <v>151</v>
      </c>
      <c r="AC115" t="s">
        <v>2836</v>
      </c>
      <c r="AD115" t="e">
        <f>VLOOKUP(AB115,#REF!,2,FALSE)</f>
        <v>#REF!</v>
      </c>
      <c r="AE115" t="e">
        <f>RIGHT(#REF!,(FIND("Complex",#REF!,1)-8))</f>
        <v>#REF!</v>
      </c>
    </row>
    <row r="116" spans="1:31" x14ac:dyDescent="0.25">
      <c r="A116">
        <v>347</v>
      </c>
      <c r="B116" t="s">
        <v>81</v>
      </c>
      <c r="C116">
        <v>5</v>
      </c>
      <c r="D116">
        <v>63</v>
      </c>
      <c r="E116">
        <v>347</v>
      </c>
      <c r="F116">
        <v>13671001</v>
      </c>
      <c r="G116">
        <v>13759200</v>
      </c>
      <c r="H116">
        <f t="shared" si="2"/>
        <v>310.00002267573694</v>
      </c>
      <c r="I116">
        <f t="shared" si="3"/>
        <v>312</v>
      </c>
      <c r="J116" t="s">
        <v>29</v>
      </c>
      <c r="K116">
        <v>6</v>
      </c>
      <c r="L116" t="e">
        <f t="array" ref="L116">VLOOKUP(J116:$J$3871&amp;K116:$K$3871,CHOOSE({1,2},#REF!&amp;#REF!,#REF!),2,0)</f>
        <v>#N/A</v>
      </c>
      <c r="M116">
        <v>-15</v>
      </c>
      <c r="N116">
        <v>0</v>
      </c>
      <c r="O116" t="s">
        <v>7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1</v>
      </c>
      <c r="X116">
        <v>1</v>
      </c>
      <c r="Y116">
        <v>0</v>
      </c>
      <c r="Z116">
        <v>0</v>
      </c>
      <c r="AA116" t="s">
        <v>2878</v>
      </c>
      <c r="AB116" t="s">
        <v>415</v>
      </c>
      <c r="AC116" t="s">
        <v>2878</v>
      </c>
      <c r="AD116" t="e">
        <f>VLOOKUP(AB116,#REF!,2,FALSE)</f>
        <v>#REF!</v>
      </c>
      <c r="AE116" t="e">
        <f>RIGHT(#REF!,(FIND("Complex",#REF!,1)-7))</f>
        <v>#REF!</v>
      </c>
    </row>
    <row r="117" spans="1:31" x14ac:dyDescent="0.25">
      <c r="A117">
        <v>3732</v>
      </c>
      <c r="B117" t="s">
        <v>81</v>
      </c>
      <c r="C117">
        <v>5</v>
      </c>
      <c r="D117">
        <v>1009</v>
      </c>
      <c r="E117">
        <v>3732</v>
      </c>
      <c r="F117">
        <v>12700801</v>
      </c>
      <c r="G117">
        <v>12789000</v>
      </c>
      <c r="H117">
        <f t="shared" si="2"/>
        <v>288.00002267573694</v>
      </c>
      <c r="I117">
        <f t="shared" si="3"/>
        <v>290</v>
      </c>
      <c r="J117" t="s">
        <v>29</v>
      </c>
      <c r="K117">
        <v>6</v>
      </c>
      <c r="L117" t="e">
        <f t="array" ref="L117">VLOOKUP(J117:$J$3871&amp;K117:$K$3871,CHOOSE({1,2},#REF!&amp;#REF!,#REF!),2,0)</f>
        <v>#N/A</v>
      </c>
      <c r="M117">
        <v>-15</v>
      </c>
      <c r="N117">
        <v>0</v>
      </c>
      <c r="O117" t="s">
        <v>7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0</v>
      </c>
      <c r="AA117" t="s">
        <v>2895</v>
      </c>
      <c r="AB117" t="s">
        <v>416</v>
      </c>
      <c r="AC117" t="s">
        <v>2895</v>
      </c>
      <c r="AD117" t="e">
        <f>VLOOKUP(AB117,#REF!,2,FALSE)</f>
        <v>#REF!</v>
      </c>
      <c r="AE117" t="e">
        <f>RIGHT(#REF!,(FIND("Complex",#REF!,1)-9))</f>
        <v>#REF!</v>
      </c>
    </row>
    <row r="118" spans="1:31" x14ac:dyDescent="0.25">
      <c r="A118">
        <v>567</v>
      </c>
      <c r="B118" t="s">
        <v>94</v>
      </c>
      <c r="C118">
        <v>7</v>
      </c>
      <c r="D118">
        <v>97</v>
      </c>
      <c r="E118">
        <v>567</v>
      </c>
      <c r="F118">
        <v>2646001</v>
      </c>
      <c r="G118">
        <v>2734200</v>
      </c>
      <c r="H118">
        <f t="shared" si="2"/>
        <v>60.000022675736965</v>
      </c>
      <c r="I118">
        <f t="shared" si="3"/>
        <v>62</v>
      </c>
      <c r="J118" t="s">
        <v>29</v>
      </c>
      <c r="K118">
        <v>6</v>
      </c>
      <c r="L118" t="e">
        <f t="array" ref="L118">VLOOKUP(J118:$J$3871&amp;K118:$K$3871,CHOOSE({1,2},#REF!&amp;#REF!,#REF!),2,0)</f>
        <v>#N/A</v>
      </c>
      <c r="M118">
        <v>-15</v>
      </c>
      <c r="N118">
        <v>0</v>
      </c>
      <c r="O118" t="s">
        <v>7</v>
      </c>
      <c r="P118">
        <v>1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1</v>
      </c>
      <c r="AA118" t="s">
        <v>2780</v>
      </c>
      <c r="AB118" t="s">
        <v>455</v>
      </c>
      <c r="AC118" t="s">
        <v>2780</v>
      </c>
      <c r="AD118" t="e">
        <f>VLOOKUP(AB118,#REF!,2,FALSE)</f>
        <v>#REF!</v>
      </c>
      <c r="AE118" t="e">
        <f>RIGHT(#REF!,(FIND("Complex",#REF!,1)-8))</f>
        <v>#REF!</v>
      </c>
    </row>
    <row r="119" spans="1:31" x14ac:dyDescent="0.25">
      <c r="A119">
        <v>2572</v>
      </c>
      <c r="B119" t="s">
        <v>94</v>
      </c>
      <c r="C119">
        <v>7</v>
      </c>
      <c r="D119">
        <v>517</v>
      </c>
      <c r="E119">
        <v>2572</v>
      </c>
      <c r="F119">
        <v>1675801</v>
      </c>
      <c r="G119">
        <v>1764000</v>
      </c>
      <c r="H119">
        <f t="shared" si="2"/>
        <v>38.000022675736965</v>
      </c>
      <c r="I119">
        <f t="shared" si="3"/>
        <v>40</v>
      </c>
      <c r="J119" t="s">
        <v>29</v>
      </c>
      <c r="K119">
        <v>6</v>
      </c>
      <c r="L119" t="e">
        <f t="array" ref="L119">VLOOKUP(J119:$J$3871&amp;K119:$K$3871,CHOOSE({1,2},#REF!&amp;#REF!,#REF!),2,0)</f>
        <v>#N/A</v>
      </c>
      <c r="M119">
        <v>-15</v>
      </c>
      <c r="N119">
        <v>0</v>
      </c>
      <c r="O119" t="s">
        <v>7</v>
      </c>
      <c r="P119">
        <v>1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1</v>
      </c>
      <c r="W119">
        <v>1</v>
      </c>
      <c r="X119">
        <v>1</v>
      </c>
      <c r="Y119">
        <v>0</v>
      </c>
      <c r="Z119">
        <v>0</v>
      </c>
      <c r="AA119" t="s">
        <v>2842</v>
      </c>
      <c r="AB119" t="s">
        <v>456</v>
      </c>
      <c r="AC119" t="s">
        <v>2842</v>
      </c>
      <c r="AD119" t="e">
        <f>VLOOKUP(AB119,#REF!,2,FALSE)</f>
        <v>#REF!</v>
      </c>
      <c r="AE119" t="e">
        <f>RIGHT(#REF!,(FIND("Complex",#REF!,1)-9))</f>
        <v>#REF!</v>
      </c>
    </row>
    <row r="120" spans="1:31" x14ac:dyDescent="0.25">
      <c r="A120">
        <v>2667</v>
      </c>
      <c r="B120" t="s">
        <v>94</v>
      </c>
      <c r="C120">
        <v>7</v>
      </c>
      <c r="D120">
        <v>547</v>
      </c>
      <c r="E120">
        <v>2667</v>
      </c>
      <c r="F120">
        <v>1323001</v>
      </c>
      <c r="G120">
        <v>1411200</v>
      </c>
      <c r="H120">
        <f t="shared" si="2"/>
        <v>30.000022675736961</v>
      </c>
      <c r="I120">
        <f t="shared" si="3"/>
        <v>32</v>
      </c>
      <c r="J120" t="s">
        <v>29</v>
      </c>
      <c r="K120">
        <v>6</v>
      </c>
      <c r="L120" t="e">
        <f t="array" ref="L120">VLOOKUP(J120:$J$3871&amp;K120:$K$3871,CHOOSE({1,2},#REF!&amp;#REF!,#REF!),2,0)</f>
        <v>#N/A</v>
      </c>
      <c r="M120">
        <v>-15</v>
      </c>
      <c r="N120">
        <v>0</v>
      </c>
      <c r="O120" t="s">
        <v>7</v>
      </c>
      <c r="P120">
        <v>1</v>
      </c>
      <c r="Q120">
        <v>1</v>
      </c>
      <c r="R120">
        <v>0</v>
      </c>
      <c r="S120">
        <v>0</v>
      </c>
      <c r="T120">
        <v>1</v>
      </c>
      <c r="U120">
        <v>0</v>
      </c>
      <c r="V120">
        <v>1</v>
      </c>
      <c r="W120">
        <v>1</v>
      </c>
      <c r="X120">
        <v>1</v>
      </c>
      <c r="Y120">
        <v>0</v>
      </c>
      <c r="Z120">
        <v>0</v>
      </c>
      <c r="AA120" t="s">
        <v>2884</v>
      </c>
      <c r="AB120" t="s">
        <v>457</v>
      </c>
      <c r="AC120" t="s">
        <v>2884</v>
      </c>
      <c r="AD120" t="e">
        <f>VLOOKUP(AB120,#REF!,2,FALSE)</f>
        <v>#REF!</v>
      </c>
      <c r="AE120" t="e">
        <f>RIGHT(#REF!,(FIND("Complex",#REF!,1)-9))</f>
        <v>#REF!</v>
      </c>
    </row>
    <row r="121" spans="1:31" x14ac:dyDescent="0.25">
      <c r="A121">
        <v>3569</v>
      </c>
      <c r="B121" t="s">
        <v>89</v>
      </c>
      <c r="C121">
        <v>8</v>
      </c>
      <c r="D121">
        <v>949</v>
      </c>
      <c r="E121">
        <v>3569</v>
      </c>
      <c r="F121">
        <v>3528001</v>
      </c>
      <c r="G121">
        <v>3616200</v>
      </c>
      <c r="H121">
        <f t="shared" si="2"/>
        <v>80.000022675736957</v>
      </c>
      <c r="I121">
        <f t="shared" si="3"/>
        <v>82</v>
      </c>
      <c r="J121" t="s">
        <v>29</v>
      </c>
      <c r="K121">
        <v>6</v>
      </c>
      <c r="L121" t="e">
        <f t="array" ref="L121">VLOOKUP(J121:$J$3871&amp;K121:$K$3871,CHOOSE({1,2},#REF!&amp;#REF!,#REF!),2,0)</f>
        <v>#N/A</v>
      </c>
      <c r="M121">
        <v>-15</v>
      </c>
      <c r="N121">
        <v>0</v>
      </c>
      <c r="O121" t="s">
        <v>7</v>
      </c>
      <c r="P121">
        <v>1</v>
      </c>
      <c r="Q121">
        <v>1</v>
      </c>
      <c r="R121">
        <v>0</v>
      </c>
      <c r="S121">
        <v>1</v>
      </c>
      <c r="T121">
        <v>1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0</v>
      </c>
      <c r="AA121" t="s">
        <v>2696</v>
      </c>
      <c r="AB121" t="s">
        <v>489</v>
      </c>
      <c r="AC121" t="s">
        <v>2696</v>
      </c>
      <c r="AD121" t="e">
        <f>VLOOKUP(AB121,#REF!,2,FALSE)</f>
        <v>#REF!</v>
      </c>
      <c r="AE121" t="e">
        <f>RIGHT(#REF!,(FIND("Complex",#REF!,1)-9))</f>
        <v>#REF!</v>
      </c>
    </row>
    <row r="122" spans="1:31" x14ac:dyDescent="0.25">
      <c r="A122">
        <v>2683</v>
      </c>
      <c r="B122" t="s">
        <v>89</v>
      </c>
      <c r="C122">
        <v>8</v>
      </c>
      <c r="D122">
        <v>552</v>
      </c>
      <c r="E122">
        <v>2683</v>
      </c>
      <c r="F122">
        <v>3263401</v>
      </c>
      <c r="G122">
        <v>3351600</v>
      </c>
      <c r="H122">
        <f t="shared" si="2"/>
        <v>74.000022675736957</v>
      </c>
      <c r="I122">
        <f t="shared" si="3"/>
        <v>76</v>
      </c>
      <c r="J122" t="s">
        <v>29</v>
      </c>
      <c r="K122">
        <v>6</v>
      </c>
      <c r="L122" t="e">
        <f t="array" ref="L122">VLOOKUP(J122:$J$3871&amp;K122:$K$3871,CHOOSE({1,2},#REF!&amp;#REF!,#REF!),2,0)</f>
        <v>#N/A</v>
      </c>
      <c r="M122">
        <v>-15</v>
      </c>
      <c r="N122">
        <v>0</v>
      </c>
      <c r="O122" t="s">
        <v>7</v>
      </c>
      <c r="P122">
        <v>1</v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1</v>
      </c>
      <c r="X122">
        <v>1</v>
      </c>
      <c r="Y122">
        <v>1</v>
      </c>
      <c r="Z122">
        <v>0</v>
      </c>
      <c r="AA122" t="s">
        <v>2722</v>
      </c>
      <c r="AB122" t="s">
        <v>490</v>
      </c>
      <c r="AC122" t="s">
        <v>2722</v>
      </c>
      <c r="AD122" t="e">
        <f>VLOOKUP(AB122,#REF!,2,FALSE)</f>
        <v>#REF!</v>
      </c>
      <c r="AE122" t="e">
        <f>RIGHT(#REF!,(FIND("Complex",#REF!,1)-9))</f>
        <v>#REF!</v>
      </c>
    </row>
    <row r="123" spans="1:31" x14ac:dyDescent="0.25">
      <c r="A123">
        <v>3550</v>
      </c>
      <c r="B123" t="s">
        <v>89</v>
      </c>
      <c r="C123">
        <v>8</v>
      </c>
      <c r="D123">
        <v>942</v>
      </c>
      <c r="E123">
        <v>3550</v>
      </c>
      <c r="F123">
        <v>9966601</v>
      </c>
      <c r="G123">
        <v>10054800</v>
      </c>
      <c r="H123">
        <f t="shared" si="2"/>
        <v>226.00002267573697</v>
      </c>
      <c r="I123">
        <f t="shared" si="3"/>
        <v>228</v>
      </c>
      <c r="J123" t="s">
        <v>29</v>
      </c>
      <c r="K123">
        <v>6</v>
      </c>
      <c r="L123" t="e">
        <f t="array" ref="L123">VLOOKUP(J123:$J$3871&amp;K123:$K$3871,CHOOSE({1,2},#REF!&amp;#REF!,#REF!),2,0)</f>
        <v>#N/A</v>
      </c>
      <c r="M123">
        <v>-15</v>
      </c>
      <c r="N123">
        <v>0</v>
      </c>
      <c r="O123" t="s">
        <v>7</v>
      </c>
      <c r="P123">
        <v>1</v>
      </c>
      <c r="Q123">
        <v>1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1</v>
      </c>
      <c r="X123">
        <v>1</v>
      </c>
      <c r="Y123">
        <v>0</v>
      </c>
      <c r="Z123">
        <v>1</v>
      </c>
      <c r="AA123" t="s">
        <v>2989</v>
      </c>
      <c r="AB123" t="s">
        <v>491</v>
      </c>
      <c r="AC123" t="s">
        <v>2989</v>
      </c>
      <c r="AD123" t="e">
        <f>VLOOKUP(AB123,#REF!,2,FALSE)</f>
        <v>#REF!</v>
      </c>
      <c r="AE123" t="e">
        <f>RIGHT(#REF!,(FIND("Complex",#REF!,1)-8))</f>
        <v>#REF!</v>
      </c>
    </row>
    <row r="124" spans="1:31" x14ac:dyDescent="0.25">
      <c r="A124">
        <v>3172</v>
      </c>
      <c r="B124" t="s">
        <v>89</v>
      </c>
      <c r="C124">
        <v>8</v>
      </c>
      <c r="D124">
        <v>758</v>
      </c>
      <c r="E124">
        <v>3172</v>
      </c>
      <c r="F124">
        <v>9172801</v>
      </c>
      <c r="G124">
        <v>9261000</v>
      </c>
      <c r="H124">
        <f t="shared" si="2"/>
        <v>208.00002267573697</v>
      </c>
      <c r="I124">
        <f t="shared" si="3"/>
        <v>210</v>
      </c>
      <c r="J124" t="s">
        <v>29</v>
      </c>
      <c r="K124">
        <v>6</v>
      </c>
      <c r="L124" t="e">
        <f t="array" ref="L124">VLOOKUP(J124:$J$3871&amp;K124:$K$3871,CHOOSE({1,2},#REF!&amp;#REF!,#REF!),2,0)</f>
        <v>#N/A</v>
      </c>
      <c r="M124">
        <v>-15</v>
      </c>
      <c r="N124">
        <v>0</v>
      </c>
      <c r="O124" t="s">
        <v>7</v>
      </c>
      <c r="P124">
        <v>1</v>
      </c>
      <c r="Q124">
        <v>1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1</v>
      </c>
      <c r="Y124">
        <v>0</v>
      </c>
      <c r="Z124">
        <v>1</v>
      </c>
      <c r="AA124" t="s">
        <v>3033</v>
      </c>
      <c r="AB124" t="s">
        <v>492</v>
      </c>
      <c r="AC124" t="s">
        <v>3033</v>
      </c>
      <c r="AD124" t="e">
        <f>VLOOKUP(AB124,#REF!,2,FALSE)</f>
        <v>#REF!</v>
      </c>
      <c r="AE124" t="e">
        <f>RIGHT(#REF!,(FIND("Complex",#REF!,1)-8))</f>
        <v>#REF!</v>
      </c>
    </row>
    <row r="125" spans="1:31" x14ac:dyDescent="0.25">
      <c r="A125">
        <v>3461</v>
      </c>
      <c r="B125" t="s">
        <v>89</v>
      </c>
      <c r="C125">
        <v>8</v>
      </c>
      <c r="D125">
        <v>906</v>
      </c>
      <c r="E125">
        <v>3461</v>
      </c>
      <c r="F125">
        <v>8908201</v>
      </c>
      <c r="G125">
        <v>8996400</v>
      </c>
      <c r="H125">
        <f t="shared" si="2"/>
        <v>202.00002267573697</v>
      </c>
      <c r="I125">
        <f t="shared" si="3"/>
        <v>204</v>
      </c>
      <c r="J125" t="s">
        <v>29</v>
      </c>
      <c r="K125">
        <v>6</v>
      </c>
      <c r="L125" t="e">
        <f t="array" ref="L125">VLOOKUP(J125:$J$3871&amp;K125:$K$3871,CHOOSE({1,2},#REF!&amp;#REF!,#REF!),2,0)</f>
        <v>#N/A</v>
      </c>
      <c r="M125">
        <v>-15</v>
      </c>
      <c r="N125">
        <v>0</v>
      </c>
      <c r="O125" t="s">
        <v>7</v>
      </c>
      <c r="P125">
        <v>1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1</v>
      </c>
      <c r="Y125">
        <v>0</v>
      </c>
      <c r="Z125">
        <v>1</v>
      </c>
      <c r="AA125" t="s">
        <v>3047</v>
      </c>
      <c r="AB125" t="s">
        <v>493</v>
      </c>
      <c r="AC125" t="s">
        <v>3047</v>
      </c>
      <c r="AD125" t="e">
        <f>VLOOKUP(AB125,#REF!,2,FALSE)</f>
        <v>#REF!</v>
      </c>
      <c r="AE125" t="e">
        <f>RIGHT(#REF!,(FIND("Complex",#REF!,1)-8))</f>
        <v>#REF!</v>
      </c>
    </row>
    <row r="126" spans="1:31" x14ac:dyDescent="0.25">
      <c r="A126">
        <v>2909</v>
      </c>
      <c r="B126" t="s">
        <v>89</v>
      </c>
      <c r="C126">
        <v>8</v>
      </c>
      <c r="D126">
        <v>640</v>
      </c>
      <c r="E126">
        <v>2909</v>
      </c>
      <c r="F126">
        <v>5203801</v>
      </c>
      <c r="G126">
        <v>5292000</v>
      </c>
      <c r="H126">
        <f t="shared" si="2"/>
        <v>118.00002267573696</v>
      </c>
      <c r="I126">
        <f t="shared" si="3"/>
        <v>120</v>
      </c>
      <c r="J126" t="s">
        <v>29</v>
      </c>
      <c r="K126">
        <v>6</v>
      </c>
      <c r="L126" t="e">
        <f t="array" ref="L126">VLOOKUP(J126:$J$3871&amp;K126:$K$3871,CHOOSE({1,2},#REF!&amp;#REF!,#REF!),2,0)</f>
        <v>#N/A</v>
      </c>
      <c r="M126">
        <v>-15</v>
      </c>
      <c r="N126">
        <v>0</v>
      </c>
      <c r="O126" t="s">
        <v>7</v>
      </c>
      <c r="P126">
        <v>1</v>
      </c>
      <c r="Q126">
        <v>1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1</v>
      </c>
      <c r="X126">
        <v>1</v>
      </c>
      <c r="Y126">
        <v>0</v>
      </c>
      <c r="Z126">
        <v>1</v>
      </c>
      <c r="AA126" t="s">
        <v>3391</v>
      </c>
      <c r="AB126" t="s">
        <v>494</v>
      </c>
      <c r="AC126" t="s">
        <v>3391</v>
      </c>
      <c r="AD126" t="e">
        <f>VLOOKUP(AB126,#REF!,2,FALSE)</f>
        <v>#REF!</v>
      </c>
      <c r="AE126" t="e">
        <f>RIGHT(#REF!,(FIND("Complex",#REF!,1)-8))</f>
        <v>#REF!</v>
      </c>
    </row>
    <row r="127" spans="1:31" x14ac:dyDescent="0.25">
      <c r="A127">
        <v>3320</v>
      </c>
      <c r="B127" t="s">
        <v>79</v>
      </c>
      <c r="C127">
        <v>13</v>
      </c>
      <c r="D127">
        <v>837</v>
      </c>
      <c r="E127">
        <v>3320</v>
      </c>
      <c r="F127">
        <v>9702001</v>
      </c>
      <c r="G127">
        <v>9790200</v>
      </c>
      <c r="H127">
        <f t="shared" si="2"/>
        <v>220.00002267573697</v>
      </c>
      <c r="I127">
        <f t="shared" si="3"/>
        <v>222</v>
      </c>
      <c r="J127" t="s">
        <v>29</v>
      </c>
      <c r="K127">
        <v>6</v>
      </c>
      <c r="L127" t="e">
        <f t="array" ref="L127">VLOOKUP(J127:$J$3871&amp;K127:$K$3871,CHOOSE({1,2},#REF!&amp;#REF!,#REF!),2,0)</f>
        <v>#N/A</v>
      </c>
      <c r="M127">
        <v>-15</v>
      </c>
      <c r="N127">
        <v>0</v>
      </c>
      <c r="O127" t="s">
        <v>7</v>
      </c>
      <c r="P127">
        <v>1</v>
      </c>
      <c r="Q127">
        <v>1</v>
      </c>
      <c r="R127">
        <v>1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1</v>
      </c>
      <c r="Z127">
        <v>0</v>
      </c>
      <c r="AA127" t="s">
        <v>3006</v>
      </c>
      <c r="AB127" t="s">
        <v>531</v>
      </c>
      <c r="AC127" t="s">
        <v>3006</v>
      </c>
      <c r="AD127" t="e">
        <f>VLOOKUP(AB127,#REF!,2,FALSE)</f>
        <v>#REF!</v>
      </c>
      <c r="AE127" t="e">
        <f>RIGHT(#REF!,(FIND("Complex",#REF!,1)-7))</f>
        <v>#REF!</v>
      </c>
    </row>
    <row r="128" spans="1:31" x14ac:dyDescent="0.25">
      <c r="A128">
        <v>3484</v>
      </c>
      <c r="B128" t="s">
        <v>79</v>
      </c>
      <c r="C128">
        <v>13</v>
      </c>
      <c r="D128">
        <v>914</v>
      </c>
      <c r="E128">
        <v>3484</v>
      </c>
      <c r="F128">
        <v>8467201</v>
      </c>
      <c r="G128">
        <v>8555400</v>
      </c>
      <c r="H128">
        <f t="shared" si="2"/>
        <v>192.00002267573697</v>
      </c>
      <c r="I128">
        <f t="shared" si="3"/>
        <v>194</v>
      </c>
      <c r="J128" t="s">
        <v>29</v>
      </c>
      <c r="K128">
        <v>6</v>
      </c>
      <c r="L128" t="e">
        <f t="array" ref="L128">VLOOKUP(J128:$J$3871&amp;K128:$K$3871,CHOOSE({1,2},#REF!&amp;#REF!,#REF!),2,0)</f>
        <v>#N/A</v>
      </c>
      <c r="M128">
        <v>-15</v>
      </c>
      <c r="N128">
        <v>0</v>
      </c>
      <c r="O128" t="s">
        <v>7</v>
      </c>
      <c r="P128">
        <v>1</v>
      </c>
      <c r="Q128">
        <v>1</v>
      </c>
      <c r="R128">
        <v>1</v>
      </c>
      <c r="S128">
        <v>0</v>
      </c>
      <c r="T128">
        <v>0</v>
      </c>
      <c r="U128">
        <v>1</v>
      </c>
      <c r="V128">
        <v>0</v>
      </c>
      <c r="W128">
        <v>1</v>
      </c>
      <c r="X128">
        <v>0</v>
      </c>
      <c r="Y128">
        <v>1</v>
      </c>
      <c r="Z128">
        <v>0</v>
      </c>
      <c r="AA128" t="s">
        <v>3080</v>
      </c>
      <c r="AB128" t="s">
        <v>532</v>
      </c>
      <c r="AC128" t="s">
        <v>3080</v>
      </c>
      <c r="AD128" t="e">
        <f>VLOOKUP(AB128,#REF!,2,FALSE)</f>
        <v>#REF!</v>
      </c>
      <c r="AE128" t="e">
        <f>RIGHT(#REF!,(FIND("Complex",#REF!,1)-7))</f>
        <v>#REF!</v>
      </c>
    </row>
    <row r="129" spans="1:31" x14ac:dyDescent="0.25">
      <c r="A129">
        <v>3022</v>
      </c>
      <c r="B129" t="s">
        <v>79</v>
      </c>
      <c r="C129">
        <v>13</v>
      </c>
      <c r="D129">
        <v>691</v>
      </c>
      <c r="E129">
        <v>3022</v>
      </c>
      <c r="F129">
        <v>7673401</v>
      </c>
      <c r="G129">
        <v>7761600</v>
      </c>
      <c r="H129">
        <f t="shared" si="2"/>
        <v>174.00002267573697</v>
      </c>
      <c r="I129">
        <f t="shared" si="3"/>
        <v>176</v>
      </c>
      <c r="J129" t="s">
        <v>29</v>
      </c>
      <c r="K129">
        <v>6</v>
      </c>
      <c r="L129" t="e">
        <f t="array" ref="L129">VLOOKUP(J129:$J$3871&amp;K129:$K$3871,CHOOSE({1,2},#REF!&amp;#REF!,#REF!),2,0)</f>
        <v>#N/A</v>
      </c>
      <c r="M129">
        <v>-15</v>
      </c>
      <c r="N129">
        <v>0</v>
      </c>
      <c r="O129" t="s">
        <v>7</v>
      </c>
      <c r="P129">
        <v>1</v>
      </c>
      <c r="Q129">
        <v>1</v>
      </c>
      <c r="R129">
        <v>1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1</v>
      </c>
      <c r="Z129">
        <v>0</v>
      </c>
      <c r="AA129" t="s">
        <v>3161</v>
      </c>
      <c r="AB129" t="s">
        <v>533</v>
      </c>
      <c r="AC129" t="s">
        <v>3161</v>
      </c>
      <c r="AD129" t="e">
        <f>VLOOKUP(AB129,#REF!,2,FALSE)</f>
        <v>#REF!</v>
      </c>
      <c r="AE129" t="e">
        <f>RIGHT(#REF!,(FIND("Complex",#REF!,1)-7))</f>
        <v>#REF!</v>
      </c>
    </row>
    <row r="130" spans="1:31" x14ac:dyDescent="0.25">
      <c r="A130">
        <v>641</v>
      </c>
      <c r="B130" t="s">
        <v>79</v>
      </c>
      <c r="C130">
        <v>13</v>
      </c>
      <c r="D130">
        <v>111</v>
      </c>
      <c r="E130">
        <v>641</v>
      </c>
      <c r="F130">
        <v>6350401</v>
      </c>
      <c r="G130">
        <v>6438600</v>
      </c>
      <c r="H130">
        <f t="shared" ref="H130:H193" si="4">F130/44100</f>
        <v>144.00002267573697</v>
      </c>
      <c r="I130">
        <f t="shared" ref="I130:I193" si="5">G130/44100</f>
        <v>146</v>
      </c>
      <c r="J130" t="s">
        <v>29</v>
      </c>
      <c r="K130">
        <v>6</v>
      </c>
      <c r="L130" t="e">
        <f t="array" ref="L130">VLOOKUP(J130:$J$3871&amp;K130:$K$3871,CHOOSE({1,2},#REF!&amp;#REF!,#REF!),2,0)</f>
        <v>#N/A</v>
      </c>
      <c r="M130">
        <v>-15</v>
      </c>
      <c r="N130">
        <v>0</v>
      </c>
      <c r="O130" t="s">
        <v>7</v>
      </c>
      <c r="P130">
        <v>1</v>
      </c>
      <c r="Q130">
        <v>1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1</v>
      </c>
      <c r="X130">
        <v>0</v>
      </c>
      <c r="Y130">
        <v>1</v>
      </c>
      <c r="Z130">
        <v>0</v>
      </c>
      <c r="AA130" t="s">
        <v>3251</v>
      </c>
      <c r="AB130" t="s">
        <v>534</v>
      </c>
      <c r="AC130" t="s">
        <v>3251</v>
      </c>
      <c r="AD130" t="e">
        <f>VLOOKUP(AB130,#REF!,2,FALSE)</f>
        <v>#REF!</v>
      </c>
      <c r="AE130" t="e">
        <f>RIGHT(#REF!,(FIND("Complex",#REF!,1)-6))</f>
        <v>#REF!</v>
      </c>
    </row>
    <row r="131" spans="1:31" x14ac:dyDescent="0.25">
      <c r="A131">
        <v>3090</v>
      </c>
      <c r="B131" t="s">
        <v>79</v>
      </c>
      <c r="C131">
        <v>13</v>
      </c>
      <c r="D131">
        <v>723</v>
      </c>
      <c r="E131">
        <v>3090</v>
      </c>
      <c r="F131">
        <v>4674601</v>
      </c>
      <c r="G131">
        <v>4762800</v>
      </c>
      <c r="H131">
        <f t="shared" si="4"/>
        <v>106.00002267573696</v>
      </c>
      <c r="I131">
        <f t="shared" si="5"/>
        <v>108</v>
      </c>
      <c r="J131" t="s">
        <v>29</v>
      </c>
      <c r="K131">
        <v>6</v>
      </c>
      <c r="L131" t="e">
        <f t="array" ref="L131">VLOOKUP(J131:$J$3871&amp;K131:$K$3871,CHOOSE({1,2},#REF!&amp;#REF!,#REF!),2,0)</f>
        <v>#N/A</v>
      </c>
      <c r="M131">
        <v>-15</v>
      </c>
      <c r="N131">
        <v>0</v>
      </c>
      <c r="O131" t="s">
        <v>7</v>
      </c>
      <c r="P131">
        <v>1</v>
      </c>
      <c r="Q131">
        <v>1</v>
      </c>
      <c r="R131">
        <v>1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1</v>
      </c>
      <c r="Z131">
        <v>0</v>
      </c>
      <c r="AA131" t="s">
        <v>3469</v>
      </c>
      <c r="AB131" t="s">
        <v>535</v>
      </c>
      <c r="AC131" t="s">
        <v>3469</v>
      </c>
      <c r="AD131" t="e">
        <f>VLOOKUP(AB131,#REF!,2,FALSE)</f>
        <v>#REF!</v>
      </c>
      <c r="AE131" t="e">
        <f>RIGHT(#REF!,(FIND("Complex",#REF!,1)-7))</f>
        <v>#REF!</v>
      </c>
    </row>
    <row r="132" spans="1:31" x14ac:dyDescent="0.25">
      <c r="A132">
        <v>1423</v>
      </c>
      <c r="B132" t="s">
        <v>28</v>
      </c>
      <c r="C132">
        <v>14</v>
      </c>
      <c r="D132">
        <v>239</v>
      </c>
      <c r="E132">
        <v>1423</v>
      </c>
      <c r="F132">
        <v>12524401</v>
      </c>
      <c r="G132">
        <v>12612600</v>
      </c>
      <c r="H132">
        <f t="shared" si="4"/>
        <v>284.00002267573694</v>
      </c>
      <c r="I132">
        <f t="shared" si="5"/>
        <v>286</v>
      </c>
      <c r="J132" t="s">
        <v>29</v>
      </c>
      <c r="K132">
        <v>6</v>
      </c>
      <c r="L132" t="e">
        <f t="array" ref="L132">VLOOKUP(J132:$J$3871&amp;K132:$K$3871,CHOOSE({1,2},#REF!&amp;#REF!,#REF!),2,0)</f>
        <v>#N/A</v>
      </c>
      <c r="M132">
        <v>-15</v>
      </c>
      <c r="N132">
        <v>0</v>
      </c>
      <c r="O132" t="s">
        <v>7</v>
      </c>
      <c r="P132">
        <v>1</v>
      </c>
      <c r="Q132">
        <v>1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1</v>
      </c>
      <c r="X132">
        <v>1</v>
      </c>
      <c r="Y132">
        <v>0</v>
      </c>
      <c r="Z132">
        <v>0</v>
      </c>
      <c r="AA132" t="s">
        <v>2898</v>
      </c>
      <c r="AB132" t="s">
        <v>6218</v>
      </c>
      <c r="AC132" t="s">
        <v>2898</v>
      </c>
      <c r="AD132" t="e">
        <f>VLOOKUP(AB132,#REF!,2,FALSE)</f>
        <v>#REF!</v>
      </c>
      <c r="AE132" t="e">
        <f>RIGHT(#REF!,(FIND("Complex",#REF!,1)-7))</f>
        <v>#REF!</v>
      </c>
    </row>
    <row r="133" spans="1:31" x14ac:dyDescent="0.25">
      <c r="A133">
        <v>3815</v>
      </c>
      <c r="B133" t="s">
        <v>28</v>
      </c>
      <c r="C133">
        <v>14</v>
      </c>
      <c r="D133">
        <v>1036</v>
      </c>
      <c r="E133">
        <v>3815</v>
      </c>
      <c r="F133">
        <v>11907001</v>
      </c>
      <c r="G133">
        <v>11995200</v>
      </c>
      <c r="H133">
        <f t="shared" si="4"/>
        <v>270.00002267573694</v>
      </c>
      <c r="I133">
        <f t="shared" si="5"/>
        <v>272</v>
      </c>
      <c r="J133" t="s">
        <v>29</v>
      </c>
      <c r="K133">
        <v>6</v>
      </c>
      <c r="L133" t="e">
        <f t="array" ref="L133">VLOOKUP(J133:$J$3871&amp;K133:$K$3871,CHOOSE({1,2},#REF!&amp;#REF!,#REF!),2,0)</f>
        <v>#N/A</v>
      </c>
      <c r="M133">
        <v>-15</v>
      </c>
      <c r="N133">
        <v>0</v>
      </c>
      <c r="O133" t="s">
        <v>7</v>
      </c>
      <c r="P133">
        <v>1</v>
      </c>
      <c r="Q133">
        <v>1</v>
      </c>
      <c r="R133">
        <v>0</v>
      </c>
      <c r="S133">
        <v>1</v>
      </c>
      <c r="T133">
        <v>1</v>
      </c>
      <c r="U133">
        <v>0</v>
      </c>
      <c r="V133">
        <v>0</v>
      </c>
      <c r="W133">
        <v>1</v>
      </c>
      <c r="X133">
        <v>1</v>
      </c>
      <c r="Y133">
        <v>0</v>
      </c>
      <c r="Z133">
        <v>0</v>
      </c>
      <c r="AA133" t="s">
        <v>2910</v>
      </c>
      <c r="AB133" t="s">
        <v>6222</v>
      </c>
      <c r="AC133" t="s">
        <v>2910</v>
      </c>
      <c r="AD133" t="e">
        <f>VLOOKUP(AB133,#REF!,2,FALSE)</f>
        <v>#REF!</v>
      </c>
      <c r="AE133" t="e">
        <f>RIGHT(#REF!,(FIND("Complex",#REF!,1)-8))</f>
        <v>#REF!</v>
      </c>
    </row>
    <row r="134" spans="1:31" x14ac:dyDescent="0.25">
      <c r="A134">
        <v>2528</v>
      </c>
      <c r="B134" t="s">
        <v>28</v>
      </c>
      <c r="C134">
        <v>14</v>
      </c>
      <c r="D134">
        <v>496</v>
      </c>
      <c r="E134">
        <v>2528</v>
      </c>
      <c r="F134">
        <v>10231201</v>
      </c>
      <c r="G134">
        <v>10319400</v>
      </c>
      <c r="H134">
        <f t="shared" si="4"/>
        <v>232.00002267573697</v>
      </c>
      <c r="I134">
        <f t="shared" si="5"/>
        <v>234</v>
      </c>
      <c r="J134" t="s">
        <v>29</v>
      </c>
      <c r="K134">
        <v>6</v>
      </c>
      <c r="L134" t="e">
        <f t="array" ref="L134">VLOOKUP(J134:$J$3871&amp;K134:$K$3871,CHOOSE({1,2},#REF!&amp;#REF!,#REF!),2,0)</f>
        <v>#N/A</v>
      </c>
      <c r="M134">
        <v>-15</v>
      </c>
      <c r="N134">
        <v>0</v>
      </c>
      <c r="O134" t="s">
        <v>7</v>
      </c>
      <c r="P134">
        <v>1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1</v>
      </c>
      <c r="X134">
        <v>1</v>
      </c>
      <c r="Y134">
        <v>0</v>
      </c>
      <c r="Z134">
        <v>1</v>
      </c>
      <c r="AA134" t="s">
        <v>2975</v>
      </c>
      <c r="AB134" t="s">
        <v>155</v>
      </c>
      <c r="AC134" t="s">
        <v>2975</v>
      </c>
      <c r="AD134" t="e">
        <f>VLOOKUP(AB134,#REF!,2,FALSE)</f>
        <v>#REF!</v>
      </c>
      <c r="AE134" t="e">
        <f>RIGHT(#REF!,(FIND("Complex",#REF!,1)-7))</f>
        <v>#REF!</v>
      </c>
    </row>
    <row r="135" spans="1:31" x14ac:dyDescent="0.25">
      <c r="A135">
        <v>3567</v>
      </c>
      <c r="B135" t="s">
        <v>28</v>
      </c>
      <c r="C135">
        <v>14</v>
      </c>
      <c r="D135">
        <v>948</v>
      </c>
      <c r="E135">
        <v>3567</v>
      </c>
      <c r="F135">
        <v>10143001</v>
      </c>
      <c r="G135">
        <v>10231200</v>
      </c>
      <c r="H135">
        <f t="shared" si="4"/>
        <v>230.00002267573697</v>
      </c>
      <c r="I135">
        <f t="shared" si="5"/>
        <v>232</v>
      </c>
      <c r="J135" t="s">
        <v>29</v>
      </c>
      <c r="K135">
        <v>6</v>
      </c>
      <c r="L135" t="e">
        <f t="array" ref="L135">VLOOKUP(J135:$J$3871&amp;K135:$K$3871,CHOOSE({1,2},#REF!&amp;#REF!,#REF!),2,0)</f>
        <v>#N/A</v>
      </c>
      <c r="M135">
        <v>-15</v>
      </c>
      <c r="N135">
        <v>0</v>
      </c>
      <c r="O135" t="s">
        <v>7</v>
      </c>
      <c r="P135">
        <v>1</v>
      </c>
      <c r="Q135">
        <v>1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1</v>
      </c>
      <c r="X135">
        <v>1</v>
      </c>
      <c r="Y135">
        <v>0</v>
      </c>
      <c r="Z135">
        <v>0</v>
      </c>
      <c r="AA135" t="s">
        <v>2981</v>
      </c>
      <c r="AB135" t="s">
        <v>579</v>
      </c>
      <c r="AC135" t="s">
        <v>2981</v>
      </c>
      <c r="AD135" t="e">
        <f>VLOOKUP(AB135,#REF!,2,FALSE)</f>
        <v>#REF!</v>
      </c>
      <c r="AE135" t="e">
        <f>RIGHT(#REF!,(FIND("Complex",#REF!,1)-7))</f>
        <v>#REF!</v>
      </c>
    </row>
    <row r="136" spans="1:31" x14ac:dyDescent="0.25">
      <c r="A136">
        <v>2129</v>
      </c>
      <c r="B136" t="s">
        <v>28</v>
      </c>
      <c r="C136">
        <v>14</v>
      </c>
      <c r="D136">
        <v>382</v>
      </c>
      <c r="E136">
        <v>2129</v>
      </c>
      <c r="F136">
        <v>9790201</v>
      </c>
      <c r="G136">
        <v>9878400</v>
      </c>
      <c r="H136">
        <f t="shared" si="4"/>
        <v>222.00002267573697</v>
      </c>
      <c r="I136">
        <f t="shared" si="5"/>
        <v>224</v>
      </c>
      <c r="J136" t="s">
        <v>29</v>
      </c>
      <c r="K136">
        <v>6</v>
      </c>
      <c r="L136" t="e">
        <f t="array" ref="L136">VLOOKUP(J136:$J$3871&amp;K136:$K$3871,CHOOSE({1,2},#REF!&amp;#REF!,#REF!),2,0)</f>
        <v>#N/A</v>
      </c>
      <c r="M136">
        <v>-15</v>
      </c>
      <c r="N136">
        <v>0</v>
      </c>
      <c r="O136" t="s">
        <v>7</v>
      </c>
      <c r="P136">
        <v>1</v>
      </c>
      <c r="Q136">
        <v>1</v>
      </c>
      <c r="R136">
        <v>0</v>
      </c>
      <c r="S136">
        <v>1</v>
      </c>
      <c r="T136">
        <v>1</v>
      </c>
      <c r="U136">
        <v>0</v>
      </c>
      <c r="V136">
        <v>0</v>
      </c>
      <c r="W136">
        <v>1</v>
      </c>
      <c r="X136">
        <v>1</v>
      </c>
      <c r="Y136">
        <v>0</v>
      </c>
      <c r="Z136">
        <v>0</v>
      </c>
      <c r="AA136" t="s">
        <v>3000</v>
      </c>
      <c r="AB136" t="s">
        <v>6241</v>
      </c>
      <c r="AC136" t="s">
        <v>3000</v>
      </c>
      <c r="AD136" t="e">
        <f>VLOOKUP(AB136,#REF!,2,FALSE)</f>
        <v>#REF!</v>
      </c>
      <c r="AE136" t="e">
        <f>RIGHT(#REF!,(FIND("Complex",#REF!,1)-7))</f>
        <v>#REF!</v>
      </c>
    </row>
    <row r="137" spans="1:31" x14ac:dyDescent="0.25">
      <c r="A137">
        <v>3140</v>
      </c>
      <c r="B137" t="s">
        <v>28</v>
      </c>
      <c r="C137">
        <v>14</v>
      </c>
      <c r="D137">
        <v>740</v>
      </c>
      <c r="E137">
        <v>3140</v>
      </c>
      <c r="F137">
        <v>9702001</v>
      </c>
      <c r="G137">
        <v>9790200</v>
      </c>
      <c r="H137">
        <f t="shared" si="4"/>
        <v>220.00002267573697</v>
      </c>
      <c r="I137">
        <f t="shared" si="5"/>
        <v>222</v>
      </c>
      <c r="J137" t="s">
        <v>29</v>
      </c>
      <c r="K137">
        <v>6</v>
      </c>
      <c r="L137" t="e">
        <f t="array" ref="L137">VLOOKUP(J137:$J$3871&amp;K137:$K$3871,CHOOSE({1,2},#REF!&amp;#REF!,#REF!),2,0)</f>
        <v>#N/A</v>
      </c>
      <c r="M137">
        <v>-15</v>
      </c>
      <c r="N137">
        <v>0</v>
      </c>
      <c r="O137" t="s">
        <v>7</v>
      </c>
      <c r="P137">
        <v>1</v>
      </c>
      <c r="Q137">
        <v>1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1</v>
      </c>
      <c r="X137">
        <v>1</v>
      </c>
      <c r="Y137">
        <v>0</v>
      </c>
      <c r="Z137">
        <v>0</v>
      </c>
      <c r="AA137" t="s">
        <v>3005</v>
      </c>
      <c r="AB137" t="s">
        <v>580</v>
      </c>
      <c r="AC137" t="s">
        <v>3005</v>
      </c>
      <c r="AD137" t="e">
        <f>VLOOKUP(AB137,#REF!,2,FALSE)</f>
        <v>#REF!</v>
      </c>
      <c r="AE137" t="e">
        <f>RIGHT(#REF!,(FIND("Complex",#REF!,1)-7))</f>
        <v>#REF!</v>
      </c>
    </row>
    <row r="138" spans="1:31" x14ac:dyDescent="0.25">
      <c r="A138">
        <v>3786</v>
      </c>
      <c r="B138" t="s">
        <v>28</v>
      </c>
      <c r="C138">
        <v>14</v>
      </c>
      <c r="D138">
        <v>1026</v>
      </c>
      <c r="E138">
        <v>3786</v>
      </c>
      <c r="F138">
        <v>8996401</v>
      </c>
      <c r="G138">
        <v>9084600</v>
      </c>
      <c r="H138">
        <f t="shared" si="4"/>
        <v>204.00002267573697</v>
      </c>
      <c r="I138">
        <f t="shared" si="5"/>
        <v>206</v>
      </c>
      <c r="J138" t="s">
        <v>29</v>
      </c>
      <c r="K138">
        <v>6</v>
      </c>
      <c r="L138" t="e">
        <f t="array" ref="L138">VLOOKUP(J138:$J$3871&amp;K138:$K$3871,CHOOSE({1,2},#REF!&amp;#REF!,#REF!),2,0)</f>
        <v>#N/A</v>
      </c>
      <c r="M138">
        <v>-15</v>
      </c>
      <c r="N138">
        <v>0</v>
      </c>
      <c r="O138" t="s">
        <v>7</v>
      </c>
      <c r="P138">
        <v>1</v>
      </c>
      <c r="Q138">
        <v>1</v>
      </c>
      <c r="R138">
        <v>0</v>
      </c>
      <c r="S138">
        <v>1</v>
      </c>
      <c r="T138">
        <v>1</v>
      </c>
      <c r="U138">
        <v>0</v>
      </c>
      <c r="V138">
        <v>0</v>
      </c>
      <c r="W138">
        <v>1</v>
      </c>
      <c r="X138">
        <v>1</v>
      </c>
      <c r="Y138">
        <v>0</v>
      </c>
      <c r="Z138">
        <v>0</v>
      </c>
      <c r="AA138" t="s">
        <v>3044</v>
      </c>
      <c r="AB138" t="s">
        <v>6250</v>
      </c>
      <c r="AC138" t="s">
        <v>3044</v>
      </c>
      <c r="AD138" t="e">
        <f>VLOOKUP(AB138,#REF!,2,FALSE)</f>
        <v>#REF!</v>
      </c>
      <c r="AE138" t="e">
        <f>RIGHT(#REF!,(FIND("Complex",#REF!,1)-8))</f>
        <v>#REF!</v>
      </c>
    </row>
    <row r="139" spans="1:31" x14ac:dyDescent="0.25">
      <c r="A139">
        <v>3585</v>
      </c>
      <c r="B139" t="s">
        <v>28</v>
      </c>
      <c r="C139">
        <v>14</v>
      </c>
      <c r="D139">
        <v>955</v>
      </c>
      <c r="E139">
        <v>3585</v>
      </c>
      <c r="F139">
        <v>8731801</v>
      </c>
      <c r="G139">
        <v>8820000</v>
      </c>
      <c r="H139">
        <f t="shared" si="4"/>
        <v>198.00002267573697</v>
      </c>
      <c r="I139">
        <f t="shared" si="5"/>
        <v>200</v>
      </c>
      <c r="J139" t="s">
        <v>29</v>
      </c>
      <c r="K139">
        <v>6</v>
      </c>
      <c r="L139" t="e">
        <f t="array" ref="L139">VLOOKUP(J139:$J$3871&amp;K139:$K$3871,CHOOSE({1,2},#REF!&amp;#REF!,#REF!),2,0)</f>
        <v>#N/A</v>
      </c>
      <c r="M139">
        <v>-15</v>
      </c>
      <c r="N139">
        <v>0</v>
      </c>
      <c r="O139" t="s">
        <v>7</v>
      </c>
      <c r="P139">
        <v>1</v>
      </c>
      <c r="Q139">
        <v>1</v>
      </c>
      <c r="R139">
        <v>0</v>
      </c>
      <c r="S139">
        <v>1</v>
      </c>
      <c r="T139">
        <v>1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0</v>
      </c>
      <c r="AA139" t="s">
        <v>3060</v>
      </c>
      <c r="AB139" t="s">
        <v>6254</v>
      </c>
      <c r="AC139" t="s">
        <v>3060</v>
      </c>
      <c r="AD139" t="e">
        <f>VLOOKUP(AB139,#REF!,2,FALSE)</f>
        <v>#REF!</v>
      </c>
      <c r="AE139" t="e">
        <f>RIGHT(#REF!,(FIND("Complex",#REF!,1)-7))</f>
        <v>#REF!</v>
      </c>
    </row>
    <row r="140" spans="1:31" x14ac:dyDescent="0.25">
      <c r="A140">
        <v>3723</v>
      </c>
      <c r="B140" t="s">
        <v>28</v>
      </c>
      <c r="C140">
        <v>14</v>
      </c>
      <c r="D140">
        <v>1006</v>
      </c>
      <c r="E140">
        <v>3723</v>
      </c>
      <c r="F140">
        <v>8467201</v>
      </c>
      <c r="G140">
        <v>8555400</v>
      </c>
      <c r="H140">
        <f t="shared" si="4"/>
        <v>192.00002267573697</v>
      </c>
      <c r="I140">
        <f t="shared" si="5"/>
        <v>194</v>
      </c>
      <c r="J140" t="s">
        <v>29</v>
      </c>
      <c r="K140">
        <v>6</v>
      </c>
      <c r="L140" t="e">
        <f t="array" ref="L140">VLOOKUP(J140:$J$3871&amp;K140:$K$3871,CHOOSE({1,2},#REF!&amp;#REF!,#REF!),2,0)</f>
        <v>#N/A</v>
      </c>
      <c r="M140">
        <v>-15</v>
      </c>
      <c r="N140">
        <v>0</v>
      </c>
      <c r="O140" t="s">
        <v>7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1</v>
      </c>
      <c r="X140">
        <v>1</v>
      </c>
      <c r="Y140">
        <v>0</v>
      </c>
      <c r="Z140">
        <v>0</v>
      </c>
      <c r="AA140" t="s">
        <v>3079</v>
      </c>
      <c r="AB140" t="s">
        <v>6260</v>
      </c>
      <c r="AC140" t="s">
        <v>3079</v>
      </c>
      <c r="AD140" t="e">
        <f>VLOOKUP(AB140,#REF!,2,FALSE)</f>
        <v>#REF!</v>
      </c>
      <c r="AE140" t="e">
        <f>RIGHT(#REF!,(FIND("Complex",#REF!,1)-8))</f>
        <v>#REF!</v>
      </c>
    </row>
    <row r="141" spans="1:31" x14ac:dyDescent="0.25">
      <c r="A141">
        <v>2318</v>
      </c>
      <c r="B141" t="s">
        <v>28</v>
      </c>
      <c r="C141">
        <v>14</v>
      </c>
      <c r="D141">
        <v>422</v>
      </c>
      <c r="E141">
        <v>2318</v>
      </c>
      <c r="F141">
        <v>8202601</v>
      </c>
      <c r="G141">
        <v>8290800</v>
      </c>
      <c r="H141">
        <f t="shared" si="4"/>
        <v>186.00002267573697</v>
      </c>
      <c r="I141">
        <f t="shared" si="5"/>
        <v>188</v>
      </c>
      <c r="J141" t="s">
        <v>29</v>
      </c>
      <c r="K141">
        <v>6</v>
      </c>
      <c r="L141" t="e">
        <f t="array" ref="L141">VLOOKUP(J141:$J$3871&amp;K141:$K$3871,CHOOSE({1,2},#REF!&amp;#REF!,#REF!),2,0)</f>
        <v>#N/A</v>
      </c>
      <c r="M141">
        <v>-15</v>
      </c>
      <c r="N141">
        <v>0</v>
      </c>
      <c r="O141" t="s">
        <v>7</v>
      </c>
      <c r="P141">
        <v>1</v>
      </c>
      <c r="Q141">
        <v>1</v>
      </c>
      <c r="R141">
        <v>0</v>
      </c>
      <c r="S141">
        <v>1</v>
      </c>
      <c r="T141">
        <v>1</v>
      </c>
      <c r="U141">
        <v>0</v>
      </c>
      <c r="V141">
        <v>0</v>
      </c>
      <c r="W141">
        <v>1</v>
      </c>
      <c r="X141">
        <v>1</v>
      </c>
      <c r="Y141">
        <v>0</v>
      </c>
      <c r="Z141">
        <v>0</v>
      </c>
      <c r="AA141" t="s">
        <v>3102</v>
      </c>
      <c r="AB141" t="s">
        <v>581</v>
      </c>
      <c r="AC141" t="s">
        <v>3102</v>
      </c>
      <c r="AD141" t="e">
        <f>VLOOKUP(AB141,#REF!,2,FALSE)</f>
        <v>#REF!</v>
      </c>
      <c r="AE141" t="e">
        <f>RIGHT(#REF!,(FIND("Complex",#REF!,1)-7))</f>
        <v>#REF!</v>
      </c>
    </row>
    <row r="142" spans="1:31" ht="14.25" customHeight="1" x14ac:dyDescent="0.25">
      <c r="A142">
        <v>3629</v>
      </c>
      <c r="B142" t="s">
        <v>28</v>
      </c>
      <c r="C142">
        <v>14</v>
      </c>
      <c r="D142">
        <v>970</v>
      </c>
      <c r="E142">
        <v>3629</v>
      </c>
      <c r="F142">
        <v>8114401</v>
      </c>
      <c r="G142">
        <v>8202600</v>
      </c>
      <c r="H142">
        <f t="shared" si="4"/>
        <v>184.00002267573697</v>
      </c>
      <c r="I142">
        <f t="shared" si="5"/>
        <v>186</v>
      </c>
      <c r="J142" t="s">
        <v>29</v>
      </c>
      <c r="K142">
        <v>6</v>
      </c>
      <c r="L142" t="e">
        <f t="array" ref="L142">VLOOKUP(J142:$J$3871&amp;K142:$K$3871,CHOOSE({1,2},#REF!&amp;#REF!,#REF!),2,0)</f>
        <v>#N/A</v>
      </c>
      <c r="M142">
        <v>-15</v>
      </c>
      <c r="N142">
        <v>0</v>
      </c>
      <c r="O142" t="s">
        <v>7</v>
      </c>
      <c r="P142">
        <v>1</v>
      </c>
      <c r="Q142">
        <v>1</v>
      </c>
      <c r="R142">
        <v>0</v>
      </c>
      <c r="S142">
        <v>1</v>
      </c>
      <c r="T142">
        <v>1</v>
      </c>
      <c r="U142">
        <v>0</v>
      </c>
      <c r="V142">
        <v>0</v>
      </c>
      <c r="W142">
        <v>1</v>
      </c>
      <c r="X142">
        <v>1</v>
      </c>
      <c r="Y142">
        <v>0</v>
      </c>
      <c r="Z142">
        <v>0</v>
      </c>
      <c r="AA142" t="s">
        <v>3112</v>
      </c>
      <c r="AB142" t="s">
        <v>582</v>
      </c>
      <c r="AC142" t="s">
        <v>3112</v>
      </c>
      <c r="AD142" t="e">
        <f>VLOOKUP(AB142,#REF!,2,FALSE)</f>
        <v>#REF!</v>
      </c>
      <c r="AE142" t="e">
        <f>RIGHT(#REF!,(FIND("Complex",#REF!,1)-7))</f>
        <v>#REF!</v>
      </c>
    </row>
    <row r="143" spans="1:31" x14ac:dyDescent="0.25">
      <c r="A143">
        <v>3834</v>
      </c>
      <c r="B143" t="s">
        <v>28</v>
      </c>
      <c r="C143">
        <v>14</v>
      </c>
      <c r="D143">
        <v>1041</v>
      </c>
      <c r="E143">
        <v>3834</v>
      </c>
      <c r="F143">
        <v>7585201</v>
      </c>
      <c r="G143">
        <v>7673400</v>
      </c>
      <c r="H143">
        <f t="shared" si="4"/>
        <v>172.00002267573697</v>
      </c>
      <c r="I143">
        <f t="shared" si="5"/>
        <v>174</v>
      </c>
      <c r="J143" t="s">
        <v>29</v>
      </c>
      <c r="K143">
        <v>6</v>
      </c>
      <c r="L143" t="e">
        <f t="array" ref="L143">VLOOKUP(J143:$J$3871&amp;K143:$K$3871,CHOOSE({1,2},#REF!&amp;#REF!,#REF!),2,0)</f>
        <v>#N/A</v>
      </c>
      <c r="M143">
        <v>-15</v>
      </c>
      <c r="N143">
        <v>0</v>
      </c>
      <c r="O143" t="s">
        <v>7</v>
      </c>
      <c r="P143">
        <v>1</v>
      </c>
      <c r="Q143">
        <v>1</v>
      </c>
      <c r="R143">
        <v>0</v>
      </c>
      <c r="S143">
        <v>1</v>
      </c>
      <c r="T143">
        <v>1</v>
      </c>
      <c r="U143">
        <v>0</v>
      </c>
      <c r="V143">
        <v>0</v>
      </c>
      <c r="W143">
        <v>1</v>
      </c>
      <c r="X143">
        <v>1</v>
      </c>
      <c r="Y143">
        <v>0</v>
      </c>
      <c r="Z143">
        <v>0</v>
      </c>
      <c r="AA143" t="s">
        <v>3168</v>
      </c>
      <c r="AB143" t="s">
        <v>6280</v>
      </c>
      <c r="AC143" t="s">
        <v>3168</v>
      </c>
      <c r="AD143" t="e">
        <f>VLOOKUP(AB143,#REF!,2,FALSE)</f>
        <v>#REF!</v>
      </c>
      <c r="AE143" t="e">
        <f>RIGHT(#REF!,(FIND("Complex",#REF!,1)-8))</f>
        <v>#REF!</v>
      </c>
    </row>
    <row r="144" spans="1:31" x14ac:dyDescent="0.25">
      <c r="A144">
        <v>3215</v>
      </c>
      <c r="B144" t="s">
        <v>28</v>
      </c>
      <c r="C144">
        <v>14</v>
      </c>
      <c r="D144">
        <v>779</v>
      </c>
      <c r="E144">
        <v>3215</v>
      </c>
      <c r="F144">
        <v>7497001</v>
      </c>
      <c r="G144">
        <v>7585200</v>
      </c>
      <c r="H144">
        <f t="shared" si="4"/>
        <v>170.00002267573697</v>
      </c>
      <c r="I144">
        <f t="shared" si="5"/>
        <v>172</v>
      </c>
      <c r="J144" t="s">
        <v>29</v>
      </c>
      <c r="K144">
        <v>6</v>
      </c>
      <c r="L144" t="e">
        <f t="array" ref="L144">VLOOKUP(J144:$J$3871&amp;K144:$K$3871,CHOOSE({1,2},#REF!&amp;#REF!,#REF!),2,0)</f>
        <v>#N/A</v>
      </c>
      <c r="M144">
        <v>-15</v>
      </c>
      <c r="N144">
        <v>0</v>
      </c>
      <c r="O144" t="s">
        <v>7</v>
      </c>
      <c r="P144">
        <v>1</v>
      </c>
      <c r="Q144">
        <v>1</v>
      </c>
      <c r="R144">
        <v>0</v>
      </c>
      <c r="S144">
        <v>1</v>
      </c>
      <c r="T144">
        <v>1</v>
      </c>
      <c r="U144">
        <v>0</v>
      </c>
      <c r="V144">
        <v>0</v>
      </c>
      <c r="W144">
        <v>1</v>
      </c>
      <c r="X144">
        <v>1</v>
      </c>
      <c r="Y144">
        <v>0</v>
      </c>
      <c r="Z144">
        <v>0</v>
      </c>
      <c r="AA144" t="s">
        <v>3176</v>
      </c>
      <c r="AB144" t="s">
        <v>583</v>
      </c>
      <c r="AC144" t="s">
        <v>3176</v>
      </c>
      <c r="AD144" t="e">
        <f>VLOOKUP(AB144,#REF!,2,FALSE)</f>
        <v>#REF!</v>
      </c>
      <c r="AE144" t="e">
        <f>RIGHT(#REF!,(FIND("Complex",#REF!,1)-7))</f>
        <v>#REF!</v>
      </c>
    </row>
    <row r="145" spans="1:31" x14ac:dyDescent="0.25">
      <c r="A145">
        <v>3260</v>
      </c>
      <c r="B145" t="s">
        <v>28</v>
      </c>
      <c r="C145">
        <v>14</v>
      </c>
      <c r="D145">
        <v>805</v>
      </c>
      <c r="E145">
        <v>3260</v>
      </c>
      <c r="F145">
        <v>7320601</v>
      </c>
      <c r="G145">
        <v>7408800</v>
      </c>
      <c r="H145">
        <f t="shared" si="4"/>
        <v>166.00002267573697</v>
      </c>
      <c r="I145">
        <f t="shared" si="5"/>
        <v>168</v>
      </c>
      <c r="J145" t="s">
        <v>29</v>
      </c>
      <c r="K145">
        <v>6</v>
      </c>
      <c r="L145" t="e">
        <f t="array" ref="L145">VLOOKUP(J145:$J$3871&amp;K145:$K$3871,CHOOSE({1,2},#REF!&amp;#REF!,#REF!),2,0)</f>
        <v>#N/A</v>
      </c>
      <c r="M145">
        <v>-15</v>
      </c>
      <c r="N145">
        <v>0</v>
      </c>
      <c r="O145" t="s">
        <v>7</v>
      </c>
      <c r="P145">
        <v>1</v>
      </c>
      <c r="Q145">
        <v>1</v>
      </c>
      <c r="R145">
        <v>0</v>
      </c>
      <c r="S145">
        <v>1</v>
      </c>
      <c r="T145">
        <v>1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0</v>
      </c>
      <c r="AA145" t="s">
        <v>3183</v>
      </c>
      <c r="AB145" t="s">
        <v>584</v>
      </c>
      <c r="AC145" t="s">
        <v>3183</v>
      </c>
      <c r="AD145" t="e">
        <f>VLOOKUP(AB145,#REF!,2,FALSE)</f>
        <v>#REF!</v>
      </c>
      <c r="AE145" t="e">
        <f>RIGHT(#REF!,(FIND("Complex",#REF!,1)-7))</f>
        <v>#REF!</v>
      </c>
    </row>
    <row r="146" spans="1:31" x14ac:dyDescent="0.25">
      <c r="A146">
        <v>1919</v>
      </c>
      <c r="B146" t="s">
        <v>28</v>
      </c>
      <c r="C146">
        <v>14</v>
      </c>
      <c r="D146">
        <v>327</v>
      </c>
      <c r="E146">
        <v>1919</v>
      </c>
      <c r="F146">
        <v>6615001</v>
      </c>
      <c r="G146">
        <v>6703200</v>
      </c>
      <c r="H146">
        <f t="shared" si="4"/>
        <v>150.00002267573697</v>
      </c>
      <c r="I146">
        <f t="shared" si="5"/>
        <v>152</v>
      </c>
      <c r="J146" t="s">
        <v>29</v>
      </c>
      <c r="K146">
        <v>6</v>
      </c>
      <c r="L146" t="e">
        <f t="array" ref="L146">VLOOKUP(J146:$J$3871&amp;K146:$K$3871,CHOOSE({1,2},#REF!&amp;#REF!,#REF!),2,0)</f>
        <v>#N/A</v>
      </c>
      <c r="M146">
        <v>-15</v>
      </c>
      <c r="N146">
        <v>0</v>
      </c>
      <c r="O146" t="s">
        <v>7</v>
      </c>
      <c r="P146">
        <v>1</v>
      </c>
      <c r="Q146">
        <v>1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 t="s">
        <v>3227</v>
      </c>
      <c r="AB146" t="s">
        <v>585</v>
      </c>
      <c r="AC146" t="s">
        <v>3227</v>
      </c>
      <c r="AD146" t="e">
        <f>VLOOKUP(AB146,#REF!,2,FALSE)</f>
        <v>#REF!</v>
      </c>
      <c r="AE146" t="e">
        <f>RIGHT(#REF!,(FIND("Complex",#REF!,1)-7))</f>
        <v>#REF!</v>
      </c>
    </row>
    <row r="147" spans="1:31" x14ac:dyDescent="0.25">
      <c r="A147">
        <v>3781</v>
      </c>
      <c r="B147" t="s">
        <v>28</v>
      </c>
      <c r="C147">
        <v>14</v>
      </c>
      <c r="D147">
        <v>1023</v>
      </c>
      <c r="E147">
        <v>3781</v>
      </c>
      <c r="F147">
        <v>6438601</v>
      </c>
      <c r="G147">
        <v>6526800</v>
      </c>
      <c r="H147">
        <f t="shared" si="4"/>
        <v>146.00002267573697</v>
      </c>
      <c r="I147">
        <f t="shared" si="5"/>
        <v>148</v>
      </c>
      <c r="J147" t="s">
        <v>29</v>
      </c>
      <c r="K147">
        <v>6</v>
      </c>
      <c r="L147" t="e">
        <f t="array" ref="L147">VLOOKUP(J147:$J$3871&amp;K147:$K$3871,CHOOSE({1,2},#REF!&amp;#REF!,#REF!),2,0)</f>
        <v>#N/A</v>
      </c>
      <c r="M147">
        <v>-15</v>
      </c>
      <c r="N147">
        <v>0</v>
      </c>
      <c r="O147" t="s">
        <v>7</v>
      </c>
      <c r="P147">
        <v>1</v>
      </c>
      <c r="Q147">
        <v>1</v>
      </c>
      <c r="R147">
        <v>0</v>
      </c>
      <c r="S147">
        <v>1</v>
      </c>
      <c r="T147">
        <v>1</v>
      </c>
      <c r="U147">
        <v>0</v>
      </c>
      <c r="V147">
        <v>0</v>
      </c>
      <c r="W147">
        <v>1</v>
      </c>
      <c r="X147">
        <v>1</v>
      </c>
      <c r="Y147">
        <v>0</v>
      </c>
      <c r="Z147">
        <v>0</v>
      </c>
      <c r="AA147" t="s">
        <v>3243</v>
      </c>
      <c r="AB147" t="s">
        <v>6290</v>
      </c>
      <c r="AC147" t="s">
        <v>3243</v>
      </c>
      <c r="AD147" t="e">
        <f>VLOOKUP(AB147,#REF!,2,FALSE)</f>
        <v>#REF!</v>
      </c>
      <c r="AE147" t="e">
        <f>RIGHT(#REF!,(FIND("Complex",#REF!,1)-8))</f>
        <v>#REF!</v>
      </c>
    </row>
    <row r="148" spans="1:31" x14ac:dyDescent="0.25">
      <c r="A148">
        <v>3464</v>
      </c>
      <c r="B148" t="s">
        <v>28</v>
      </c>
      <c r="C148">
        <v>14</v>
      </c>
      <c r="D148">
        <v>908</v>
      </c>
      <c r="E148">
        <v>3464</v>
      </c>
      <c r="F148">
        <v>6262201</v>
      </c>
      <c r="G148">
        <v>6350400</v>
      </c>
      <c r="H148">
        <f t="shared" si="4"/>
        <v>142.00002267573697</v>
      </c>
      <c r="I148">
        <f t="shared" si="5"/>
        <v>144</v>
      </c>
      <c r="J148" t="s">
        <v>29</v>
      </c>
      <c r="K148">
        <v>6</v>
      </c>
      <c r="L148" t="e">
        <f t="array" ref="L148">VLOOKUP(J148:$J$3871&amp;K148:$K$3871,CHOOSE({1,2},#REF!&amp;#REF!,#REF!),2,0)</f>
        <v>#N/A</v>
      </c>
      <c r="M148">
        <v>-15</v>
      </c>
      <c r="N148">
        <v>0</v>
      </c>
      <c r="O148" t="s">
        <v>7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0</v>
      </c>
      <c r="V148">
        <v>0</v>
      </c>
      <c r="W148">
        <v>1</v>
      </c>
      <c r="X148">
        <v>1</v>
      </c>
      <c r="Y148">
        <v>0</v>
      </c>
      <c r="Z148">
        <v>0</v>
      </c>
      <c r="AA148" t="s">
        <v>3258</v>
      </c>
      <c r="AB148" t="s">
        <v>586</v>
      </c>
      <c r="AC148" t="s">
        <v>3258</v>
      </c>
      <c r="AD148" t="e">
        <f>VLOOKUP(AB148,#REF!,2,FALSE)</f>
        <v>#REF!</v>
      </c>
      <c r="AE148" t="e">
        <f>RIGHT(#REF!,(FIND("Complex",#REF!,1)-7))</f>
        <v>#REF!</v>
      </c>
    </row>
    <row r="149" spans="1:31" x14ac:dyDescent="0.25">
      <c r="A149">
        <v>3306</v>
      </c>
      <c r="B149" t="s">
        <v>28</v>
      </c>
      <c r="C149">
        <v>14</v>
      </c>
      <c r="D149">
        <v>832</v>
      </c>
      <c r="E149">
        <v>3306</v>
      </c>
      <c r="F149">
        <v>5997601</v>
      </c>
      <c r="G149">
        <v>6085800</v>
      </c>
      <c r="H149">
        <f t="shared" si="4"/>
        <v>136.00002267573697</v>
      </c>
      <c r="I149">
        <f t="shared" si="5"/>
        <v>138</v>
      </c>
      <c r="J149" t="s">
        <v>29</v>
      </c>
      <c r="K149">
        <v>6</v>
      </c>
      <c r="L149" t="e">
        <f t="array" ref="L149">VLOOKUP(J149:$J$3871&amp;K149:$K$3871,CHOOSE({1,2},#REF!&amp;#REF!,#REF!),2,0)</f>
        <v>#N/A</v>
      </c>
      <c r="M149">
        <v>-15</v>
      </c>
      <c r="N149">
        <v>0</v>
      </c>
      <c r="O149" t="s">
        <v>7</v>
      </c>
      <c r="P149">
        <v>1</v>
      </c>
      <c r="Q149">
        <v>1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 t="s">
        <v>3288</v>
      </c>
      <c r="AB149" t="s">
        <v>6296</v>
      </c>
      <c r="AC149" t="s">
        <v>3288</v>
      </c>
      <c r="AD149" t="e">
        <f>VLOOKUP(AB149,#REF!,2,FALSE)</f>
        <v>#REF!</v>
      </c>
      <c r="AE149" t="e">
        <f>RIGHT(#REF!,(FIND("Complex",#REF!,1)-7))</f>
        <v>#REF!</v>
      </c>
    </row>
    <row r="150" spans="1:31" x14ac:dyDescent="0.25">
      <c r="A150">
        <v>3819</v>
      </c>
      <c r="B150" t="s">
        <v>28</v>
      </c>
      <c r="C150">
        <v>14</v>
      </c>
      <c r="D150">
        <v>1038</v>
      </c>
      <c r="E150">
        <v>3819</v>
      </c>
      <c r="F150">
        <v>5733001</v>
      </c>
      <c r="G150">
        <v>5821200</v>
      </c>
      <c r="H150">
        <f t="shared" si="4"/>
        <v>130.00002267573697</v>
      </c>
      <c r="I150">
        <f t="shared" si="5"/>
        <v>132</v>
      </c>
      <c r="J150" t="s">
        <v>29</v>
      </c>
      <c r="K150">
        <v>6</v>
      </c>
      <c r="L150" t="e">
        <f t="array" ref="L150">VLOOKUP(J150:$J$3871&amp;K150:$K$3871,CHOOSE({1,2},#REF!&amp;#REF!,#REF!),2,0)</f>
        <v>#N/A</v>
      </c>
      <c r="M150">
        <v>-15</v>
      </c>
      <c r="N150">
        <v>0</v>
      </c>
      <c r="O150" t="s">
        <v>7</v>
      </c>
      <c r="P150">
        <v>1</v>
      </c>
      <c r="Q150">
        <v>1</v>
      </c>
      <c r="R150">
        <v>0</v>
      </c>
      <c r="S150">
        <v>1</v>
      </c>
      <c r="T150">
        <v>1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 t="s">
        <v>3328</v>
      </c>
      <c r="AB150" t="s">
        <v>6299</v>
      </c>
      <c r="AC150" t="s">
        <v>3328</v>
      </c>
      <c r="AD150" t="e">
        <f>VLOOKUP(AB150,#REF!,2,FALSE)</f>
        <v>#REF!</v>
      </c>
      <c r="AE150" t="e">
        <f>RIGHT(#REF!,(FIND("Complex",#REF!,1)-8))</f>
        <v>#REF!</v>
      </c>
    </row>
    <row r="151" spans="1:31" x14ac:dyDescent="0.25">
      <c r="A151">
        <v>2406</v>
      </c>
      <c r="B151" t="s">
        <v>28</v>
      </c>
      <c r="C151">
        <v>14</v>
      </c>
      <c r="D151">
        <v>453</v>
      </c>
      <c r="E151">
        <v>2406</v>
      </c>
      <c r="F151">
        <v>5644801</v>
      </c>
      <c r="G151">
        <v>5733000</v>
      </c>
      <c r="H151">
        <f t="shared" si="4"/>
        <v>128.00002267573697</v>
      </c>
      <c r="I151">
        <f t="shared" si="5"/>
        <v>130</v>
      </c>
      <c r="J151" t="s">
        <v>29</v>
      </c>
      <c r="K151">
        <v>6</v>
      </c>
      <c r="L151" t="e">
        <f t="array" ref="L151">VLOOKUP(J151:$J$3871&amp;K151:$K$3871,CHOOSE({1,2},#REF!&amp;#REF!,#REF!),2,0)</f>
        <v>#N/A</v>
      </c>
      <c r="M151">
        <v>-15</v>
      </c>
      <c r="N151">
        <v>0</v>
      </c>
      <c r="O151" t="s">
        <v>7</v>
      </c>
      <c r="P151">
        <v>1</v>
      </c>
      <c r="Q151">
        <v>1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1</v>
      </c>
      <c r="X151">
        <v>1</v>
      </c>
      <c r="Y151">
        <v>0</v>
      </c>
      <c r="Z151">
        <v>0</v>
      </c>
      <c r="AA151" t="s">
        <v>3340</v>
      </c>
      <c r="AB151" t="s">
        <v>6300</v>
      </c>
      <c r="AC151" t="s">
        <v>3340</v>
      </c>
      <c r="AD151" t="e">
        <f>VLOOKUP(AB151,#REF!,2,FALSE)</f>
        <v>#REF!</v>
      </c>
      <c r="AE151" t="e">
        <f>RIGHT(#REF!,(FIND("Complex",#REF!,1)-7))</f>
        <v>#REF!</v>
      </c>
    </row>
    <row r="152" spans="1:31" x14ac:dyDescent="0.25">
      <c r="A152">
        <v>3851</v>
      </c>
      <c r="B152" t="s">
        <v>28</v>
      </c>
      <c r="C152">
        <v>14</v>
      </c>
      <c r="D152">
        <v>1048</v>
      </c>
      <c r="E152">
        <v>3851</v>
      </c>
      <c r="F152">
        <v>4939201</v>
      </c>
      <c r="G152">
        <v>5027400</v>
      </c>
      <c r="H152">
        <f t="shared" si="4"/>
        <v>112.00002267573696</v>
      </c>
      <c r="I152">
        <f t="shared" si="5"/>
        <v>114</v>
      </c>
      <c r="J152" t="s">
        <v>29</v>
      </c>
      <c r="K152">
        <v>6</v>
      </c>
      <c r="L152" t="e">
        <f t="array" ref="L152">VLOOKUP(J152:$J$3871&amp;K152:$K$3871,CHOOSE({1,2},#REF!&amp;#REF!,#REF!),2,0)</f>
        <v>#N/A</v>
      </c>
      <c r="M152">
        <v>-15</v>
      </c>
      <c r="N152">
        <v>0</v>
      </c>
      <c r="O152" t="s">
        <v>7</v>
      </c>
      <c r="P152">
        <v>1</v>
      </c>
      <c r="Q152">
        <v>1</v>
      </c>
      <c r="R152">
        <v>0</v>
      </c>
      <c r="S152">
        <v>1</v>
      </c>
      <c r="T152">
        <v>1</v>
      </c>
      <c r="U152">
        <v>0</v>
      </c>
      <c r="V152">
        <v>0</v>
      </c>
      <c r="W152">
        <v>1</v>
      </c>
      <c r="X152">
        <v>1</v>
      </c>
      <c r="Y152">
        <v>0</v>
      </c>
      <c r="Z152">
        <v>0</v>
      </c>
      <c r="AA152" t="s">
        <v>3440</v>
      </c>
      <c r="AB152" t="s">
        <v>587</v>
      </c>
      <c r="AC152" t="s">
        <v>3440</v>
      </c>
      <c r="AD152" t="e">
        <f>VLOOKUP(AB152,#REF!,2,FALSE)</f>
        <v>#REF!</v>
      </c>
      <c r="AE152" t="e">
        <f>RIGHT(#REF!,(FIND("Complex",#REF!,1)-8))</f>
        <v>#REF!</v>
      </c>
    </row>
    <row r="153" spans="1:31" x14ac:dyDescent="0.25">
      <c r="A153">
        <v>534</v>
      </c>
      <c r="B153" t="s">
        <v>28</v>
      </c>
      <c r="C153">
        <v>14</v>
      </c>
      <c r="D153">
        <v>93</v>
      </c>
      <c r="E153">
        <v>534</v>
      </c>
      <c r="F153">
        <v>4674601</v>
      </c>
      <c r="G153">
        <v>4762800</v>
      </c>
      <c r="H153">
        <f t="shared" si="4"/>
        <v>106.00002267573696</v>
      </c>
      <c r="I153">
        <f t="shared" si="5"/>
        <v>108</v>
      </c>
      <c r="J153" t="s">
        <v>29</v>
      </c>
      <c r="K153">
        <v>6</v>
      </c>
      <c r="L153" t="e">
        <f t="array" ref="L153">VLOOKUP(J153:$J$3871&amp;K153:$K$3871,CHOOSE({1,2},#REF!&amp;#REF!,#REF!),2,0)</f>
        <v>#N/A</v>
      </c>
      <c r="M153">
        <v>-15</v>
      </c>
      <c r="N153">
        <v>0</v>
      </c>
      <c r="O153" t="s">
        <v>7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0</v>
      </c>
      <c r="V153">
        <v>0</v>
      </c>
      <c r="W153">
        <v>1</v>
      </c>
      <c r="X153">
        <v>1</v>
      </c>
      <c r="Y153">
        <v>0</v>
      </c>
      <c r="Z153">
        <v>0</v>
      </c>
      <c r="AA153" t="s">
        <v>3468</v>
      </c>
      <c r="AB153" t="s">
        <v>588</v>
      </c>
      <c r="AC153" t="s">
        <v>3468</v>
      </c>
      <c r="AD153" t="e">
        <f>VLOOKUP(AB153,#REF!,2,FALSE)</f>
        <v>#REF!</v>
      </c>
      <c r="AE153" t="e">
        <f>RIGHT(#REF!,(FIND("Complex",#REF!,1)-6))</f>
        <v>#REF!</v>
      </c>
    </row>
    <row r="154" spans="1:31" x14ac:dyDescent="0.25">
      <c r="A154">
        <v>3674</v>
      </c>
      <c r="B154" t="s">
        <v>28</v>
      </c>
      <c r="C154">
        <v>14</v>
      </c>
      <c r="D154">
        <v>987</v>
      </c>
      <c r="E154">
        <v>3674</v>
      </c>
      <c r="F154">
        <v>4586401</v>
      </c>
      <c r="G154">
        <v>4674600</v>
      </c>
      <c r="H154">
        <f t="shared" si="4"/>
        <v>104.00002267573696</v>
      </c>
      <c r="I154">
        <f t="shared" si="5"/>
        <v>106</v>
      </c>
      <c r="J154" t="s">
        <v>29</v>
      </c>
      <c r="K154">
        <v>6</v>
      </c>
      <c r="L154" t="e">
        <f t="array" ref="L154">VLOOKUP(J154:$J$3871&amp;K154:$K$3871,CHOOSE({1,2},#REF!&amp;#REF!,#REF!),2,0)</f>
        <v>#N/A</v>
      </c>
      <c r="M154">
        <v>-15</v>
      </c>
      <c r="N154">
        <v>0</v>
      </c>
      <c r="O154" t="s">
        <v>7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0</v>
      </c>
      <c r="V154">
        <v>0</v>
      </c>
      <c r="W154">
        <v>1</v>
      </c>
      <c r="X154">
        <v>1</v>
      </c>
      <c r="Y154">
        <v>0</v>
      </c>
      <c r="Z154">
        <v>0</v>
      </c>
      <c r="AA154" t="s">
        <v>3477</v>
      </c>
      <c r="AB154" t="s">
        <v>589</v>
      </c>
      <c r="AC154" t="s">
        <v>3477</v>
      </c>
      <c r="AD154" t="e">
        <f>VLOOKUP(AB154,#REF!,2,FALSE)</f>
        <v>#REF!</v>
      </c>
      <c r="AE154" t="e">
        <f>RIGHT(#REF!,(FIND("Complex",#REF!,1)-7))</f>
        <v>#REF!</v>
      </c>
    </row>
    <row r="155" spans="1:31" x14ac:dyDescent="0.25">
      <c r="A155">
        <v>2269</v>
      </c>
      <c r="B155" t="s">
        <v>43</v>
      </c>
      <c r="C155">
        <v>19</v>
      </c>
      <c r="D155">
        <v>414</v>
      </c>
      <c r="E155">
        <v>2269</v>
      </c>
      <c r="F155">
        <v>3616201</v>
      </c>
      <c r="G155">
        <v>3704400</v>
      </c>
      <c r="H155">
        <f t="shared" si="4"/>
        <v>82.000022675736957</v>
      </c>
      <c r="I155">
        <f t="shared" si="5"/>
        <v>84</v>
      </c>
      <c r="J155" t="s">
        <v>29</v>
      </c>
      <c r="K155">
        <v>6</v>
      </c>
      <c r="L155" t="e">
        <f t="array" ref="L155">VLOOKUP(J155:$J$3871&amp;K155:$K$3871,CHOOSE({1,2},#REF!&amp;#REF!,#REF!),2,0)</f>
        <v>#N/A</v>
      </c>
      <c r="M155">
        <v>-15</v>
      </c>
      <c r="N155">
        <v>0</v>
      </c>
      <c r="O155" t="s">
        <v>7</v>
      </c>
      <c r="P155">
        <v>1</v>
      </c>
      <c r="Q155">
        <v>1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1</v>
      </c>
      <c r="Y155">
        <v>1</v>
      </c>
      <c r="Z155">
        <v>0</v>
      </c>
      <c r="AA155" t="s">
        <v>2690</v>
      </c>
      <c r="AB155" t="s">
        <v>650</v>
      </c>
      <c r="AC155" t="s">
        <v>2690</v>
      </c>
      <c r="AD155" t="e">
        <f>VLOOKUP(AB155,#REF!,2,FALSE)</f>
        <v>#REF!</v>
      </c>
      <c r="AE155" t="e">
        <f>RIGHT(#REF!,(FIND("Complex",#REF!,1)-8))</f>
        <v>#REF!</v>
      </c>
    </row>
    <row r="156" spans="1:31" x14ac:dyDescent="0.25">
      <c r="A156">
        <v>2715</v>
      </c>
      <c r="B156" t="s">
        <v>43</v>
      </c>
      <c r="C156">
        <v>19</v>
      </c>
      <c r="D156">
        <v>566</v>
      </c>
      <c r="E156">
        <v>2715</v>
      </c>
      <c r="F156">
        <v>3439801</v>
      </c>
      <c r="G156">
        <v>3528000</v>
      </c>
      <c r="H156">
        <f t="shared" si="4"/>
        <v>78.000022675736957</v>
      </c>
      <c r="I156">
        <f t="shared" si="5"/>
        <v>80</v>
      </c>
      <c r="J156" t="s">
        <v>29</v>
      </c>
      <c r="K156">
        <v>6</v>
      </c>
      <c r="L156" t="e">
        <f t="array" ref="L156">VLOOKUP(J156:$J$3871&amp;K156:$K$3871,CHOOSE({1,2},#REF!&amp;#REF!,#REF!),2,0)</f>
        <v>#N/A</v>
      </c>
      <c r="M156">
        <v>-15</v>
      </c>
      <c r="N156">
        <v>0</v>
      </c>
      <c r="O156" t="s">
        <v>7</v>
      </c>
      <c r="P156">
        <v>1</v>
      </c>
      <c r="Q156">
        <v>1</v>
      </c>
      <c r="R156">
        <v>1</v>
      </c>
      <c r="S156">
        <v>0</v>
      </c>
      <c r="T156">
        <v>1</v>
      </c>
      <c r="U156">
        <v>0</v>
      </c>
      <c r="V156">
        <v>0</v>
      </c>
      <c r="W156">
        <v>1</v>
      </c>
      <c r="X156">
        <v>1</v>
      </c>
      <c r="Y156">
        <v>0</v>
      </c>
      <c r="Z156">
        <v>0</v>
      </c>
      <c r="AA156" t="s">
        <v>2709</v>
      </c>
      <c r="AB156" t="s">
        <v>651</v>
      </c>
      <c r="AC156" t="s">
        <v>2709</v>
      </c>
      <c r="AD156" t="e">
        <f>VLOOKUP(AB156,#REF!,2,FALSE)</f>
        <v>#REF!</v>
      </c>
      <c r="AE156" t="e">
        <f>RIGHT(#REF!,(FIND("Complex",#REF!,1)-8))</f>
        <v>#REF!</v>
      </c>
    </row>
    <row r="157" spans="1:31" x14ac:dyDescent="0.25">
      <c r="A157">
        <v>1806</v>
      </c>
      <c r="B157" t="s">
        <v>43</v>
      </c>
      <c r="C157">
        <v>19</v>
      </c>
      <c r="D157">
        <v>311</v>
      </c>
      <c r="E157">
        <v>1806</v>
      </c>
      <c r="F157">
        <v>2998801</v>
      </c>
      <c r="G157">
        <v>3087000</v>
      </c>
      <c r="H157">
        <f t="shared" si="4"/>
        <v>68.000022675736957</v>
      </c>
      <c r="I157">
        <f t="shared" si="5"/>
        <v>70</v>
      </c>
      <c r="J157" t="s">
        <v>29</v>
      </c>
      <c r="K157">
        <v>6</v>
      </c>
      <c r="L157" t="e">
        <f t="array" ref="L157">VLOOKUP(J157:$J$3871&amp;K157:$K$3871,CHOOSE({1,2},#REF!&amp;#REF!,#REF!),2,0)</f>
        <v>#N/A</v>
      </c>
      <c r="M157">
        <v>-15</v>
      </c>
      <c r="N157">
        <v>0</v>
      </c>
      <c r="O157" t="s">
        <v>7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1</v>
      </c>
      <c r="Y157">
        <v>1</v>
      </c>
      <c r="Z157">
        <v>0</v>
      </c>
      <c r="AA157" t="s">
        <v>2750</v>
      </c>
      <c r="AB157" t="s">
        <v>652</v>
      </c>
      <c r="AC157" t="s">
        <v>2750</v>
      </c>
      <c r="AD157" t="e">
        <f>VLOOKUP(AB157,#REF!,2,FALSE)</f>
        <v>#REF!</v>
      </c>
      <c r="AE157" t="e">
        <f>RIGHT(#REF!,(FIND("Complex",#REF!,1)-8))</f>
        <v>#REF!</v>
      </c>
    </row>
    <row r="158" spans="1:31" x14ac:dyDescent="0.25">
      <c r="A158">
        <v>2053</v>
      </c>
      <c r="B158" t="s">
        <v>43</v>
      </c>
      <c r="C158">
        <v>19</v>
      </c>
      <c r="D158">
        <v>361</v>
      </c>
      <c r="E158">
        <v>2053</v>
      </c>
      <c r="F158">
        <v>5821201</v>
      </c>
      <c r="G158">
        <v>5909400</v>
      </c>
      <c r="H158">
        <f t="shared" si="4"/>
        <v>132.00002267573697</v>
      </c>
      <c r="I158">
        <f t="shared" si="5"/>
        <v>134</v>
      </c>
      <c r="J158" t="s">
        <v>29</v>
      </c>
      <c r="K158">
        <v>6</v>
      </c>
      <c r="L158" t="e">
        <f t="array" ref="L158">VLOOKUP(J158:$J$3871&amp;K158:$K$3871,CHOOSE({1,2},#REF!&amp;#REF!,#REF!),2,0)</f>
        <v>#N/A</v>
      </c>
      <c r="M158">
        <v>-15</v>
      </c>
      <c r="N158">
        <v>0</v>
      </c>
      <c r="O158" t="s">
        <v>7</v>
      </c>
      <c r="P158">
        <v>1</v>
      </c>
      <c r="Q158">
        <v>1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1</v>
      </c>
      <c r="Y158">
        <v>0</v>
      </c>
      <c r="Z158">
        <v>0</v>
      </c>
      <c r="AA158" t="s">
        <v>3313</v>
      </c>
      <c r="AB158" t="s">
        <v>653</v>
      </c>
      <c r="AC158" t="s">
        <v>3313</v>
      </c>
      <c r="AD158" t="e">
        <f>VLOOKUP(AB158,#REF!,2,FALSE)</f>
        <v>#REF!</v>
      </c>
      <c r="AE158" t="e">
        <f>RIGHT(#REF!,(FIND("Complex",#REF!,1)-7))</f>
        <v>#REF!</v>
      </c>
    </row>
    <row r="159" spans="1:31" x14ac:dyDescent="0.25">
      <c r="A159">
        <v>2561</v>
      </c>
      <c r="B159" t="s">
        <v>43</v>
      </c>
      <c r="C159">
        <v>19</v>
      </c>
      <c r="D159">
        <v>512</v>
      </c>
      <c r="E159">
        <v>2561</v>
      </c>
      <c r="F159">
        <v>5556601</v>
      </c>
      <c r="G159">
        <v>5644800</v>
      </c>
      <c r="H159">
        <f t="shared" si="4"/>
        <v>126.00002267573696</v>
      </c>
      <c r="I159">
        <f t="shared" si="5"/>
        <v>128</v>
      </c>
      <c r="J159" t="s">
        <v>29</v>
      </c>
      <c r="K159">
        <v>6</v>
      </c>
      <c r="L159" t="e">
        <f t="array" ref="L159">VLOOKUP(J159:$J$3871&amp;K159:$K$3871,CHOOSE({1,2},#REF!&amp;#REF!,#REF!),2,0)</f>
        <v>#N/A</v>
      </c>
      <c r="M159">
        <v>-15</v>
      </c>
      <c r="N159">
        <v>0</v>
      </c>
      <c r="O159" t="s">
        <v>7</v>
      </c>
      <c r="P159">
        <v>1</v>
      </c>
      <c r="Q159">
        <v>1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1</v>
      </c>
      <c r="X159">
        <v>1</v>
      </c>
      <c r="Y159">
        <v>0</v>
      </c>
      <c r="Z159">
        <v>0</v>
      </c>
      <c r="AA159" t="s">
        <v>3351</v>
      </c>
      <c r="AB159" t="s">
        <v>654</v>
      </c>
      <c r="AC159" t="s">
        <v>3351</v>
      </c>
      <c r="AD159" t="e">
        <f>VLOOKUP(AB159,#REF!,2,FALSE)</f>
        <v>#REF!</v>
      </c>
      <c r="AE159" t="e">
        <f>RIGHT(#REF!,(FIND("Complex",#REF!,1)-7))</f>
        <v>#REF!</v>
      </c>
    </row>
    <row r="160" spans="1:31" x14ac:dyDescent="0.25">
      <c r="A160">
        <v>2090</v>
      </c>
      <c r="B160" t="s">
        <v>43</v>
      </c>
      <c r="C160">
        <v>19</v>
      </c>
      <c r="D160">
        <v>373</v>
      </c>
      <c r="E160">
        <v>2090</v>
      </c>
      <c r="F160">
        <v>5115601</v>
      </c>
      <c r="G160">
        <v>5203800</v>
      </c>
      <c r="H160">
        <f t="shared" si="4"/>
        <v>116.00002267573696</v>
      </c>
      <c r="I160">
        <f t="shared" si="5"/>
        <v>118</v>
      </c>
      <c r="J160" t="s">
        <v>29</v>
      </c>
      <c r="K160">
        <v>6</v>
      </c>
      <c r="L160" t="e">
        <f t="array" ref="L160">VLOOKUP(J160:$J$3871&amp;K160:$K$3871,CHOOSE({1,2},#REF!&amp;#REF!,#REF!),2,0)</f>
        <v>#N/A</v>
      </c>
      <c r="M160">
        <v>-15</v>
      </c>
      <c r="N160">
        <v>0</v>
      </c>
      <c r="O160" t="s">
        <v>7</v>
      </c>
      <c r="P160">
        <v>1</v>
      </c>
      <c r="Q160">
        <v>1</v>
      </c>
      <c r="R160">
        <v>1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1</v>
      </c>
      <c r="Y160">
        <v>0</v>
      </c>
      <c r="Z160">
        <v>0</v>
      </c>
      <c r="AA160" t="s">
        <v>3416</v>
      </c>
      <c r="AB160" t="s">
        <v>655</v>
      </c>
      <c r="AC160" t="s">
        <v>3416</v>
      </c>
      <c r="AD160" t="e">
        <f>VLOOKUP(AB160,#REF!,2,FALSE)</f>
        <v>#REF!</v>
      </c>
      <c r="AE160" t="e">
        <f>RIGHT(#REF!,(FIND("Complex",#REF!,1)-7))</f>
        <v>#REF!</v>
      </c>
    </row>
    <row r="161" spans="1:31" x14ac:dyDescent="0.25">
      <c r="A161">
        <v>786</v>
      </c>
      <c r="B161" t="s">
        <v>43</v>
      </c>
      <c r="C161">
        <v>19</v>
      </c>
      <c r="D161">
        <v>136</v>
      </c>
      <c r="E161">
        <v>786</v>
      </c>
      <c r="F161">
        <v>5027401</v>
      </c>
      <c r="G161">
        <v>5115600</v>
      </c>
      <c r="H161">
        <f t="shared" si="4"/>
        <v>114.00002267573696</v>
      </c>
      <c r="I161">
        <f t="shared" si="5"/>
        <v>116</v>
      </c>
      <c r="J161" t="s">
        <v>29</v>
      </c>
      <c r="K161">
        <v>6</v>
      </c>
      <c r="L161" t="e">
        <f t="array" ref="L161">VLOOKUP(J161:$J$3871&amp;K161:$K$3871,CHOOSE({1,2},#REF!&amp;#REF!,#REF!),2,0)</f>
        <v>#N/A</v>
      </c>
      <c r="M161">
        <v>-15</v>
      </c>
      <c r="N161">
        <v>0</v>
      </c>
      <c r="O161" t="s">
        <v>7</v>
      </c>
      <c r="P161">
        <v>1</v>
      </c>
      <c r="Q161">
        <v>1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1</v>
      </c>
      <c r="Y161">
        <v>0</v>
      </c>
      <c r="Z161">
        <v>0</v>
      </c>
      <c r="AA161" t="s">
        <v>3427</v>
      </c>
      <c r="AB161" t="s">
        <v>656</v>
      </c>
      <c r="AC161" t="s">
        <v>3427</v>
      </c>
      <c r="AD161" t="e">
        <f>VLOOKUP(AB161,#REF!,2,FALSE)</f>
        <v>#REF!</v>
      </c>
      <c r="AE161" t="e">
        <f>RIGHT(#REF!,(FIND("Complex",#REF!,1)-6))</f>
        <v>#REF!</v>
      </c>
    </row>
    <row r="162" spans="1:31" x14ac:dyDescent="0.25">
      <c r="A162">
        <v>2426</v>
      </c>
      <c r="B162" t="s">
        <v>33</v>
      </c>
      <c r="C162">
        <v>20</v>
      </c>
      <c r="D162">
        <v>459</v>
      </c>
      <c r="E162">
        <v>2426</v>
      </c>
      <c r="F162">
        <v>2998801</v>
      </c>
      <c r="G162">
        <v>3087000</v>
      </c>
      <c r="H162">
        <f t="shared" si="4"/>
        <v>68.000022675736957</v>
      </c>
      <c r="I162">
        <f t="shared" si="5"/>
        <v>70</v>
      </c>
      <c r="J162" t="s">
        <v>29</v>
      </c>
      <c r="K162">
        <v>6</v>
      </c>
      <c r="L162" t="e">
        <f t="array" ref="L162">VLOOKUP(J162:$J$3871&amp;K162:$K$3871,CHOOSE({1,2},#REF!&amp;#REF!,#REF!),2,0)</f>
        <v>#N/A</v>
      </c>
      <c r="M162">
        <v>-15</v>
      </c>
      <c r="N162">
        <v>0</v>
      </c>
      <c r="O162" t="s">
        <v>7</v>
      </c>
      <c r="P162">
        <v>1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1</v>
      </c>
      <c r="Y162">
        <v>1</v>
      </c>
      <c r="Z162">
        <v>0</v>
      </c>
      <c r="AA162" t="s">
        <v>2749</v>
      </c>
      <c r="AB162" t="s">
        <v>676</v>
      </c>
      <c r="AC162" t="s">
        <v>2749</v>
      </c>
      <c r="AD162" t="e">
        <f>VLOOKUP(AB162,#REF!,2,FALSE)</f>
        <v>#REF!</v>
      </c>
      <c r="AE162" t="e">
        <f>RIGHT(#REF!,(FIND("Complex",#REF!,1)-8))</f>
        <v>#REF!</v>
      </c>
    </row>
    <row r="163" spans="1:31" x14ac:dyDescent="0.25">
      <c r="A163">
        <v>2906</v>
      </c>
      <c r="B163" t="s">
        <v>33</v>
      </c>
      <c r="C163">
        <v>20</v>
      </c>
      <c r="D163">
        <v>639</v>
      </c>
      <c r="E163">
        <v>2906</v>
      </c>
      <c r="F163">
        <v>2293201</v>
      </c>
      <c r="G163">
        <v>2381400</v>
      </c>
      <c r="H163">
        <f t="shared" si="4"/>
        <v>52.000022675736965</v>
      </c>
      <c r="I163">
        <f t="shared" si="5"/>
        <v>54</v>
      </c>
      <c r="J163" t="s">
        <v>29</v>
      </c>
      <c r="K163">
        <v>6</v>
      </c>
      <c r="L163" t="e">
        <f t="array" ref="L163">VLOOKUP(J163:$J$3871&amp;K163:$K$3871,CHOOSE({1,2},#REF!&amp;#REF!,#REF!),2,0)</f>
        <v>#N/A</v>
      </c>
      <c r="M163">
        <v>-15</v>
      </c>
      <c r="N163">
        <v>0</v>
      </c>
      <c r="O163" t="s">
        <v>7</v>
      </c>
      <c r="P163">
        <v>1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1</v>
      </c>
      <c r="W163">
        <v>0</v>
      </c>
      <c r="X163">
        <v>1</v>
      </c>
      <c r="Y163">
        <v>1</v>
      </c>
      <c r="Z163">
        <v>0</v>
      </c>
      <c r="AA163" t="s">
        <v>2800</v>
      </c>
      <c r="AB163" t="s">
        <v>677</v>
      </c>
      <c r="AC163" t="s">
        <v>2800</v>
      </c>
      <c r="AD163" t="e">
        <f>VLOOKUP(AB163,#REF!,2,FALSE)</f>
        <v>#REF!</v>
      </c>
      <c r="AE163" t="e">
        <f>RIGHT(#REF!,(FIND("Complex",#REF!,1)-8))</f>
        <v>#REF!</v>
      </c>
    </row>
    <row r="164" spans="1:31" x14ac:dyDescent="0.25">
      <c r="A164">
        <v>76</v>
      </c>
      <c r="B164" t="s">
        <v>33</v>
      </c>
      <c r="C164">
        <v>20</v>
      </c>
      <c r="D164">
        <v>13</v>
      </c>
      <c r="E164">
        <v>76</v>
      </c>
      <c r="F164">
        <v>2205001</v>
      </c>
      <c r="G164">
        <v>2293200</v>
      </c>
      <c r="H164">
        <f t="shared" si="4"/>
        <v>50.000022675736965</v>
      </c>
      <c r="I164">
        <f t="shared" si="5"/>
        <v>52</v>
      </c>
      <c r="J164" t="s">
        <v>29</v>
      </c>
      <c r="K164">
        <v>6</v>
      </c>
      <c r="L164" t="e">
        <f t="array" ref="L164">VLOOKUP(J164:$J$3871&amp;K164:$K$3871,CHOOSE({1,2},#REF!&amp;#REF!,#REF!),2,0)</f>
        <v>#N/A</v>
      </c>
      <c r="M164">
        <v>-15</v>
      </c>
      <c r="N164">
        <v>0</v>
      </c>
      <c r="O164" t="s">
        <v>7</v>
      </c>
      <c r="P164">
        <v>1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1</v>
      </c>
      <c r="W164">
        <v>0</v>
      </c>
      <c r="X164">
        <v>1</v>
      </c>
      <c r="Y164">
        <v>1</v>
      </c>
      <c r="Z164">
        <v>0</v>
      </c>
      <c r="AA164" t="s">
        <v>2805</v>
      </c>
      <c r="AB164" t="s">
        <v>678</v>
      </c>
      <c r="AC164" t="s">
        <v>2805</v>
      </c>
      <c r="AD164" t="e">
        <f>VLOOKUP(AB164,#REF!,2,FALSE)</f>
        <v>#REF!</v>
      </c>
      <c r="AE164" t="e">
        <f>RIGHT(#REF!,(FIND("Complex",#REF!,1)-6))</f>
        <v>#REF!</v>
      </c>
    </row>
    <row r="165" spans="1:31" x14ac:dyDescent="0.25">
      <c r="A165">
        <v>2382</v>
      </c>
      <c r="B165" t="s">
        <v>33</v>
      </c>
      <c r="C165">
        <v>20</v>
      </c>
      <c r="D165">
        <v>445</v>
      </c>
      <c r="E165">
        <v>2382</v>
      </c>
      <c r="F165">
        <v>2116801</v>
      </c>
      <c r="G165">
        <v>2205000</v>
      </c>
      <c r="H165">
        <f t="shared" si="4"/>
        <v>48.000022675736965</v>
      </c>
      <c r="I165">
        <f t="shared" si="5"/>
        <v>50</v>
      </c>
      <c r="J165" t="s">
        <v>29</v>
      </c>
      <c r="K165">
        <v>6</v>
      </c>
      <c r="L165" t="e">
        <f t="array" ref="L165">VLOOKUP(J165:$J$3871&amp;K165:$K$3871,CHOOSE({1,2},#REF!&amp;#REF!,#REF!),2,0)</f>
        <v>#N/A</v>
      </c>
      <c r="M165">
        <v>-15</v>
      </c>
      <c r="N165">
        <v>0</v>
      </c>
      <c r="O165" t="s">
        <v>7</v>
      </c>
      <c r="P165">
        <v>1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1</v>
      </c>
      <c r="Y165">
        <v>1</v>
      </c>
      <c r="Z165">
        <v>0</v>
      </c>
      <c r="AA165" t="s">
        <v>2810</v>
      </c>
      <c r="AB165" t="s">
        <v>679</v>
      </c>
      <c r="AC165" t="s">
        <v>2810</v>
      </c>
      <c r="AD165" t="e">
        <f>VLOOKUP(AB165,#REF!,2,FALSE)</f>
        <v>#REF!</v>
      </c>
      <c r="AE165" t="e">
        <f>RIGHT(#REF!,(FIND("Complex",#REF!,1)-8))</f>
        <v>#REF!</v>
      </c>
    </row>
    <row r="166" spans="1:31" x14ac:dyDescent="0.25">
      <c r="A166">
        <v>681</v>
      </c>
      <c r="B166" t="s">
        <v>33</v>
      </c>
      <c r="C166">
        <v>20</v>
      </c>
      <c r="D166">
        <v>120</v>
      </c>
      <c r="E166">
        <v>681</v>
      </c>
      <c r="F166">
        <v>5203801</v>
      </c>
      <c r="G166">
        <v>5292000</v>
      </c>
      <c r="H166">
        <f t="shared" si="4"/>
        <v>118.00002267573696</v>
      </c>
      <c r="I166">
        <f t="shared" si="5"/>
        <v>120</v>
      </c>
      <c r="J166" t="s">
        <v>29</v>
      </c>
      <c r="K166">
        <v>6</v>
      </c>
      <c r="L166" t="e">
        <f t="array" ref="L166">VLOOKUP(J166:$J$3871&amp;K166:$K$3871,CHOOSE({1,2},#REF!&amp;#REF!,#REF!),2,0)</f>
        <v>#N/A</v>
      </c>
      <c r="M166">
        <v>-15</v>
      </c>
      <c r="N166">
        <v>0</v>
      </c>
      <c r="O166" t="s">
        <v>7</v>
      </c>
      <c r="P166">
        <v>1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1</v>
      </c>
      <c r="W166">
        <v>0</v>
      </c>
      <c r="X166">
        <v>1</v>
      </c>
      <c r="Y166">
        <v>1</v>
      </c>
      <c r="Z166">
        <v>0</v>
      </c>
      <c r="AA166" t="s">
        <v>3397</v>
      </c>
      <c r="AB166" t="s">
        <v>680</v>
      </c>
      <c r="AC166" t="s">
        <v>3397</v>
      </c>
      <c r="AD166" t="e">
        <f>VLOOKUP(AB166,#REF!,2,FALSE)</f>
        <v>#REF!</v>
      </c>
      <c r="AE166" t="e">
        <f>RIGHT(#REF!,(FIND("Complex",#REF!,1)-6))</f>
        <v>#REF!</v>
      </c>
    </row>
    <row r="167" spans="1:31" x14ac:dyDescent="0.25">
      <c r="A167">
        <v>787</v>
      </c>
      <c r="B167" t="s">
        <v>33</v>
      </c>
      <c r="C167">
        <v>20</v>
      </c>
      <c r="D167">
        <v>137</v>
      </c>
      <c r="E167">
        <v>787</v>
      </c>
      <c r="F167">
        <v>5027401</v>
      </c>
      <c r="G167">
        <v>5115600</v>
      </c>
      <c r="H167">
        <f t="shared" si="4"/>
        <v>114.00002267573696</v>
      </c>
      <c r="I167">
        <f t="shared" si="5"/>
        <v>116</v>
      </c>
      <c r="J167" t="s">
        <v>29</v>
      </c>
      <c r="K167">
        <v>6</v>
      </c>
      <c r="L167" t="e">
        <f t="array" ref="L167">VLOOKUP(J167:$J$3871&amp;K167:$K$3871,CHOOSE({1,2},#REF!&amp;#REF!,#REF!),2,0)</f>
        <v>#N/A</v>
      </c>
      <c r="M167">
        <v>-15</v>
      </c>
      <c r="N167">
        <v>0</v>
      </c>
      <c r="O167" t="s">
        <v>7</v>
      </c>
      <c r="P167">
        <v>1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1</v>
      </c>
      <c r="W167">
        <v>0</v>
      </c>
      <c r="X167">
        <v>1</v>
      </c>
      <c r="Y167">
        <v>1</v>
      </c>
      <c r="Z167">
        <v>0</v>
      </c>
      <c r="AA167" t="s">
        <v>3426</v>
      </c>
      <c r="AB167" t="s">
        <v>681</v>
      </c>
      <c r="AC167" t="s">
        <v>3426</v>
      </c>
      <c r="AD167" t="e">
        <f>VLOOKUP(AB167,#REF!,2,FALSE)</f>
        <v>#REF!</v>
      </c>
      <c r="AE167" t="e">
        <f>RIGHT(#REF!,(FIND("Complex",#REF!,1)-6))</f>
        <v>#REF!</v>
      </c>
    </row>
    <row r="168" spans="1:31" x14ac:dyDescent="0.25">
      <c r="A168">
        <v>1129</v>
      </c>
      <c r="B168" t="s">
        <v>33</v>
      </c>
      <c r="C168">
        <v>20</v>
      </c>
      <c r="D168">
        <v>192</v>
      </c>
      <c r="E168">
        <v>1129</v>
      </c>
      <c r="F168">
        <v>4851001</v>
      </c>
      <c r="G168">
        <v>4939200</v>
      </c>
      <c r="H168">
        <f t="shared" si="4"/>
        <v>110.00002267573696</v>
      </c>
      <c r="I168">
        <f t="shared" si="5"/>
        <v>112</v>
      </c>
      <c r="J168" t="s">
        <v>29</v>
      </c>
      <c r="K168">
        <v>6</v>
      </c>
      <c r="L168" t="e">
        <f t="array" ref="L168">VLOOKUP(J168:$J$3871&amp;K168:$K$3871,CHOOSE({1,2},#REF!&amp;#REF!,#REF!),2,0)</f>
        <v>#N/A</v>
      </c>
      <c r="M168">
        <v>-15</v>
      </c>
      <c r="N168">
        <v>0</v>
      </c>
      <c r="O168" t="s">
        <v>7</v>
      </c>
      <c r="P168">
        <v>1</v>
      </c>
      <c r="Q168">
        <v>0</v>
      </c>
      <c r="R168">
        <v>1</v>
      </c>
      <c r="S168">
        <v>0</v>
      </c>
      <c r="T168">
        <v>1</v>
      </c>
      <c r="U168">
        <v>0</v>
      </c>
      <c r="V168">
        <v>1</v>
      </c>
      <c r="W168">
        <v>0</v>
      </c>
      <c r="X168">
        <v>1</v>
      </c>
      <c r="Y168">
        <v>1</v>
      </c>
      <c r="Z168">
        <v>0</v>
      </c>
      <c r="AA168" t="s">
        <v>3449</v>
      </c>
      <c r="AB168" t="s">
        <v>682</v>
      </c>
      <c r="AC168" t="s">
        <v>3449</v>
      </c>
      <c r="AD168" t="e">
        <f>VLOOKUP(AB168,#REF!,2,FALSE)</f>
        <v>#REF!</v>
      </c>
      <c r="AE168" t="e">
        <f>RIGHT(#REF!,(FIND("Complex",#REF!,1)-7))</f>
        <v>#REF!</v>
      </c>
    </row>
    <row r="169" spans="1:31" x14ac:dyDescent="0.25">
      <c r="A169">
        <v>2766</v>
      </c>
      <c r="B169" t="s">
        <v>33</v>
      </c>
      <c r="C169">
        <v>20</v>
      </c>
      <c r="D169">
        <v>589</v>
      </c>
      <c r="E169">
        <v>2766</v>
      </c>
      <c r="F169">
        <v>4498201</v>
      </c>
      <c r="G169">
        <v>4586400</v>
      </c>
      <c r="H169">
        <f t="shared" si="4"/>
        <v>102.00002267573696</v>
      </c>
      <c r="I169">
        <f t="shared" si="5"/>
        <v>104</v>
      </c>
      <c r="J169" t="s">
        <v>29</v>
      </c>
      <c r="K169">
        <v>6</v>
      </c>
      <c r="L169" t="e">
        <f t="array" ref="L169">VLOOKUP(J169:$J$3871&amp;K169:$K$3871,CHOOSE({1,2},#REF!&amp;#REF!,#REF!),2,0)</f>
        <v>#N/A</v>
      </c>
      <c r="M169">
        <v>-15</v>
      </c>
      <c r="N169">
        <v>0</v>
      </c>
      <c r="O169" t="s">
        <v>7</v>
      </c>
      <c r="P169">
        <v>1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1</v>
      </c>
      <c r="W169">
        <v>0</v>
      </c>
      <c r="X169">
        <v>1</v>
      </c>
      <c r="Y169">
        <v>1</v>
      </c>
      <c r="Z169">
        <v>0</v>
      </c>
      <c r="AA169" t="s">
        <v>3484</v>
      </c>
      <c r="AB169" t="s">
        <v>683</v>
      </c>
      <c r="AC169" t="s">
        <v>3484</v>
      </c>
      <c r="AD169" t="e">
        <f>VLOOKUP(AB169,#REF!,2,FALSE)</f>
        <v>#REF!</v>
      </c>
      <c r="AE169" t="e">
        <f>RIGHT(#REF!,(FIND("Complex",#REF!,1)-7))</f>
        <v>#REF!</v>
      </c>
    </row>
    <row r="170" spans="1:31" x14ac:dyDescent="0.25">
      <c r="A170">
        <v>469</v>
      </c>
      <c r="B170" t="s">
        <v>61</v>
      </c>
      <c r="C170">
        <v>21</v>
      </c>
      <c r="D170">
        <v>87</v>
      </c>
      <c r="E170">
        <v>469</v>
      </c>
      <c r="F170">
        <v>7585201</v>
      </c>
      <c r="G170">
        <v>7673400</v>
      </c>
      <c r="H170">
        <f t="shared" si="4"/>
        <v>172.00002267573697</v>
      </c>
      <c r="I170">
        <f t="shared" si="5"/>
        <v>174</v>
      </c>
      <c r="J170" t="s">
        <v>29</v>
      </c>
      <c r="K170">
        <v>6</v>
      </c>
      <c r="L170" t="e">
        <f t="array" ref="L170">VLOOKUP(J170:$J$3871&amp;K170:$K$3871,CHOOSE({1,2},#REF!&amp;#REF!,#REF!),2,0)</f>
        <v>#N/A</v>
      </c>
      <c r="M170">
        <v>-15</v>
      </c>
      <c r="N170">
        <v>0</v>
      </c>
      <c r="O170" t="s">
        <v>7</v>
      </c>
      <c r="P170">
        <v>1</v>
      </c>
      <c r="Q170">
        <v>0</v>
      </c>
      <c r="R170">
        <v>1</v>
      </c>
      <c r="S170">
        <v>1</v>
      </c>
      <c r="T170">
        <v>1</v>
      </c>
      <c r="U170">
        <v>0</v>
      </c>
      <c r="V170">
        <v>0</v>
      </c>
      <c r="W170">
        <v>1</v>
      </c>
      <c r="X170">
        <v>1</v>
      </c>
      <c r="Y170">
        <v>0</v>
      </c>
      <c r="Z170">
        <v>0</v>
      </c>
      <c r="AA170" t="s">
        <v>3167</v>
      </c>
      <c r="AB170" t="s">
        <v>708</v>
      </c>
      <c r="AC170" t="s">
        <v>3167</v>
      </c>
      <c r="AD170" t="e">
        <f>VLOOKUP(AB170,#REF!,2,FALSE)</f>
        <v>#REF!</v>
      </c>
      <c r="AE170" t="e">
        <f>RIGHT(#REF!,(FIND("Complex",#REF!,1)-6))</f>
        <v>#REF!</v>
      </c>
    </row>
    <row r="171" spans="1:31" x14ac:dyDescent="0.25">
      <c r="A171">
        <v>2767</v>
      </c>
      <c r="B171" t="s">
        <v>61</v>
      </c>
      <c r="C171">
        <v>21</v>
      </c>
      <c r="D171">
        <v>590</v>
      </c>
      <c r="E171">
        <v>2767</v>
      </c>
      <c r="F171">
        <v>5909401</v>
      </c>
      <c r="G171">
        <v>5997600</v>
      </c>
      <c r="H171">
        <f t="shared" si="4"/>
        <v>134.00002267573697</v>
      </c>
      <c r="I171">
        <f t="shared" si="5"/>
        <v>136</v>
      </c>
      <c r="J171" t="s">
        <v>29</v>
      </c>
      <c r="K171">
        <v>6</v>
      </c>
      <c r="L171" t="e">
        <f t="array" ref="L171">VLOOKUP(J171:$J$3871&amp;K171:$K$3871,CHOOSE({1,2},#REF!&amp;#REF!,#REF!),2,0)</f>
        <v>#N/A</v>
      </c>
      <c r="M171">
        <v>-15</v>
      </c>
      <c r="N171">
        <v>0</v>
      </c>
      <c r="O171" t="s">
        <v>7</v>
      </c>
      <c r="P171">
        <v>1</v>
      </c>
      <c r="Q171">
        <v>0</v>
      </c>
      <c r="R171">
        <v>1</v>
      </c>
      <c r="S171">
        <v>1</v>
      </c>
      <c r="T171">
        <v>1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 t="s">
        <v>3300</v>
      </c>
      <c r="AB171" t="s">
        <v>709</v>
      </c>
      <c r="AC171" t="s">
        <v>3300</v>
      </c>
      <c r="AD171" t="e">
        <f>VLOOKUP(AB171,#REF!,2,FALSE)</f>
        <v>#REF!</v>
      </c>
      <c r="AE171" t="e">
        <f>RIGHT(#REF!,(FIND("Complex",#REF!,1)-7))</f>
        <v>#REF!</v>
      </c>
    </row>
    <row r="172" spans="1:31" x14ac:dyDescent="0.25">
      <c r="A172">
        <v>2949</v>
      </c>
      <c r="B172" t="s">
        <v>61</v>
      </c>
      <c r="C172">
        <v>21</v>
      </c>
      <c r="D172">
        <v>657</v>
      </c>
      <c r="E172">
        <v>2949</v>
      </c>
      <c r="F172">
        <v>5821201</v>
      </c>
      <c r="G172">
        <v>5909400</v>
      </c>
      <c r="H172">
        <f t="shared" si="4"/>
        <v>132.00002267573697</v>
      </c>
      <c r="I172">
        <f t="shared" si="5"/>
        <v>134</v>
      </c>
      <c r="J172" t="s">
        <v>29</v>
      </c>
      <c r="K172">
        <v>6</v>
      </c>
      <c r="L172" t="e">
        <f t="array" ref="L172">VLOOKUP(J172:$J$3871&amp;K172:$K$3871,CHOOSE({1,2},#REF!&amp;#REF!,#REF!),2,0)</f>
        <v>#N/A</v>
      </c>
      <c r="M172">
        <v>-15</v>
      </c>
      <c r="N172">
        <v>0</v>
      </c>
      <c r="O172" t="s">
        <v>7</v>
      </c>
      <c r="P172">
        <v>1</v>
      </c>
      <c r="Q172">
        <v>0</v>
      </c>
      <c r="R172">
        <v>1</v>
      </c>
      <c r="S172">
        <v>1</v>
      </c>
      <c r="T172">
        <v>1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 t="s">
        <v>3312</v>
      </c>
      <c r="AB172" t="s">
        <v>710</v>
      </c>
      <c r="AC172" t="s">
        <v>3312</v>
      </c>
      <c r="AD172" t="e">
        <f>VLOOKUP(AB172,#REF!,2,FALSE)</f>
        <v>#REF!</v>
      </c>
      <c r="AE172" t="e">
        <f>RIGHT(#REF!,(FIND("Complex",#REF!,1)-7))</f>
        <v>#REF!</v>
      </c>
    </row>
    <row r="173" spans="1:31" x14ac:dyDescent="0.25">
      <c r="A173">
        <v>1335</v>
      </c>
      <c r="B173" t="s">
        <v>61</v>
      </c>
      <c r="C173">
        <v>21</v>
      </c>
      <c r="D173">
        <v>229</v>
      </c>
      <c r="E173">
        <v>1335</v>
      </c>
      <c r="F173">
        <v>5292001</v>
      </c>
      <c r="G173">
        <v>5380200</v>
      </c>
      <c r="H173">
        <f t="shared" si="4"/>
        <v>120.00002267573696</v>
      </c>
      <c r="I173">
        <f t="shared" si="5"/>
        <v>122</v>
      </c>
      <c r="J173" t="s">
        <v>29</v>
      </c>
      <c r="K173">
        <v>6</v>
      </c>
      <c r="L173" t="e">
        <f t="array" ref="L173">VLOOKUP(J173:$J$3871&amp;K173:$K$3871,CHOOSE({1,2},#REF!&amp;#REF!,#REF!),2,0)</f>
        <v>#N/A</v>
      </c>
      <c r="M173">
        <v>-15</v>
      </c>
      <c r="N173">
        <v>0</v>
      </c>
      <c r="O173" t="s">
        <v>7</v>
      </c>
      <c r="P173">
        <v>1</v>
      </c>
      <c r="Q173">
        <v>0</v>
      </c>
      <c r="R173">
        <v>1</v>
      </c>
      <c r="S173">
        <v>1</v>
      </c>
      <c r="T173">
        <v>1</v>
      </c>
      <c r="U173">
        <v>0</v>
      </c>
      <c r="V173">
        <v>0</v>
      </c>
      <c r="W173">
        <v>1</v>
      </c>
      <c r="X173">
        <v>1</v>
      </c>
      <c r="Y173">
        <v>0</v>
      </c>
      <c r="Z173">
        <v>0</v>
      </c>
      <c r="AA173" t="s">
        <v>3385</v>
      </c>
      <c r="AB173" t="s">
        <v>711</v>
      </c>
      <c r="AC173" t="s">
        <v>3385</v>
      </c>
      <c r="AD173" t="e">
        <f>VLOOKUP(AB173,#REF!,2,FALSE)</f>
        <v>#REF!</v>
      </c>
      <c r="AE173" t="e">
        <f>RIGHT(#REF!,(FIND("Complex",#REF!,1)-7))</f>
        <v>#REF!</v>
      </c>
    </row>
    <row r="174" spans="1:31" x14ac:dyDescent="0.25">
      <c r="A174">
        <v>934</v>
      </c>
      <c r="B174" t="s">
        <v>61</v>
      </c>
      <c r="C174">
        <v>21</v>
      </c>
      <c r="D174">
        <v>166</v>
      </c>
      <c r="E174">
        <v>934</v>
      </c>
      <c r="F174">
        <v>5203801</v>
      </c>
      <c r="G174">
        <v>5292000</v>
      </c>
      <c r="H174">
        <f t="shared" si="4"/>
        <v>118.00002267573696</v>
      </c>
      <c r="I174">
        <f t="shared" si="5"/>
        <v>120</v>
      </c>
      <c r="J174" t="s">
        <v>29</v>
      </c>
      <c r="K174">
        <v>6</v>
      </c>
      <c r="L174" t="e">
        <f t="array" ref="L174">VLOOKUP(J174:$J$3871&amp;K174:$K$3871,CHOOSE({1,2},#REF!&amp;#REF!,#REF!),2,0)</f>
        <v>#N/A</v>
      </c>
      <c r="M174">
        <v>-15</v>
      </c>
      <c r="N174">
        <v>0</v>
      </c>
      <c r="O174" t="s">
        <v>7</v>
      </c>
      <c r="P174">
        <v>1</v>
      </c>
      <c r="Q174">
        <v>0</v>
      </c>
      <c r="R174">
        <v>1</v>
      </c>
      <c r="S174">
        <v>1</v>
      </c>
      <c r="T174">
        <v>1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 t="s">
        <v>3396</v>
      </c>
      <c r="AB174" t="s">
        <v>712</v>
      </c>
      <c r="AC174" t="s">
        <v>3396</v>
      </c>
      <c r="AD174" t="e">
        <f>VLOOKUP(AB174,#REF!,2,FALSE)</f>
        <v>#REF!</v>
      </c>
      <c r="AE174" t="e">
        <f>RIGHT(#REF!,(FIND("Complex",#REF!,1)-6))</f>
        <v>#REF!</v>
      </c>
    </row>
    <row r="175" spans="1:31" x14ac:dyDescent="0.25">
      <c r="A175">
        <v>767</v>
      </c>
      <c r="B175" t="s">
        <v>61</v>
      </c>
      <c r="C175">
        <v>21</v>
      </c>
      <c r="D175">
        <v>131</v>
      </c>
      <c r="E175">
        <v>767</v>
      </c>
      <c r="F175">
        <v>5115601</v>
      </c>
      <c r="G175">
        <v>5203800</v>
      </c>
      <c r="H175">
        <f t="shared" si="4"/>
        <v>116.00002267573696</v>
      </c>
      <c r="I175">
        <f t="shared" si="5"/>
        <v>118</v>
      </c>
      <c r="J175" t="s">
        <v>29</v>
      </c>
      <c r="K175">
        <v>6</v>
      </c>
      <c r="L175" t="e">
        <f t="array" ref="L175">VLOOKUP(J175:$J$3871&amp;K175:$K$3871,CHOOSE({1,2},#REF!&amp;#REF!,#REF!),2,0)</f>
        <v>#N/A</v>
      </c>
      <c r="M175">
        <v>-15</v>
      </c>
      <c r="N175">
        <v>0</v>
      </c>
      <c r="O175" t="s">
        <v>7</v>
      </c>
      <c r="P175">
        <v>1</v>
      </c>
      <c r="Q175">
        <v>0</v>
      </c>
      <c r="R175">
        <v>1</v>
      </c>
      <c r="S175">
        <v>1</v>
      </c>
      <c r="T175">
        <v>1</v>
      </c>
      <c r="U175">
        <v>0</v>
      </c>
      <c r="V175">
        <v>0</v>
      </c>
      <c r="W175">
        <v>1</v>
      </c>
      <c r="X175">
        <v>1</v>
      </c>
      <c r="Y175">
        <v>0</v>
      </c>
      <c r="Z175">
        <v>0</v>
      </c>
      <c r="AA175" t="s">
        <v>3413</v>
      </c>
      <c r="AB175" t="s">
        <v>713</v>
      </c>
      <c r="AC175" t="s">
        <v>3413</v>
      </c>
      <c r="AD175" t="e">
        <f>VLOOKUP(AB175,#REF!,2,FALSE)</f>
        <v>#REF!</v>
      </c>
      <c r="AE175" t="e">
        <f>RIGHT(#REF!,(FIND("Complex",#REF!,1)-6))</f>
        <v>#REF!</v>
      </c>
    </row>
    <row r="176" spans="1:31" x14ac:dyDescent="0.25">
      <c r="A176">
        <v>1471</v>
      </c>
      <c r="B176" t="s">
        <v>62</v>
      </c>
      <c r="C176">
        <v>26</v>
      </c>
      <c r="D176">
        <v>246</v>
      </c>
      <c r="E176">
        <v>1471</v>
      </c>
      <c r="F176">
        <v>7849801</v>
      </c>
      <c r="G176">
        <v>7938000</v>
      </c>
      <c r="H176">
        <f t="shared" si="4"/>
        <v>178.00002267573697</v>
      </c>
      <c r="I176">
        <f t="shared" si="5"/>
        <v>180</v>
      </c>
      <c r="J176" t="s">
        <v>29</v>
      </c>
      <c r="K176">
        <v>6</v>
      </c>
      <c r="L176" t="e">
        <f t="array" ref="L176">VLOOKUP(J176:$J$3871&amp;K176:$K$3871,CHOOSE({1,2},#REF!&amp;#REF!,#REF!),2,0)</f>
        <v>#N/A</v>
      </c>
      <c r="M176">
        <v>-15</v>
      </c>
      <c r="N176">
        <v>0</v>
      </c>
      <c r="O176" t="s">
        <v>7</v>
      </c>
      <c r="P176">
        <v>1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1</v>
      </c>
      <c r="Y176">
        <v>0</v>
      </c>
      <c r="Z176">
        <v>1</v>
      </c>
      <c r="AA176" t="s">
        <v>3140</v>
      </c>
      <c r="AB176" t="s">
        <v>160</v>
      </c>
      <c r="AC176" t="s">
        <v>3140</v>
      </c>
      <c r="AD176" t="e">
        <f>VLOOKUP(AB176,#REF!,2,FALSE)</f>
        <v>#REF!</v>
      </c>
      <c r="AE176" t="e">
        <f>RIGHT(#REF!,(FIND("Complex",#REF!,1)-7))</f>
        <v>#REF!</v>
      </c>
    </row>
    <row r="177" spans="1:31" x14ac:dyDescent="0.25">
      <c r="A177">
        <v>1612</v>
      </c>
      <c r="B177" t="s">
        <v>62</v>
      </c>
      <c r="C177">
        <v>26</v>
      </c>
      <c r="D177">
        <v>279</v>
      </c>
      <c r="E177">
        <v>1612</v>
      </c>
      <c r="F177">
        <v>7761601</v>
      </c>
      <c r="G177">
        <v>7849800</v>
      </c>
      <c r="H177">
        <f t="shared" si="4"/>
        <v>176.00002267573697</v>
      </c>
      <c r="I177">
        <f t="shared" si="5"/>
        <v>178</v>
      </c>
      <c r="J177" t="s">
        <v>29</v>
      </c>
      <c r="K177">
        <v>6</v>
      </c>
      <c r="L177" t="e">
        <f t="array" ref="L177">VLOOKUP(J177:$J$3871&amp;K177:$K$3871,CHOOSE({1,2},#REF!&amp;#REF!,#REF!),2,0)</f>
        <v>#N/A</v>
      </c>
      <c r="M177">
        <v>-15</v>
      </c>
      <c r="N177">
        <v>0</v>
      </c>
      <c r="O177" t="s">
        <v>7</v>
      </c>
      <c r="P177">
        <v>1</v>
      </c>
      <c r="Q177">
        <v>1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1</v>
      </c>
      <c r="Y177">
        <v>0</v>
      </c>
      <c r="Z177">
        <v>1</v>
      </c>
      <c r="AA177" t="s">
        <v>3149</v>
      </c>
      <c r="AB177" t="s">
        <v>791</v>
      </c>
      <c r="AC177" t="s">
        <v>3149</v>
      </c>
      <c r="AD177" t="e">
        <f>VLOOKUP(AB177,#REF!,2,FALSE)</f>
        <v>#REF!</v>
      </c>
      <c r="AE177" t="e">
        <f>RIGHT(#REF!,(FIND("Complex",#REF!,1)-7))</f>
        <v>#REF!</v>
      </c>
    </row>
    <row r="178" spans="1:31" x14ac:dyDescent="0.25">
      <c r="A178">
        <v>2473</v>
      </c>
      <c r="B178" t="s">
        <v>62</v>
      </c>
      <c r="C178">
        <v>26</v>
      </c>
      <c r="D178">
        <v>475</v>
      </c>
      <c r="E178">
        <v>2473</v>
      </c>
      <c r="F178">
        <v>7585201</v>
      </c>
      <c r="G178">
        <v>7673400</v>
      </c>
      <c r="H178">
        <f t="shared" si="4"/>
        <v>172.00002267573697</v>
      </c>
      <c r="I178">
        <f t="shared" si="5"/>
        <v>174</v>
      </c>
      <c r="J178" t="s">
        <v>29</v>
      </c>
      <c r="K178">
        <v>6</v>
      </c>
      <c r="L178" t="e">
        <f t="array" ref="L178">VLOOKUP(J178:$J$3871&amp;K178:$K$3871,CHOOSE({1,2},#REF!&amp;#REF!,#REF!),2,0)</f>
        <v>#N/A</v>
      </c>
      <c r="M178">
        <v>-15</v>
      </c>
      <c r="N178">
        <v>0</v>
      </c>
      <c r="O178" t="s">
        <v>7</v>
      </c>
      <c r="P178">
        <v>1</v>
      </c>
      <c r="Q178">
        <v>1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1</v>
      </c>
      <c r="X178">
        <v>1</v>
      </c>
      <c r="Y178">
        <v>0</v>
      </c>
      <c r="Z178">
        <v>1</v>
      </c>
      <c r="AA178" t="s">
        <v>3166</v>
      </c>
      <c r="AB178" t="s">
        <v>792</v>
      </c>
      <c r="AC178" t="s">
        <v>3166</v>
      </c>
      <c r="AD178" t="e">
        <f>VLOOKUP(AB178,#REF!,2,FALSE)</f>
        <v>#REF!</v>
      </c>
      <c r="AE178" t="e">
        <f>RIGHT(#REF!,(FIND("Complex",#REF!,1)-7))</f>
        <v>#REF!</v>
      </c>
    </row>
    <row r="179" spans="1:31" x14ac:dyDescent="0.25">
      <c r="A179">
        <v>2824</v>
      </c>
      <c r="B179" t="s">
        <v>62</v>
      </c>
      <c r="C179">
        <v>26</v>
      </c>
      <c r="D179">
        <v>612</v>
      </c>
      <c r="E179">
        <v>2824</v>
      </c>
      <c r="F179">
        <v>7497001</v>
      </c>
      <c r="G179">
        <v>7585200</v>
      </c>
      <c r="H179">
        <f t="shared" si="4"/>
        <v>170.00002267573697</v>
      </c>
      <c r="I179">
        <f t="shared" si="5"/>
        <v>172</v>
      </c>
      <c r="J179" t="s">
        <v>29</v>
      </c>
      <c r="K179">
        <v>6</v>
      </c>
      <c r="L179" t="e">
        <f t="array" ref="L179">VLOOKUP(J179:$J$3871&amp;K179:$K$3871,CHOOSE({1,2},#REF!&amp;#REF!,#REF!),2,0)</f>
        <v>#N/A</v>
      </c>
      <c r="M179">
        <v>-15</v>
      </c>
      <c r="N179">
        <v>0</v>
      </c>
      <c r="O179" t="s">
        <v>7</v>
      </c>
      <c r="P179">
        <v>1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1</v>
      </c>
      <c r="X179">
        <v>1</v>
      </c>
      <c r="Y179">
        <v>0</v>
      </c>
      <c r="Z179">
        <v>1</v>
      </c>
      <c r="AA179" t="s">
        <v>3174</v>
      </c>
      <c r="AB179" t="s">
        <v>793</v>
      </c>
      <c r="AC179" t="s">
        <v>3174</v>
      </c>
      <c r="AD179" t="e">
        <f>VLOOKUP(AB179,#REF!,2,FALSE)</f>
        <v>#REF!</v>
      </c>
      <c r="AE179" t="e">
        <f>RIGHT(#REF!,(FIND("Complex",#REF!,1)-7))</f>
        <v>#REF!</v>
      </c>
    </row>
    <row r="180" spans="1:31" x14ac:dyDescent="0.25">
      <c r="A180">
        <v>1653</v>
      </c>
      <c r="B180" t="s">
        <v>62</v>
      </c>
      <c r="C180">
        <v>26</v>
      </c>
      <c r="D180">
        <v>286</v>
      </c>
      <c r="E180">
        <v>1653</v>
      </c>
      <c r="F180">
        <v>6085801</v>
      </c>
      <c r="G180">
        <v>6174000</v>
      </c>
      <c r="H180">
        <f t="shared" si="4"/>
        <v>138.00002267573697</v>
      </c>
      <c r="I180">
        <f t="shared" si="5"/>
        <v>140</v>
      </c>
      <c r="J180" t="s">
        <v>29</v>
      </c>
      <c r="K180">
        <v>6</v>
      </c>
      <c r="L180" t="e">
        <f t="array" ref="L180">VLOOKUP(J180:$J$3871&amp;K180:$K$3871,CHOOSE({1,2},#REF!&amp;#REF!,#REF!),2,0)</f>
        <v>#N/A</v>
      </c>
      <c r="M180">
        <v>-15</v>
      </c>
      <c r="N180">
        <v>0</v>
      </c>
      <c r="O180" t="s">
        <v>7</v>
      </c>
      <c r="P180">
        <v>1</v>
      </c>
      <c r="Q180">
        <v>0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1</v>
      </c>
      <c r="Y180">
        <v>1</v>
      </c>
      <c r="Z180">
        <v>0</v>
      </c>
      <c r="AA180" t="s">
        <v>3276</v>
      </c>
      <c r="AB180" t="s">
        <v>794</v>
      </c>
      <c r="AC180" t="s">
        <v>3276</v>
      </c>
      <c r="AD180" t="e">
        <f>VLOOKUP(AB180,#REF!,2,FALSE)</f>
        <v>#REF!</v>
      </c>
      <c r="AE180" t="e">
        <f>RIGHT(#REF!,(FIND("Complex",#REF!,1)-7))</f>
        <v>#REF!</v>
      </c>
    </row>
    <row r="181" spans="1:31" x14ac:dyDescent="0.25">
      <c r="A181">
        <v>3060</v>
      </c>
      <c r="B181" t="s">
        <v>46</v>
      </c>
      <c r="C181">
        <v>27</v>
      </c>
      <c r="D181">
        <v>708</v>
      </c>
      <c r="E181">
        <v>3060</v>
      </c>
      <c r="F181">
        <v>3880801</v>
      </c>
      <c r="G181">
        <v>3969000</v>
      </c>
      <c r="H181">
        <f t="shared" si="4"/>
        <v>88.000022675736957</v>
      </c>
      <c r="I181">
        <f t="shared" si="5"/>
        <v>90</v>
      </c>
      <c r="J181" t="s">
        <v>29</v>
      </c>
      <c r="K181">
        <v>6</v>
      </c>
      <c r="L181" t="e">
        <f t="array" ref="L181">VLOOKUP(J181:$J$3871&amp;K181:$K$3871,CHOOSE({1,2},#REF!&amp;#REF!,#REF!),2,0)</f>
        <v>#N/A</v>
      </c>
      <c r="M181">
        <v>-15</v>
      </c>
      <c r="N181">
        <v>0</v>
      </c>
      <c r="O181" t="s">
        <v>7</v>
      </c>
      <c r="P181">
        <v>1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1</v>
      </c>
      <c r="X181">
        <v>1</v>
      </c>
      <c r="Y181">
        <v>0</v>
      </c>
      <c r="Z181">
        <v>1</v>
      </c>
      <c r="AA181" t="s">
        <v>2664</v>
      </c>
      <c r="AB181" t="s">
        <v>817</v>
      </c>
      <c r="AC181" t="s">
        <v>2664</v>
      </c>
      <c r="AD181" t="e">
        <f>VLOOKUP(AB181,#REF!,2,FALSE)</f>
        <v>#REF!</v>
      </c>
      <c r="AE181" t="e">
        <f>RIGHT(#REF!,(FIND("Complex",#REF!,1)-8))</f>
        <v>#REF!</v>
      </c>
    </row>
    <row r="182" spans="1:31" x14ac:dyDescent="0.25">
      <c r="A182">
        <v>2730</v>
      </c>
      <c r="B182" t="s">
        <v>46</v>
      </c>
      <c r="C182">
        <v>27</v>
      </c>
      <c r="D182">
        <v>573</v>
      </c>
      <c r="E182">
        <v>2730</v>
      </c>
      <c r="F182">
        <v>3792601</v>
      </c>
      <c r="G182">
        <v>3880800</v>
      </c>
      <c r="H182">
        <f t="shared" si="4"/>
        <v>86.000022675736957</v>
      </c>
      <c r="I182">
        <f t="shared" si="5"/>
        <v>88</v>
      </c>
      <c r="J182" t="s">
        <v>29</v>
      </c>
      <c r="K182">
        <v>6</v>
      </c>
      <c r="L182" t="e">
        <f t="array" ref="L182">VLOOKUP(J182:$J$3871&amp;K182:$K$3871,CHOOSE({1,2},#REF!&amp;#REF!,#REF!),2,0)</f>
        <v>#N/A</v>
      </c>
      <c r="M182">
        <v>-15</v>
      </c>
      <c r="N182">
        <v>0</v>
      </c>
      <c r="O182" t="s">
        <v>7</v>
      </c>
      <c r="P182">
        <v>1</v>
      </c>
      <c r="Q182">
        <v>0</v>
      </c>
      <c r="R182">
        <v>0</v>
      </c>
      <c r="S182">
        <v>1</v>
      </c>
      <c r="T182">
        <v>1</v>
      </c>
      <c r="U182">
        <v>0</v>
      </c>
      <c r="V182">
        <v>0</v>
      </c>
      <c r="W182">
        <v>1</v>
      </c>
      <c r="X182">
        <v>1</v>
      </c>
      <c r="Y182">
        <v>0</v>
      </c>
      <c r="Z182">
        <v>1</v>
      </c>
      <c r="AA182" t="s">
        <v>2671</v>
      </c>
      <c r="AB182" t="s">
        <v>818</v>
      </c>
      <c r="AC182" t="s">
        <v>2671</v>
      </c>
      <c r="AD182" t="e">
        <f>VLOOKUP(AB182,#REF!,2,FALSE)</f>
        <v>#REF!</v>
      </c>
      <c r="AE182" t="e">
        <f>RIGHT(#REF!,(FIND("Complex",#REF!,1)-8))</f>
        <v>#REF!</v>
      </c>
    </row>
    <row r="183" spans="1:31" x14ac:dyDescent="0.25">
      <c r="A183">
        <v>2868</v>
      </c>
      <c r="B183" t="s">
        <v>46</v>
      </c>
      <c r="C183">
        <v>27</v>
      </c>
      <c r="D183">
        <v>624</v>
      </c>
      <c r="E183">
        <v>2868</v>
      </c>
      <c r="F183">
        <v>2822401</v>
      </c>
      <c r="G183">
        <v>2910600</v>
      </c>
      <c r="H183">
        <f t="shared" si="4"/>
        <v>64.000022675736957</v>
      </c>
      <c r="I183">
        <f t="shared" si="5"/>
        <v>66</v>
      </c>
      <c r="J183" t="s">
        <v>29</v>
      </c>
      <c r="K183">
        <v>6</v>
      </c>
      <c r="L183" t="e">
        <f t="array" ref="L183">VLOOKUP(J183:$J$3871&amp;K183:$K$3871,CHOOSE({1,2},#REF!&amp;#REF!,#REF!),2,0)</f>
        <v>#N/A</v>
      </c>
      <c r="M183">
        <v>-15</v>
      </c>
      <c r="N183">
        <v>0</v>
      </c>
      <c r="O183" t="s">
        <v>7</v>
      </c>
      <c r="P183">
        <v>1</v>
      </c>
      <c r="Q183">
        <v>1</v>
      </c>
      <c r="R183">
        <v>0</v>
      </c>
      <c r="S183">
        <v>1</v>
      </c>
      <c r="T183">
        <v>1</v>
      </c>
      <c r="U183">
        <v>0</v>
      </c>
      <c r="V183">
        <v>0</v>
      </c>
      <c r="W183">
        <v>1</v>
      </c>
      <c r="X183">
        <v>1</v>
      </c>
      <c r="Y183">
        <v>0</v>
      </c>
      <c r="Z183">
        <v>0</v>
      </c>
      <c r="AA183" t="s">
        <v>2767</v>
      </c>
      <c r="AB183" t="s">
        <v>6179</v>
      </c>
      <c r="AC183" t="s">
        <v>2767</v>
      </c>
      <c r="AD183" t="e">
        <f>VLOOKUP(AB183,#REF!,2,FALSE)</f>
        <v>#REF!</v>
      </c>
      <c r="AE183" t="e">
        <f>RIGHT(#REF!,(FIND("Complex",#REF!,1)-8))</f>
        <v>#REF!</v>
      </c>
    </row>
    <row r="184" spans="1:31" x14ac:dyDescent="0.25">
      <c r="A184">
        <v>3778</v>
      </c>
      <c r="B184" t="s">
        <v>46</v>
      </c>
      <c r="C184">
        <v>27</v>
      </c>
      <c r="D184">
        <v>1020</v>
      </c>
      <c r="E184">
        <v>3778</v>
      </c>
      <c r="F184">
        <v>8379001</v>
      </c>
      <c r="G184">
        <v>8467200</v>
      </c>
      <c r="H184">
        <f t="shared" si="4"/>
        <v>190.00002267573697</v>
      </c>
      <c r="I184">
        <f t="shared" si="5"/>
        <v>192</v>
      </c>
      <c r="J184" t="s">
        <v>29</v>
      </c>
      <c r="K184">
        <v>6</v>
      </c>
      <c r="L184" t="e">
        <f t="array" ref="L184">VLOOKUP(J184:$J$3871&amp;K184:$K$3871,CHOOSE({1,2},#REF!&amp;#REF!,#REF!),2,0)</f>
        <v>#N/A</v>
      </c>
      <c r="M184">
        <v>-15</v>
      </c>
      <c r="N184">
        <v>0</v>
      </c>
      <c r="O184" t="s">
        <v>7</v>
      </c>
      <c r="P184">
        <v>1</v>
      </c>
      <c r="Q184">
        <v>1</v>
      </c>
      <c r="R184">
        <v>0</v>
      </c>
      <c r="S184">
        <v>1</v>
      </c>
      <c r="T184">
        <v>1</v>
      </c>
      <c r="U184">
        <v>0</v>
      </c>
      <c r="V184">
        <v>0</v>
      </c>
      <c r="W184">
        <v>1</v>
      </c>
      <c r="X184">
        <v>1</v>
      </c>
      <c r="Y184">
        <v>0</v>
      </c>
      <c r="Z184">
        <v>0</v>
      </c>
      <c r="AA184" t="s">
        <v>3088</v>
      </c>
      <c r="AB184" t="s">
        <v>819</v>
      </c>
      <c r="AC184" t="s">
        <v>3088</v>
      </c>
      <c r="AD184" t="e">
        <f>VLOOKUP(AB184,#REF!,2,FALSE)</f>
        <v>#REF!</v>
      </c>
      <c r="AE184" t="e">
        <f>RIGHT(#REF!,(FIND("Complex",#REF!,1)-8))</f>
        <v>#REF!</v>
      </c>
    </row>
    <row r="185" spans="1:31" x14ac:dyDescent="0.25">
      <c r="A185">
        <v>3330</v>
      </c>
      <c r="B185" t="s">
        <v>46</v>
      </c>
      <c r="C185">
        <v>27</v>
      </c>
      <c r="D185">
        <v>840</v>
      </c>
      <c r="E185">
        <v>3330</v>
      </c>
      <c r="F185">
        <v>5733001</v>
      </c>
      <c r="G185">
        <v>5821200</v>
      </c>
      <c r="H185">
        <f t="shared" si="4"/>
        <v>130.00002267573697</v>
      </c>
      <c r="I185">
        <f t="shared" si="5"/>
        <v>132</v>
      </c>
      <c r="J185" t="s">
        <v>29</v>
      </c>
      <c r="K185">
        <v>6</v>
      </c>
      <c r="L185" t="e">
        <f t="array" ref="L185">VLOOKUP(J185:$J$3871&amp;K185:$K$3871,CHOOSE({1,2},#REF!&amp;#REF!,#REF!),2,0)</f>
        <v>#N/A</v>
      </c>
      <c r="M185">
        <v>-15</v>
      </c>
      <c r="N185">
        <v>0</v>
      </c>
      <c r="O185" t="s">
        <v>7</v>
      </c>
      <c r="P185">
        <v>1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0</v>
      </c>
      <c r="W185">
        <v>1</v>
      </c>
      <c r="X185">
        <v>1</v>
      </c>
      <c r="Y185">
        <v>1</v>
      </c>
      <c r="Z185">
        <v>0</v>
      </c>
      <c r="AA185" t="s">
        <v>3325</v>
      </c>
      <c r="AB185" t="s">
        <v>820</v>
      </c>
      <c r="AC185" t="s">
        <v>3325</v>
      </c>
      <c r="AD185" t="e">
        <f>VLOOKUP(AB185,#REF!,2,FALSE)</f>
        <v>#REF!</v>
      </c>
      <c r="AE185" t="e">
        <f>RIGHT(#REF!,(FIND("Complex",#REF!,1)-7))</f>
        <v>#REF!</v>
      </c>
    </row>
    <row r="186" spans="1:31" x14ac:dyDescent="0.25">
      <c r="A186">
        <v>869</v>
      </c>
      <c r="B186" t="s">
        <v>63</v>
      </c>
      <c r="C186">
        <v>32</v>
      </c>
      <c r="D186">
        <v>153</v>
      </c>
      <c r="E186">
        <v>869</v>
      </c>
      <c r="F186">
        <v>5380201</v>
      </c>
      <c r="G186">
        <v>5468400</v>
      </c>
      <c r="H186">
        <f t="shared" si="4"/>
        <v>122.00002267573696</v>
      </c>
      <c r="I186">
        <f t="shared" si="5"/>
        <v>124</v>
      </c>
      <c r="J186" t="s">
        <v>29</v>
      </c>
      <c r="K186">
        <v>6</v>
      </c>
      <c r="L186" t="e">
        <f t="array" ref="L186">VLOOKUP(J186:$J$3871&amp;K186:$K$3871,CHOOSE({1,2},#REF!&amp;#REF!,#REF!),2,0)</f>
        <v>#N/A</v>
      </c>
      <c r="M186">
        <v>-15</v>
      </c>
      <c r="N186">
        <v>0</v>
      </c>
      <c r="O186" t="s">
        <v>7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</v>
      </c>
      <c r="X186">
        <v>1</v>
      </c>
      <c r="Y186">
        <v>1</v>
      </c>
      <c r="Z186">
        <v>1</v>
      </c>
      <c r="AA186" t="s">
        <v>3370</v>
      </c>
      <c r="AB186" t="s">
        <v>981</v>
      </c>
      <c r="AC186" t="s">
        <v>3370</v>
      </c>
      <c r="AD186" t="e">
        <f>VLOOKUP(AB186,#REF!,2,FALSE)</f>
        <v>#REF!</v>
      </c>
      <c r="AE186" t="e">
        <f>RIGHT(#REF!,(FIND("Complex",#REF!,1)-6))</f>
        <v>#REF!</v>
      </c>
    </row>
    <row r="187" spans="1:31" x14ac:dyDescent="0.25">
      <c r="A187">
        <v>686</v>
      </c>
      <c r="B187" t="s">
        <v>63</v>
      </c>
      <c r="C187">
        <v>32</v>
      </c>
      <c r="D187">
        <v>122</v>
      </c>
      <c r="E187">
        <v>686</v>
      </c>
      <c r="F187">
        <v>5292001</v>
      </c>
      <c r="G187">
        <v>5380200</v>
      </c>
      <c r="H187">
        <f t="shared" si="4"/>
        <v>120.00002267573696</v>
      </c>
      <c r="I187">
        <f t="shared" si="5"/>
        <v>122</v>
      </c>
      <c r="J187" t="s">
        <v>29</v>
      </c>
      <c r="K187">
        <v>6</v>
      </c>
      <c r="L187" t="e">
        <f t="array" ref="L187">VLOOKUP(J187:$J$3871&amp;K187:$K$3871,CHOOSE({1,2},#REF!&amp;#REF!,#REF!),2,0)</f>
        <v>#N/A</v>
      </c>
      <c r="M187">
        <v>-15</v>
      </c>
      <c r="N187">
        <v>0</v>
      </c>
      <c r="O187" t="s">
        <v>7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1</v>
      </c>
      <c r="Y187">
        <v>1</v>
      </c>
      <c r="Z187">
        <v>1</v>
      </c>
      <c r="AA187" t="s">
        <v>3383</v>
      </c>
      <c r="AB187" t="s">
        <v>982</v>
      </c>
      <c r="AC187" t="s">
        <v>3383</v>
      </c>
      <c r="AD187" t="e">
        <f>VLOOKUP(AB187,#REF!,2,FALSE)</f>
        <v>#REF!</v>
      </c>
      <c r="AE187" t="e">
        <f>RIGHT(#REF!,(FIND("Complex",#REF!,1)-6))</f>
        <v>#REF!</v>
      </c>
    </row>
    <row r="188" spans="1:31" x14ac:dyDescent="0.25">
      <c r="A188">
        <v>2926</v>
      </c>
      <c r="B188" t="s">
        <v>63</v>
      </c>
      <c r="C188">
        <v>32</v>
      </c>
      <c r="D188">
        <v>649</v>
      </c>
      <c r="E188">
        <v>2926</v>
      </c>
      <c r="F188">
        <v>5203801</v>
      </c>
      <c r="G188">
        <v>5292000</v>
      </c>
      <c r="H188">
        <f t="shared" si="4"/>
        <v>118.00002267573696</v>
      </c>
      <c r="I188">
        <f t="shared" si="5"/>
        <v>120</v>
      </c>
      <c r="J188" t="s">
        <v>29</v>
      </c>
      <c r="K188">
        <v>6</v>
      </c>
      <c r="L188" t="e">
        <f t="array" ref="L188">VLOOKUP(J188:$J$3871&amp;K188:$K$3871,CHOOSE({1,2},#REF!&amp;#REF!,#REF!),2,0)</f>
        <v>#N/A</v>
      </c>
      <c r="M188">
        <v>-15</v>
      </c>
      <c r="N188">
        <v>0</v>
      </c>
      <c r="O188" t="s">
        <v>7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</v>
      </c>
      <c r="X188">
        <v>1</v>
      </c>
      <c r="Y188">
        <v>1</v>
      </c>
      <c r="Z188">
        <v>1</v>
      </c>
      <c r="AA188" t="s">
        <v>3394</v>
      </c>
      <c r="AB188" t="s">
        <v>983</v>
      </c>
      <c r="AC188" t="s">
        <v>3394</v>
      </c>
      <c r="AD188" t="e">
        <f>VLOOKUP(AB188,#REF!,2,FALSE)</f>
        <v>#REF!</v>
      </c>
      <c r="AE188" t="e">
        <f>RIGHT(#REF!,(FIND("Complex",#REF!,1)-7))</f>
        <v>#REF!</v>
      </c>
    </row>
    <row r="189" spans="1:31" x14ac:dyDescent="0.25">
      <c r="A189">
        <v>3486</v>
      </c>
      <c r="B189" t="s">
        <v>63</v>
      </c>
      <c r="C189">
        <v>32</v>
      </c>
      <c r="D189">
        <v>916</v>
      </c>
      <c r="E189">
        <v>3486</v>
      </c>
      <c r="F189">
        <v>5115601</v>
      </c>
      <c r="G189">
        <v>5203800</v>
      </c>
      <c r="H189">
        <f t="shared" si="4"/>
        <v>116.00002267573696</v>
      </c>
      <c r="I189">
        <f t="shared" si="5"/>
        <v>118</v>
      </c>
      <c r="J189" t="s">
        <v>29</v>
      </c>
      <c r="K189">
        <v>6</v>
      </c>
      <c r="L189" t="e">
        <f t="array" ref="L189">VLOOKUP(J189:$J$3871&amp;K189:$K$3871,CHOOSE({1,2},#REF!&amp;#REF!,#REF!),2,0)</f>
        <v>#N/A</v>
      </c>
      <c r="M189">
        <v>-15</v>
      </c>
      <c r="N189">
        <v>0</v>
      </c>
      <c r="O189" t="s">
        <v>7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1</v>
      </c>
      <c r="Y189">
        <v>1</v>
      </c>
      <c r="Z189">
        <v>1</v>
      </c>
      <c r="AA189" t="s">
        <v>3411</v>
      </c>
      <c r="AB189" t="s">
        <v>984</v>
      </c>
      <c r="AC189" t="s">
        <v>3411</v>
      </c>
      <c r="AD189" t="e">
        <f>VLOOKUP(AB189,#REF!,2,FALSE)</f>
        <v>#REF!</v>
      </c>
      <c r="AE189" t="e">
        <f>RIGHT(#REF!,(FIND("Complex",#REF!,1)-7))</f>
        <v>#REF!</v>
      </c>
    </row>
    <row r="190" spans="1:31" x14ac:dyDescent="0.25">
      <c r="A190">
        <v>3242</v>
      </c>
      <c r="B190" t="s">
        <v>63</v>
      </c>
      <c r="C190">
        <v>32</v>
      </c>
      <c r="D190">
        <v>796</v>
      </c>
      <c r="E190">
        <v>3242</v>
      </c>
      <c r="F190">
        <v>5027401</v>
      </c>
      <c r="G190">
        <v>5115600</v>
      </c>
      <c r="H190">
        <f t="shared" si="4"/>
        <v>114.00002267573696</v>
      </c>
      <c r="I190">
        <f t="shared" si="5"/>
        <v>116</v>
      </c>
      <c r="J190" t="s">
        <v>29</v>
      </c>
      <c r="K190">
        <v>6</v>
      </c>
      <c r="L190" t="e">
        <f t="array" ref="L190">VLOOKUP(J190:$J$3871&amp;K190:$K$3871,CHOOSE({1,2},#REF!&amp;#REF!,#REF!),2,0)</f>
        <v>#N/A</v>
      </c>
      <c r="M190">
        <v>-15</v>
      </c>
      <c r="N190">
        <v>0</v>
      </c>
      <c r="O190" t="s">
        <v>7</v>
      </c>
      <c r="P190">
        <v>1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1</v>
      </c>
      <c r="Y190">
        <v>1</v>
      </c>
      <c r="Z190">
        <v>1</v>
      </c>
      <c r="AA190" t="s">
        <v>3422</v>
      </c>
      <c r="AB190" t="s">
        <v>985</v>
      </c>
      <c r="AC190" t="s">
        <v>3422</v>
      </c>
      <c r="AD190" t="e">
        <f>VLOOKUP(AB190,#REF!,2,FALSE)</f>
        <v>#REF!</v>
      </c>
      <c r="AE190" t="e">
        <f>RIGHT(#REF!,(FIND("Complex",#REF!,1)-7))</f>
        <v>#REF!</v>
      </c>
    </row>
    <row r="191" spans="1:31" x14ac:dyDescent="0.25">
      <c r="A191">
        <v>3565</v>
      </c>
      <c r="B191" t="s">
        <v>63</v>
      </c>
      <c r="C191">
        <v>32</v>
      </c>
      <c r="D191">
        <v>946</v>
      </c>
      <c r="E191">
        <v>3565</v>
      </c>
      <c r="F191">
        <v>4586401</v>
      </c>
      <c r="G191">
        <v>4674600</v>
      </c>
      <c r="H191">
        <f t="shared" si="4"/>
        <v>104.00002267573696</v>
      </c>
      <c r="I191">
        <f t="shared" si="5"/>
        <v>106</v>
      </c>
      <c r="J191" t="s">
        <v>29</v>
      </c>
      <c r="K191">
        <v>6</v>
      </c>
      <c r="L191" t="e">
        <f t="array" ref="L191">VLOOKUP(J191:$J$3871&amp;K191:$K$3871,CHOOSE({1,2},#REF!&amp;#REF!,#REF!),2,0)</f>
        <v>#N/A</v>
      </c>
      <c r="M191">
        <v>-15</v>
      </c>
      <c r="N191">
        <v>0</v>
      </c>
      <c r="O191" t="s">
        <v>7</v>
      </c>
      <c r="P191">
        <v>1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1</v>
      </c>
      <c r="Y191">
        <v>1</v>
      </c>
      <c r="Z191">
        <v>1</v>
      </c>
      <c r="AA191" t="s">
        <v>3474</v>
      </c>
      <c r="AB191" t="s">
        <v>986</v>
      </c>
      <c r="AC191" t="s">
        <v>3474</v>
      </c>
      <c r="AD191" t="e">
        <f>VLOOKUP(AB191,#REF!,2,FALSE)</f>
        <v>#REF!</v>
      </c>
      <c r="AE191" t="e">
        <f>RIGHT(#REF!,(FIND("Complex",#REF!,1)-7))</f>
        <v>#REF!</v>
      </c>
    </row>
    <row r="192" spans="1:31" x14ac:dyDescent="0.25">
      <c r="A192">
        <v>3061</v>
      </c>
      <c r="B192" t="s">
        <v>63</v>
      </c>
      <c r="C192">
        <v>32</v>
      </c>
      <c r="D192">
        <v>709</v>
      </c>
      <c r="E192">
        <v>3061</v>
      </c>
      <c r="F192">
        <v>4410001</v>
      </c>
      <c r="G192">
        <v>4498200</v>
      </c>
      <c r="H192">
        <f t="shared" si="4"/>
        <v>100.00002267573696</v>
      </c>
      <c r="I192">
        <f t="shared" si="5"/>
        <v>102</v>
      </c>
      <c r="J192" t="s">
        <v>29</v>
      </c>
      <c r="K192">
        <v>6</v>
      </c>
      <c r="L192" t="e">
        <f t="array" ref="L192">VLOOKUP(J192:$J$3871&amp;K192:$K$3871,CHOOSE({1,2},#REF!&amp;#REF!,#REF!),2,0)</f>
        <v>#N/A</v>
      </c>
      <c r="M192">
        <v>-15</v>
      </c>
      <c r="N192">
        <v>0</v>
      </c>
      <c r="O192" t="s">
        <v>7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</v>
      </c>
      <c r="X192">
        <v>1</v>
      </c>
      <c r="Y192">
        <v>1</v>
      </c>
      <c r="Z192">
        <v>1</v>
      </c>
      <c r="AA192" t="s">
        <v>3495</v>
      </c>
      <c r="AB192" t="s">
        <v>987</v>
      </c>
      <c r="AC192" t="s">
        <v>3495</v>
      </c>
      <c r="AD192" t="e">
        <f>VLOOKUP(AB192,#REF!,2,FALSE)</f>
        <v>#REF!</v>
      </c>
      <c r="AE192" t="e">
        <f>RIGHT(#REF!,(FIND("Complex",#REF!,1)-7))</f>
        <v>#REF!</v>
      </c>
    </row>
    <row r="193" spans="1:31" x14ac:dyDescent="0.25">
      <c r="A193">
        <v>2178</v>
      </c>
      <c r="B193" t="s">
        <v>64</v>
      </c>
      <c r="C193">
        <v>33</v>
      </c>
      <c r="D193">
        <v>397</v>
      </c>
      <c r="E193">
        <v>2178</v>
      </c>
      <c r="F193">
        <v>7938001</v>
      </c>
      <c r="G193">
        <v>8026200</v>
      </c>
      <c r="H193">
        <f t="shared" si="4"/>
        <v>180.00002267573697</v>
      </c>
      <c r="I193">
        <f t="shared" si="5"/>
        <v>182</v>
      </c>
      <c r="J193" t="s">
        <v>29</v>
      </c>
      <c r="K193">
        <v>6</v>
      </c>
      <c r="L193" t="e">
        <f t="array" ref="L193">VLOOKUP(J193:$J$3871&amp;K193:$K$3871,CHOOSE({1,2},#REF!&amp;#REF!,#REF!),2,0)</f>
        <v>#N/A</v>
      </c>
      <c r="M193">
        <v>-15</v>
      </c>
      <c r="N193">
        <v>0</v>
      </c>
      <c r="O193" t="s">
        <v>7</v>
      </c>
      <c r="P193">
        <v>1</v>
      </c>
      <c r="Q193">
        <v>1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1</v>
      </c>
      <c r="Y193">
        <v>1</v>
      </c>
      <c r="Z193">
        <v>0</v>
      </c>
      <c r="AA193" t="s">
        <v>3131</v>
      </c>
      <c r="AB193" t="s">
        <v>1012</v>
      </c>
      <c r="AC193" t="s">
        <v>3131</v>
      </c>
      <c r="AD193" t="e">
        <f>VLOOKUP(AB193,#REF!,2,FALSE)</f>
        <v>#REF!</v>
      </c>
      <c r="AE193" t="e">
        <f>RIGHT(#REF!,(FIND("Complex",#REF!,1)-7))</f>
        <v>#REF!</v>
      </c>
    </row>
    <row r="194" spans="1:31" x14ac:dyDescent="0.25">
      <c r="A194">
        <v>1302</v>
      </c>
      <c r="B194" t="s">
        <v>64</v>
      </c>
      <c r="C194">
        <v>33</v>
      </c>
      <c r="D194">
        <v>222</v>
      </c>
      <c r="E194">
        <v>1302</v>
      </c>
      <c r="F194">
        <v>4939201</v>
      </c>
      <c r="G194">
        <v>5027400</v>
      </c>
      <c r="H194">
        <f t="shared" ref="H194:H257" si="6">F194/44100</f>
        <v>112.00002267573696</v>
      </c>
      <c r="I194">
        <f t="shared" ref="I194:I257" si="7">G194/44100</f>
        <v>114</v>
      </c>
      <c r="J194" t="s">
        <v>29</v>
      </c>
      <c r="K194">
        <v>6</v>
      </c>
      <c r="L194" t="e">
        <f t="array" ref="L194">VLOOKUP(J194:$J$3871&amp;K194:$K$3871,CHOOSE({1,2},#REF!&amp;#REF!,#REF!),2,0)</f>
        <v>#N/A</v>
      </c>
      <c r="M194">
        <v>-15</v>
      </c>
      <c r="N194">
        <v>0</v>
      </c>
      <c r="O194" t="s">
        <v>7</v>
      </c>
      <c r="P194">
        <v>1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1</v>
      </c>
      <c r="Y194">
        <v>1</v>
      </c>
      <c r="Z194">
        <v>0</v>
      </c>
      <c r="AA194" t="s">
        <v>3435</v>
      </c>
      <c r="AB194" t="s">
        <v>1013</v>
      </c>
      <c r="AC194" t="s">
        <v>3435</v>
      </c>
      <c r="AD194" t="e">
        <f>VLOOKUP(AB194,#REF!,2,FALSE)</f>
        <v>#REF!</v>
      </c>
      <c r="AE194" t="e">
        <f>RIGHT(#REF!,(FIND("Complex",#REF!,1)-7))</f>
        <v>#REF!</v>
      </c>
    </row>
    <row r="195" spans="1:31" x14ac:dyDescent="0.25">
      <c r="A195">
        <v>933</v>
      </c>
      <c r="B195" t="s">
        <v>64</v>
      </c>
      <c r="C195">
        <v>33</v>
      </c>
      <c r="D195">
        <v>165</v>
      </c>
      <c r="E195">
        <v>933</v>
      </c>
      <c r="F195">
        <v>4851001</v>
      </c>
      <c r="G195">
        <v>4939200</v>
      </c>
      <c r="H195">
        <f t="shared" si="6"/>
        <v>110.00002267573696</v>
      </c>
      <c r="I195">
        <f t="shared" si="7"/>
        <v>112</v>
      </c>
      <c r="J195" t="s">
        <v>29</v>
      </c>
      <c r="K195">
        <v>6</v>
      </c>
      <c r="L195" t="e">
        <f t="array" ref="L195">VLOOKUP(J195:$J$3871&amp;K195:$K$3871,CHOOSE({1,2},#REF!&amp;#REF!,#REF!),2,0)</f>
        <v>#N/A</v>
      </c>
      <c r="M195">
        <v>-15</v>
      </c>
      <c r="N195">
        <v>0</v>
      </c>
      <c r="O195" t="s">
        <v>7</v>
      </c>
      <c r="P195">
        <v>1</v>
      </c>
      <c r="Q195">
        <v>1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1</v>
      </c>
      <c r="Y195">
        <v>1</v>
      </c>
      <c r="Z195">
        <v>0</v>
      </c>
      <c r="AA195" t="s">
        <v>3447</v>
      </c>
      <c r="AB195" t="s">
        <v>175</v>
      </c>
      <c r="AC195" t="s">
        <v>3447</v>
      </c>
      <c r="AD195" t="e">
        <f>VLOOKUP(AB195,#REF!,2,FALSE)</f>
        <v>#REF!</v>
      </c>
      <c r="AE195" t="e">
        <f>RIGHT(#REF!,(FIND("Complex",#REF!,1)-6))</f>
        <v>#REF!</v>
      </c>
    </row>
    <row r="196" spans="1:31" x14ac:dyDescent="0.25">
      <c r="A196">
        <v>3556</v>
      </c>
      <c r="B196" t="s">
        <v>92</v>
      </c>
      <c r="C196">
        <v>34</v>
      </c>
      <c r="D196">
        <v>944</v>
      </c>
      <c r="E196">
        <v>3556</v>
      </c>
      <c r="F196">
        <v>10936801</v>
      </c>
      <c r="G196">
        <v>11025000</v>
      </c>
      <c r="H196">
        <f t="shared" si="6"/>
        <v>248.00002267573697</v>
      </c>
      <c r="I196">
        <f t="shared" si="7"/>
        <v>250</v>
      </c>
      <c r="J196" t="s">
        <v>29</v>
      </c>
      <c r="K196">
        <v>6</v>
      </c>
      <c r="L196" t="e">
        <f t="array" ref="L196">VLOOKUP(J196:$J$3871&amp;K196:$K$3871,CHOOSE({1,2},#REF!&amp;#REF!,#REF!),2,0)</f>
        <v>#N/A</v>
      </c>
      <c r="M196">
        <v>-15</v>
      </c>
      <c r="N196">
        <v>0</v>
      </c>
      <c r="O196" t="s">
        <v>7</v>
      </c>
      <c r="P196">
        <v>1</v>
      </c>
      <c r="Q196">
        <v>1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1</v>
      </c>
      <c r="Y196">
        <v>1</v>
      </c>
      <c r="Z196">
        <v>0</v>
      </c>
      <c r="AA196" t="s">
        <v>2941</v>
      </c>
      <c r="AB196" t="s">
        <v>1033</v>
      </c>
      <c r="AC196" t="s">
        <v>2941</v>
      </c>
      <c r="AD196" t="e">
        <f>VLOOKUP(AB196,#REF!,2,FALSE)</f>
        <v>#REF!</v>
      </c>
      <c r="AE196" t="e">
        <f>RIGHT(#REF!,(FIND("Complex",#REF!,1)-7))</f>
        <v>#REF!</v>
      </c>
    </row>
    <row r="197" spans="1:31" x14ac:dyDescent="0.25">
      <c r="A197">
        <v>2866</v>
      </c>
      <c r="B197" t="s">
        <v>92</v>
      </c>
      <c r="C197">
        <v>34</v>
      </c>
      <c r="D197">
        <v>622</v>
      </c>
      <c r="E197">
        <v>2866</v>
      </c>
      <c r="F197">
        <v>10584001</v>
      </c>
      <c r="G197">
        <v>10672200</v>
      </c>
      <c r="H197">
        <f t="shared" si="6"/>
        <v>240.00002267573697</v>
      </c>
      <c r="I197">
        <f t="shared" si="7"/>
        <v>242</v>
      </c>
      <c r="J197" t="s">
        <v>29</v>
      </c>
      <c r="K197">
        <v>6</v>
      </c>
      <c r="L197" t="e">
        <f t="array" ref="L197">VLOOKUP(J197:$J$3871&amp;K197:$K$3871,CHOOSE({1,2},#REF!&amp;#REF!,#REF!),2,0)</f>
        <v>#N/A</v>
      </c>
      <c r="M197">
        <v>-15</v>
      </c>
      <c r="N197">
        <v>0</v>
      </c>
      <c r="O197" t="s">
        <v>7</v>
      </c>
      <c r="P197">
        <v>1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</v>
      </c>
      <c r="X197">
        <v>1</v>
      </c>
      <c r="Y197">
        <v>1</v>
      </c>
      <c r="Z197">
        <v>0</v>
      </c>
      <c r="AA197" t="s">
        <v>2957</v>
      </c>
      <c r="AB197" t="s">
        <v>6234</v>
      </c>
      <c r="AC197" t="s">
        <v>2957</v>
      </c>
      <c r="AD197" t="e">
        <f>VLOOKUP(AB197,#REF!,2,FALSE)</f>
        <v>#REF!</v>
      </c>
      <c r="AE197" t="e">
        <f>RIGHT(#REF!,(FIND("Complex",#REF!,1)-7))</f>
        <v>#REF!</v>
      </c>
    </row>
    <row r="198" spans="1:31" x14ac:dyDescent="0.25">
      <c r="A198">
        <v>2162</v>
      </c>
      <c r="B198" t="s">
        <v>92</v>
      </c>
      <c r="C198">
        <v>34</v>
      </c>
      <c r="D198">
        <v>393</v>
      </c>
      <c r="E198">
        <v>2162</v>
      </c>
      <c r="F198">
        <v>10407601</v>
      </c>
      <c r="G198">
        <v>10495800</v>
      </c>
      <c r="H198">
        <f t="shared" si="6"/>
        <v>236.00002267573697</v>
      </c>
      <c r="I198">
        <f t="shared" si="7"/>
        <v>238</v>
      </c>
      <c r="J198" t="s">
        <v>29</v>
      </c>
      <c r="K198">
        <v>6</v>
      </c>
      <c r="L198" t="e">
        <f t="array" ref="L198">VLOOKUP(J198:$J$3871&amp;K198:$K$3871,CHOOSE({1,2},#REF!&amp;#REF!,#REF!),2,0)</f>
        <v>#N/A</v>
      </c>
      <c r="M198">
        <v>-15</v>
      </c>
      <c r="N198">
        <v>0</v>
      </c>
      <c r="O198" t="s">
        <v>7</v>
      </c>
      <c r="P198">
        <v>1</v>
      </c>
      <c r="Q198">
        <v>1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1</v>
      </c>
      <c r="Y198">
        <v>1</v>
      </c>
      <c r="Z198">
        <v>0</v>
      </c>
      <c r="AA198" t="s">
        <v>2968</v>
      </c>
      <c r="AB198" t="s">
        <v>1034</v>
      </c>
      <c r="AC198" t="s">
        <v>2968</v>
      </c>
      <c r="AD198" t="e">
        <f>VLOOKUP(AB198,#REF!,2,FALSE)</f>
        <v>#REF!</v>
      </c>
      <c r="AE198" t="e">
        <f>RIGHT(#REF!,(FIND("Complex",#REF!,1)-7))</f>
        <v>#REF!</v>
      </c>
    </row>
    <row r="199" spans="1:31" x14ac:dyDescent="0.25">
      <c r="A199">
        <v>3221</v>
      </c>
      <c r="B199" t="s">
        <v>92</v>
      </c>
      <c r="C199">
        <v>34</v>
      </c>
      <c r="D199">
        <v>783</v>
      </c>
      <c r="E199">
        <v>3221</v>
      </c>
      <c r="F199">
        <v>10143001</v>
      </c>
      <c r="G199">
        <v>10231200</v>
      </c>
      <c r="H199">
        <f t="shared" si="6"/>
        <v>230.00002267573697</v>
      </c>
      <c r="I199">
        <f t="shared" si="7"/>
        <v>232</v>
      </c>
      <c r="J199" t="s">
        <v>29</v>
      </c>
      <c r="K199">
        <v>6</v>
      </c>
      <c r="L199" t="e">
        <f t="array" ref="L199">VLOOKUP(J199:$J$3871&amp;K199:$K$3871,CHOOSE({1,2},#REF!&amp;#REF!,#REF!),2,0)</f>
        <v>#N/A</v>
      </c>
      <c r="M199">
        <v>-15</v>
      </c>
      <c r="N199">
        <v>0</v>
      </c>
      <c r="O199" t="s">
        <v>7</v>
      </c>
      <c r="P199">
        <v>1</v>
      </c>
      <c r="Q199">
        <v>1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1</v>
      </c>
      <c r="Y199">
        <v>1</v>
      </c>
      <c r="Z199">
        <v>0</v>
      </c>
      <c r="AA199" t="s">
        <v>2979</v>
      </c>
      <c r="AB199" t="s">
        <v>6237</v>
      </c>
      <c r="AC199" t="s">
        <v>2979</v>
      </c>
      <c r="AD199" t="e">
        <f>VLOOKUP(AB199,#REF!,2,FALSE)</f>
        <v>#REF!</v>
      </c>
      <c r="AE199" t="e">
        <f>RIGHT(#REF!,(FIND("Complex",#REF!,1)-7))</f>
        <v>#REF!</v>
      </c>
    </row>
    <row r="200" spans="1:31" x14ac:dyDescent="0.25">
      <c r="A200">
        <v>1747</v>
      </c>
      <c r="B200" t="s">
        <v>92</v>
      </c>
      <c r="C200">
        <v>34</v>
      </c>
      <c r="D200">
        <v>303</v>
      </c>
      <c r="E200">
        <v>1747</v>
      </c>
      <c r="F200">
        <v>10054801</v>
      </c>
      <c r="G200">
        <v>10143000</v>
      </c>
      <c r="H200">
        <f t="shared" si="6"/>
        <v>228.00002267573697</v>
      </c>
      <c r="I200">
        <f t="shared" si="7"/>
        <v>230</v>
      </c>
      <c r="J200" t="s">
        <v>29</v>
      </c>
      <c r="K200">
        <v>6</v>
      </c>
      <c r="L200" t="e">
        <f t="array" ref="L200">VLOOKUP(J200:$J$3871&amp;K200:$K$3871,CHOOSE({1,2},#REF!&amp;#REF!,#REF!),2,0)</f>
        <v>#N/A</v>
      </c>
      <c r="M200">
        <v>-15</v>
      </c>
      <c r="N200">
        <v>0</v>
      </c>
      <c r="O200" t="s">
        <v>7</v>
      </c>
      <c r="P200">
        <v>1</v>
      </c>
      <c r="Q200">
        <v>1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1</v>
      </c>
      <c r="Y200">
        <v>1</v>
      </c>
      <c r="Z200">
        <v>0</v>
      </c>
      <c r="AA200" t="s">
        <v>2985</v>
      </c>
      <c r="AB200" t="s">
        <v>6239</v>
      </c>
      <c r="AC200" t="s">
        <v>2985</v>
      </c>
      <c r="AD200" t="e">
        <f>VLOOKUP(AB200,#REF!,2,FALSE)</f>
        <v>#REF!</v>
      </c>
      <c r="AE200" t="e">
        <f>RIGHT(#REF!,(FIND("Complex",#REF!,1)-7))</f>
        <v>#REF!</v>
      </c>
    </row>
    <row r="201" spans="1:31" x14ac:dyDescent="0.25">
      <c r="A201">
        <v>2750</v>
      </c>
      <c r="B201" t="s">
        <v>92</v>
      </c>
      <c r="C201">
        <v>34</v>
      </c>
      <c r="D201">
        <v>583</v>
      </c>
      <c r="E201">
        <v>2750</v>
      </c>
      <c r="F201">
        <v>5203801</v>
      </c>
      <c r="G201">
        <v>5292000</v>
      </c>
      <c r="H201">
        <f t="shared" si="6"/>
        <v>118.00002267573696</v>
      </c>
      <c r="I201">
        <f t="shared" si="7"/>
        <v>120</v>
      </c>
      <c r="J201" t="s">
        <v>29</v>
      </c>
      <c r="K201">
        <v>6</v>
      </c>
      <c r="L201" t="e">
        <f t="array" ref="L201">VLOOKUP(J201:$J$3871&amp;K201:$K$3871,CHOOSE({1,2},#REF!&amp;#REF!,#REF!),2,0)</f>
        <v>#N/A</v>
      </c>
      <c r="M201">
        <v>-15</v>
      </c>
      <c r="N201">
        <v>0</v>
      </c>
      <c r="O201" t="s">
        <v>7</v>
      </c>
      <c r="P201">
        <v>1</v>
      </c>
      <c r="Q201">
        <v>1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1</v>
      </c>
      <c r="Y201">
        <v>1</v>
      </c>
      <c r="Z201">
        <v>0</v>
      </c>
      <c r="AA201" t="s">
        <v>3392</v>
      </c>
      <c r="AB201" t="s">
        <v>1035</v>
      </c>
      <c r="AC201" t="s">
        <v>3392</v>
      </c>
      <c r="AD201" t="e">
        <f>VLOOKUP(AB201,#REF!,2,FALSE)</f>
        <v>#REF!</v>
      </c>
      <c r="AE201" t="e">
        <f>RIGHT(#REF!,(FIND("Complex",#REF!,1)-7))</f>
        <v>#REF!</v>
      </c>
    </row>
    <row r="202" spans="1:31" x14ac:dyDescent="0.25">
      <c r="A202">
        <v>1054</v>
      </c>
      <c r="B202" t="s">
        <v>38</v>
      </c>
      <c r="C202">
        <v>37</v>
      </c>
      <c r="D202">
        <v>184</v>
      </c>
      <c r="E202">
        <v>1054</v>
      </c>
      <c r="F202">
        <v>2557801</v>
      </c>
      <c r="G202">
        <v>2646000</v>
      </c>
      <c r="H202">
        <f t="shared" si="6"/>
        <v>58.000022675736965</v>
      </c>
      <c r="I202">
        <f t="shared" si="7"/>
        <v>60</v>
      </c>
      <c r="J202" t="s">
        <v>29</v>
      </c>
      <c r="K202">
        <v>6</v>
      </c>
      <c r="L202" t="e">
        <f t="array" ref="L202">VLOOKUP(J202:$J$3871&amp;K202:$K$3871,CHOOSE({1,2},#REF!&amp;#REF!,#REF!),2,0)</f>
        <v>#N/A</v>
      </c>
      <c r="M202">
        <v>-15</v>
      </c>
      <c r="N202">
        <v>0</v>
      </c>
      <c r="O202" t="s">
        <v>7</v>
      </c>
      <c r="P202">
        <v>1</v>
      </c>
      <c r="Q202">
        <v>1</v>
      </c>
      <c r="R202">
        <v>0</v>
      </c>
      <c r="S202">
        <v>0</v>
      </c>
      <c r="T202">
        <v>1</v>
      </c>
      <c r="U202">
        <v>1</v>
      </c>
      <c r="V202">
        <v>0</v>
      </c>
      <c r="W202">
        <v>1</v>
      </c>
      <c r="X202">
        <v>1</v>
      </c>
      <c r="Y202">
        <v>0</v>
      </c>
      <c r="Z202">
        <v>0</v>
      </c>
      <c r="AA202" t="s">
        <v>2788</v>
      </c>
      <c r="AB202" t="s">
        <v>1117</v>
      </c>
      <c r="AC202" t="s">
        <v>2788</v>
      </c>
      <c r="AD202" t="e">
        <f>VLOOKUP(AB202,#REF!,2,FALSE)</f>
        <v>#REF!</v>
      </c>
      <c r="AE202" t="e">
        <f>RIGHT(#REF!,(FIND("Complex",#REF!,1)-8))</f>
        <v>#REF!</v>
      </c>
    </row>
    <row r="203" spans="1:31" x14ac:dyDescent="0.25">
      <c r="A203">
        <v>662</v>
      </c>
      <c r="B203" t="s">
        <v>38</v>
      </c>
      <c r="C203">
        <v>37</v>
      </c>
      <c r="D203">
        <v>117</v>
      </c>
      <c r="E203">
        <v>662</v>
      </c>
      <c r="F203">
        <v>2469601</v>
      </c>
      <c r="G203">
        <v>2557800</v>
      </c>
      <c r="H203">
        <f t="shared" si="6"/>
        <v>56.000022675736965</v>
      </c>
      <c r="I203">
        <f t="shared" si="7"/>
        <v>58</v>
      </c>
      <c r="J203" t="s">
        <v>29</v>
      </c>
      <c r="K203">
        <v>6</v>
      </c>
      <c r="L203" t="e">
        <f t="array" ref="L203">VLOOKUP(J203:$J$3871&amp;K203:$K$3871,CHOOSE({1,2},#REF!&amp;#REF!,#REF!),2,0)</f>
        <v>#N/A</v>
      </c>
      <c r="M203">
        <v>-15</v>
      </c>
      <c r="N203">
        <v>0</v>
      </c>
      <c r="O203" t="s">
        <v>7</v>
      </c>
      <c r="P203">
        <v>1</v>
      </c>
      <c r="Q203">
        <v>1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1</v>
      </c>
      <c r="Y203">
        <v>1</v>
      </c>
      <c r="Z203">
        <v>0</v>
      </c>
      <c r="AA203" t="s">
        <v>2794</v>
      </c>
      <c r="AB203" t="s">
        <v>1118</v>
      </c>
      <c r="AC203" t="s">
        <v>2794</v>
      </c>
      <c r="AD203" t="e">
        <f>VLOOKUP(AB203,#REF!,2,FALSE)</f>
        <v>#REF!</v>
      </c>
      <c r="AE203" t="e">
        <f>RIGHT(#REF!,(FIND("Complex",#REF!,1)-7))</f>
        <v>#REF!</v>
      </c>
    </row>
    <row r="204" spans="1:31" x14ac:dyDescent="0.25">
      <c r="A204">
        <v>3261</v>
      </c>
      <c r="B204" t="s">
        <v>38</v>
      </c>
      <c r="C204">
        <v>37</v>
      </c>
      <c r="D204">
        <v>806</v>
      </c>
      <c r="E204">
        <v>3261</v>
      </c>
      <c r="F204">
        <v>8026201</v>
      </c>
      <c r="G204">
        <v>8114400</v>
      </c>
      <c r="H204">
        <f t="shared" si="6"/>
        <v>182.00002267573697</v>
      </c>
      <c r="I204">
        <f t="shared" si="7"/>
        <v>184</v>
      </c>
      <c r="J204" t="s">
        <v>29</v>
      </c>
      <c r="K204">
        <v>6</v>
      </c>
      <c r="L204" t="e">
        <f t="array" ref="L204">VLOOKUP(J204:$J$3871&amp;K204:$K$3871,CHOOSE({1,2},#REF!&amp;#REF!,#REF!),2,0)</f>
        <v>#N/A</v>
      </c>
      <c r="M204">
        <v>-15</v>
      </c>
      <c r="N204">
        <v>0</v>
      </c>
      <c r="O204" t="s">
        <v>7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1</v>
      </c>
      <c r="Y204">
        <v>1</v>
      </c>
      <c r="Z204">
        <v>1</v>
      </c>
      <c r="AA204" t="s">
        <v>3120</v>
      </c>
      <c r="AB204" t="s">
        <v>1119</v>
      </c>
      <c r="AC204" t="s">
        <v>3120</v>
      </c>
      <c r="AD204" t="e">
        <f>VLOOKUP(AB204,#REF!,2,FALSE)</f>
        <v>#REF!</v>
      </c>
      <c r="AE204" t="e">
        <f>RIGHT(#REF!,(FIND("Complex",#REF!,1)-7))</f>
        <v>#REF!</v>
      </c>
    </row>
    <row r="205" spans="1:31" x14ac:dyDescent="0.25">
      <c r="A205">
        <v>1047</v>
      </c>
      <c r="B205" t="s">
        <v>38</v>
      </c>
      <c r="C205">
        <v>37</v>
      </c>
      <c r="D205">
        <v>182</v>
      </c>
      <c r="E205">
        <v>1047</v>
      </c>
      <c r="F205">
        <v>7673401</v>
      </c>
      <c r="G205">
        <v>7761600</v>
      </c>
      <c r="H205">
        <f t="shared" si="6"/>
        <v>174.00002267573697</v>
      </c>
      <c r="I205">
        <f t="shared" si="7"/>
        <v>176</v>
      </c>
      <c r="J205" t="s">
        <v>29</v>
      </c>
      <c r="K205">
        <v>6</v>
      </c>
      <c r="L205" t="e">
        <f t="array" ref="L205">VLOOKUP(J205:$J$3871&amp;K205:$K$3871,CHOOSE({1,2},#REF!&amp;#REF!,#REF!),2,0)</f>
        <v>#N/A</v>
      </c>
      <c r="M205">
        <v>-15</v>
      </c>
      <c r="N205">
        <v>0</v>
      </c>
      <c r="O205" t="s">
        <v>7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1</v>
      </c>
      <c r="Z205">
        <v>1</v>
      </c>
      <c r="AA205" t="s">
        <v>3157</v>
      </c>
      <c r="AB205" t="s">
        <v>1120</v>
      </c>
      <c r="AC205" t="s">
        <v>3157</v>
      </c>
      <c r="AD205" t="e">
        <f>VLOOKUP(AB205,#REF!,2,FALSE)</f>
        <v>#REF!</v>
      </c>
      <c r="AE205" t="e">
        <f>RIGHT(#REF!,(FIND("Complex",#REF!,1)-7))</f>
        <v>#REF!</v>
      </c>
    </row>
    <row r="206" spans="1:31" x14ac:dyDescent="0.25">
      <c r="A206">
        <v>3619</v>
      </c>
      <c r="B206" t="s">
        <v>50</v>
      </c>
      <c r="C206">
        <v>38</v>
      </c>
      <c r="D206">
        <v>966</v>
      </c>
      <c r="E206">
        <v>3619</v>
      </c>
      <c r="F206">
        <v>2822401</v>
      </c>
      <c r="G206">
        <v>2910600</v>
      </c>
      <c r="H206">
        <f t="shared" si="6"/>
        <v>64.000022675736957</v>
      </c>
      <c r="I206">
        <f t="shared" si="7"/>
        <v>66</v>
      </c>
      <c r="J206" t="s">
        <v>29</v>
      </c>
      <c r="K206">
        <v>6</v>
      </c>
      <c r="L206" t="e">
        <f t="array" ref="L206">VLOOKUP(J206:$J$3871&amp;K206:$K$3871,CHOOSE({1,2},#REF!&amp;#REF!,#REF!),2,0)</f>
        <v>#N/A</v>
      </c>
      <c r="M206">
        <v>-15</v>
      </c>
      <c r="N206">
        <v>0</v>
      </c>
      <c r="O206" t="s">
        <v>7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0</v>
      </c>
      <c r="V206">
        <v>0</v>
      </c>
      <c r="W206">
        <v>1</v>
      </c>
      <c r="X206">
        <v>1</v>
      </c>
      <c r="Y206">
        <v>0</v>
      </c>
      <c r="Z206">
        <v>0</v>
      </c>
      <c r="AA206" t="s">
        <v>2765</v>
      </c>
      <c r="AB206" t="s">
        <v>6178</v>
      </c>
      <c r="AC206" t="s">
        <v>2765</v>
      </c>
      <c r="AD206" t="e">
        <f>VLOOKUP(AB206,#REF!,2,FALSE)</f>
        <v>#REF!</v>
      </c>
      <c r="AE206" t="e">
        <f>RIGHT(#REF!,(FIND("Complex",#REF!,1)-8))</f>
        <v>#REF!</v>
      </c>
    </row>
    <row r="207" spans="1:31" x14ac:dyDescent="0.25">
      <c r="A207">
        <v>3356</v>
      </c>
      <c r="B207" t="s">
        <v>50</v>
      </c>
      <c r="C207">
        <v>38</v>
      </c>
      <c r="D207">
        <v>854</v>
      </c>
      <c r="E207">
        <v>3356</v>
      </c>
      <c r="F207">
        <v>8643601</v>
      </c>
      <c r="G207">
        <v>8731800</v>
      </c>
      <c r="H207">
        <f t="shared" si="6"/>
        <v>196.00002267573697</v>
      </c>
      <c r="I207">
        <f t="shared" si="7"/>
        <v>198</v>
      </c>
      <c r="J207" t="s">
        <v>29</v>
      </c>
      <c r="K207">
        <v>6</v>
      </c>
      <c r="L207" t="e">
        <f t="array" ref="L207">VLOOKUP(J207:$J$3871&amp;K207:$K$3871,CHOOSE({1,2},#REF!&amp;#REF!,#REF!),2,0)</f>
        <v>#N/A</v>
      </c>
      <c r="M207">
        <v>-15</v>
      </c>
      <c r="N207">
        <v>0</v>
      </c>
      <c r="O207" t="s">
        <v>7</v>
      </c>
      <c r="P207">
        <v>1</v>
      </c>
      <c r="Q207">
        <v>1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1</v>
      </c>
      <c r="X207">
        <v>1</v>
      </c>
      <c r="Y207">
        <v>0</v>
      </c>
      <c r="Z207">
        <v>0</v>
      </c>
      <c r="AA207" t="s">
        <v>3065</v>
      </c>
      <c r="AB207" t="s">
        <v>6255</v>
      </c>
      <c r="AC207" t="s">
        <v>3065</v>
      </c>
      <c r="AD207" t="e">
        <f>VLOOKUP(AB207,#REF!,2,FALSE)</f>
        <v>#REF!</v>
      </c>
      <c r="AE207" t="e">
        <f>RIGHT(#REF!,(FIND("Complex",#REF!,1)-7))</f>
        <v>#REF!</v>
      </c>
    </row>
    <row r="208" spans="1:31" x14ac:dyDescent="0.25">
      <c r="A208">
        <v>1508</v>
      </c>
      <c r="B208" t="s">
        <v>50</v>
      </c>
      <c r="C208">
        <v>38</v>
      </c>
      <c r="D208">
        <v>251</v>
      </c>
      <c r="E208">
        <v>1508</v>
      </c>
      <c r="F208">
        <v>8467201</v>
      </c>
      <c r="G208">
        <v>8555400</v>
      </c>
      <c r="H208">
        <f t="shared" si="6"/>
        <v>192.00002267573697</v>
      </c>
      <c r="I208">
        <f t="shared" si="7"/>
        <v>194</v>
      </c>
      <c r="J208" t="s">
        <v>29</v>
      </c>
      <c r="K208">
        <v>6</v>
      </c>
      <c r="L208" t="e">
        <f t="array" ref="L208">VLOOKUP(J208:$J$3871&amp;K208:$K$3871,CHOOSE({1,2},#REF!&amp;#REF!,#REF!),2,0)</f>
        <v>#N/A</v>
      </c>
      <c r="M208">
        <v>-15</v>
      </c>
      <c r="N208">
        <v>0</v>
      </c>
      <c r="O208" t="s">
        <v>7</v>
      </c>
      <c r="P208">
        <v>1</v>
      </c>
      <c r="Q208">
        <v>1</v>
      </c>
      <c r="R208">
        <v>0</v>
      </c>
      <c r="S208">
        <v>1</v>
      </c>
      <c r="T208">
        <v>1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 t="s">
        <v>3078</v>
      </c>
      <c r="AB208" t="s">
        <v>6259</v>
      </c>
      <c r="AC208" t="s">
        <v>3078</v>
      </c>
      <c r="AD208" t="e">
        <f>VLOOKUP(AB208,#REF!,2,FALSE)</f>
        <v>#REF!</v>
      </c>
      <c r="AE208" t="e">
        <f>RIGHT(#REF!,(FIND("Complex",#REF!,1)-7))</f>
        <v>#REF!</v>
      </c>
    </row>
    <row r="209" spans="1:31" x14ac:dyDescent="0.25">
      <c r="A209">
        <v>3716</v>
      </c>
      <c r="B209" t="s">
        <v>50</v>
      </c>
      <c r="C209">
        <v>38</v>
      </c>
      <c r="D209">
        <v>1003</v>
      </c>
      <c r="E209">
        <v>3716</v>
      </c>
      <c r="F209">
        <v>8114401</v>
      </c>
      <c r="G209">
        <v>8202600</v>
      </c>
      <c r="H209">
        <f t="shared" si="6"/>
        <v>184.00002267573697</v>
      </c>
      <c r="I209">
        <f t="shared" si="7"/>
        <v>186</v>
      </c>
      <c r="J209" t="s">
        <v>29</v>
      </c>
      <c r="K209">
        <v>6</v>
      </c>
      <c r="L209" t="e">
        <f t="array" ref="L209">VLOOKUP(J209:$J$3871&amp;K209:$K$3871,CHOOSE({1,2},#REF!&amp;#REF!,#REF!),2,0)</f>
        <v>#N/A</v>
      </c>
      <c r="M209">
        <v>-15</v>
      </c>
      <c r="N209">
        <v>0</v>
      </c>
      <c r="O209" t="s">
        <v>7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0</v>
      </c>
      <c r="V209">
        <v>0</v>
      </c>
      <c r="W209">
        <v>1</v>
      </c>
      <c r="X209">
        <v>1</v>
      </c>
      <c r="Y209">
        <v>0</v>
      </c>
      <c r="Z209">
        <v>0</v>
      </c>
      <c r="AA209" t="s">
        <v>3109</v>
      </c>
      <c r="AB209" t="s">
        <v>6268</v>
      </c>
      <c r="AC209" t="s">
        <v>3109</v>
      </c>
      <c r="AD209" t="e">
        <f>VLOOKUP(AB209,#REF!,2,FALSE)</f>
        <v>#REF!</v>
      </c>
      <c r="AE209" t="e">
        <f>RIGHT(#REF!,(FIND("Complex",#REF!,1)-8))</f>
        <v>#REF!</v>
      </c>
    </row>
    <row r="210" spans="1:31" x14ac:dyDescent="0.25">
      <c r="A210">
        <v>227</v>
      </c>
      <c r="B210" t="s">
        <v>88</v>
      </c>
      <c r="C210">
        <v>39</v>
      </c>
      <c r="D210">
        <v>45</v>
      </c>
      <c r="E210">
        <v>227</v>
      </c>
      <c r="F210">
        <v>8643601</v>
      </c>
      <c r="G210">
        <v>8731800</v>
      </c>
      <c r="H210">
        <f t="shared" si="6"/>
        <v>196.00002267573697</v>
      </c>
      <c r="I210">
        <f t="shared" si="7"/>
        <v>198</v>
      </c>
      <c r="J210" t="s">
        <v>29</v>
      </c>
      <c r="K210">
        <v>6</v>
      </c>
      <c r="L210" t="e">
        <f t="array" ref="L210">VLOOKUP(J210:$J$3871&amp;K210:$K$3871,CHOOSE({1,2},#REF!&amp;#REF!,#REF!),2,0)</f>
        <v>#N/A</v>
      </c>
      <c r="M210">
        <v>-15</v>
      </c>
      <c r="N210">
        <v>0</v>
      </c>
      <c r="O210" t="s">
        <v>7</v>
      </c>
      <c r="P210">
        <v>1</v>
      </c>
      <c r="Q210">
        <v>1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1</v>
      </c>
      <c r="Y210">
        <v>1</v>
      </c>
      <c r="Z210">
        <v>0</v>
      </c>
      <c r="AA210" t="s">
        <v>3064</v>
      </c>
      <c r="AB210" t="s">
        <v>1149</v>
      </c>
      <c r="AC210" t="s">
        <v>3064</v>
      </c>
      <c r="AD210" t="e">
        <f>VLOOKUP(AB210,#REF!,2,FALSE)</f>
        <v>#REF!</v>
      </c>
      <c r="AE210" t="e">
        <f>RIGHT(#REF!,(FIND("Complex",#REF!,1)-6))</f>
        <v>#REF!</v>
      </c>
    </row>
    <row r="211" spans="1:31" x14ac:dyDescent="0.25">
      <c r="A211">
        <v>3623</v>
      </c>
      <c r="B211" t="s">
        <v>88</v>
      </c>
      <c r="C211">
        <v>39</v>
      </c>
      <c r="D211">
        <v>967</v>
      </c>
      <c r="E211">
        <v>3623</v>
      </c>
      <c r="F211">
        <v>8467201</v>
      </c>
      <c r="G211">
        <v>8555400</v>
      </c>
      <c r="H211">
        <f t="shared" si="6"/>
        <v>192.00002267573697</v>
      </c>
      <c r="I211">
        <f t="shared" si="7"/>
        <v>194</v>
      </c>
      <c r="J211" t="s">
        <v>29</v>
      </c>
      <c r="K211">
        <v>6</v>
      </c>
      <c r="L211" t="e">
        <f t="array" ref="L211">VLOOKUP(J211:$J$3871&amp;K211:$K$3871,CHOOSE({1,2},#REF!&amp;#REF!,#REF!),2,0)</f>
        <v>#N/A</v>
      </c>
      <c r="M211">
        <v>-15</v>
      </c>
      <c r="N211">
        <v>0</v>
      </c>
      <c r="O211" t="s">
        <v>7</v>
      </c>
      <c r="P211">
        <v>1</v>
      </c>
      <c r="Q211">
        <v>1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1</v>
      </c>
      <c r="X211">
        <v>1</v>
      </c>
      <c r="Y211">
        <v>1</v>
      </c>
      <c r="Z211">
        <v>0</v>
      </c>
      <c r="AA211" t="s">
        <v>3077</v>
      </c>
      <c r="AB211" t="s">
        <v>1150</v>
      </c>
      <c r="AC211" t="s">
        <v>3077</v>
      </c>
      <c r="AD211" t="e">
        <f>VLOOKUP(AB211,#REF!,2,FALSE)</f>
        <v>#REF!</v>
      </c>
      <c r="AE211" t="e">
        <f>RIGHT(#REF!,(FIND("Complex",#REF!,1)-7))</f>
        <v>#REF!</v>
      </c>
    </row>
    <row r="212" spans="1:31" x14ac:dyDescent="0.25">
      <c r="A212">
        <v>1834</v>
      </c>
      <c r="B212" t="s">
        <v>88</v>
      </c>
      <c r="C212">
        <v>39</v>
      </c>
      <c r="D212">
        <v>316</v>
      </c>
      <c r="E212">
        <v>1834</v>
      </c>
      <c r="F212">
        <v>8290801</v>
      </c>
      <c r="G212">
        <v>8379000</v>
      </c>
      <c r="H212">
        <f t="shared" si="6"/>
        <v>188.00002267573697</v>
      </c>
      <c r="I212">
        <f t="shared" si="7"/>
        <v>190</v>
      </c>
      <c r="J212" t="s">
        <v>29</v>
      </c>
      <c r="K212">
        <v>6</v>
      </c>
      <c r="L212" t="e">
        <f t="array" ref="L212">VLOOKUP(J212:$J$3871&amp;K212:$K$3871,CHOOSE({1,2},#REF!&amp;#REF!,#REF!),2,0)</f>
        <v>#N/A</v>
      </c>
      <c r="M212">
        <v>-15</v>
      </c>
      <c r="N212">
        <v>0</v>
      </c>
      <c r="O212" t="s">
        <v>7</v>
      </c>
      <c r="P212">
        <v>1</v>
      </c>
      <c r="Q212">
        <v>1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1</v>
      </c>
      <c r="Y212">
        <v>1</v>
      </c>
      <c r="Z212">
        <v>0</v>
      </c>
      <c r="AA212" t="s">
        <v>3094</v>
      </c>
      <c r="AB212" t="s">
        <v>1151</v>
      </c>
      <c r="AC212" t="s">
        <v>3094</v>
      </c>
      <c r="AD212" t="e">
        <f>VLOOKUP(AB212,#REF!,2,FALSE)</f>
        <v>#REF!</v>
      </c>
      <c r="AE212" t="e">
        <f>RIGHT(#REF!,(FIND("Complex",#REF!,1)-7))</f>
        <v>#REF!</v>
      </c>
    </row>
    <row r="213" spans="1:31" x14ac:dyDescent="0.25">
      <c r="A213">
        <v>2693</v>
      </c>
      <c r="B213" t="s">
        <v>88</v>
      </c>
      <c r="C213">
        <v>39</v>
      </c>
      <c r="D213">
        <v>556</v>
      </c>
      <c r="E213">
        <v>2693</v>
      </c>
      <c r="F213">
        <v>7761601</v>
      </c>
      <c r="G213">
        <v>7849800</v>
      </c>
      <c r="H213">
        <f t="shared" si="6"/>
        <v>176.00002267573697</v>
      </c>
      <c r="I213">
        <f t="shared" si="7"/>
        <v>178</v>
      </c>
      <c r="J213" t="s">
        <v>29</v>
      </c>
      <c r="K213">
        <v>6</v>
      </c>
      <c r="L213" t="e">
        <f t="array" ref="L213">VLOOKUP(J213:$J$3871&amp;K213:$K$3871,CHOOSE({1,2},#REF!&amp;#REF!,#REF!),2,0)</f>
        <v>#N/A</v>
      </c>
      <c r="M213">
        <v>-15</v>
      </c>
      <c r="N213">
        <v>0</v>
      </c>
      <c r="O213" t="s">
        <v>7</v>
      </c>
      <c r="P213">
        <v>1</v>
      </c>
      <c r="Q213">
        <v>1</v>
      </c>
      <c r="R213">
        <v>0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1</v>
      </c>
      <c r="Y213">
        <v>1</v>
      </c>
      <c r="Z213">
        <v>0</v>
      </c>
      <c r="AA213" t="s">
        <v>3146</v>
      </c>
      <c r="AB213" t="s">
        <v>1152</v>
      </c>
      <c r="AC213" t="s">
        <v>3146</v>
      </c>
      <c r="AD213" t="e">
        <f>VLOOKUP(AB213,#REF!,2,FALSE)</f>
        <v>#REF!</v>
      </c>
      <c r="AE213" t="e">
        <f>RIGHT(#REF!,(FIND("Complex",#REF!,1)-7))</f>
        <v>#REF!</v>
      </c>
    </row>
    <row r="214" spans="1:31" x14ac:dyDescent="0.25">
      <c r="A214">
        <v>1414</v>
      </c>
      <c r="B214" t="s">
        <v>88</v>
      </c>
      <c r="C214">
        <v>39</v>
      </c>
      <c r="D214">
        <v>237</v>
      </c>
      <c r="E214">
        <v>1414</v>
      </c>
      <c r="F214">
        <v>7673401</v>
      </c>
      <c r="G214">
        <v>7761600</v>
      </c>
      <c r="H214">
        <f t="shared" si="6"/>
        <v>174.00002267573697</v>
      </c>
      <c r="I214">
        <f t="shared" si="7"/>
        <v>176</v>
      </c>
      <c r="J214" t="s">
        <v>29</v>
      </c>
      <c r="K214">
        <v>6</v>
      </c>
      <c r="L214" t="e">
        <f t="array" ref="L214">VLOOKUP(J214:$J$3871&amp;K214:$K$3871,CHOOSE({1,2},#REF!&amp;#REF!,#REF!),2,0)</f>
        <v>#N/A</v>
      </c>
      <c r="M214">
        <v>-15</v>
      </c>
      <c r="N214">
        <v>0</v>
      </c>
      <c r="O214" t="s">
        <v>7</v>
      </c>
      <c r="P214">
        <v>1</v>
      </c>
      <c r="Q214">
        <v>1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1</v>
      </c>
      <c r="Y214">
        <v>1</v>
      </c>
      <c r="Z214">
        <v>0</v>
      </c>
      <c r="AA214" t="s">
        <v>3156</v>
      </c>
      <c r="AB214" t="s">
        <v>1153</v>
      </c>
      <c r="AC214" t="s">
        <v>3156</v>
      </c>
      <c r="AD214" t="e">
        <f>VLOOKUP(AB214,#REF!,2,FALSE)</f>
        <v>#REF!</v>
      </c>
      <c r="AE214" t="e">
        <f>RIGHT(#REF!,(FIND("Complex",#REF!,1)-7))</f>
        <v>#REF!</v>
      </c>
    </row>
    <row r="215" spans="1:31" x14ac:dyDescent="0.25">
      <c r="A215">
        <v>2639</v>
      </c>
      <c r="B215" t="s">
        <v>88</v>
      </c>
      <c r="C215">
        <v>39</v>
      </c>
      <c r="D215">
        <v>536</v>
      </c>
      <c r="E215">
        <v>2639</v>
      </c>
      <c r="F215">
        <v>7585201</v>
      </c>
      <c r="G215">
        <v>7673400</v>
      </c>
      <c r="H215">
        <f t="shared" si="6"/>
        <v>172.00002267573697</v>
      </c>
      <c r="I215">
        <f t="shared" si="7"/>
        <v>174</v>
      </c>
      <c r="J215" t="s">
        <v>29</v>
      </c>
      <c r="K215">
        <v>6</v>
      </c>
      <c r="L215" t="e">
        <f t="array" ref="L215">VLOOKUP(J215:$J$3871&amp;K215:$K$3871,CHOOSE({1,2},#REF!&amp;#REF!,#REF!),2,0)</f>
        <v>#N/A</v>
      </c>
      <c r="M215">
        <v>-15</v>
      </c>
      <c r="N215">
        <v>0</v>
      </c>
      <c r="O215" t="s">
        <v>7</v>
      </c>
      <c r="P215">
        <v>1</v>
      </c>
      <c r="Q215">
        <v>1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1</v>
      </c>
      <c r="Y215">
        <v>1</v>
      </c>
      <c r="Z215">
        <v>0</v>
      </c>
      <c r="AA215" t="s">
        <v>3164</v>
      </c>
      <c r="AB215" t="s">
        <v>163</v>
      </c>
      <c r="AC215" t="s">
        <v>3164</v>
      </c>
      <c r="AD215" t="e">
        <f>VLOOKUP(AB215,#REF!,2,FALSE)</f>
        <v>#REF!</v>
      </c>
      <c r="AE215" t="e">
        <f>RIGHT(#REF!,(FIND("Complex",#REF!,1)-7))</f>
        <v>#REF!</v>
      </c>
    </row>
    <row r="216" spans="1:31" x14ac:dyDescent="0.25">
      <c r="A216">
        <v>3472</v>
      </c>
      <c r="B216" t="s">
        <v>88</v>
      </c>
      <c r="C216">
        <v>39</v>
      </c>
      <c r="D216">
        <v>911</v>
      </c>
      <c r="E216">
        <v>3472</v>
      </c>
      <c r="F216">
        <v>7497001</v>
      </c>
      <c r="G216">
        <v>7585200</v>
      </c>
      <c r="H216">
        <f t="shared" si="6"/>
        <v>170.00002267573697</v>
      </c>
      <c r="I216">
        <f t="shared" si="7"/>
        <v>172</v>
      </c>
      <c r="J216" t="s">
        <v>29</v>
      </c>
      <c r="K216">
        <v>6</v>
      </c>
      <c r="L216" t="e">
        <f t="array" ref="L216">VLOOKUP(J216:$J$3871&amp;K216:$K$3871,CHOOSE({1,2},#REF!&amp;#REF!,#REF!),2,0)</f>
        <v>#N/A</v>
      </c>
      <c r="M216">
        <v>-15</v>
      </c>
      <c r="N216">
        <v>0</v>
      </c>
      <c r="O216" t="s">
        <v>7</v>
      </c>
      <c r="P216">
        <v>1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1</v>
      </c>
      <c r="Y216">
        <v>1</v>
      </c>
      <c r="Z216">
        <v>0</v>
      </c>
      <c r="AA216" t="s">
        <v>3172</v>
      </c>
      <c r="AB216" t="s">
        <v>1154</v>
      </c>
      <c r="AC216" t="s">
        <v>3172</v>
      </c>
      <c r="AD216" t="e">
        <f>VLOOKUP(AB216,#REF!,2,FALSE)</f>
        <v>#REF!</v>
      </c>
      <c r="AE216" t="e">
        <f>RIGHT(#REF!,(FIND("Complex",#REF!,1)-7))</f>
        <v>#REF!</v>
      </c>
    </row>
    <row r="217" spans="1:31" x14ac:dyDescent="0.25">
      <c r="A217">
        <v>1474</v>
      </c>
      <c r="B217" t="s">
        <v>88</v>
      </c>
      <c r="C217">
        <v>39</v>
      </c>
      <c r="D217">
        <v>247</v>
      </c>
      <c r="E217">
        <v>1474</v>
      </c>
      <c r="F217">
        <v>5821201</v>
      </c>
      <c r="G217">
        <v>5909400</v>
      </c>
      <c r="H217">
        <f t="shared" si="6"/>
        <v>132.00002267573697</v>
      </c>
      <c r="I217">
        <f t="shared" si="7"/>
        <v>134</v>
      </c>
      <c r="J217" t="s">
        <v>29</v>
      </c>
      <c r="K217">
        <v>6</v>
      </c>
      <c r="L217" t="e">
        <f t="array" ref="L217">VLOOKUP(J217:$J$3871&amp;K217:$K$3871,CHOOSE({1,2},#REF!&amp;#REF!,#REF!),2,0)</f>
        <v>#N/A</v>
      </c>
      <c r="M217">
        <v>-15</v>
      </c>
      <c r="N217">
        <v>0</v>
      </c>
      <c r="O217" t="s">
        <v>7</v>
      </c>
      <c r="P217">
        <v>1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1</v>
      </c>
      <c r="Y217">
        <v>1</v>
      </c>
      <c r="Z217">
        <v>0</v>
      </c>
      <c r="AA217" t="s">
        <v>3308</v>
      </c>
      <c r="AB217" t="s">
        <v>1155</v>
      </c>
      <c r="AC217" t="s">
        <v>3308</v>
      </c>
      <c r="AD217" t="e">
        <f>VLOOKUP(AB217,#REF!,2,FALSE)</f>
        <v>#REF!</v>
      </c>
      <c r="AE217" t="e">
        <f>RIGHT(#REF!,(FIND("Complex",#REF!,1)-7))</f>
        <v>#REF!</v>
      </c>
    </row>
    <row r="218" spans="1:31" x14ac:dyDescent="0.25">
      <c r="A218">
        <v>3649</v>
      </c>
      <c r="B218" t="s">
        <v>88</v>
      </c>
      <c r="C218">
        <v>39</v>
      </c>
      <c r="D218">
        <v>977</v>
      </c>
      <c r="E218">
        <v>3649</v>
      </c>
      <c r="F218">
        <v>5380201</v>
      </c>
      <c r="G218">
        <v>5468400</v>
      </c>
      <c r="H218">
        <f t="shared" si="6"/>
        <v>122.00002267573696</v>
      </c>
      <c r="I218">
        <f t="shared" si="7"/>
        <v>124</v>
      </c>
      <c r="J218" t="s">
        <v>29</v>
      </c>
      <c r="K218">
        <v>6</v>
      </c>
      <c r="L218" t="e">
        <f t="array" ref="L218">VLOOKUP(J218:$J$3871&amp;K218:$K$3871,CHOOSE({1,2},#REF!&amp;#REF!,#REF!),2,0)</f>
        <v>#N/A</v>
      </c>
      <c r="M218">
        <v>-15</v>
      </c>
      <c r="N218">
        <v>0</v>
      </c>
      <c r="O218" t="s">
        <v>7</v>
      </c>
      <c r="P218">
        <v>1</v>
      </c>
      <c r="Q218">
        <v>1</v>
      </c>
      <c r="R218">
        <v>0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1</v>
      </c>
      <c r="Y218">
        <v>1</v>
      </c>
      <c r="Z218">
        <v>0</v>
      </c>
      <c r="AA218" t="s">
        <v>3368</v>
      </c>
      <c r="AB218" t="s">
        <v>1156</v>
      </c>
      <c r="AC218" t="s">
        <v>3368</v>
      </c>
      <c r="AD218" t="e">
        <f>VLOOKUP(AB218,#REF!,2,FALSE)</f>
        <v>#REF!</v>
      </c>
      <c r="AE218" t="e">
        <f>RIGHT(#REF!,(FIND("Complex",#REF!,1)-7))</f>
        <v>#REF!</v>
      </c>
    </row>
    <row r="219" spans="1:31" x14ac:dyDescent="0.25">
      <c r="A219">
        <v>2394</v>
      </c>
      <c r="B219" t="s">
        <v>88</v>
      </c>
      <c r="C219">
        <v>39</v>
      </c>
      <c r="D219">
        <v>449</v>
      </c>
      <c r="E219">
        <v>2394</v>
      </c>
      <c r="F219">
        <v>5292001</v>
      </c>
      <c r="G219">
        <v>5380200</v>
      </c>
      <c r="H219">
        <f t="shared" si="6"/>
        <v>120.00002267573696</v>
      </c>
      <c r="I219">
        <f t="shared" si="7"/>
        <v>122</v>
      </c>
      <c r="J219" t="s">
        <v>29</v>
      </c>
      <c r="K219">
        <v>6</v>
      </c>
      <c r="L219" t="e">
        <f t="array" ref="L219">VLOOKUP(J219:$J$3871&amp;K219:$K$3871,CHOOSE({1,2},#REF!&amp;#REF!,#REF!),2,0)</f>
        <v>#N/A</v>
      </c>
      <c r="M219">
        <v>-15</v>
      </c>
      <c r="N219">
        <v>0</v>
      </c>
      <c r="O219" t="s">
        <v>7</v>
      </c>
      <c r="P219">
        <v>1</v>
      </c>
      <c r="Q219">
        <v>1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1</v>
      </c>
      <c r="Y219">
        <v>1</v>
      </c>
      <c r="Z219">
        <v>0</v>
      </c>
      <c r="AA219" t="s">
        <v>3380</v>
      </c>
      <c r="AB219" t="s">
        <v>1157</v>
      </c>
      <c r="AC219" t="s">
        <v>3380</v>
      </c>
      <c r="AD219" t="e">
        <f>VLOOKUP(AB219,#REF!,2,FALSE)</f>
        <v>#REF!</v>
      </c>
      <c r="AE219" t="e">
        <f>RIGHT(#REF!,(FIND("Complex",#REF!,1)-7))</f>
        <v>#REF!</v>
      </c>
    </row>
    <row r="220" spans="1:31" x14ac:dyDescent="0.25">
      <c r="A220">
        <v>594</v>
      </c>
      <c r="B220" t="s">
        <v>252</v>
      </c>
      <c r="C220">
        <v>48</v>
      </c>
      <c r="D220">
        <v>105</v>
      </c>
      <c r="E220">
        <v>594</v>
      </c>
      <c r="F220">
        <v>6174001</v>
      </c>
      <c r="G220">
        <v>6262200</v>
      </c>
      <c r="H220">
        <f t="shared" si="6"/>
        <v>140.00002267573697</v>
      </c>
      <c r="I220">
        <f t="shared" si="7"/>
        <v>142</v>
      </c>
      <c r="J220" t="s">
        <v>29</v>
      </c>
      <c r="K220">
        <v>6</v>
      </c>
      <c r="L220" t="e">
        <f t="array" ref="L220">VLOOKUP(J220:$J$3871&amp;K220:$K$3871,CHOOSE({1,2},#REF!&amp;#REF!,#REF!),2,0)</f>
        <v>#N/A</v>
      </c>
      <c r="M220">
        <v>-15</v>
      </c>
      <c r="N220">
        <v>0</v>
      </c>
      <c r="O220" t="s">
        <v>7</v>
      </c>
      <c r="P220">
        <v>1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 t="s">
        <v>3264</v>
      </c>
      <c r="AB220" t="s">
        <v>288</v>
      </c>
      <c r="AC220" t="s">
        <v>3264</v>
      </c>
      <c r="AD220" t="e">
        <f>VLOOKUP(AB220,#REF!,2,FALSE)</f>
        <v>#REF!</v>
      </c>
      <c r="AE220" t="e">
        <f>RIGHT(#REF!,(FIND("Complex",#REF!,1)-6))</f>
        <v>#REF!</v>
      </c>
    </row>
    <row r="221" spans="1:31" x14ac:dyDescent="0.25">
      <c r="A221">
        <v>3543</v>
      </c>
      <c r="B221" t="s">
        <v>252</v>
      </c>
      <c r="C221">
        <v>48</v>
      </c>
      <c r="D221">
        <v>938</v>
      </c>
      <c r="E221">
        <v>3543</v>
      </c>
      <c r="F221">
        <v>6085801</v>
      </c>
      <c r="G221">
        <v>6174000</v>
      </c>
      <c r="H221">
        <f t="shared" si="6"/>
        <v>138.00002267573697</v>
      </c>
      <c r="I221">
        <f t="shared" si="7"/>
        <v>140</v>
      </c>
      <c r="J221" t="s">
        <v>29</v>
      </c>
      <c r="K221">
        <v>6</v>
      </c>
      <c r="L221" t="e">
        <f t="array" ref="L221">VLOOKUP(J221:$J$3871&amp;K221:$K$3871,CHOOSE({1,2},#REF!&amp;#REF!,#REF!),2,0)</f>
        <v>#N/A</v>
      </c>
      <c r="M221">
        <v>-15</v>
      </c>
      <c r="N221">
        <v>0</v>
      </c>
      <c r="O221" t="s">
        <v>7</v>
      </c>
      <c r="P221">
        <v>1</v>
      </c>
      <c r="Q221">
        <v>1</v>
      </c>
      <c r="R221">
        <v>0</v>
      </c>
      <c r="S221">
        <v>1</v>
      </c>
      <c r="T221">
        <v>1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 t="s">
        <v>3273</v>
      </c>
      <c r="AB221" t="s">
        <v>1271</v>
      </c>
      <c r="AC221" t="s">
        <v>3273</v>
      </c>
      <c r="AD221" t="e">
        <f>VLOOKUP(AB221,#REF!,2,FALSE)</f>
        <v>#REF!</v>
      </c>
      <c r="AE221" t="e">
        <f>RIGHT(#REF!,(FIND("Complex",#REF!,1)-7))</f>
        <v>#REF!</v>
      </c>
    </row>
    <row r="222" spans="1:31" x14ac:dyDescent="0.25">
      <c r="A222">
        <v>3182</v>
      </c>
      <c r="B222" t="s">
        <v>252</v>
      </c>
      <c r="C222">
        <v>48</v>
      </c>
      <c r="D222">
        <v>763</v>
      </c>
      <c r="E222">
        <v>3182</v>
      </c>
      <c r="F222">
        <v>5733001</v>
      </c>
      <c r="G222">
        <v>5821200</v>
      </c>
      <c r="H222">
        <f t="shared" si="6"/>
        <v>130.00002267573697</v>
      </c>
      <c r="I222">
        <f t="shared" si="7"/>
        <v>132</v>
      </c>
      <c r="J222" t="s">
        <v>29</v>
      </c>
      <c r="K222">
        <v>6</v>
      </c>
      <c r="L222" t="e">
        <f t="array" ref="L222">VLOOKUP(J222:$J$3871&amp;K222:$K$3871,CHOOSE({1,2},#REF!&amp;#REF!,#REF!),2,0)</f>
        <v>#N/A</v>
      </c>
      <c r="M222">
        <v>-15</v>
      </c>
      <c r="N222">
        <v>0</v>
      </c>
      <c r="O222" t="s">
        <v>7</v>
      </c>
      <c r="P222">
        <v>1</v>
      </c>
      <c r="Q222">
        <v>1</v>
      </c>
      <c r="R222">
        <v>0</v>
      </c>
      <c r="S222">
        <v>1</v>
      </c>
      <c r="T222">
        <v>1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 t="s">
        <v>3320</v>
      </c>
      <c r="AB222" t="s">
        <v>1272</v>
      </c>
      <c r="AC222" t="s">
        <v>3320</v>
      </c>
      <c r="AD222" t="e">
        <f>VLOOKUP(AB222,#REF!,2,FALSE)</f>
        <v>#REF!</v>
      </c>
      <c r="AE222" t="e">
        <f>RIGHT(#REF!,(FIND("Complex",#REF!,1)-7))</f>
        <v>#REF!</v>
      </c>
    </row>
    <row r="223" spans="1:31" x14ac:dyDescent="0.25">
      <c r="A223">
        <v>491</v>
      </c>
      <c r="B223" t="s">
        <v>24</v>
      </c>
      <c r="C223">
        <v>49</v>
      </c>
      <c r="D223">
        <v>90</v>
      </c>
      <c r="E223">
        <v>491</v>
      </c>
      <c r="F223">
        <v>4145401</v>
      </c>
      <c r="G223">
        <v>4233600</v>
      </c>
      <c r="H223">
        <f t="shared" si="6"/>
        <v>94.000022675736957</v>
      </c>
      <c r="I223">
        <f t="shared" si="7"/>
        <v>96</v>
      </c>
      <c r="J223" t="s">
        <v>29</v>
      </c>
      <c r="K223">
        <v>6</v>
      </c>
      <c r="L223" t="e">
        <f t="array" ref="L223">VLOOKUP(J223:$J$3871&amp;K223:$K$3871,CHOOSE({1,2},#REF!&amp;#REF!,#REF!),2,0)</f>
        <v>#N/A</v>
      </c>
      <c r="M223">
        <v>-15</v>
      </c>
      <c r="N223">
        <v>0</v>
      </c>
      <c r="O223" t="s">
        <v>7</v>
      </c>
      <c r="P223">
        <v>1</v>
      </c>
      <c r="Q223">
        <v>1</v>
      </c>
      <c r="R223">
        <v>0</v>
      </c>
      <c r="S223">
        <v>1</v>
      </c>
      <c r="T223">
        <v>0</v>
      </c>
      <c r="U223">
        <v>1</v>
      </c>
      <c r="V223">
        <v>0</v>
      </c>
      <c r="W223">
        <v>1</v>
      </c>
      <c r="X223">
        <v>1</v>
      </c>
      <c r="Y223">
        <v>0</v>
      </c>
      <c r="Z223">
        <v>0</v>
      </c>
      <c r="AA223" t="s">
        <v>2635</v>
      </c>
      <c r="AB223" t="s">
        <v>1283</v>
      </c>
      <c r="AC223" t="s">
        <v>2635</v>
      </c>
      <c r="AD223" t="e">
        <f>VLOOKUP(AB223,#REF!,2,FALSE)</f>
        <v>#REF!</v>
      </c>
      <c r="AE223" t="e">
        <f>RIGHT(#REF!,(FIND("Complex",#REF!,1)-7))</f>
        <v>#REF!</v>
      </c>
    </row>
    <row r="224" spans="1:31" x14ac:dyDescent="0.25">
      <c r="A224">
        <v>2065</v>
      </c>
      <c r="B224" t="s">
        <v>24</v>
      </c>
      <c r="C224">
        <v>49</v>
      </c>
      <c r="D224">
        <v>365</v>
      </c>
      <c r="E224">
        <v>2065</v>
      </c>
      <c r="F224">
        <v>2822401</v>
      </c>
      <c r="G224">
        <v>2910600</v>
      </c>
      <c r="H224">
        <f t="shared" si="6"/>
        <v>64.000022675736957</v>
      </c>
      <c r="I224">
        <f t="shared" si="7"/>
        <v>66</v>
      </c>
      <c r="J224" t="s">
        <v>29</v>
      </c>
      <c r="K224">
        <v>6</v>
      </c>
      <c r="L224" t="e">
        <f t="array" ref="L224">VLOOKUP(J224:$J$3871&amp;K224:$K$3871,CHOOSE({1,2},#REF!&amp;#REF!,#REF!),2,0)</f>
        <v>#N/A</v>
      </c>
      <c r="M224">
        <v>-15</v>
      </c>
      <c r="N224">
        <v>0</v>
      </c>
      <c r="O224" t="s">
        <v>7</v>
      </c>
      <c r="P224">
        <v>1</v>
      </c>
      <c r="Q224">
        <v>1</v>
      </c>
      <c r="R224">
        <v>0</v>
      </c>
      <c r="S224">
        <v>1</v>
      </c>
      <c r="T224">
        <v>0</v>
      </c>
      <c r="U224">
        <v>1</v>
      </c>
      <c r="V224">
        <v>0</v>
      </c>
      <c r="W224">
        <v>1</v>
      </c>
      <c r="X224">
        <v>1</v>
      </c>
      <c r="Y224">
        <v>0</v>
      </c>
      <c r="Z224">
        <v>0</v>
      </c>
      <c r="AA224" t="s">
        <v>2764</v>
      </c>
      <c r="AB224" t="s">
        <v>1284</v>
      </c>
      <c r="AC224" t="s">
        <v>2764</v>
      </c>
      <c r="AD224" t="e">
        <f>VLOOKUP(AB224,#REF!,2,FALSE)</f>
        <v>#REF!</v>
      </c>
      <c r="AE224" t="e">
        <f>RIGHT(#REF!,(FIND("Complex",#REF!,1)-8))</f>
        <v>#REF!</v>
      </c>
    </row>
    <row r="225" spans="1:31" x14ac:dyDescent="0.25">
      <c r="A225">
        <v>2957</v>
      </c>
      <c r="B225" t="s">
        <v>24</v>
      </c>
      <c r="C225">
        <v>49</v>
      </c>
      <c r="D225">
        <v>661</v>
      </c>
      <c r="E225">
        <v>2957</v>
      </c>
      <c r="F225">
        <v>6350401</v>
      </c>
      <c r="G225">
        <v>6438600</v>
      </c>
      <c r="H225">
        <f t="shared" si="6"/>
        <v>144.00002267573697</v>
      </c>
      <c r="I225">
        <f t="shared" si="7"/>
        <v>146</v>
      </c>
      <c r="J225" t="s">
        <v>29</v>
      </c>
      <c r="K225">
        <v>6</v>
      </c>
      <c r="L225" t="e">
        <f t="array" ref="L225">VLOOKUP(J225:$J$3871&amp;K225:$K$3871,CHOOSE({1,2},#REF!&amp;#REF!,#REF!),2,0)</f>
        <v>#N/A</v>
      </c>
      <c r="M225">
        <v>-15</v>
      </c>
      <c r="N225">
        <v>0</v>
      </c>
      <c r="O225" t="s">
        <v>7</v>
      </c>
      <c r="P225">
        <v>1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0</v>
      </c>
      <c r="W225">
        <v>1</v>
      </c>
      <c r="X225">
        <v>1</v>
      </c>
      <c r="Y225">
        <v>0</v>
      </c>
      <c r="Z225">
        <v>0</v>
      </c>
      <c r="AA225" t="s">
        <v>3247</v>
      </c>
      <c r="AB225" t="s">
        <v>1285</v>
      </c>
      <c r="AC225" t="s">
        <v>3247</v>
      </c>
      <c r="AD225" t="e">
        <f>VLOOKUP(AB225,#REF!,2,FALSE)</f>
        <v>#REF!</v>
      </c>
      <c r="AE225" t="e">
        <f>RIGHT(#REF!,(FIND("Complex",#REF!,1)-7))</f>
        <v>#REF!</v>
      </c>
    </row>
    <row r="226" spans="1:31" x14ac:dyDescent="0.25">
      <c r="A226">
        <v>3157</v>
      </c>
      <c r="B226" t="s">
        <v>24</v>
      </c>
      <c r="C226">
        <v>49</v>
      </c>
      <c r="D226">
        <v>749</v>
      </c>
      <c r="E226">
        <v>3157</v>
      </c>
      <c r="F226">
        <v>6262201</v>
      </c>
      <c r="G226">
        <v>6350400</v>
      </c>
      <c r="H226">
        <f t="shared" si="6"/>
        <v>142.00002267573697</v>
      </c>
      <c r="I226">
        <f t="shared" si="7"/>
        <v>144</v>
      </c>
      <c r="J226" t="s">
        <v>29</v>
      </c>
      <c r="K226">
        <v>6</v>
      </c>
      <c r="L226" t="e">
        <f t="array" ref="L226">VLOOKUP(J226:$J$3871&amp;K226:$K$3871,CHOOSE({1,2},#REF!&amp;#REF!,#REF!),2,0)</f>
        <v>#N/A</v>
      </c>
      <c r="M226">
        <v>-15</v>
      </c>
      <c r="N226">
        <v>0</v>
      </c>
      <c r="O226" t="s">
        <v>7</v>
      </c>
      <c r="P226">
        <v>1</v>
      </c>
      <c r="Q226">
        <v>1</v>
      </c>
      <c r="R226">
        <v>0</v>
      </c>
      <c r="S226">
        <v>1</v>
      </c>
      <c r="T226">
        <v>0</v>
      </c>
      <c r="U226">
        <v>1</v>
      </c>
      <c r="V226">
        <v>0</v>
      </c>
      <c r="W226">
        <v>1</v>
      </c>
      <c r="X226">
        <v>1</v>
      </c>
      <c r="Y226">
        <v>0</v>
      </c>
      <c r="Z226">
        <v>0</v>
      </c>
      <c r="AA226" t="s">
        <v>3256</v>
      </c>
      <c r="AB226" t="s">
        <v>1286</v>
      </c>
      <c r="AC226" t="s">
        <v>3256</v>
      </c>
      <c r="AD226" t="e">
        <f>VLOOKUP(AB226,#REF!,2,FALSE)</f>
        <v>#REF!</v>
      </c>
      <c r="AE226" t="e">
        <f>RIGHT(#REF!,(FIND("Complex",#REF!,1)-7))</f>
        <v>#REF!</v>
      </c>
    </row>
    <row r="227" spans="1:31" x14ac:dyDescent="0.25">
      <c r="A227">
        <v>3188</v>
      </c>
      <c r="B227" t="s">
        <v>24</v>
      </c>
      <c r="C227">
        <v>49</v>
      </c>
      <c r="D227">
        <v>764</v>
      </c>
      <c r="E227">
        <v>3188</v>
      </c>
      <c r="F227">
        <v>6174001</v>
      </c>
      <c r="G227">
        <v>6262200</v>
      </c>
      <c r="H227">
        <f t="shared" si="6"/>
        <v>140.00002267573697</v>
      </c>
      <c r="I227">
        <f t="shared" si="7"/>
        <v>142</v>
      </c>
      <c r="J227" t="s">
        <v>29</v>
      </c>
      <c r="K227">
        <v>6</v>
      </c>
      <c r="L227" t="e">
        <f t="array" ref="L227">VLOOKUP(J227:$J$3871&amp;K227:$K$3871,CHOOSE({1,2},#REF!&amp;#REF!,#REF!),2,0)</f>
        <v>#N/A</v>
      </c>
      <c r="M227">
        <v>-15</v>
      </c>
      <c r="N227">
        <v>0</v>
      </c>
      <c r="O227" t="s">
        <v>7</v>
      </c>
      <c r="P227">
        <v>1</v>
      </c>
      <c r="Q227">
        <v>1</v>
      </c>
      <c r="R227">
        <v>0</v>
      </c>
      <c r="S227">
        <v>1</v>
      </c>
      <c r="T227">
        <v>0</v>
      </c>
      <c r="U227">
        <v>1</v>
      </c>
      <c r="V227">
        <v>0</v>
      </c>
      <c r="W227">
        <v>1</v>
      </c>
      <c r="X227">
        <v>1</v>
      </c>
      <c r="Y227">
        <v>0</v>
      </c>
      <c r="Z227">
        <v>0</v>
      </c>
      <c r="AA227" t="s">
        <v>3263</v>
      </c>
      <c r="AB227" t="s">
        <v>1287</v>
      </c>
      <c r="AC227" t="s">
        <v>3263</v>
      </c>
      <c r="AD227" t="e">
        <f>VLOOKUP(AB227,#REF!,2,FALSE)</f>
        <v>#REF!</v>
      </c>
      <c r="AE227" t="e">
        <f>RIGHT(#REF!,(FIND("Complex",#REF!,1)-7))</f>
        <v>#REF!</v>
      </c>
    </row>
    <row r="228" spans="1:31" x14ac:dyDescent="0.25">
      <c r="A228">
        <v>3112</v>
      </c>
      <c r="B228" t="s">
        <v>24</v>
      </c>
      <c r="C228">
        <v>49</v>
      </c>
      <c r="D228">
        <v>729</v>
      </c>
      <c r="E228">
        <v>3112</v>
      </c>
      <c r="F228">
        <v>4586401</v>
      </c>
      <c r="G228">
        <v>4674600</v>
      </c>
      <c r="H228">
        <f t="shared" si="6"/>
        <v>104.00002267573696</v>
      </c>
      <c r="I228">
        <f t="shared" si="7"/>
        <v>106</v>
      </c>
      <c r="J228" t="s">
        <v>29</v>
      </c>
      <c r="K228">
        <v>6</v>
      </c>
      <c r="L228" t="e">
        <f t="array" ref="L228">VLOOKUP(J228:$J$3871&amp;K228:$K$3871,CHOOSE({1,2},#REF!&amp;#REF!,#REF!),2,0)</f>
        <v>#N/A</v>
      </c>
      <c r="M228">
        <v>-15</v>
      </c>
      <c r="N228">
        <v>0</v>
      </c>
      <c r="O228" t="s">
        <v>7</v>
      </c>
      <c r="P228">
        <v>1</v>
      </c>
      <c r="Q228">
        <v>1</v>
      </c>
      <c r="R228">
        <v>0</v>
      </c>
      <c r="S228">
        <v>1</v>
      </c>
      <c r="T228">
        <v>0</v>
      </c>
      <c r="U228">
        <v>1</v>
      </c>
      <c r="V228">
        <v>0</v>
      </c>
      <c r="W228">
        <v>1</v>
      </c>
      <c r="X228">
        <v>1</v>
      </c>
      <c r="Y228">
        <v>0</v>
      </c>
      <c r="Z228">
        <v>0</v>
      </c>
      <c r="AA228" t="s">
        <v>3472</v>
      </c>
      <c r="AB228" t="s">
        <v>1288</v>
      </c>
      <c r="AC228" t="s">
        <v>3472</v>
      </c>
      <c r="AD228" t="e">
        <f>VLOOKUP(AB228,#REF!,2,FALSE)</f>
        <v>#REF!</v>
      </c>
      <c r="AE228" t="e">
        <f>RIGHT(#REF!,(FIND("Complex",#REF!,1)-7))</f>
        <v>#REF!</v>
      </c>
    </row>
    <row r="229" spans="1:31" x14ac:dyDescent="0.25">
      <c r="A229">
        <v>181</v>
      </c>
      <c r="B229" t="s">
        <v>24</v>
      </c>
      <c r="C229">
        <v>49</v>
      </c>
      <c r="D229">
        <v>35</v>
      </c>
      <c r="E229">
        <v>181</v>
      </c>
      <c r="F229">
        <v>4498201</v>
      </c>
      <c r="G229">
        <v>4586400</v>
      </c>
      <c r="H229">
        <f t="shared" si="6"/>
        <v>102.00002267573696</v>
      </c>
      <c r="I229">
        <f t="shared" si="7"/>
        <v>104</v>
      </c>
      <c r="J229" t="s">
        <v>29</v>
      </c>
      <c r="K229">
        <v>6</v>
      </c>
      <c r="L229" t="e">
        <f t="array" ref="L229">VLOOKUP(J229:$J$3871&amp;K229:$K$3871,CHOOSE({1,2},#REF!&amp;#REF!,#REF!),2,0)</f>
        <v>#N/A</v>
      </c>
      <c r="M229">
        <v>-15</v>
      </c>
      <c r="N229">
        <v>0</v>
      </c>
      <c r="O229" t="s">
        <v>7</v>
      </c>
      <c r="P229">
        <v>1</v>
      </c>
      <c r="Q229">
        <v>1</v>
      </c>
      <c r="R229">
        <v>0</v>
      </c>
      <c r="S229">
        <v>1</v>
      </c>
      <c r="T229">
        <v>0</v>
      </c>
      <c r="U229">
        <v>1</v>
      </c>
      <c r="V229">
        <v>0</v>
      </c>
      <c r="W229">
        <v>1</v>
      </c>
      <c r="X229">
        <v>1</v>
      </c>
      <c r="Y229">
        <v>0</v>
      </c>
      <c r="Z229">
        <v>0</v>
      </c>
      <c r="AA229" t="s">
        <v>3480</v>
      </c>
      <c r="AB229" t="s">
        <v>179</v>
      </c>
      <c r="AC229" t="s">
        <v>3480</v>
      </c>
      <c r="AD229" t="e">
        <f>VLOOKUP(AB229,#REF!,2,FALSE)</f>
        <v>#REF!</v>
      </c>
      <c r="AE229" t="e">
        <f>RIGHT(#REF!,(FIND("Complex",#REF!,1)-6))</f>
        <v>#REF!</v>
      </c>
    </row>
    <row r="230" spans="1:31" x14ac:dyDescent="0.25">
      <c r="A230">
        <v>3032</v>
      </c>
      <c r="B230" t="s">
        <v>27</v>
      </c>
      <c r="C230">
        <v>52</v>
      </c>
      <c r="D230">
        <v>693</v>
      </c>
      <c r="E230">
        <v>3032</v>
      </c>
      <c r="F230">
        <v>3087001</v>
      </c>
      <c r="G230">
        <v>3175200</v>
      </c>
      <c r="H230">
        <f t="shared" si="6"/>
        <v>70.000022675736957</v>
      </c>
      <c r="I230">
        <f t="shared" si="7"/>
        <v>72</v>
      </c>
      <c r="J230" t="s">
        <v>29</v>
      </c>
      <c r="K230">
        <v>6</v>
      </c>
      <c r="L230" t="e">
        <f t="array" ref="L230">VLOOKUP(J230:$J$3871&amp;K230:$K$3871,CHOOSE({1,2},#REF!&amp;#REF!,#REF!),2,0)</f>
        <v>#N/A</v>
      </c>
      <c r="M230">
        <v>-15</v>
      </c>
      <c r="N230">
        <v>0</v>
      </c>
      <c r="O230" t="s">
        <v>7</v>
      </c>
      <c r="P230">
        <v>1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1</v>
      </c>
      <c r="Y230">
        <v>1</v>
      </c>
      <c r="Z230">
        <v>0</v>
      </c>
      <c r="AA230" t="s">
        <v>2739</v>
      </c>
      <c r="AB230" t="s">
        <v>147</v>
      </c>
      <c r="AC230" t="s">
        <v>2739</v>
      </c>
      <c r="AD230" t="e">
        <f>VLOOKUP(AB230,#REF!,2,FALSE)</f>
        <v>#REF!</v>
      </c>
      <c r="AE230" t="e">
        <f>RIGHT(#REF!,(FIND("Complex",#REF!,1)-8))</f>
        <v>#REF!</v>
      </c>
    </row>
    <row r="231" spans="1:31" x14ac:dyDescent="0.25">
      <c r="A231">
        <v>3462</v>
      </c>
      <c r="B231" t="s">
        <v>27</v>
      </c>
      <c r="C231">
        <v>52</v>
      </c>
      <c r="D231">
        <v>907</v>
      </c>
      <c r="E231">
        <v>3462</v>
      </c>
      <c r="F231">
        <v>2205001</v>
      </c>
      <c r="G231">
        <v>2293200</v>
      </c>
      <c r="H231">
        <f t="shared" si="6"/>
        <v>50.000022675736965</v>
      </c>
      <c r="I231">
        <f t="shared" si="7"/>
        <v>52</v>
      </c>
      <c r="J231" t="s">
        <v>29</v>
      </c>
      <c r="K231">
        <v>6</v>
      </c>
      <c r="L231" t="e">
        <f t="array" ref="L231">VLOOKUP(J231:$J$3871&amp;K231:$K$3871,CHOOSE({1,2},#REF!&amp;#REF!,#REF!),2,0)</f>
        <v>#N/A</v>
      </c>
      <c r="M231">
        <v>-15</v>
      </c>
      <c r="N231">
        <v>0</v>
      </c>
      <c r="O231" t="s">
        <v>7</v>
      </c>
      <c r="P231">
        <v>1</v>
      </c>
      <c r="Q231">
        <v>0</v>
      </c>
      <c r="R231">
        <v>0</v>
      </c>
      <c r="S231">
        <v>1</v>
      </c>
      <c r="T231">
        <v>1</v>
      </c>
      <c r="U231">
        <v>1</v>
      </c>
      <c r="V231">
        <v>0</v>
      </c>
      <c r="W231">
        <v>0</v>
      </c>
      <c r="X231">
        <v>1</v>
      </c>
      <c r="Y231">
        <v>1</v>
      </c>
      <c r="Z231">
        <v>0</v>
      </c>
      <c r="AA231" t="s">
        <v>2804</v>
      </c>
      <c r="AB231" t="s">
        <v>6187</v>
      </c>
      <c r="AC231" t="s">
        <v>2804</v>
      </c>
      <c r="AD231" t="e">
        <f>VLOOKUP(AB231,#REF!,2,FALSE)</f>
        <v>#REF!</v>
      </c>
      <c r="AE231" t="e">
        <f>RIGHT(#REF!,(FIND("Complex",#REF!,1)-8))</f>
        <v>#REF!</v>
      </c>
    </row>
    <row r="232" spans="1:31" x14ac:dyDescent="0.25">
      <c r="A232">
        <v>3067</v>
      </c>
      <c r="B232" t="s">
        <v>27</v>
      </c>
      <c r="C232">
        <v>52</v>
      </c>
      <c r="D232">
        <v>712</v>
      </c>
      <c r="E232">
        <v>3067</v>
      </c>
      <c r="F232">
        <v>16228801</v>
      </c>
      <c r="G232">
        <v>16317000</v>
      </c>
      <c r="H232">
        <f t="shared" si="6"/>
        <v>368.00002267573694</v>
      </c>
      <c r="I232">
        <f t="shared" si="7"/>
        <v>370</v>
      </c>
      <c r="J232" t="s">
        <v>29</v>
      </c>
      <c r="K232">
        <v>6</v>
      </c>
      <c r="L232" t="e">
        <f t="array" ref="L232">VLOOKUP(J232:$J$3871&amp;K232:$K$3871,CHOOSE({1,2},#REF!&amp;#REF!,#REF!),2,0)</f>
        <v>#N/A</v>
      </c>
      <c r="M232">
        <v>-15</v>
      </c>
      <c r="N232">
        <v>0</v>
      </c>
      <c r="O232" t="s">
        <v>7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1</v>
      </c>
      <c r="Y232">
        <v>1</v>
      </c>
      <c r="Z232">
        <v>1</v>
      </c>
      <c r="AA232" t="s">
        <v>2846</v>
      </c>
      <c r="AB232" t="s">
        <v>1345</v>
      </c>
      <c r="AC232" t="s">
        <v>2846</v>
      </c>
      <c r="AD232" t="e">
        <f>VLOOKUP(AB232,#REF!,2,FALSE)</f>
        <v>#REF!</v>
      </c>
      <c r="AE232" t="e">
        <f>RIGHT(#REF!,(FIND("Complex",#REF!,1)-7))</f>
        <v>#REF!</v>
      </c>
    </row>
    <row r="233" spans="1:31" x14ac:dyDescent="0.25">
      <c r="A233">
        <v>253</v>
      </c>
      <c r="B233" t="s">
        <v>34</v>
      </c>
      <c r="C233">
        <v>53</v>
      </c>
      <c r="D233">
        <v>49</v>
      </c>
      <c r="E233">
        <v>253</v>
      </c>
      <c r="F233">
        <v>4498201</v>
      </c>
      <c r="G233">
        <v>4586400</v>
      </c>
      <c r="H233">
        <f t="shared" si="6"/>
        <v>102.00002267573696</v>
      </c>
      <c r="I233">
        <f t="shared" si="7"/>
        <v>104</v>
      </c>
      <c r="J233" t="s">
        <v>29</v>
      </c>
      <c r="K233">
        <v>6</v>
      </c>
      <c r="L233" t="e">
        <f t="array" ref="L233">VLOOKUP(J233:$J$3871&amp;K233:$K$3871,CHOOSE({1,2},#REF!&amp;#REF!,#REF!),2,0)</f>
        <v>#N/A</v>
      </c>
      <c r="M233">
        <v>-15</v>
      </c>
      <c r="N233">
        <v>0</v>
      </c>
      <c r="O233" t="s">
        <v>7</v>
      </c>
      <c r="P233">
        <v>1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0</v>
      </c>
      <c r="AA233" t="s">
        <v>3479</v>
      </c>
      <c r="AB233" t="s">
        <v>178</v>
      </c>
      <c r="AC233" t="s">
        <v>3479</v>
      </c>
      <c r="AD233" t="e">
        <f>VLOOKUP(AB233,#REF!,2,FALSE)</f>
        <v>#REF!</v>
      </c>
      <c r="AE233" t="e">
        <f>RIGHT(#REF!,(FIND("Complex",#REF!,1)-6))</f>
        <v>#REF!</v>
      </c>
    </row>
    <row r="234" spans="1:31" x14ac:dyDescent="0.25">
      <c r="A234">
        <v>2932</v>
      </c>
      <c r="B234" t="s">
        <v>31</v>
      </c>
      <c r="C234">
        <v>83</v>
      </c>
      <c r="D234">
        <v>653</v>
      </c>
      <c r="E234">
        <v>2932</v>
      </c>
      <c r="F234">
        <v>2734201</v>
      </c>
      <c r="G234">
        <v>2822400</v>
      </c>
      <c r="H234">
        <f t="shared" si="6"/>
        <v>62.000022675736965</v>
      </c>
      <c r="I234">
        <f t="shared" si="7"/>
        <v>64</v>
      </c>
      <c r="J234" t="s">
        <v>29</v>
      </c>
      <c r="K234">
        <v>6</v>
      </c>
      <c r="L234" t="e">
        <f t="array" ref="L234">VLOOKUP(J234:$J$3871&amp;K234:$K$3871,CHOOSE({1,2},#REF!&amp;#REF!,#REF!),2,0)</f>
        <v>#N/A</v>
      </c>
      <c r="M234">
        <v>-15</v>
      </c>
      <c r="N234">
        <v>0</v>
      </c>
      <c r="O234" t="s">
        <v>7</v>
      </c>
      <c r="P234">
        <v>1</v>
      </c>
      <c r="Q234">
        <v>1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1</v>
      </c>
      <c r="Y234">
        <v>0</v>
      </c>
      <c r="Z234">
        <v>0</v>
      </c>
      <c r="AA234" t="s">
        <v>2773</v>
      </c>
      <c r="AB234" t="s">
        <v>1669</v>
      </c>
      <c r="AC234" t="s">
        <v>2773</v>
      </c>
      <c r="AD234" t="e">
        <f>VLOOKUP(AB234,#REF!,2,FALSE)</f>
        <v>#REF!</v>
      </c>
      <c r="AE234" t="e">
        <f>RIGHT(#REF!,(FIND("Complex",#REF!,1)-8))</f>
        <v>#REF!</v>
      </c>
    </row>
    <row r="235" spans="1:31" x14ac:dyDescent="0.25">
      <c r="A235">
        <v>2311</v>
      </c>
      <c r="B235" t="s">
        <v>31</v>
      </c>
      <c r="C235">
        <v>83</v>
      </c>
      <c r="D235">
        <v>420</v>
      </c>
      <c r="E235">
        <v>2311</v>
      </c>
      <c r="F235">
        <v>2557801</v>
      </c>
      <c r="G235">
        <v>2646000</v>
      </c>
      <c r="H235">
        <f t="shared" si="6"/>
        <v>58.000022675736965</v>
      </c>
      <c r="I235">
        <f t="shared" si="7"/>
        <v>60</v>
      </c>
      <c r="J235" t="s">
        <v>29</v>
      </c>
      <c r="K235">
        <v>6</v>
      </c>
      <c r="L235" t="e">
        <f t="array" ref="L235">VLOOKUP(J235:$J$3871&amp;K235:$K$3871,CHOOSE({1,2},#REF!&amp;#REF!,#REF!),2,0)</f>
        <v>#N/A</v>
      </c>
      <c r="M235">
        <v>-15</v>
      </c>
      <c r="N235">
        <v>0</v>
      </c>
      <c r="O235" t="s">
        <v>7</v>
      </c>
      <c r="P235">
        <v>1</v>
      </c>
      <c r="Q235">
        <v>1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1</v>
      </c>
      <c r="Y235">
        <v>0</v>
      </c>
      <c r="Z235">
        <v>0</v>
      </c>
      <c r="AA235" t="s">
        <v>2787</v>
      </c>
      <c r="AB235" t="s">
        <v>1670</v>
      </c>
      <c r="AC235" t="s">
        <v>2787</v>
      </c>
      <c r="AD235" t="e">
        <f>VLOOKUP(AB235,#REF!,2,FALSE)</f>
        <v>#REF!</v>
      </c>
      <c r="AE235" t="e">
        <f>RIGHT(#REF!,(FIND("Complex",#REF!,1)-8))</f>
        <v>#REF!</v>
      </c>
    </row>
    <row r="236" spans="1:31" x14ac:dyDescent="0.25">
      <c r="A236">
        <v>2773</v>
      </c>
      <c r="B236" t="s">
        <v>31</v>
      </c>
      <c r="C236">
        <v>83</v>
      </c>
      <c r="D236">
        <v>592</v>
      </c>
      <c r="E236">
        <v>2773</v>
      </c>
      <c r="F236">
        <v>7056001</v>
      </c>
      <c r="G236">
        <v>7144200</v>
      </c>
      <c r="H236">
        <f t="shared" si="6"/>
        <v>160.00002267573697</v>
      </c>
      <c r="I236">
        <f t="shared" si="7"/>
        <v>162</v>
      </c>
      <c r="J236" t="s">
        <v>29</v>
      </c>
      <c r="K236">
        <v>6</v>
      </c>
      <c r="L236" t="e">
        <f t="array" ref="L236">VLOOKUP(J236:$J$3871&amp;K236:$K$3871,CHOOSE({1,2},#REF!&amp;#REF!,#REF!),2,0)</f>
        <v>#N/A</v>
      </c>
      <c r="M236">
        <v>-15</v>
      </c>
      <c r="N236">
        <v>0</v>
      </c>
      <c r="O236" t="s">
        <v>7</v>
      </c>
      <c r="P236">
        <v>1</v>
      </c>
      <c r="Q236">
        <v>1</v>
      </c>
      <c r="R236">
        <v>1</v>
      </c>
      <c r="S236">
        <v>0</v>
      </c>
      <c r="T236">
        <v>0</v>
      </c>
      <c r="U236">
        <v>1</v>
      </c>
      <c r="V236">
        <v>0</v>
      </c>
      <c r="W236">
        <v>1</v>
      </c>
      <c r="X236">
        <v>1</v>
      </c>
      <c r="Y236">
        <v>0</v>
      </c>
      <c r="Z236">
        <v>0</v>
      </c>
      <c r="AA236" t="s">
        <v>3192</v>
      </c>
      <c r="AB236" t="s">
        <v>1671</v>
      </c>
      <c r="AC236" t="s">
        <v>3192</v>
      </c>
      <c r="AD236" t="e">
        <f>VLOOKUP(AB236,#REF!,2,FALSE)</f>
        <v>#REF!</v>
      </c>
      <c r="AE236" t="e">
        <f>RIGHT(#REF!,(FIND("Complex",#REF!,1)-7))</f>
        <v>#REF!</v>
      </c>
    </row>
    <row r="237" spans="1:31" x14ac:dyDescent="0.25">
      <c r="A237">
        <v>831</v>
      </c>
      <c r="B237" t="s">
        <v>57</v>
      </c>
      <c r="C237">
        <v>84</v>
      </c>
      <c r="D237">
        <v>144</v>
      </c>
      <c r="E237">
        <v>831</v>
      </c>
      <c r="F237">
        <v>4321801</v>
      </c>
      <c r="G237">
        <v>4410000</v>
      </c>
      <c r="H237">
        <f t="shared" si="6"/>
        <v>98.000022675736957</v>
      </c>
      <c r="I237">
        <f t="shared" si="7"/>
        <v>100</v>
      </c>
      <c r="J237" t="s">
        <v>29</v>
      </c>
      <c r="K237">
        <v>6</v>
      </c>
      <c r="L237" t="e">
        <f t="array" ref="L237">VLOOKUP(J237:$J$3871&amp;K237:$K$3871,CHOOSE({1,2},#REF!&amp;#REF!,#REF!),2,0)</f>
        <v>#N/A</v>
      </c>
      <c r="M237">
        <v>-15</v>
      </c>
      <c r="N237">
        <v>0</v>
      </c>
      <c r="O237" t="s">
        <v>7</v>
      </c>
      <c r="P237">
        <v>1</v>
      </c>
      <c r="Q237">
        <v>0</v>
      </c>
      <c r="R237">
        <v>0</v>
      </c>
      <c r="S237">
        <v>0</v>
      </c>
      <c r="T237">
        <v>1</v>
      </c>
      <c r="U237">
        <v>1</v>
      </c>
      <c r="V237">
        <v>0</v>
      </c>
      <c r="W237">
        <v>1</v>
      </c>
      <c r="X237">
        <v>1</v>
      </c>
      <c r="Y237">
        <v>1</v>
      </c>
      <c r="Z237">
        <v>0</v>
      </c>
      <c r="AA237" t="s">
        <v>2615</v>
      </c>
      <c r="AB237" t="s">
        <v>1694</v>
      </c>
      <c r="AC237" t="s">
        <v>2615</v>
      </c>
      <c r="AD237" t="e">
        <f>VLOOKUP(AB237,#REF!,2,FALSE)</f>
        <v>#REF!</v>
      </c>
      <c r="AE237" t="e">
        <f>RIGHT(#REF!,(FIND("Complex",#REF!,1)-7))</f>
        <v>#REF!</v>
      </c>
    </row>
    <row r="238" spans="1:31" x14ac:dyDescent="0.25">
      <c r="A238">
        <v>2377</v>
      </c>
      <c r="B238" t="s">
        <v>57</v>
      </c>
      <c r="C238">
        <v>84</v>
      </c>
      <c r="D238">
        <v>443</v>
      </c>
      <c r="E238">
        <v>2377</v>
      </c>
      <c r="F238">
        <v>4233601</v>
      </c>
      <c r="G238">
        <v>4321800</v>
      </c>
      <c r="H238">
        <f t="shared" si="6"/>
        <v>96.000022675736957</v>
      </c>
      <c r="I238">
        <f t="shared" si="7"/>
        <v>98</v>
      </c>
      <c r="J238" t="s">
        <v>29</v>
      </c>
      <c r="K238">
        <v>6</v>
      </c>
      <c r="L238" t="e">
        <f t="array" ref="L238">VLOOKUP(J238:$J$3871&amp;K238:$K$3871,CHOOSE({1,2},#REF!&amp;#REF!,#REF!),2,0)</f>
        <v>#N/A</v>
      </c>
      <c r="M238">
        <v>-15</v>
      </c>
      <c r="N238">
        <v>0</v>
      </c>
      <c r="O238" t="s">
        <v>7</v>
      </c>
      <c r="P238">
        <v>1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0</v>
      </c>
      <c r="W238">
        <v>1</v>
      </c>
      <c r="X238">
        <v>1</v>
      </c>
      <c r="Y238">
        <v>1</v>
      </c>
      <c r="Z238">
        <v>0</v>
      </c>
      <c r="AA238" t="s">
        <v>2624</v>
      </c>
      <c r="AB238" t="s">
        <v>1695</v>
      </c>
      <c r="AC238" t="s">
        <v>2624</v>
      </c>
      <c r="AD238" t="e">
        <f>VLOOKUP(AB238,#REF!,2,FALSE)</f>
        <v>#REF!</v>
      </c>
      <c r="AE238" t="e">
        <f>RIGHT(#REF!,(FIND("Complex",#REF!,1)-8))</f>
        <v>#REF!</v>
      </c>
    </row>
    <row r="239" spans="1:31" x14ac:dyDescent="0.25">
      <c r="A239">
        <v>3539</v>
      </c>
      <c r="B239" t="s">
        <v>57</v>
      </c>
      <c r="C239">
        <v>84</v>
      </c>
      <c r="D239">
        <v>935</v>
      </c>
      <c r="E239">
        <v>3539</v>
      </c>
      <c r="F239">
        <v>4057201</v>
      </c>
      <c r="G239">
        <v>4145400</v>
      </c>
      <c r="H239">
        <f t="shared" si="6"/>
        <v>92.000022675736957</v>
      </c>
      <c r="I239">
        <f t="shared" si="7"/>
        <v>94</v>
      </c>
      <c r="J239" t="s">
        <v>29</v>
      </c>
      <c r="K239">
        <v>6</v>
      </c>
      <c r="L239" t="e">
        <f t="array" ref="L239">VLOOKUP(J239:$J$3871&amp;K239:$K$3871,CHOOSE({1,2},#REF!&amp;#REF!,#REF!),2,0)</f>
        <v>#N/A</v>
      </c>
      <c r="M239">
        <v>-15</v>
      </c>
      <c r="N239">
        <v>0</v>
      </c>
      <c r="O239" t="s">
        <v>7</v>
      </c>
      <c r="P239">
        <v>1</v>
      </c>
      <c r="Q239">
        <v>0</v>
      </c>
      <c r="R239">
        <v>0</v>
      </c>
      <c r="S239">
        <v>0</v>
      </c>
      <c r="T239">
        <v>1</v>
      </c>
      <c r="U239">
        <v>1</v>
      </c>
      <c r="V239">
        <v>0</v>
      </c>
      <c r="W239">
        <v>1</v>
      </c>
      <c r="X239">
        <v>1</v>
      </c>
      <c r="Y239">
        <v>1</v>
      </c>
      <c r="Z239">
        <v>0</v>
      </c>
      <c r="AA239" t="s">
        <v>2643</v>
      </c>
      <c r="AB239" t="s">
        <v>1696</v>
      </c>
      <c r="AC239" t="s">
        <v>2643</v>
      </c>
      <c r="AD239" t="e">
        <f>VLOOKUP(AB239,#REF!,2,FALSE)</f>
        <v>#REF!</v>
      </c>
      <c r="AE239" t="e">
        <f>RIGHT(#REF!,(FIND("Complex",#REF!,1)-8))</f>
        <v>#REF!</v>
      </c>
    </row>
    <row r="240" spans="1:31" x14ac:dyDescent="0.25">
      <c r="A240">
        <v>2904</v>
      </c>
      <c r="B240" t="s">
        <v>57</v>
      </c>
      <c r="C240">
        <v>84</v>
      </c>
      <c r="D240">
        <v>638</v>
      </c>
      <c r="E240">
        <v>2904</v>
      </c>
      <c r="F240">
        <v>3792601</v>
      </c>
      <c r="G240">
        <v>3880800</v>
      </c>
      <c r="H240">
        <f t="shared" si="6"/>
        <v>86.000022675736957</v>
      </c>
      <c r="I240">
        <f t="shared" si="7"/>
        <v>88</v>
      </c>
      <c r="J240" t="s">
        <v>29</v>
      </c>
      <c r="K240">
        <v>6</v>
      </c>
      <c r="L240" t="e">
        <f t="array" ref="L240">VLOOKUP(J240:$J$3871&amp;K240:$K$3871,CHOOSE({1,2},#REF!&amp;#REF!,#REF!),2,0)</f>
        <v>#N/A</v>
      </c>
      <c r="M240">
        <v>-15</v>
      </c>
      <c r="N240">
        <v>0</v>
      </c>
      <c r="O240" t="s">
        <v>7</v>
      </c>
      <c r="P240">
        <v>1</v>
      </c>
      <c r="Q240">
        <v>0</v>
      </c>
      <c r="R240">
        <v>0</v>
      </c>
      <c r="S240">
        <v>0</v>
      </c>
      <c r="T240">
        <v>1</v>
      </c>
      <c r="U240">
        <v>1</v>
      </c>
      <c r="V240">
        <v>0</v>
      </c>
      <c r="W240">
        <v>1</v>
      </c>
      <c r="X240">
        <v>1</v>
      </c>
      <c r="Y240">
        <v>1</v>
      </c>
      <c r="Z240">
        <v>0</v>
      </c>
      <c r="AA240" t="s">
        <v>2668</v>
      </c>
      <c r="AB240" t="s">
        <v>1697</v>
      </c>
      <c r="AC240" t="s">
        <v>2668</v>
      </c>
      <c r="AD240" t="e">
        <f>VLOOKUP(AB240,#REF!,2,FALSE)</f>
        <v>#REF!</v>
      </c>
      <c r="AE240" t="e">
        <f>RIGHT(#REF!,(FIND("Complex",#REF!,1)-8))</f>
        <v>#REF!</v>
      </c>
    </row>
    <row r="241" spans="1:31" x14ac:dyDescent="0.25">
      <c r="A241">
        <v>3668</v>
      </c>
      <c r="B241" t="s">
        <v>57</v>
      </c>
      <c r="C241">
        <v>84</v>
      </c>
      <c r="D241">
        <v>985</v>
      </c>
      <c r="E241">
        <v>3668</v>
      </c>
      <c r="F241">
        <v>3704401</v>
      </c>
      <c r="G241">
        <v>3792600</v>
      </c>
      <c r="H241">
        <f t="shared" si="6"/>
        <v>84.000022675736957</v>
      </c>
      <c r="I241">
        <f t="shared" si="7"/>
        <v>86</v>
      </c>
      <c r="J241" t="s">
        <v>29</v>
      </c>
      <c r="K241">
        <v>6</v>
      </c>
      <c r="L241" t="e">
        <f t="array" ref="L241">VLOOKUP(J241:$J$3871&amp;K241:$K$3871,CHOOSE({1,2},#REF!&amp;#REF!,#REF!),2,0)</f>
        <v>#N/A</v>
      </c>
      <c r="M241">
        <v>-15</v>
      </c>
      <c r="N241">
        <v>0</v>
      </c>
      <c r="O241" t="s">
        <v>7</v>
      </c>
      <c r="P241">
        <v>1</v>
      </c>
      <c r="Q241">
        <v>0</v>
      </c>
      <c r="R241">
        <v>0</v>
      </c>
      <c r="S241">
        <v>0</v>
      </c>
      <c r="T241">
        <v>1</v>
      </c>
      <c r="U241">
        <v>1</v>
      </c>
      <c r="V241">
        <v>0</v>
      </c>
      <c r="W241">
        <v>1</v>
      </c>
      <c r="X241">
        <v>1</v>
      </c>
      <c r="Y241">
        <v>1</v>
      </c>
      <c r="Z241">
        <v>0</v>
      </c>
      <c r="AA241" t="s">
        <v>2676</v>
      </c>
      <c r="AB241" t="s">
        <v>1698</v>
      </c>
      <c r="AC241" t="s">
        <v>2676</v>
      </c>
      <c r="AD241" t="e">
        <f>VLOOKUP(AB241,#REF!,2,FALSE)</f>
        <v>#REF!</v>
      </c>
      <c r="AE241" t="e">
        <f>RIGHT(#REF!,(FIND("Complex",#REF!,1)-8))</f>
        <v>#REF!</v>
      </c>
    </row>
    <row r="242" spans="1:31" x14ac:dyDescent="0.25">
      <c r="A242">
        <v>1279</v>
      </c>
      <c r="B242" t="s">
        <v>57</v>
      </c>
      <c r="C242">
        <v>84</v>
      </c>
      <c r="D242">
        <v>221</v>
      </c>
      <c r="E242">
        <v>1279</v>
      </c>
      <c r="F242">
        <v>3616201</v>
      </c>
      <c r="G242">
        <v>3704400</v>
      </c>
      <c r="H242">
        <f t="shared" si="6"/>
        <v>82.000022675736957</v>
      </c>
      <c r="I242">
        <f t="shared" si="7"/>
        <v>84</v>
      </c>
      <c r="J242" t="s">
        <v>29</v>
      </c>
      <c r="K242">
        <v>6</v>
      </c>
      <c r="L242" t="e">
        <f t="array" ref="L242">VLOOKUP(J242:$J$3871&amp;K242:$K$3871,CHOOSE({1,2},#REF!&amp;#REF!,#REF!),2,0)</f>
        <v>#N/A</v>
      </c>
      <c r="M242">
        <v>-15</v>
      </c>
      <c r="N242">
        <v>0</v>
      </c>
      <c r="O242" t="s">
        <v>7</v>
      </c>
      <c r="P242">
        <v>1</v>
      </c>
      <c r="Q242">
        <v>0</v>
      </c>
      <c r="R242">
        <v>0</v>
      </c>
      <c r="S242">
        <v>0</v>
      </c>
      <c r="T242">
        <v>1</v>
      </c>
      <c r="U242">
        <v>1</v>
      </c>
      <c r="V242">
        <v>0</v>
      </c>
      <c r="W242">
        <v>1</v>
      </c>
      <c r="X242">
        <v>1</v>
      </c>
      <c r="Y242">
        <v>1</v>
      </c>
      <c r="Z242">
        <v>0</v>
      </c>
      <c r="AA242" t="s">
        <v>2686</v>
      </c>
      <c r="AB242" t="s">
        <v>1699</v>
      </c>
      <c r="AC242" t="s">
        <v>2686</v>
      </c>
      <c r="AD242" t="e">
        <f>VLOOKUP(AB242,#REF!,2,FALSE)</f>
        <v>#REF!</v>
      </c>
      <c r="AE242" t="e">
        <f>RIGHT(#REF!,(FIND("Complex",#REF!,1)-8))</f>
        <v>#REF!</v>
      </c>
    </row>
    <row r="243" spans="1:31" x14ac:dyDescent="0.25">
      <c r="A243">
        <v>3152</v>
      </c>
      <c r="B243" t="s">
        <v>57</v>
      </c>
      <c r="C243">
        <v>84</v>
      </c>
      <c r="D243">
        <v>747</v>
      </c>
      <c r="E243">
        <v>3152</v>
      </c>
      <c r="F243">
        <v>3351601</v>
      </c>
      <c r="G243">
        <v>3439800</v>
      </c>
      <c r="H243">
        <f t="shared" si="6"/>
        <v>76.000022675736957</v>
      </c>
      <c r="I243">
        <f t="shared" si="7"/>
        <v>78</v>
      </c>
      <c r="J243" t="s">
        <v>29</v>
      </c>
      <c r="K243">
        <v>6</v>
      </c>
      <c r="L243" t="e">
        <f t="array" ref="L243">VLOOKUP(J243:$J$3871&amp;K243:$K$3871,CHOOSE({1,2},#REF!&amp;#REF!,#REF!),2,0)</f>
        <v>#N/A</v>
      </c>
      <c r="M243">
        <v>-15</v>
      </c>
      <c r="N243">
        <v>0</v>
      </c>
      <c r="O243" t="s">
        <v>7</v>
      </c>
      <c r="P243">
        <v>1</v>
      </c>
      <c r="Q243">
        <v>0</v>
      </c>
      <c r="R243">
        <v>0</v>
      </c>
      <c r="S243">
        <v>0</v>
      </c>
      <c r="T243">
        <v>1</v>
      </c>
      <c r="U243">
        <v>1</v>
      </c>
      <c r="V243">
        <v>0</v>
      </c>
      <c r="W243">
        <v>1</v>
      </c>
      <c r="X243">
        <v>1</v>
      </c>
      <c r="Y243">
        <v>1</v>
      </c>
      <c r="Z243">
        <v>0</v>
      </c>
      <c r="AA243" t="s">
        <v>2715</v>
      </c>
      <c r="AB243" t="s">
        <v>1700</v>
      </c>
      <c r="AC243" t="s">
        <v>2715</v>
      </c>
      <c r="AD243" t="e">
        <f>VLOOKUP(AB243,#REF!,2,FALSE)</f>
        <v>#REF!</v>
      </c>
      <c r="AE243" t="e">
        <f>RIGHT(#REF!,(FIND("Complex",#REF!,1)-8))</f>
        <v>#REF!</v>
      </c>
    </row>
    <row r="244" spans="1:31" x14ac:dyDescent="0.25">
      <c r="A244">
        <v>2777</v>
      </c>
      <c r="B244" t="s">
        <v>57</v>
      </c>
      <c r="C244">
        <v>84</v>
      </c>
      <c r="D244">
        <v>594</v>
      </c>
      <c r="E244">
        <v>2777</v>
      </c>
      <c r="F244">
        <v>3087001</v>
      </c>
      <c r="G244">
        <v>3175200</v>
      </c>
      <c r="H244">
        <f t="shared" si="6"/>
        <v>70.000022675736957</v>
      </c>
      <c r="I244">
        <f t="shared" si="7"/>
        <v>72</v>
      </c>
      <c r="J244" t="s">
        <v>29</v>
      </c>
      <c r="K244">
        <v>6</v>
      </c>
      <c r="L244" t="e">
        <f t="array" ref="L244">VLOOKUP(J244:$J$3871&amp;K244:$K$3871,CHOOSE({1,2},#REF!&amp;#REF!,#REF!),2,0)</f>
        <v>#N/A</v>
      </c>
      <c r="M244">
        <v>-15</v>
      </c>
      <c r="N244">
        <v>0</v>
      </c>
      <c r="O244" t="s">
        <v>7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1</v>
      </c>
      <c r="V244">
        <v>0</v>
      </c>
      <c r="W244">
        <v>1</v>
      </c>
      <c r="X244">
        <v>1</v>
      </c>
      <c r="Y244">
        <v>1</v>
      </c>
      <c r="Z244">
        <v>0</v>
      </c>
      <c r="AA244" t="s">
        <v>2737</v>
      </c>
      <c r="AB244" t="s">
        <v>6172</v>
      </c>
      <c r="AC244" t="s">
        <v>2737</v>
      </c>
      <c r="AD244" t="e">
        <f>VLOOKUP(AB244,#REF!,2,FALSE)</f>
        <v>#REF!</v>
      </c>
      <c r="AE244" t="e">
        <f>RIGHT(#REF!,(FIND("Complex",#REF!,1)-8))</f>
        <v>#REF!</v>
      </c>
    </row>
    <row r="245" spans="1:31" x14ac:dyDescent="0.25">
      <c r="A245">
        <v>3280</v>
      </c>
      <c r="B245" t="s">
        <v>57</v>
      </c>
      <c r="C245">
        <v>84</v>
      </c>
      <c r="D245">
        <v>820</v>
      </c>
      <c r="E245">
        <v>3280</v>
      </c>
      <c r="F245">
        <v>2998801</v>
      </c>
      <c r="G245">
        <v>3087000</v>
      </c>
      <c r="H245">
        <f t="shared" si="6"/>
        <v>68.000022675736957</v>
      </c>
      <c r="I245">
        <f t="shared" si="7"/>
        <v>70</v>
      </c>
      <c r="J245" t="s">
        <v>29</v>
      </c>
      <c r="K245">
        <v>6</v>
      </c>
      <c r="L245" t="e">
        <f t="array" ref="L245">VLOOKUP(J245:$J$3871&amp;K245:$K$3871,CHOOSE({1,2},#REF!&amp;#REF!,#REF!),2,0)</f>
        <v>#N/A</v>
      </c>
      <c r="M245">
        <v>-15</v>
      </c>
      <c r="N245">
        <v>0</v>
      </c>
      <c r="O245" t="s">
        <v>7</v>
      </c>
      <c r="P245">
        <v>1</v>
      </c>
      <c r="Q245">
        <v>0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1</v>
      </c>
      <c r="X245">
        <v>1</v>
      </c>
      <c r="Y245">
        <v>1</v>
      </c>
      <c r="Z245">
        <v>0</v>
      </c>
      <c r="AA245" t="s">
        <v>2745</v>
      </c>
      <c r="AB245" t="s">
        <v>6175</v>
      </c>
      <c r="AC245" t="s">
        <v>2745</v>
      </c>
      <c r="AD245" t="e">
        <f>VLOOKUP(AB245,#REF!,2,FALSE)</f>
        <v>#REF!</v>
      </c>
      <c r="AE245" t="e">
        <f>RIGHT(#REF!,(FIND("Complex",#REF!,1)-8))</f>
        <v>#REF!</v>
      </c>
    </row>
    <row r="246" spans="1:31" x14ac:dyDescent="0.25">
      <c r="A246">
        <v>2188</v>
      </c>
      <c r="B246" t="s">
        <v>57</v>
      </c>
      <c r="C246">
        <v>84</v>
      </c>
      <c r="D246">
        <v>399</v>
      </c>
      <c r="E246">
        <v>2188</v>
      </c>
      <c r="F246">
        <v>2205001</v>
      </c>
      <c r="G246">
        <v>2293200</v>
      </c>
      <c r="H246">
        <f t="shared" si="6"/>
        <v>50.000022675736965</v>
      </c>
      <c r="I246">
        <f t="shared" si="7"/>
        <v>52</v>
      </c>
      <c r="J246" t="s">
        <v>29</v>
      </c>
      <c r="K246">
        <v>6</v>
      </c>
      <c r="L246" t="e">
        <f t="array" ref="L246">VLOOKUP(J246:$J$3871&amp;K246:$K$3871,CHOOSE({1,2},#REF!&amp;#REF!,#REF!),2,0)</f>
        <v>#N/A</v>
      </c>
      <c r="M246">
        <v>-15</v>
      </c>
      <c r="N246">
        <v>0</v>
      </c>
      <c r="O246" t="s">
        <v>7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1</v>
      </c>
      <c r="V246">
        <v>0</v>
      </c>
      <c r="W246">
        <v>1</v>
      </c>
      <c r="X246">
        <v>1</v>
      </c>
      <c r="Y246">
        <v>1</v>
      </c>
      <c r="Z246">
        <v>0</v>
      </c>
      <c r="AA246" t="s">
        <v>2803</v>
      </c>
      <c r="AB246" t="s">
        <v>1701</v>
      </c>
      <c r="AC246" t="s">
        <v>2803</v>
      </c>
      <c r="AD246" t="e">
        <f>VLOOKUP(AB246,#REF!,2,FALSE)</f>
        <v>#REF!</v>
      </c>
      <c r="AE246" t="e">
        <f>RIGHT(#REF!,(FIND("Complex",#REF!,1)-8))</f>
        <v>#REF!</v>
      </c>
    </row>
    <row r="247" spans="1:31" x14ac:dyDescent="0.25">
      <c r="A247">
        <v>2987</v>
      </c>
      <c r="B247" t="s">
        <v>57</v>
      </c>
      <c r="C247">
        <v>84</v>
      </c>
      <c r="D247">
        <v>680</v>
      </c>
      <c r="E247">
        <v>2987</v>
      </c>
      <c r="F247">
        <v>2116801</v>
      </c>
      <c r="G247">
        <v>2205000</v>
      </c>
      <c r="H247">
        <f t="shared" si="6"/>
        <v>48.000022675736965</v>
      </c>
      <c r="I247">
        <f t="shared" si="7"/>
        <v>50</v>
      </c>
      <c r="J247" t="s">
        <v>29</v>
      </c>
      <c r="K247">
        <v>6</v>
      </c>
      <c r="L247" t="e">
        <f t="array" ref="L247">VLOOKUP(J247:$J$3871&amp;K247:$K$3871,CHOOSE({1,2},#REF!&amp;#REF!,#REF!),2,0)</f>
        <v>#N/A</v>
      </c>
      <c r="M247">
        <v>-15</v>
      </c>
      <c r="N247">
        <v>0</v>
      </c>
      <c r="O247" t="s">
        <v>7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1</v>
      </c>
      <c r="V247">
        <v>0</v>
      </c>
      <c r="W247">
        <v>1</v>
      </c>
      <c r="X247">
        <v>1</v>
      </c>
      <c r="Y247">
        <v>1</v>
      </c>
      <c r="Z247">
        <v>0</v>
      </c>
      <c r="AA247" t="s">
        <v>2809</v>
      </c>
      <c r="AB247" t="s">
        <v>1702</v>
      </c>
      <c r="AC247" t="s">
        <v>2809</v>
      </c>
      <c r="AD247" t="e">
        <f>VLOOKUP(AB247,#REF!,2,FALSE)</f>
        <v>#REF!</v>
      </c>
      <c r="AE247" t="e">
        <f>RIGHT(#REF!,(FIND("Complex",#REF!,1)-8))</f>
        <v>#REF!</v>
      </c>
    </row>
    <row r="248" spans="1:31" x14ac:dyDescent="0.25">
      <c r="A248">
        <v>2792</v>
      </c>
      <c r="B248" t="s">
        <v>57</v>
      </c>
      <c r="C248">
        <v>84</v>
      </c>
      <c r="D248">
        <v>600</v>
      </c>
      <c r="E248">
        <v>2792</v>
      </c>
      <c r="F248">
        <v>1852201</v>
      </c>
      <c r="G248">
        <v>1940400</v>
      </c>
      <c r="H248">
        <f t="shared" si="6"/>
        <v>42.000022675736965</v>
      </c>
      <c r="I248">
        <f t="shared" si="7"/>
        <v>44</v>
      </c>
      <c r="J248" t="s">
        <v>29</v>
      </c>
      <c r="K248">
        <v>6</v>
      </c>
      <c r="L248" t="e">
        <f t="array" ref="L248">VLOOKUP(J248:$J$3871&amp;K248:$K$3871,CHOOSE({1,2},#REF!&amp;#REF!,#REF!),2,0)</f>
        <v>#N/A</v>
      </c>
      <c r="M248">
        <v>-15</v>
      </c>
      <c r="N248">
        <v>0</v>
      </c>
      <c r="O248" t="s">
        <v>7</v>
      </c>
      <c r="P248">
        <v>1</v>
      </c>
      <c r="Q248">
        <v>0</v>
      </c>
      <c r="R248">
        <v>0</v>
      </c>
      <c r="S248">
        <v>0</v>
      </c>
      <c r="T248">
        <v>1</v>
      </c>
      <c r="U248">
        <v>1</v>
      </c>
      <c r="V248">
        <v>0</v>
      </c>
      <c r="W248">
        <v>1</v>
      </c>
      <c r="X248">
        <v>1</v>
      </c>
      <c r="Y248">
        <v>1</v>
      </c>
      <c r="Z248">
        <v>0</v>
      </c>
      <c r="AA248" t="s">
        <v>2828</v>
      </c>
      <c r="AB248" t="s">
        <v>1703</v>
      </c>
      <c r="AC248" t="s">
        <v>2828</v>
      </c>
      <c r="AD248" t="e">
        <f>VLOOKUP(AB248,#REF!,2,FALSE)</f>
        <v>#REF!</v>
      </c>
      <c r="AE248" t="e">
        <f>RIGHT(#REF!,(FIND("Complex",#REF!,1)-8))</f>
        <v>#REF!</v>
      </c>
    </row>
    <row r="249" spans="1:31" x14ac:dyDescent="0.25">
      <c r="A249">
        <v>186</v>
      </c>
      <c r="B249" t="s">
        <v>57</v>
      </c>
      <c r="C249">
        <v>84</v>
      </c>
      <c r="D249">
        <v>39</v>
      </c>
      <c r="E249">
        <v>186</v>
      </c>
      <c r="F249">
        <v>1675801</v>
      </c>
      <c r="G249">
        <v>1764000</v>
      </c>
      <c r="H249">
        <f t="shared" si="6"/>
        <v>38.000022675736965</v>
      </c>
      <c r="I249">
        <f t="shared" si="7"/>
        <v>40</v>
      </c>
      <c r="J249" t="s">
        <v>29</v>
      </c>
      <c r="K249">
        <v>6</v>
      </c>
      <c r="L249" t="e">
        <f t="array" ref="L249">VLOOKUP(J249:$J$3871&amp;K249:$K$3871,CHOOSE({1,2},#REF!&amp;#REF!,#REF!),2,0)</f>
        <v>#N/A</v>
      </c>
      <c r="M249">
        <v>-15</v>
      </c>
      <c r="N249">
        <v>0</v>
      </c>
      <c r="O249" t="s">
        <v>7</v>
      </c>
      <c r="P249">
        <v>1</v>
      </c>
      <c r="Q249">
        <v>0</v>
      </c>
      <c r="R249">
        <v>0</v>
      </c>
      <c r="S249">
        <v>0</v>
      </c>
      <c r="T249">
        <v>1</v>
      </c>
      <c r="U249">
        <v>1</v>
      </c>
      <c r="V249">
        <v>0</v>
      </c>
      <c r="W249">
        <v>1</v>
      </c>
      <c r="X249">
        <v>1</v>
      </c>
      <c r="Y249">
        <v>1</v>
      </c>
      <c r="Z249">
        <v>0</v>
      </c>
      <c r="AA249" t="s">
        <v>2841</v>
      </c>
      <c r="AB249" t="s">
        <v>1704</v>
      </c>
      <c r="AC249" t="s">
        <v>2841</v>
      </c>
      <c r="AD249" t="e">
        <f>VLOOKUP(AB249,#REF!,2,FALSE)</f>
        <v>#REF!</v>
      </c>
      <c r="AE249" t="e">
        <f>RIGHT(#REF!,(FIND("Complex",#REF!,1)-7))</f>
        <v>#REF!</v>
      </c>
    </row>
    <row r="250" spans="1:31" x14ac:dyDescent="0.25">
      <c r="A250">
        <v>3457</v>
      </c>
      <c r="B250" t="s">
        <v>57</v>
      </c>
      <c r="C250">
        <v>84</v>
      </c>
      <c r="D250">
        <v>904</v>
      </c>
      <c r="E250">
        <v>3457</v>
      </c>
      <c r="F250">
        <v>9172801</v>
      </c>
      <c r="G250">
        <v>9261000</v>
      </c>
      <c r="H250">
        <f t="shared" si="6"/>
        <v>208.00002267573697</v>
      </c>
      <c r="I250">
        <f t="shared" si="7"/>
        <v>210</v>
      </c>
      <c r="J250" t="s">
        <v>29</v>
      </c>
      <c r="K250">
        <v>6</v>
      </c>
      <c r="L250" t="e">
        <f t="array" ref="L250">VLOOKUP(J250:$J$3871&amp;K250:$K$3871,CHOOSE({1,2},#REF!&amp;#REF!,#REF!),2,0)</f>
        <v>#N/A</v>
      </c>
      <c r="M250">
        <v>-15</v>
      </c>
      <c r="N250">
        <v>0</v>
      </c>
      <c r="O250" t="s">
        <v>7</v>
      </c>
      <c r="P250">
        <v>1</v>
      </c>
      <c r="Q250">
        <v>0</v>
      </c>
      <c r="R250">
        <v>0</v>
      </c>
      <c r="S250">
        <v>1</v>
      </c>
      <c r="T250">
        <v>1</v>
      </c>
      <c r="U250">
        <v>0</v>
      </c>
      <c r="V250">
        <v>0</v>
      </c>
      <c r="W250">
        <v>1</v>
      </c>
      <c r="X250">
        <v>1</v>
      </c>
      <c r="Y250">
        <v>1</v>
      </c>
      <c r="Z250">
        <v>0</v>
      </c>
      <c r="AA250" t="s">
        <v>3032</v>
      </c>
      <c r="AB250" t="s">
        <v>1705</v>
      </c>
      <c r="AC250" t="s">
        <v>3032</v>
      </c>
      <c r="AD250" t="e">
        <f>VLOOKUP(AB250,#REF!,2,FALSE)</f>
        <v>#REF!</v>
      </c>
      <c r="AE250" t="e">
        <f>RIGHT(#REF!,(FIND("Complex",#REF!,1)-7))</f>
        <v>#REF!</v>
      </c>
    </row>
    <row r="251" spans="1:31" x14ac:dyDescent="0.25">
      <c r="A251">
        <v>430</v>
      </c>
      <c r="B251" t="s">
        <v>57</v>
      </c>
      <c r="C251">
        <v>84</v>
      </c>
      <c r="D251">
        <v>77</v>
      </c>
      <c r="E251">
        <v>430</v>
      </c>
      <c r="F251">
        <v>8996401</v>
      </c>
      <c r="G251">
        <v>9084600</v>
      </c>
      <c r="H251">
        <f t="shared" si="6"/>
        <v>204.00002267573697</v>
      </c>
      <c r="I251">
        <f t="shared" si="7"/>
        <v>206</v>
      </c>
      <c r="J251" t="s">
        <v>29</v>
      </c>
      <c r="K251">
        <v>6</v>
      </c>
      <c r="L251" t="e">
        <f t="array" ref="L251">VLOOKUP(J251:$J$3871&amp;K251:$K$3871,CHOOSE({1,2},#REF!&amp;#REF!,#REF!),2,0)</f>
        <v>#N/A</v>
      </c>
      <c r="M251">
        <v>-15</v>
      </c>
      <c r="N251">
        <v>0</v>
      </c>
      <c r="O251" t="s">
        <v>7</v>
      </c>
      <c r="P251">
        <v>1</v>
      </c>
      <c r="Q251">
        <v>0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1</v>
      </c>
      <c r="X251">
        <v>1</v>
      </c>
      <c r="Y251">
        <v>1</v>
      </c>
      <c r="Z251">
        <v>0</v>
      </c>
      <c r="AA251" t="s">
        <v>3041</v>
      </c>
      <c r="AB251" t="s">
        <v>1706</v>
      </c>
      <c r="AC251" t="s">
        <v>3041</v>
      </c>
      <c r="AD251" t="e">
        <f>VLOOKUP(AB251,#REF!,2,FALSE)</f>
        <v>#REF!</v>
      </c>
      <c r="AE251" t="e">
        <f>RIGHT(#REF!,(FIND("Complex",#REF!,1)-6))</f>
        <v>#REF!</v>
      </c>
    </row>
    <row r="252" spans="1:31" x14ac:dyDescent="0.25">
      <c r="A252">
        <v>3595</v>
      </c>
      <c r="B252" t="s">
        <v>57</v>
      </c>
      <c r="C252">
        <v>84</v>
      </c>
      <c r="D252">
        <v>958</v>
      </c>
      <c r="E252">
        <v>3595</v>
      </c>
      <c r="F252">
        <v>8908201</v>
      </c>
      <c r="G252">
        <v>8996400</v>
      </c>
      <c r="H252">
        <f t="shared" si="6"/>
        <v>202.00002267573697</v>
      </c>
      <c r="I252">
        <f t="shared" si="7"/>
        <v>204</v>
      </c>
      <c r="J252" t="s">
        <v>29</v>
      </c>
      <c r="K252">
        <v>6</v>
      </c>
      <c r="L252" t="e">
        <f t="array" ref="L252">VLOOKUP(J252:$J$3871&amp;K252:$K$3871,CHOOSE({1,2},#REF!&amp;#REF!,#REF!),2,0)</f>
        <v>#N/A</v>
      </c>
      <c r="M252">
        <v>-15</v>
      </c>
      <c r="N252">
        <v>0</v>
      </c>
      <c r="O252" t="s">
        <v>7</v>
      </c>
      <c r="P252">
        <v>1</v>
      </c>
      <c r="Q252">
        <v>0</v>
      </c>
      <c r="R252">
        <v>0</v>
      </c>
      <c r="S252">
        <v>1</v>
      </c>
      <c r="T252">
        <v>1</v>
      </c>
      <c r="U252">
        <v>0</v>
      </c>
      <c r="V252">
        <v>0</v>
      </c>
      <c r="W252">
        <v>1</v>
      </c>
      <c r="X252">
        <v>1</v>
      </c>
      <c r="Y252">
        <v>1</v>
      </c>
      <c r="Z252">
        <v>0</v>
      </c>
      <c r="AA252" t="s">
        <v>3046</v>
      </c>
      <c r="AB252" t="s">
        <v>1707</v>
      </c>
      <c r="AC252" t="s">
        <v>3046</v>
      </c>
      <c r="AD252" t="e">
        <f>VLOOKUP(AB252,#REF!,2,FALSE)</f>
        <v>#REF!</v>
      </c>
      <c r="AE252" t="e">
        <f>RIGHT(#REF!,(FIND("Complex",#REF!,1)-7))</f>
        <v>#REF!</v>
      </c>
    </row>
    <row r="253" spans="1:31" x14ac:dyDescent="0.25">
      <c r="A253">
        <v>2447</v>
      </c>
      <c r="B253" t="s">
        <v>57</v>
      </c>
      <c r="C253">
        <v>84</v>
      </c>
      <c r="D253">
        <v>467</v>
      </c>
      <c r="E253">
        <v>2447</v>
      </c>
      <c r="F253">
        <v>8643601</v>
      </c>
      <c r="G253">
        <v>8731800</v>
      </c>
      <c r="H253">
        <f t="shared" si="6"/>
        <v>196.00002267573697</v>
      </c>
      <c r="I253">
        <f t="shared" si="7"/>
        <v>198</v>
      </c>
      <c r="J253" t="s">
        <v>29</v>
      </c>
      <c r="K253">
        <v>6</v>
      </c>
      <c r="L253" t="e">
        <f t="array" ref="L253">VLOOKUP(J253:$J$3871&amp;K253:$K$3871,CHOOSE({1,2},#REF!&amp;#REF!,#REF!),2,0)</f>
        <v>#N/A</v>
      </c>
      <c r="M253">
        <v>-15</v>
      </c>
      <c r="N253">
        <v>0</v>
      </c>
      <c r="O253" t="s">
        <v>7</v>
      </c>
      <c r="P253">
        <v>1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0</v>
      </c>
      <c r="W253">
        <v>1</v>
      </c>
      <c r="X253">
        <v>1</v>
      </c>
      <c r="Y253">
        <v>1</v>
      </c>
      <c r="Z253">
        <v>0</v>
      </c>
      <c r="AA253" t="s">
        <v>3063</v>
      </c>
      <c r="AB253" t="s">
        <v>1708</v>
      </c>
      <c r="AC253" t="s">
        <v>3063</v>
      </c>
      <c r="AD253" t="e">
        <f>VLOOKUP(AB253,#REF!,2,FALSE)</f>
        <v>#REF!</v>
      </c>
      <c r="AE253" t="e">
        <f>RIGHT(#REF!,(FIND("Complex",#REF!,1)-7))</f>
        <v>#REF!</v>
      </c>
    </row>
    <row r="254" spans="1:31" x14ac:dyDescent="0.25">
      <c r="A254">
        <v>1740</v>
      </c>
      <c r="B254" t="s">
        <v>57</v>
      </c>
      <c r="C254">
        <v>84</v>
      </c>
      <c r="D254">
        <v>301</v>
      </c>
      <c r="E254">
        <v>1740</v>
      </c>
      <c r="F254">
        <v>8555401</v>
      </c>
      <c r="G254">
        <v>8643600</v>
      </c>
      <c r="H254">
        <f t="shared" si="6"/>
        <v>194.00002267573697</v>
      </c>
      <c r="I254">
        <f t="shared" si="7"/>
        <v>196</v>
      </c>
      <c r="J254" t="s">
        <v>29</v>
      </c>
      <c r="K254">
        <v>6</v>
      </c>
      <c r="L254" t="e">
        <f t="array" ref="L254">VLOOKUP(J254:$J$3871&amp;K254:$K$3871,CHOOSE({1,2},#REF!&amp;#REF!,#REF!),2,0)</f>
        <v>#N/A</v>
      </c>
      <c r="M254">
        <v>-15</v>
      </c>
      <c r="N254">
        <v>0</v>
      </c>
      <c r="O254" t="s">
        <v>7</v>
      </c>
      <c r="P254">
        <v>1</v>
      </c>
      <c r="Q254">
        <v>0</v>
      </c>
      <c r="R254">
        <v>0</v>
      </c>
      <c r="S254">
        <v>1</v>
      </c>
      <c r="T254">
        <v>1</v>
      </c>
      <c r="U254">
        <v>0</v>
      </c>
      <c r="V254">
        <v>0</v>
      </c>
      <c r="W254">
        <v>1</v>
      </c>
      <c r="X254">
        <v>1</v>
      </c>
      <c r="Y254">
        <v>1</v>
      </c>
      <c r="Z254">
        <v>0</v>
      </c>
      <c r="AA254" t="s">
        <v>3070</v>
      </c>
      <c r="AB254" t="s">
        <v>1709</v>
      </c>
      <c r="AC254" t="s">
        <v>3070</v>
      </c>
      <c r="AD254" t="e">
        <f>VLOOKUP(AB254,#REF!,2,FALSE)</f>
        <v>#REF!</v>
      </c>
      <c r="AE254" t="e">
        <f>RIGHT(#REF!,(FIND("Complex",#REF!,1)-7))</f>
        <v>#REF!</v>
      </c>
    </row>
    <row r="255" spans="1:31" x14ac:dyDescent="0.25">
      <c r="A255">
        <v>3223</v>
      </c>
      <c r="B255" t="s">
        <v>57</v>
      </c>
      <c r="C255">
        <v>84</v>
      </c>
      <c r="D255">
        <v>784</v>
      </c>
      <c r="E255">
        <v>3223</v>
      </c>
      <c r="F255">
        <v>8379001</v>
      </c>
      <c r="G255">
        <v>8467200</v>
      </c>
      <c r="H255">
        <f t="shared" si="6"/>
        <v>190.00002267573697</v>
      </c>
      <c r="I255">
        <f t="shared" si="7"/>
        <v>192</v>
      </c>
      <c r="J255" t="s">
        <v>29</v>
      </c>
      <c r="K255">
        <v>6</v>
      </c>
      <c r="L255" t="e">
        <f t="array" ref="L255">VLOOKUP(J255:$J$3871&amp;K255:$K$3871,CHOOSE({1,2},#REF!&amp;#REF!,#REF!),2,0)</f>
        <v>#N/A</v>
      </c>
      <c r="M255">
        <v>-15</v>
      </c>
      <c r="N255">
        <v>0</v>
      </c>
      <c r="O255" t="s">
        <v>7</v>
      </c>
      <c r="P255">
        <v>1</v>
      </c>
      <c r="Q255">
        <v>0</v>
      </c>
      <c r="R255">
        <v>0</v>
      </c>
      <c r="S255">
        <v>1</v>
      </c>
      <c r="T255">
        <v>1</v>
      </c>
      <c r="U255">
        <v>0</v>
      </c>
      <c r="V255">
        <v>0</v>
      </c>
      <c r="W255">
        <v>1</v>
      </c>
      <c r="X255">
        <v>1</v>
      </c>
      <c r="Y255">
        <v>1</v>
      </c>
      <c r="Z255">
        <v>0</v>
      </c>
      <c r="AA255" t="s">
        <v>3085</v>
      </c>
      <c r="AB255" t="s">
        <v>1710</v>
      </c>
      <c r="AC255" t="s">
        <v>3085</v>
      </c>
      <c r="AD255" t="e">
        <f>VLOOKUP(AB255,#REF!,2,FALSE)</f>
        <v>#REF!</v>
      </c>
      <c r="AE255" t="e">
        <f>RIGHT(#REF!,(FIND("Complex",#REF!,1)-7))</f>
        <v>#REF!</v>
      </c>
    </row>
    <row r="256" spans="1:31" x14ac:dyDescent="0.25">
      <c r="A256">
        <v>3173</v>
      </c>
      <c r="B256" t="s">
        <v>57</v>
      </c>
      <c r="C256">
        <v>84</v>
      </c>
      <c r="D256">
        <v>759</v>
      </c>
      <c r="E256">
        <v>3173</v>
      </c>
      <c r="F256">
        <v>8202601</v>
      </c>
      <c r="G256">
        <v>8290800</v>
      </c>
      <c r="H256">
        <f t="shared" si="6"/>
        <v>186.00002267573697</v>
      </c>
      <c r="I256">
        <f t="shared" si="7"/>
        <v>188</v>
      </c>
      <c r="J256" t="s">
        <v>29</v>
      </c>
      <c r="K256">
        <v>6</v>
      </c>
      <c r="L256" t="e">
        <f t="array" ref="L256">VLOOKUP(J256:$J$3871&amp;K256:$K$3871,CHOOSE({1,2},#REF!&amp;#REF!,#REF!),2,0)</f>
        <v>#N/A</v>
      </c>
      <c r="M256">
        <v>-15</v>
      </c>
      <c r="N256">
        <v>0</v>
      </c>
      <c r="O256" t="s">
        <v>7</v>
      </c>
      <c r="P256">
        <v>1</v>
      </c>
      <c r="Q256">
        <v>0</v>
      </c>
      <c r="R256">
        <v>0</v>
      </c>
      <c r="S256">
        <v>1</v>
      </c>
      <c r="T256">
        <v>1</v>
      </c>
      <c r="U256">
        <v>0</v>
      </c>
      <c r="V256">
        <v>0</v>
      </c>
      <c r="W256">
        <v>1</v>
      </c>
      <c r="X256">
        <v>1</v>
      </c>
      <c r="Y256">
        <v>1</v>
      </c>
      <c r="Z256">
        <v>0</v>
      </c>
      <c r="AA256" t="s">
        <v>3097</v>
      </c>
      <c r="AB256" t="s">
        <v>6263</v>
      </c>
      <c r="AC256" t="s">
        <v>3097</v>
      </c>
      <c r="AD256" t="e">
        <f>VLOOKUP(AB256,#REF!,2,FALSE)</f>
        <v>#REF!</v>
      </c>
      <c r="AE256" t="e">
        <f>RIGHT(#REF!,(FIND("Complex",#REF!,1)-7))</f>
        <v>#REF!</v>
      </c>
    </row>
    <row r="257" spans="1:31" x14ac:dyDescent="0.25">
      <c r="A257">
        <v>1977</v>
      </c>
      <c r="B257" t="s">
        <v>57</v>
      </c>
      <c r="C257">
        <v>84</v>
      </c>
      <c r="D257">
        <v>337</v>
      </c>
      <c r="E257">
        <v>1977</v>
      </c>
      <c r="F257">
        <v>8026201</v>
      </c>
      <c r="G257">
        <v>8114400</v>
      </c>
      <c r="H257">
        <f t="shared" si="6"/>
        <v>182.00002267573697</v>
      </c>
      <c r="I257">
        <f t="shared" si="7"/>
        <v>184</v>
      </c>
      <c r="J257" t="s">
        <v>29</v>
      </c>
      <c r="K257">
        <v>6</v>
      </c>
      <c r="L257" t="e">
        <f t="array" ref="L257">VLOOKUP(J257:$J$3871&amp;K257:$K$3871,CHOOSE({1,2},#REF!&amp;#REF!,#REF!),2,0)</f>
        <v>#N/A</v>
      </c>
      <c r="M257">
        <v>-15</v>
      </c>
      <c r="N257">
        <v>0</v>
      </c>
      <c r="O257" t="s">
        <v>7</v>
      </c>
      <c r="P257">
        <v>1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0</v>
      </c>
      <c r="W257">
        <v>1</v>
      </c>
      <c r="X257">
        <v>1</v>
      </c>
      <c r="Y257">
        <v>1</v>
      </c>
      <c r="Z257">
        <v>0</v>
      </c>
      <c r="AA257" t="s">
        <v>3117</v>
      </c>
      <c r="AB257" t="s">
        <v>1711</v>
      </c>
      <c r="AC257" t="s">
        <v>3117</v>
      </c>
      <c r="AD257" t="e">
        <f>VLOOKUP(AB257,#REF!,2,FALSE)</f>
        <v>#REF!</v>
      </c>
      <c r="AE257" t="e">
        <f>RIGHT(#REF!,(FIND("Complex",#REF!,1)-7))</f>
        <v>#REF!</v>
      </c>
    </row>
    <row r="258" spans="1:31" x14ac:dyDescent="0.25">
      <c r="A258">
        <v>3086</v>
      </c>
      <c r="B258" t="s">
        <v>57</v>
      </c>
      <c r="C258">
        <v>84</v>
      </c>
      <c r="D258">
        <v>721</v>
      </c>
      <c r="E258">
        <v>3086</v>
      </c>
      <c r="F258">
        <v>7938001</v>
      </c>
      <c r="G258">
        <v>8026200</v>
      </c>
      <c r="H258">
        <f t="shared" ref="H258:H321" si="8">F258/44100</f>
        <v>180.00002267573697</v>
      </c>
      <c r="I258">
        <f t="shared" ref="I258:I321" si="9">G258/44100</f>
        <v>182</v>
      </c>
      <c r="J258" t="s">
        <v>29</v>
      </c>
      <c r="K258">
        <v>6</v>
      </c>
      <c r="L258" t="e">
        <f t="array" ref="L258">VLOOKUP(J258:$J$3871&amp;K258:$K$3871,CHOOSE({1,2},#REF!&amp;#REF!,#REF!),2,0)</f>
        <v>#N/A</v>
      </c>
      <c r="M258">
        <v>-15</v>
      </c>
      <c r="N258">
        <v>0</v>
      </c>
      <c r="O258" t="s">
        <v>7</v>
      </c>
      <c r="P258">
        <v>1</v>
      </c>
      <c r="Q258">
        <v>0</v>
      </c>
      <c r="R258">
        <v>0</v>
      </c>
      <c r="S258">
        <v>1</v>
      </c>
      <c r="T258">
        <v>1</v>
      </c>
      <c r="U258">
        <v>0</v>
      </c>
      <c r="V258">
        <v>0</v>
      </c>
      <c r="W258">
        <v>1</v>
      </c>
      <c r="X258">
        <v>1</v>
      </c>
      <c r="Y258">
        <v>1</v>
      </c>
      <c r="Z258">
        <v>0</v>
      </c>
      <c r="AA258" t="s">
        <v>3127</v>
      </c>
      <c r="AB258" t="s">
        <v>1712</v>
      </c>
      <c r="AC258" t="s">
        <v>3127</v>
      </c>
      <c r="AD258" t="e">
        <f>VLOOKUP(AB258,#REF!,2,FALSE)</f>
        <v>#REF!</v>
      </c>
      <c r="AE258" t="e">
        <f>RIGHT(#REF!,(FIND("Complex",#REF!,1)-7))</f>
        <v>#REF!</v>
      </c>
    </row>
    <row r="259" spans="1:31" x14ac:dyDescent="0.25">
      <c r="A259">
        <v>90</v>
      </c>
      <c r="B259" t="s">
        <v>77</v>
      </c>
      <c r="C259">
        <v>87</v>
      </c>
      <c r="D259">
        <v>16</v>
      </c>
      <c r="E259">
        <v>90</v>
      </c>
      <c r="F259">
        <v>4145401</v>
      </c>
      <c r="G259">
        <v>4233600</v>
      </c>
      <c r="H259">
        <f t="shared" si="8"/>
        <v>94.000022675736957</v>
      </c>
      <c r="I259">
        <f t="shared" si="9"/>
        <v>96</v>
      </c>
      <c r="J259" t="s">
        <v>29</v>
      </c>
      <c r="K259">
        <v>6</v>
      </c>
      <c r="L259" t="e">
        <f t="array" ref="L259">VLOOKUP(J259:$J$3871&amp;K259:$K$3871,CHOOSE({1,2},#REF!&amp;#REF!,#REF!),2,0)</f>
        <v>#N/A</v>
      </c>
      <c r="M259">
        <v>-15</v>
      </c>
      <c r="N259">
        <v>0</v>
      </c>
      <c r="O259" t="s">
        <v>7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1</v>
      </c>
      <c r="Z259">
        <v>0</v>
      </c>
      <c r="AA259" t="s">
        <v>2631</v>
      </c>
      <c r="AB259" t="s">
        <v>1770</v>
      </c>
      <c r="AC259" t="s">
        <v>2631</v>
      </c>
      <c r="AD259" t="e">
        <f>VLOOKUP(AB259,#REF!,2,FALSE)</f>
        <v>#REF!</v>
      </c>
      <c r="AE259" t="e">
        <f>RIGHT(#REF!,(FIND("Complex",#REF!,1)-6))</f>
        <v>#REF!</v>
      </c>
    </row>
    <row r="260" spans="1:31" x14ac:dyDescent="0.25">
      <c r="A260">
        <v>1882</v>
      </c>
      <c r="B260" t="s">
        <v>77</v>
      </c>
      <c r="C260">
        <v>87</v>
      </c>
      <c r="D260">
        <v>322</v>
      </c>
      <c r="E260">
        <v>1882</v>
      </c>
      <c r="F260">
        <v>12083401</v>
      </c>
      <c r="G260">
        <v>12171600</v>
      </c>
      <c r="H260">
        <f t="shared" si="8"/>
        <v>274.00002267573694</v>
      </c>
      <c r="I260">
        <f t="shared" si="9"/>
        <v>276</v>
      </c>
      <c r="J260" t="s">
        <v>29</v>
      </c>
      <c r="K260">
        <v>6</v>
      </c>
      <c r="L260" t="e">
        <f t="array" ref="L260">VLOOKUP(J260:$J$3871&amp;K260:$K$3871,CHOOSE({1,2},#REF!&amp;#REF!,#REF!),2,0)</f>
        <v>#N/A</v>
      </c>
      <c r="M260">
        <v>-15</v>
      </c>
      <c r="N260">
        <v>0</v>
      </c>
      <c r="O260" t="s">
        <v>7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1</v>
      </c>
      <c r="Z260">
        <v>0</v>
      </c>
      <c r="AA260" t="s">
        <v>2906</v>
      </c>
      <c r="AB260" t="s">
        <v>1771</v>
      </c>
      <c r="AC260" t="s">
        <v>2906</v>
      </c>
      <c r="AD260" t="e">
        <f>VLOOKUP(AB260,#REF!,2,FALSE)</f>
        <v>#REF!</v>
      </c>
      <c r="AE260" t="e">
        <f>RIGHT(#REF!,(FIND("Complex",#REF!,1)-7))</f>
        <v>#REF!</v>
      </c>
    </row>
    <row r="261" spans="1:31" x14ac:dyDescent="0.25">
      <c r="A261">
        <v>2373</v>
      </c>
      <c r="B261" t="s">
        <v>77</v>
      </c>
      <c r="C261">
        <v>87</v>
      </c>
      <c r="D261">
        <v>440</v>
      </c>
      <c r="E261">
        <v>2373</v>
      </c>
      <c r="F261">
        <v>11025001</v>
      </c>
      <c r="G261">
        <v>11113200</v>
      </c>
      <c r="H261">
        <f t="shared" si="8"/>
        <v>250.00002267573697</v>
      </c>
      <c r="I261">
        <f t="shared" si="9"/>
        <v>252</v>
      </c>
      <c r="J261" t="s">
        <v>29</v>
      </c>
      <c r="K261">
        <v>6</v>
      </c>
      <c r="L261" t="e">
        <f t="array" ref="L261">VLOOKUP(J261:$J$3871&amp;K261:$K$3871,CHOOSE({1,2},#REF!&amp;#REF!,#REF!),2,0)</f>
        <v>#N/A</v>
      </c>
      <c r="M261">
        <v>-15</v>
      </c>
      <c r="N261">
        <v>0</v>
      </c>
      <c r="O261" t="s">
        <v>7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0</v>
      </c>
      <c r="V261">
        <v>0</v>
      </c>
      <c r="W261">
        <v>1</v>
      </c>
      <c r="X261">
        <v>0</v>
      </c>
      <c r="Y261">
        <v>1</v>
      </c>
      <c r="Z261">
        <v>0</v>
      </c>
      <c r="AA261" t="s">
        <v>2934</v>
      </c>
      <c r="AB261" t="s">
        <v>1772</v>
      </c>
      <c r="AC261" t="s">
        <v>2934</v>
      </c>
      <c r="AD261" t="e">
        <f>VLOOKUP(AB261,#REF!,2,FALSE)</f>
        <v>#REF!</v>
      </c>
      <c r="AE261" t="e">
        <f>RIGHT(#REF!,(FIND("Complex",#REF!,1)-7))</f>
        <v>#REF!</v>
      </c>
    </row>
    <row r="262" spans="1:31" x14ac:dyDescent="0.25">
      <c r="A262">
        <v>2845</v>
      </c>
      <c r="B262" t="s">
        <v>77</v>
      </c>
      <c r="C262">
        <v>87</v>
      </c>
      <c r="D262">
        <v>617</v>
      </c>
      <c r="E262">
        <v>2845</v>
      </c>
      <c r="F262">
        <v>10848601</v>
      </c>
      <c r="G262">
        <v>10936800</v>
      </c>
      <c r="H262">
        <f t="shared" si="8"/>
        <v>246.00002267573697</v>
      </c>
      <c r="I262">
        <f t="shared" si="9"/>
        <v>248</v>
      </c>
      <c r="J262" t="s">
        <v>29</v>
      </c>
      <c r="K262">
        <v>6</v>
      </c>
      <c r="L262" t="e">
        <f t="array" ref="L262">VLOOKUP(J262:$J$3871&amp;K262:$K$3871,CHOOSE({1,2},#REF!&amp;#REF!,#REF!),2,0)</f>
        <v>#N/A</v>
      </c>
      <c r="M262">
        <v>-15</v>
      </c>
      <c r="N262">
        <v>0</v>
      </c>
      <c r="O262" t="s">
        <v>7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1</v>
      </c>
      <c r="Z262">
        <v>0</v>
      </c>
      <c r="AA262" t="s">
        <v>2945</v>
      </c>
      <c r="AB262" t="s">
        <v>6232</v>
      </c>
      <c r="AC262" t="s">
        <v>2945</v>
      </c>
      <c r="AD262" t="e">
        <f>VLOOKUP(AB262,#REF!,2,FALSE)</f>
        <v>#REF!</v>
      </c>
      <c r="AE262" t="e">
        <f>RIGHT(#REF!,(FIND("Complex",#REF!,1)-7))</f>
        <v>#REF!</v>
      </c>
    </row>
    <row r="263" spans="1:31" x14ac:dyDescent="0.25">
      <c r="A263">
        <v>3262</v>
      </c>
      <c r="B263" t="s">
        <v>77</v>
      </c>
      <c r="C263">
        <v>87</v>
      </c>
      <c r="D263">
        <v>807</v>
      </c>
      <c r="E263">
        <v>3262</v>
      </c>
      <c r="F263">
        <v>10495801</v>
      </c>
      <c r="G263">
        <v>10584000</v>
      </c>
      <c r="H263">
        <f t="shared" si="8"/>
        <v>238.00002267573697</v>
      </c>
      <c r="I263">
        <f t="shared" si="9"/>
        <v>240</v>
      </c>
      <c r="J263" t="s">
        <v>29</v>
      </c>
      <c r="K263">
        <v>6</v>
      </c>
      <c r="L263" t="e">
        <f t="array" ref="L263">VLOOKUP(J263:$J$3871&amp;K263:$K$3871,CHOOSE({1,2},#REF!&amp;#REF!,#REF!),2,0)</f>
        <v>#N/A</v>
      </c>
      <c r="M263">
        <v>-15</v>
      </c>
      <c r="N263">
        <v>0</v>
      </c>
      <c r="O263" t="s">
        <v>7</v>
      </c>
      <c r="P263">
        <v>1</v>
      </c>
      <c r="Q263">
        <v>1</v>
      </c>
      <c r="R263">
        <v>0</v>
      </c>
      <c r="S263">
        <v>1</v>
      </c>
      <c r="T263">
        <v>1</v>
      </c>
      <c r="U263">
        <v>0</v>
      </c>
      <c r="V263">
        <v>0</v>
      </c>
      <c r="W263">
        <v>1</v>
      </c>
      <c r="X263">
        <v>0</v>
      </c>
      <c r="Y263">
        <v>1</v>
      </c>
      <c r="Z263">
        <v>0</v>
      </c>
      <c r="AA263" t="s">
        <v>2962</v>
      </c>
      <c r="AB263" t="s">
        <v>1773</v>
      </c>
      <c r="AC263" t="s">
        <v>2962</v>
      </c>
      <c r="AD263" t="e">
        <f>VLOOKUP(AB263,#REF!,2,FALSE)</f>
        <v>#REF!</v>
      </c>
      <c r="AE263" t="e">
        <f>RIGHT(#REF!,(FIND("Complex",#REF!,1)-7))</f>
        <v>#REF!</v>
      </c>
    </row>
    <row r="264" spans="1:31" x14ac:dyDescent="0.25">
      <c r="A264">
        <v>2705</v>
      </c>
      <c r="B264" t="s">
        <v>77</v>
      </c>
      <c r="C264">
        <v>87</v>
      </c>
      <c r="D264">
        <v>562</v>
      </c>
      <c r="E264">
        <v>2705</v>
      </c>
      <c r="F264">
        <v>9349201</v>
      </c>
      <c r="G264">
        <v>9437400</v>
      </c>
      <c r="H264">
        <f t="shared" si="8"/>
        <v>212.00002267573697</v>
      </c>
      <c r="I264">
        <f t="shared" si="9"/>
        <v>214</v>
      </c>
      <c r="J264" t="s">
        <v>29</v>
      </c>
      <c r="K264">
        <v>6</v>
      </c>
      <c r="L264" t="e">
        <f t="array" ref="L264">VLOOKUP(J264:$J$3871&amp;K264:$K$3871,CHOOSE({1,2},#REF!&amp;#REF!,#REF!),2,0)</f>
        <v>#N/A</v>
      </c>
      <c r="M264">
        <v>-15</v>
      </c>
      <c r="N264">
        <v>0</v>
      </c>
      <c r="O264" t="s">
        <v>7</v>
      </c>
      <c r="P264">
        <v>1</v>
      </c>
      <c r="Q264">
        <v>1</v>
      </c>
      <c r="R264">
        <v>0</v>
      </c>
      <c r="S264">
        <v>1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0</v>
      </c>
      <c r="AA264" t="s">
        <v>3021</v>
      </c>
      <c r="AB264" t="s">
        <v>6247</v>
      </c>
      <c r="AC264" t="s">
        <v>3021</v>
      </c>
      <c r="AD264" t="e">
        <f>VLOOKUP(AB264,#REF!,2,FALSE)</f>
        <v>#REF!</v>
      </c>
      <c r="AE264" t="e">
        <f>RIGHT(#REF!,(FIND("Complex",#REF!,1)-7))</f>
        <v>#REF!</v>
      </c>
    </row>
    <row r="265" spans="1:31" x14ac:dyDescent="0.25">
      <c r="A265">
        <v>2622</v>
      </c>
      <c r="B265" t="s">
        <v>77</v>
      </c>
      <c r="C265">
        <v>87</v>
      </c>
      <c r="D265">
        <v>529</v>
      </c>
      <c r="E265">
        <v>2622</v>
      </c>
      <c r="F265">
        <v>8996401</v>
      </c>
      <c r="G265">
        <v>9084600</v>
      </c>
      <c r="H265">
        <f t="shared" si="8"/>
        <v>204.00002267573697</v>
      </c>
      <c r="I265">
        <f t="shared" si="9"/>
        <v>206</v>
      </c>
      <c r="J265" t="s">
        <v>29</v>
      </c>
      <c r="K265">
        <v>6</v>
      </c>
      <c r="L265" t="e">
        <f t="array" ref="L265">VLOOKUP(J265:$J$3871&amp;K265:$K$3871,CHOOSE({1,2},#REF!&amp;#REF!,#REF!),2,0)</f>
        <v>#N/A</v>
      </c>
      <c r="M265">
        <v>-15</v>
      </c>
      <c r="N265">
        <v>0</v>
      </c>
      <c r="O265" t="s">
        <v>7</v>
      </c>
      <c r="P265">
        <v>1</v>
      </c>
      <c r="Q265">
        <v>1</v>
      </c>
      <c r="R265">
        <v>0</v>
      </c>
      <c r="S265">
        <v>1</v>
      </c>
      <c r="T265">
        <v>1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0</v>
      </c>
      <c r="AA265" t="s">
        <v>3040</v>
      </c>
      <c r="AB265" t="s">
        <v>1774</v>
      </c>
      <c r="AC265" t="s">
        <v>3040</v>
      </c>
      <c r="AD265" t="e">
        <f>VLOOKUP(AB265,#REF!,2,FALSE)</f>
        <v>#REF!</v>
      </c>
      <c r="AE265" t="e">
        <f>RIGHT(#REF!,(FIND("Complex",#REF!,1)-7))</f>
        <v>#REF!</v>
      </c>
    </row>
    <row r="266" spans="1:31" x14ac:dyDescent="0.25">
      <c r="A266">
        <v>3255</v>
      </c>
      <c r="B266" t="s">
        <v>77</v>
      </c>
      <c r="C266">
        <v>87</v>
      </c>
      <c r="D266">
        <v>803</v>
      </c>
      <c r="E266">
        <v>3255</v>
      </c>
      <c r="F266">
        <v>8908201</v>
      </c>
      <c r="G266">
        <v>8996400</v>
      </c>
      <c r="H266">
        <f t="shared" si="8"/>
        <v>202.00002267573697</v>
      </c>
      <c r="I266">
        <f t="shared" si="9"/>
        <v>204</v>
      </c>
      <c r="J266" t="s">
        <v>29</v>
      </c>
      <c r="K266">
        <v>6</v>
      </c>
      <c r="L266" t="e">
        <f t="array" ref="L266">VLOOKUP(J266:$J$3871&amp;K266:$K$3871,CHOOSE({1,2},#REF!&amp;#REF!,#REF!),2,0)</f>
        <v>#N/A</v>
      </c>
      <c r="M266">
        <v>-15</v>
      </c>
      <c r="N266">
        <v>0</v>
      </c>
      <c r="O266" t="s">
        <v>7</v>
      </c>
      <c r="P266">
        <v>1</v>
      </c>
      <c r="Q266">
        <v>1</v>
      </c>
      <c r="R266">
        <v>0</v>
      </c>
      <c r="S266">
        <v>1</v>
      </c>
      <c r="T266">
        <v>1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0</v>
      </c>
      <c r="AA266" t="s">
        <v>3045</v>
      </c>
      <c r="AB266" t="s">
        <v>1775</v>
      </c>
      <c r="AC266" t="s">
        <v>3045</v>
      </c>
      <c r="AD266" t="e">
        <f>VLOOKUP(AB266,#REF!,2,FALSE)</f>
        <v>#REF!</v>
      </c>
      <c r="AE266" t="e">
        <f>RIGHT(#REF!,(FIND("Complex",#REF!,1)-7))</f>
        <v>#REF!</v>
      </c>
    </row>
    <row r="267" spans="1:31" x14ac:dyDescent="0.25">
      <c r="A267">
        <v>2929</v>
      </c>
      <c r="B267" t="s">
        <v>77</v>
      </c>
      <c r="C267">
        <v>87</v>
      </c>
      <c r="D267">
        <v>650</v>
      </c>
      <c r="E267">
        <v>2929</v>
      </c>
      <c r="F267">
        <v>6879601</v>
      </c>
      <c r="G267">
        <v>6967800</v>
      </c>
      <c r="H267">
        <f t="shared" si="8"/>
        <v>156.00002267573697</v>
      </c>
      <c r="I267">
        <f t="shared" si="9"/>
        <v>158</v>
      </c>
      <c r="J267" t="s">
        <v>29</v>
      </c>
      <c r="K267">
        <v>6</v>
      </c>
      <c r="L267" t="e">
        <f t="array" ref="L267">VLOOKUP(J267:$J$3871&amp;K267:$K$3871,CHOOSE({1,2},#REF!&amp;#REF!,#REF!),2,0)</f>
        <v>#N/A</v>
      </c>
      <c r="M267">
        <v>-15</v>
      </c>
      <c r="N267">
        <v>0</v>
      </c>
      <c r="O267" t="s">
        <v>7</v>
      </c>
      <c r="P267">
        <v>1</v>
      </c>
      <c r="Q267">
        <v>1</v>
      </c>
      <c r="R267">
        <v>0</v>
      </c>
      <c r="S267">
        <v>1</v>
      </c>
      <c r="T267">
        <v>1</v>
      </c>
      <c r="U267">
        <v>0</v>
      </c>
      <c r="V267">
        <v>0</v>
      </c>
      <c r="W267">
        <v>1</v>
      </c>
      <c r="X267">
        <v>0</v>
      </c>
      <c r="Y267">
        <v>1</v>
      </c>
      <c r="Z267">
        <v>0</v>
      </c>
      <c r="AA267" t="s">
        <v>3203</v>
      </c>
      <c r="AB267" t="s">
        <v>1776</v>
      </c>
      <c r="AC267" t="s">
        <v>3203</v>
      </c>
      <c r="AD267" t="e">
        <f>VLOOKUP(AB267,#REF!,2,FALSE)</f>
        <v>#REF!</v>
      </c>
      <c r="AE267" t="e">
        <f>RIGHT(#REF!,(FIND("Complex",#REF!,1)-7))</f>
        <v>#REF!</v>
      </c>
    </row>
    <row r="268" spans="1:31" x14ac:dyDescent="0.25">
      <c r="A268">
        <v>2577</v>
      </c>
      <c r="B268" t="s">
        <v>83</v>
      </c>
      <c r="C268">
        <v>97</v>
      </c>
      <c r="D268">
        <v>518</v>
      </c>
      <c r="E268">
        <v>2577</v>
      </c>
      <c r="F268">
        <v>2028601</v>
      </c>
      <c r="G268">
        <v>2116800</v>
      </c>
      <c r="H268">
        <f t="shared" si="8"/>
        <v>46.000022675736965</v>
      </c>
      <c r="I268">
        <f t="shared" si="9"/>
        <v>48</v>
      </c>
      <c r="J268" t="s">
        <v>29</v>
      </c>
      <c r="K268">
        <v>6</v>
      </c>
      <c r="L268" t="e">
        <f t="array" ref="L268">VLOOKUP(J268:$J$3871&amp;K268:$K$3871,CHOOSE({1,2},#REF!&amp;#REF!,#REF!),2,0)</f>
        <v>#N/A</v>
      </c>
      <c r="M268">
        <v>-15</v>
      </c>
      <c r="N268">
        <v>0</v>
      </c>
      <c r="O268" t="s">
        <v>7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1</v>
      </c>
      <c r="Y268">
        <v>0</v>
      </c>
      <c r="Z268">
        <v>0</v>
      </c>
      <c r="AA268" t="s">
        <v>2813</v>
      </c>
      <c r="AB268" t="s">
        <v>150</v>
      </c>
      <c r="AC268" t="s">
        <v>2813</v>
      </c>
      <c r="AD268" t="e">
        <f>VLOOKUP(AB268,#REF!,2,FALSE)</f>
        <v>#REF!</v>
      </c>
      <c r="AE268" t="e">
        <f>RIGHT(#REF!,(FIND("Complex",#REF!,1)-8))</f>
        <v>#REF!</v>
      </c>
    </row>
    <row r="269" spans="1:31" x14ac:dyDescent="0.25">
      <c r="A269">
        <v>2986</v>
      </c>
      <c r="B269" t="s">
        <v>83</v>
      </c>
      <c r="C269">
        <v>97</v>
      </c>
      <c r="D269">
        <v>679</v>
      </c>
      <c r="E269">
        <v>2986</v>
      </c>
      <c r="F269">
        <v>10143001</v>
      </c>
      <c r="G269">
        <v>10231200</v>
      </c>
      <c r="H269">
        <f t="shared" si="8"/>
        <v>230.00002267573697</v>
      </c>
      <c r="I269">
        <f t="shared" si="9"/>
        <v>232</v>
      </c>
      <c r="J269" t="s">
        <v>29</v>
      </c>
      <c r="K269">
        <v>6</v>
      </c>
      <c r="L269" t="e">
        <f t="array" ref="L269">VLOOKUP(J269:$J$3871&amp;K269:$K$3871,CHOOSE({1,2},#REF!&amp;#REF!,#REF!),2,0)</f>
        <v>#N/A</v>
      </c>
      <c r="M269">
        <v>-15</v>
      </c>
      <c r="N269">
        <v>0</v>
      </c>
      <c r="O269" t="s">
        <v>7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1</v>
      </c>
      <c r="Y269">
        <v>0</v>
      </c>
      <c r="Z269">
        <v>0</v>
      </c>
      <c r="AA269" t="s">
        <v>2977</v>
      </c>
      <c r="AB269" t="s">
        <v>6236</v>
      </c>
      <c r="AC269" t="s">
        <v>2977</v>
      </c>
      <c r="AD269" t="e">
        <f>VLOOKUP(AB269,#REF!,2,FALSE)</f>
        <v>#REF!</v>
      </c>
      <c r="AE269" t="e">
        <f>RIGHT(#REF!,(FIND("Complex",#REF!,1)-7))</f>
        <v>#REF!</v>
      </c>
    </row>
    <row r="270" spans="1:31" x14ac:dyDescent="0.25">
      <c r="A270">
        <v>150</v>
      </c>
      <c r="B270" t="s">
        <v>83</v>
      </c>
      <c r="C270">
        <v>97</v>
      </c>
      <c r="D270">
        <v>27</v>
      </c>
      <c r="E270">
        <v>150</v>
      </c>
      <c r="F270">
        <v>9349201</v>
      </c>
      <c r="G270">
        <v>9437400</v>
      </c>
      <c r="H270">
        <f t="shared" si="8"/>
        <v>212.00002267573697</v>
      </c>
      <c r="I270">
        <f t="shared" si="9"/>
        <v>214</v>
      </c>
      <c r="J270" t="s">
        <v>29</v>
      </c>
      <c r="K270">
        <v>6</v>
      </c>
      <c r="L270" t="e">
        <f t="array" ref="L270">VLOOKUP(J270:$J$3871&amp;K270:$K$3871,CHOOSE({1,2},#REF!&amp;#REF!,#REF!),2,0)</f>
        <v>#N/A</v>
      </c>
      <c r="M270">
        <v>-15</v>
      </c>
      <c r="N270">
        <v>0</v>
      </c>
      <c r="O270" t="s">
        <v>7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0</v>
      </c>
      <c r="AA270" t="s">
        <v>3020</v>
      </c>
      <c r="AB270" t="s">
        <v>6246</v>
      </c>
      <c r="AC270" t="s">
        <v>3020</v>
      </c>
      <c r="AD270" t="e">
        <f>VLOOKUP(AB270,#REF!,2,FALSE)</f>
        <v>#REF!</v>
      </c>
      <c r="AE270" t="e">
        <f>RIGHT(#REF!,(FIND("Complex",#REF!,1)-6))</f>
        <v>#REF!</v>
      </c>
    </row>
    <row r="271" spans="1:31" x14ac:dyDescent="0.25">
      <c r="A271">
        <v>3485</v>
      </c>
      <c r="B271" t="s">
        <v>83</v>
      </c>
      <c r="C271">
        <v>97</v>
      </c>
      <c r="D271">
        <v>915</v>
      </c>
      <c r="E271">
        <v>3485</v>
      </c>
      <c r="F271">
        <v>7849801</v>
      </c>
      <c r="G271">
        <v>7938000</v>
      </c>
      <c r="H271">
        <f t="shared" si="8"/>
        <v>178.00002267573697</v>
      </c>
      <c r="I271">
        <f t="shared" si="9"/>
        <v>180</v>
      </c>
      <c r="J271" t="s">
        <v>29</v>
      </c>
      <c r="K271">
        <v>6</v>
      </c>
      <c r="L271" t="e">
        <f t="array" ref="L271">VLOOKUP(J271:$J$3871&amp;K271:$K$3871,CHOOSE({1,2},#REF!&amp;#REF!,#REF!),2,0)</f>
        <v>#N/A</v>
      </c>
      <c r="M271">
        <v>-15</v>
      </c>
      <c r="N271">
        <v>0</v>
      </c>
      <c r="O271" t="s">
        <v>7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1</v>
      </c>
      <c r="X271">
        <v>1</v>
      </c>
      <c r="Y271">
        <v>0</v>
      </c>
      <c r="Z271">
        <v>0</v>
      </c>
      <c r="AA271" t="s">
        <v>3136</v>
      </c>
      <c r="AB271" t="s">
        <v>1857</v>
      </c>
      <c r="AC271" t="s">
        <v>3136</v>
      </c>
      <c r="AD271" t="e">
        <f>VLOOKUP(AB271,#REF!,2,FALSE)</f>
        <v>#REF!</v>
      </c>
      <c r="AE271" t="e">
        <f>RIGHT(#REF!,(FIND("Complex",#REF!,1)-7))</f>
        <v>#REF!</v>
      </c>
    </row>
    <row r="272" spans="1:31" x14ac:dyDescent="0.25">
      <c r="A272">
        <v>3363</v>
      </c>
      <c r="B272" t="s">
        <v>83</v>
      </c>
      <c r="C272">
        <v>97</v>
      </c>
      <c r="D272">
        <v>856</v>
      </c>
      <c r="E272">
        <v>3363</v>
      </c>
      <c r="F272">
        <v>7761601</v>
      </c>
      <c r="G272">
        <v>7849800</v>
      </c>
      <c r="H272">
        <f t="shared" si="8"/>
        <v>176.00002267573697</v>
      </c>
      <c r="I272">
        <f t="shared" si="9"/>
        <v>178</v>
      </c>
      <c r="J272" t="s">
        <v>29</v>
      </c>
      <c r="K272">
        <v>6</v>
      </c>
      <c r="L272" t="e">
        <f t="array" ref="L272">VLOOKUP(J272:$J$3871&amp;K272:$K$3871,CHOOSE({1,2},#REF!&amp;#REF!,#REF!),2,0)</f>
        <v>#N/A</v>
      </c>
      <c r="M272">
        <v>-15</v>
      </c>
      <c r="N272">
        <v>0</v>
      </c>
      <c r="O272" t="s">
        <v>7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</v>
      </c>
      <c r="W272">
        <v>1</v>
      </c>
      <c r="X272">
        <v>1</v>
      </c>
      <c r="Y272">
        <v>0</v>
      </c>
      <c r="Z272">
        <v>0</v>
      </c>
      <c r="AA272" t="s">
        <v>3144</v>
      </c>
      <c r="AB272" t="s">
        <v>1858</v>
      </c>
      <c r="AC272" t="s">
        <v>3144</v>
      </c>
      <c r="AD272" t="e">
        <f>VLOOKUP(AB272,#REF!,2,FALSE)</f>
        <v>#REF!</v>
      </c>
      <c r="AE272" t="e">
        <f>RIGHT(#REF!,(FIND("Complex",#REF!,1)-7))</f>
        <v>#REF!</v>
      </c>
    </row>
    <row r="273" spans="1:31" x14ac:dyDescent="0.25">
      <c r="A273">
        <v>2855</v>
      </c>
      <c r="B273" t="s">
        <v>83</v>
      </c>
      <c r="C273">
        <v>97</v>
      </c>
      <c r="D273">
        <v>620</v>
      </c>
      <c r="E273">
        <v>2855</v>
      </c>
      <c r="F273">
        <v>7232401</v>
      </c>
      <c r="G273">
        <v>7320600</v>
      </c>
      <c r="H273">
        <f t="shared" si="8"/>
        <v>164.00002267573697</v>
      </c>
      <c r="I273">
        <f t="shared" si="9"/>
        <v>166</v>
      </c>
      <c r="J273" t="s">
        <v>29</v>
      </c>
      <c r="K273">
        <v>6</v>
      </c>
      <c r="L273" t="e">
        <f t="array" ref="L273">VLOOKUP(J273:$J$3871&amp;K273:$K$3871,CHOOSE({1,2},#REF!&amp;#REF!,#REF!),2,0)</f>
        <v>#N/A</v>
      </c>
      <c r="M273">
        <v>-15</v>
      </c>
      <c r="N273">
        <v>0</v>
      </c>
      <c r="O273" t="s">
        <v>7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1</v>
      </c>
      <c r="X273">
        <v>1</v>
      </c>
      <c r="Y273">
        <v>0</v>
      </c>
      <c r="Z273">
        <v>0</v>
      </c>
      <c r="AA273" t="s">
        <v>3185</v>
      </c>
      <c r="AB273" t="s">
        <v>1859</v>
      </c>
      <c r="AC273" t="s">
        <v>3185</v>
      </c>
      <c r="AD273" t="e">
        <f>VLOOKUP(AB273,#REF!,2,FALSE)</f>
        <v>#REF!</v>
      </c>
      <c r="AE273" t="e">
        <f>RIGHT(#REF!,(FIND("Complex",#REF!,1)-7))</f>
        <v>#REF!</v>
      </c>
    </row>
    <row r="274" spans="1:31" x14ac:dyDescent="0.25">
      <c r="A274">
        <v>3245</v>
      </c>
      <c r="B274" t="s">
        <v>74</v>
      </c>
      <c r="C274">
        <v>101</v>
      </c>
      <c r="D274">
        <v>798</v>
      </c>
      <c r="E274">
        <v>3245</v>
      </c>
      <c r="F274">
        <v>10231201</v>
      </c>
      <c r="G274">
        <v>10319400</v>
      </c>
      <c r="H274">
        <f t="shared" si="8"/>
        <v>232.00002267573697</v>
      </c>
      <c r="I274">
        <f t="shared" si="9"/>
        <v>234</v>
      </c>
      <c r="J274" t="s">
        <v>29</v>
      </c>
      <c r="K274">
        <v>6</v>
      </c>
      <c r="L274" t="e">
        <f t="array" ref="L274">VLOOKUP(J274:$J$3871&amp;K274:$K$3871,CHOOSE({1,2},#REF!&amp;#REF!,#REF!),2,0)</f>
        <v>#N/A</v>
      </c>
      <c r="M274">
        <v>-15</v>
      </c>
      <c r="N274">
        <v>0</v>
      </c>
      <c r="O274" t="s">
        <v>7</v>
      </c>
      <c r="P274">
        <v>1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1</v>
      </c>
      <c r="X274">
        <v>1</v>
      </c>
      <c r="Y274">
        <v>1</v>
      </c>
      <c r="Z274">
        <v>0</v>
      </c>
      <c r="AA274" t="s">
        <v>2976</v>
      </c>
      <c r="AB274" t="s">
        <v>1913</v>
      </c>
      <c r="AC274" t="s">
        <v>2976</v>
      </c>
      <c r="AD274" t="e">
        <f>VLOOKUP(AB274,#REF!,2,FALSE)</f>
        <v>#REF!</v>
      </c>
      <c r="AE274" t="e">
        <f>RIGHT(#REF!,(FIND("Complex",#REF!,1)-6))</f>
        <v>#REF!</v>
      </c>
    </row>
    <row r="275" spans="1:31" x14ac:dyDescent="0.25">
      <c r="A275">
        <v>2743</v>
      </c>
      <c r="B275" t="s">
        <v>74</v>
      </c>
      <c r="C275">
        <v>101</v>
      </c>
      <c r="D275">
        <v>579</v>
      </c>
      <c r="E275">
        <v>2743</v>
      </c>
      <c r="F275">
        <v>9790201</v>
      </c>
      <c r="G275">
        <v>9878400</v>
      </c>
      <c r="H275">
        <f t="shared" si="8"/>
        <v>222.00002267573697</v>
      </c>
      <c r="I275">
        <f t="shared" si="9"/>
        <v>224</v>
      </c>
      <c r="J275" t="s">
        <v>29</v>
      </c>
      <c r="K275">
        <v>6</v>
      </c>
      <c r="L275" t="e">
        <f t="array" ref="L275">VLOOKUP(J275:$J$3871&amp;K275:$K$3871,CHOOSE({1,2},#REF!&amp;#REF!,#REF!),2,0)</f>
        <v>#N/A</v>
      </c>
      <c r="M275">
        <v>-15</v>
      </c>
      <c r="N275">
        <v>0</v>
      </c>
      <c r="O275" t="s">
        <v>7</v>
      </c>
      <c r="P275">
        <v>1</v>
      </c>
      <c r="Q275">
        <v>1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1</v>
      </c>
      <c r="X275">
        <v>1</v>
      </c>
      <c r="Y275">
        <v>1</v>
      </c>
      <c r="Z275">
        <v>0</v>
      </c>
      <c r="AA275" t="s">
        <v>3002</v>
      </c>
      <c r="AB275" t="s">
        <v>1914</v>
      </c>
      <c r="AC275" t="s">
        <v>3002</v>
      </c>
      <c r="AD275" t="e">
        <f>VLOOKUP(AB275,#REF!,2,FALSE)</f>
        <v>#REF!</v>
      </c>
      <c r="AE275" t="e">
        <f>RIGHT(#REF!,(FIND("Complex",#REF!,1)-6))</f>
        <v>#REF!</v>
      </c>
    </row>
    <row r="276" spans="1:31" x14ac:dyDescent="0.25">
      <c r="A276">
        <v>2031</v>
      </c>
      <c r="B276" t="s">
        <v>74</v>
      </c>
      <c r="C276">
        <v>101</v>
      </c>
      <c r="D276">
        <v>356</v>
      </c>
      <c r="E276">
        <v>2031</v>
      </c>
      <c r="F276">
        <v>9261001</v>
      </c>
      <c r="G276">
        <v>9349200</v>
      </c>
      <c r="H276">
        <f t="shared" si="8"/>
        <v>210.00002267573697</v>
      </c>
      <c r="I276">
        <f t="shared" si="9"/>
        <v>212</v>
      </c>
      <c r="J276" t="s">
        <v>29</v>
      </c>
      <c r="K276">
        <v>6</v>
      </c>
      <c r="L276" t="e">
        <f t="array" ref="L276">VLOOKUP(J276:$J$3871&amp;K276:$K$3871,CHOOSE({1,2},#REF!&amp;#REF!,#REF!),2,0)</f>
        <v>#N/A</v>
      </c>
      <c r="M276">
        <v>-15</v>
      </c>
      <c r="N276">
        <v>0</v>
      </c>
      <c r="O276" t="s">
        <v>7</v>
      </c>
      <c r="P276">
        <v>1</v>
      </c>
      <c r="Q276">
        <v>1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1</v>
      </c>
      <c r="Y276">
        <v>1</v>
      </c>
      <c r="Z276">
        <v>0</v>
      </c>
      <c r="AA276" t="s">
        <v>3031</v>
      </c>
      <c r="AB276" t="s">
        <v>1915</v>
      </c>
      <c r="AC276" t="s">
        <v>3031</v>
      </c>
      <c r="AD276" t="e">
        <f>VLOOKUP(AB276,#REF!,2,FALSE)</f>
        <v>#REF!</v>
      </c>
      <c r="AE276" t="e">
        <f>RIGHT(#REF!,(FIND("Complex",#REF!,1)-6))</f>
        <v>#REF!</v>
      </c>
    </row>
    <row r="277" spans="1:31" x14ac:dyDescent="0.25">
      <c r="A277">
        <v>3440</v>
      </c>
      <c r="B277" t="s">
        <v>74</v>
      </c>
      <c r="C277">
        <v>101</v>
      </c>
      <c r="D277">
        <v>892</v>
      </c>
      <c r="E277">
        <v>3440</v>
      </c>
      <c r="F277">
        <v>8555401</v>
      </c>
      <c r="G277">
        <v>8643600</v>
      </c>
      <c r="H277">
        <f t="shared" si="8"/>
        <v>194.00002267573697</v>
      </c>
      <c r="I277">
        <f t="shared" si="9"/>
        <v>196</v>
      </c>
      <c r="J277" t="s">
        <v>29</v>
      </c>
      <c r="K277">
        <v>6</v>
      </c>
      <c r="L277" t="e">
        <f t="array" ref="L277">VLOOKUP(J277:$J$3871&amp;K277:$K$3871,CHOOSE({1,2},#REF!&amp;#REF!,#REF!),2,0)</f>
        <v>#N/A</v>
      </c>
      <c r="M277">
        <v>-15</v>
      </c>
      <c r="N277">
        <v>0</v>
      </c>
      <c r="O277" t="s">
        <v>7</v>
      </c>
      <c r="P277">
        <v>1</v>
      </c>
      <c r="Q277">
        <v>1</v>
      </c>
      <c r="R277">
        <v>0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1</v>
      </c>
      <c r="Z277">
        <v>0</v>
      </c>
      <c r="AA277" t="s">
        <v>3074</v>
      </c>
      <c r="AB277" t="s">
        <v>1916</v>
      </c>
      <c r="AC277" t="s">
        <v>3074</v>
      </c>
      <c r="AD277" t="e">
        <f>VLOOKUP(AB277,#REF!,2,FALSE)</f>
        <v>#REF!</v>
      </c>
      <c r="AE277" t="e">
        <f>RIGHT(#REF!,(FIND("Complex",#REF!,1)-6))</f>
        <v>#REF!</v>
      </c>
    </row>
    <row r="278" spans="1:31" x14ac:dyDescent="0.25">
      <c r="A278">
        <v>642</v>
      </c>
      <c r="B278" t="s">
        <v>74</v>
      </c>
      <c r="C278">
        <v>101</v>
      </c>
      <c r="D278">
        <v>112</v>
      </c>
      <c r="E278">
        <v>642</v>
      </c>
      <c r="F278">
        <v>8467201</v>
      </c>
      <c r="G278">
        <v>8555400</v>
      </c>
      <c r="H278">
        <f t="shared" si="8"/>
        <v>192.00002267573697</v>
      </c>
      <c r="I278">
        <f t="shared" si="9"/>
        <v>194</v>
      </c>
      <c r="J278" t="s">
        <v>29</v>
      </c>
      <c r="K278">
        <v>6</v>
      </c>
      <c r="L278" t="e">
        <f t="array" ref="L278">VLOOKUP(J278:$J$3871&amp;K278:$K$3871,CHOOSE({1,2},#REF!&amp;#REF!,#REF!),2,0)</f>
        <v>#N/A</v>
      </c>
      <c r="M278">
        <v>-15</v>
      </c>
      <c r="N278">
        <v>0</v>
      </c>
      <c r="O278" t="s">
        <v>7</v>
      </c>
      <c r="P278">
        <v>1</v>
      </c>
      <c r="Q278">
        <v>1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1</v>
      </c>
      <c r="X278">
        <v>1</v>
      </c>
      <c r="Y278">
        <v>1</v>
      </c>
      <c r="Z278">
        <v>0</v>
      </c>
      <c r="AA278" t="s">
        <v>3084</v>
      </c>
      <c r="AB278" t="s">
        <v>1917</v>
      </c>
      <c r="AC278" t="s">
        <v>3084</v>
      </c>
      <c r="AD278" t="e">
        <f>VLOOKUP(AB278,#REF!,2,FALSE)</f>
        <v>#REF!</v>
      </c>
      <c r="AE278" t="e">
        <f>RIGHT(#REF!,(FIND("Complex",#REF!,1)-5))</f>
        <v>#REF!</v>
      </c>
    </row>
    <row r="279" spans="1:31" x14ac:dyDescent="0.25">
      <c r="A279">
        <v>3328</v>
      </c>
      <c r="B279" t="s">
        <v>74</v>
      </c>
      <c r="C279">
        <v>101</v>
      </c>
      <c r="D279">
        <v>839</v>
      </c>
      <c r="E279">
        <v>3328</v>
      </c>
      <c r="F279">
        <v>8114401</v>
      </c>
      <c r="G279">
        <v>8202600</v>
      </c>
      <c r="H279">
        <f t="shared" si="8"/>
        <v>184.00002267573697</v>
      </c>
      <c r="I279">
        <f t="shared" si="9"/>
        <v>186</v>
      </c>
      <c r="J279" t="s">
        <v>29</v>
      </c>
      <c r="K279">
        <v>6</v>
      </c>
      <c r="L279" t="e">
        <f t="array" ref="L279">VLOOKUP(J279:$J$3871&amp;K279:$K$3871,CHOOSE({1,2},#REF!&amp;#REF!,#REF!),2,0)</f>
        <v>#N/A</v>
      </c>
      <c r="M279">
        <v>-15</v>
      </c>
      <c r="N279">
        <v>0</v>
      </c>
      <c r="O279" t="s">
        <v>7</v>
      </c>
      <c r="P279">
        <v>1</v>
      </c>
      <c r="Q279">
        <v>1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1</v>
      </c>
      <c r="X279">
        <v>1</v>
      </c>
      <c r="Y279">
        <v>1</v>
      </c>
      <c r="Z279">
        <v>0</v>
      </c>
      <c r="AA279" t="s">
        <v>3115</v>
      </c>
      <c r="AB279" t="s">
        <v>1918</v>
      </c>
      <c r="AC279" t="s">
        <v>3115</v>
      </c>
      <c r="AD279" t="e">
        <f>VLOOKUP(AB279,#REF!,2,FALSE)</f>
        <v>#REF!</v>
      </c>
      <c r="AE279" t="e">
        <f>RIGHT(#REF!,(FIND("Complex",#REF!,1)-6))</f>
        <v>#REF!</v>
      </c>
    </row>
    <row r="280" spans="1:31" x14ac:dyDescent="0.25">
      <c r="A280">
        <v>2231</v>
      </c>
      <c r="B280" t="s">
        <v>74</v>
      </c>
      <c r="C280">
        <v>101</v>
      </c>
      <c r="D280">
        <v>407</v>
      </c>
      <c r="E280">
        <v>2231</v>
      </c>
      <c r="F280">
        <v>8026201</v>
      </c>
      <c r="G280">
        <v>8114400</v>
      </c>
      <c r="H280">
        <f t="shared" si="8"/>
        <v>182.00002267573697</v>
      </c>
      <c r="I280">
        <f t="shared" si="9"/>
        <v>184</v>
      </c>
      <c r="J280" t="s">
        <v>29</v>
      </c>
      <c r="K280">
        <v>6</v>
      </c>
      <c r="L280" t="e">
        <f t="array" ref="L280">VLOOKUP(J280:$J$3871&amp;K280:$K$3871,CHOOSE({1,2},#REF!&amp;#REF!,#REF!),2,0)</f>
        <v>#N/A</v>
      </c>
      <c r="M280">
        <v>-15</v>
      </c>
      <c r="N280">
        <v>0</v>
      </c>
      <c r="O280" t="s">
        <v>7</v>
      </c>
      <c r="P280">
        <v>1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0</v>
      </c>
      <c r="W280">
        <v>1</v>
      </c>
      <c r="X280">
        <v>1</v>
      </c>
      <c r="Y280">
        <v>1</v>
      </c>
      <c r="Z280">
        <v>0</v>
      </c>
      <c r="AA280" t="s">
        <v>3125</v>
      </c>
      <c r="AB280" t="s">
        <v>1919</v>
      </c>
      <c r="AC280" t="s">
        <v>3125</v>
      </c>
      <c r="AD280" t="e">
        <f>VLOOKUP(AB280,#REF!,2,FALSE)</f>
        <v>#REF!</v>
      </c>
      <c r="AE280" t="e">
        <f>RIGHT(#REF!,(FIND("Complex",#REF!,1)-6))</f>
        <v>#REF!</v>
      </c>
    </row>
    <row r="281" spans="1:31" x14ac:dyDescent="0.25">
      <c r="A281">
        <v>3272</v>
      </c>
      <c r="B281" t="s">
        <v>74</v>
      </c>
      <c r="C281">
        <v>101</v>
      </c>
      <c r="D281">
        <v>814</v>
      </c>
      <c r="E281">
        <v>3272</v>
      </c>
      <c r="F281">
        <v>7938001</v>
      </c>
      <c r="G281">
        <v>8026200</v>
      </c>
      <c r="H281">
        <f t="shared" si="8"/>
        <v>180.00002267573697</v>
      </c>
      <c r="I281">
        <f t="shared" si="9"/>
        <v>182</v>
      </c>
      <c r="J281" t="s">
        <v>29</v>
      </c>
      <c r="K281">
        <v>6</v>
      </c>
      <c r="L281" t="e">
        <f t="array" ref="L281">VLOOKUP(J281:$J$3871&amp;K281:$K$3871,CHOOSE({1,2},#REF!&amp;#REF!,#REF!),2,0)</f>
        <v>#N/A</v>
      </c>
      <c r="M281">
        <v>-15</v>
      </c>
      <c r="N281">
        <v>0</v>
      </c>
      <c r="O281" t="s">
        <v>7</v>
      </c>
      <c r="P281">
        <v>1</v>
      </c>
      <c r="Q281">
        <v>1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1</v>
      </c>
      <c r="X281">
        <v>1</v>
      </c>
      <c r="Y281">
        <v>1</v>
      </c>
      <c r="Z281">
        <v>0</v>
      </c>
      <c r="AA281" t="s">
        <v>3134</v>
      </c>
      <c r="AB281" t="s">
        <v>1920</v>
      </c>
      <c r="AC281" t="s">
        <v>3134</v>
      </c>
      <c r="AD281" t="e">
        <f>VLOOKUP(AB281,#REF!,2,FALSE)</f>
        <v>#REF!</v>
      </c>
      <c r="AE281" t="e">
        <f>RIGHT(#REF!,(FIND("Complex",#REF!,1)-6))</f>
        <v>#REF!</v>
      </c>
    </row>
    <row r="282" spans="1:31" x14ac:dyDescent="0.25">
      <c r="A282">
        <v>2470</v>
      </c>
      <c r="B282" t="s">
        <v>74</v>
      </c>
      <c r="C282">
        <v>101</v>
      </c>
      <c r="D282">
        <v>473</v>
      </c>
      <c r="E282">
        <v>2470</v>
      </c>
      <c r="F282">
        <v>6262201</v>
      </c>
      <c r="G282">
        <v>6350400</v>
      </c>
      <c r="H282">
        <f t="shared" si="8"/>
        <v>142.00002267573697</v>
      </c>
      <c r="I282">
        <f t="shared" si="9"/>
        <v>144</v>
      </c>
      <c r="J282" t="s">
        <v>29</v>
      </c>
      <c r="K282">
        <v>6</v>
      </c>
      <c r="L282" t="e">
        <f t="array" ref="L282">VLOOKUP(J282:$J$3871&amp;K282:$K$3871,CHOOSE({1,2},#REF!&amp;#REF!,#REF!),2,0)</f>
        <v>#N/A</v>
      </c>
      <c r="M282">
        <v>-15</v>
      </c>
      <c r="N282">
        <v>0</v>
      </c>
      <c r="O282" t="s">
        <v>7</v>
      </c>
      <c r="P282">
        <v>1</v>
      </c>
      <c r="Q282">
        <v>1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1</v>
      </c>
      <c r="Y282">
        <v>1</v>
      </c>
      <c r="Z282">
        <v>0</v>
      </c>
      <c r="AA282" t="s">
        <v>3261</v>
      </c>
      <c r="AB282" t="s">
        <v>1921</v>
      </c>
      <c r="AC282" t="s">
        <v>3261</v>
      </c>
      <c r="AD282" t="e">
        <f>VLOOKUP(AB282,#REF!,2,FALSE)</f>
        <v>#REF!</v>
      </c>
      <c r="AE282" t="e">
        <f>RIGHT(#REF!,(FIND("Complex",#REF!,1)-6))</f>
        <v>#REF!</v>
      </c>
    </row>
    <row r="283" spans="1:31" x14ac:dyDescent="0.25">
      <c r="A283">
        <v>3371</v>
      </c>
      <c r="B283" t="s">
        <v>74</v>
      </c>
      <c r="C283">
        <v>101</v>
      </c>
      <c r="D283">
        <v>861</v>
      </c>
      <c r="E283">
        <v>3371</v>
      </c>
      <c r="F283">
        <v>5733001</v>
      </c>
      <c r="G283">
        <v>5821200</v>
      </c>
      <c r="H283">
        <f t="shared" si="8"/>
        <v>130.00002267573697</v>
      </c>
      <c r="I283">
        <f t="shared" si="9"/>
        <v>132</v>
      </c>
      <c r="J283" t="s">
        <v>29</v>
      </c>
      <c r="K283">
        <v>6</v>
      </c>
      <c r="L283" t="e">
        <f t="array" ref="L283">VLOOKUP(J283:$J$3871&amp;K283:$K$3871,CHOOSE({1,2},#REF!&amp;#REF!,#REF!),2,0)</f>
        <v>#N/A</v>
      </c>
      <c r="M283">
        <v>-15</v>
      </c>
      <c r="N283">
        <v>0</v>
      </c>
      <c r="O283" t="s">
        <v>7</v>
      </c>
      <c r="P283">
        <v>1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1</v>
      </c>
      <c r="Y283">
        <v>1</v>
      </c>
      <c r="Z283">
        <v>0</v>
      </c>
      <c r="AA283" t="s">
        <v>3333</v>
      </c>
      <c r="AB283" t="s">
        <v>1922</v>
      </c>
      <c r="AC283" t="s">
        <v>3333</v>
      </c>
      <c r="AD283" t="e">
        <f>VLOOKUP(AB283,#REF!,2,FALSE)</f>
        <v>#REF!</v>
      </c>
      <c r="AE283" t="e">
        <f>RIGHT(#REF!,(FIND("Complex",#REF!,1)-6))</f>
        <v>#REF!</v>
      </c>
    </row>
    <row r="284" spans="1:31" x14ac:dyDescent="0.25">
      <c r="A284">
        <v>2989</v>
      </c>
      <c r="B284" t="s">
        <v>74</v>
      </c>
      <c r="C284">
        <v>101</v>
      </c>
      <c r="D284">
        <v>681</v>
      </c>
      <c r="E284">
        <v>2989</v>
      </c>
      <c r="F284">
        <v>5380201</v>
      </c>
      <c r="G284">
        <v>5468400</v>
      </c>
      <c r="H284">
        <f t="shared" si="8"/>
        <v>122.00002267573696</v>
      </c>
      <c r="I284">
        <f t="shared" si="9"/>
        <v>124</v>
      </c>
      <c r="J284" t="s">
        <v>29</v>
      </c>
      <c r="K284">
        <v>6</v>
      </c>
      <c r="L284" t="e">
        <f t="array" ref="L284">VLOOKUP(J284:$J$3871&amp;K284:$K$3871,CHOOSE({1,2},#REF!&amp;#REF!,#REF!),2,0)</f>
        <v>#N/A</v>
      </c>
      <c r="M284">
        <v>-15</v>
      </c>
      <c r="N284">
        <v>0</v>
      </c>
      <c r="O284" t="s">
        <v>7</v>
      </c>
      <c r="P284">
        <v>1</v>
      </c>
      <c r="Q284">
        <v>1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1</v>
      </c>
      <c r="X284">
        <v>1</v>
      </c>
      <c r="Y284">
        <v>1</v>
      </c>
      <c r="Z284">
        <v>0</v>
      </c>
      <c r="AA284" t="s">
        <v>3378</v>
      </c>
      <c r="AB284" t="s">
        <v>1923</v>
      </c>
      <c r="AC284" t="s">
        <v>3378</v>
      </c>
      <c r="AD284" t="e">
        <f>VLOOKUP(AB284,#REF!,2,FALSE)</f>
        <v>#REF!</v>
      </c>
      <c r="AE284" t="e">
        <f>RIGHT(#REF!,(FIND("Complex",#REF!,1)-6))</f>
        <v>#REF!</v>
      </c>
    </row>
    <row r="285" spans="1:31" x14ac:dyDescent="0.25">
      <c r="A285">
        <v>3013</v>
      </c>
      <c r="B285" t="s">
        <v>74</v>
      </c>
      <c r="C285">
        <v>101</v>
      </c>
      <c r="D285">
        <v>688</v>
      </c>
      <c r="E285">
        <v>3013</v>
      </c>
      <c r="F285">
        <v>5203801</v>
      </c>
      <c r="G285">
        <v>5292000</v>
      </c>
      <c r="H285">
        <f t="shared" si="8"/>
        <v>118.00002267573696</v>
      </c>
      <c r="I285">
        <f t="shared" si="9"/>
        <v>120</v>
      </c>
      <c r="J285" t="s">
        <v>29</v>
      </c>
      <c r="K285">
        <v>6</v>
      </c>
      <c r="L285" t="e">
        <f t="array" ref="L285">VLOOKUP(J285:$J$3871&amp;K285:$K$3871,CHOOSE({1,2},#REF!&amp;#REF!,#REF!),2,0)</f>
        <v>#N/A</v>
      </c>
      <c r="M285">
        <v>-15</v>
      </c>
      <c r="N285">
        <v>0</v>
      </c>
      <c r="O285" t="s">
        <v>7</v>
      </c>
      <c r="P285">
        <v>1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1</v>
      </c>
      <c r="X285">
        <v>1</v>
      </c>
      <c r="Y285">
        <v>1</v>
      </c>
      <c r="Z285">
        <v>0</v>
      </c>
      <c r="AA285" t="s">
        <v>3406</v>
      </c>
      <c r="AB285" t="s">
        <v>1924</v>
      </c>
      <c r="AC285" t="s">
        <v>3406</v>
      </c>
      <c r="AD285" t="e">
        <f>VLOOKUP(AB285,#REF!,2,FALSE)</f>
        <v>#REF!</v>
      </c>
      <c r="AE285" t="e">
        <f>RIGHT(#REF!,(FIND("Complex",#REF!,1)-6))</f>
        <v>#REF!</v>
      </c>
    </row>
    <row r="286" spans="1:31" x14ac:dyDescent="0.25">
      <c r="A286">
        <v>3218</v>
      </c>
      <c r="B286" t="s">
        <v>74</v>
      </c>
      <c r="C286">
        <v>101</v>
      </c>
      <c r="D286">
        <v>781</v>
      </c>
      <c r="E286">
        <v>3218</v>
      </c>
      <c r="F286">
        <v>4939201</v>
      </c>
      <c r="G286">
        <v>5027400</v>
      </c>
      <c r="H286">
        <f t="shared" si="8"/>
        <v>112.00002267573696</v>
      </c>
      <c r="I286">
        <f t="shared" si="9"/>
        <v>114</v>
      </c>
      <c r="J286" t="s">
        <v>29</v>
      </c>
      <c r="K286">
        <v>6</v>
      </c>
      <c r="L286" t="e">
        <f t="array" ref="L286">VLOOKUP(J286:$J$3871&amp;K286:$K$3871,CHOOSE({1,2},#REF!&amp;#REF!,#REF!),2,0)</f>
        <v>#N/A</v>
      </c>
      <c r="M286">
        <v>-15</v>
      </c>
      <c r="N286">
        <v>0</v>
      </c>
      <c r="O286" t="s">
        <v>7</v>
      </c>
      <c r="P286">
        <v>1</v>
      </c>
      <c r="Q286">
        <v>1</v>
      </c>
      <c r="R286">
        <v>0</v>
      </c>
      <c r="S286">
        <v>1</v>
      </c>
      <c r="T286">
        <v>0</v>
      </c>
      <c r="U286">
        <v>0</v>
      </c>
      <c r="V286">
        <v>0</v>
      </c>
      <c r="W286">
        <v>1</v>
      </c>
      <c r="X286">
        <v>1</v>
      </c>
      <c r="Y286">
        <v>1</v>
      </c>
      <c r="Z286">
        <v>0</v>
      </c>
      <c r="AA286" t="s">
        <v>3444</v>
      </c>
      <c r="AB286" t="s">
        <v>1925</v>
      </c>
      <c r="AC286" t="s">
        <v>3444</v>
      </c>
      <c r="AD286" t="e">
        <f>VLOOKUP(AB286,#REF!,2,FALSE)</f>
        <v>#REF!</v>
      </c>
      <c r="AE286" t="e">
        <f>RIGHT(#REF!,(FIND("Complex",#REF!,1)-6))</f>
        <v>#REF!</v>
      </c>
    </row>
    <row r="287" spans="1:31" x14ac:dyDescent="0.25">
      <c r="A287">
        <v>1850</v>
      </c>
      <c r="B287" t="s">
        <v>74</v>
      </c>
      <c r="C287">
        <v>101</v>
      </c>
      <c r="D287">
        <v>319</v>
      </c>
      <c r="E287">
        <v>1850</v>
      </c>
      <c r="F287">
        <v>4851001</v>
      </c>
      <c r="G287">
        <v>4939200</v>
      </c>
      <c r="H287">
        <f t="shared" si="8"/>
        <v>110.00002267573696</v>
      </c>
      <c r="I287">
        <f t="shared" si="9"/>
        <v>112</v>
      </c>
      <c r="J287" t="s">
        <v>29</v>
      </c>
      <c r="K287">
        <v>6</v>
      </c>
      <c r="L287" t="e">
        <f t="array" ref="L287">VLOOKUP(J287:$J$3871&amp;K287:$K$3871,CHOOSE({1,2},#REF!&amp;#REF!,#REF!),2,0)</f>
        <v>#N/A</v>
      </c>
      <c r="M287">
        <v>-15</v>
      </c>
      <c r="N287">
        <v>0</v>
      </c>
      <c r="O287" t="s">
        <v>7</v>
      </c>
      <c r="P287">
        <v>1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0</v>
      </c>
      <c r="W287">
        <v>1</v>
      </c>
      <c r="X287">
        <v>1</v>
      </c>
      <c r="Y287">
        <v>1</v>
      </c>
      <c r="Z287">
        <v>0</v>
      </c>
      <c r="AA287" t="s">
        <v>3455</v>
      </c>
      <c r="AB287" t="s">
        <v>1926</v>
      </c>
      <c r="AC287" t="s">
        <v>3455</v>
      </c>
      <c r="AD287" t="e">
        <f>VLOOKUP(AB287,#REF!,2,FALSE)</f>
        <v>#REF!</v>
      </c>
      <c r="AE287" t="e">
        <f>RIGHT(#REF!,(FIND("Complex",#REF!,1)-6))</f>
        <v>#REF!</v>
      </c>
    </row>
    <row r="288" spans="1:31" x14ac:dyDescent="0.25">
      <c r="A288">
        <v>2960</v>
      </c>
      <c r="B288" t="s">
        <v>74</v>
      </c>
      <c r="C288">
        <v>101</v>
      </c>
      <c r="D288">
        <v>664</v>
      </c>
      <c r="E288">
        <v>2960</v>
      </c>
      <c r="F288">
        <v>4762801</v>
      </c>
      <c r="G288">
        <v>4851000</v>
      </c>
      <c r="H288">
        <f t="shared" si="8"/>
        <v>108.00002267573696</v>
      </c>
      <c r="I288">
        <f t="shared" si="9"/>
        <v>110</v>
      </c>
      <c r="J288" t="s">
        <v>29</v>
      </c>
      <c r="K288">
        <v>6</v>
      </c>
      <c r="L288" t="e">
        <f t="array" ref="L288">VLOOKUP(J288:$J$3871&amp;K288:$K$3871,CHOOSE({1,2},#REF!&amp;#REF!,#REF!),2,0)</f>
        <v>#N/A</v>
      </c>
      <c r="M288">
        <v>-15</v>
      </c>
      <c r="N288">
        <v>0</v>
      </c>
      <c r="O288" t="s">
        <v>7</v>
      </c>
      <c r="P288">
        <v>1</v>
      </c>
      <c r="Q288">
        <v>1</v>
      </c>
      <c r="R288">
        <v>0</v>
      </c>
      <c r="S288">
        <v>1</v>
      </c>
      <c r="T288">
        <v>0</v>
      </c>
      <c r="U288">
        <v>0</v>
      </c>
      <c r="V288">
        <v>0</v>
      </c>
      <c r="W288">
        <v>1</v>
      </c>
      <c r="X288">
        <v>1</v>
      </c>
      <c r="Y288">
        <v>1</v>
      </c>
      <c r="Z288">
        <v>0</v>
      </c>
      <c r="AA288" t="s">
        <v>3463</v>
      </c>
      <c r="AB288" t="s">
        <v>1927</v>
      </c>
      <c r="AC288" t="s">
        <v>3463</v>
      </c>
      <c r="AD288" t="e">
        <f>VLOOKUP(AB288,#REF!,2,FALSE)</f>
        <v>#REF!</v>
      </c>
      <c r="AE288" t="e">
        <f>RIGHT(#REF!,(FIND("Complex",#REF!,1)-6))</f>
        <v>#REF!</v>
      </c>
    </row>
    <row r="289" spans="1:31" x14ac:dyDescent="0.25">
      <c r="A289">
        <v>3402</v>
      </c>
      <c r="B289" t="s">
        <v>55</v>
      </c>
      <c r="C289">
        <v>102</v>
      </c>
      <c r="D289">
        <v>876</v>
      </c>
      <c r="E289">
        <v>3402</v>
      </c>
      <c r="F289">
        <v>3528001</v>
      </c>
      <c r="G289">
        <v>3616200</v>
      </c>
      <c r="H289">
        <f t="shared" si="8"/>
        <v>80.000022675736957</v>
      </c>
      <c r="I289">
        <f t="shared" si="9"/>
        <v>82</v>
      </c>
      <c r="J289" t="s">
        <v>29</v>
      </c>
      <c r="K289">
        <v>6</v>
      </c>
      <c r="L289" t="e">
        <f t="array" ref="L289">VLOOKUP(J289:$J$3871&amp;K289:$K$3871,CHOOSE({1,2},#REF!&amp;#REF!,#REF!),2,0)</f>
        <v>#N/A</v>
      </c>
      <c r="M289">
        <v>-15</v>
      </c>
      <c r="N289">
        <v>0</v>
      </c>
      <c r="O289" t="s">
        <v>7</v>
      </c>
      <c r="P289">
        <v>1</v>
      </c>
      <c r="Q289">
        <v>0</v>
      </c>
      <c r="R289">
        <v>1</v>
      </c>
      <c r="S289">
        <v>1</v>
      </c>
      <c r="T289">
        <v>0</v>
      </c>
      <c r="U289">
        <v>1</v>
      </c>
      <c r="V289">
        <v>0</v>
      </c>
      <c r="W289">
        <v>1</v>
      </c>
      <c r="X289">
        <v>1</v>
      </c>
      <c r="Y289">
        <v>0</v>
      </c>
      <c r="Z289">
        <v>0</v>
      </c>
      <c r="AA289" t="s">
        <v>2704</v>
      </c>
      <c r="AB289" t="s">
        <v>6161</v>
      </c>
      <c r="AC289" t="s">
        <v>2704</v>
      </c>
      <c r="AD289" t="e">
        <f>VLOOKUP(AB289,#REF!,2,FALSE)</f>
        <v>#REF!</v>
      </c>
      <c r="AE289" t="e">
        <f>RIGHT(#REF!,(FIND("Complex",#REF!,1)-7))</f>
        <v>#REF!</v>
      </c>
    </row>
    <row r="290" spans="1:31" x14ac:dyDescent="0.25">
      <c r="A290">
        <v>3573</v>
      </c>
      <c r="B290" t="s">
        <v>55</v>
      </c>
      <c r="C290">
        <v>102</v>
      </c>
      <c r="D290">
        <v>952</v>
      </c>
      <c r="E290">
        <v>3573</v>
      </c>
      <c r="F290">
        <v>2646001</v>
      </c>
      <c r="G290">
        <v>2734200</v>
      </c>
      <c r="H290">
        <f t="shared" si="8"/>
        <v>60.000022675736965</v>
      </c>
      <c r="I290">
        <f t="shared" si="9"/>
        <v>62</v>
      </c>
      <c r="J290" t="s">
        <v>29</v>
      </c>
      <c r="K290">
        <v>6</v>
      </c>
      <c r="L290" t="e">
        <f t="array" ref="L290">VLOOKUP(J290:$J$3871&amp;K290:$K$3871,CHOOSE({1,2},#REF!&amp;#REF!,#REF!),2,0)</f>
        <v>#N/A</v>
      </c>
      <c r="M290">
        <v>-15</v>
      </c>
      <c r="N290">
        <v>0</v>
      </c>
      <c r="O290" t="s">
        <v>7</v>
      </c>
      <c r="P290">
        <v>1</v>
      </c>
      <c r="Q290">
        <v>0</v>
      </c>
      <c r="R290">
        <v>1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1</v>
      </c>
      <c r="Y290">
        <v>0</v>
      </c>
      <c r="Z290">
        <v>0</v>
      </c>
      <c r="AA290" t="s">
        <v>2784</v>
      </c>
      <c r="AB290" t="s">
        <v>1963</v>
      </c>
      <c r="AC290" t="s">
        <v>2784</v>
      </c>
      <c r="AD290" t="e">
        <f>VLOOKUP(AB290,#REF!,2,FALSE)</f>
        <v>#REF!</v>
      </c>
      <c r="AE290" t="e">
        <f>RIGHT(#REF!,(FIND("Complex",#REF!,1)-7))</f>
        <v>#REF!</v>
      </c>
    </row>
    <row r="291" spans="1:31" x14ac:dyDescent="0.25">
      <c r="A291">
        <v>1577</v>
      </c>
      <c r="B291" t="s">
        <v>55</v>
      </c>
      <c r="C291">
        <v>102</v>
      </c>
      <c r="D291">
        <v>269</v>
      </c>
      <c r="E291">
        <v>1577</v>
      </c>
      <c r="F291">
        <v>2557801</v>
      </c>
      <c r="G291">
        <v>2646000</v>
      </c>
      <c r="H291">
        <f t="shared" si="8"/>
        <v>58.000022675736965</v>
      </c>
      <c r="I291">
        <f t="shared" si="9"/>
        <v>60</v>
      </c>
      <c r="J291" t="s">
        <v>29</v>
      </c>
      <c r="K291">
        <v>6</v>
      </c>
      <c r="L291" t="e">
        <f t="array" ref="L291">VLOOKUP(J291:$J$3871&amp;K291:$K$3871,CHOOSE({1,2},#REF!&amp;#REF!,#REF!),2,0)</f>
        <v>#N/A</v>
      </c>
      <c r="M291">
        <v>-15</v>
      </c>
      <c r="N291">
        <v>0</v>
      </c>
      <c r="O291" t="s">
        <v>7</v>
      </c>
      <c r="P291">
        <v>1</v>
      </c>
      <c r="Q291">
        <v>0</v>
      </c>
      <c r="R291">
        <v>1</v>
      </c>
      <c r="S291">
        <v>1</v>
      </c>
      <c r="T291">
        <v>0</v>
      </c>
      <c r="U291">
        <v>1</v>
      </c>
      <c r="V291">
        <v>0</v>
      </c>
      <c r="W291">
        <v>1</v>
      </c>
      <c r="X291">
        <v>1</v>
      </c>
      <c r="Y291">
        <v>0</v>
      </c>
      <c r="Z291">
        <v>0</v>
      </c>
      <c r="AA291" t="s">
        <v>2790</v>
      </c>
      <c r="AB291" t="s">
        <v>1964</v>
      </c>
      <c r="AC291" t="s">
        <v>2790</v>
      </c>
      <c r="AD291" t="e">
        <f>VLOOKUP(AB291,#REF!,2,FALSE)</f>
        <v>#REF!</v>
      </c>
      <c r="AE291" t="e">
        <f>RIGHT(#REF!,(FIND("Complex",#REF!,1)-7))</f>
        <v>#REF!</v>
      </c>
    </row>
    <row r="292" spans="1:31" x14ac:dyDescent="0.25">
      <c r="A292">
        <v>3684</v>
      </c>
      <c r="B292" t="s">
        <v>55</v>
      </c>
      <c r="C292">
        <v>102</v>
      </c>
      <c r="D292">
        <v>991</v>
      </c>
      <c r="E292">
        <v>3684</v>
      </c>
      <c r="F292">
        <v>2293201</v>
      </c>
      <c r="G292">
        <v>2381400</v>
      </c>
      <c r="H292">
        <f t="shared" si="8"/>
        <v>52.000022675736965</v>
      </c>
      <c r="I292">
        <f t="shared" si="9"/>
        <v>54</v>
      </c>
      <c r="J292" t="s">
        <v>29</v>
      </c>
      <c r="K292">
        <v>6</v>
      </c>
      <c r="L292" t="e">
        <f t="array" ref="L292">VLOOKUP(J292:$J$3871&amp;K292:$K$3871,CHOOSE({1,2},#REF!&amp;#REF!,#REF!),2,0)</f>
        <v>#N/A</v>
      </c>
      <c r="M292">
        <v>-15</v>
      </c>
      <c r="N292">
        <v>0</v>
      </c>
      <c r="O292" t="s">
        <v>7</v>
      </c>
      <c r="P292">
        <v>1</v>
      </c>
      <c r="Q292">
        <v>0</v>
      </c>
      <c r="R292">
        <v>1</v>
      </c>
      <c r="S292">
        <v>1</v>
      </c>
      <c r="T292">
        <v>0</v>
      </c>
      <c r="U292">
        <v>1</v>
      </c>
      <c r="V292">
        <v>0</v>
      </c>
      <c r="W292">
        <v>1</v>
      </c>
      <c r="X292">
        <v>1</v>
      </c>
      <c r="Y292">
        <v>0</v>
      </c>
      <c r="Z292">
        <v>0</v>
      </c>
      <c r="AA292" t="s">
        <v>2801</v>
      </c>
      <c r="AB292" t="s">
        <v>6186</v>
      </c>
      <c r="AC292" t="s">
        <v>2801</v>
      </c>
      <c r="AD292" t="e">
        <f>VLOOKUP(AB292,#REF!,2,FALSE)</f>
        <v>#REF!</v>
      </c>
      <c r="AE292" t="e">
        <f>RIGHT(#REF!,(FIND("Complex",#REF!,1)-7))</f>
        <v>#REF!</v>
      </c>
    </row>
    <row r="293" spans="1:31" x14ac:dyDescent="0.25">
      <c r="A293">
        <v>3697</v>
      </c>
      <c r="B293" t="s">
        <v>55</v>
      </c>
      <c r="C293">
        <v>102</v>
      </c>
      <c r="D293">
        <v>994</v>
      </c>
      <c r="E293">
        <v>3697</v>
      </c>
      <c r="F293">
        <v>2205001</v>
      </c>
      <c r="G293">
        <v>2293200</v>
      </c>
      <c r="H293">
        <f t="shared" si="8"/>
        <v>50.000022675736965</v>
      </c>
      <c r="I293">
        <f t="shared" si="9"/>
        <v>52</v>
      </c>
      <c r="J293" t="s">
        <v>29</v>
      </c>
      <c r="K293">
        <v>6</v>
      </c>
      <c r="L293" t="e">
        <f t="array" ref="L293">VLOOKUP(J293:$J$3871&amp;K293:$K$3871,CHOOSE({1,2},#REF!&amp;#REF!,#REF!),2,0)</f>
        <v>#N/A</v>
      </c>
      <c r="M293">
        <v>-15</v>
      </c>
      <c r="N293">
        <v>0</v>
      </c>
      <c r="O293" t="s">
        <v>7</v>
      </c>
      <c r="P293">
        <v>1</v>
      </c>
      <c r="Q293">
        <v>0</v>
      </c>
      <c r="R293">
        <v>1</v>
      </c>
      <c r="S293">
        <v>1</v>
      </c>
      <c r="T293">
        <v>0</v>
      </c>
      <c r="U293">
        <v>1</v>
      </c>
      <c r="V293">
        <v>0</v>
      </c>
      <c r="W293">
        <v>1</v>
      </c>
      <c r="X293">
        <v>1</v>
      </c>
      <c r="Y293">
        <v>0</v>
      </c>
      <c r="Z293">
        <v>0</v>
      </c>
      <c r="AA293" t="s">
        <v>2806</v>
      </c>
      <c r="AB293" t="s">
        <v>6188</v>
      </c>
      <c r="AC293" t="s">
        <v>2806</v>
      </c>
      <c r="AD293" t="e">
        <f>VLOOKUP(AB293,#REF!,2,FALSE)</f>
        <v>#REF!</v>
      </c>
      <c r="AE293" t="e">
        <f>RIGHT(#REF!,(FIND("Complex",#REF!,1)-7))</f>
        <v>#REF!</v>
      </c>
    </row>
    <row r="294" spans="1:31" x14ac:dyDescent="0.25">
      <c r="A294">
        <v>2502</v>
      </c>
      <c r="B294" t="s">
        <v>55</v>
      </c>
      <c r="C294">
        <v>102</v>
      </c>
      <c r="D294">
        <v>487</v>
      </c>
      <c r="E294">
        <v>2502</v>
      </c>
      <c r="F294">
        <v>2116801</v>
      </c>
      <c r="G294">
        <v>2205000</v>
      </c>
      <c r="H294">
        <f t="shared" si="8"/>
        <v>48.000022675736965</v>
      </c>
      <c r="I294">
        <f t="shared" si="9"/>
        <v>50</v>
      </c>
      <c r="J294" t="s">
        <v>29</v>
      </c>
      <c r="K294">
        <v>6</v>
      </c>
      <c r="L294" t="e">
        <f t="array" ref="L294">VLOOKUP(J294:$J$3871&amp;K294:$K$3871,CHOOSE({1,2},#REF!&amp;#REF!,#REF!),2,0)</f>
        <v>#N/A</v>
      </c>
      <c r="M294">
        <v>-15</v>
      </c>
      <c r="N294">
        <v>0</v>
      </c>
      <c r="O294" t="s">
        <v>7</v>
      </c>
      <c r="P294">
        <v>1</v>
      </c>
      <c r="Q294">
        <v>0</v>
      </c>
      <c r="R294">
        <v>1</v>
      </c>
      <c r="S294">
        <v>1</v>
      </c>
      <c r="T294">
        <v>0</v>
      </c>
      <c r="U294">
        <v>1</v>
      </c>
      <c r="V294">
        <v>0</v>
      </c>
      <c r="W294">
        <v>1</v>
      </c>
      <c r="X294">
        <v>1</v>
      </c>
      <c r="Y294">
        <v>0</v>
      </c>
      <c r="Z294">
        <v>0</v>
      </c>
      <c r="AA294" t="s">
        <v>2811</v>
      </c>
      <c r="AB294" t="s">
        <v>1965</v>
      </c>
      <c r="AC294" t="s">
        <v>2811</v>
      </c>
      <c r="AD294" t="e">
        <f>VLOOKUP(AB294,#REF!,2,FALSE)</f>
        <v>#REF!</v>
      </c>
      <c r="AE294" t="e">
        <f>RIGHT(#REF!,(FIND("Complex",#REF!,1)-7))</f>
        <v>#REF!</v>
      </c>
    </row>
    <row r="295" spans="1:31" x14ac:dyDescent="0.25">
      <c r="A295">
        <v>3722</v>
      </c>
      <c r="B295" t="s">
        <v>55</v>
      </c>
      <c r="C295">
        <v>102</v>
      </c>
      <c r="D295">
        <v>1005</v>
      </c>
      <c r="E295">
        <v>3722</v>
      </c>
      <c r="F295">
        <v>1852201</v>
      </c>
      <c r="G295">
        <v>1940400</v>
      </c>
      <c r="H295">
        <f t="shared" si="8"/>
        <v>42.000022675736965</v>
      </c>
      <c r="I295">
        <f t="shared" si="9"/>
        <v>44</v>
      </c>
      <c r="J295" t="s">
        <v>29</v>
      </c>
      <c r="K295">
        <v>6</v>
      </c>
      <c r="L295" t="e">
        <f t="array" ref="L295">VLOOKUP(J295:$J$3871&amp;K295:$K$3871,CHOOSE({1,2},#REF!&amp;#REF!,#REF!),2,0)</f>
        <v>#N/A</v>
      </c>
      <c r="M295">
        <v>-15</v>
      </c>
      <c r="N295">
        <v>0</v>
      </c>
      <c r="O295" t="s">
        <v>7</v>
      </c>
      <c r="P295">
        <v>1</v>
      </c>
      <c r="Q295">
        <v>0</v>
      </c>
      <c r="R295">
        <v>1</v>
      </c>
      <c r="S295">
        <v>1</v>
      </c>
      <c r="T295">
        <v>0</v>
      </c>
      <c r="U295">
        <v>1</v>
      </c>
      <c r="V295">
        <v>0</v>
      </c>
      <c r="W295">
        <v>1</v>
      </c>
      <c r="X295">
        <v>1</v>
      </c>
      <c r="Y295">
        <v>0</v>
      </c>
      <c r="Z295">
        <v>0</v>
      </c>
      <c r="AA295" t="s">
        <v>2829</v>
      </c>
      <c r="AB295" t="s">
        <v>6197</v>
      </c>
      <c r="AC295" t="s">
        <v>2829</v>
      </c>
      <c r="AD295" t="e">
        <f>VLOOKUP(AB295,#REF!,2,FALSE)</f>
        <v>#REF!</v>
      </c>
      <c r="AE295" t="e">
        <f>RIGHT(#REF!,(FIND("Complex",#REF!,1)-8))</f>
        <v>#REF!</v>
      </c>
    </row>
    <row r="296" spans="1:31" x14ac:dyDescent="0.25">
      <c r="A296">
        <v>3558</v>
      </c>
      <c r="B296" t="s">
        <v>55</v>
      </c>
      <c r="C296">
        <v>102</v>
      </c>
      <c r="D296">
        <v>945</v>
      </c>
      <c r="E296">
        <v>3558</v>
      </c>
      <c r="F296">
        <v>1499401</v>
      </c>
      <c r="G296">
        <v>1587600</v>
      </c>
      <c r="H296">
        <f t="shared" si="8"/>
        <v>34.000022675736965</v>
      </c>
      <c r="I296">
        <f t="shared" si="9"/>
        <v>36</v>
      </c>
      <c r="J296" t="s">
        <v>29</v>
      </c>
      <c r="K296">
        <v>6</v>
      </c>
      <c r="L296" t="e">
        <f t="array" ref="L296">VLOOKUP(J296:$J$3871&amp;K296:$K$3871,CHOOSE({1,2},#REF!&amp;#REF!,#REF!),2,0)</f>
        <v>#N/A</v>
      </c>
      <c r="M296">
        <v>-15</v>
      </c>
      <c r="N296">
        <v>0</v>
      </c>
      <c r="O296" t="s">
        <v>7</v>
      </c>
      <c r="P296">
        <v>1</v>
      </c>
      <c r="Q296">
        <v>0</v>
      </c>
      <c r="R296">
        <v>1</v>
      </c>
      <c r="S296">
        <v>1</v>
      </c>
      <c r="T296">
        <v>0</v>
      </c>
      <c r="U296">
        <v>1</v>
      </c>
      <c r="V296">
        <v>0</v>
      </c>
      <c r="W296">
        <v>1</v>
      </c>
      <c r="X296">
        <v>1</v>
      </c>
      <c r="Y296">
        <v>0</v>
      </c>
      <c r="Z296">
        <v>0</v>
      </c>
      <c r="AA296" t="s">
        <v>2855</v>
      </c>
      <c r="AB296" t="s">
        <v>6204</v>
      </c>
      <c r="AC296" t="s">
        <v>2855</v>
      </c>
      <c r="AD296" t="e">
        <f>VLOOKUP(AB296,#REF!,2,FALSE)</f>
        <v>#REF!</v>
      </c>
      <c r="AE296" t="e">
        <f>RIGHT(#REF!,(FIND("Complex",#REF!,1)-7))</f>
        <v>#REF!</v>
      </c>
    </row>
    <row r="297" spans="1:31" x14ac:dyDescent="0.25">
      <c r="A297">
        <v>1862</v>
      </c>
      <c r="B297" t="s">
        <v>55</v>
      </c>
      <c r="C297">
        <v>102</v>
      </c>
      <c r="D297">
        <v>321</v>
      </c>
      <c r="E297">
        <v>1862</v>
      </c>
      <c r="F297">
        <v>1323001</v>
      </c>
      <c r="G297">
        <v>1411200</v>
      </c>
      <c r="H297">
        <f t="shared" si="8"/>
        <v>30.000022675736961</v>
      </c>
      <c r="I297">
        <f t="shared" si="9"/>
        <v>32</v>
      </c>
      <c r="J297" t="s">
        <v>29</v>
      </c>
      <c r="K297">
        <v>6</v>
      </c>
      <c r="L297" t="e">
        <f t="array" ref="L297">VLOOKUP(J297:$J$3871&amp;K297:$K$3871,CHOOSE({1,2},#REF!&amp;#REF!,#REF!),2,0)</f>
        <v>#N/A</v>
      </c>
      <c r="M297">
        <v>-15</v>
      </c>
      <c r="N297">
        <v>0</v>
      </c>
      <c r="O297" t="s">
        <v>7</v>
      </c>
      <c r="P297">
        <v>1</v>
      </c>
      <c r="Q297">
        <v>0</v>
      </c>
      <c r="R297">
        <v>1</v>
      </c>
      <c r="S297">
        <v>1</v>
      </c>
      <c r="T297">
        <v>0</v>
      </c>
      <c r="U297">
        <v>1</v>
      </c>
      <c r="V297">
        <v>0</v>
      </c>
      <c r="W297">
        <v>1</v>
      </c>
      <c r="X297">
        <v>1</v>
      </c>
      <c r="Y297">
        <v>0</v>
      </c>
      <c r="Z297">
        <v>0</v>
      </c>
      <c r="AA297" t="s">
        <v>2885</v>
      </c>
      <c r="AB297" t="s">
        <v>1966</v>
      </c>
      <c r="AC297" t="s">
        <v>2885</v>
      </c>
      <c r="AD297" t="e">
        <f>VLOOKUP(AB297,#REF!,2,FALSE)</f>
        <v>#REF!</v>
      </c>
      <c r="AE297" t="e">
        <f>RIGHT(#REF!,(FIND("Complex",#REF!,1)-7))</f>
        <v>#REF!</v>
      </c>
    </row>
    <row r="298" spans="1:31" x14ac:dyDescent="0.25">
      <c r="A298">
        <v>764</v>
      </c>
      <c r="B298" t="s">
        <v>55</v>
      </c>
      <c r="C298">
        <v>102</v>
      </c>
      <c r="D298">
        <v>130</v>
      </c>
      <c r="E298">
        <v>764</v>
      </c>
      <c r="F298">
        <v>12083401</v>
      </c>
      <c r="G298">
        <v>12171600</v>
      </c>
      <c r="H298">
        <f t="shared" si="8"/>
        <v>274.00002267573694</v>
      </c>
      <c r="I298">
        <f t="shared" si="9"/>
        <v>276</v>
      </c>
      <c r="J298" t="s">
        <v>29</v>
      </c>
      <c r="K298">
        <v>6</v>
      </c>
      <c r="L298" t="e">
        <f t="array" ref="L298">VLOOKUP(J298:$J$3871&amp;K298:$K$3871,CHOOSE({1,2},#REF!&amp;#REF!,#REF!),2,0)</f>
        <v>#N/A</v>
      </c>
      <c r="M298">
        <v>-15</v>
      </c>
      <c r="N298">
        <v>0</v>
      </c>
      <c r="O298" t="s">
        <v>7</v>
      </c>
      <c r="P298">
        <v>1</v>
      </c>
      <c r="Q298">
        <v>0</v>
      </c>
      <c r="R298">
        <v>1</v>
      </c>
      <c r="S298">
        <v>1</v>
      </c>
      <c r="T298">
        <v>0</v>
      </c>
      <c r="U298">
        <v>1</v>
      </c>
      <c r="V298">
        <v>0</v>
      </c>
      <c r="W298">
        <v>1</v>
      </c>
      <c r="X298">
        <v>1</v>
      </c>
      <c r="Y298">
        <v>0</v>
      </c>
      <c r="Z298">
        <v>0</v>
      </c>
      <c r="AA298" t="s">
        <v>2907</v>
      </c>
      <c r="AB298" t="s">
        <v>1967</v>
      </c>
      <c r="AC298" t="s">
        <v>2907</v>
      </c>
      <c r="AD298" t="e">
        <f>VLOOKUP(AB298,#REF!,2,FALSE)</f>
        <v>#REF!</v>
      </c>
      <c r="AE298" t="e">
        <f>RIGHT(#REF!,(FIND("Complex",#REF!,1)-5))</f>
        <v>#REF!</v>
      </c>
    </row>
    <row r="299" spans="1:31" x14ac:dyDescent="0.25">
      <c r="A299">
        <v>3592</v>
      </c>
      <c r="B299" t="s">
        <v>55</v>
      </c>
      <c r="C299">
        <v>102</v>
      </c>
      <c r="D299">
        <v>957</v>
      </c>
      <c r="E299">
        <v>3592</v>
      </c>
      <c r="F299">
        <v>9525601</v>
      </c>
      <c r="G299">
        <v>9613800</v>
      </c>
      <c r="H299">
        <f t="shared" si="8"/>
        <v>216.00002267573697</v>
      </c>
      <c r="I299">
        <f t="shared" si="9"/>
        <v>218</v>
      </c>
      <c r="J299" t="s">
        <v>29</v>
      </c>
      <c r="K299">
        <v>6</v>
      </c>
      <c r="L299" t="e">
        <f t="array" ref="L299">VLOOKUP(J299:$J$3871&amp;K299:$K$3871,CHOOSE({1,2},#REF!&amp;#REF!,#REF!),2,0)</f>
        <v>#N/A</v>
      </c>
      <c r="M299">
        <v>-15</v>
      </c>
      <c r="N299">
        <v>0</v>
      </c>
      <c r="O299" t="s">
        <v>7</v>
      </c>
      <c r="P299">
        <v>1</v>
      </c>
      <c r="Q299">
        <v>0</v>
      </c>
      <c r="R299">
        <v>1</v>
      </c>
      <c r="S299">
        <v>1</v>
      </c>
      <c r="T299">
        <v>0</v>
      </c>
      <c r="U299">
        <v>1</v>
      </c>
      <c r="V299">
        <v>0</v>
      </c>
      <c r="W299">
        <v>1</v>
      </c>
      <c r="X299">
        <v>1</v>
      </c>
      <c r="Y299">
        <v>0</v>
      </c>
      <c r="Z299">
        <v>0</v>
      </c>
      <c r="AA299" t="s">
        <v>3017</v>
      </c>
      <c r="AB299" t="s">
        <v>1968</v>
      </c>
      <c r="AC299" t="s">
        <v>3017</v>
      </c>
      <c r="AD299" t="e">
        <f>VLOOKUP(AB299,#REF!,2,FALSE)</f>
        <v>#REF!</v>
      </c>
      <c r="AE299" t="e">
        <f>RIGHT(#REF!,(FIND("Complex",#REF!,1)-6))</f>
        <v>#REF!</v>
      </c>
    </row>
    <row r="300" spans="1:31" x14ac:dyDescent="0.25">
      <c r="A300">
        <v>1026</v>
      </c>
      <c r="B300" t="s">
        <v>55</v>
      </c>
      <c r="C300">
        <v>102</v>
      </c>
      <c r="D300">
        <v>180</v>
      </c>
      <c r="E300">
        <v>1026</v>
      </c>
      <c r="F300">
        <v>5909401</v>
      </c>
      <c r="G300">
        <v>5997600</v>
      </c>
      <c r="H300">
        <f t="shared" si="8"/>
        <v>134.00002267573697</v>
      </c>
      <c r="I300">
        <f t="shared" si="9"/>
        <v>136</v>
      </c>
      <c r="J300" t="s">
        <v>29</v>
      </c>
      <c r="K300">
        <v>6</v>
      </c>
      <c r="L300" t="e">
        <f t="array" ref="L300">VLOOKUP(J300:$J$3871&amp;K300:$K$3871,CHOOSE({1,2},#REF!&amp;#REF!,#REF!),2,0)</f>
        <v>#N/A</v>
      </c>
      <c r="M300">
        <v>-15</v>
      </c>
      <c r="N300">
        <v>0</v>
      </c>
      <c r="O300" t="s">
        <v>7</v>
      </c>
      <c r="P300">
        <v>1</v>
      </c>
      <c r="Q300">
        <v>0</v>
      </c>
      <c r="R300">
        <v>1</v>
      </c>
      <c r="S300">
        <v>1</v>
      </c>
      <c r="T300">
        <v>0</v>
      </c>
      <c r="U300">
        <v>1</v>
      </c>
      <c r="V300">
        <v>0</v>
      </c>
      <c r="W300">
        <v>1</v>
      </c>
      <c r="X300">
        <v>1</v>
      </c>
      <c r="Y300">
        <v>0</v>
      </c>
      <c r="Z300">
        <v>0</v>
      </c>
      <c r="AA300" t="s">
        <v>3303</v>
      </c>
      <c r="AB300" t="s">
        <v>1969</v>
      </c>
      <c r="AC300" t="s">
        <v>3303</v>
      </c>
      <c r="AD300" t="e">
        <f>VLOOKUP(AB300,#REF!,2,FALSE)</f>
        <v>#REF!</v>
      </c>
      <c r="AE300" t="e">
        <f>RIGHT(#REF!,(FIND("Complex",#REF!,1)-6))</f>
        <v>#REF!</v>
      </c>
    </row>
    <row r="301" spans="1:31" x14ac:dyDescent="0.25">
      <c r="A301">
        <v>2183</v>
      </c>
      <c r="B301" t="s">
        <v>55</v>
      </c>
      <c r="C301">
        <v>102</v>
      </c>
      <c r="D301">
        <v>398</v>
      </c>
      <c r="E301">
        <v>2183</v>
      </c>
      <c r="F301">
        <v>5468401</v>
      </c>
      <c r="G301">
        <v>5556600</v>
      </c>
      <c r="H301">
        <f t="shared" si="8"/>
        <v>124.00002267573696</v>
      </c>
      <c r="I301">
        <f t="shared" si="9"/>
        <v>126</v>
      </c>
      <c r="J301" t="s">
        <v>29</v>
      </c>
      <c r="K301">
        <v>6</v>
      </c>
      <c r="L301" t="e">
        <f t="array" ref="L301">VLOOKUP(J301:$J$3871&amp;K301:$K$3871,CHOOSE({1,2},#REF!&amp;#REF!,#REF!),2,0)</f>
        <v>#N/A</v>
      </c>
      <c r="M301">
        <v>-15</v>
      </c>
      <c r="N301">
        <v>0</v>
      </c>
      <c r="O301" t="s">
        <v>7</v>
      </c>
      <c r="P301">
        <v>1</v>
      </c>
      <c r="Q301">
        <v>0</v>
      </c>
      <c r="R301">
        <v>1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1</v>
      </c>
      <c r="Y301">
        <v>0</v>
      </c>
      <c r="Z301">
        <v>0</v>
      </c>
      <c r="AA301" t="s">
        <v>3365</v>
      </c>
      <c r="AB301" t="s">
        <v>1970</v>
      </c>
      <c r="AC301" t="s">
        <v>3365</v>
      </c>
      <c r="AD301" t="e">
        <f>VLOOKUP(AB301,#REF!,2,FALSE)</f>
        <v>#REF!</v>
      </c>
      <c r="AE301" t="e">
        <f>RIGHT(#REF!,(FIND("Complex",#REF!,1)-6))</f>
        <v>#REF!</v>
      </c>
    </row>
    <row r="302" spans="1:31" x14ac:dyDescent="0.25">
      <c r="A302">
        <v>2883</v>
      </c>
      <c r="B302" t="s">
        <v>55</v>
      </c>
      <c r="C302">
        <v>102</v>
      </c>
      <c r="D302">
        <v>631</v>
      </c>
      <c r="E302">
        <v>2883</v>
      </c>
      <c r="F302">
        <v>441001</v>
      </c>
      <c r="G302">
        <v>529200</v>
      </c>
      <c r="H302">
        <f t="shared" si="8"/>
        <v>10.000022675736961</v>
      </c>
      <c r="I302">
        <f t="shared" si="9"/>
        <v>12</v>
      </c>
      <c r="J302" t="s">
        <v>29</v>
      </c>
      <c r="K302">
        <v>6</v>
      </c>
      <c r="L302" t="e">
        <f t="array" ref="L302">VLOOKUP(J302:$J$3871&amp;K302:$K$3871,CHOOSE({1,2},#REF!&amp;#REF!,#REF!),2,0)</f>
        <v>#N/A</v>
      </c>
      <c r="M302">
        <v>-15</v>
      </c>
      <c r="N302">
        <v>0</v>
      </c>
      <c r="O302" t="s">
        <v>7</v>
      </c>
      <c r="P302">
        <v>1</v>
      </c>
      <c r="Q302">
        <v>0</v>
      </c>
      <c r="R302">
        <v>1</v>
      </c>
      <c r="S302">
        <v>1</v>
      </c>
      <c r="T302">
        <v>0</v>
      </c>
      <c r="U302">
        <v>1</v>
      </c>
      <c r="V302">
        <v>0</v>
      </c>
      <c r="W302">
        <v>1</v>
      </c>
      <c r="X302">
        <v>1</v>
      </c>
      <c r="Y302">
        <v>0</v>
      </c>
      <c r="Z302">
        <v>0</v>
      </c>
      <c r="AA302" t="s">
        <v>3498</v>
      </c>
      <c r="AB302" t="s">
        <v>6314</v>
      </c>
      <c r="AC302" t="s">
        <v>3498</v>
      </c>
      <c r="AD302" t="e">
        <f>VLOOKUP(AB302,#REF!,2,FALSE)</f>
        <v>#REF!</v>
      </c>
      <c r="AE302" t="e">
        <f>RIGHT(#REF!,(FIND("Complex",#REF!,1)-7))</f>
        <v>#REF!</v>
      </c>
    </row>
    <row r="303" spans="1:31" x14ac:dyDescent="0.25">
      <c r="A303">
        <v>2752</v>
      </c>
      <c r="B303" t="s">
        <v>95</v>
      </c>
      <c r="C303">
        <v>103</v>
      </c>
      <c r="D303">
        <v>584</v>
      </c>
      <c r="E303">
        <v>2752</v>
      </c>
      <c r="F303">
        <v>3704401</v>
      </c>
      <c r="G303">
        <v>3792600</v>
      </c>
      <c r="H303">
        <f t="shared" si="8"/>
        <v>84.000022675736957</v>
      </c>
      <c r="I303">
        <f t="shared" si="9"/>
        <v>86</v>
      </c>
      <c r="J303" t="s">
        <v>29</v>
      </c>
      <c r="K303">
        <v>6</v>
      </c>
      <c r="L303" t="e">
        <f t="array" ref="L303">VLOOKUP(J303:$J$3871&amp;K303:$K$3871,CHOOSE({1,2},#REF!&amp;#REF!,#REF!),2,0)</f>
        <v>#N/A</v>
      </c>
      <c r="M303">
        <v>-15</v>
      </c>
      <c r="N303">
        <v>0</v>
      </c>
      <c r="O303" t="s">
        <v>7</v>
      </c>
      <c r="P303">
        <v>1</v>
      </c>
      <c r="Q303">
        <v>0</v>
      </c>
      <c r="R303">
        <v>1</v>
      </c>
      <c r="S303">
        <v>1</v>
      </c>
      <c r="T303">
        <v>1</v>
      </c>
      <c r="U303">
        <v>0</v>
      </c>
      <c r="V303">
        <v>0</v>
      </c>
      <c r="W303">
        <v>1</v>
      </c>
      <c r="X303">
        <v>1</v>
      </c>
      <c r="Y303">
        <v>0</v>
      </c>
      <c r="Z303">
        <v>0</v>
      </c>
      <c r="AA303" t="s">
        <v>2684</v>
      </c>
      <c r="AB303" t="s">
        <v>2030</v>
      </c>
      <c r="AC303" t="s">
        <v>2684</v>
      </c>
      <c r="AD303" t="e">
        <f>VLOOKUP(AB303,#REF!,2,FALSE)</f>
        <v>#REF!</v>
      </c>
      <c r="AE303" t="e">
        <f>RIGHT(#REF!,(FIND("Complex",#REF!,1)-7))</f>
        <v>#REF!</v>
      </c>
    </row>
    <row r="304" spans="1:31" x14ac:dyDescent="0.25">
      <c r="A304">
        <v>3113</v>
      </c>
      <c r="B304" t="s">
        <v>95</v>
      </c>
      <c r="C304">
        <v>103</v>
      </c>
      <c r="D304">
        <v>730</v>
      </c>
      <c r="E304">
        <v>3113</v>
      </c>
      <c r="F304">
        <v>3616201</v>
      </c>
      <c r="G304">
        <v>3704400</v>
      </c>
      <c r="H304">
        <f t="shared" si="8"/>
        <v>82.000022675736957</v>
      </c>
      <c r="I304">
        <f t="shared" si="9"/>
        <v>84</v>
      </c>
      <c r="J304" t="s">
        <v>29</v>
      </c>
      <c r="K304">
        <v>6</v>
      </c>
      <c r="L304" t="e">
        <f t="array" ref="L304">VLOOKUP(J304:$J$3871&amp;K304:$K$3871,CHOOSE({1,2},#REF!&amp;#REF!,#REF!),2,0)</f>
        <v>#N/A</v>
      </c>
      <c r="M304">
        <v>-15</v>
      </c>
      <c r="N304">
        <v>0</v>
      </c>
      <c r="O304" t="s">
        <v>7</v>
      </c>
      <c r="P304">
        <v>1</v>
      </c>
      <c r="Q304">
        <v>0</v>
      </c>
      <c r="R304">
        <v>1</v>
      </c>
      <c r="S304">
        <v>1</v>
      </c>
      <c r="T304">
        <v>1</v>
      </c>
      <c r="U304">
        <v>0</v>
      </c>
      <c r="V304">
        <v>0</v>
      </c>
      <c r="W304">
        <v>1</v>
      </c>
      <c r="X304">
        <v>1</v>
      </c>
      <c r="Y304">
        <v>0</v>
      </c>
      <c r="Z304">
        <v>0</v>
      </c>
      <c r="AA304" t="s">
        <v>2693</v>
      </c>
      <c r="AB304" t="s">
        <v>2031</v>
      </c>
      <c r="AC304" t="s">
        <v>2693</v>
      </c>
      <c r="AD304" t="e">
        <f>VLOOKUP(AB304,#REF!,2,FALSE)</f>
        <v>#REF!</v>
      </c>
      <c r="AE304" t="e">
        <f>RIGHT(#REF!,(FIND("Complex",#REF!,1)-7))</f>
        <v>#REF!</v>
      </c>
    </row>
    <row r="305" spans="1:31" x14ac:dyDescent="0.25">
      <c r="A305">
        <v>3087</v>
      </c>
      <c r="B305" t="s">
        <v>95</v>
      </c>
      <c r="C305">
        <v>103</v>
      </c>
      <c r="D305">
        <v>722</v>
      </c>
      <c r="E305">
        <v>3087</v>
      </c>
      <c r="F305">
        <v>2998801</v>
      </c>
      <c r="G305">
        <v>3087000</v>
      </c>
      <c r="H305">
        <f t="shared" si="8"/>
        <v>68.000022675736957</v>
      </c>
      <c r="I305">
        <f t="shared" si="9"/>
        <v>70</v>
      </c>
      <c r="J305" t="s">
        <v>29</v>
      </c>
      <c r="K305">
        <v>6</v>
      </c>
      <c r="L305" t="e">
        <f t="array" ref="L305">VLOOKUP(J305:$J$3871&amp;K305:$K$3871,CHOOSE({1,2},#REF!&amp;#REF!,#REF!),2,0)</f>
        <v>#N/A</v>
      </c>
      <c r="M305">
        <v>-15</v>
      </c>
      <c r="N305">
        <v>0</v>
      </c>
      <c r="O305" t="s">
        <v>7</v>
      </c>
      <c r="P305">
        <v>1</v>
      </c>
      <c r="Q305">
        <v>0</v>
      </c>
      <c r="R305">
        <v>1</v>
      </c>
      <c r="S305">
        <v>1</v>
      </c>
      <c r="T305">
        <v>1</v>
      </c>
      <c r="U305">
        <v>0</v>
      </c>
      <c r="V305">
        <v>0</v>
      </c>
      <c r="W305">
        <v>1</v>
      </c>
      <c r="X305">
        <v>1</v>
      </c>
      <c r="Y305">
        <v>0</v>
      </c>
      <c r="Z305">
        <v>0</v>
      </c>
      <c r="AA305" t="s">
        <v>2752</v>
      </c>
      <c r="AB305" t="s">
        <v>2032</v>
      </c>
      <c r="AC305" t="s">
        <v>2752</v>
      </c>
      <c r="AD305" t="e">
        <f>VLOOKUP(AB305,#REF!,2,FALSE)</f>
        <v>#REF!</v>
      </c>
      <c r="AE305" t="e">
        <f>RIGHT(#REF!,(FIND("Complex",#REF!,1)-7))</f>
        <v>#REF!</v>
      </c>
    </row>
    <row r="306" spans="1:31" x14ac:dyDescent="0.25">
      <c r="A306">
        <v>2283</v>
      </c>
      <c r="B306" t="s">
        <v>95</v>
      </c>
      <c r="C306">
        <v>103</v>
      </c>
      <c r="D306">
        <v>415</v>
      </c>
      <c r="E306">
        <v>2283</v>
      </c>
      <c r="F306">
        <v>7673401</v>
      </c>
      <c r="G306">
        <v>7761600</v>
      </c>
      <c r="H306">
        <f t="shared" si="8"/>
        <v>174.00002267573697</v>
      </c>
      <c r="I306">
        <f t="shared" si="9"/>
        <v>176</v>
      </c>
      <c r="J306" t="s">
        <v>29</v>
      </c>
      <c r="K306">
        <v>6</v>
      </c>
      <c r="L306" t="e">
        <f t="array" ref="L306">VLOOKUP(J306:$J$3871&amp;K306:$K$3871,CHOOSE({1,2},#REF!&amp;#REF!,#REF!),2,0)</f>
        <v>#N/A</v>
      </c>
      <c r="M306">
        <v>-15</v>
      </c>
      <c r="N306">
        <v>0</v>
      </c>
      <c r="O306" t="s">
        <v>7</v>
      </c>
      <c r="P306">
        <v>1</v>
      </c>
      <c r="Q306">
        <v>0</v>
      </c>
      <c r="R306">
        <v>0</v>
      </c>
      <c r="S306">
        <v>1</v>
      </c>
      <c r="T306">
        <v>1</v>
      </c>
      <c r="U306">
        <v>0</v>
      </c>
      <c r="V306">
        <v>0</v>
      </c>
      <c r="W306">
        <v>1</v>
      </c>
      <c r="X306">
        <v>1</v>
      </c>
      <c r="Y306">
        <v>1</v>
      </c>
      <c r="Z306">
        <v>0</v>
      </c>
      <c r="AA306" t="s">
        <v>3162</v>
      </c>
      <c r="AB306" t="s">
        <v>2033</v>
      </c>
      <c r="AC306" t="s">
        <v>3162</v>
      </c>
      <c r="AD306" t="e">
        <f>VLOOKUP(AB306,#REF!,2,FALSE)</f>
        <v>#REF!</v>
      </c>
      <c r="AE306" t="e">
        <f>RIGHT(#REF!,(FIND("Complex",#REF!,1)-6))</f>
        <v>#REF!</v>
      </c>
    </row>
    <row r="307" spans="1:31" x14ac:dyDescent="0.25">
      <c r="A307">
        <v>3535</v>
      </c>
      <c r="B307" t="s">
        <v>95</v>
      </c>
      <c r="C307">
        <v>103</v>
      </c>
      <c r="D307">
        <v>933</v>
      </c>
      <c r="E307">
        <v>3535</v>
      </c>
      <c r="F307">
        <v>5644801</v>
      </c>
      <c r="G307">
        <v>5733000</v>
      </c>
      <c r="H307">
        <f t="shared" si="8"/>
        <v>128.00002267573697</v>
      </c>
      <c r="I307">
        <f t="shared" si="9"/>
        <v>130</v>
      </c>
      <c r="J307" t="s">
        <v>29</v>
      </c>
      <c r="K307">
        <v>6</v>
      </c>
      <c r="L307" t="e">
        <f t="array" ref="L307">VLOOKUP(J307:$J$3871&amp;K307:$K$3871,CHOOSE({1,2},#REF!&amp;#REF!,#REF!),2,0)</f>
        <v>#N/A</v>
      </c>
      <c r="M307">
        <v>-15</v>
      </c>
      <c r="N307">
        <v>0</v>
      </c>
      <c r="O307" t="s">
        <v>7</v>
      </c>
      <c r="P307">
        <v>1</v>
      </c>
      <c r="Q307">
        <v>0</v>
      </c>
      <c r="R307">
        <v>1</v>
      </c>
      <c r="S307">
        <v>1</v>
      </c>
      <c r="T307">
        <v>1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0</v>
      </c>
      <c r="AA307" t="s">
        <v>3343</v>
      </c>
      <c r="AB307" t="s">
        <v>2034</v>
      </c>
      <c r="AC307" t="s">
        <v>3343</v>
      </c>
      <c r="AD307" t="e">
        <f>VLOOKUP(AB307,#REF!,2,FALSE)</f>
        <v>#REF!</v>
      </c>
      <c r="AE307" t="e">
        <f>RIGHT(#REF!,(FIND("Complex",#REF!,1)-6))</f>
        <v>#REF!</v>
      </c>
    </row>
    <row r="308" spans="1:31" x14ac:dyDescent="0.25">
      <c r="A308">
        <v>3276</v>
      </c>
      <c r="B308" t="s">
        <v>95</v>
      </c>
      <c r="C308">
        <v>103</v>
      </c>
      <c r="D308">
        <v>817</v>
      </c>
      <c r="E308">
        <v>3276</v>
      </c>
      <c r="F308">
        <v>5556601</v>
      </c>
      <c r="G308">
        <v>5644800</v>
      </c>
      <c r="H308">
        <f t="shared" si="8"/>
        <v>126.00002267573696</v>
      </c>
      <c r="I308">
        <f t="shared" si="9"/>
        <v>128</v>
      </c>
      <c r="J308" t="s">
        <v>29</v>
      </c>
      <c r="K308">
        <v>6</v>
      </c>
      <c r="L308" t="e">
        <f t="array" ref="L308">VLOOKUP(J308:$J$3871&amp;K308:$K$3871,CHOOSE({1,2},#REF!&amp;#REF!,#REF!),2,0)</f>
        <v>#N/A</v>
      </c>
      <c r="M308">
        <v>-15</v>
      </c>
      <c r="N308">
        <v>0</v>
      </c>
      <c r="O308" t="s">
        <v>7</v>
      </c>
      <c r="P308">
        <v>1</v>
      </c>
      <c r="Q308">
        <v>0</v>
      </c>
      <c r="R308">
        <v>1</v>
      </c>
      <c r="S308">
        <v>1</v>
      </c>
      <c r="T308">
        <v>1</v>
      </c>
      <c r="U308">
        <v>0</v>
      </c>
      <c r="V308">
        <v>0</v>
      </c>
      <c r="W308">
        <v>1</v>
      </c>
      <c r="X308">
        <v>1</v>
      </c>
      <c r="Y308">
        <v>0</v>
      </c>
      <c r="Z308">
        <v>0</v>
      </c>
      <c r="AA308" t="s">
        <v>3354</v>
      </c>
      <c r="AB308" t="s">
        <v>6304</v>
      </c>
      <c r="AC308" t="s">
        <v>3354</v>
      </c>
      <c r="AD308" t="e">
        <f>VLOOKUP(AB308,#REF!,2,FALSE)</f>
        <v>#REF!</v>
      </c>
      <c r="AE308" t="e">
        <f>RIGHT(#REF!,(FIND("Complex",#REF!,1)-6))</f>
        <v>#REF!</v>
      </c>
    </row>
    <row r="309" spans="1:31" x14ac:dyDescent="0.25">
      <c r="A309">
        <v>3438</v>
      </c>
      <c r="B309" t="s">
        <v>72</v>
      </c>
      <c r="C309">
        <v>104</v>
      </c>
      <c r="D309">
        <v>891</v>
      </c>
      <c r="E309">
        <v>3438</v>
      </c>
      <c r="F309">
        <v>3439801</v>
      </c>
      <c r="G309">
        <v>3528000</v>
      </c>
      <c r="H309">
        <f t="shared" si="8"/>
        <v>78.000022675736957</v>
      </c>
      <c r="I309">
        <f t="shared" si="9"/>
        <v>80</v>
      </c>
      <c r="J309" t="s">
        <v>29</v>
      </c>
      <c r="K309">
        <v>6</v>
      </c>
      <c r="L309" t="e">
        <f t="array" ref="L309">VLOOKUP(J309:$J$3871&amp;K309:$K$3871,CHOOSE({1,2},#REF!&amp;#REF!,#REF!),2,0)</f>
        <v>#N/A</v>
      </c>
      <c r="M309">
        <v>-15</v>
      </c>
      <c r="N309">
        <v>0</v>
      </c>
      <c r="O309" t="s">
        <v>7</v>
      </c>
      <c r="P309">
        <v>1</v>
      </c>
      <c r="Q309">
        <v>0</v>
      </c>
      <c r="R309">
        <v>1</v>
      </c>
      <c r="S309">
        <v>1</v>
      </c>
      <c r="T309">
        <v>1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 t="s">
        <v>2712</v>
      </c>
      <c r="AB309" t="s">
        <v>2074</v>
      </c>
      <c r="AC309" t="s">
        <v>2712</v>
      </c>
      <c r="AD309" t="e">
        <f>VLOOKUP(AB309,#REF!,2,FALSE)</f>
        <v>#REF!</v>
      </c>
      <c r="AE309" t="e">
        <f>RIGHT(#REF!,(FIND("Complex",#REF!,1)-7))</f>
        <v>#REF!</v>
      </c>
    </row>
    <row r="310" spans="1:31" x14ac:dyDescent="0.25">
      <c r="A310">
        <v>3669</v>
      </c>
      <c r="B310" t="s">
        <v>72</v>
      </c>
      <c r="C310">
        <v>104</v>
      </c>
      <c r="D310">
        <v>986</v>
      </c>
      <c r="E310">
        <v>3669</v>
      </c>
      <c r="F310">
        <v>3263401</v>
      </c>
      <c r="G310">
        <v>3351600</v>
      </c>
      <c r="H310">
        <f t="shared" si="8"/>
        <v>74.000022675736957</v>
      </c>
      <c r="I310">
        <f t="shared" si="9"/>
        <v>76</v>
      </c>
      <c r="J310" t="s">
        <v>29</v>
      </c>
      <c r="K310">
        <v>6</v>
      </c>
      <c r="L310" t="e">
        <f t="array" ref="L310">VLOOKUP(J310:$J$3871&amp;K310:$K$3871,CHOOSE({1,2},#REF!&amp;#REF!,#REF!),2,0)</f>
        <v>#N/A</v>
      </c>
      <c r="M310">
        <v>-15</v>
      </c>
      <c r="N310">
        <v>0</v>
      </c>
      <c r="O310" t="s">
        <v>7</v>
      </c>
      <c r="P310">
        <v>1</v>
      </c>
      <c r="Q310">
        <v>0</v>
      </c>
      <c r="R310">
        <v>1</v>
      </c>
      <c r="S310">
        <v>1</v>
      </c>
      <c r="T310">
        <v>1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 t="s">
        <v>2727</v>
      </c>
      <c r="AB310" t="s">
        <v>6168</v>
      </c>
      <c r="AC310" t="s">
        <v>2727</v>
      </c>
      <c r="AD310" t="e">
        <f>VLOOKUP(AB310,#REF!,2,FALSE)</f>
        <v>#REF!</v>
      </c>
      <c r="AE310" t="e">
        <f>RIGHT(#REF!,(FIND("Complex",#REF!,1)-7))</f>
        <v>#REF!</v>
      </c>
    </row>
    <row r="311" spans="1:31" x14ac:dyDescent="0.25">
      <c r="A311">
        <v>3500</v>
      </c>
      <c r="B311" t="s">
        <v>72</v>
      </c>
      <c r="C311">
        <v>104</v>
      </c>
      <c r="D311">
        <v>921</v>
      </c>
      <c r="E311">
        <v>3500</v>
      </c>
      <c r="F311">
        <v>3087001</v>
      </c>
      <c r="G311">
        <v>3175200</v>
      </c>
      <c r="H311">
        <f t="shared" si="8"/>
        <v>70.000022675736957</v>
      </c>
      <c r="I311">
        <f t="shared" si="9"/>
        <v>72</v>
      </c>
      <c r="J311" t="s">
        <v>29</v>
      </c>
      <c r="K311">
        <v>6</v>
      </c>
      <c r="L311" t="e">
        <f t="array" ref="L311">VLOOKUP(J311:$J$3871&amp;K311:$K$3871,CHOOSE({1,2},#REF!&amp;#REF!,#REF!),2,0)</f>
        <v>#N/A</v>
      </c>
      <c r="M311">
        <v>-15</v>
      </c>
      <c r="N311">
        <v>0</v>
      </c>
      <c r="O311" t="s">
        <v>7</v>
      </c>
      <c r="P311">
        <v>1</v>
      </c>
      <c r="Q311">
        <v>0</v>
      </c>
      <c r="R311">
        <v>1</v>
      </c>
      <c r="S311">
        <v>1</v>
      </c>
      <c r="T311">
        <v>1</v>
      </c>
      <c r="U311">
        <v>0</v>
      </c>
      <c r="V311">
        <v>0</v>
      </c>
      <c r="W311">
        <v>1</v>
      </c>
      <c r="X311">
        <v>1</v>
      </c>
      <c r="Y311">
        <v>0</v>
      </c>
      <c r="Z311">
        <v>0</v>
      </c>
      <c r="AA311" t="s">
        <v>2742</v>
      </c>
      <c r="AB311" t="s">
        <v>6174</v>
      </c>
      <c r="AC311" t="s">
        <v>2742</v>
      </c>
      <c r="AD311" t="e">
        <f>VLOOKUP(AB311,#REF!,2,FALSE)</f>
        <v>#REF!</v>
      </c>
      <c r="AE311" t="e">
        <f>RIGHT(#REF!,(FIND("Complex",#REF!,1)-7))</f>
        <v>#REF!</v>
      </c>
    </row>
    <row r="312" spans="1:31" x14ac:dyDescent="0.25">
      <c r="A312">
        <v>3848</v>
      </c>
      <c r="B312" t="s">
        <v>72</v>
      </c>
      <c r="C312">
        <v>104</v>
      </c>
      <c r="D312">
        <v>1047</v>
      </c>
      <c r="E312">
        <v>3848</v>
      </c>
      <c r="F312">
        <v>2910601</v>
      </c>
      <c r="G312">
        <v>2998800</v>
      </c>
      <c r="H312">
        <f t="shared" si="8"/>
        <v>66.000022675736957</v>
      </c>
      <c r="I312">
        <f t="shared" si="9"/>
        <v>68</v>
      </c>
      <c r="J312" t="s">
        <v>29</v>
      </c>
      <c r="K312">
        <v>6</v>
      </c>
      <c r="L312" t="e">
        <f t="array" ref="L312">VLOOKUP(J312:$J$3871&amp;K312:$K$3871,CHOOSE({1,2},#REF!&amp;#REF!,#REF!),2,0)</f>
        <v>#N/A</v>
      </c>
      <c r="M312">
        <v>-15</v>
      </c>
      <c r="N312">
        <v>0</v>
      </c>
      <c r="O312" t="s">
        <v>7</v>
      </c>
      <c r="P312">
        <v>1</v>
      </c>
      <c r="Q312">
        <v>0</v>
      </c>
      <c r="R312">
        <v>1</v>
      </c>
      <c r="S312">
        <v>1</v>
      </c>
      <c r="T312">
        <v>1</v>
      </c>
      <c r="U312">
        <v>0</v>
      </c>
      <c r="V312">
        <v>0</v>
      </c>
      <c r="W312">
        <v>1</v>
      </c>
      <c r="X312">
        <v>1</v>
      </c>
      <c r="Y312">
        <v>0</v>
      </c>
      <c r="Z312">
        <v>0</v>
      </c>
      <c r="AA312" t="s">
        <v>2759</v>
      </c>
      <c r="AB312" t="s">
        <v>6177</v>
      </c>
      <c r="AC312" t="s">
        <v>2759</v>
      </c>
      <c r="AD312" t="e">
        <f>VLOOKUP(AB312,#REF!,2,FALSE)</f>
        <v>#REF!</v>
      </c>
      <c r="AE312" t="e">
        <f>RIGHT(#REF!,(FIND("Complex",#REF!,1)-8))</f>
        <v>#REF!</v>
      </c>
    </row>
    <row r="313" spans="1:31" x14ac:dyDescent="0.25">
      <c r="A313">
        <v>1541</v>
      </c>
      <c r="B313" t="s">
        <v>72</v>
      </c>
      <c r="C313">
        <v>104</v>
      </c>
      <c r="D313">
        <v>260</v>
      </c>
      <c r="E313">
        <v>1541</v>
      </c>
      <c r="F313">
        <v>2734201</v>
      </c>
      <c r="G313">
        <v>2822400</v>
      </c>
      <c r="H313">
        <f t="shared" si="8"/>
        <v>62.000022675736965</v>
      </c>
      <c r="I313">
        <f t="shared" si="9"/>
        <v>64</v>
      </c>
      <c r="J313" t="s">
        <v>29</v>
      </c>
      <c r="K313">
        <v>6</v>
      </c>
      <c r="L313" t="e">
        <f t="array" ref="L313">VLOOKUP(J313:$J$3871&amp;K313:$K$3871,CHOOSE({1,2},#REF!&amp;#REF!,#REF!),2,0)</f>
        <v>#N/A</v>
      </c>
      <c r="M313">
        <v>-15</v>
      </c>
      <c r="N313">
        <v>0</v>
      </c>
      <c r="O313" t="s">
        <v>7</v>
      </c>
      <c r="P313">
        <v>1</v>
      </c>
      <c r="Q313">
        <v>0</v>
      </c>
      <c r="R313">
        <v>1</v>
      </c>
      <c r="S313">
        <v>1</v>
      </c>
      <c r="T313">
        <v>1</v>
      </c>
      <c r="U313">
        <v>0</v>
      </c>
      <c r="V313">
        <v>0</v>
      </c>
      <c r="W313">
        <v>1</v>
      </c>
      <c r="X313">
        <v>1</v>
      </c>
      <c r="Y313">
        <v>0</v>
      </c>
      <c r="Z313">
        <v>0</v>
      </c>
      <c r="AA313" t="s">
        <v>2776</v>
      </c>
      <c r="AB313" t="s">
        <v>6182</v>
      </c>
      <c r="AC313" t="s">
        <v>2776</v>
      </c>
      <c r="AD313" t="e">
        <f>VLOOKUP(AB313,#REF!,2,FALSE)</f>
        <v>#REF!</v>
      </c>
      <c r="AE313" t="e">
        <f>RIGHT(#REF!,(FIND("Complex",#REF!,1)-7))</f>
        <v>#REF!</v>
      </c>
    </row>
    <row r="314" spans="1:31" x14ac:dyDescent="0.25">
      <c r="A314">
        <v>884</v>
      </c>
      <c r="B314" t="s">
        <v>72</v>
      </c>
      <c r="C314">
        <v>104</v>
      </c>
      <c r="D314">
        <v>155</v>
      </c>
      <c r="E314">
        <v>884</v>
      </c>
      <c r="F314">
        <v>11907001</v>
      </c>
      <c r="G314">
        <v>11995200</v>
      </c>
      <c r="H314">
        <f t="shared" si="8"/>
        <v>270.00002267573694</v>
      </c>
      <c r="I314">
        <f t="shared" si="9"/>
        <v>272</v>
      </c>
      <c r="J314" t="s">
        <v>29</v>
      </c>
      <c r="K314">
        <v>6</v>
      </c>
      <c r="L314" t="e">
        <f t="array" ref="L314">VLOOKUP(J314:$J$3871&amp;K314:$K$3871,CHOOSE({1,2},#REF!&amp;#REF!,#REF!),2,0)</f>
        <v>#N/A</v>
      </c>
      <c r="M314">
        <v>-15</v>
      </c>
      <c r="N314">
        <v>0</v>
      </c>
      <c r="O314" t="s">
        <v>7</v>
      </c>
      <c r="P314">
        <v>1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1</v>
      </c>
      <c r="Y314">
        <v>1</v>
      </c>
      <c r="Z314">
        <v>0</v>
      </c>
      <c r="AA314" t="s">
        <v>2911</v>
      </c>
      <c r="AB314" t="s">
        <v>2075</v>
      </c>
      <c r="AC314" t="s">
        <v>2911</v>
      </c>
      <c r="AD314" t="e">
        <f>VLOOKUP(AB314,#REF!,2,FALSE)</f>
        <v>#REF!</v>
      </c>
      <c r="AE314" t="e">
        <f>RIGHT(#REF!,(FIND("Complex",#REF!,1)-5))</f>
        <v>#REF!</v>
      </c>
    </row>
    <row r="315" spans="1:31" x14ac:dyDescent="0.25">
      <c r="A315">
        <v>3213</v>
      </c>
      <c r="B315" t="s">
        <v>72</v>
      </c>
      <c r="C315">
        <v>104</v>
      </c>
      <c r="D315">
        <v>777</v>
      </c>
      <c r="E315">
        <v>3213</v>
      </c>
      <c r="F315">
        <v>11201401</v>
      </c>
      <c r="G315">
        <v>11289600</v>
      </c>
      <c r="H315">
        <f t="shared" si="8"/>
        <v>254.00002267573697</v>
      </c>
      <c r="I315">
        <f t="shared" si="9"/>
        <v>256</v>
      </c>
      <c r="J315" t="s">
        <v>29</v>
      </c>
      <c r="K315">
        <v>6</v>
      </c>
      <c r="L315" t="e">
        <f t="array" ref="L315">VLOOKUP(J315:$J$3871&amp;K315:$K$3871,CHOOSE({1,2},#REF!&amp;#REF!,#REF!),2,0)</f>
        <v>#N/A</v>
      </c>
      <c r="M315">
        <v>-15</v>
      </c>
      <c r="N315">
        <v>0</v>
      </c>
      <c r="O315" t="s">
        <v>7</v>
      </c>
      <c r="P315">
        <v>1</v>
      </c>
      <c r="Q315">
        <v>0</v>
      </c>
      <c r="R315">
        <v>1</v>
      </c>
      <c r="S315">
        <v>1</v>
      </c>
      <c r="T315">
        <v>1</v>
      </c>
      <c r="U315">
        <v>0</v>
      </c>
      <c r="V315">
        <v>0</v>
      </c>
      <c r="W315">
        <v>1</v>
      </c>
      <c r="X315">
        <v>1</v>
      </c>
      <c r="Y315">
        <v>0</v>
      </c>
      <c r="Z315">
        <v>0</v>
      </c>
      <c r="AA315" t="s">
        <v>2930</v>
      </c>
      <c r="AB315" t="s">
        <v>6226</v>
      </c>
      <c r="AC315" t="s">
        <v>2930</v>
      </c>
      <c r="AD315" t="e">
        <f>VLOOKUP(AB315,#REF!,2,FALSE)</f>
        <v>#REF!</v>
      </c>
      <c r="AE315" t="e">
        <f>RIGHT(#REF!,(FIND("Complex",#REF!,1)-6))</f>
        <v>#REF!</v>
      </c>
    </row>
    <row r="316" spans="1:31" x14ac:dyDescent="0.25">
      <c r="A316">
        <v>3847</v>
      </c>
      <c r="B316" t="s">
        <v>72</v>
      </c>
      <c r="C316">
        <v>104</v>
      </c>
      <c r="D316">
        <v>1046</v>
      </c>
      <c r="E316">
        <v>3847</v>
      </c>
      <c r="F316">
        <v>11113201</v>
      </c>
      <c r="G316">
        <v>11201400</v>
      </c>
      <c r="H316">
        <f t="shared" si="8"/>
        <v>252.00002267573697</v>
      </c>
      <c r="I316">
        <f t="shared" si="9"/>
        <v>254</v>
      </c>
      <c r="J316" t="s">
        <v>29</v>
      </c>
      <c r="K316">
        <v>6</v>
      </c>
      <c r="L316" t="e">
        <f t="array" ref="L316">VLOOKUP(J316:$J$3871&amp;K316:$K$3871,CHOOSE({1,2},#REF!&amp;#REF!,#REF!),2,0)</f>
        <v>#N/A</v>
      </c>
      <c r="M316">
        <v>-15</v>
      </c>
      <c r="N316">
        <v>0</v>
      </c>
      <c r="O316" t="s">
        <v>7</v>
      </c>
      <c r="P316">
        <v>1</v>
      </c>
      <c r="Q316">
        <v>0</v>
      </c>
      <c r="R316">
        <v>1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1</v>
      </c>
      <c r="Y316">
        <v>1</v>
      </c>
      <c r="Z316">
        <v>0</v>
      </c>
      <c r="AA316" t="s">
        <v>2933</v>
      </c>
      <c r="AB316" t="s">
        <v>2076</v>
      </c>
      <c r="AC316" t="s">
        <v>2933</v>
      </c>
      <c r="AD316" t="e">
        <f>VLOOKUP(AB316,#REF!,2,FALSE)</f>
        <v>#REF!</v>
      </c>
      <c r="AE316" t="e">
        <f>RIGHT(#REF!,(FIND("Complex",#REF!,1)-7))</f>
        <v>#REF!</v>
      </c>
    </row>
    <row r="317" spans="1:31" x14ac:dyDescent="0.25">
      <c r="A317">
        <v>3789</v>
      </c>
      <c r="B317" t="s">
        <v>72</v>
      </c>
      <c r="C317">
        <v>104</v>
      </c>
      <c r="D317">
        <v>1027</v>
      </c>
      <c r="E317">
        <v>3789</v>
      </c>
      <c r="F317">
        <v>11025001</v>
      </c>
      <c r="G317">
        <v>11113200</v>
      </c>
      <c r="H317">
        <f t="shared" si="8"/>
        <v>250.00002267573697</v>
      </c>
      <c r="I317">
        <f t="shared" si="9"/>
        <v>252</v>
      </c>
      <c r="J317" t="s">
        <v>29</v>
      </c>
      <c r="K317">
        <v>6</v>
      </c>
      <c r="L317" t="e">
        <f t="array" ref="L317">VLOOKUP(J317:$J$3871&amp;K317:$K$3871,CHOOSE({1,2},#REF!&amp;#REF!,#REF!),2,0)</f>
        <v>#N/A</v>
      </c>
      <c r="M317">
        <v>-15</v>
      </c>
      <c r="N317">
        <v>0</v>
      </c>
      <c r="O317" t="s">
        <v>7</v>
      </c>
      <c r="P317">
        <v>1</v>
      </c>
      <c r="Q317">
        <v>0</v>
      </c>
      <c r="R317">
        <v>1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1</v>
      </c>
      <c r="Y317">
        <v>1</v>
      </c>
      <c r="Z317">
        <v>0</v>
      </c>
      <c r="AA317" t="s">
        <v>2939</v>
      </c>
      <c r="AB317" t="s">
        <v>6230</v>
      </c>
      <c r="AC317" t="s">
        <v>2939</v>
      </c>
      <c r="AD317" t="e">
        <f>VLOOKUP(AB317,#REF!,2,FALSE)</f>
        <v>#REF!</v>
      </c>
      <c r="AE317" t="e">
        <f>RIGHT(#REF!,(FIND("Complex",#REF!,1)-7))</f>
        <v>#REF!</v>
      </c>
    </row>
    <row r="318" spans="1:31" x14ac:dyDescent="0.25">
      <c r="A318">
        <v>3779</v>
      </c>
      <c r="B318" t="s">
        <v>72</v>
      </c>
      <c r="C318">
        <v>104</v>
      </c>
      <c r="D318">
        <v>1021</v>
      </c>
      <c r="E318">
        <v>3779</v>
      </c>
      <c r="F318">
        <v>9966601</v>
      </c>
      <c r="G318">
        <v>10054800</v>
      </c>
      <c r="H318">
        <f t="shared" si="8"/>
        <v>226.00002267573697</v>
      </c>
      <c r="I318">
        <f t="shared" si="9"/>
        <v>228</v>
      </c>
      <c r="J318" t="s">
        <v>29</v>
      </c>
      <c r="K318">
        <v>6</v>
      </c>
      <c r="L318" t="e">
        <f t="array" ref="L318">VLOOKUP(J318:$J$3871&amp;K318:$K$3871,CHOOSE({1,2},#REF!&amp;#REF!,#REF!),2,0)</f>
        <v>#N/A</v>
      </c>
      <c r="M318">
        <v>-15</v>
      </c>
      <c r="N318">
        <v>0</v>
      </c>
      <c r="O318" t="s">
        <v>7</v>
      </c>
      <c r="P318">
        <v>1</v>
      </c>
      <c r="Q318">
        <v>0</v>
      </c>
      <c r="R318">
        <v>1</v>
      </c>
      <c r="S318">
        <v>1</v>
      </c>
      <c r="T318">
        <v>1</v>
      </c>
      <c r="U318">
        <v>0</v>
      </c>
      <c r="V318">
        <v>0</v>
      </c>
      <c r="W318">
        <v>1</v>
      </c>
      <c r="X318">
        <v>1</v>
      </c>
      <c r="Y318">
        <v>0</v>
      </c>
      <c r="Z318">
        <v>0</v>
      </c>
      <c r="AA318" t="s">
        <v>2993</v>
      </c>
      <c r="AB318" t="s">
        <v>2077</v>
      </c>
      <c r="AC318" t="s">
        <v>2993</v>
      </c>
      <c r="AD318" t="e">
        <f>VLOOKUP(AB318,#REF!,2,FALSE)</f>
        <v>#REF!</v>
      </c>
      <c r="AE318" t="e">
        <f>RIGHT(#REF!,(FIND("Complex",#REF!,1)-7))</f>
        <v>#REF!</v>
      </c>
    </row>
    <row r="319" spans="1:31" x14ac:dyDescent="0.25">
      <c r="A319">
        <v>3854</v>
      </c>
      <c r="B319" t="s">
        <v>72</v>
      </c>
      <c r="C319">
        <v>104</v>
      </c>
      <c r="D319">
        <v>1049</v>
      </c>
      <c r="E319">
        <v>3854</v>
      </c>
      <c r="F319">
        <v>9790201</v>
      </c>
      <c r="G319">
        <v>9878400</v>
      </c>
      <c r="H319">
        <f t="shared" si="8"/>
        <v>222.00002267573697</v>
      </c>
      <c r="I319">
        <f t="shared" si="9"/>
        <v>224</v>
      </c>
      <c r="J319" t="s">
        <v>29</v>
      </c>
      <c r="K319">
        <v>6</v>
      </c>
      <c r="L319" t="e">
        <f t="array" ref="L319">VLOOKUP(J319:$J$3871&amp;K319:$K$3871,CHOOSE({1,2},#REF!&amp;#REF!,#REF!),2,0)</f>
        <v>#N/A</v>
      </c>
      <c r="M319">
        <v>-15</v>
      </c>
      <c r="N319">
        <v>0</v>
      </c>
      <c r="O319" t="s">
        <v>7</v>
      </c>
      <c r="P319">
        <v>1</v>
      </c>
      <c r="Q319">
        <v>0</v>
      </c>
      <c r="R319">
        <v>1</v>
      </c>
      <c r="S319">
        <v>1</v>
      </c>
      <c r="T319">
        <v>1</v>
      </c>
      <c r="U319">
        <v>0</v>
      </c>
      <c r="V319">
        <v>0</v>
      </c>
      <c r="W319">
        <v>1</v>
      </c>
      <c r="X319">
        <v>1</v>
      </c>
      <c r="Y319">
        <v>0</v>
      </c>
      <c r="Z319">
        <v>0</v>
      </c>
      <c r="AA319" t="s">
        <v>3001</v>
      </c>
      <c r="AB319" t="s">
        <v>2078</v>
      </c>
      <c r="AC319" t="s">
        <v>3001</v>
      </c>
      <c r="AD319" t="e">
        <f>VLOOKUP(AB319,#REF!,2,FALSE)</f>
        <v>#REF!</v>
      </c>
      <c r="AE319" t="e">
        <f>RIGHT(#REF!,(FIND("Complex",#REF!,1)-7))</f>
        <v>#REF!</v>
      </c>
    </row>
    <row r="320" spans="1:31" x14ac:dyDescent="0.25">
      <c r="A320">
        <v>3385</v>
      </c>
      <c r="B320" t="s">
        <v>72</v>
      </c>
      <c r="C320">
        <v>104</v>
      </c>
      <c r="D320">
        <v>868</v>
      </c>
      <c r="E320">
        <v>3385</v>
      </c>
      <c r="F320">
        <v>9613801</v>
      </c>
      <c r="G320">
        <v>9702000</v>
      </c>
      <c r="H320">
        <f t="shared" si="8"/>
        <v>218.00002267573697</v>
      </c>
      <c r="I320">
        <f t="shared" si="9"/>
        <v>220</v>
      </c>
      <c r="J320" t="s">
        <v>29</v>
      </c>
      <c r="K320">
        <v>6</v>
      </c>
      <c r="L320" t="e">
        <f t="array" ref="L320">VLOOKUP(J320:$J$3871&amp;K320:$K$3871,CHOOSE({1,2},#REF!&amp;#REF!,#REF!),2,0)</f>
        <v>#N/A</v>
      </c>
      <c r="M320">
        <v>-15</v>
      </c>
      <c r="N320">
        <v>0</v>
      </c>
      <c r="O320" t="s">
        <v>7</v>
      </c>
      <c r="P320">
        <v>1</v>
      </c>
      <c r="Q320">
        <v>0</v>
      </c>
      <c r="R320">
        <v>1</v>
      </c>
      <c r="S320">
        <v>1</v>
      </c>
      <c r="T320">
        <v>1</v>
      </c>
      <c r="U320">
        <v>0</v>
      </c>
      <c r="V320">
        <v>0</v>
      </c>
      <c r="W320">
        <v>1</v>
      </c>
      <c r="X320">
        <v>1</v>
      </c>
      <c r="Y320">
        <v>0</v>
      </c>
      <c r="Z320">
        <v>0</v>
      </c>
      <c r="AA320" t="s">
        <v>3011</v>
      </c>
      <c r="AB320" t="s">
        <v>2079</v>
      </c>
      <c r="AC320" t="s">
        <v>3011</v>
      </c>
      <c r="AD320" t="e">
        <f>VLOOKUP(AB320,#REF!,2,FALSE)</f>
        <v>#REF!</v>
      </c>
      <c r="AE320" t="e">
        <f>RIGHT(#REF!,(FIND("Complex",#REF!,1)-6))</f>
        <v>#REF!</v>
      </c>
    </row>
    <row r="321" spans="1:31" x14ac:dyDescent="0.25">
      <c r="A321">
        <v>3845</v>
      </c>
      <c r="B321" t="s">
        <v>72</v>
      </c>
      <c r="C321">
        <v>104</v>
      </c>
      <c r="D321">
        <v>1045</v>
      </c>
      <c r="E321">
        <v>3845</v>
      </c>
      <c r="F321">
        <v>9525601</v>
      </c>
      <c r="G321">
        <v>9613800</v>
      </c>
      <c r="H321">
        <f t="shared" si="8"/>
        <v>216.00002267573697</v>
      </c>
      <c r="I321">
        <f t="shared" si="9"/>
        <v>218</v>
      </c>
      <c r="J321" t="s">
        <v>29</v>
      </c>
      <c r="K321">
        <v>6</v>
      </c>
      <c r="L321" t="e">
        <f t="array" ref="L321">VLOOKUP(J321:$J$3871&amp;K321:$K$3871,CHOOSE({1,2},#REF!&amp;#REF!,#REF!),2,0)</f>
        <v>#N/A</v>
      </c>
      <c r="M321">
        <v>-15</v>
      </c>
      <c r="N321">
        <v>0</v>
      </c>
      <c r="O321" t="s">
        <v>7</v>
      </c>
      <c r="P321">
        <v>1</v>
      </c>
      <c r="Q321">
        <v>0</v>
      </c>
      <c r="R321">
        <v>1</v>
      </c>
      <c r="S321">
        <v>1</v>
      </c>
      <c r="T321">
        <v>1</v>
      </c>
      <c r="U321">
        <v>0</v>
      </c>
      <c r="V321">
        <v>0</v>
      </c>
      <c r="W321">
        <v>1</v>
      </c>
      <c r="X321">
        <v>1</v>
      </c>
      <c r="Y321">
        <v>0</v>
      </c>
      <c r="Z321">
        <v>0</v>
      </c>
      <c r="AA321" t="s">
        <v>3016</v>
      </c>
      <c r="AB321" t="s">
        <v>6245</v>
      </c>
      <c r="AC321" t="s">
        <v>3016</v>
      </c>
      <c r="AD321" t="e">
        <f>VLOOKUP(AB321,#REF!,2,FALSE)</f>
        <v>#REF!</v>
      </c>
      <c r="AE321" t="e">
        <f>RIGHT(#REF!,(FIND("Complex",#REF!,1)-7))</f>
        <v>#REF!</v>
      </c>
    </row>
    <row r="322" spans="1:31" x14ac:dyDescent="0.25">
      <c r="A322">
        <v>3835</v>
      </c>
      <c r="B322" t="s">
        <v>72</v>
      </c>
      <c r="C322">
        <v>104</v>
      </c>
      <c r="D322">
        <v>1042</v>
      </c>
      <c r="E322">
        <v>3835</v>
      </c>
      <c r="F322">
        <v>8643601</v>
      </c>
      <c r="G322">
        <v>8731800</v>
      </c>
      <c r="H322">
        <f t="shared" ref="H322:H385" si="10">F322/44100</f>
        <v>196.00002267573697</v>
      </c>
      <c r="I322">
        <f t="shared" ref="I322:I385" si="11">G322/44100</f>
        <v>198</v>
      </c>
      <c r="J322" t="s">
        <v>29</v>
      </c>
      <c r="K322">
        <v>6</v>
      </c>
      <c r="L322" t="e">
        <f t="array" ref="L322">VLOOKUP(J322:$J$3871&amp;K322:$K$3871,CHOOSE({1,2},#REF!&amp;#REF!,#REF!),2,0)</f>
        <v>#N/A</v>
      </c>
      <c r="M322">
        <v>-15</v>
      </c>
      <c r="N322">
        <v>0</v>
      </c>
      <c r="O322" t="s">
        <v>7</v>
      </c>
      <c r="P322">
        <v>1</v>
      </c>
      <c r="Q322">
        <v>1</v>
      </c>
      <c r="R322">
        <v>1</v>
      </c>
      <c r="S322">
        <v>0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 t="s">
        <v>3068</v>
      </c>
      <c r="AB322" t="s">
        <v>2080</v>
      </c>
      <c r="AC322" t="s">
        <v>3068</v>
      </c>
      <c r="AD322" t="e">
        <f>VLOOKUP(AB322,#REF!,2,FALSE)</f>
        <v>#REF!</v>
      </c>
      <c r="AE322" t="e">
        <f>RIGHT(#REF!,(FIND("Complex",#REF!,1)-7))</f>
        <v>#REF!</v>
      </c>
    </row>
    <row r="323" spans="1:31" x14ac:dyDescent="0.25">
      <c r="A323">
        <v>3811</v>
      </c>
      <c r="B323" t="s">
        <v>72</v>
      </c>
      <c r="C323">
        <v>104</v>
      </c>
      <c r="D323">
        <v>1034</v>
      </c>
      <c r="E323">
        <v>3811</v>
      </c>
      <c r="F323">
        <v>8555401</v>
      </c>
      <c r="G323">
        <v>8643600</v>
      </c>
      <c r="H323">
        <f t="shared" si="10"/>
        <v>194.00002267573697</v>
      </c>
      <c r="I323">
        <f t="shared" si="11"/>
        <v>196</v>
      </c>
      <c r="J323" t="s">
        <v>29</v>
      </c>
      <c r="K323">
        <v>6</v>
      </c>
      <c r="L323" t="e">
        <f t="array" ref="L323">VLOOKUP(J323:$J$3871&amp;K323:$K$3871,CHOOSE({1,2},#REF!&amp;#REF!,#REF!),2,0)</f>
        <v>#N/A</v>
      </c>
      <c r="M323">
        <v>-15</v>
      </c>
      <c r="N323">
        <v>0</v>
      </c>
      <c r="O323" t="s">
        <v>7</v>
      </c>
      <c r="P323">
        <v>1</v>
      </c>
      <c r="Q323">
        <v>1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1</v>
      </c>
      <c r="X323">
        <v>1</v>
      </c>
      <c r="Y323">
        <v>0</v>
      </c>
      <c r="Z323">
        <v>0</v>
      </c>
      <c r="AA323" t="s">
        <v>3073</v>
      </c>
      <c r="AB323" t="s">
        <v>6257</v>
      </c>
      <c r="AC323" t="s">
        <v>3073</v>
      </c>
      <c r="AD323" t="e">
        <f>VLOOKUP(AB323,#REF!,2,FALSE)</f>
        <v>#REF!</v>
      </c>
      <c r="AE323" t="e">
        <f>RIGHT(#REF!,(FIND("Complex",#REF!,1)-7))</f>
        <v>#REF!</v>
      </c>
    </row>
    <row r="324" spans="1:31" x14ac:dyDescent="0.25">
      <c r="A324">
        <v>3116</v>
      </c>
      <c r="B324" t="s">
        <v>72</v>
      </c>
      <c r="C324">
        <v>104</v>
      </c>
      <c r="D324">
        <v>732</v>
      </c>
      <c r="E324">
        <v>3116</v>
      </c>
      <c r="F324">
        <v>8202601</v>
      </c>
      <c r="G324">
        <v>8290800</v>
      </c>
      <c r="H324">
        <f t="shared" si="10"/>
        <v>186.00002267573697</v>
      </c>
      <c r="I324">
        <f t="shared" si="11"/>
        <v>188</v>
      </c>
      <c r="J324" t="s">
        <v>29</v>
      </c>
      <c r="K324">
        <v>6</v>
      </c>
      <c r="L324" t="e">
        <f t="array" ref="L324">VLOOKUP(J324:$J$3871&amp;K324:$K$3871,CHOOSE({1,2},#REF!&amp;#REF!,#REF!),2,0)</f>
        <v>#N/A</v>
      </c>
      <c r="M324">
        <v>-15</v>
      </c>
      <c r="N324">
        <v>0</v>
      </c>
      <c r="O324" t="s">
        <v>7</v>
      </c>
      <c r="P324">
        <v>1</v>
      </c>
      <c r="Q324">
        <v>1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1</v>
      </c>
      <c r="X324">
        <v>1</v>
      </c>
      <c r="Y324">
        <v>0</v>
      </c>
      <c r="Z324">
        <v>0</v>
      </c>
      <c r="AA324" t="s">
        <v>3104</v>
      </c>
      <c r="AB324" t="s">
        <v>6266</v>
      </c>
      <c r="AC324" t="s">
        <v>3104</v>
      </c>
      <c r="AD324" t="e">
        <f>VLOOKUP(AB324,#REF!,2,FALSE)</f>
        <v>#REF!</v>
      </c>
      <c r="AE324" t="e">
        <f>RIGHT(#REF!,(FIND("Complex",#REF!,1)-6))</f>
        <v>#REF!</v>
      </c>
    </row>
    <row r="325" spans="1:31" x14ac:dyDescent="0.25">
      <c r="A325">
        <v>2695</v>
      </c>
      <c r="B325" t="s">
        <v>72</v>
      </c>
      <c r="C325">
        <v>104</v>
      </c>
      <c r="D325">
        <v>558</v>
      </c>
      <c r="E325">
        <v>2695</v>
      </c>
      <c r="F325">
        <v>8026201</v>
      </c>
      <c r="G325">
        <v>8114400</v>
      </c>
      <c r="H325">
        <f t="shared" si="10"/>
        <v>182.00002267573697</v>
      </c>
      <c r="I325">
        <f t="shared" si="11"/>
        <v>184</v>
      </c>
      <c r="J325" t="s">
        <v>29</v>
      </c>
      <c r="K325">
        <v>6</v>
      </c>
      <c r="L325" t="e">
        <f t="array" ref="L325">VLOOKUP(J325:$J$3871&amp;K325:$K$3871,CHOOSE({1,2},#REF!&amp;#REF!,#REF!),2,0)</f>
        <v>#N/A</v>
      </c>
      <c r="M325">
        <v>-15</v>
      </c>
      <c r="N325">
        <v>0</v>
      </c>
      <c r="O325" t="s">
        <v>7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1</v>
      </c>
      <c r="X325">
        <v>1</v>
      </c>
      <c r="Y325">
        <v>0</v>
      </c>
      <c r="Z325">
        <v>0</v>
      </c>
      <c r="AA325" t="s">
        <v>3124</v>
      </c>
      <c r="AB325" t="s">
        <v>2081</v>
      </c>
      <c r="AC325" t="s">
        <v>3124</v>
      </c>
      <c r="AD325" t="e">
        <f>VLOOKUP(AB325,#REF!,2,FALSE)</f>
        <v>#REF!</v>
      </c>
      <c r="AE325" t="e">
        <f>RIGHT(#REF!,(FIND("Complex",#REF!,1)-6))</f>
        <v>#REF!</v>
      </c>
    </row>
    <row r="326" spans="1:31" x14ac:dyDescent="0.25">
      <c r="A326">
        <v>2682</v>
      </c>
      <c r="B326" t="s">
        <v>90</v>
      </c>
      <c r="C326">
        <v>111</v>
      </c>
      <c r="D326">
        <v>551</v>
      </c>
      <c r="E326">
        <v>2682</v>
      </c>
      <c r="F326">
        <v>3704401</v>
      </c>
      <c r="G326">
        <v>3792600</v>
      </c>
      <c r="H326">
        <f t="shared" si="10"/>
        <v>84.000022675736957</v>
      </c>
      <c r="I326">
        <f t="shared" si="11"/>
        <v>86</v>
      </c>
      <c r="J326" t="s">
        <v>29</v>
      </c>
      <c r="K326">
        <v>6</v>
      </c>
      <c r="L326" t="e">
        <f t="array" ref="L326">VLOOKUP(J326:$J$3871&amp;K326:$K$3871,CHOOSE({1,2},#REF!&amp;#REF!,#REF!),2,0)</f>
        <v>#N/A</v>
      </c>
      <c r="M326">
        <v>-15</v>
      </c>
      <c r="N326">
        <v>0</v>
      </c>
      <c r="O326" t="s">
        <v>7</v>
      </c>
      <c r="P326">
        <v>1</v>
      </c>
      <c r="Q326">
        <v>1</v>
      </c>
      <c r="R326">
        <v>1</v>
      </c>
      <c r="S326">
        <v>0</v>
      </c>
      <c r="T326">
        <v>0</v>
      </c>
      <c r="U326">
        <v>1</v>
      </c>
      <c r="V326">
        <v>0</v>
      </c>
      <c r="W326">
        <v>1</v>
      </c>
      <c r="X326">
        <v>1</v>
      </c>
      <c r="Y326">
        <v>0</v>
      </c>
      <c r="Z326">
        <v>0</v>
      </c>
      <c r="AA326" t="s">
        <v>2683</v>
      </c>
      <c r="AB326" t="s">
        <v>2181</v>
      </c>
      <c r="AC326" t="s">
        <v>2683</v>
      </c>
      <c r="AD326" t="e">
        <f>VLOOKUP(AB326,#REF!,2,FALSE)</f>
        <v>#REF!</v>
      </c>
      <c r="AE326" t="e">
        <f>RIGHT(#REF!,(FIND("Complex",#REF!,1)-7))</f>
        <v>#REF!</v>
      </c>
    </row>
    <row r="327" spans="1:31" x14ac:dyDescent="0.25">
      <c r="A327">
        <v>1895</v>
      </c>
      <c r="B327" t="s">
        <v>90</v>
      </c>
      <c r="C327">
        <v>111</v>
      </c>
      <c r="D327">
        <v>326</v>
      </c>
      <c r="E327">
        <v>1895</v>
      </c>
      <c r="F327">
        <v>3263401</v>
      </c>
      <c r="G327">
        <v>3351600</v>
      </c>
      <c r="H327">
        <f t="shared" si="10"/>
        <v>74.000022675736957</v>
      </c>
      <c r="I327">
        <f t="shared" si="11"/>
        <v>76</v>
      </c>
      <c r="J327" t="s">
        <v>29</v>
      </c>
      <c r="K327">
        <v>6</v>
      </c>
      <c r="L327" t="e">
        <f t="array" ref="L327">VLOOKUP(J327:$J$3871&amp;K327:$K$3871,CHOOSE({1,2},#REF!&amp;#REF!,#REF!),2,0)</f>
        <v>#N/A</v>
      </c>
      <c r="M327">
        <v>-15</v>
      </c>
      <c r="N327">
        <v>0</v>
      </c>
      <c r="O327" t="s">
        <v>7</v>
      </c>
      <c r="P327">
        <v>1</v>
      </c>
      <c r="Q327">
        <v>1</v>
      </c>
      <c r="R327">
        <v>1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1</v>
      </c>
      <c r="Y327">
        <v>0</v>
      </c>
      <c r="Z327">
        <v>0</v>
      </c>
      <c r="AA327" t="s">
        <v>2726</v>
      </c>
      <c r="AB327" t="s">
        <v>2182</v>
      </c>
      <c r="AC327" t="s">
        <v>2726</v>
      </c>
      <c r="AD327" t="e">
        <f>VLOOKUP(AB327,#REF!,2,FALSE)</f>
        <v>#REF!</v>
      </c>
      <c r="AE327" t="e">
        <f>RIGHT(#REF!,(FIND("Complex",#REF!,1)-7))</f>
        <v>#REF!</v>
      </c>
    </row>
    <row r="328" spans="1:31" x14ac:dyDescent="0.25">
      <c r="A328">
        <v>3251</v>
      </c>
      <c r="B328" t="s">
        <v>90</v>
      </c>
      <c r="C328">
        <v>111</v>
      </c>
      <c r="D328">
        <v>801</v>
      </c>
      <c r="E328">
        <v>3251</v>
      </c>
      <c r="F328">
        <v>3175201</v>
      </c>
      <c r="G328">
        <v>3263400</v>
      </c>
      <c r="H328">
        <f t="shared" si="10"/>
        <v>72.000022675736957</v>
      </c>
      <c r="I328">
        <f t="shared" si="11"/>
        <v>74</v>
      </c>
      <c r="J328" t="s">
        <v>29</v>
      </c>
      <c r="K328">
        <v>6</v>
      </c>
      <c r="L328" t="e">
        <f t="array" ref="L328">VLOOKUP(J328:$J$3871&amp;K328:$K$3871,CHOOSE({1,2},#REF!&amp;#REF!,#REF!),2,0)</f>
        <v>#N/A</v>
      </c>
      <c r="M328">
        <v>-15</v>
      </c>
      <c r="N328">
        <v>0</v>
      </c>
      <c r="O328" t="s">
        <v>7</v>
      </c>
      <c r="P328">
        <v>1</v>
      </c>
      <c r="Q328">
        <v>1</v>
      </c>
      <c r="R328">
        <v>1</v>
      </c>
      <c r="S328">
        <v>0</v>
      </c>
      <c r="T328">
        <v>0</v>
      </c>
      <c r="U328">
        <v>1</v>
      </c>
      <c r="V328">
        <v>0</v>
      </c>
      <c r="W328">
        <v>1</v>
      </c>
      <c r="X328">
        <v>1</v>
      </c>
      <c r="Y328">
        <v>0</v>
      </c>
      <c r="Z328">
        <v>0</v>
      </c>
      <c r="AA328" t="s">
        <v>2733</v>
      </c>
      <c r="AB328" t="s">
        <v>2183</v>
      </c>
      <c r="AC328" t="s">
        <v>2733</v>
      </c>
      <c r="AD328" t="e">
        <f>VLOOKUP(AB328,#REF!,2,FALSE)</f>
        <v>#REF!</v>
      </c>
      <c r="AE328" t="e">
        <f>RIGHT(#REF!,(FIND("Complex",#REF!,1)-7))</f>
        <v>#REF!</v>
      </c>
    </row>
    <row r="329" spans="1:31" x14ac:dyDescent="0.25">
      <c r="A329">
        <v>3192</v>
      </c>
      <c r="B329" t="s">
        <v>90</v>
      </c>
      <c r="C329">
        <v>111</v>
      </c>
      <c r="D329">
        <v>766</v>
      </c>
      <c r="E329">
        <v>3192</v>
      </c>
      <c r="F329">
        <v>8731801</v>
      </c>
      <c r="G329">
        <v>8820000</v>
      </c>
      <c r="H329">
        <f t="shared" si="10"/>
        <v>198.00002267573697</v>
      </c>
      <c r="I329">
        <f t="shared" si="11"/>
        <v>200</v>
      </c>
      <c r="J329" t="s">
        <v>29</v>
      </c>
      <c r="K329">
        <v>6</v>
      </c>
      <c r="L329" t="e">
        <f t="array" ref="L329">VLOOKUP(J329:$J$3871&amp;K329:$K$3871,CHOOSE({1,2},#REF!&amp;#REF!,#REF!),2,0)</f>
        <v>#N/A</v>
      </c>
      <c r="M329">
        <v>-15</v>
      </c>
      <c r="N329">
        <v>0</v>
      </c>
      <c r="O329" t="s">
        <v>7</v>
      </c>
      <c r="P329">
        <v>1</v>
      </c>
      <c r="Q329">
        <v>1</v>
      </c>
      <c r="R329">
        <v>1</v>
      </c>
      <c r="S329">
        <v>0</v>
      </c>
      <c r="T329">
        <v>0</v>
      </c>
      <c r="U329">
        <v>1</v>
      </c>
      <c r="V329">
        <v>0</v>
      </c>
      <c r="W329">
        <v>1</v>
      </c>
      <c r="X329">
        <v>1</v>
      </c>
      <c r="Y329">
        <v>0</v>
      </c>
      <c r="Z329">
        <v>0</v>
      </c>
      <c r="AA329" t="s">
        <v>3061</v>
      </c>
      <c r="AB329" t="s">
        <v>2184</v>
      </c>
      <c r="AC329" t="s">
        <v>3061</v>
      </c>
      <c r="AD329" t="e">
        <f>VLOOKUP(AB329,#REF!,2,FALSE)</f>
        <v>#REF!</v>
      </c>
      <c r="AE329" t="e">
        <f>RIGHT(#REF!,(FIND("Complex",#REF!,1)-6))</f>
        <v>#REF!</v>
      </c>
    </row>
    <row r="330" spans="1:31" x14ac:dyDescent="0.25">
      <c r="A330">
        <v>2549</v>
      </c>
      <c r="B330" t="s">
        <v>90</v>
      </c>
      <c r="C330">
        <v>111</v>
      </c>
      <c r="D330">
        <v>507</v>
      </c>
      <c r="E330">
        <v>2549</v>
      </c>
      <c r="F330">
        <v>8202601</v>
      </c>
      <c r="G330">
        <v>8290800</v>
      </c>
      <c r="H330">
        <f t="shared" si="10"/>
        <v>186.00002267573697</v>
      </c>
      <c r="I330">
        <f t="shared" si="11"/>
        <v>188</v>
      </c>
      <c r="J330" t="s">
        <v>29</v>
      </c>
      <c r="K330">
        <v>6</v>
      </c>
      <c r="L330" t="e">
        <f t="array" ref="L330">VLOOKUP(J330:$J$3871&amp;K330:$K$3871,CHOOSE({1,2},#REF!&amp;#REF!,#REF!),2,0)</f>
        <v>#N/A</v>
      </c>
      <c r="M330">
        <v>-15</v>
      </c>
      <c r="N330">
        <v>0</v>
      </c>
      <c r="O330" t="s">
        <v>7</v>
      </c>
      <c r="P330">
        <v>1</v>
      </c>
      <c r="Q330">
        <v>1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1</v>
      </c>
      <c r="Y330">
        <v>0</v>
      </c>
      <c r="Z330">
        <v>0</v>
      </c>
      <c r="AA330" t="s">
        <v>3103</v>
      </c>
      <c r="AB330" t="s">
        <v>159</v>
      </c>
      <c r="AC330" t="s">
        <v>3103</v>
      </c>
      <c r="AD330" t="e">
        <f>VLOOKUP(AB330,#REF!,2,FALSE)</f>
        <v>#REF!</v>
      </c>
      <c r="AE330" t="e">
        <f>RIGHT(#REF!,(FIND("Complex",#REF!,1)-6))</f>
        <v>#REF!</v>
      </c>
    </row>
    <row r="331" spans="1:31" x14ac:dyDescent="0.25">
      <c r="A331">
        <v>2831</v>
      </c>
      <c r="B331" t="s">
        <v>82</v>
      </c>
      <c r="C331">
        <v>115</v>
      </c>
      <c r="D331">
        <v>614</v>
      </c>
      <c r="E331">
        <v>2831</v>
      </c>
      <c r="F331">
        <v>6350401</v>
      </c>
      <c r="G331">
        <v>6438600</v>
      </c>
      <c r="H331">
        <f t="shared" si="10"/>
        <v>144.00002267573697</v>
      </c>
      <c r="I331">
        <f t="shared" si="11"/>
        <v>146</v>
      </c>
      <c r="J331" t="s">
        <v>29</v>
      </c>
      <c r="K331">
        <v>6</v>
      </c>
      <c r="L331" t="e">
        <f t="array" ref="L331">VLOOKUP(J331:$J$3871&amp;K331:$K$3871,CHOOSE({1,2},#REF!&amp;#REF!,#REF!),2,0)</f>
        <v>#N/A</v>
      </c>
      <c r="M331">
        <v>-15</v>
      </c>
      <c r="N331">
        <v>0</v>
      </c>
      <c r="O331" t="s">
        <v>7</v>
      </c>
      <c r="P331">
        <v>1</v>
      </c>
      <c r="Q331">
        <v>0</v>
      </c>
      <c r="R331">
        <v>1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1</v>
      </c>
      <c r="Z331">
        <v>0</v>
      </c>
      <c r="AA331" t="s">
        <v>3252</v>
      </c>
      <c r="AB331" t="s">
        <v>2236</v>
      </c>
      <c r="AC331" t="s">
        <v>3252</v>
      </c>
      <c r="AD331" t="e">
        <f>VLOOKUP(AB331,#REF!,2,FALSE)</f>
        <v>#REF!</v>
      </c>
      <c r="AE331" t="e">
        <f>RIGHT(#REF!,(FIND("Complex",#REF!,1)-6))</f>
        <v>#REF!</v>
      </c>
    </row>
    <row r="332" spans="1:31" x14ac:dyDescent="0.25">
      <c r="A332">
        <v>1698</v>
      </c>
      <c r="B332" t="s">
        <v>82</v>
      </c>
      <c r="C332">
        <v>115</v>
      </c>
      <c r="D332">
        <v>290</v>
      </c>
      <c r="E332">
        <v>1698</v>
      </c>
      <c r="F332">
        <v>5821201</v>
      </c>
      <c r="G332">
        <v>5909400</v>
      </c>
      <c r="H332">
        <f t="shared" si="10"/>
        <v>132.00002267573697</v>
      </c>
      <c r="I332">
        <f t="shared" si="11"/>
        <v>134</v>
      </c>
      <c r="J332" t="s">
        <v>29</v>
      </c>
      <c r="K332">
        <v>6</v>
      </c>
      <c r="L332" t="e">
        <f t="array" ref="L332">VLOOKUP(J332:$J$3871&amp;K332:$K$3871,CHOOSE({1,2},#REF!&amp;#REF!,#REF!),2,0)</f>
        <v>#N/A</v>
      </c>
      <c r="M332">
        <v>-15</v>
      </c>
      <c r="N332">
        <v>0</v>
      </c>
      <c r="O332" t="s">
        <v>7</v>
      </c>
      <c r="P332">
        <v>1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1</v>
      </c>
      <c r="Y332">
        <v>1</v>
      </c>
      <c r="Z332">
        <v>0</v>
      </c>
      <c r="AA332" t="s">
        <v>3314</v>
      </c>
      <c r="AB332" t="s">
        <v>2237</v>
      </c>
      <c r="AC332" t="s">
        <v>3314</v>
      </c>
      <c r="AD332" t="e">
        <f>VLOOKUP(AB332,#REF!,2,FALSE)</f>
        <v>#REF!</v>
      </c>
      <c r="AE332" t="e">
        <f>RIGHT(#REF!,(FIND("Complex",#REF!,1)-6))</f>
        <v>#REF!</v>
      </c>
    </row>
    <row r="333" spans="1:31" x14ac:dyDescent="0.25">
      <c r="A333">
        <v>1497</v>
      </c>
      <c r="B333" t="s">
        <v>82</v>
      </c>
      <c r="C333">
        <v>115</v>
      </c>
      <c r="D333">
        <v>249</v>
      </c>
      <c r="E333">
        <v>1497</v>
      </c>
      <c r="F333">
        <v>5468401</v>
      </c>
      <c r="G333">
        <v>5556600</v>
      </c>
      <c r="H333">
        <f t="shared" si="10"/>
        <v>124.00002267573696</v>
      </c>
      <c r="I333">
        <f t="shared" si="11"/>
        <v>126</v>
      </c>
      <c r="J333" t="s">
        <v>29</v>
      </c>
      <c r="K333">
        <v>6</v>
      </c>
      <c r="L333" t="e">
        <f t="array" ref="L333">VLOOKUP(J333:$J$3871&amp;K333:$K$3871,CHOOSE({1,2},#REF!&amp;#REF!,#REF!),2,0)</f>
        <v>#N/A</v>
      </c>
      <c r="M333">
        <v>-15</v>
      </c>
      <c r="N333">
        <v>0</v>
      </c>
      <c r="O333" t="s">
        <v>7</v>
      </c>
      <c r="P333">
        <v>1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1</v>
      </c>
      <c r="X333">
        <v>1</v>
      </c>
      <c r="Y333">
        <v>1</v>
      </c>
      <c r="Z333">
        <v>0</v>
      </c>
      <c r="AA333" t="s">
        <v>3363</v>
      </c>
      <c r="AB333" t="s">
        <v>2238</v>
      </c>
      <c r="AC333" t="s">
        <v>3363</v>
      </c>
      <c r="AD333" t="e">
        <f>VLOOKUP(AB333,#REF!,2,FALSE)</f>
        <v>#REF!</v>
      </c>
      <c r="AE333" t="e">
        <f>RIGHT(#REF!,(FIND("Complex",#REF!,1)-6))</f>
        <v>#REF!</v>
      </c>
    </row>
    <row r="334" spans="1:31" x14ac:dyDescent="0.25">
      <c r="A334">
        <v>3201</v>
      </c>
      <c r="B334" t="s">
        <v>48</v>
      </c>
      <c r="C334">
        <v>2</v>
      </c>
      <c r="D334">
        <v>771</v>
      </c>
      <c r="E334">
        <v>3201</v>
      </c>
      <c r="F334">
        <v>3263401</v>
      </c>
      <c r="G334">
        <v>3351600</v>
      </c>
      <c r="H334">
        <f t="shared" si="10"/>
        <v>74.000022675736957</v>
      </c>
      <c r="I334">
        <f t="shared" si="11"/>
        <v>76</v>
      </c>
      <c r="J334" t="s">
        <v>29</v>
      </c>
      <c r="K334">
        <v>4</v>
      </c>
      <c r="L334" t="e">
        <f t="array" ref="L334">VLOOKUP(J334:$J$3871&amp;K334:$K$3871,CHOOSE({1,2},#REF!&amp;#REF!,#REF!),2,0)</f>
        <v>#N/A</v>
      </c>
      <c r="M334">
        <v>0</v>
      </c>
      <c r="N334">
        <v>1</v>
      </c>
      <c r="O334" t="s">
        <v>23</v>
      </c>
      <c r="P334">
        <v>1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1</v>
      </c>
      <c r="Y334">
        <v>0</v>
      </c>
      <c r="Z334">
        <v>0</v>
      </c>
      <c r="AA334" t="s">
        <v>3685</v>
      </c>
      <c r="AB334" t="s">
        <v>6413</v>
      </c>
      <c r="AC334" t="s">
        <v>3685</v>
      </c>
      <c r="AD334" t="e">
        <f>VLOOKUP(AB334,#REF!,2,FALSE)</f>
        <v>#REF!</v>
      </c>
      <c r="AE334" t="e">
        <f>RIGHT(#REF!,(FIND("Complex",#REF!,1)-7))</f>
        <v>#REF!</v>
      </c>
    </row>
    <row r="335" spans="1:31" x14ac:dyDescent="0.25">
      <c r="A335">
        <v>2782</v>
      </c>
      <c r="B335" t="s">
        <v>48</v>
      </c>
      <c r="C335">
        <v>2</v>
      </c>
      <c r="D335">
        <v>597</v>
      </c>
      <c r="E335">
        <v>2782</v>
      </c>
      <c r="F335">
        <v>2822401</v>
      </c>
      <c r="G335">
        <v>2910600</v>
      </c>
      <c r="H335">
        <f t="shared" si="10"/>
        <v>64.000022675736957</v>
      </c>
      <c r="I335">
        <f t="shared" si="11"/>
        <v>66</v>
      </c>
      <c r="J335" t="s">
        <v>29</v>
      </c>
      <c r="K335">
        <v>4</v>
      </c>
      <c r="L335" t="e">
        <f t="array" ref="L335">VLOOKUP(J335:$J$3871&amp;K335:$K$3871,CHOOSE({1,2},#REF!&amp;#REF!,#REF!),2,0)</f>
        <v>#N/A</v>
      </c>
      <c r="M335">
        <v>0</v>
      </c>
      <c r="N335">
        <v>1</v>
      </c>
      <c r="O335" t="s">
        <v>23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1</v>
      </c>
      <c r="Y335">
        <v>0</v>
      </c>
      <c r="Z335">
        <v>0</v>
      </c>
      <c r="AA335" t="s">
        <v>3750</v>
      </c>
      <c r="AB335" t="s">
        <v>6450</v>
      </c>
      <c r="AC335" t="s">
        <v>3750</v>
      </c>
      <c r="AD335" t="e">
        <f>VLOOKUP(AB335,#REF!,2,FALSE)</f>
        <v>#REF!</v>
      </c>
      <c r="AE335" t="e">
        <f>RIGHT(#REF!,(FIND("Complex",#REF!,1)-7))</f>
        <v>#REF!</v>
      </c>
    </row>
    <row r="336" spans="1:31" x14ac:dyDescent="0.25">
      <c r="A336">
        <v>2995</v>
      </c>
      <c r="B336" t="s">
        <v>48</v>
      </c>
      <c r="C336">
        <v>2</v>
      </c>
      <c r="D336">
        <v>682</v>
      </c>
      <c r="E336">
        <v>2995</v>
      </c>
      <c r="F336">
        <v>2734201</v>
      </c>
      <c r="G336">
        <v>2822400</v>
      </c>
      <c r="H336">
        <f t="shared" si="10"/>
        <v>62.000022675736965</v>
      </c>
      <c r="I336">
        <f t="shared" si="11"/>
        <v>64</v>
      </c>
      <c r="J336" t="s">
        <v>29</v>
      </c>
      <c r="K336">
        <v>4</v>
      </c>
      <c r="L336" t="e">
        <f t="array" ref="L336">VLOOKUP(J336:$J$3871&amp;K336:$K$3871,CHOOSE({1,2},#REF!&amp;#REF!,#REF!),2,0)</f>
        <v>#N/A</v>
      </c>
      <c r="M336">
        <v>0</v>
      </c>
      <c r="N336">
        <v>1</v>
      </c>
      <c r="O336" t="s">
        <v>23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0</v>
      </c>
      <c r="Z336">
        <v>0</v>
      </c>
      <c r="AA336" t="s">
        <v>3770</v>
      </c>
      <c r="AB336" t="s">
        <v>6464</v>
      </c>
      <c r="AC336" t="s">
        <v>3770</v>
      </c>
      <c r="AD336" t="e">
        <f>VLOOKUP(AB336,#REF!,2,FALSE)</f>
        <v>#REF!</v>
      </c>
      <c r="AE336" t="e">
        <f>RIGHT(#REF!,(FIND("Complex",#REF!,1)-7))</f>
        <v>#REF!</v>
      </c>
    </row>
    <row r="337" spans="1:31" x14ac:dyDescent="0.25">
      <c r="A337">
        <v>2979</v>
      </c>
      <c r="B337" t="s">
        <v>48</v>
      </c>
      <c r="C337">
        <v>2</v>
      </c>
      <c r="D337">
        <v>674</v>
      </c>
      <c r="E337">
        <v>2979</v>
      </c>
      <c r="F337">
        <v>2646001</v>
      </c>
      <c r="G337">
        <v>2734200</v>
      </c>
      <c r="H337">
        <f t="shared" si="10"/>
        <v>60.000022675736965</v>
      </c>
      <c r="I337">
        <f t="shared" si="11"/>
        <v>62</v>
      </c>
      <c r="J337" t="s">
        <v>29</v>
      </c>
      <c r="K337">
        <v>4</v>
      </c>
      <c r="L337" t="e">
        <f t="array" ref="L337">VLOOKUP(J337:$J$3871&amp;K337:$K$3871,CHOOSE({1,2},#REF!&amp;#REF!,#REF!),2,0)</f>
        <v>#N/A</v>
      </c>
      <c r="M337">
        <v>0</v>
      </c>
      <c r="N337">
        <v>1</v>
      </c>
      <c r="O337" t="s">
        <v>23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1</v>
      </c>
      <c r="Y337">
        <v>0</v>
      </c>
      <c r="Z337">
        <v>0</v>
      </c>
      <c r="AA337" t="s">
        <v>3792</v>
      </c>
      <c r="AB337" t="s">
        <v>347</v>
      </c>
      <c r="AC337" t="s">
        <v>3792</v>
      </c>
      <c r="AD337" t="e">
        <f>VLOOKUP(AB337,#REF!,2,FALSE)</f>
        <v>#REF!</v>
      </c>
      <c r="AE337" t="e">
        <f>RIGHT(#REF!,(FIND("Complex",#REF!,1)-7))</f>
        <v>#REF!</v>
      </c>
    </row>
    <row r="338" spans="1:31" x14ac:dyDescent="0.25">
      <c r="A338">
        <v>2763</v>
      </c>
      <c r="B338" t="s">
        <v>48</v>
      </c>
      <c r="C338">
        <v>2</v>
      </c>
      <c r="D338">
        <v>588</v>
      </c>
      <c r="E338">
        <v>2763</v>
      </c>
      <c r="F338">
        <v>2381401</v>
      </c>
      <c r="G338">
        <v>2469600</v>
      </c>
      <c r="H338">
        <f t="shared" si="10"/>
        <v>54.000022675736965</v>
      </c>
      <c r="I338">
        <f t="shared" si="11"/>
        <v>56</v>
      </c>
      <c r="J338" t="s">
        <v>29</v>
      </c>
      <c r="K338">
        <v>4</v>
      </c>
      <c r="L338" t="e">
        <f t="array" ref="L338">VLOOKUP(J338:$J$3871&amp;K338:$K$3871,CHOOSE({1,2},#REF!&amp;#REF!,#REF!),2,0)</f>
        <v>#N/A</v>
      </c>
      <c r="M338">
        <v>0</v>
      </c>
      <c r="N338">
        <v>1</v>
      </c>
      <c r="O338" t="s">
        <v>23</v>
      </c>
      <c r="P338">
        <v>1</v>
      </c>
      <c r="Q338">
        <v>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1</v>
      </c>
      <c r="Y338">
        <v>0</v>
      </c>
      <c r="Z338">
        <v>0</v>
      </c>
      <c r="AA338" t="s">
        <v>3850</v>
      </c>
      <c r="AB338" t="s">
        <v>191</v>
      </c>
      <c r="AC338" t="s">
        <v>3850</v>
      </c>
      <c r="AD338" t="e">
        <f>VLOOKUP(AB338,#REF!,2,FALSE)</f>
        <v>#REF!</v>
      </c>
      <c r="AE338" t="e">
        <f>RIGHT(#REF!,(FIND("Complex",#REF!,1)-7))</f>
        <v>#REF!</v>
      </c>
    </row>
    <row r="339" spans="1:31" x14ac:dyDescent="0.25">
      <c r="A339">
        <v>1566</v>
      </c>
      <c r="B339" t="s">
        <v>48</v>
      </c>
      <c r="C339">
        <v>2</v>
      </c>
      <c r="D339">
        <v>264</v>
      </c>
      <c r="E339">
        <v>1566</v>
      </c>
      <c r="F339">
        <v>2293201</v>
      </c>
      <c r="G339">
        <v>2381400</v>
      </c>
      <c r="H339">
        <f t="shared" si="10"/>
        <v>52.000022675736965</v>
      </c>
      <c r="I339">
        <f t="shared" si="11"/>
        <v>54</v>
      </c>
      <c r="J339" t="s">
        <v>29</v>
      </c>
      <c r="K339">
        <v>4</v>
      </c>
      <c r="L339" t="e">
        <f t="array" ref="L339">VLOOKUP(J339:$J$3871&amp;K339:$K$3871,CHOOSE({1,2},#REF!&amp;#REF!,#REF!),2,0)</f>
        <v>#N/A</v>
      </c>
      <c r="M339">
        <v>0</v>
      </c>
      <c r="N339">
        <v>1</v>
      </c>
      <c r="O339" t="s">
        <v>23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0</v>
      </c>
      <c r="AA339" t="s">
        <v>3866</v>
      </c>
      <c r="AB339" t="s">
        <v>6520</v>
      </c>
      <c r="AC339" t="s">
        <v>3866</v>
      </c>
      <c r="AD339" t="e">
        <f>VLOOKUP(AB339,#REF!,2,FALSE)</f>
        <v>#REF!</v>
      </c>
      <c r="AE339" t="e">
        <f>RIGHT(#REF!,(FIND("Complex",#REF!,1)-7))</f>
        <v>#REF!</v>
      </c>
    </row>
    <row r="340" spans="1:31" x14ac:dyDescent="0.25">
      <c r="A340">
        <v>2015</v>
      </c>
      <c r="B340" t="s">
        <v>48</v>
      </c>
      <c r="C340">
        <v>2</v>
      </c>
      <c r="D340">
        <v>349</v>
      </c>
      <c r="E340">
        <v>2015</v>
      </c>
      <c r="F340">
        <v>2116801</v>
      </c>
      <c r="G340">
        <v>2205000</v>
      </c>
      <c r="H340">
        <f t="shared" si="10"/>
        <v>48.000022675736965</v>
      </c>
      <c r="I340">
        <f t="shared" si="11"/>
        <v>50</v>
      </c>
      <c r="J340" t="s">
        <v>29</v>
      </c>
      <c r="K340">
        <v>4</v>
      </c>
      <c r="L340" t="e">
        <f t="array" ref="L340">VLOOKUP(J340:$J$3871&amp;K340:$K$3871,CHOOSE({1,2},#REF!&amp;#REF!,#REF!),2,0)</f>
        <v>#N/A</v>
      </c>
      <c r="M340">
        <v>0</v>
      </c>
      <c r="N340">
        <v>1</v>
      </c>
      <c r="O340" t="s">
        <v>23</v>
      </c>
      <c r="P340">
        <v>1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1</v>
      </c>
      <c r="Y340">
        <v>0</v>
      </c>
      <c r="Z340">
        <v>0</v>
      </c>
      <c r="AA340" t="s">
        <v>3892</v>
      </c>
      <c r="AB340" t="s">
        <v>6534</v>
      </c>
      <c r="AC340" t="s">
        <v>3892</v>
      </c>
      <c r="AD340" t="e">
        <f>VLOOKUP(AB340,#REF!,2,FALSE)</f>
        <v>#REF!</v>
      </c>
      <c r="AE340" t="e">
        <f>RIGHT(#REF!,(FIND("Complex",#REF!,1)-7))</f>
        <v>#REF!</v>
      </c>
    </row>
    <row r="341" spans="1:31" x14ac:dyDescent="0.25">
      <c r="A341">
        <v>392</v>
      </c>
      <c r="B341" t="s">
        <v>48</v>
      </c>
      <c r="C341">
        <v>2</v>
      </c>
      <c r="D341">
        <v>70</v>
      </c>
      <c r="E341">
        <v>392</v>
      </c>
      <c r="F341">
        <v>2028601</v>
      </c>
      <c r="G341">
        <v>2116800</v>
      </c>
      <c r="H341">
        <f t="shared" si="10"/>
        <v>46.000022675736965</v>
      </c>
      <c r="I341">
        <f t="shared" si="11"/>
        <v>48</v>
      </c>
      <c r="J341" t="s">
        <v>29</v>
      </c>
      <c r="K341">
        <v>4</v>
      </c>
      <c r="L341" t="e">
        <f t="array" ref="L341">VLOOKUP(J341:$J$3871&amp;K341:$K$3871,CHOOSE({1,2},#REF!&amp;#REF!,#REF!),2,0)</f>
        <v>#N/A</v>
      </c>
      <c r="M341">
        <v>0</v>
      </c>
      <c r="N341">
        <v>1</v>
      </c>
      <c r="O341" t="s">
        <v>23</v>
      </c>
      <c r="P341">
        <v>1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1</v>
      </c>
      <c r="Y341">
        <v>0</v>
      </c>
      <c r="Z341">
        <v>0</v>
      </c>
      <c r="AA341" t="s">
        <v>3905</v>
      </c>
      <c r="AB341" t="s">
        <v>6540</v>
      </c>
      <c r="AC341" t="s">
        <v>3905</v>
      </c>
      <c r="AD341" t="e">
        <f>VLOOKUP(AB341,#REF!,2,FALSE)</f>
        <v>#REF!</v>
      </c>
      <c r="AE341" t="e">
        <f>RIGHT(#REF!,(FIND("Complex",#REF!,1)-6))</f>
        <v>#REF!</v>
      </c>
    </row>
    <row r="342" spans="1:31" x14ac:dyDescent="0.25">
      <c r="A342">
        <v>3224</v>
      </c>
      <c r="B342" t="s">
        <v>48</v>
      </c>
      <c r="C342">
        <v>2</v>
      </c>
      <c r="D342">
        <v>785</v>
      </c>
      <c r="E342">
        <v>3224</v>
      </c>
      <c r="F342">
        <v>1764001</v>
      </c>
      <c r="G342">
        <v>1852200</v>
      </c>
      <c r="H342">
        <f t="shared" si="10"/>
        <v>40.000022675736965</v>
      </c>
      <c r="I342">
        <f t="shared" si="11"/>
        <v>42</v>
      </c>
      <c r="J342" t="s">
        <v>29</v>
      </c>
      <c r="K342">
        <v>4</v>
      </c>
      <c r="L342" t="e">
        <f t="array" ref="L342">VLOOKUP(J342:$J$3871&amp;K342:$K$3871,CHOOSE({1,2},#REF!&amp;#REF!,#REF!),2,0)</f>
        <v>#N/A</v>
      </c>
      <c r="M342">
        <v>0</v>
      </c>
      <c r="N342">
        <v>1</v>
      </c>
      <c r="O342" t="s">
        <v>23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0</v>
      </c>
      <c r="Z342">
        <v>0</v>
      </c>
      <c r="AA342" t="s">
        <v>3951</v>
      </c>
      <c r="AB342" t="s">
        <v>348</v>
      </c>
      <c r="AC342" t="s">
        <v>3951</v>
      </c>
      <c r="AD342" t="e">
        <f>VLOOKUP(AB342,#REF!,2,FALSE)</f>
        <v>#REF!</v>
      </c>
      <c r="AE342" t="e">
        <f>RIGHT(#REF!,(FIND("Complex",#REF!,1)-7))</f>
        <v>#REF!</v>
      </c>
    </row>
    <row r="343" spans="1:31" x14ac:dyDescent="0.25">
      <c r="A343">
        <v>1204</v>
      </c>
      <c r="B343" t="s">
        <v>48</v>
      </c>
      <c r="C343">
        <v>2</v>
      </c>
      <c r="D343">
        <v>206</v>
      </c>
      <c r="E343">
        <v>1204</v>
      </c>
      <c r="F343">
        <v>1234801</v>
      </c>
      <c r="G343">
        <v>1323000</v>
      </c>
      <c r="H343">
        <f t="shared" si="10"/>
        <v>28.000022675736961</v>
      </c>
      <c r="I343">
        <f t="shared" si="11"/>
        <v>30</v>
      </c>
      <c r="J343" t="s">
        <v>29</v>
      </c>
      <c r="K343">
        <v>4</v>
      </c>
      <c r="L343" t="e">
        <f t="array" ref="L343">VLOOKUP(J343:$J$3871&amp;K343:$K$3871,CHOOSE({1,2},#REF!&amp;#REF!,#REF!),2,0)</f>
        <v>#N/A</v>
      </c>
      <c r="M343">
        <v>0</v>
      </c>
      <c r="N343">
        <v>1</v>
      </c>
      <c r="O343" t="s">
        <v>23</v>
      </c>
      <c r="P343">
        <v>1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1</v>
      </c>
      <c r="Y343">
        <v>0</v>
      </c>
      <c r="Z343">
        <v>0</v>
      </c>
      <c r="AA343" t="s">
        <v>4110</v>
      </c>
      <c r="AB343" t="s">
        <v>6672</v>
      </c>
      <c r="AC343" t="s">
        <v>4110</v>
      </c>
      <c r="AD343" t="e">
        <f>VLOOKUP(AB343,#REF!,2,FALSE)</f>
        <v>#REF!</v>
      </c>
      <c r="AE343" t="e">
        <f>RIGHT(#REF!,(FIND("Complex",#REF!,1)-7))</f>
        <v>#REF!</v>
      </c>
    </row>
    <row r="344" spans="1:31" x14ac:dyDescent="0.25">
      <c r="A344">
        <v>2226</v>
      </c>
      <c r="B344" t="s">
        <v>48</v>
      </c>
      <c r="C344">
        <v>2</v>
      </c>
      <c r="D344">
        <v>406</v>
      </c>
      <c r="E344">
        <v>2226</v>
      </c>
      <c r="F344">
        <v>1146601</v>
      </c>
      <c r="G344">
        <v>1234800</v>
      </c>
      <c r="H344">
        <f t="shared" si="10"/>
        <v>26.000022675736961</v>
      </c>
      <c r="I344">
        <f t="shared" si="11"/>
        <v>28</v>
      </c>
      <c r="J344" t="s">
        <v>29</v>
      </c>
      <c r="K344">
        <v>4</v>
      </c>
      <c r="L344" t="e">
        <f t="array" ref="L344">VLOOKUP(J344:$J$3871&amp;K344:$K$3871,CHOOSE({1,2},#REF!&amp;#REF!,#REF!),2,0)</f>
        <v>#N/A</v>
      </c>
      <c r="M344">
        <v>0</v>
      </c>
      <c r="N344">
        <v>1</v>
      </c>
      <c r="O344" t="s">
        <v>23</v>
      </c>
      <c r="P344">
        <v>1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1</v>
      </c>
      <c r="Y344">
        <v>0</v>
      </c>
      <c r="Z344">
        <v>0</v>
      </c>
      <c r="AA344" t="s">
        <v>4155</v>
      </c>
      <c r="AB344" t="s">
        <v>6705</v>
      </c>
      <c r="AC344" t="s">
        <v>4155</v>
      </c>
      <c r="AD344" t="e">
        <f>VLOOKUP(AB344,#REF!,2,FALSE)</f>
        <v>#REF!</v>
      </c>
      <c r="AE344" t="e">
        <f>RIGHT(#REF!,(FIND("Complex",#REF!,1)-7))</f>
        <v>#REF!</v>
      </c>
    </row>
    <row r="345" spans="1:31" x14ac:dyDescent="0.25">
      <c r="A345">
        <v>660</v>
      </c>
      <c r="B345" t="s">
        <v>68</v>
      </c>
      <c r="C345">
        <v>4</v>
      </c>
      <c r="D345">
        <v>115</v>
      </c>
      <c r="E345">
        <v>660</v>
      </c>
      <c r="F345">
        <v>2028601</v>
      </c>
      <c r="G345">
        <v>2116800</v>
      </c>
      <c r="H345">
        <f t="shared" si="10"/>
        <v>46.000022675736965</v>
      </c>
      <c r="I345">
        <f t="shared" si="11"/>
        <v>48</v>
      </c>
      <c r="J345" t="s">
        <v>29</v>
      </c>
      <c r="K345">
        <v>4</v>
      </c>
      <c r="L345" t="e">
        <f t="array" ref="L345">VLOOKUP(J345:$J$3871&amp;K345:$K$3871,CHOOSE({1,2},#REF!&amp;#REF!,#REF!),2,0)</f>
        <v>#N/A</v>
      </c>
      <c r="M345">
        <v>0</v>
      </c>
      <c r="N345">
        <v>1</v>
      </c>
      <c r="O345" t="s">
        <v>23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1</v>
      </c>
      <c r="Y345">
        <v>0</v>
      </c>
      <c r="Z345">
        <v>0</v>
      </c>
      <c r="AA345" t="s">
        <v>3903</v>
      </c>
      <c r="AB345" t="s">
        <v>395</v>
      </c>
      <c r="AC345" t="s">
        <v>3903</v>
      </c>
      <c r="AD345" t="e">
        <f>VLOOKUP(AB345,#REF!,2,FALSE)</f>
        <v>#REF!</v>
      </c>
      <c r="AE345" t="e">
        <f>RIGHT(#REF!,(FIND("Complex",#REF!,1)-6))</f>
        <v>#REF!</v>
      </c>
    </row>
    <row r="346" spans="1:31" x14ac:dyDescent="0.25">
      <c r="A346">
        <v>1527</v>
      </c>
      <c r="B346" t="s">
        <v>68</v>
      </c>
      <c r="C346">
        <v>4</v>
      </c>
      <c r="D346">
        <v>255</v>
      </c>
      <c r="E346">
        <v>1527</v>
      </c>
      <c r="F346">
        <v>1675801</v>
      </c>
      <c r="G346">
        <v>1764000</v>
      </c>
      <c r="H346">
        <f t="shared" si="10"/>
        <v>38.000022675736965</v>
      </c>
      <c r="I346">
        <f t="shared" si="11"/>
        <v>40</v>
      </c>
      <c r="J346" t="s">
        <v>29</v>
      </c>
      <c r="K346">
        <v>4</v>
      </c>
      <c r="L346" t="e">
        <f t="array" ref="L346">VLOOKUP(J346:$J$3871&amp;K346:$K$3871,CHOOSE({1,2},#REF!&amp;#REF!,#REF!),2,0)</f>
        <v>#N/A</v>
      </c>
      <c r="M346">
        <v>0</v>
      </c>
      <c r="N346">
        <v>1</v>
      </c>
      <c r="O346" t="s">
        <v>23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</v>
      </c>
      <c r="X346">
        <v>1</v>
      </c>
      <c r="Y346">
        <v>0</v>
      </c>
      <c r="Z346">
        <v>0</v>
      </c>
      <c r="AA346" t="s">
        <v>3979</v>
      </c>
      <c r="AB346" t="s">
        <v>396</v>
      </c>
      <c r="AC346" t="s">
        <v>3979</v>
      </c>
      <c r="AD346" t="e">
        <f>VLOOKUP(AB346,#REF!,2,FALSE)</f>
        <v>#REF!</v>
      </c>
      <c r="AE346" t="e">
        <f>RIGHT(#REF!,(FIND("Complex",#REF!,1)-7))</f>
        <v>#REF!</v>
      </c>
    </row>
    <row r="347" spans="1:31" x14ac:dyDescent="0.25">
      <c r="A347">
        <v>3278</v>
      </c>
      <c r="B347" t="s">
        <v>68</v>
      </c>
      <c r="C347">
        <v>4</v>
      </c>
      <c r="D347">
        <v>818</v>
      </c>
      <c r="E347">
        <v>3278</v>
      </c>
      <c r="F347">
        <v>1587601</v>
      </c>
      <c r="G347">
        <v>1675800</v>
      </c>
      <c r="H347">
        <f t="shared" si="10"/>
        <v>36.000022675736965</v>
      </c>
      <c r="I347">
        <f t="shared" si="11"/>
        <v>38</v>
      </c>
      <c r="J347" t="s">
        <v>29</v>
      </c>
      <c r="K347">
        <v>4</v>
      </c>
      <c r="L347" t="e">
        <f t="array" ref="L347">VLOOKUP(J347:$J$3871&amp;K347:$K$3871,CHOOSE({1,2},#REF!&amp;#REF!,#REF!),2,0)</f>
        <v>#N/A</v>
      </c>
      <c r="M347">
        <v>0</v>
      </c>
      <c r="N347">
        <v>1</v>
      </c>
      <c r="O347" t="s">
        <v>23</v>
      </c>
      <c r="P347">
        <v>1</v>
      </c>
      <c r="Q347">
        <v>1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</v>
      </c>
      <c r="X347">
        <v>1</v>
      </c>
      <c r="Y347">
        <v>0</v>
      </c>
      <c r="Z347">
        <v>0</v>
      </c>
      <c r="AA347" t="s">
        <v>4006</v>
      </c>
      <c r="AB347" t="s">
        <v>6599</v>
      </c>
      <c r="AC347" t="s">
        <v>4006</v>
      </c>
      <c r="AD347" t="e">
        <f>VLOOKUP(AB347,#REF!,2,FALSE)</f>
        <v>#REF!</v>
      </c>
      <c r="AE347" t="e">
        <f>RIGHT(#REF!,(FIND("Complex",#REF!,1)-7))</f>
        <v>#REF!</v>
      </c>
    </row>
    <row r="348" spans="1:31" x14ac:dyDescent="0.25">
      <c r="A348">
        <v>2298</v>
      </c>
      <c r="B348" t="s">
        <v>68</v>
      </c>
      <c r="C348">
        <v>4</v>
      </c>
      <c r="D348">
        <v>418</v>
      </c>
      <c r="E348">
        <v>2298</v>
      </c>
      <c r="F348">
        <v>1146601</v>
      </c>
      <c r="G348">
        <v>1234800</v>
      </c>
      <c r="H348">
        <f t="shared" si="10"/>
        <v>26.000022675736961</v>
      </c>
      <c r="I348">
        <f t="shared" si="11"/>
        <v>28</v>
      </c>
      <c r="J348" t="s">
        <v>29</v>
      </c>
      <c r="K348">
        <v>4</v>
      </c>
      <c r="L348" t="e">
        <f t="array" ref="L348">VLOOKUP(J348:$J$3871&amp;K348:$K$3871,CHOOSE({1,2},#REF!&amp;#REF!,#REF!),2,0)</f>
        <v>#N/A</v>
      </c>
      <c r="M348">
        <v>0</v>
      </c>
      <c r="N348">
        <v>1</v>
      </c>
      <c r="O348" t="s">
        <v>23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0</v>
      </c>
      <c r="Z348">
        <v>0</v>
      </c>
      <c r="AA348" t="s">
        <v>4152</v>
      </c>
      <c r="AB348" t="s">
        <v>6702</v>
      </c>
      <c r="AC348" t="s">
        <v>4152</v>
      </c>
      <c r="AD348" t="e">
        <f>VLOOKUP(AB348,#REF!,2,FALSE)</f>
        <v>#REF!</v>
      </c>
      <c r="AE348" t="e">
        <f>RIGHT(#REF!,(FIND("Complex",#REF!,1)-7))</f>
        <v>#REF!</v>
      </c>
    </row>
    <row r="349" spans="1:31" x14ac:dyDescent="0.25">
      <c r="A349">
        <v>1816</v>
      </c>
      <c r="B349" t="s">
        <v>68</v>
      </c>
      <c r="C349">
        <v>4</v>
      </c>
      <c r="D349">
        <v>312</v>
      </c>
      <c r="E349">
        <v>1816</v>
      </c>
      <c r="F349">
        <v>6703201</v>
      </c>
      <c r="G349">
        <v>6791400</v>
      </c>
      <c r="H349">
        <f t="shared" si="10"/>
        <v>152.00002267573697</v>
      </c>
      <c r="I349">
        <f t="shared" si="11"/>
        <v>154</v>
      </c>
      <c r="J349" t="s">
        <v>29</v>
      </c>
      <c r="K349">
        <v>4</v>
      </c>
      <c r="L349" t="e">
        <f t="array" ref="L349">VLOOKUP(J349:$J$3871&amp;K349:$K$3871,CHOOSE({1,2},#REF!&amp;#REF!,#REF!),2,0)</f>
        <v>#N/A</v>
      </c>
      <c r="M349">
        <v>0</v>
      </c>
      <c r="N349">
        <v>1</v>
      </c>
      <c r="O349" t="s">
        <v>23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1</v>
      </c>
      <c r="Y349">
        <v>0</v>
      </c>
      <c r="Z349">
        <v>0</v>
      </c>
      <c r="AA349" t="s">
        <v>4536</v>
      </c>
      <c r="AB349" t="s">
        <v>6950</v>
      </c>
      <c r="AC349" t="s">
        <v>4536</v>
      </c>
      <c r="AD349" t="e">
        <f>VLOOKUP(AB349,#REF!,2,FALSE)</f>
        <v>#REF!</v>
      </c>
      <c r="AE349" t="e">
        <f>RIGHT(#REF!,(FIND("Complex",#REF!,1)-6))</f>
        <v>#REF!</v>
      </c>
    </row>
    <row r="350" spans="1:31" x14ac:dyDescent="0.25">
      <c r="A350">
        <v>2646</v>
      </c>
      <c r="B350" t="s">
        <v>68</v>
      </c>
      <c r="C350">
        <v>4</v>
      </c>
      <c r="D350">
        <v>539</v>
      </c>
      <c r="E350">
        <v>2646</v>
      </c>
      <c r="F350">
        <v>6526801</v>
      </c>
      <c r="G350">
        <v>6615000</v>
      </c>
      <c r="H350">
        <f t="shared" si="10"/>
        <v>148.00002267573697</v>
      </c>
      <c r="I350">
        <f t="shared" si="11"/>
        <v>150</v>
      </c>
      <c r="J350" t="s">
        <v>29</v>
      </c>
      <c r="K350">
        <v>4</v>
      </c>
      <c r="L350" t="e">
        <f t="array" ref="L350">VLOOKUP(J350:$J$3871&amp;K350:$K$3871,CHOOSE({1,2},#REF!&amp;#REF!,#REF!),2,0)</f>
        <v>#N/A</v>
      </c>
      <c r="M350">
        <v>0</v>
      </c>
      <c r="N350">
        <v>1</v>
      </c>
      <c r="O350" t="s">
        <v>23</v>
      </c>
      <c r="P350">
        <v>1</v>
      </c>
      <c r="Q350">
        <v>1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</v>
      </c>
      <c r="X350">
        <v>1</v>
      </c>
      <c r="Y350">
        <v>0</v>
      </c>
      <c r="Z350">
        <v>0</v>
      </c>
      <c r="AA350" t="s">
        <v>4558</v>
      </c>
      <c r="AB350" t="s">
        <v>6966</v>
      </c>
      <c r="AC350" t="s">
        <v>4558</v>
      </c>
      <c r="AD350" t="e">
        <f>VLOOKUP(AB350,#REF!,2,FALSE)</f>
        <v>#REF!</v>
      </c>
      <c r="AE350" t="e">
        <f>RIGHT(#REF!,(FIND("Complex",#REF!,1)-6))</f>
        <v>#REF!</v>
      </c>
    </row>
    <row r="351" spans="1:31" x14ac:dyDescent="0.25">
      <c r="A351">
        <v>377</v>
      </c>
      <c r="B351" t="s">
        <v>68</v>
      </c>
      <c r="C351">
        <v>4</v>
      </c>
      <c r="D351">
        <v>66</v>
      </c>
      <c r="E351">
        <v>377</v>
      </c>
      <c r="F351">
        <v>5997601</v>
      </c>
      <c r="G351">
        <v>6085800</v>
      </c>
      <c r="H351">
        <f t="shared" si="10"/>
        <v>136.00002267573697</v>
      </c>
      <c r="I351">
        <f t="shared" si="11"/>
        <v>138</v>
      </c>
      <c r="J351" t="s">
        <v>29</v>
      </c>
      <c r="K351">
        <v>4</v>
      </c>
      <c r="L351" t="e">
        <f t="array" ref="L351">VLOOKUP(J351:$J$3871&amp;K351:$K$3871,CHOOSE({1,2},#REF!&amp;#REF!,#REF!),2,0)</f>
        <v>#N/A</v>
      </c>
      <c r="M351">
        <v>0</v>
      </c>
      <c r="N351">
        <v>1</v>
      </c>
      <c r="O351" t="s">
        <v>23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1</v>
      </c>
      <c r="Y351">
        <v>0</v>
      </c>
      <c r="Z351">
        <v>0</v>
      </c>
      <c r="AA351" t="s">
        <v>4643</v>
      </c>
      <c r="AB351" t="s">
        <v>7019</v>
      </c>
      <c r="AC351" t="s">
        <v>4643</v>
      </c>
      <c r="AD351" t="e">
        <f>VLOOKUP(AB351,#REF!,2,FALSE)</f>
        <v>#REF!</v>
      </c>
      <c r="AE351" t="e">
        <f>RIGHT(#REF!,(FIND("Complex",#REF!,1)-5))</f>
        <v>#REF!</v>
      </c>
    </row>
    <row r="352" spans="1:31" x14ac:dyDescent="0.25">
      <c r="A352">
        <v>1064</v>
      </c>
      <c r="B352" t="s">
        <v>68</v>
      </c>
      <c r="C352">
        <v>4</v>
      </c>
      <c r="D352">
        <v>185</v>
      </c>
      <c r="E352">
        <v>1064</v>
      </c>
      <c r="F352">
        <v>5821201</v>
      </c>
      <c r="G352">
        <v>5909400</v>
      </c>
      <c r="H352">
        <f t="shared" si="10"/>
        <v>132.00002267573697</v>
      </c>
      <c r="I352">
        <f t="shared" si="11"/>
        <v>134</v>
      </c>
      <c r="J352" t="s">
        <v>29</v>
      </c>
      <c r="K352">
        <v>4</v>
      </c>
      <c r="L352" t="e">
        <f t="array" ref="L352">VLOOKUP(J352:$J$3871&amp;K352:$K$3871,CHOOSE({1,2},#REF!&amp;#REF!,#REF!),2,0)</f>
        <v>#N/A</v>
      </c>
      <c r="M352">
        <v>0</v>
      </c>
      <c r="N352">
        <v>1</v>
      </c>
      <c r="O352" t="s">
        <v>23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1</v>
      </c>
      <c r="Y352">
        <v>0</v>
      </c>
      <c r="Z352">
        <v>0</v>
      </c>
      <c r="AA352" t="s">
        <v>4666</v>
      </c>
      <c r="AB352" t="s">
        <v>7034</v>
      </c>
      <c r="AC352" t="s">
        <v>4666</v>
      </c>
      <c r="AD352" t="e">
        <f>VLOOKUP(AB352,#REF!,2,FALSE)</f>
        <v>#REF!</v>
      </c>
      <c r="AE352" t="e">
        <f>RIGHT(#REF!,(FIND("Complex",#REF!,1)-6))</f>
        <v>#REF!</v>
      </c>
    </row>
    <row r="353" spans="1:31" x14ac:dyDescent="0.25">
      <c r="A353">
        <v>3167</v>
      </c>
      <c r="B353" t="s">
        <v>68</v>
      </c>
      <c r="C353">
        <v>4</v>
      </c>
      <c r="D353">
        <v>754</v>
      </c>
      <c r="E353">
        <v>3167</v>
      </c>
      <c r="F353">
        <v>529201</v>
      </c>
      <c r="G353">
        <v>617400</v>
      </c>
      <c r="H353">
        <f t="shared" si="10"/>
        <v>12.000022675736961</v>
      </c>
      <c r="I353">
        <f t="shared" si="11"/>
        <v>14</v>
      </c>
      <c r="J353" t="s">
        <v>29</v>
      </c>
      <c r="K353">
        <v>4</v>
      </c>
      <c r="L353" t="e">
        <f t="array" ref="L353">VLOOKUP(J353:$J$3871&amp;K353:$K$3871,CHOOSE({1,2},#REF!&amp;#REF!,#REF!),2,0)</f>
        <v>#N/A</v>
      </c>
      <c r="M353">
        <v>0</v>
      </c>
      <c r="N353">
        <v>1</v>
      </c>
      <c r="O353" t="s">
        <v>23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</v>
      </c>
      <c r="X353">
        <v>1</v>
      </c>
      <c r="Y353">
        <v>0</v>
      </c>
      <c r="Z353">
        <v>0</v>
      </c>
      <c r="AA353" t="s">
        <v>4740</v>
      </c>
      <c r="AB353" t="s">
        <v>7078</v>
      </c>
      <c r="AC353" t="s">
        <v>4740</v>
      </c>
      <c r="AD353" t="e">
        <f>VLOOKUP(AB353,#REF!,2,FALSE)</f>
        <v>#REF!</v>
      </c>
      <c r="AE353" t="e">
        <f>RIGHT(#REF!,(FIND("Complex",#REF!,1)-7))</f>
        <v>#REF!</v>
      </c>
    </row>
    <row r="354" spans="1:31" x14ac:dyDescent="0.25">
      <c r="A354">
        <v>3193</v>
      </c>
      <c r="B354" t="s">
        <v>81</v>
      </c>
      <c r="C354">
        <v>5</v>
      </c>
      <c r="D354">
        <v>767</v>
      </c>
      <c r="E354">
        <v>3193</v>
      </c>
      <c r="F354">
        <v>17287201</v>
      </c>
      <c r="G354">
        <v>17375400</v>
      </c>
      <c r="H354">
        <f t="shared" si="10"/>
        <v>392.00002267573694</v>
      </c>
      <c r="I354">
        <f t="shared" si="11"/>
        <v>394</v>
      </c>
      <c r="J354" t="s">
        <v>29</v>
      </c>
      <c r="K354">
        <v>4</v>
      </c>
      <c r="L354" t="e">
        <f t="array" ref="L354">VLOOKUP(J354:$J$3871&amp;K354:$K$3871,CHOOSE({1,2},#REF!&amp;#REF!,#REF!),2,0)</f>
        <v>#N/A</v>
      </c>
      <c r="M354">
        <v>0</v>
      </c>
      <c r="N354">
        <v>1</v>
      </c>
      <c r="O354" t="s">
        <v>23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</v>
      </c>
      <c r="X354">
        <v>1</v>
      </c>
      <c r="Y354">
        <v>0</v>
      </c>
      <c r="Z354">
        <v>0</v>
      </c>
      <c r="AA354" t="s">
        <v>3971</v>
      </c>
      <c r="AB354" t="s">
        <v>417</v>
      </c>
      <c r="AC354" t="s">
        <v>3971</v>
      </c>
      <c r="AD354" t="e">
        <f>VLOOKUP(AB354,#REF!,2,FALSE)</f>
        <v>#REF!</v>
      </c>
      <c r="AE354" t="e">
        <f>RIGHT(#REF!,(FIND("Complex",#REF!,1)-6))</f>
        <v>#REF!</v>
      </c>
    </row>
    <row r="355" spans="1:31" x14ac:dyDescent="0.25">
      <c r="A355">
        <v>1965</v>
      </c>
      <c r="B355" t="s">
        <v>81</v>
      </c>
      <c r="C355">
        <v>5</v>
      </c>
      <c r="D355">
        <v>334</v>
      </c>
      <c r="E355">
        <v>1965</v>
      </c>
      <c r="F355">
        <v>16405201</v>
      </c>
      <c r="G355">
        <v>16493400</v>
      </c>
      <c r="H355">
        <f t="shared" si="10"/>
        <v>372.00002267573694</v>
      </c>
      <c r="I355">
        <f t="shared" si="11"/>
        <v>374</v>
      </c>
      <c r="J355" t="s">
        <v>29</v>
      </c>
      <c r="K355">
        <v>4</v>
      </c>
      <c r="L355" t="e">
        <f t="array" ref="L355">VLOOKUP(J355:$J$3871&amp;K355:$K$3871,CHOOSE({1,2},#REF!&amp;#REF!,#REF!),2,0)</f>
        <v>#N/A</v>
      </c>
      <c r="M355">
        <v>0</v>
      </c>
      <c r="N355">
        <v>1</v>
      </c>
      <c r="O355" t="s">
        <v>23</v>
      </c>
      <c r="P355">
        <v>1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1</v>
      </c>
      <c r="Y355">
        <v>0</v>
      </c>
      <c r="Z355">
        <v>0</v>
      </c>
      <c r="AA355" t="s">
        <v>3991</v>
      </c>
      <c r="AB355" t="s">
        <v>418</v>
      </c>
      <c r="AC355" t="s">
        <v>3991</v>
      </c>
      <c r="AD355" t="e">
        <f>VLOOKUP(AB355,#REF!,2,FALSE)</f>
        <v>#REF!</v>
      </c>
      <c r="AE355" t="e">
        <f>RIGHT(#REF!,(FIND("Complex",#REF!,1)-6))</f>
        <v>#REF!</v>
      </c>
    </row>
    <row r="356" spans="1:31" x14ac:dyDescent="0.25">
      <c r="A356">
        <v>2137</v>
      </c>
      <c r="B356" t="s">
        <v>81</v>
      </c>
      <c r="C356">
        <v>5</v>
      </c>
      <c r="D356">
        <v>384</v>
      </c>
      <c r="E356">
        <v>2137</v>
      </c>
      <c r="F356">
        <v>15699601</v>
      </c>
      <c r="G356">
        <v>15787800</v>
      </c>
      <c r="H356">
        <f t="shared" si="10"/>
        <v>356.00002267573694</v>
      </c>
      <c r="I356">
        <f t="shared" si="11"/>
        <v>358</v>
      </c>
      <c r="J356" t="s">
        <v>29</v>
      </c>
      <c r="K356">
        <v>4</v>
      </c>
      <c r="L356" t="e">
        <f t="array" ref="L356">VLOOKUP(J356:$J$3871&amp;K356:$K$3871,CHOOSE({1,2},#REF!&amp;#REF!,#REF!),2,0)</f>
        <v>#N/A</v>
      </c>
      <c r="M356">
        <v>0</v>
      </c>
      <c r="N356">
        <v>1</v>
      </c>
      <c r="O356" t="s">
        <v>23</v>
      </c>
      <c r="P356">
        <v>1</v>
      </c>
      <c r="Q356">
        <v>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A356" t="s">
        <v>4013</v>
      </c>
      <c r="AB356" t="s">
        <v>6605</v>
      </c>
      <c r="AC356" t="s">
        <v>4013</v>
      </c>
      <c r="AD356" t="e">
        <f>VLOOKUP(AB356,#REF!,2,FALSE)</f>
        <v>#REF!</v>
      </c>
      <c r="AE356" t="e">
        <f>RIGHT(#REF!,(FIND("Complex",#REF!,1)-6))</f>
        <v>#REF!</v>
      </c>
    </row>
    <row r="357" spans="1:31" x14ac:dyDescent="0.25">
      <c r="A357">
        <v>2621</v>
      </c>
      <c r="B357" t="s">
        <v>94</v>
      </c>
      <c r="C357">
        <v>7</v>
      </c>
      <c r="D357">
        <v>528</v>
      </c>
      <c r="E357">
        <v>2621</v>
      </c>
      <c r="F357">
        <v>2381401</v>
      </c>
      <c r="G357">
        <v>2469600</v>
      </c>
      <c r="H357">
        <f t="shared" si="10"/>
        <v>54.000022675736965</v>
      </c>
      <c r="I357">
        <f t="shared" si="11"/>
        <v>56</v>
      </c>
      <c r="J357" t="s">
        <v>29</v>
      </c>
      <c r="K357">
        <v>4</v>
      </c>
      <c r="L357" t="e">
        <f t="array" ref="L357">VLOOKUP(J357:$J$3871&amp;K357:$K$3871,CHOOSE({1,2},#REF!&amp;#REF!,#REF!),2,0)</f>
        <v>#N/A</v>
      </c>
      <c r="M357">
        <v>0</v>
      </c>
      <c r="N357">
        <v>1</v>
      </c>
      <c r="O357" t="s">
        <v>23</v>
      </c>
      <c r="P357">
        <v>1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1</v>
      </c>
      <c r="Y357">
        <v>0</v>
      </c>
      <c r="Z357">
        <v>0</v>
      </c>
      <c r="AA357" t="s">
        <v>3843</v>
      </c>
      <c r="AB357" t="s">
        <v>458</v>
      </c>
      <c r="AC357" t="s">
        <v>3843</v>
      </c>
      <c r="AD357" t="e">
        <f>VLOOKUP(AB357,#REF!,2,FALSE)</f>
        <v>#REF!</v>
      </c>
      <c r="AE357" t="e">
        <f>RIGHT(#REF!,(FIND("Complex",#REF!,1)-7))</f>
        <v>#REF!</v>
      </c>
    </row>
    <row r="358" spans="1:31" x14ac:dyDescent="0.25">
      <c r="A358">
        <v>3304</v>
      </c>
      <c r="B358" t="s">
        <v>89</v>
      </c>
      <c r="C358">
        <v>8</v>
      </c>
      <c r="D358">
        <v>830</v>
      </c>
      <c r="E358">
        <v>3304</v>
      </c>
      <c r="F358">
        <v>4145401</v>
      </c>
      <c r="G358">
        <v>4233600</v>
      </c>
      <c r="H358">
        <f t="shared" si="10"/>
        <v>94.000022675736957</v>
      </c>
      <c r="I358">
        <f t="shared" si="11"/>
        <v>96</v>
      </c>
      <c r="J358" t="s">
        <v>29</v>
      </c>
      <c r="K358">
        <v>4</v>
      </c>
      <c r="L358" t="e">
        <f t="array" ref="L358">VLOOKUP(J358:$J$3871&amp;K358:$K$3871,CHOOSE({1,2},#REF!&amp;#REF!,#REF!),2,0)</f>
        <v>#N/A</v>
      </c>
      <c r="M358">
        <v>0</v>
      </c>
      <c r="N358">
        <v>1</v>
      </c>
      <c r="O358" t="s">
        <v>23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1</v>
      </c>
      <c r="X358">
        <v>1</v>
      </c>
      <c r="Y358">
        <v>0</v>
      </c>
      <c r="Z358">
        <v>0</v>
      </c>
      <c r="AA358" t="s">
        <v>3527</v>
      </c>
      <c r="AB358" t="s">
        <v>6328</v>
      </c>
      <c r="AC358" t="s">
        <v>3527</v>
      </c>
      <c r="AD358" t="e">
        <f>VLOOKUP(AB358,#REF!,2,FALSE)</f>
        <v>#REF!</v>
      </c>
      <c r="AE358" t="e">
        <f>RIGHT(#REF!,(FIND("Complex",#REF!,1)-7))</f>
        <v>#REF!</v>
      </c>
    </row>
    <row r="359" spans="1:31" x14ac:dyDescent="0.25">
      <c r="A359">
        <v>693</v>
      </c>
      <c r="B359" t="s">
        <v>89</v>
      </c>
      <c r="C359">
        <v>8</v>
      </c>
      <c r="D359">
        <v>126</v>
      </c>
      <c r="E359">
        <v>693</v>
      </c>
      <c r="F359">
        <v>3880801</v>
      </c>
      <c r="G359">
        <v>3969000</v>
      </c>
      <c r="H359">
        <f t="shared" si="10"/>
        <v>88.000022675736957</v>
      </c>
      <c r="I359">
        <f t="shared" si="11"/>
        <v>90</v>
      </c>
      <c r="J359" t="s">
        <v>29</v>
      </c>
      <c r="K359">
        <v>4</v>
      </c>
      <c r="L359" t="e">
        <f t="array" ref="L359">VLOOKUP(J359:$J$3871&amp;K359:$K$3871,CHOOSE({1,2},#REF!&amp;#REF!,#REF!),2,0)</f>
        <v>#N/A</v>
      </c>
      <c r="M359">
        <v>0</v>
      </c>
      <c r="N359">
        <v>1</v>
      </c>
      <c r="O359" t="s">
        <v>23</v>
      </c>
      <c r="P359">
        <v>1</v>
      </c>
      <c r="Q359">
        <v>0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1</v>
      </c>
      <c r="X359">
        <v>1</v>
      </c>
      <c r="Y359">
        <v>0</v>
      </c>
      <c r="Z359">
        <v>0</v>
      </c>
      <c r="AA359" t="s">
        <v>3569</v>
      </c>
      <c r="AB359" t="s">
        <v>6351</v>
      </c>
      <c r="AC359" t="s">
        <v>3569</v>
      </c>
      <c r="AD359" t="e">
        <f>VLOOKUP(AB359,#REF!,2,FALSE)</f>
        <v>#REF!</v>
      </c>
      <c r="AE359" t="e">
        <f>RIGHT(#REF!,(FIND("Complex",#REF!,1)-6))</f>
        <v>#REF!</v>
      </c>
    </row>
    <row r="360" spans="1:31" x14ac:dyDescent="0.25">
      <c r="A360">
        <v>2487</v>
      </c>
      <c r="B360" t="s">
        <v>89</v>
      </c>
      <c r="C360">
        <v>8</v>
      </c>
      <c r="D360">
        <v>479</v>
      </c>
      <c r="E360">
        <v>2487</v>
      </c>
      <c r="F360">
        <v>9790201</v>
      </c>
      <c r="G360">
        <v>9878400</v>
      </c>
      <c r="H360">
        <f t="shared" si="10"/>
        <v>222.00002267573697</v>
      </c>
      <c r="I360">
        <f t="shared" si="11"/>
        <v>224</v>
      </c>
      <c r="J360" t="s">
        <v>29</v>
      </c>
      <c r="K360">
        <v>4</v>
      </c>
      <c r="L360" t="e">
        <f t="array" ref="L360">VLOOKUP(J360:$J$3871&amp;K360:$K$3871,CHOOSE({1,2},#REF!&amp;#REF!,#REF!),2,0)</f>
        <v>#N/A</v>
      </c>
      <c r="M360">
        <v>0</v>
      </c>
      <c r="N360">
        <v>1</v>
      </c>
      <c r="O360" t="s">
        <v>23</v>
      </c>
      <c r="P360">
        <v>1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1</v>
      </c>
      <c r="X360">
        <v>1</v>
      </c>
      <c r="Y360">
        <v>0</v>
      </c>
      <c r="Z360">
        <v>0</v>
      </c>
      <c r="AA360" t="s">
        <v>4231</v>
      </c>
      <c r="AB360" t="s">
        <v>6762</v>
      </c>
      <c r="AC360" t="s">
        <v>4231</v>
      </c>
      <c r="AD360" t="e">
        <f>VLOOKUP(AB360,#REF!,2,FALSE)</f>
        <v>#REF!</v>
      </c>
      <c r="AE360" t="e">
        <f>RIGHT(#REF!,(FIND("Complex",#REF!,1)-6))</f>
        <v>#REF!</v>
      </c>
    </row>
    <row r="361" spans="1:31" x14ac:dyDescent="0.25">
      <c r="A361">
        <v>2475</v>
      </c>
      <c r="B361" t="s">
        <v>89</v>
      </c>
      <c r="C361">
        <v>8</v>
      </c>
      <c r="D361">
        <v>476</v>
      </c>
      <c r="E361">
        <v>2475</v>
      </c>
      <c r="F361">
        <v>6879601</v>
      </c>
      <c r="G361">
        <v>6967800</v>
      </c>
      <c r="H361">
        <f t="shared" si="10"/>
        <v>156.00002267573697</v>
      </c>
      <c r="I361">
        <f t="shared" si="11"/>
        <v>158</v>
      </c>
      <c r="J361" t="s">
        <v>29</v>
      </c>
      <c r="K361">
        <v>4</v>
      </c>
      <c r="L361" t="e">
        <f t="array" ref="L361">VLOOKUP(J361:$J$3871&amp;K361:$K$3871,CHOOSE({1,2},#REF!&amp;#REF!,#REF!),2,0)</f>
        <v>#N/A</v>
      </c>
      <c r="M361">
        <v>0</v>
      </c>
      <c r="N361">
        <v>1</v>
      </c>
      <c r="O361" t="s">
        <v>23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1</v>
      </c>
      <c r="AA361" t="s">
        <v>4518</v>
      </c>
      <c r="AB361" t="s">
        <v>6936</v>
      </c>
      <c r="AC361" t="s">
        <v>4518</v>
      </c>
      <c r="AD361" t="e">
        <f>VLOOKUP(AB361,#REF!,2,FALSE)</f>
        <v>#REF!</v>
      </c>
      <c r="AE361" t="e">
        <f>RIGHT(#REF!,(FIND("Complex",#REF!,1)-6))</f>
        <v>#REF!</v>
      </c>
    </row>
    <row r="362" spans="1:31" x14ac:dyDescent="0.25">
      <c r="A362">
        <v>1182</v>
      </c>
      <c r="B362" t="s">
        <v>234</v>
      </c>
      <c r="C362">
        <v>10</v>
      </c>
      <c r="D362">
        <v>202</v>
      </c>
      <c r="E362">
        <v>1182</v>
      </c>
      <c r="F362">
        <v>3616201</v>
      </c>
      <c r="G362">
        <v>3704400</v>
      </c>
      <c r="H362">
        <f t="shared" si="10"/>
        <v>82.000022675736957</v>
      </c>
      <c r="I362">
        <f t="shared" si="11"/>
        <v>84</v>
      </c>
      <c r="J362" t="s">
        <v>29</v>
      </c>
      <c r="K362">
        <v>4</v>
      </c>
      <c r="L362" t="e">
        <f t="array" ref="L362">VLOOKUP(J362:$J$3871&amp;K362:$K$3871,CHOOSE({1,2},#REF!&amp;#REF!,#REF!),2,0)</f>
        <v>#N/A</v>
      </c>
      <c r="M362">
        <v>0</v>
      </c>
      <c r="N362">
        <v>1</v>
      </c>
      <c r="O362" t="s">
        <v>23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 t="s">
        <v>3622</v>
      </c>
      <c r="AB362" t="s">
        <v>6380</v>
      </c>
      <c r="AC362" t="s">
        <v>3622</v>
      </c>
      <c r="AD362" t="e">
        <f>VLOOKUP(AB362,#REF!,2,FALSE)</f>
        <v>#REF!</v>
      </c>
      <c r="AE362" t="e">
        <f>RIGHT(#REF!,(FIND("Complex",#REF!,1)-6))</f>
        <v>#REF!</v>
      </c>
    </row>
    <row r="363" spans="1:31" x14ac:dyDescent="0.25">
      <c r="A363">
        <v>3073</v>
      </c>
      <c r="B363" t="s">
        <v>234</v>
      </c>
      <c r="C363">
        <v>10</v>
      </c>
      <c r="D363">
        <v>714</v>
      </c>
      <c r="E363">
        <v>3073</v>
      </c>
      <c r="F363">
        <v>2469601</v>
      </c>
      <c r="G363">
        <v>2557800</v>
      </c>
      <c r="H363">
        <f t="shared" si="10"/>
        <v>56.000022675736965</v>
      </c>
      <c r="I363">
        <f t="shared" si="11"/>
        <v>58</v>
      </c>
      <c r="J363" t="s">
        <v>29</v>
      </c>
      <c r="K363">
        <v>4</v>
      </c>
      <c r="L363" t="e">
        <f t="array" ref="L363">VLOOKUP(J363:$J$3871&amp;K363:$K$3871,CHOOSE({1,2},#REF!&amp;#REF!,#REF!),2,0)</f>
        <v>#N/A</v>
      </c>
      <c r="M363">
        <v>0</v>
      </c>
      <c r="N363">
        <v>1</v>
      </c>
      <c r="O363" t="s">
        <v>23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0</v>
      </c>
      <c r="AA363" t="s">
        <v>3839</v>
      </c>
      <c r="AB363" t="s">
        <v>514</v>
      </c>
      <c r="AC363" t="s">
        <v>3839</v>
      </c>
      <c r="AD363" t="e">
        <f>VLOOKUP(AB363,#REF!,2,FALSE)</f>
        <v>#REF!</v>
      </c>
      <c r="AE363" t="e">
        <f>RIGHT(#REF!,(FIND("Complex",#REF!,1)-6))</f>
        <v>#REF!</v>
      </c>
    </row>
    <row r="364" spans="1:31" x14ac:dyDescent="0.25">
      <c r="A364">
        <v>941</v>
      </c>
      <c r="B364" t="s">
        <v>234</v>
      </c>
      <c r="C364">
        <v>10</v>
      </c>
      <c r="D364">
        <v>167</v>
      </c>
      <c r="E364">
        <v>941</v>
      </c>
      <c r="F364">
        <v>2381401</v>
      </c>
      <c r="G364">
        <v>2469600</v>
      </c>
      <c r="H364">
        <f t="shared" si="10"/>
        <v>54.000022675736965</v>
      </c>
      <c r="I364">
        <f t="shared" si="11"/>
        <v>56</v>
      </c>
      <c r="J364" t="s">
        <v>29</v>
      </c>
      <c r="K364">
        <v>4</v>
      </c>
      <c r="L364" t="e">
        <f t="array" ref="L364">VLOOKUP(J364:$J$3871&amp;K364:$K$3871,CHOOSE({1,2},#REF!&amp;#REF!,#REF!),2,0)</f>
        <v>#N/A</v>
      </c>
      <c r="M364">
        <v>0</v>
      </c>
      <c r="N364">
        <v>1</v>
      </c>
      <c r="O364" t="s">
        <v>23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1</v>
      </c>
      <c r="Y364">
        <v>0</v>
      </c>
      <c r="Z364">
        <v>0</v>
      </c>
      <c r="AA364" t="s">
        <v>3852</v>
      </c>
      <c r="AB364" t="s">
        <v>515</v>
      </c>
      <c r="AC364" t="s">
        <v>3852</v>
      </c>
      <c r="AD364" t="e">
        <f>VLOOKUP(AB364,#REF!,2,FALSE)</f>
        <v>#REF!</v>
      </c>
      <c r="AE364" t="e">
        <f>RIGHT(#REF!,(FIND("Complex",#REF!,1)-5))</f>
        <v>#REF!</v>
      </c>
    </row>
    <row r="365" spans="1:31" x14ac:dyDescent="0.25">
      <c r="A365">
        <v>2398</v>
      </c>
      <c r="B365" t="s">
        <v>234</v>
      </c>
      <c r="C365">
        <v>10</v>
      </c>
      <c r="D365">
        <v>452</v>
      </c>
      <c r="E365">
        <v>2398</v>
      </c>
      <c r="F365">
        <v>2293201</v>
      </c>
      <c r="G365">
        <v>2381400</v>
      </c>
      <c r="H365">
        <f t="shared" si="10"/>
        <v>52.000022675736965</v>
      </c>
      <c r="I365">
        <f t="shared" si="11"/>
        <v>54</v>
      </c>
      <c r="J365" t="s">
        <v>29</v>
      </c>
      <c r="K365">
        <v>4</v>
      </c>
      <c r="L365" t="e">
        <f t="array" ref="L365">VLOOKUP(J365:$J$3871&amp;K365:$K$3871,CHOOSE({1,2},#REF!&amp;#REF!,#REF!),2,0)</f>
        <v>#N/A</v>
      </c>
      <c r="M365">
        <v>0</v>
      </c>
      <c r="N365">
        <v>1</v>
      </c>
      <c r="O365" t="s">
        <v>23</v>
      </c>
      <c r="P365">
        <v>1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</v>
      </c>
      <c r="Z365">
        <v>0</v>
      </c>
      <c r="AA365" t="s">
        <v>3868</v>
      </c>
      <c r="AB365" t="s">
        <v>6522</v>
      </c>
      <c r="AC365" t="s">
        <v>3868</v>
      </c>
      <c r="AD365" t="e">
        <f>VLOOKUP(AB365,#REF!,2,FALSE)</f>
        <v>#REF!</v>
      </c>
      <c r="AE365" t="e">
        <f>RIGHT(#REF!,(FIND("Complex",#REF!,1)-6))</f>
        <v>#REF!</v>
      </c>
    </row>
    <row r="366" spans="1:31" x14ac:dyDescent="0.25">
      <c r="A366">
        <v>3229</v>
      </c>
      <c r="B366" t="s">
        <v>234</v>
      </c>
      <c r="C366">
        <v>10</v>
      </c>
      <c r="D366">
        <v>787</v>
      </c>
      <c r="E366">
        <v>3229</v>
      </c>
      <c r="F366">
        <v>2028601</v>
      </c>
      <c r="G366">
        <v>2116800</v>
      </c>
      <c r="H366">
        <f t="shared" si="10"/>
        <v>46.000022675736965</v>
      </c>
      <c r="I366">
        <f t="shared" si="11"/>
        <v>48</v>
      </c>
      <c r="J366" t="s">
        <v>29</v>
      </c>
      <c r="K366">
        <v>4</v>
      </c>
      <c r="L366" t="e">
        <f t="array" ref="L366">VLOOKUP(J366:$J$3871&amp;K366:$K$3871,CHOOSE({1,2},#REF!&amp;#REF!,#REF!),2,0)</f>
        <v>#N/A</v>
      </c>
      <c r="M366">
        <v>0</v>
      </c>
      <c r="N366">
        <v>1</v>
      </c>
      <c r="O366" t="s">
        <v>23</v>
      </c>
      <c r="P366">
        <v>1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 t="s">
        <v>3908</v>
      </c>
      <c r="AB366" t="s">
        <v>6543</v>
      </c>
      <c r="AC366" t="s">
        <v>3908</v>
      </c>
      <c r="AD366" t="e">
        <f>VLOOKUP(AB366,#REF!,2,FALSE)</f>
        <v>#REF!</v>
      </c>
      <c r="AE366" t="e">
        <f>RIGHT(#REF!,(FIND("Complex",#REF!,1)-6))</f>
        <v>#REF!</v>
      </c>
    </row>
    <row r="367" spans="1:31" x14ac:dyDescent="0.25">
      <c r="A367">
        <v>3275</v>
      </c>
      <c r="B367" t="s">
        <v>234</v>
      </c>
      <c r="C367">
        <v>10</v>
      </c>
      <c r="D367">
        <v>816</v>
      </c>
      <c r="E367">
        <v>3275</v>
      </c>
      <c r="F367">
        <v>1852201</v>
      </c>
      <c r="G367">
        <v>1940400</v>
      </c>
      <c r="H367">
        <f t="shared" si="10"/>
        <v>42.000022675736965</v>
      </c>
      <c r="I367">
        <f t="shared" si="11"/>
        <v>44</v>
      </c>
      <c r="J367" t="s">
        <v>29</v>
      </c>
      <c r="K367">
        <v>4</v>
      </c>
      <c r="L367" t="e">
        <f t="array" ref="L367">VLOOKUP(J367:$J$3871&amp;K367:$K$3871,CHOOSE({1,2},#REF!&amp;#REF!,#REF!),2,0)</f>
        <v>#N/A</v>
      </c>
      <c r="M367">
        <v>0</v>
      </c>
      <c r="N367">
        <v>1</v>
      </c>
      <c r="O367" t="s">
        <v>23</v>
      </c>
      <c r="P367">
        <v>1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1</v>
      </c>
      <c r="Y367">
        <v>0</v>
      </c>
      <c r="Z367">
        <v>0</v>
      </c>
      <c r="AA367" t="s">
        <v>3936</v>
      </c>
      <c r="AB367" t="s">
        <v>516</v>
      </c>
      <c r="AC367" t="s">
        <v>3936</v>
      </c>
      <c r="AD367" t="e">
        <f>VLOOKUP(AB367,#REF!,2,FALSE)</f>
        <v>#REF!</v>
      </c>
      <c r="AE367" t="e">
        <f>RIGHT(#REF!,(FIND("Complex",#REF!,1)-6))</f>
        <v>#REF!</v>
      </c>
    </row>
    <row r="368" spans="1:31" x14ac:dyDescent="0.25">
      <c r="A368">
        <v>592</v>
      </c>
      <c r="B368" t="s">
        <v>234</v>
      </c>
      <c r="C368">
        <v>10</v>
      </c>
      <c r="D368">
        <v>104</v>
      </c>
      <c r="E368">
        <v>592</v>
      </c>
      <c r="F368">
        <v>1234801</v>
      </c>
      <c r="G368">
        <v>1323000</v>
      </c>
      <c r="H368">
        <f t="shared" si="10"/>
        <v>28.000022675736961</v>
      </c>
      <c r="I368">
        <f t="shared" si="11"/>
        <v>30</v>
      </c>
      <c r="J368" t="s">
        <v>29</v>
      </c>
      <c r="K368">
        <v>4</v>
      </c>
      <c r="L368" t="e">
        <f t="array" ref="L368">VLOOKUP(J368:$J$3871&amp;K368:$K$3871,CHOOSE({1,2},#REF!&amp;#REF!,#REF!),2,0)</f>
        <v>#N/A</v>
      </c>
      <c r="M368">
        <v>0</v>
      </c>
      <c r="N368">
        <v>1</v>
      </c>
      <c r="O368" t="s">
        <v>23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1</v>
      </c>
      <c r="Y368">
        <v>0</v>
      </c>
      <c r="Z368">
        <v>0</v>
      </c>
      <c r="AA368" t="s">
        <v>4114</v>
      </c>
      <c r="AB368" t="s">
        <v>517</v>
      </c>
      <c r="AC368" t="s">
        <v>4114</v>
      </c>
      <c r="AD368" t="e">
        <f>VLOOKUP(AB368,#REF!,2,FALSE)</f>
        <v>#REF!</v>
      </c>
      <c r="AE368" t="e">
        <f>RIGHT(#REF!,(FIND("Complex",#REF!,1)-5))</f>
        <v>#REF!</v>
      </c>
    </row>
    <row r="369" spans="1:31" x14ac:dyDescent="0.25">
      <c r="A369">
        <v>2527</v>
      </c>
      <c r="B369" t="s">
        <v>234</v>
      </c>
      <c r="C369">
        <v>10</v>
      </c>
      <c r="D369">
        <v>495</v>
      </c>
      <c r="E369">
        <v>2527</v>
      </c>
      <c r="F369">
        <v>1058401</v>
      </c>
      <c r="G369">
        <v>1146600</v>
      </c>
      <c r="H369">
        <f t="shared" si="10"/>
        <v>24.000022675736961</v>
      </c>
      <c r="I369">
        <f t="shared" si="11"/>
        <v>26</v>
      </c>
      <c r="J369" t="s">
        <v>29</v>
      </c>
      <c r="K369">
        <v>4</v>
      </c>
      <c r="L369" t="e">
        <f t="array" ref="L369">VLOOKUP(J369:$J$3871&amp;K369:$K$3871,CHOOSE({1,2},#REF!&amp;#REF!,#REF!),2,0)</f>
        <v>#N/A</v>
      </c>
      <c r="M369">
        <v>0</v>
      </c>
      <c r="N369">
        <v>1</v>
      </c>
      <c r="O369" t="s">
        <v>23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1</v>
      </c>
      <c r="Y369">
        <v>0</v>
      </c>
      <c r="Z369">
        <v>0</v>
      </c>
      <c r="AA369" t="s">
        <v>4198</v>
      </c>
      <c r="AB369" t="s">
        <v>6736</v>
      </c>
      <c r="AC369" t="s">
        <v>4198</v>
      </c>
      <c r="AD369" t="e">
        <f>VLOOKUP(AB369,#REF!,2,FALSE)</f>
        <v>#REF!</v>
      </c>
      <c r="AE369" t="e">
        <f>RIGHT(#REF!,(FIND("Complex",#REF!,1)-6))</f>
        <v>#REF!</v>
      </c>
    </row>
    <row r="370" spans="1:31" x14ac:dyDescent="0.25">
      <c r="A370">
        <v>2291</v>
      </c>
      <c r="B370" t="s">
        <v>234</v>
      </c>
      <c r="C370">
        <v>10</v>
      </c>
      <c r="D370">
        <v>416</v>
      </c>
      <c r="E370">
        <v>2291</v>
      </c>
      <c r="F370">
        <v>529201</v>
      </c>
      <c r="G370">
        <v>617400</v>
      </c>
      <c r="H370">
        <f t="shared" si="10"/>
        <v>12.000022675736961</v>
      </c>
      <c r="I370">
        <f t="shared" si="11"/>
        <v>14</v>
      </c>
      <c r="J370" t="s">
        <v>29</v>
      </c>
      <c r="K370">
        <v>4</v>
      </c>
      <c r="L370" t="e">
        <f t="array" ref="L370">VLOOKUP(J370:$J$3871&amp;K370:$K$3871,CHOOSE({1,2},#REF!&amp;#REF!,#REF!),2,0)</f>
        <v>#N/A</v>
      </c>
      <c r="M370">
        <v>0</v>
      </c>
      <c r="N370">
        <v>1</v>
      </c>
      <c r="O370" t="s">
        <v>23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1</v>
      </c>
      <c r="Y370">
        <v>0</v>
      </c>
      <c r="Z370">
        <v>0</v>
      </c>
      <c r="AA370" t="s">
        <v>4743</v>
      </c>
      <c r="AB370" t="s">
        <v>7079</v>
      </c>
      <c r="AC370" t="s">
        <v>4743</v>
      </c>
      <c r="AD370" t="e">
        <f>VLOOKUP(AB370,#REF!,2,FALSE)</f>
        <v>#REF!</v>
      </c>
      <c r="AE370" t="e">
        <f>RIGHT(#REF!,(FIND("Complex",#REF!,1)-6))</f>
        <v>#REF!</v>
      </c>
    </row>
    <row r="371" spans="1:31" x14ac:dyDescent="0.25">
      <c r="A371">
        <v>2462</v>
      </c>
      <c r="B371" t="s">
        <v>79</v>
      </c>
      <c r="C371">
        <v>13</v>
      </c>
      <c r="D371">
        <v>470</v>
      </c>
      <c r="E371">
        <v>2462</v>
      </c>
      <c r="F371">
        <v>2381401</v>
      </c>
      <c r="G371">
        <v>2469600</v>
      </c>
      <c r="H371">
        <f t="shared" si="10"/>
        <v>54.000022675736965</v>
      </c>
      <c r="I371">
        <f t="shared" si="11"/>
        <v>56</v>
      </c>
      <c r="J371" t="s">
        <v>29</v>
      </c>
      <c r="K371">
        <v>4</v>
      </c>
      <c r="L371" t="e">
        <f t="array" ref="L371">VLOOKUP(J371:$J$3871&amp;K371:$K$3871,CHOOSE({1,2},#REF!&amp;#REF!,#REF!),2,0)</f>
        <v>#N/A</v>
      </c>
      <c r="M371">
        <v>0</v>
      </c>
      <c r="N371">
        <v>1</v>
      </c>
      <c r="O371" t="s">
        <v>23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0</v>
      </c>
      <c r="AA371" t="s">
        <v>3851</v>
      </c>
      <c r="AB371" t="s">
        <v>6509</v>
      </c>
      <c r="AC371" t="s">
        <v>3851</v>
      </c>
      <c r="AD371" t="e">
        <f>VLOOKUP(AB371,#REF!,2,FALSE)</f>
        <v>#REF!</v>
      </c>
      <c r="AE371" t="e">
        <f>RIGHT(#REF!,(FIND("Complex",#REF!,1)-6))</f>
        <v>#REF!</v>
      </c>
    </row>
    <row r="372" spans="1:31" x14ac:dyDescent="0.25">
      <c r="A372">
        <v>2962</v>
      </c>
      <c r="B372" t="s">
        <v>28</v>
      </c>
      <c r="C372">
        <v>14</v>
      </c>
      <c r="D372">
        <v>665</v>
      </c>
      <c r="E372">
        <v>2962</v>
      </c>
      <c r="F372">
        <v>3792601</v>
      </c>
      <c r="G372">
        <v>3880800</v>
      </c>
      <c r="H372">
        <f t="shared" si="10"/>
        <v>86.000022675736957</v>
      </c>
      <c r="I372">
        <f t="shared" si="11"/>
        <v>88</v>
      </c>
      <c r="J372" t="s">
        <v>29</v>
      </c>
      <c r="K372">
        <v>4</v>
      </c>
      <c r="L372" t="e">
        <f t="array" ref="L372">VLOOKUP(J372:$J$3871&amp;K372:$K$3871,CHOOSE({1,2},#REF!&amp;#REF!,#REF!),2,0)</f>
        <v>#N/A</v>
      </c>
      <c r="M372">
        <v>0</v>
      </c>
      <c r="N372">
        <v>1</v>
      </c>
      <c r="O372" t="s">
        <v>23</v>
      </c>
      <c r="P372">
        <v>1</v>
      </c>
      <c r="Q372">
        <v>1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 t="s">
        <v>3589</v>
      </c>
      <c r="AB372" t="s">
        <v>6361</v>
      </c>
      <c r="AC372" t="s">
        <v>3589</v>
      </c>
      <c r="AD372" t="e">
        <f>VLOOKUP(AB372,#REF!,2,FALSE)</f>
        <v>#REF!</v>
      </c>
      <c r="AE372" t="e">
        <f>RIGHT(#REF!,(FIND("Complex",#REF!,1)-6))</f>
        <v>#REF!</v>
      </c>
    </row>
    <row r="373" spans="1:31" x14ac:dyDescent="0.25">
      <c r="A373">
        <v>2433</v>
      </c>
      <c r="B373" t="s">
        <v>28</v>
      </c>
      <c r="C373">
        <v>14</v>
      </c>
      <c r="D373">
        <v>461</v>
      </c>
      <c r="E373">
        <v>2433</v>
      </c>
      <c r="F373">
        <v>1058401</v>
      </c>
      <c r="G373">
        <v>1146600</v>
      </c>
      <c r="H373">
        <f t="shared" si="10"/>
        <v>24.000022675736961</v>
      </c>
      <c r="I373">
        <f t="shared" si="11"/>
        <v>26</v>
      </c>
      <c r="J373" t="s">
        <v>29</v>
      </c>
      <c r="K373">
        <v>4</v>
      </c>
      <c r="L373" t="e">
        <f t="array" ref="L373">VLOOKUP(J373:$J$3871&amp;K373:$K$3871,CHOOSE({1,2},#REF!&amp;#REF!,#REF!),2,0)</f>
        <v>#N/A</v>
      </c>
      <c r="M373">
        <v>0</v>
      </c>
      <c r="N373">
        <v>1</v>
      </c>
      <c r="O373" t="s">
        <v>23</v>
      </c>
      <c r="P373">
        <v>1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1</v>
      </c>
      <c r="X373">
        <v>1</v>
      </c>
      <c r="Y373">
        <v>0</v>
      </c>
      <c r="Z373">
        <v>0</v>
      </c>
      <c r="AA373" t="s">
        <v>4195</v>
      </c>
      <c r="AB373" t="s">
        <v>6734</v>
      </c>
      <c r="AC373" t="s">
        <v>4195</v>
      </c>
      <c r="AD373" t="e">
        <f>VLOOKUP(AB373,#REF!,2,FALSE)</f>
        <v>#REF!</v>
      </c>
      <c r="AE373" t="e">
        <f>RIGHT(#REF!,(FIND("Complex",#REF!,1)-6))</f>
        <v>#REF!</v>
      </c>
    </row>
    <row r="374" spans="1:31" x14ac:dyDescent="0.25">
      <c r="A374">
        <v>2082</v>
      </c>
      <c r="B374" t="s">
        <v>236</v>
      </c>
      <c r="C374">
        <v>15</v>
      </c>
      <c r="D374">
        <v>370</v>
      </c>
      <c r="E374">
        <v>2082</v>
      </c>
      <c r="F374">
        <v>4321801</v>
      </c>
      <c r="G374">
        <v>4410000</v>
      </c>
      <c r="H374">
        <f t="shared" si="10"/>
        <v>98.000022675736957</v>
      </c>
      <c r="I374">
        <f t="shared" si="11"/>
        <v>100</v>
      </c>
      <c r="J374" t="s">
        <v>29</v>
      </c>
      <c r="K374">
        <v>4</v>
      </c>
      <c r="L374" t="e">
        <f t="array" ref="L374">VLOOKUP(J374:$J$3871&amp;K374:$K$3871,CHOOSE({1,2},#REF!&amp;#REF!,#REF!),2,0)</f>
        <v>#N/A</v>
      </c>
      <c r="M374">
        <v>0</v>
      </c>
      <c r="N374">
        <v>1</v>
      </c>
      <c r="O374" t="s">
        <v>23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1</v>
      </c>
      <c r="Y374">
        <v>0</v>
      </c>
      <c r="Z374">
        <v>0</v>
      </c>
      <c r="AA374" t="s">
        <v>3509</v>
      </c>
      <c r="AB374" t="s">
        <v>6321</v>
      </c>
      <c r="AC374" t="s">
        <v>3509</v>
      </c>
      <c r="AD374" t="e">
        <f>VLOOKUP(AB374,#REF!,2,FALSE)</f>
        <v>#REF!</v>
      </c>
      <c r="AE374" t="e">
        <f>RIGHT(#REF!,(FIND("Complex",#REF!,1)-6))</f>
        <v>#REF!</v>
      </c>
    </row>
    <row r="375" spans="1:31" x14ac:dyDescent="0.25">
      <c r="A375">
        <v>3136</v>
      </c>
      <c r="B375" t="s">
        <v>236</v>
      </c>
      <c r="C375">
        <v>15</v>
      </c>
      <c r="D375">
        <v>738</v>
      </c>
      <c r="E375">
        <v>3136</v>
      </c>
      <c r="F375">
        <v>3263401</v>
      </c>
      <c r="G375">
        <v>3351600</v>
      </c>
      <c r="H375">
        <f t="shared" si="10"/>
        <v>74.000022675736957</v>
      </c>
      <c r="I375">
        <f t="shared" si="11"/>
        <v>76</v>
      </c>
      <c r="J375" t="s">
        <v>29</v>
      </c>
      <c r="K375">
        <v>4</v>
      </c>
      <c r="L375" t="e">
        <f t="array" ref="L375">VLOOKUP(J375:$J$3871&amp;K375:$K$3871,CHOOSE({1,2},#REF!&amp;#REF!,#REF!),2,0)</f>
        <v>#N/A</v>
      </c>
      <c r="M375">
        <v>0</v>
      </c>
      <c r="N375">
        <v>1</v>
      </c>
      <c r="O375" t="s">
        <v>23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1</v>
      </c>
      <c r="Y375">
        <v>0</v>
      </c>
      <c r="Z375">
        <v>0</v>
      </c>
      <c r="AA375" t="s">
        <v>3686</v>
      </c>
      <c r="AB375" t="s">
        <v>6414</v>
      </c>
      <c r="AC375" t="s">
        <v>3686</v>
      </c>
      <c r="AD375" t="e">
        <f>VLOOKUP(AB375,#REF!,2,FALSE)</f>
        <v>#REF!</v>
      </c>
      <c r="AE375" t="e">
        <f>RIGHT(#REF!,(FIND("Complex",#REF!,1)-6))</f>
        <v>#REF!</v>
      </c>
    </row>
    <row r="376" spans="1:31" x14ac:dyDescent="0.25">
      <c r="A376">
        <v>3234</v>
      </c>
      <c r="B376" t="s">
        <v>236</v>
      </c>
      <c r="C376">
        <v>15</v>
      </c>
      <c r="D376">
        <v>791</v>
      </c>
      <c r="E376">
        <v>3234</v>
      </c>
      <c r="F376">
        <v>1499401</v>
      </c>
      <c r="G376">
        <v>1587600</v>
      </c>
      <c r="H376">
        <f t="shared" si="10"/>
        <v>34.000022675736965</v>
      </c>
      <c r="I376">
        <f t="shared" si="11"/>
        <v>36</v>
      </c>
      <c r="J376" t="s">
        <v>29</v>
      </c>
      <c r="K376">
        <v>4</v>
      </c>
      <c r="L376" t="e">
        <f t="array" ref="L376">VLOOKUP(J376:$J$3871&amp;K376:$K$3871,CHOOSE({1,2},#REF!&amp;#REF!,#REF!),2,0)</f>
        <v>#N/A</v>
      </c>
      <c r="M376">
        <v>0</v>
      </c>
      <c r="N376">
        <v>1</v>
      </c>
      <c r="O376" t="s">
        <v>23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1</v>
      </c>
      <c r="Y376">
        <v>0</v>
      </c>
      <c r="Z376">
        <v>0</v>
      </c>
      <c r="AA376" t="s">
        <v>4029</v>
      </c>
      <c r="AB376" t="s">
        <v>6617</v>
      </c>
      <c r="AC376" t="s">
        <v>4029</v>
      </c>
      <c r="AD376" t="e">
        <f>VLOOKUP(AB376,#REF!,2,FALSE)</f>
        <v>#REF!</v>
      </c>
      <c r="AE376" t="e">
        <f>RIGHT(#REF!,(FIND("Complex",#REF!,1)-6))</f>
        <v>#REF!</v>
      </c>
    </row>
    <row r="377" spans="1:31" x14ac:dyDescent="0.25">
      <c r="A377">
        <v>1931</v>
      </c>
      <c r="B377" t="s">
        <v>236</v>
      </c>
      <c r="C377">
        <v>15</v>
      </c>
      <c r="D377">
        <v>330</v>
      </c>
      <c r="E377">
        <v>1931</v>
      </c>
      <c r="F377">
        <v>8555401</v>
      </c>
      <c r="G377">
        <v>8643600</v>
      </c>
      <c r="H377">
        <f t="shared" si="10"/>
        <v>194.00002267573697</v>
      </c>
      <c r="I377">
        <f t="shared" si="11"/>
        <v>196</v>
      </c>
      <c r="J377" t="s">
        <v>29</v>
      </c>
      <c r="K377">
        <v>4</v>
      </c>
      <c r="L377" t="e">
        <f t="array" ref="L377">VLOOKUP(J377:$J$3871&amp;K377:$K$3871,CHOOSE({1,2},#REF!&amp;#REF!,#REF!),2,0)</f>
        <v>#N/A</v>
      </c>
      <c r="M377">
        <v>0</v>
      </c>
      <c r="N377">
        <v>1</v>
      </c>
      <c r="O377" t="s">
        <v>23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1</v>
      </c>
      <c r="Y377">
        <v>0</v>
      </c>
      <c r="Z377">
        <v>0</v>
      </c>
      <c r="AA377" t="s">
        <v>4354</v>
      </c>
      <c r="AB377" t="s">
        <v>6828</v>
      </c>
      <c r="AC377" t="s">
        <v>4354</v>
      </c>
      <c r="AD377" t="e">
        <f>VLOOKUP(AB377,#REF!,2,FALSE)</f>
        <v>#REF!</v>
      </c>
      <c r="AE377" t="e">
        <f>RIGHT(#REF!,(FIND("Complex",#REF!,1)-5))</f>
        <v>#REF!</v>
      </c>
    </row>
    <row r="378" spans="1:31" x14ac:dyDescent="0.25">
      <c r="A378">
        <v>356</v>
      </c>
      <c r="B378" t="s">
        <v>236</v>
      </c>
      <c r="C378">
        <v>15</v>
      </c>
      <c r="D378">
        <v>65</v>
      </c>
      <c r="E378">
        <v>356</v>
      </c>
      <c r="F378">
        <v>8379001</v>
      </c>
      <c r="G378">
        <v>8467200</v>
      </c>
      <c r="H378">
        <f t="shared" si="10"/>
        <v>190.00002267573697</v>
      </c>
      <c r="I378">
        <f t="shared" si="11"/>
        <v>192</v>
      </c>
      <c r="J378" t="s">
        <v>29</v>
      </c>
      <c r="K378">
        <v>4</v>
      </c>
      <c r="L378" t="e">
        <f t="array" ref="L378">VLOOKUP(J378:$J$3871&amp;K378:$K$3871,CHOOSE({1,2},#REF!&amp;#REF!,#REF!),2,0)</f>
        <v>#N/A</v>
      </c>
      <c r="M378">
        <v>0</v>
      </c>
      <c r="N378">
        <v>1</v>
      </c>
      <c r="O378" t="s">
        <v>23</v>
      </c>
      <c r="P378">
        <v>1</v>
      </c>
      <c r="Q378">
        <v>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0</v>
      </c>
      <c r="AA378" t="s">
        <v>4370</v>
      </c>
      <c r="AB378" t="s">
        <v>6841</v>
      </c>
      <c r="AC378" t="s">
        <v>4370</v>
      </c>
      <c r="AD378" t="e">
        <f>VLOOKUP(AB378,#REF!,2,FALSE)</f>
        <v>#REF!</v>
      </c>
      <c r="AE378" t="e">
        <f>RIGHT(#REF!,(FIND("Complex",#REF!,1)-4))</f>
        <v>#REF!</v>
      </c>
    </row>
    <row r="379" spans="1:31" x14ac:dyDescent="0.25">
      <c r="A379">
        <v>929</v>
      </c>
      <c r="B379" t="s">
        <v>236</v>
      </c>
      <c r="C379">
        <v>15</v>
      </c>
      <c r="D379">
        <v>163</v>
      </c>
      <c r="E379">
        <v>929</v>
      </c>
      <c r="F379">
        <v>5292001</v>
      </c>
      <c r="G379">
        <v>5380200</v>
      </c>
      <c r="H379">
        <f t="shared" si="10"/>
        <v>120.00002267573696</v>
      </c>
      <c r="I379">
        <f t="shared" si="11"/>
        <v>122</v>
      </c>
      <c r="J379" t="s">
        <v>29</v>
      </c>
      <c r="K379">
        <v>4</v>
      </c>
      <c r="L379" t="e">
        <f t="array" ref="L379">VLOOKUP(J379:$J$3871&amp;K379:$K$3871,CHOOSE({1,2},#REF!&amp;#REF!,#REF!),2,0)</f>
        <v>#N/A</v>
      </c>
      <c r="M379">
        <v>0</v>
      </c>
      <c r="N379">
        <v>1</v>
      </c>
      <c r="O379" t="s">
        <v>23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1</v>
      </c>
      <c r="Y379">
        <v>0</v>
      </c>
      <c r="Z379">
        <v>0</v>
      </c>
      <c r="AA379" t="s">
        <v>4718</v>
      </c>
      <c r="AB379" t="s">
        <v>7066</v>
      </c>
      <c r="AC379" t="s">
        <v>4718</v>
      </c>
      <c r="AD379" t="e">
        <f>VLOOKUP(AB379,#REF!,2,FALSE)</f>
        <v>#REF!</v>
      </c>
      <c r="AE379" t="e">
        <f>RIGHT(#REF!,(FIND("Complex",#REF!,1)-4))</f>
        <v>#REF!</v>
      </c>
    </row>
    <row r="380" spans="1:31" x14ac:dyDescent="0.25">
      <c r="A380">
        <v>968</v>
      </c>
      <c r="B380" t="s">
        <v>236</v>
      </c>
      <c r="C380">
        <v>15</v>
      </c>
      <c r="D380">
        <v>171</v>
      </c>
      <c r="E380">
        <v>968</v>
      </c>
      <c r="F380">
        <v>5203801</v>
      </c>
      <c r="G380">
        <v>5292000</v>
      </c>
      <c r="H380">
        <f t="shared" si="10"/>
        <v>118.00002267573696</v>
      </c>
      <c r="I380">
        <f t="shared" si="11"/>
        <v>120</v>
      </c>
      <c r="J380" t="s">
        <v>29</v>
      </c>
      <c r="K380">
        <v>4</v>
      </c>
      <c r="L380" t="e">
        <f t="array" ref="L380">VLOOKUP(J380:$J$3871&amp;K380:$K$3871,CHOOSE({1,2},#REF!&amp;#REF!,#REF!),2,0)</f>
        <v>#N/A</v>
      </c>
      <c r="M380">
        <v>0</v>
      </c>
      <c r="N380">
        <v>1</v>
      </c>
      <c r="O380" t="s">
        <v>23</v>
      </c>
      <c r="P380">
        <v>1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1</v>
      </c>
      <c r="Y380">
        <v>0</v>
      </c>
      <c r="Z380">
        <v>0</v>
      </c>
      <c r="AA380" t="s">
        <v>4748</v>
      </c>
      <c r="AB380" t="s">
        <v>7081</v>
      </c>
      <c r="AC380" t="s">
        <v>4748</v>
      </c>
      <c r="AD380" t="e">
        <f>VLOOKUP(AB380,#REF!,2,FALSE)</f>
        <v>#REF!</v>
      </c>
      <c r="AE380" t="e">
        <f>RIGHT(#REF!,(FIND("Complex",#REF!,1)-4))</f>
        <v>#REF!</v>
      </c>
    </row>
    <row r="381" spans="1:31" x14ac:dyDescent="0.25">
      <c r="A381">
        <v>3228</v>
      </c>
      <c r="B381" t="s">
        <v>237</v>
      </c>
      <c r="C381">
        <v>16</v>
      </c>
      <c r="D381">
        <v>786</v>
      </c>
      <c r="E381">
        <v>3228</v>
      </c>
      <c r="F381">
        <v>1411201</v>
      </c>
      <c r="G381">
        <v>1499400</v>
      </c>
      <c r="H381">
        <f t="shared" si="10"/>
        <v>32.000022675736965</v>
      </c>
      <c r="I381">
        <f t="shared" si="11"/>
        <v>34</v>
      </c>
      <c r="J381" t="s">
        <v>29</v>
      </c>
      <c r="K381">
        <v>4</v>
      </c>
      <c r="L381" t="e">
        <f t="array" ref="L381">VLOOKUP(J381:$J$3871&amp;K381:$K$3871,CHOOSE({1,2},#REF!&amp;#REF!,#REF!),2,0)</f>
        <v>#N/A</v>
      </c>
      <c r="M381">
        <v>0</v>
      </c>
      <c r="N381">
        <v>1</v>
      </c>
      <c r="O381" t="s">
        <v>23</v>
      </c>
      <c r="P381">
        <v>1</v>
      </c>
      <c r="Q381">
        <v>0</v>
      </c>
      <c r="R381">
        <v>0</v>
      </c>
      <c r="S381">
        <v>0</v>
      </c>
      <c r="T381">
        <v>1</v>
      </c>
      <c r="U381">
        <v>0</v>
      </c>
      <c r="V381">
        <v>0</v>
      </c>
      <c r="W381">
        <v>1</v>
      </c>
      <c r="X381">
        <v>1</v>
      </c>
      <c r="Y381">
        <v>0</v>
      </c>
      <c r="Z381">
        <v>0</v>
      </c>
      <c r="AA381" t="s">
        <v>4047</v>
      </c>
      <c r="AB381" t="s">
        <v>6625</v>
      </c>
      <c r="AC381" t="s">
        <v>4047</v>
      </c>
      <c r="AD381" t="e">
        <f>VLOOKUP(AB381,#REF!,2,FALSE)</f>
        <v>#REF!</v>
      </c>
      <c r="AE381" t="e">
        <f>RIGHT(#REF!,(FIND("Complex",#REF!,1)-6))</f>
        <v>#REF!</v>
      </c>
    </row>
    <row r="382" spans="1:31" x14ac:dyDescent="0.25">
      <c r="A382">
        <v>2467</v>
      </c>
      <c r="B382" t="s">
        <v>237</v>
      </c>
      <c r="C382">
        <v>16</v>
      </c>
      <c r="D382">
        <v>472</v>
      </c>
      <c r="E382">
        <v>2467</v>
      </c>
      <c r="F382">
        <v>617401</v>
      </c>
      <c r="G382">
        <v>705600</v>
      </c>
      <c r="H382">
        <f t="shared" si="10"/>
        <v>14.000022675736961</v>
      </c>
      <c r="I382">
        <f t="shared" si="11"/>
        <v>16</v>
      </c>
      <c r="J382" t="s">
        <v>29</v>
      </c>
      <c r="K382">
        <v>4</v>
      </c>
      <c r="L382" t="e">
        <f t="array" ref="L382">VLOOKUP(J382:$J$3871&amp;K382:$K$3871,CHOOSE({1,2},#REF!&amp;#REF!,#REF!),2,0)</f>
        <v>#N/A</v>
      </c>
      <c r="M382">
        <v>0</v>
      </c>
      <c r="N382">
        <v>1</v>
      </c>
      <c r="O382" t="s">
        <v>23</v>
      </c>
      <c r="P382">
        <v>1</v>
      </c>
      <c r="Q382">
        <v>0</v>
      </c>
      <c r="R382">
        <v>0</v>
      </c>
      <c r="S382">
        <v>0</v>
      </c>
      <c r="T382">
        <v>1</v>
      </c>
      <c r="U382">
        <v>0</v>
      </c>
      <c r="V382">
        <v>0</v>
      </c>
      <c r="W382">
        <v>1</v>
      </c>
      <c r="X382">
        <v>1</v>
      </c>
      <c r="Y382">
        <v>0</v>
      </c>
      <c r="Z382">
        <v>0</v>
      </c>
      <c r="AA382" t="s">
        <v>4623</v>
      </c>
      <c r="AB382" t="s">
        <v>7002</v>
      </c>
      <c r="AC382" t="s">
        <v>4623</v>
      </c>
      <c r="AD382" t="e">
        <f>VLOOKUP(AB382,#REF!,2,FALSE)</f>
        <v>#REF!</v>
      </c>
      <c r="AE382" t="e">
        <f>RIGHT(#REF!,(FIND("Complex",#REF!,1)-6))</f>
        <v>#REF!</v>
      </c>
    </row>
    <row r="383" spans="1:31" x14ac:dyDescent="0.25">
      <c r="A383">
        <v>1208</v>
      </c>
      <c r="B383" t="s">
        <v>237</v>
      </c>
      <c r="C383">
        <v>16</v>
      </c>
      <c r="D383">
        <v>208</v>
      </c>
      <c r="E383">
        <v>1208</v>
      </c>
      <c r="F383">
        <v>4586401</v>
      </c>
      <c r="G383">
        <v>4674600</v>
      </c>
      <c r="H383">
        <f t="shared" si="10"/>
        <v>104.00002267573696</v>
      </c>
      <c r="I383">
        <f t="shared" si="11"/>
        <v>106</v>
      </c>
      <c r="J383" t="s">
        <v>29</v>
      </c>
      <c r="K383">
        <v>4</v>
      </c>
      <c r="L383" t="e">
        <f t="array" ref="L383">VLOOKUP(J383:$J$3871&amp;K383:$K$3871,CHOOSE({1,2},#REF!&amp;#REF!,#REF!),2,0)</f>
        <v>#N/A</v>
      </c>
      <c r="M383">
        <v>0</v>
      </c>
      <c r="N383">
        <v>1</v>
      </c>
      <c r="O383" t="s">
        <v>23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0</v>
      </c>
      <c r="AA383" t="s">
        <v>4820</v>
      </c>
      <c r="AB383" t="s">
        <v>7122</v>
      </c>
      <c r="AC383" t="s">
        <v>4820</v>
      </c>
      <c r="AD383" t="e">
        <f>VLOOKUP(AB383,#REF!,2,FALSE)</f>
        <v>#REF!</v>
      </c>
      <c r="AE383" t="e">
        <f>RIGHT(#REF!,(FIND("Complex",#REF!,1)-5))</f>
        <v>#REF!</v>
      </c>
    </row>
    <row r="384" spans="1:31" x14ac:dyDescent="0.25">
      <c r="A384">
        <v>1997</v>
      </c>
      <c r="B384" t="s">
        <v>33</v>
      </c>
      <c r="C384">
        <v>20</v>
      </c>
      <c r="D384">
        <v>342</v>
      </c>
      <c r="E384">
        <v>1997</v>
      </c>
      <c r="F384">
        <v>2734201</v>
      </c>
      <c r="G384">
        <v>2822400</v>
      </c>
      <c r="H384">
        <f t="shared" si="10"/>
        <v>62.000022675736965</v>
      </c>
      <c r="I384">
        <f t="shared" si="11"/>
        <v>64</v>
      </c>
      <c r="J384" t="s">
        <v>29</v>
      </c>
      <c r="K384">
        <v>4</v>
      </c>
      <c r="L384" t="e">
        <f t="array" ref="L384">VLOOKUP(J384:$J$3871&amp;K384:$K$3871,CHOOSE({1,2},#REF!&amp;#REF!,#REF!),2,0)</f>
        <v>#N/A</v>
      </c>
      <c r="M384">
        <v>0</v>
      </c>
      <c r="N384">
        <v>1</v>
      </c>
      <c r="O384" t="s">
        <v>23</v>
      </c>
      <c r="P384">
        <v>1</v>
      </c>
      <c r="Q384">
        <v>0</v>
      </c>
      <c r="R384">
        <v>1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1</v>
      </c>
      <c r="Z384">
        <v>0</v>
      </c>
      <c r="AA384" t="s">
        <v>3769</v>
      </c>
      <c r="AB384" t="s">
        <v>684</v>
      </c>
      <c r="AC384" t="s">
        <v>3769</v>
      </c>
      <c r="AD384" t="e">
        <f>VLOOKUP(AB384,#REF!,2,FALSE)</f>
        <v>#REF!</v>
      </c>
      <c r="AE384" t="e">
        <f>RIGHT(#REF!,(FIND("Complex",#REF!,1)-6))</f>
        <v>#REF!</v>
      </c>
    </row>
    <row r="385" spans="1:31" x14ac:dyDescent="0.25">
      <c r="A385">
        <v>293</v>
      </c>
      <c r="B385" t="s">
        <v>33</v>
      </c>
      <c r="C385">
        <v>20</v>
      </c>
      <c r="D385">
        <v>55</v>
      </c>
      <c r="E385">
        <v>293</v>
      </c>
      <c r="F385">
        <v>2028601</v>
      </c>
      <c r="G385">
        <v>2116800</v>
      </c>
      <c r="H385">
        <f t="shared" si="10"/>
        <v>46.000022675736965</v>
      </c>
      <c r="I385">
        <f t="shared" si="11"/>
        <v>48</v>
      </c>
      <c r="J385" t="s">
        <v>29</v>
      </c>
      <c r="K385">
        <v>4</v>
      </c>
      <c r="L385" t="e">
        <f t="array" ref="L385">VLOOKUP(J385:$J$3871&amp;K385:$K$3871,CHOOSE({1,2},#REF!&amp;#REF!,#REF!),2,0)</f>
        <v>#N/A</v>
      </c>
      <c r="M385">
        <v>0</v>
      </c>
      <c r="N385">
        <v>1</v>
      </c>
      <c r="O385" t="s">
        <v>23</v>
      </c>
      <c r="P385">
        <v>1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1</v>
      </c>
      <c r="Z385">
        <v>0</v>
      </c>
      <c r="AA385" t="s">
        <v>3904</v>
      </c>
      <c r="AB385" t="s">
        <v>685</v>
      </c>
      <c r="AC385" t="s">
        <v>3904</v>
      </c>
      <c r="AD385" t="e">
        <f>VLOOKUP(AB385,#REF!,2,FALSE)</f>
        <v>#REF!</v>
      </c>
      <c r="AE385" t="e">
        <f>RIGHT(#REF!,(FIND("Complex",#REF!,1)-5))</f>
        <v>#REF!</v>
      </c>
    </row>
    <row r="386" spans="1:31" x14ac:dyDescent="0.25">
      <c r="A386">
        <v>873</v>
      </c>
      <c r="B386" t="s">
        <v>33</v>
      </c>
      <c r="C386">
        <v>20</v>
      </c>
      <c r="D386">
        <v>154</v>
      </c>
      <c r="E386">
        <v>873</v>
      </c>
      <c r="F386">
        <v>1940401</v>
      </c>
      <c r="G386">
        <v>2028600</v>
      </c>
      <c r="H386">
        <f t="shared" ref="H386:H449" si="12">F386/44100</f>
        <v>44.000022675736965</v>
      </c>
      <c r="I386">
        <f t="shared" ref="I386:I449" si="13">G386/44100</f>
        <v>46</v>
      </c>
      <c r="J386" t="s">
        <v>29</v>
      </c>
      <c r="K386">
        <v>4</v>
      </c>
      <c r="L386" t="e">
        <f t="array" ref="L386">VLOOKUP(J386:$J$3871&amp;K386:$K$3871,CHOOSE({1,2},#REF!&amp;#REF!,#REF!),2,0)</f>
        <v>#N/A</v>
      </c>
      <c r="M386">
        <v>0</v>
      </c>
      <c r="N386">
        <v>1</v>
      </c>
      <c r="O386" t="s">
        <v>23</v>
      </c>
      <c r="P386">
        <v>1</v>
      </c>
      <c r="Q386">
        <v>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1</v>
      </c>
      <c r="Z386">
        <v>0</v>
      </c>
      <c r="AA386" t="s">
        <v>3919</v>
      </c>
      <c r="AB386" t="s">
        <v>6550</v>
      </c>
      <c r="AC386" t="s">
        <v>3919</v>
      </c>
      <c r="AD386" t="e">
        <f>VLOOKUP(AB386,#REF!,2,FALSE)</f>
        <v>#REF!</v>
      </c>
      <c r="AE386" t="e">
        <f>RIGHT(#REF!,(FIND("Complex",#REF!,1)-5))</f>
        <v>#REF!</v>
      </c>
    </row>
    <row r="387" spans="1:31" x14ac:dyDescent="0.25">
      <c r="A387">
        <v>2524</v>
      </c>
      <c r="B387" t="s">
        <v>33</v>
      </c>
      <c r="C387">
        <v>20</v>
      </c>
      <c r="D387">
        <v>492</v>
      </c>
      <c r="E387">
        <v>2524</v>
      </c>
      <c r="F387">
        <v>5292001</v>
      </c>
      <c r="G387">
        <v>5380200</v>
      </c>
      <c r="H387">
        <f t="shared" si="12"/>
        <v>120.00002267573696</v>
      </c>
      <c r="I387">
        <f t="shared" si="13"/>
        <v>122</v>
      </c>
      <c r="J387" t="s">
        <v>29</v>
      </c>
      <c r="K387">
        <v>4</v>
      </c>
      <c r="L387" t="e">
        <f t="array" ref="L387">VLOOKUP(J387:$J$3871&amp;K387:$K$3871,CHOOSE({1,2},#REF!&amp;#REF!,#REF!),2,0)</f>
        <v>#N/A</v>
      </c>
      <c r="M387">
        <v>0</v>
      </c>
      <c r="N387">
        <v>1</v>
      </c>
      <c r="O387" t="s">
        <v>23</v>
      </c>
      <c r="P387">
        <v>1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 t="s">
        <v>4717</v>
      </c>
      <c r="AB387" t="s">
        <v>7065</v>
      </c>
      <c r="AC387" t="s">
        <v>4717</v>
      </c>
      <c r="AD387" t="e">
        <f>VLOOKUP(AB387,#REF!,2,FALSE)</f>
        <v>#REF!</v>
      </c>
      <c r="AE387" t="e">
        <f>RIGHT(#REF!,(FIND("Complex",#REF!,1)-5))</f>
        <v>#REF!</v>
      </c>
    </row>
    <row r="388" spans="1:31" x14ac:dyDescent="0.25">
      <c r="A388">
        <v>1245</v>
      </c>
      <c r="B388" t="s">
        <v>61</v>
      </c>
      <c r="C388">
        <v>21</v>
      </c>
      <c r="D388">
        <v>215</v>
      </c>
      <c r="E388">
        <v>1245</v>
      </c>
      <c r="F388">
        <v>2381401</v>
      </c>
      <c r="G388">
        <v>2469600</v>
      </c>
      <c r="H388">
        <f t="shared" si="12"/>
        <v>54.000022675736965</v>
      </c>
      <c r="I388">
        <f t="shared" si="13"/>
        <v>56</v>
      </c>
      <c r="J388" t="s">
        <v>29</v>
      </c>
      <c r="K388">
        <v>4</v>
      </c>
      <c r="L388" t="e">
        <f t="array" ref="L388">VLOOKUP(J388:$J$3871&amp;K388:$K$3871,CHOOSE({1,2},#REF!&amp;#REF!,#REF!),2,0)</f>
        <v>#N/A</v>
      </c>
      <c r="M388">
        <v>0</v>
      </c>
      <c r="N388">
        <v>1</v>
      </c>
      <c r="O388" t="s">
        <v>23</v>
      </c>
      <c r="P388">
        <v>1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1</v>
      </c>
      <c r="X388">
        <v>1</v>
      </c>
      <c r="Y388">
        <v>0</v>
      </c>
      <c r="Z388">
        <v>0</v>
      </c>
      <c r="AA388" t="s">
        <v>3849</v>
      </c>
      <c r="AB388" t="s">
        <v>714</v>
      </c>
      <c r="AC388" t="s">
        <v>3849</v>
      </c>
      <c r="AD388" t="e">
        <f>VLOOKUP(AB388,#REF!,2,FALSE)</f>
        <v>#REF!</v>
      </c>
      <c r="AE388" t="e">
        <f>RIGHT(#REF!,(FIND("Complex",#REF!,1)-6))</f>
        <v>#REF!</v>
      </c>
    </row>
    <row r="389" spans="1:31" x14ac:dyDescent="0.25">
      <c r="A389">
        <v>2153</v>
      </c>
      <c r="B389" t="s">
        <v>61</v>
      </c>
      <c r="C389">
        <v>21</v>
      </c>
      <c r="D389">
        <v>391</v>
      </c>
      <c r="E389">
        <v>2153</v>
      </c>
      <c r="F389">
        <v>6262201</v>
      </c>
      <c r="G389">
        <v>6350400</v>
      </c>
      <c r="H389">
        <f t="shared" si="12"/>
        <v>142.00002267573697</v>
      </c>
      <c r="I389">
        <f t="shared" si="13"/>
        <v>144</v>
      </c>
      <c r="J389" t="s">
        <v>29</v>
      </c>
      <c r="K389">
        <v>4</v>
      </c>
      <c r="L389" t="e">
        <f t="array" ref="L389">VLOOKUP(J389:$J$3871&amp;K389:$K$3871,CHOOSE({1,2},#REF!&amp;#REF!,#REF!),2,0)</f>
        <v>#N/A</v>
      </c>
      <c r="M389">
        <v>0</v>
      </c>
      <c r="N389">
        <v>1</v>
      </c>
      <c r="O389" t="s">
        <v>23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0</v>
      </c>
      <c r="AA389" t="s">
        <v>4591</v>
      </c>
      <c r="AB389" t="s">
        <v>715</v>
      </c>
      <c r="AC389" t="s">
        <v>4591</v>
      </c>
      <c r="AD389" t="e">
        <f>VLOOKUP(AB389,#REF!,2,FALSE)</f>
        <v>#REF!</v>
      </c>
      <c r="AE389" t="e">
        <f>RIGHT(#REF!,(FIND("Complex",#REF!,1)-5))</f>
        <v>#REF!</v>
      </c>
    </row>
    <row r="390" spans="1:31" x14ac:dyDescent="0.25">
      <c r="A390">
        <v>2013</v>
      </c>
      <c r="B390" t="s">
        <v>35</v>
      </c>
      <c r="C390">
        <v>23</v>
      </c>
      <c r="D390">
        <v>347</v>
      </c>
      <c r="E390">
        <v>2013</v>
      </c>
      <c r="F390">
        <v>4321801</v>
      </c>
      <c r="G390">
        <v>4410000</v>
      </c>
      <c r="H390">
        <f t="shared" si="12"/>
        <v>98.000022675736957</v>
      </c>
      <c r="I390">
        <f t="shared" si="13"/>
        <v>100</v>
      </c>
      <c r="J390" t="s">
        <v>29</v>
      </c>
      <c r="K390">
        <v>4</v>
      </c>
      <c r="L390" t="e">
        <f t="array" ref="L390">VLOOKUP(J390:$J$3871&amp;K390:$K$3871,CHOOSE({1,2},#REF!&amp;#REF!,#REF!),2,0)</f>
        <v>#N/A</v>
      </c>
      <c r="M390">
        <v>0</v>
      </c>
      <c r="N390">
        <v>1</v>
      </c>
      <c r="O390" t="s">
        <v>23</v>
      </c>
      <c r="P390">
        <v>1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 t="s">
        <v>3507</v>
      </c>
      <c r="AB390" t="s">
        <v>6320</v>
      </c>
      <c r="AC390" t="s">
        <v>3507</v>
      </c>
      <c r="AD390" t="e">
        <f>VLOOKUP(AB390,#REF!,2,FALSE)</f>
        <v>#REF!</v>
      </c>
      <c r="AE390" t="e">
        <f>RIGHT(#REF!,(FIND("Complex",#REF!,1)-6))</f>
        <v>#REF!</v>
      </c>
    </row>
    <row r="391" spans="1:31" x14ac:dyDescent="0.25">
      <c r="A391">
        <v>2975</v>
      </c>
      <c r="B391" t="s">
        <v>35</v>
      </c>
      <c r="C391">
        <v>23</v>
      </c>
      <c r="D391">
        <v>672</v>
      </c>
      <c r="E391">
        <v>2975</v>
      </c>
      <c r="F391">
        <v>3528001</v>
      </c>
      <c r="G391">
        <v>3616200</v>
      </c>
      <c r="H391">
        <f t="shared" si="12"/>
        <v>80.000022675736957</v>
      </c>
      <c r="I391">
        <f t="shared" si="13"/>
        <v>82</v>
      </c>
      <c r="J391" t="s">
        <v>29</v>
      </c>
      <c r="K391">
        <v>4</v>
      </c>
      <c r="L391" t="e">
        <f t="array" ref="L391">VLOOKUP(J391:$J$3871&amp;K391:$K$3871,CHOOSE({1,2},#REF!&amp;#REF!,#REF!),2,0)</f>
        <v>#N/A</v>
      </c>
      <c r="M391">
        <v>0</v>
      </c>
      <c r="N391">
        <v>1</v>
      </c>
      <c r="O391" t="s">
        <v>23</v>
      </c>
      <c r="P391">
        <v>1</v>
      </c>
      <c r="Q391">
        <v>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1</v>
      </c>
      <c r="Y391">
        <v>0</v>
      </c>
      <c r="Z391">
        <v>0</v>
      </c>
      <c r="AA391" t="s">
        <v>3630</v>
      </c>
      <c r="AB391" t="s">
        <v>737</v>
      </c>
      <c r="AC391" t="s">
        <v>3630</v>
      </c>
      <c r="AD391" t="e">
        <f>VLOOKUP(AB391,#REF!,2,FALSE)</f>
        <v>#REF!</v>
      </c>
      <c r="AE391" t="e">
        <f>RIGHT(#REF!,(FIND("Complex",#REF!,1)-6))</f>
        <v>#REF!</v>
      </c>
    </row>
    <row r="392" spans="1:31" x14ac:dyDescent="0.25">
      <c r="A392">
        <v>854</v>
      </c>
      <c r="B392" t="s">
        <v>35</v>
      </c>
      <c r="C392">
        <v>23</v>
      </c>
      <c r="D392">
        <v>149</v>
      </c>
      <c r="E392">
        <v>854</v>
      </c>
      <c r="F392">
        <v>3263401</v>
      </c>
      <c r="G392">
        <v>3351600</v>
      </c>
      <c r="H392">
        <f t="shared" si="12"/>
        <v>74.000022675736957</v>
      </c>
      <c r="I392">
        <f t="shared" si="13"/>
        <v>76</v>
      </c>
      <c r="J392" t="s">
        <v>29</v>
      </c>
      <c r="K392">
        <v>4</v>
      </c>
      <c r="L392" t="e">
        <f t="array" ref="L392">VLOOKUP(J392:$J$3871&amp;K392:$K$3871,CHOOSE({1,2},#REF!&amp;#REF!,#REF!),2,0)</f>
        <v>#N/A</v>
      </c>
      <c r="M392">
        <v>0</v>
      </c>
      <c r="N392">
        <v>1</v>
      </c>
      <c r="O392" t="s">
        <v>23</v>
      </c>
      <c r="P392">
        <v>1</v>
      </c>
      <c r="Q392">
        <v>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1</v>
      </c>
      <c r="Y392">
        <v>0</v>
      </c>
      <c r="Z392">
        <v>0</v>
      </c>
      <c r="AA392" t="s">
        <v>3684</v>
      </c>
      <c r="AB392" t="s">
        <v>738</v>
      </c>
      <c r="AC392" t="s">
        <v>3684</v>
      </c>
      <c r="AD392" t="e">
        <f>VLOOKUP(AB392,#REF!,2,FALSE)</f>
        <v>#REF!</v>
      </c>
      <c r="AE392" t="e">
        <f>RIGHT(#REF!,(FIND("Complex",#REF!,1)-5))</f>
        <v>#REF!</v>
      </c>
    </row>
    <row r="393" spans="1:31" x14ac:dyDescent="0.25">
      <c r="A393">
        <v>2413</v>
      </c>
      <c r="B393" t="s">
        <v>35</v>
      </c>
      <c r="C393">
        <v>23</v>
      </c>
      <c r="D393">
        <v>454</v>
      </c>
      <c r="E393">
        <v>2413</v>
      </c>
      <c r="F393">
        <v>2469601</v>
      </c>
      <c r="G393">
        <v>2557800</v>
      </c>
      <c r="H393">
        <f t="shared" si="12"/>
        <v>56.000022675736965</v>
      </c>
      <c r="I393">
        <f t="shared" si="13"/>
        <v>58</v>
      </c>
      <c r="J393" t="s">
        <v>29</v>
      </c>
      <c r="K393">
        <v>4</v>
      </c>
      <c r="L393" t="e">
        <f t="array" ref="L393">VLOOKUP(J393:$J$3871&amp;K393:$K$3871,CHOOSE({1,2},#REF!&amp;#REF!,#REF!),2,0)</f>
        <v>#N/A</v>
      </c>
      <c r="M393">
        <v>0</v>
      </c>
      <c r="N393">
        <v>1</v>
      </c>
      <c r="O393" t="s">
        <v>23</v>
      </c>
      <c r="P393">
        <v>1</v>
      </c>
      <c r="Q393">
        <v>0</v>
      </c>
      <c r="R393">
        <v>1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0</v>
      </c>
      <c r="AA393" t="s">
        <v>3838</v>
      </c>
      <c r="AB393" t="s">
        <v>6504</v>
      </c>
      <c r="AC393" t="s">
        <v>3838</v>
      </c>
      <c r="AD393" t="e">
        <f>VLOOKUP(AB393,#REF!,2,FALSE)</f>
        <v>#REF!</v>
      </c>
      <c r="AE393" t="e">
        <f>RIGHT(#REF!,(FIND("Complex",#REF!,1)-6))</f>
        <v>#REF!</v>
      </c>
    </row>
    <row r="394" spans="1:31" x14ac:dyDescent="0.25">
      <c r="A394">
        <v>2874</v>
      </c>
      <c r="B394" t="s">
        <v>35</v>
      </c>
      <c r="C394">
        <v>23</v>
      </c>
      <c r="D394">
        <v>629</v>
      </c>
      <c r="E394">
        <v>2874</v>
      </c>
      <c r="F394">
        <v>2293201</v>
      </c>
      <c r="G394">
        <v>2381400</v>
      </c>
      <c r="H394">
        <f t="shared" si="12"/>
        <v>52.000022675736965</v>
      </c>
      <c r="I394">
        <f t="shared" si="13"/>
        <v>54</v>
      </c>
      <c r="J394" t="s">
        <v>29</v>
      </c>
      <c r="K394">
        <v>4</v>
      </c>
      <c r="L394" t="e">
        <f t="array" ref="L394">VLOOKUP(J394:$J$3871&amp;K394:$K$3871,CHOOSE({1,2},#REF!&amp;#REF!,#REF!),2,0)</f>
        <v>#N/A</v>
      </c>
      <c r="M394">
        <v>0</v>
      </c>
      <c r="N394">
        <v>1</v>
      </c>
      <c r="O394" t="s">
        <v>23</v>
      </c>
      <c r="P394">
        <v>1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1</v>
      </c>
      <c r="Y394">
        <v>0</v>
      </c>
      <c r="Z394">
        <v>0</v>
      </c>
      <c r="AA394" t="s">
        <v>3865</v>
      </c>
      <c r="AB394" t="s">
        <v>6519</v>
      </c>
      <c r="AC394" t="s">
        <v>3865</v>
      </c>
      <c r="AD394" t="e">
        <f>VLOOKUP(AB394,#REF!,2,FALSE)</f>
        <v>#REF!</v>
      </c>
      <c r="AE394" t="e">
        <f>RIGHT(#REF!,(FIND("Complex",#REF!,1)-6))</f>
        <v>#REF!</v>
      </c>
    </row>
    <row r="395" spans="1:31" x14ac:dyDescent="0.25">
      <c r="A395">
        <v>1430</v>
      </c>
      <c r="B395" t="s">
        <v>35</v>
      </c>
      <c r="C395">
        <v>23</v>
      </c>
      <c r="D395">
        <v>241</v>
      </c>
      <c r="E395">
        <v>1430</v>
      </c>
      <c r="F395">
        <v>1675801</v>
      </c>
      <c r="G395">
        <v>1764000</v>
      </c>
      <c r="H395">
        <f t="shared" si="12"/>
        <v>38.000022675736965</v>
      </c>
      <c r="I395">
        <f t="shared" si="13"/>
        <v>40</v>
      </c>
      <c r="J395" t="s">
        <v>29</v>
      </c>
      <c r="K395">
        <v>4</v>
      </c>
      <c r="L395" t="e">
        <f t="array" ref="L395">VLOOKUP(J395:$J$3871&amp;K395:$K$3871,CHOOSE({1,2},#REF!&amp;#REF!,#REF!),2,0)</f>
        <v>#N/A</v>
      </c>
      <c r="M395">
        <v>0</v>
      </c>
      <c r="N395">
        <v>1</v>
      </c>
      <c r="O395" t="s">
        <v>23</v>
      </c>
      <c r="P395">
        <v>1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1</v>
      </c>
      <c r="Y395">
        <v>0</v>
      </c>
      <c r="Z395">
        <v>0</v>
      </c>
      <c r="AA395" t="s">
        <v>3984</v>
      </c>
      <c r="AB395" t="s">
        <v>6583</v>
      </c>
      <c r="AC395" t="s">
        <v>3984</v>
      </c>
      <c r="AD395" t="e">
        <f>VLOOKUP(AB395,#REF!,2,FALSE)</f>
        <v>#REF!</v>
      </c>
      <c r="AE395" t="e">
        <f>RIGHT(#REF!,(FIND("Complex",#REF!,1)-6))</f>
        <v>#REF!</v>
      </c>
    </row>
    <row r="396" spans="1:31" x14ac:dyDescent="0.25">
      <c r="A396">
        <v>3083</v>
      </c>
      <c r="B396" t="s">
        <v>35</v>
      </c>
      <c r="C396">
        <v>23</v>
      </c>
      <c r="D396">
        <v>718</v>
      </c>
      <c r="E396">
        <v>3083</v>
      </c>
      <c r="F396">
        <v>5027401</v>
      </c>
      <c r="G396">
        <v>5115600</v>
      </c>
      <c r="H396">
        <f t="shared" si="12"/>
        <v>114.00002267573696</v>
      </c>
      <c r="I396">
        <f t="shared" si="13"/>
        <v>116</v>
      </c>
      <c r="J396" t="s">
        <v>29</v>
      </c>
      <c r="K396">
        <v>4</v>
      </c>
      <c r="L396" t="e">
        <f t="array" ref="L396">VLOOKUP(J396:$J$3871&amp;K396:$K$3871,CHOOSE({1,2},#REF!&amp;#REF!,#REF!),2,0)</f>
        <v>#N/A</v>
      </c>
      <c r="M396">
        <v>0</v>
      </c>
      <c r="N396">
        <v>1</v>
      </c>
      <c r="O396" t="s">
        <v>23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1</v>
      </c>
      <c r="Y396">
        <v>0</v>
      </c>
      <c r="Z396">
        <v>0</v>
      </c>
      <c r="AA396" t="s">
        <v>4767</v>
      </c>
      <c r="AB396" t="s">
        <v>739</v>
      </c>
      <c r="AC396" t="s">
        <v>4767</v>
      </c>
      <c r="AD396" t="e">
        <f>VLOOKUP(AB396,#REF!,2,FALSE)</f>
        <v>#REF!</v>
      </c>
      <c r="AE396" t="e">
        <f>RIGHT(#REF!,(FIND("Complex",#REF!,1)-5))</f>
        <v>#REF!</v>
      </c>
    </row>
    <row r="397" spans="1:31" x14ac:dyDescent="0.25">
      <c r="A397">
        <v>2464</v>
      </c>
      <c r="B397" t="s">
        <v>35</v>
      </c>
      <c r="C397">
        <v>23</v>
      </c>
      <c r="D397">
        <v>471</v>
      </c>
      <c r="E397">
        <v>2464</v>
      </c>
      <c r="F397">
        <v>4674601</v>
      </c>
      <c r="G397">
        <v>4762800</v>
      </c>
      <c r="H397">
        <f t="shared" si="12"/>
        <v>106.00002267573696</v>
      </c>
      <c r="I397">
        <f t="shared" si="13"/>
        <v>108</v>
      </c>
      <c r="J397" t="s">
        <v>29</v>
      </c>
      <c r="K397">
        <v>4</v>
      </c>
      <c r="L397" t="e">
        <f t="array" ref="L397">VLOOKUP(J397:$J$3871&amp;K397:$K$3871,CHOOSE({1,2},#REF!&amp;#REF!,#REF!),2,0)</f>
        <v>#N/A</v>
      </c>
      <c r="M397">
        <v>0</v>
      </c>
      <c r="N397">
        <v>1</v>
      </c>
      <c r="O397" t="s">
        <v>23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 t="s">
        <v>4806</v>
      </c>
      <c r="AB397" t="s">
        <v>740</v>
      </c>
      <c r="AC397" t="s">
        <v>4806</v>
      </c>
      <c r="AD397" t="e">
        <f>VLOOKUP(AB397,#REF!,2,FALSE)</f>
        <v>#REF!</v>
      </c>
      <c r="AE397" t="e">
        <f>RIGHT(#REF!,(FIND("Complex",#REF!,1)-5))</f>
        <v>#REF!</v>
      </c>
    </row>
    <row r="398" spans="1:31" x14ac:dyDescent="0.25">
      <c r="A398">
        <v>664</v>
      </c>
      <c r="B398" t="s">
        <v>240</v>
      </c>
      <c r="C398">
        <v>24</v>
      </c>
      <c r="D398">
        <v>118</v>
      </c>
      <c r="E398">
        <v>664</v>
      </c>
      <c r="F398">
        <v>6262201</v>
      </c>
      <c r="G398">
        <v>6350400</v>
      </c>
      <c r="H398">
        <f t="shared" si="12"/>
        <v>142.00002267573697</v>
      </c>
      <c r="I398">
        <f t="shared" si="13"/>
        <v>144</v>
      </c>
      <c r="J398" t="s">
        <v>29</v>
      </c>
      <c r="K398">
        <v>4</v>
      </c>
      <c r="L398" t="e">
        <f t="array" ref="L398">VLOOKUP(J398:$J$3871&amp;K398:$K$3871,CHOOSE({1,2},#REF!&amp;#REF!,#REF!),2,0)</f>
        <v>#N/A</v>
      </c>
      <c r="M398">
        <v>0</v>
      </c>
      <c r="N398">
        <v>1</v>
      </c>
      <c r="O398" t="s">
        <v>23</v>
      </c>
      <c r="P398">
        <v>1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1</v>
      </c>
      <c r="Y398">
        <v>1</v>
      </c>
      <c r="Z398">
        <v>0</v>
      </c>
      <c r="AA398" t="s">
        <v>4590</v>
      </c>
      <c r="AB398" t="s">
        <v>772</v>
      </c>
      <c r="AC398" t="s">
        <v>4590</v>
      </c>
      <c r="AD398" t="e">
        <f>VLOOKUP(AB398,#REF!,2,FALSE)</f>
        <v>#REF!</v>
      </c>
      <c r="AE398" t="e">
        <f>RIGHT(#REF!,(FIND("Complex",#REF!,1)-4))</f>
        <v>#REF!</v>
      </c>
    </row>
    <row r="399" spans="1:31" x14ac:dyDescent="0.25">
      <c r="A399">
        <v>3235</v>
      </c>
      <c r="B399" t="s">
        <v>240</v>
      </c>
      <c r="C399">
        <v>24</v>
      </c>
      <c r="D399">
        <v>792</v>
      </c>
      <c r="E399">
        <v>3235</v>
      </c>
      <c r="F399">
        <v>6174001</v>
      </c>
      <c r="G399">
        <v>6262200</v>
      </c>
      <c r="H399">
        <f t="shared" si="12"/>
        <v>140.00002267573697</v>
      </c>
      <c r="I399">
        <f t="shared" si="13"/>
        <v>142</v>
      </c>
      <c r="J399" t="s">
        <v>29</v>
      </c>
      <c r="K399">
        <v>4</v>
      </c>
      <c r="L399" t="e">
        <f t="array" ref="L399">VLOOKUP(J399:$J$3871&amp;K399:$K$3871,CHOOSE({1,2},#REF!&amp;#REF!,#REF!),2,0)</f>
        <v>#N/A</v>
      </c>
      <c r="M399">
        <v>0</v>
      </c>
      <c r="N399">
        <v>1</v>
      </c>
      <c r="O399" t="s">
        <v>23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1</v>
      </c>
      <c r="Y399">
        <v>1</v>
      </c>
      <c r="Z399">
        <v>0</v>
      </c>
      <c r="AA399" t="s">
        <v>4599</v>
      </c>
      <c r="AB399" t="s">
        <v>6993</v>
      </c>
      <c r="AC399" t="s">
        <v>4599</v>
      </c>
      <c r="AD399" t="e">
        <f>VLOOKUP(AB399,#REF!,2,FALSE)</f>
        <v>#REF!</v>
      </c>
      <c r="AE399" t="e">
        <f>RIGHT(#REF!,(FIND("Complex",#REF!,1)-5))</f>
        <v>#REF!</v>
      </c>
    </row>
    <row r="400" spans="1:31" x14ac:dyDescent="0.25">
      <c r="A400">
        <v>96</v>
      </c>
      <c r="B400" t="s">
        <v>242</v>
      </c>
      <c r="C400">
        <v>25</v>
      </c>
      <c r="D400">
        <v>18</v>
      </c>
      <c r="E400">
        <v>96</v>
      </c>
      <c r="F400">
        <v>3528001</v>
      </c>
      <c r="G400">
        <v>3616200</v>
      </c>
      <c r="H400">
        <f t="shared" si="12"/>
        <v>80.000022675736957</v>
      </c>
      <c r="I400">
        <f t="shared" si="13"/>
        <v>82</v>
      </c>
      <c r="J400" t="s">
        <v>29</v>
      </c>
      <c r="K400">
        <v>4</v>
      </c>
      <c r="L400" t="e">
        <f t="array" ref="L400">VLOOKUP(J400:$J$3871&amp;K400:$K$3871,CHOOSE({1,2},#REF!&amp;#REF!,#REF!),2,0)</f>
        <v>#N/A</v>
      </c>
      <c r="M400">
        <v>0</v>
      </c>
      <c r="N400">
        <v>1</v>
      </c>
      <c r="O400" t="s">
        <v>23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1</v>
      </c>
      <c r="Y400">
        <v>0</v>
      </c>
      <c r="Z400">
        <v>0</v>
      </c>
      <c r="AA400" t="s">
        <v>3629</v>
      </c>
      <c r="AB400" t="s">
        <v>6385</v>
      </c>
      <c r="AC400" t="s">
        <v>3629</v>
      </c>
      <c r="AD400" t="e">
        <f>VLOOKUP(AB400,#REF!,2,FALSE)</f>
        <v>#REF!</v>
      </c>
      <c r="AE400" t="e">
        <f>RIGHT(#REF!,(FIND("Complex",#REF!,1)-4))</f>
        <v>#REF!</v>
      </c>
    </row>
    <row r="401" spans="1:31" x14ac:dyDescent="0.25">
      <c r="A401">
        <v>3342</v>
      </c>
      <c r="B401" t="s">
        <v>242</v>
      </c>
      <c r="C401">
        <v>25</v>
      </c>
      <c r="D401">
        <v>846</v>
      </c>
      <c r="E401">
        <v>3342</v>
      </c>
      <c r="F401">
        <v>3263401</v>
      </c>
      <c r="G401">
        <v>3351600</v>
      </c>
      <c r="H401">
        <f t="shared" si="12"/>
        <v>74.000022675736957</v>
      </c>
      <c r="I401">
        <f t="shared" si="13"/>
        <v>76</v>
      </c>
      <c r="J401" t="s">
        <v>29</v>
      </c>
      <c r="K401">
        <v>4</v>
      </c>
      <c r="L401" t="e">
        <f t="array" ref="L401">VLOOKUP(J401:$J$3871&amp;K401:$K$3871,CHOOSE({1,2},#REF!&amp;#REF!,#REF!),2,0)</f>
        <v>#N/A</v>
      </c>
      <c r="M401">
        <v>0</v>
      </c>
      <c r="N401">
        <v>1</v>
      </c>
      <c r="O401" t="s">
        <v>23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0</v>
      </c>
      <c r="AA401" t="s">
        <v>3682</v>
      </c>
      <c r="AB401" t="s">
        <v>6412</v>
      </c>
      <c r="AC401" t="s">
        <v>3682</v>
      </c>
      <c r="AD401" t="e">
        <f>VLOOKUP(AB401,#REF!,2,FALSE)</f>
        <v>#REF!</v>
      </c>
      <c r="AE401" t="e">
        <f>RIGHT(#REF!,(FIND("Complex",#REF!,1)-6))</f>
        <v>#REF!</v>
      </c>
    </row>
    <row r="402" spans="1:31" x14ac:dyDescent="0.25">
      <c r="A402">
        <v>1338</v>
      </c>
      <c r="B402" t="s">
        <v>242</v>
      </c>
      <c r="C402">
        <v>25</v>
      </c>
      <c r="D402">
        <v>230</v>
      </c>
      <c r="E402">
        <v>1338</v>
      </c>
      <c r="F402">
        <v>3087001</v>
      </c>
      <c r="G402">
        <v>3175200</v>
      </c>
      <c r="H402">
        <f t="shared" si="12"/>
        <v>70.000022675736957</v>
      </c>
      <c r="I402">
        <f t="shared" si="13"/>
        <v>72</v>
      </c>
      <c r="J402" t="s">
        <v>29</v>
      </c>
      <c r="K402">
        <v>4</v>
      </c>
      <c r="L402" t="e">
        <f t="array" ref="L402">VLOOKUP(J402:$J$3871&amp;K402:$K$3871,CHOOSE({1,2},#REF!&amp;#REF!,#REF!),2,0)</f>
        <v>#N/A</v>
      </c>
      <c r="M402">
        <v>0</v>
      </c>
      <c r="N402">
        <v>1</v>
      </c>
      <c r="O402" t="s">
        <v>23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 t="s">
        <v>3710</v>
      </c>
      <c r="AB402" t="s">
        <v>6428</v>
      </c>
      <c r="AC402" t="s">
        <v>3710</v>
      </c>
      <c r="AD402" t="e">
        <f>VLOOKUP(AB402,#REF!,2,FALSE)</f>
        <v>#REF!</v>
      </c>
      <c r="AE402" t="e">
        <f>RIGHT(#REF!,(FIND("Complex",#REF!,1)-6))</f>
        <v>#REF!</v>
      </c>
    </row>
    <row r="403" spans="1:31" x14ac:dyDescent="0.25">
      <c r="A403">
        <v>428</v>
      </c>
      <c r="B403" t="s">
        <v>242</v>
      </c>
      <c r="C403">
        <v>25</v>
      </c>
      <c r="D403">
        <v>76</v>
      </c>
      <c r="E403">
        <v>428</v>
      </c>
      <c r="F403">
        <v>2646001</v>
      </c>
      <c r="G403">
        <v>2734200</v>
      </c>
      <c r="H403">
        <f t="shared" si="12"/>
        <v>60.000022675736965</v>
      </c>
      <c r="I403">
        <f t="shared" si="13"/>
        <v>62</v>
      </c>
      <c r="J403" t="s">
        <v>29</v>
      </c>
      <c r="K403">
        <v>4</v>
      </c>
      <c r="L403" t="e">
        <f t="array" ref="L403">VLOOKUP(J403:$J$3871&amp;K403:$K$3871,CHOOSE({1,2},#REF!&amp;#REF!,#REF!),2,0)</f>
        <v>#N/A</v>
      </c>
      <c r="M403">
        <v>0</v>
      </c>
      <c r="N403">
        <v>1</v>
      </c>
      <c r="O403" t="s">
        <v>23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1</v>
      </c>
      <c r="Y403">
        <v>0</v>
      </c>
      <c r="Z403">
        <v>0</v>
      </c>
      <c r="AA403" t="s">
        <v>3789</v>
      </c>
      <c r="AB403" t="s">
        <v>6481</v>
      </c>
      <c r="AC403" t="s">
        <v>3789</v>
      </c>
      <c r="AD403" t="e">
        <f>VLOOKUP(AB403,#REF!,2,FALSE)</f>
        <v>#REF!</v>
      </c>
      <c r="AE403" t="e">
        <f>RIGHT(#REF!,(FIND("Complex",#REF!,1)-5))</f>
        <v>#REF!</v>
      </c>
    </row>
    <row r="404" spans="1:31" x14ac:dyDescent="0.25">
      <c r="A404">
        <v>2722</v>
      </c>
      <c r="B404" t="s">
        <v>242</v>
      </c>
      <c r="C404">
        <v>25</v>
      </c>
      <c r="D404">
        <v>569</v>
      </c>
      <c r="E404">
        <v>2722</v>
      </c>
      <c r="F404">
        <v>11907001</v>
      </c>
      <c r="G404">
        <v>11995200</v>
      </c>
      <c r="H404">
        <f t="shared" si="12"/>
        <v>270.00002267573694</v>
      </c>
      <c r="I404">
        <f t="shared" si="13"/>
        <v>272</v>
      </c>
      <c r="J404" t="s">
        <v>29</v>
      </c>
      <c r="K404">
        <v>4</v>
      </c>
      <c r="L404" t="e">
        <f t="array" ref="L404">VLOOKUP(J404:$J$3871&amp;K404:$K$3871,CHOOSE({1,2},#REF!&amp;#REF!,#REF!),2,0)</f>
        <v>#N/A</v>
      </c>
      <c r="M404">
        <v>0</v>
      </c>
      <c r="N404">
        <v>1</v>
      </c>
      <c r="O404" t="s">
        <v>23</v>
      </c>
      <c r="P404">
        <v>1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1</v>
      </c>
      <c r="Y404">
        <v>0</v>
      </c>
      <c r="Z404">
        <v>0</v>
      </c>
      <c r="AA404" t="s">
        <v>4128</v>
      </c>
      <c r="AB404" t="s">
        <v>6688</v>
      </c>
      <c r="AC404" t="s">
        <v>4128</v>
      </c>
      <c r="AD404" t="e">
        <f>VLOOKUP(AB404,#REF!,2,FALSE)</f>
        <v>#REF!</v>
      </c>
      <c r="AE404" t="e">
        <f>RIGHT(#REF!,(FIND("Complex",#REF!,1)-5))</f>
        <v>#REF!</v>
      </c>
    </row>
    <row r="405" spans="1:31" x14ac:dyDescent="0.25">
      <c r="A405">
        <v>2341</v>
      </c>
      <c r="B405" t="s">
        <v>242</v>
      </c>
      <c r="C405">
        <v>25</v>
      </c>
      <c r="D405">
        <v>429</v>
      </c>
      <c r="E405">
        <v>2341</v>
      </c>
      <c r="F405">
        <v>11554201</v>
      </c>
      <c r="G405">
        <v>11642400</v>
      </c>
      <c r="H405">
        <f t="shared" si="12"/>
        <v>262.00002267573694</v>
      </c>
      <c r="I405">
        <f t="shared" si="13"/>
        <v>264</v>
      </c>
      <c r="J405" t="s">
        <v>29</v>
      </c>
      <c r="K405">
        <v>4</v>
      </c>
      <c r="L405" t="e">
        <f t="array" ref="L405">VLOOKUP(J405:$J$3871&amp;K405:$K$3871,CHOOSE({1,2},#REF!&amp;#REF!,#REF!),2,0)</f>
        <v>#N/A</v>
      </c>
      <c r="M405">
        <v>0</v>
      </c>
      <c r="N405">
        <v>1</v>
      </c>
      <c r="O405" t="s">
        <v>23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>
        <v>0</v>
      </c>
      <c r="Z405">
        <v>0</v>
      </c>
      <c r="AA405" t="s">
        <v>4137</v>
      </c>
      <c r="AB405" t="s">
        <v>6693</v>
      </c>
      <c r="AC405" t="s">
        <v>4137</v>
      </c>
      <c r="AD405" t="e">
        <f>VLOOKUP(AB405,#REF!,2,FALSE)</f>
        <v>#REF!</v>
      </c>
      <c r="AE405" t="e">
        <f>RIGHT(#REF!,(FIND("Complex",#REF!,1)-5))</f>
        <v>#REF!</v>
      </c>
    </row>
    <row r="406" spans="1:31" x14ac:dyDescent="0.25">
      <c r="A406">
        <v>540</v>
      </c>
      <c r="B406" t="s">
        <v>242</v>
      </c>
      <c r="C406">
        <v>25</v>
      </c>
      <c r="D406">
        <v>94</v>
      </c>
      <c r="E406">
        <v>540</v>
      </c>
      <c r="F406">
        <v>11289601</v>
      </c>
      <c r="G406">
        <v>11377800</v>
      </c>
      <c r="H406">
        <f t="shared" si="12"/>
        <v>256.00002267573694</v>
      </c>
      <c r="I406">
        <f t="shared" si="13"/>
        <v>258</v>
      </c>
      <c r="J406" t="s">
        <v>29</v>
      </c>
      <c r="K406">
        <v>4</v>
      </c>
      <c r="L406" t="e">
        <f t="array" ref="L406">VLOOKUP(J406:$J$3871&amp;K406:$K$3871,CHOOSE({1,2},#REF!&amp;#REF!,#REF!),2,0)</f>
        <v>#N/A</v>
      </c>
      <c r="M406">
        <v>0</v>
      </c>
      <c r="N406">
        <v>1</v>
      </c>
      <c r="O406" t="s">
        <v>23</v>
      </c>
      <c r="P406">
        <v>1</v>
      </c>
      <c r="Q406">
        <v>1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1</v>
      </c>
      <c r="Y406">
        <v>0</v>
      </c>
      <c r="Z406">
        <v>0</v>
      </c>
      <c r="AA406" t="s">
        <v>4160</v>
      </c>
      <c r="AB406" t="s">
        <v>6710</v>
      </c>
      <c r="AC406" t="s">
        <v>4160</v>
      </c>
      <c r="AD406" t="e">
        <f>VLOOKUP(AB406,#REF!,2,FALSE)</f>
        <v>#REF!</v>
      </c>
      <c r="AE406" t="e">
        <f>RIGHT(#REF!,(FIND("Complex",#REF!,1)-4))</f>
        <v>#REF!</v>
      </c>
    </row>
    <row r="407" spans="1:31" x14ac:dyDescent="0.25">
      <c r="A407">
        <v>3146</v>
      </c>
      <c r="B407" t="s">
        <v>242</v>
      </c>
      <c r="C407">
        <v>25</v>
      </c>
      <c r="D407">
        <v>742</v>
      </c>
      <c r="E407">
        <v>3146</v>
      </c>
      <c r="F407">
        <v>10495801</v>
      </c>
      <c r="G407">
        <v>10584000</v>
      </c>
      <c r="H407">
        <f t="shared" si="12"/>
        <v>238.00002267573697</v>
      </c>
      <c r="I407">
        <f t="shared" si="13"/>
        <v>240</v>
      </c>
      <c r="J407" t="s">
        <v>29</v>
      </c>
      <c r="K407">
        <v>4</v>
      </c>
      <c r="L407" t="e">
        <f t="array" ref="L407">VLOOKUP(J407:$J$3871&amp;K407:$K$3871,CHOOSE({1,2},#REF!&amp;#REF!,#REF!),2,0)</f>
        <v>#N/A</v>
      </c>
      <c r="M407">
        <v>0</v>
      </c>
      <c r="N407">
        <v>1</v>
      </c>
      <c r="O407" t="s">
        <v>23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1</v>
      </c>
      <c r="Y407">
        <v>0</v>
      </c>
      <c r="Z407">
        <v>0</v>
      </c>
      <c r="AA407" t="s">
        <v>4202</v>
      </c>
      <c r="AB407" t="s">
        <v>6740</v>
      </c>
      <c r="AC407" t="s">
        <v>4202</v>
      </c>
      <c r="AD407" t="e">
        <f>VLOOKUP(AB407,#REF!,2,FALSE)</f>
        <v>#REF!</v>
      </c>
      <c r="AE407" t="e">
        <f>RIGHT(#REF!,(FIND("Complex",#REF!,1)-5))</f>
        <v>#REF!</v>
      </c>
    </row>
    <row r="408" spans="1:31" x14ac:dyDescent="0.25">
      <c r="A408">
        <v>438</v>
      </c>
      <c r="B408" t="s">
        <v>242</v>
      </c>
      <c r="C408">
        <v>25</v>
      </c>
      <c r="D408">
        <v>81</v>
      </c>
      <c r="E408">
        <v>438</v>
      </c>
      <c r="F408">
        <v>9878401</v>
      </c>
      <c r="G408">
        <v>9966600</v>
      </c>
      <c r="H408">
        <f t="shared" si="12"/>
        <v>224.00002267573697</v>
      </c>
      <c r="I408">
        <f t="shared" si="13"/>
        <v>226</v>
      </c>
      <c r="J408" t="s">
        <v>29</v>
      </c>
      <c r="K408">
        <v>4</v>
      </c>
      <c r="L408" t="e">
        <f t="array" ref="L408">VLOOKUP(J408:$J$3871&amp;K408:$K$3871,CHOOSE({1,2},#REF!&amp;#REF!,#REF!),2,0)</f>
        <v>#N/A</v>
      </c>
      <c r="M408">
        <v>0</v>
      </c>
      <c r="N408">
        <v>1</v>
      </c>
      <c r="O408" t="s">
        <v>23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1</v>
      </c>
      <c r="Y408">
        <v>0</v>
      </c>
      <c r="Z408">
        <v>0</v>
      </c>
      <c r="AA408" t="s">
        <v>4226</v>
      </c>
      <c r="AB408" t="s">
        <v>6760</v>
      </c>
      <c r="AC408" t="s">
        <v>4226</v>
      </c>
      <c r="AD408" t="e">
        <f>VLOOKUP(AB408,#REF!,2,FALSE)</f>
        <v>#REF!</v>
      </c>
      <c r="AE408" t="e">
        <f>RIGHT(#REF!,(FIND("Complex",#REF!,1)-4))</f>
        <v>#REF!</v>
      </c>
    </row>
    <row r="409" spans="1:31" x14ac:dyDescent="0.25">
      <c r="A409">
        <v>1607</v>
      </c>
      <c r="B409" t="s">
        <v>242</v>
      </c>
      <c r="C409">
        <v>25</v>
      </c>
      <c r="D409">
        <v>278</v>
      </c>
      <c r="E409">
        <v>1607</v>
      </c>
      <c r="F409">
        <v>6085801</v>
      </c>
      <c r="G409">
        <v>6174000</v>
      </c>
      <c r="H409">
        <f t="shared" si="12"/>
        <v>138.00002267573697</v>
      </c>
      <c r="I409">
        <f t="shared" si="13"/>
        <v>140</v>
      </c>
      <c r="J409" t="s">
        <v>29</v>
      </c>
      <c r="K409">
        <v>4</v>
      </c>
      <c r="L409" t="e">
        <f t="array" ref="L409">VLOOKUP(J409:$J$3871&amp;K409:$K$3871,CHOOSE({1,2},#REF!&amp;#REF!,#REF!),2,0)</f>
        <v>#N/A</v>
      </c>
      <c r="M409">
        <v>0</v>
      </c>
      <c r="N409">
        <v>1</v>
      </c>
      <c r="O409" t="s">
        <v>23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1</v>
      </c>
      <c r="Y409">
        <v>0</v>
      </c>
      <c r="Z409">
        <v>0</v>
      </c>
      <c r="AA409" t="s">
        <v>4632</v>
      </c>
      <c r="AB409" t="s">
        <v>7009</v>
      </c>
      <c r="AC409" t="s">
        <v>4632</v>
      </c>
      <c r="AD409" t="e">
        <f>VLOOKUP(AB409,#REF!,2,FALSE)</f>
        <v>#REF!</v>
      </c>
      <c r="AE409" t="e">
        <f>RIGHT(#REF!,(FIND("Complex",#REF!,1)-5))</f>
        <v>#REF!</v>
      </c>
    </row>
    <row r="410" spans="1:31" x14ac:dyDescent="0.25">
      <c r="A410">
        <v>2867</v>
      </c>
      <c r="B410" t="s">
        <v>242</v>
      </c>
      <c r="C410">
        <v>25</v>
      </c>
      <c r="D410">
        <v>623</v>
      </c>
      <c r="E410">
        <v>2867</v>
      </c>
      <c r="F410">
        <v>5292001</v>
      </c>
      <c r="G410">
        <v>5380200</v>
      </c>
      <c r="H410">
        <f t="shared" si="12"/>
        <v>120.00002267573696</v>
      </c>
      <c r="I410">
        <f t="shared" si="13"/>
        <v>122</v>
      </c>
      <c r="J410" t="s">
        <v>29</v>
      </c>
      <c r="K410">
        <v>4</v>
      </c>
      <c r="L410" t="e">
        <f t="array" ref="L410">VLOOKUP(J410:$J$3871&amp;K410:$K$3871,CHOOSE({1,2},#REF!&amp;#REF!,#REF!),2,0)</f>
        <v>#N/A</v>
      </c>
      <c r="M410">
        <v>0</v>
      </c>
      <c r="N410">
        <v>1</v>
      </c>
      <c r="O410" t="s">
        <v>23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1</v>
      </c>
      <c r="Y410">
        <v>0</v>
      </c>
      <c r="Z410">
        <v>0</v>
      </c>
      <c r="AA410" t="s">
        <v>4716</v>
      </c>
      <c r="AB410" t="s">
        <v>7064</v>
      </c>
      <c r="AC410" t="s">
        <v>4716</v>
      </c>
      <c r="AD410" t="e">
        <f>VLOOKUP(AB410,#REF!,2,FALSE)</f>
        <v>#REF!</v>
      </c>
      <c r="AE410" t="e">
        <f>RIGHT(#REF!,(FIND("Complex",#REF!,1)-5))</f>
        <v>#REF!</v>
      </c>
    </row>
    <row r="411" spans="1:31" x14ac:dyDescent="0.25">
      <c r="A411">
        <v>3023</v>
      </c>
      <c r="B411" t="s">
        <v>242</v>
      </c>
      <c r="C411">
        <v>25</v>
      </c>
      <c r="D411">
        <v>692</v>
      </c>
      <c r="E411">
        <v>3023</v>
      </c>
      <c r="F411">
        <v>4851001</v>
      </c>
      <c r="G411">
        <v>4939200</v>
      </c>
      <c r="H411">
        <f t="shared" si="12"/>
        <v>110.00002267573696</v>
      </c>
      <c r="I411">
        <f t="shared" si="13"/>
        <v>112</v>
      </c>
      <c r="J411" t="s">
        <v>29</v>
      </c>
      <c r="K411">
        <v>4</v>
      </c>
      <c r="L411" t="e">
        <f t="array" ref="L411">VLOOKUP(J411:$J$3871&amp;K411:$K$3871,CHOOSE({1,2},#REF!&amp;#REF!,#REF!),2,0)</f>
        <v>#N/A</v>
      </c>
      <c r="M411">
        <v>0</v>
      </c>
      <c r="N411">
        <v>1</v>
      </c>
      <c r="O411" t="s">
        <v>23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  <c r="Y411">
        <v>0</v>
      </c>
      <c r="Z411">
        <v>0</v>
      </c>
      <c r="AA411" t="s">
        <v>4783</v>
      </c>
      <c r="AB411" t="s">
        <v>786</v>
      </c>
      <c r="AC411" t="s">
        <v>4783</v>
      </c>
      <c r="AD411" t="e">
        <f>VLOOKUP(AB411,#REF!,2,FALSE)</f>
        <v>#REF!</v>
      </c>
      <c r="AE411" t="e">
        <f>RIGHT(#REF!,(FIND("Complex",#REF!,1)-5))</f>
        <v>#REF!</v>
      </c>
    </row>
    <row r="412" spans="1:31" x14ac:dyDescent="0.25">
      <c r="A412">
        <v>2925</v>
      </c>
      <c r="B412" t="s">
        <v>242</v>
      </c>
      <c r="C412">
        <v>25</v>
      </c>
      <c r="D412">
        <v>648</v>
      </c>
      <c r="E412">
        <v>2925</v>
      </c>
      <c r="F412">
        <v>4762801</v>
      </c>
      <c r="G412">
        <v>4851000</v>
      </c>
      <c r="H412">
        <f t="shared" si="12"/>
        <v>108.00002267573696</v>
      </c>
      <c r="I412">
        <f t="shared" si="13"/>
        <v>110</v>
      </c>
      <c r="J412" t="s">
        <v>29</v>
      </c>
      <c r="K412">
        <v>4</v>
      </c>
      <c r="L412" t="e">
        <f t="array" ref="L412">VLOOKUP(J412:$J$3871&amp;K412:$K$3871,CHOOSE({1,2},#REF!&amp;#REF!,#REF!),2,0)</f>
        <v>#N/A</v>
      </c>
      <c r="M412">
        <v>0</v>
      </c>
      <c r="N412">
        <v>1</v>
      </c>
      <c r="O412" t="s">
        <v>23</v>
      </c>
      <c r="P412">
        <v>1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 t="s">
        <v>4796</v>
      </c>
      <c r="AB412" t="s">
        <v>7105</v>
      </c>
      <c r="AC412" t="s">
        <v>4796</v>
      </c>
      <c r="AD412" t="e">
        <f>VLOOKUP(AB412,#REF!,2,FALSE)</f>
        <v>#REF!</v>
      </c>
      <c r="AE412" t="e">
        <f>RIGHT(#REF!,(FIND("Complex",#REF!,1)-5))</f>
        <v>#REF!</v>
      </c>
    </row>
    <row r="413" spans="1:31" x14ac:dyDescent="0.25">
      <c r="A413">
        <v>2973</v>
      </c>
      <c r="B413" t="s">
        <v>242</v>
      </c>
      <c r="C413">
        <v>25</v>
      </c>
      <c r="D413">
        <v>670</v>
      </c>
      <c r="E413">
        <v>2973</v>
      </c>
      <c r="F413">
        <v>4410001</v>
      </c>
      <c r="G413">
        <v>4498200</v>
      </c>
      <c r="H413">
        <f t="shared" si="12"/>
        <v>100.00002267573696</v>
      </c>
      <c r="I413">
        <f t="shared" si="13"/>
        <v>102</v>
      </c>
      <c r="J413" t="s">
        <v>29</v>
      </c>
      <c r="K413">
        <v>4</v>
      </c>
      <c r="L413" t="e">
        <f t="array" ref="L413">VLOOKUP(J413:$J$3871&amp;K413:$K$3871,CHOOSE({1,2},#REF!&amp;#REF!,#REF!),2,0)</f>
        <v>#N/A</v>
      </c>
      <c r="M413">
        <v>0</v>
      </c>
      <c r="N413">
        <v>1</v>
      </c>
      <c r="O413" t="s">
        <v>23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 t="s">
        <v>4843</v>
      </c>
      <c r="AB413" t="s">
        <v>7134</v>
      </c>
      <c r="AC413" t="s">
        <v>4843</v>
      </c>
      <c r="AD413" t="e">
        <f>VLOOKUP(AB413,#REF!,2,FALSE)</f>
        <v>#REF!</v>
      </c>
      <c r="AE413" t="e">
        <f>RIGHT(#REF!,(FIND("Complex",#REF!,1)-5))</f>
        <v>#REF!</v>
      </c>
    </row>
    <row r="414" spans="1:31" x14ac:dyDescent="0.25">
      <c r="A414">
        <v>2959</v>
      </c>
      <c r="B414" t="s">
        <v>62</v>
      </c>
      <c r="C414">
        <v>26</v>
      </c>
      <c r="D414">
        <v>663</v>
      </c>
      <c r="E414">
        <v>2959</v>
      </c>
      <c r="F414">
        <v>3969001</v>
      </c>
      <c r="G414">
        <v>4057200</v>
      </c>
      <c r="H414">
        <f t="shared" si="12"/>
        <v>90.000022675736957</v>
      </c>
      <c r="I414">
        <f t="shared" si="13"/>
        <v>92</v>
      </c>
      <c r="J414" t="s">
        <v>29</v>
      </c>
      <c r="K414">
        <v>4</v>
      </c>
      <c r="L414" t="e">
        <f t="array" ref="L414">VLOOKUP(J414:$J$3871&amp;K414:$K$3871,CHOOSE({1,2},#REF!&amp;#REF!,#REF!),2,0)</f>
        <v>#N/A</v>
      </c>
      <c r="M414">
        <v>0</v>
      </c>
      <c r="N414">
        <v>1</v>
      </c>
      <c r="O414" t="s">
        <v>23</v>
      </c>
      <c r="P414">
        <v>1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1</v>
      </c>
      <c r="X414">
        <v>1</v>
      </c>
      <c r="Y414">
        <v>0</v>
      </c>
      <c r="Z414">
        <v>0</v>
      </c>
      <c r="AA414" t="s">
        <v>3562</v>
      </c>
      <c r="AB414" t="s">
        <v>6346</v>
      </c>
      <c r="AC414" t="s">
        <v>3562</v>
      </c>
      <c r="AD414" t="e">
        <f>VLOOKUP(AB414,#REF!,2,FALSE)</f>
        <v>#REF!</v>
      </c>
      <c r="AE414" t="e">
        <f>RIGHT(#REF!,(FIND("Complex",#REF!,1)-6))</f>
        <v>#REF!</v>
      </c>
    </row>
    <row r="415" spans="1:31" x14ac:dyDescent="0.25">
      <c r="A415">
        <v>2544</v>
      </c>
      <c r="B415" t="s">
        <v>62</v>
      </c>
      <c r="C415">
        <v>26</v>
      </c>
      <c r="D415">
        <v>504</v>
      </c>
      <c r="E415">
        <v>2544</v>
      </c>
      <c r="F415">
        <v>3880801</v>
      </c>
      <c r="G415">
        <v>3969000</v>
      </c>
      <c r="H415">
        <f t="shared" si="12"/>
        <v>88.000022675736957</v>
      </c>
      <c r="I415">
        <f t="shared" si="13"/>
        <v>90</v>
      </c>
      <c r="J415" t="s">
        <v>29</v>
      </c>
      <c r="K415">
        <v>4</v>
      </c>
      <c r="L415" t="e">
        <f t="array" ref="L415">VLOOKUP(J415:$J$3871&amp;K415:$K$3871,CHOOSE({1,2},#REF!&amp;#REF!,#REF!),2,0)</f>
        <v>#N/A</v>
      </c>
      <c r="M415">
        <v>0</v>
      </c>
      <c r="N415">
        <v>1</v>
      </c>
      <c r="O415" t="s">
        <v>23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1</v>
      </c>
      <c r="X415">
        <v>1</v>
      </c>
      <c r="Y415">
        <v>0</v>
      </c>
      <c r="Z415">
        <v>0</v>
      </c>
      <c r="AA415" t="s">
        <v>3577</v>
      </c>
      <c r="AB415" t="s">
        <v>6357</v>
      </c>
      <c r="AC415" t="s">
        <v>3577</v>
      </c>
      <c r="AD415" t="e">
        <f>VLOOKUP(AB415,#REF!,2,FALSE)</f>
        <v>#REF!</v>
      </c>
      <c r="AE415" t="e">
        <f>RIGHT(#REF!,(FIND("Complex",#REF!,1)-6))</f>
        <v>#REF!</v>
      </c>
    </row>
    <row r="416" spans="1:31" x14ac:dyDescent="0.25">
      <c r="A416">
        <v>1859</v>
      </c>
      <c r="B416" t="s">
        <v>62</v>
      </c>
      <c r="C416">
        <v>26</v>
      </c>
      <c r="D416">
        <v>320</v>
      </c>
      <c r="E416">
        <v>1859</v>
      </c>
      <c r="F416">
        <v>3616201</v>
      </c>
      <c r="G416">
        <v>3704400</v>
      </c>
      <c r="H416">
        <f t="shared" si="12"/>
        <v>82.000022675736957</v>
      </c>
      <c r="I416">
        <f t="shared" si="13"/>
        <v>84</v>
      </c>
      <c r="J416" t="s">
        <v>29</v>
      </c>
      <c r="K416">
        <v>4</v>
      </c>
      <c r="L416" t="e">
        <f t="array" ref="L416">VLOOKUP(J416:$J$3871&amp;K416:$K$3871,CHOOSE({1,2},#REF!&amp;#REF!,#REF!),2,0)</f>
        <v>#N/A</v>
      </c>
      <c r="M416">
        <v>0</v>
      </c>
      <c r="N416">
        <v>1</v>
      </c>
      <c r="O416" t="s">
        <v>23</v>
      </c>
      <c r="P416">
        <v>1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1</v>
      </c>
      <c r="X416">
        <v>1</v>
      </c>
      <c r="Y416">
        <v>0</v>
      </c>
      <c r="Z416">
        <v>0</v>
      </c>
      <c r="AA416" t="s">
        <v>3615</v>
      </c>
      <c r="AB416" t="s">
        <v>6376</v>
      </c>
      <c r="AC416" t="s">
        <v>3615</v>
      </c>
      <c r="AD416" t="e">
        <f>VLOOKUP(AB416,#REF!,2,FALSE)</f>
        <v>#REF!</v>
      </c>
      <c r="AE416" t="e">
        <f>RIGHT(#REF!,(FIND("Complex",#REF!,1)-6))</f>
        <v>#REF!</v>
      </c>
    </row>
    <row r="417" spans="1:31" x14ac:dyDescent="0.25">
      <c r="A417">
        <v>184</v>
      </c>
      <c r="B417" t="s">
        <v>62</v>
      </c>
      <c r="C417">
        <v>26</v>
      </c>
      <c r="D417">
        <v>37</v>
      </c>
      <c r="E417">
        <v>184</v>
      </c>
      <c r="F417">
        <v>2116801</v>
      </c>
      <c r="G417">
        <v>2205000</v>
      </c>
      <c r="H417">
        <f t="shared" si="12"/>
        <v>48.000022675736965</v>
      </c>
      <c r="I417">
        <f t="shared" si="13"/>
        <v>50</v>
      </c>
      <c r="J417" t="s">
        <v>29</v>
      </c>
      <c r="K417">
        <v>4</v>
      </c>
      <c r="L417" t="e">
        <f t="array" ref="L417">VLOOKUP(J417:$J$3871&amp;K417:$K$3871,CHOOSE({1,2},#REF!&amp;#REF!,#REF!),2,0)</f>
        <v>#N/A</v>
      </c>
      <c r="M417">
        <v>0</v>
      </c>
      <c r="N417">
        <v>1</v>
      </c>
      <c r="O417" t="s">
        <v>23</v>
      </c>
      <c r="P417">
        <v>1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1</v>
      </c>
      <c r="X417">
        <v>1</v>
      </c>
      <c r="Y417">
        <v>0</v>
      </c>
      <c r="Z417">
        <v>0</v>
      </c>
      <c r="AA417" t="s">
        <v>3891</v>
      </c>
      <c r="AB417" t="s">
        <v>795</v>
      </c>
      <c r="AC417" t="s">
        <v>3891</v>
      </c>
      <c r="AD417" t="e">
        <f>VLOOKUP(AB417,#REF!,2,FALSE)</f>
        <v>#REF!</v>
      </c>
      <c r="AE417" t="e">
        <f>RIGHT(#REF!,(FIND("Complex",#REF!,1)-5))</f>
        <v>#REF!</v>
      </c>
    </row>
    <row r="418" spans="1:31" x14ac:dyDescent="0.25">
      <c r="A418">
        <v>2370</v>
      </c>
      <c r="B418" t="s">
        <v>62</v>
      </c>
      <c r="C418">
        <v>26</v>
      </c>
      <c r="D418">
        <v>438</v>
      </c>
      <c r="E418">
        <v>2370</v>
      </c>
      <c r="F418">
        <v>1940401</v>
      </c>
      <c r="G418">
        <v>2028600</v>
      </c>
      <c r="H418">
        <f t="shared" si="12"/>
        <v>44.000022675736965</v>
      </c>
      <c r="I418">
        <f t="shared" si="13"/>
        <v>46</v>
      </c>
      <c r="J418" t="s">
        <v>29</v>
      </c>
      <c r="K418">
        <v>4</v>
      </c>
      <c r="L418" t="e">
        <f t="array" ref="L418">VLOOKUP(J418:$J$3871&amp;K418:$K$3871,CHOOSE({1,2},#REF!&amp;#REF!,#REF!),2,0)</f>
        <v>#N/A</v>
      </c>
      <c r="M418">
        <v>0</v>
      </c>
      <c r="N418">
        <v>1</v>
      </c>
      <c r="O418" t="s">
        <v>23</v>
      </c>
      <c r="P418">
        <v>1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1</v>
      </c>
      <c r="Y418">
        <v>0</v>
      </c>
      <c r="Z418">
        <v>0</v>
      </c>
      <c r="AA418" t="s">
        <v>3916</v>
      </c>
      <c r="AB418" t="s">
        <v>6548</v>
      </c>
      <c r="AC418" t="s">
        <v>3916</v>
      </c>
      <c r="AD418" t="e">
        <f>VLOOKUP(AB418,#REF!,2,FALSE)</f>
        <v>#REF!</v>
      </c>
      <c r="AE418" t="e">
        <f>RIGHT(#REF!,(FIND("Complex",#REF!,1)-6))</f>
        <v>#REF!</v>
      </c>
    </row>
    <row r="419" spans="1:31" x14ac:dyDescent="0.25">
      <c r="A419">
        <v>2003</v>
      </c>
      <c r="B419" t="s">
        <v>62</v>
      </c>
      <c r="C419">
        <v>26</v>
      </c>
      <c r="D419">
        <v>343</v>
      </c>
      <c r="E419">
        <v>2003</v>
      </c>
      <c r="F419">
        <v>1675801</v>
      </c>
      <c r="G419">
        <v>1764000</v>
      </c>
      <c r="H419">
        <f t="shared" si="12"/>
        <v>38.000022675736965</v>
      </c>
      <c r="I419">
        <f t="shared" si="13"/>
        <v>40</v>
      </c>
      <c r="J419" t="s">
        <v>29</v>
      </c>
      <c r="K419">
        <v>4</v>
      </c>
      <c r="L419" t="e">
        <f t="array" ref="L419">VLOOKUP(J419:$J$3871&amp;K419:$K$3871,CHOOSE({1,2},#REF!&amp;#REF!,#REF!),2,0)</f>
        <v>#N/A</v>
      </c>
      <c r="M419">
        <v>0</v>
      </c>
      <c r="N419">
        <v>1</v>
      </c>
      <c r="O419" t="s">
        <v>23</v>
      </c>
      <c r="P419">
        <v>1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1</v>
      </c>
      <c r="Y419">
        <v>0</v>
      </c>
      <c r="Z419">
        <v>0</v>
      </c>
      <c r="AA419" t="s">
        <v>3983</v>
      </c>
      <c r="AB419" t="s">
        <v>6582</v>
      </c>
      <c r="AC419" t="s">
        <v>3983</v>
      </c>
      <c r="AD419" t="e">
        <f>VLOOKUP(AB419,#REF!,2,FALSE)</f>
        <v>#REF!</v>
      </c>
      <c r="AE419" t="e">
        <f>RIGHT(#REF!,(FIND("Complex",#REF!,1)-6))</f>
        <v>#REF!</v>
      </c>
    </row>
    <row r="420" spans="1:31" x14ac:dyDescent="0.25">
      <c r="A420">
        <v>2095</v>
      </c>
      <c r="B420" t="s">
        <v>62</v>
      </c>
      <c r="C420">
        <v>26</v>
      </c>
      <c r="D420">
        <v>374</v>
      </c>
      <c r="E420">
        <v>2095</v>
      </c>
      <c r="F420">
        <v>8555401</v>
      </c>
      <c r="G420">
        <v>8643600</v>
      </c>
      <c r="H420">
        <f t="shared" si="12"/>
        <v>194.00002267573697</v>
      </c>
      <c r="I420">
        <f t="shared" si="13"/>
        <v>196</v>
      </c>
      <c r="J420" t="s">
        <v>29</v>
      </c>
      <c r="K420">
        <v>4</v>
      </c>
      <c r="L420" t="e">
        <f t="array" ref="L420">VLOOKUP(J420:$J$3871&amp;K420:$K$3871,CHOOSE({1,2},#REF!&amp;#REF!,#REF!),2,0)</f>
        <v>#N/A</v>
      </c>
      <c r="M420">
        <v>0</v>
      </c>
      <c r="N420">
        <v>1</v>
      </c>
      <c r="O420" t="s">
        <v>23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 t="s">
        <v>4353</v>
      </c>
      <c r="AB420" t="s">
        <v>796</v>
      </c>
      <c r="AC420" t="s">
        <v>4353</v>
      </c>
      <c r="AD420" t="e">
        <f>VLOOKUP(AB420,#REF!,2,FALSE)</f>
        <v>#REF!</v>
      </c>
      <c r="AE420" t="e">
        <f>RIGHT(#REF!,(FIND("Complex",#REF!,1)-5))</f>
        <v>#REF!</v>
      </c>
    </row>
    <row r="421" spans="1:31" x14ac:dyDescent="0.25">
      <c r="A421">
        <v>1122</v>
      </c>
      <c r="B421" t="s">
        <v>62</v>
      </c>
      <c r="C421">
        <v>26</v>
      </c>
      <c r="D421">
        <v>191</v>
      </c>
      <c r="E421">
        <v>1122</v>
      </c>
      <c r="F421">
        <v>8379001</v>
      </c>
      <c r="G421">
        <v>8467200</v>
      </c>
      <c r="H421">
        <f t="shared" si="12"/>
        <v>190.00002267573697</v>
      </c>
      <c r="I421">
        <f t="shared" si="13"/>
        <v>192</v>
      </c>
      <c r="J421" t="s">
        <v>29</v>
      </c>
      <c r="K421">
        <v>4</v>
      </c>
      <c r="L421" t="e">
        <f t="array" ref="L421">VLOOKUP(J421:$J$3871&amp;K421:$K$3871,CHOOSE({1,2},#REF!&amp;#REF!,#REF!),2,0)</f>
        <v>#N/A</v>
      </c>
      <c r="M421">
        <v>0</v>
      </c>
      <c r="N421">
        <v>1</v>
      </c>
      <c r="O421" t="s">
        <v>23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 t="s">
        <v>4369</v>
      </c>
      <c r="AB421" t="s">
        <v>797</v>
      </c>
      <c r="AC421" t="s">
        <v>4369</v>
      </c>
      <c r="AD421" t="e">
        <f>VLOOKUP(AB421,#REF!,2,FALSE)</f>
        <v>#REF!</v>
      </c>
      <c r="AE421" t="e">
        <f>RIGHT(#REF!,(FIND("Complex",#REF!,1)-5))</f>
        <v>#REF!</v>
      </c>
    </row>
    <row r="422" spans="1:31" x14ac:dyDescent="0.25">
      <c r="A422">
        <v>2626</v>
      </c>
      <c r="B422" t="s">
        <v>62</v>
      </c>
      <c r="C422">
        <v>26</v>
      </c>
      <c r="D422">
        <v>531</v>
      </c>
      <c r="E422">
        <v>2626</v>
      </c>
      <c r="F422">
        <v>8290801</v>
      </c>
      <c r="G422">
        <v>8379000</v>
      </c>
      <c r="H422">
        <f t="shared" si="12"/>
        <v>188.00002267573697</v>
      </c>
      <c r="I422">
        <f t="shared" si="13"/>
        <v>190</v>
      </c>
      <c r="J422" t="s">
        <v>29</v>
      </c>
      <c r="K422">
        <v>4</v>
      </c>
      <c r="L422" t="e">
        <f t="array" ref="L422">VLOOKUP(J422:$J$3871&amp;K422:$K$3871,CHOOSE({1,2},#REF!&amp;#REF!,#REF!),2,0)</f>
        <v>#N/A</v>
      </c>
      <c r="M422">
        <v>0</v>
      </c>
      <c r="N422">
        <v>1</v>
      </c>
      <c r="O422" t="s">
        <v>23</v>
      </c>
      <c r="P422">
        <v>1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1</v>
      </c>
      <c r="X422">
        <v>1</v>
      </c>
      <c r="Y422">
        <v>0</v>
      </c>
      <c r="Z422">
        <v>0</v>
      </c>
      <c r="AA422" t="s">
        <v>4377</v>
      </c>
      <c r="AB422" t="s">
        <v>6845</v>
      </c>
      <c r="AC422" t="s">
        <v>4377</v>
      </c>
      <c r="AD422" t="e">
        <f>VLOOKUP(AB422,#REF!,2,FALSE)</f>
        <v>#REF!</v>
      </c>
      <c r="AE422" t="e">
        <f>RIGHT(#REF!,(FIND("Complex",#REF!,1)-5))</f>
        <v>#REF!</v>
      </c>
    </row>
    <row r="423" spans="1:31" x14ac:dyDescent="0.25">
      <c r="A423">
        <v>2753</v>
      </c>
      <c r="B423" t="s">
        <v>62</v>
      </c>
      <c r="C423">
        <v>26</v>
      </c>
      <c r="D423">
        <v>585</v>
      </c>
      <c r="E423">
        <v>2753</v>
      </c>
      <c r="F423">
        <v>5733001</v>
      </c>
      <c r="G423">
        <v>5821200</v>
      </c>
      <c r="H423">
        <f t="shared" si="12"/>
        <v>130.00002267573697</v>
      </c>
      <c r="I423">
        <f t="shared" si="13"/>
        <v>132</v>
      </c>
      <c r="J423" t="s">
        <v>29</v>
      </c>
      <c r="K423">
        <v>4</v>
      </c>
      <c r="L423" t="e">
        <f t="array" ref="L423">VLOOKUP(J423:$J$3871&amp;K423:$K$3871,CHOOSE({1,2},#REF!&amp;#REF!,#REF!),2,0)</f>
        <v>#N/A</v>
      </c>
      <c r="M423">
        <v>0</v>
      </c>
      <c r="N423">
        <v>1</v>
      </c>
      <c r="O423" t="s">
        <v>23</v>
      </c>
      <c r="P423">
        <v>1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1</v>
      </c>
      <c r="X423">
        <v>1</v>
      </c>
      <c r="Y423">
        <v>0</v>
      </c>
      <c r="Z423">
        <v>0</v>
      </c>
      <c r="AA423" t="s">
        <v>4675</v>
      </c>
      <c r="AB423" t="s">
        <v>798</v>
      </c>
      <c r="AC423" t="s">
        <v>4675</v>
      </c>
      <c r="AD423" t="e">
        <f>VLOOKUP(AB423,#REF!,2,FALSE)</f>
        <v>#REF!</v>
      </c>
      <c r="AE423" t="e">
        <f>RIGHT(#REF!,(FIND("Complex",#REF!,1)-5))</f>
        <v>#REF!</v>
      </c>
    </row>
    <row r="424" spans="1:31" x14ac:dyDescent="0.25">
      <c r="A424">
        <v>442</v>
      </c>
      <c r="B424" t="s">
        <v>62</v>
      </c>
      <c r="C424">
        <v>26</v>
      </c>
      <c r="D424">
        <v>82</v>
      </c>
      <c r="E424">
        <v>442</v>
      </c>
      <c r="F424">
        <v>5556601</v>
      </c>
      <c r="G424">
        <v>5644800</v>
      </c>
      <c r="H424">
        <f t="shared" si="12"/>
        <v>126.00002267573696</v>
      </c>
      <c r="I424">
        <f t="shared" si="13"/>
        <v>128</v>
      </c>
      <c r="J424" t="s">
        <v>29</v>
      </c>
      <c r="K424">
        <v>4</v>
      </c>
      <c r="L424" t="e">
        <f t="array" ref="L424">VLOOKUP(J424:$J$3871&amp;K424:$K$3871,CHOOSE({1,2},#REF!&amp;#REF!,#REF!),2,0)</f>
        <v>#N/A</v>
      </c>
      <c r="M424">
        <v>0</v>
      </c>
      <c r="N424">
        <v>1</v>
      </c>
      <c r="O424" t="s">
        <v>23</v>
      </c>
      <c r="P424">
        <v>1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1</v>
      </c>
      <c r="X424">
        <v>1</v>
      </c>
      <c r="Y424">
        <v>0</v>
      </c>
      <c r="Z424">
        <v>0</v>
      </c>
      <c r="AA424" t="s">
        <v>4694</v>
      </c>
      <c r="AB424" t="s">
        <v>799</v>
      </c>
      <c r="AC424" t="s">
        <v>4694</v>
      </c>
      <c r="AD424" t="e">
        <f>VLOOKUP(AB424,#REF!,2,FALSE)</f>
        <v>#REF!</v>
      </c>
      <c r="AE424" t="e">
        <f>RIGHT(#REF!,(FIND("Complex",#REF!,1)-4))</f>
        <v>#REF!</v>
      </c>
    </row>
    <row r="425" spans="1:31" x14ac:dyDescent="0.25">
      <c r="A425">
        <v>309</v>
      </c>
      <c r="B425" t="s">
        <v>62</v>
      </c>
      <c r="C425">
        <v>26</v>
      </c>
      <c r="D425">
        <v>58</v>
      </c>
      <c r="E425">
        <v>309</v>
      </c>
      <c r="F425">
        <v>5115601</v>
      </c>
      <c r="G425">
        <v>5203800</v>
      </c>
      <c r="H425">
        <f t="shared" si="12"/>
        <v>116.00002267573696</v>
      </c>
      <c r="I425">
        <f t="shared" si="13"/>
        <v>118</v>
      </c>
      <c r="J425" t="s">
        <v>29</v>
      </c>
      <c r="K425">
        <v>4</v>
      </c>
      <c r="L425" t="e">
        <f t="array" ref="L425">VLOOKUP(J425:$J$3871&amp;K425:$K$3871,CHOOSE({1,2},#REF!&amp;#REF!,#REF!),2,0)</f>
        <v>#N/A</v>
      </c>
      <c r="M425">
        <v>0</v>
      </c>
      <c r="N425">
        <v>1</v>
      </c>
      <c r="O425" t="s">
        <v>23</v>
      </c>
      <c r="P425">
        <v>1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1</v>
      </c>
      <c r="X425">
        <v>1</v>
      </c>
      <c r="Y425">
        <v>0</v>
      </c>
      <c r="Z425">
        <v>0</v>
      </c>
      <c r="AA425" t="s">
        <v>4757</v>
      </c>
      <c r="AB425" t="s">
        <v>7085</v>
      </c>
      <c r="AC425" t="s">
        <v>4757</v>
      </c>
      <c r="AD425" t="e">
        <f>VLOOKUP(AB425,#REF!,2,FALSE)</f>
        <v>#REF!</v>
      </c>
      <c r="AE425" t="e">
        <f>RIGHT(#REF!,(FIND("Complex",#REF!,1)-4))</f>
        <v>#REF!</v>
      </c>
    </row>
    <row r="426" spans="1:31" x14ac:dyDescent="0.25">
      <c r="A426">
        <v>2677</v>
      </c>
      <c r="B426" t="s">
        <v>46</v>
      </c>
      <c r="C426">
        <v>27</v>
      </c>
      <c r="D426">
        <v>549</v>
      </c>
      <c r="E426">
        <v>2677</v>
      </c>
      <c r="F426">
        <v>7497001</v>
      </c>
      <c r="G426">
        <v>7585200</v>
      </c>
      <c r="H426">
        <f t="shared" si="12"/>
        <v>170.00002267573697</v>
      </c>
      <c r="I426">
        <f t="shared" si="13"/>
        <v>172</v>
      </c>
      <c r="J426" t="s">
        <v>29</v>
      </c>
      <c r="K426">
        <v>4</v>
      </c>
      <c r="L426" t="e">
        <f t="array" ref="L426">VLOOKUP(J426:$J$3871&amp;K426:$K$3871,CHOOSE({1,2},#REF!&amp;#REF!,#REF!),2,0)</f>
        <v>#N/A</v>
      </c>
      <c r="M426">
        <v>0</v>
      </c>
      <c r="N426">
        <v>1</v>
      </c>
      <c r="O426" t="s">
        <v>23</v>
      </c>
      <c r="P426">
        <v>1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1</v>
      </c>
      <c r="Z426">
        <v>0</v>
      </c>
      <c r="AA426" t="s">
        <v>4439</v>
      </c>
      <c r="AB426" t="s">
        <v>821</v>
      </c>
      <c r="AC426" t="s">
        <v>4439</v>
      </c>
      <c r="AD426" t="e">
        <f>VLOOKUP(AB426,#REF!,2,FALSE)</f>
        <v>#REF!</v>
      </c>
      <c r="AE426" t="e">
        <f>RIGHT(#REF!,(FIND("Complex",#REF!,1)-5))</f>
        <v>#REF!</v>
      </c>
    </row>
    <row r="427" spans="1:31" x14ac:dyDescent="0.25">
      <c r="A427">
        <v>2089</v>
      </c>
      <c r="B427" t="s">
        <v>54</v>
      </c>
      <c r="C427">
        <v>31</v>
      </c>
      <c r="D427">
        <v>372</v>
      </c>
      <c r="E427">
        <v>2089</v>
      </c>
      <c r="F427">
        <v>2910601</v>
      </c>
      <c r="G427">
        <v>2998800</v>
      </c>
      <c r="H427">
        <f t="shared" si="12"/>
        <v>66.000022675736957</v>
      </c>
      <c r="I427">
        <f t="shared" si="13"/>
        <v>68</v>
      </c>
      <c r="J427" t="s">
        <v>29</v>
      </c>
      <c r="K427">
        <v>4</v>
      </c>
      <c r="L427" t="e">
        <f t="array" ref="L427">VLOOKUP(J427:$J$3871&amp;K427:$K$3871,CHOOSE({1,2},#REF!&amp;#REF!,#REF!),2,0)</f>
        <v>#N/A</v>
      </c>
      <c r="M427">
        <v>0</v>
      </c>
      <c r="N427">
        <v>1</v>
      </c>
      <c r="O427" t="s">
        <v>23</v>
      </c>
      <c r="P427">
        <v>1</v>
      </c>
      <c r="Q427">
        <v>1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 t="s">
        <v>3740</v>
      </c>
      <c r="AB427" t="s">
        <v>6442</v>
      </c>
      <c r="AC427" t="s">
        <v>3740</v>
      </c>
      <c r="AD427" t="e">
        <f>VLOOKUP(AB427,#REF!,2,FALSE)</f>
        <v>#REF!</v>
      </c>
      <c r="AE427" t="e">
        <f>RIGHT(#REF!,(FIND("Complex",#REF!,1)-6))</f>
        <v>#REF!</v>
      </c>
    </row>
    <row r="428" spans="1:31" x14ac:dyDescent="0.25">
      <c r="A428">
        <v>2735</v>
      </c>
      <c r="B428" t="s">
        <v>54</v>
      </c>
      <c r="C428">
        <v>31</v>
      </c>
      <c r="D428">
        <v>576</v>
      </c>
      <c r="E428">
        <v>2735</v>
      </c>
      <c r="F428">
        <v>6967801</v>
      </c>
      <c r="G428">
        <v>7056000</v>
      </c>
      <c r="H428">
        <f t="shared" si="12"/>
        <v>158.00002267573697</v>
      </c>
      <c r="I428">
        <f t="shared" si="13"/>
        <v>160</v>
      </c>
      <c r="J428" t="s">
        <v>29</v>
      </c>
      <c r="K428">
        <v>4</v>
      </c>
      <c r="L428" t="e">
        <f t="array" ref="L428">VLOOKUP(J428:$J$3871&amp;K428:$K$3871,CHOOSE({1,2},#REF!&amp;#REF!,#REF!),2,0)</f>
        <v>#N/A</v>
      </c>
      <c r="M428">
        <v>0</v>
      </c>
      <c r="N428">
        <v>1</v>
      </c>
      <c r="O428" t="s">
        <v>23</v>
      </c>
      <c r="P428">
        <v>1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 t="s">
        <v>4510</v>
      </c>
      <c r="AB428" t="s">
        <v>6930</v>
      </c>
      <c r="AC428" t="s">
        <v>4510</v>
      </c>
      <c r="AD428" t="e">
        <f>VLOOKUP(AB428,#REF!,2,FALSE)</f>
        <v>#REF!</v>
      </c>
      <c r="AE428" t="e">
        <f>RIGHT(#REF!,(FIND("Complex",#REF!,1)-5))</f>
        <v>#REF!</v>
      </c>
    </row>
    <row r="429" spans="1:31" x14ac:dyDescent="0.25">
      <c r="A429">
        <v>2393</v>
      </c>
      <c r="B429" t="s">
        <v>54</v>
      </c>
      <c r="C429">
        <v>31</v>
      </c>
      <c r="D429">
        <v>448</v>
      </c>
      <c r="E429">
        <v>2393</v>
      </c>
      <c r="F429">
        <v>6615001</v>
      </c>
      <c r="G429">
        <v>6703200</v>
      </c>
      <c r="H429">
        <f t="shared" si="12"/>
        <v>150.00002267573697</v>
      </c>
      <c r="I429">
        <f t="shared" si="13"/>
        <v>152</v>
      </c>
      <c r="J429" t="s">
        <v>29</v>
      </c>
      <c r="K429">
        <v>4</v>
      </c>
      <c r="L429" t="e">
        <f t="array" ref="L429">VLOOKUP(J429:$J$3871&amp;K429:$K$3871,CHOOSE({1,2},#REF!&amp;#REF!,#REF!),2,0)</f>
        <v>#N/A</v>
      </c>
      <c r="M429">
        <v>0</v>
      </c>
      <c r="N429">
        <v>1</v>
      </c>
      <c r="O429" t="s">
        <v>23</v>
      </c>
      <c r="P429">
        <v>1</v>
      </c>
      <c r="Q429">
        <v>1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 t="s">
        <v>4554</v>
      </c>
      <c r="AB429" t="s">
        <v>920</v>
      </c>
      <c r="AC429" t="s">
        <v>4554</v>
      </c>
      <c r="AD429" t="e">
        <f>VLOOKUP(AB429,#REF!,2,FALSE)</f>
        <v>#REF!</v>
      </c>
      <c r="AE429" t="e">
        <f>RIGHT(#REF!,(FIND("Complex",#REF!,1)-5))</f>
        <v>#REF!</v>
      </c>
    </row>
    <row r="430" spans="1:31" x14ac:dyDescent="0.25">
      <c r="A430">
        <v>3144</v>
      </c>
      <c r="B430" t="s">
        <v>63</v>
      </c>
      <c r="C430">
        <v>32</v>
      </c>
      <c r="D430">
        <v>741</v>
      </c>
      <c r="E430">
        <v>3144</v>
      </c>
      <c r="F430">
        <v>4057201</v>
      </c>
      <c r="G430">
        <v>4145400</v>
      </c>
      <c r="H430">
        <f t="shared" si="12"/>
        <v>92.000022675736957</v>
      </c>
      <c r="I430">
        <f t="shared" si="13"/>
        <v>94</v>
      </c>
      <c r="J430" t="s">
        <v>29</v>
      </c>
      <c r="K430">
        <v>4</v>
      </c>
      <c r="L430" t="e">
        <f t="array" ref="L430">VLOOKUP(J430:$J$3871&amp;K430:$K$3871,CHOOSE({1,2},#REF!&amp;#REF!,#REF!),2,0)</f>
        <v>#N/A</v>
      </c>
      <c r="M430">
        <v>0</v>
      </c>
      <c r="N430">
        <v>1</v>
      </c>
      <c r="O430" t="s">
        <v>23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1</v>
      </c>
      <c r="Y430">
        <v>0</v>
      </c>
      <c r="Z430">
        <v>0</v>
      </c>
      <c r="AA430" t="s">
        <v>3543</v>
      </c>
      <c r="AB430" t="s">
        <v>988</v>
      </c>
      <c r="AC430" t="s">
        <v>3543</v>
      </c>
      <c r="AD430" t="e">
        <f>VLOOKUP(AB430,#REF!,2,FALSE)</f>
        <v>#REF!</v>
      </c>
      <c r="AE430" t="e">
        <f>RIGHT(#REF!,(FIND("Complex",#REF!,1)-6))</f>
        <v>#REF!</v>
      </c>
    </row>
    <row r="431" spans="1:31" x14ac:dyDescent="0.25">
      <c r="A431">
        <v>3124</v>
      </c>
      <c r="B431" t="s">
        <v>63</v>
      </c>
      <c r="C431">
        <v>32</v>
      </c>
      <c r="D431">
        <v>735</v>
      </c>
      <c r="E431">
        <v>3124</v>
      </c>
      <c r="F431">
        <v>3969001</v>
      </c>
      <c r="G431">
        <v>4057200</v>
      </c>
      <c r="H431">
        <f t="shared" si="12"/>
        <v>90.000022675736957</v>
      </c>
      <c r="I431">
        <f t="shared" si="13"/>
        <v>92</v>
      </c>
      <c r="J431" t="s">
        <v>29</v>
      </c>
      <c r="K431">
        <v>4</v>
      </c>
      <c r="L431" t="e">
        <f t="array" ref="L431">VLOOKUP(J431:$J$3871&amp;K431:$K$3871,CHOOSE({1,2},#REF!&amp;#REF!,#REF!),2,0)</f>
        <v>#N/A</v>
      </c>
      <c r="M431">
        <v>0</v>
      </c>
      <c r="N431">
        <v>1</v>
      </c>
      <c r="O431" t="s">
        <v>23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1</v>
      </c>
      <c r="Y431">
        <v>0</v>
      </c>
      <c r="Z431">
        <v>0</v>
      </c>
      <c r="AA431" t="s">
        <v>3560</v>
      </c>
      <c r="AB431" t="s">
        <v>989</v>
      </c>
      <c r="AC431" t="s">
        <v>3560</v>
      </c>
      <c r="AD431" t="e">
        <f>VLOOKUP(AB431,#REF!,2,FALSE)</f>
        <v>#REF!</v>
      </c>
      <c r="AE431" t="e">
        <f>RIGHT(#REF!,(FIND("Complex",#REF!,1)-6))</f>
        <v>#REF!</v>
      </c>
    </row>
    <row r="432" spans="1:31" x14ac:dyDescent="0.25">
      <c r="A432">
        <v>1768</v>
      </c>
      <c r="B432" t="s">
        <v>63</v>
      </c>
      <c r="C432">
        <v>32</v>
      </c>
      <c r="D432">
        <v>307</v>
      </c>
      <c r="E432">
        <v>1768</v>
      </c>
      <c r="F432">
        <v>3439801</v>
      </c>
      <c r="G432">
        <v>3528000</v>
      </c>
      <c r="H432">
        <f t="shared" si="12"/>
        <v>78.000022675736957</v>
      </c>
      <c r="I432">
        <f t="shared" si="13"/>
        <v>80</v>
      </c>
      <c r="J432" t="s">
        <v>29</v>
      </c>
      <c r="K432">
        <v>4</v>
      </c>
      <c r="L432" t="e">
        <f t="array" ref="L432">VLOOKUP(J432:$J$3871&amp;K432:$K$3871,CHOOSE({1,2},#REF!&amp;#REF!,#REF!),2,0)</f>
        <v>#N/A</v>
      </c>
      <c r="M432">
        <v>0</v>
      </c>
      <c r="N432">
        <v>1</v>
      </c>
      <c r="O432" t="s">
        <v>23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1</v>
      </c>
      <c r="Y432">
        <v>0</v>
      </c>
      <c r="Z432">
        <v>0</v>
      </c>
      <c r="AA432" t="s">
        <v>3656</v>
      </c>
      <c r="AB432" t="s">
        <v>6397</v>
      </c>
      <c r="AC432" t="s">
        <v>3656</v>
      </c>
      <c r="AD432" t="e">
        <f>VLOOKUP(AB432,#REF!,2,FALSE)</f>
        <v>#REF!</v>
      </c>
      <c r="AE432" t="e">
        <f>RIGHT(#REF!,(FIND("Complex",#REF!,1)-6))</f>
        <v>#REF!</v>
      </c>
    </row>
    <row r="433" spans="1:31" x14ac:dyDescent="0.25">
      <c r="A433">
        <v>2721</v>
      </c>
      <c r="B433" t="s">
        <v>63</v>
      </c>
      <c r="C433">
        <v>32</v>
      </c>
      <c r="D433">
        <v>568</v>
      </c>
      <c r="E433">
        <v>2721</v>
      </c>
      <c r="F433">
        <v>3351601</v>
      </c>
      <c r="G433">
        <v>3439800</v>
      </c>
      <c r="H433">
        <f t="shared" si="12"/>
        <v>76.000022675736957</v>
      </c>
      <c r="I433">
        <f t="shared" si="13"/>
        <v>78</v>
      </c>
      <c r="J433" t="s">
        <v>29</v>
      </c>
      <c r="K433">
        <v>4</v>
      </c>
      <c r="L433" t="e">
        <f t="array" ref="L433">VLOOKUP(J433:$J$3871&amp;K433:$K$3871,CHOOSE({1,2},#REF!&amp;#REF!,#REF!),2,0)</f>
        <v>#N/A</v>
      </c>
      <c r="M433">
        <v>0</v>
      </c>
      <c r="N433">
        <v>1</v>
      </c>
      <c r="O433" t="s">
        <v>23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1</v>
      </c>
      <c r="Y433">
        <v>0</v>
      </c>
      <c r="Z433">
        <v>0</v>
      </c>
      <c r="AA433" t="s">
        <v>3671</v>
      </c>
      <c r="AB433" t="s">
        <v>990</v>
      </c>
      <c r="AC433" t="s">
        <v>3671</v>
      </c>
      <c r="AD433" t="e">
        <f>VLOOKUP(AB433,#REF!,2,FALSE)</f>
        <v>#REF!</v>
      </c>
      <c r="AE433" t="e">
        <f>RIGHT(#REF!,(FIND("Complex",#REF!,1)-6))</f>
        <v>#REF!</v>
      </c>
    </row>
    <row r="434" spans="1:31" x14ac:dyDescent="0.25">
      <c r="A434">
        <v>2509</v>
      </c>
      <c r="B434" t="s">
        <v>63</v>
      </c>
      <c r="C434">
        <v>32</v>
      </c>
      <c r="D434">
        <v>488</v>
      </c>
      <c r="E434">
        <v>2509</v>
      </c>
      <c r="F434">
        <v>1852201</v>
      </c>
      <c r="G434">
        <v>1940400</v>
      </c>
      <c r="H434">
        <f t="shared" si="12"/>
        <v>42.000022675736965</v>
      </c>
      <c r="I434">
        <f t="shared" si="13"/>
        <v>44</v>
      </c>
      <c r="J434" t="s">
        <v>29</v>
      </c>
      <c r="K434">
        <v>4</v>
      </c>
      <c r="L434" t="e">
        <f t="array" ref="L434">VLOOKUP(J434:$J$3871&amp;K434:$K$3871,CHOOSE({1,2},#REF!&amp;#REF!,#REF!),2,0)</f>
        <v>#N/A</v>
      </c>
      <c r="M434">
        <v>0</v>
      </c>
      <c r="N434">
        <v>1</v>
      </c>
      <c r="O434" t="s">
        <v>23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1</v>
      </c>
      <c r="Y434">
        <v>0</v>
      </c>
      <c r="Z434">
        <v>0</v>
      </c>
      <c r="AA434" t="s">
        <v>3934</v>
      </c>
      <c r="AB434" t="s">
        <v>6561</v>
      </c>
      <c r="AC434" t="s">
        <v>3934</v>
      </c>
      <c r="AD434" t="e">
        <f>VLOOKUP(AB434,#REF!,2,FALSE)</f>
        <v>#REF!</v>
      </c>
      <c r="AE434" t="e">
        <f>RIGHT(#REF!,(FIND("Complex",#REF!,1)-6))</f>
        <v>#REF!</v>
      </c>
    </row>
    <row r="435" spans="1:31" x14ac:dyDescent="0.25">
      <c r="A435">
        <v>3270</v>
      </c>
      <c r="B435" t="s">
        <v>63</v>
      </c>
      <c r="C435">
        <v>32</v>
      </c>
      <c r="D435">
        <v>813</v>
      </c>
      <c r="E435">
        <v>3270</v>
      </c>
      <c r="F435">
        <v>1764001</v>
      </c>
      <c r="G435">
        <v>1852200</v>
      </c>
      <c r="H435">
        <f t="shared" si="12"/>
        <v>40.000022675736965</v>
      </c>
      <c r="I435">
        <f t="shared" si="13"/>
        <v>42</v>
      </c>
      <c r="J435" t="s">
        <v>29</v>
      </c>
      <c r="K435">
        <v>4</v>
      </c>
      <c r="L435" t="e">
        <f t="array" ref="L435">VLOOKUP(J435:$J$3871&amp;K435:$K$3871,CHOOSE({1,2},#REF!&amp;#REF!,#REF!),2,0)</f>
        <v>#N/A</v>
      </c>
      <c r="M435">
        <v>0</v>
      </c>
      <c r="N435">
        <v>1</v>
      </c>
      <c r="O435" t="s">
        <v>23</v>
      </c>
      <c r="P435">
        <v>1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1</v>
      </c>
      <c r="Y435">
        <v>0</v>
      </c>
      <c r="Z435">
        <v>0</v>
      </c>
      <c r="AA435" t="s">
        <v>3949</v>
      </c>
      <c r="AB435" t="s">
        <v>6569</v>
      </c>
      <c r="AC435" t="s">
        <v>3949</v>
      </c>
      <c r="AD435" t="e">
        <f>VLOOKUP(AB435,#REF!,2,FALSE)</f>
        <v>#REF!</v>
      </c>
      <c r="AE435" t="e">
        <f>RIGHT(#REF!,(FIND("Complex",#REF!,1)-6))</f>
        <v>#REF!</v>
      </c>
    </row>
    <row r="436" spans="1:31" x14ac:dyDescent="0.25">
      <c r="A436">
        <v>201</v>
      </c>
      <c r="B436" t="s">
        <v>63</v>
      </c>
      <c r="C436">
        <v>32</v>
      </c>
      <c r="D436">
        <v>43</v>
      </c>
      <c r="E436">
        <v>201</v>
      </c>
      <c r="F436">
        <v>793801</v>
      </c>
      <c r="G436">
        <v>882000</v>
      </c>
      <c r="H436">
        <f t="shared" si="12"/>
        <v>18.000022675736961</v>
      </c>
      <c r="I436">
        <f t="shared" si="13"/>
        <v>20</v>
      </c>
      <c r="J436" t="s">
        <v>29</v>
      </c>
      <c r="K436">
        <v>4</v>
      </c>
      <c r="L436" t="e">
        <f t="array" ref="L436">VLOOKUP(J436:$J$3871&amp;K436:$K$3871,CHOOSE({1,2},#REF!&amp;#REF!,#REF!),2,0)</f>
        <v>#N/A</v>
      </c>
      <c r="M436">
        <v>0</v>
      </c>
      <c r="N436">
        <v>1</v>
      </c>
      <c r="O436" t="s">
        <v>23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</v>
      </c>
      <c r="Y436">
        <v>0</v>
      </c>
      <c r="Z436">
        <v>0</v>
      </c>
      <c r="AA436" t="s">
        <v>4420</v>
      </c>
      <c r="AB436" t="s">
        <v>6869</v>
      </c>
      <c r="AC436" t="s">
        <v>4420</v>
      </c>
      <c r="AD436" t="e">
        <f>VLOOKUP(AB436,#REF!,2,FALSE)</f>
        <v>#REF!</v>
      </c>
      <c r="AE436" t="e">
        <f>RIGHT(#REF!,(FIND("Complex",#REF!,1)-5))</f>
        <v>#REF!</v>
      </c>
    </row>
    <row r="437" spans="1:31" x14ac:dyDescent="0.25">
      <c r="A437">
        <v>2797</v>
      </c>
      <c r="B437" t="s">
        <v>64</v>
      </c>
      <c r="C437">
        <v>33</v>
      </c>
      <c r="D437">
        <v>602</v>
      </c>
      <c r="E437">
        <v>2797</v>
      </c>
      <c r="F437">
        <v>2998801</v>
      </c>
      <c r="G437">
        <v>3087000</v>
      </c>
      <c r="H437">
        <f t="shared" si="12"/>
        <v>68.000022675736957</v>
      </c>
      <c r="I437">
        <f t="shared" si="13"/>
        <v>70</v>
      </c>
      <c r="J437" t="s">
        <v>29</v>
      </c>
      <c r="K437">
        <v>4</v>
      </c>
      <c r="L437" t="e">
        <f t="array" ref="L437">VLOOKUP(J437:$J$3871&amp;K437:$K$3871,CHOOSE({1,2},#REF!&amp;#REF!,#REF!),2,0)</f>
        <v>#N/A</v>
      </c>
      <c r="M437">
        <v>0</v>
      </c>
      <c r="N437">
        <v>1</v>
      </c>
      <c r="O437" t="s">
        <v>23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1</v>
      </c>
      <c r="Y437">
        <v>0</v>
      </c>
      <c r="Z437">
        <v>0</v>
      </c>
      <c r="AA437" t="s">
        <v>3729</v>
      </c>
      <c r="AB437" t="s">
        <v>1014</v>
      </c>
      <c r="AC437" t="s">
        <v>3729</v>
      </c>
      <c r="AD437" t="e">
        <f>VLOOKUP(AB437,#REF!,2,FALSE)</f>
        <v>#REF!</v>
      </c>
      <c r="AE437" t="e">
        <f>RIGHT(#REF!,(FIND("Complex",#REF!,1)-6))</f>
        <v>#REF!</v>
      </c>
    </row>
    <row r="438" spans="1:31" x14ac:dyDescent="0.25">
      <c r="A438">
        <v>3372</v>
      </c>
      <c r="B438" t="s">
        <v>64</v>
      </c>
      <c r="C438">
        <v>33</v>
      </c>
      <c r="D438">
        <v>862</v>
      </c>
      <c r="E438">
        <v>3372</v>
      </c>
      <c r="F438">
        <v>2646001</v>
      </c>
      <c r="G438">
        <v>2734200</v>
      </c>
      <c r="H438">
        <f t="shared" si="12"/>
        <v>60.000022675736965</v>
      </c>
      <c r="I438">
        <f t="shared" si="13"/>
        <v>62</v>
      </c>
      <c r="J438" t="s">
        <v>29</v>
      </c>
      <c r="K438">
        <v>4</v>
      </c>
      <c r="L438" t="e">
        <f t="array" ref="L438">VLOOKUP(J438:$J$3871&amp;K438:$K$3871,CHOOSE({1,2},#REF!&amp;#REF!,#REF!),2,0)</f>
        <v>#N/A</v>
      </c>
      <c r="M438">
        <v>0</v>
      </c>
      <c r="N438">
        <v>1</v>
      </c>
      <c r="O438" t="s">
        <v>23</v>
      </c>
      <c r="P438">
        <v>1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 t="s">
        <v>3788</v>
      </c>
      <c r="AB438" t="s">
        <v>6480</v>
      </c>
      <c r="AC438" t="s">
        <v>3788</v>
      </c>
      <c r="AD438" t="e">
        <f>VLOOKUP(AB438,#REF!,2,FALSE)</f>
        <v>#REF!</v>
      </c>
      <c r="AE438" t="e">
        <f>RIGHT(#REF!,(FIND("Complex",#REF!,1)-6))</f>
        <v>#REF!</v>
      </c>
    </row>
    <row r="439" spans="1:31" x14ac:dyDescent="0.25">
      <c r="A439">
        <v>3191</v>
      </c>
      <c r="B439" t="s">
        <v>64</v>
      </c>
      <c r="C439">
        <v>33</v>
      </c>
      <c r="D439">
        <v>765</v>
      </c>
      <c r="E439">
        <v>3191</v>
      </c>
      <c r="F439">
        <v>1587601</v>
      </c>
      <c r="G439">
        <v>1675800</v>
      </c>
      <c r="H439">
        <f t="shared" si="12"/>
        <v>36.000022675736965</v>
      </c>
      <c r="I439">
        <f t="shared" si="13"/>
        <v>38</v>
      </c>
      <c r="J439" t="s">
        <v>29</v>
      </c>
      <c r="K439">
        <v>4</v>
      </c>
      <c r="L439" t="e">
        <f t="array" ref="L439">VLOOKUP(J439:$J$3871&amp;K439:$K$3871,CHOOSE({1,2},#REF!&amp;#REF!,#REF!),2,0)</f>
        <v>#N/A</v>
      </c>
      <c r="M439">
        <v>0</v>
      </c>
      <c r="N439">
        <v>1</v>
      </c>
      <c r="O439" t="s">
        <v>23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1</v>
      </c>
      <c r="Y439">
        <v>0</v>
      </c>
      <c r="Z439">
        <v>0</v>
      </c>
      <c r="AA439" t="s">
        <v>4008</v>
      </c>
      <c r="AB439" t="s">
        <v>6601</v>
      </c>
      <c r="AC439" t="s">
        <v>4008</v>
      </c>
      <c r="AD439" t="e">
        <f>VLOOKUP(AB439,#REF!,2,FALSE)</f>
        <v>#REF!</v>
      </c>
      <c r="AE439" t="e">
        <f>RIGHT(#REF!,(FIND("Complex",#REF!,1)-6))</f>
        <v>#REF!</v>
      </c>
    </row>
    <row r="440" spans="1:31" x14ac:dyDescent="0.25">
      <c r="A440">
        <v>2744</v>
      </c>
      <c r="B440" t="s">
        <v>64</v>
      </c>
      <c r="C440">
        <v>33</v>
      </c>
      <c r="D440">
        <v>580</v>
      </c>
      <c r="E440">
        <v>2744</v>
      </c>
      <c r="F440">
        <v>1411201</v>
      </c>
      <c r="G440">
        <v>1499400</v>
      </c>
      <c r="H440">
        <f t="shared" si="12"/>
        <v>32.000022675736965</v>
      </c>
      <c r="I440">
        <f t="shared" si="13"/>
        <v>34</v>
      </c>
      <c r="J440" t="s">
        <v>29</v>
      </c>
      <c r="K440">
        <v>4</v>
      </c>
      <c r="L440" t="e">
        <f t="array" ref="L440">VLOOKUP(J440:$J$3871&amp;K440:$K$3871,CHOOSE({1,2},#REF!&amp;#REF!,#REF!),2,0)</f>
        <v>#N/A</v>
      </c>
      <c r="M440">
        <v>0</v>
      </c>
      <c r="N440">
        <v>1</v>
      </c>
      <c r="O440" t="s">
        <v>23</v>
      </c>
      <c r="P440">
        <v>1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1</v>
      </c>
      <c r="Y440">
        <v>0</v>
      </c>
      <c r="Z440">
        <v>0</v>
      </c>
      <c r="AA440" t="s">
        <v>4046</v>
      </c>
      <c r="AB440" t="s">
        <v>1015</v>
      </c>
      <c r="AC440" t="s">
        <v>4046</v>
      </c>
      <c r="AD440" t="e">
        <f>VLOOKUP(AB440,#REF!,2,FALSE)</f>
        <v>#REF!</v>
      </c>
      <c r="AE440" t="e">
        <f>RIGHT(#REF!,(FIND("Complex",#REF!,1)-6))</f>
        <v>#REF!</v>
      </c>
    </row>
    <row r="441" spans="1:31" x14ac:dyDescent="0.25">
      <c r="A441">
        <v>2034</v>
      </c>
      <c r="B441" t="s">
        <v>64</v>
      </c>
      <c r="C441">
        <v>33</v>
      </c>
      <c r="D441">
        <v>358</v>
      </c>
      <c r="E441">
        <v>2034</v>
      </c>
      <c r="F441">
        <v>1323001</v>
      </c>
      <c r="G441">
        <v>1411200</v>
      </c>
      <c r="H441">
        <f t="shared" si="12"/>
        <v>30.000022675736961</v>
      </c>
      <c r="I441">
        <f t="shared" si="13"/>
        <v>32</v>
      </c>
      <c r="J441" t="s">
        <v>29</v>
      </c>
      <c r="K441">
        <v>4</v>
      </c>
      <c r="L441" t="e">
        <f t="array" ref="L441">VLOOKUP(J441:$J$3871&amp;K441:$K$3871,CHOOSE({1,2},#REF!&amp;#REF!,#REF!),2,0)</f>
        <v>#N/A</v>
      </c>
      <c r="M441">
        <v>0</v>
      </c>
      <c r="N441">
        <v>1</v>
      </c>
      <c r="O441" t="s">
        <v>23</v>
      </c>
      <c r="P441">
        <v>1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1</v>
      </c>
      <c r="Y441">
        <v>0</v>
      </c>
      <c r="Z441">
        <v>0</v>
      </c>
      <c r="AA441" t="s">
        <v>4069</v>
      </c>
      <c r="AB441" t="s">
        <v>6640</v>
      </c>
      <c r="AC441" t="s">
        <v>4069</v>
      </c>
      <c r="AD441" t="e">
        <f>VLOOKUP(AB441,#REF!,2,FALSE)</f>
        <v>#REF!</v>
      </c>
      <c r="AE441" t="e">
        <f>RIGHT(#REF!,(FIND("Complex",#REF!,1)-6))</f>
        <v>#REF!</v>
      </c>
    </row>
    <row r="442" spans="1:31" x14ac:dyDescent="0.25">
      <c r="A442">
        <v>2602</v>
      </c>
      <c r="B442" t="s">
        <v>64</v>
      </c>
      <c r="C442">
        <v>33</v>
      </c>
      <c r="D442">
        <v>522</v>
      </c>
      <c r="E442">
        <v>2602</v>
      </c>
      <c r="F442">
        <v>1146601</v>
      </c>
      <c r="G442">
        <v>1234800</v>
      </c>
      <c r="H442">
        <f t="shared" si="12"/>
        <v>26.000022675736961</v>
      </c>
      <c r="I442">
        <f t="shared" si="13"/>
        <v>28</v>
      </c>
      <c r="J442" t="s">
        <v>29</v>
      </c>
      <c r="K442">
        <v>4</v>
      </c>
      <c r="L442" t="e">
        <f t="array" ref="L442">VLOOKUP(J442:$J$3871&amp;K442:$K$3871,CHOOSE({1,2},#REF!&amp;#REF!,#REF!),2,0)</f>
        <v>#N/A</v>
      </c>
      <c r="M442">
        <v>0</v>
      </c>
      <c r="N442">
        <v>1</v>
      </c>
      <c r="O442" t="s">
        <v>23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1</v>
      </c>
      <c r="Y442">
        <v>0</v>
      </c>
      <c r="Z442">
        <v>0</v>
      </c>
      <c r="AA442" t="s">
        <v>4154</v>
      </c>
      <c r="AB442" t="s">
        <v>6704</v>
      </c>
      <c r="AC442" t="s">
        <v>4154</v>
      </c>
      <c r="AD442" t="e">
        <f>VLOOKUP(AB442,#REF!,2,FALSE)</f>
        <v>#REF!</v>
      </c>
      <c r="AE442" t="e">
        <f>RIGHT(#REF!,(FIND("Complex",#REF!,1)-6))</f>
        <v>#REF!</v>
      </c>
    </row>
    <row r="443" spans="1:31" x14ac:dyDescent="0.25">
      <c r="A443">
        <v>2084</v>
      </c>
      <c r="B443" t="s">
        <v>64</v>
      </c>
      <c r="C443">
        <v>33</v>
      </c>
      <c r="D443">
        <v>371</v>
      </c>
      <c r="E443">
        <v>2084</v>
      </c>
      <c r="F443">
        <v>1058401</v>
      </c>
      <c r="G443">
        <v>1146600</v>
      </c>
      <c r="H443">
        <f t="shared" si="12"/>
        <v>24.000022675736961</v>
      </c>
      <c r="I443">
        <f t="shared" si="13"/>
        <v>26</v>
      </c>
      <c r="J443" t="s">
        <v>29</v>
      </c>
      <c r="K443">
        <v>4</v>
      </c>
      <c r="L443" t="e">
        <f t="array" ref="L443">VLOOKUP(J443:$J$3871&amp;K443:$K$3871,CHOOSE({1,2},#REF!&amp;#REF!,#REF!),2,0)</f>
        <v>#N/A</v>
      </c>
      <c r="M443">
        <v>0</v>
      </c>
      <c r="N443">
        <v>1</v>
      </c>
      <c r="O443" t="s">
        <v>23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1</v>
      </c>
      <c r="Y443">
        <v>0</v>
      </c>
      <c r="Z443">
        <v>0</v>
      </c>
      <c r="AA443" t="s">
        <v>4194</v>
      </c>
      <c r="AB443" t="s">
        <v>6733</v>
      </c>
      <c r="AC443" t="s">
        <v>4194</v>
      </c>
      <c r="AD443" t="e">
        <f>VLOOKUP(AB443,#REF!,2,FALSE)</f>
        <v>#REF!</v>
      </c>
      <c r="AE443" t="e">
        <f>RIGHT(#REF!,(FIND("Complex",#REF!,1)-6))</f>
        <v>#REF!</v>
      </c>
    </row>
    <row r="444" spans="1:31" x14ac:dyDescent="0.25">
      <c r="A444">
        <v>2840</v>
      </c>
      <c r="B444" t="s">
        <v>64</v>
      </c>
      <c r="C444">
        <v>33</v>
      </c>
      <c r="D444">
        <v>616</v>
      </c>
      <c r="E444">
        <v>2840</v>
      </c>
      <c r="F444">
        <v>882001</v>
      </c>
      <c r="G444">
        <v>970200</v>
      </c>
      <c r="H444">
        <f t="shared" si="12"/>
        <v>20.000022675736961</v>
      </c>
      <c r="I444">
        <f t="shared" si="13"/>
        <v>22</v>
      </c>
      <c r="J444" t="s">
        <v>29</v>
      </c>
      <c r="K444">
        <v>4</v>
      </c>
      <c r="L444" t="e">
        <f t="array" ref="L444">VLOOKUP(J444:$J$3871&amp;K444:$K$3871,CHOOSE({1,2},#REF!&amp;#REF!,#REF!),2,0)</f>
        <v>#N/A</v>
      </c>
      <c r="M444">
        <v>0</v>
      </c>
      <c r="N444">
        <v>1</v>
      </c>
      <c r="O444" t="s">
        <v>23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1</v>
      </c>
      <c r="Y444">
        <v>0</v>
      </c>
      <c r="Z444">
        <v>0</v>
      </c>
      <c r="AA444" t="s">
        <v>4319</v>
      </c>
      <c r="AB444" t="s">
        <v>1016</v>
      </c>
      <c r="AC444" t="s">
        <v>4319</v>
      </c>
      <c r="AD444" t="e">
        <f>VLOOKUP(AB444,#REF!,2,FALSE)</f>
        <v>#REF!</v>
      </c>
      <c r="AE444" t="e">
        <f>RIGHT(#REF!,(FIND("Complex",#REF!,1)-6))</f>
        <v>#REF!</v>
      </c>
    </row>
    <row r="445" spans="1:31" x14ac:dyDescent="0.25">
      <c r="A445">
        <v>3161</v>
      </c>
      <c r="B445" t="s">
        <v>64</v>
      </c>
      <c r="C445">
        <v>33</v>
      </c>
      <c r="D445">
        <v>750</v>
      </c>
      <c r="E445">
        <v>3161</v>
      </c>
      <c r="F445">
        <v>6262201</v>
      </c>
      <c r="G445">
        <v>6350400</v>
      </c>
      <c r="H445">
        <f t="shared" si="12"/>
        <v>142.00002267573697</v>
      </c>
      <c r="I445">
        <f t="shared" si="13"/>
        <v>144</v>
      </c>
      <c r="J445" t="s">
        <v>29</v>
      </c>
      <c r="K445">
        <v>4</v>
      </c>
      <c r="L445" t="e">
        <f t="array" ref="L445">VLOOKUP(J445:$J$3871&amp;K445:$K$3871,CHOOSE({1,2},#REF!&amp;#REF!,#REF!),2,0)</f>
        <v>#N/A</v>
      </c>
      <c r="M445">
        <v>0</v>
      </c>
      <c r="N445">
        <v>1</v>
      </c>
      <c r="O445" t="s">
        <v>23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1</v>
      </c>
      <c r="Y445">
        <v>0</v>
      </c>
      <c r="Z445">
        <v>0</v>
      </c>
      <c r="AA445" t="s">
        <v>4589</v>
      </c>
      <c r="AB445" t="s">
        <v>6988</v>
      </c>
      <c r="AC445" t="s">
        <v>4589</v>
      </c>
      <c r="AD445" t="e">
        <f>VLOOKUP(AB445,#REF!,2,FALSE)</f>
        <v>#REF!</v>
      </c>
      <c r="AE445" t="e">
        <f>RIGHT(#REF!,(FIND("Complex",#REF!,1)-5))</f>
        <v>#REF!</v>
      </c>
    </row>
    <row r="446" spans="1:31" x14ac:dyDescent="0.25">
      <c r="A446">
        <v>3269</v>
      </c>
      <c r="B446" t="s">
        <v>92</v>
      </c>
      <c r="C446">
        <v>34</v>
      </c>
      <c r="D446">
        <v>812</v>
      </c>
      <c r="E446">
        <v>3269</v>
      </c>
      <c r="F446">
        <v>4321801</v>
      </c>
      <c r="G446">
        <v>4410000</v>
      </c>
      <c r="H446">
        <f t="shared" si="12"/>
        <v>98.000022675736957</v>
      </c>
      <c r="I446">
        <f t="shared" si="13"/>
        <v>100</v>
      </c>
      <c r="J446" t="s">
        <v>29</v>
      </c>
      <c r="K446">
        <v>4</v>
      </c>
      <c r="L446" t="e">
        <f t="array" ref="L446">VLOOKUP(J446:$J$3871&amp;K446:$K$3871,CHOOSE({1,2},#REF!&amp;#REF!,#REF!),2,0)</f>
        <v>#N/A</v>
      </c>
      <c r="M446">
        <v>0</v>
      </c>
      <c r="N446">
        <v>1</v>
      </c>
      <c r="O446" t="s">
        <v>23</v>
      </c>
      <c r="P446">
        <v>1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1</v>
      </c>
      <c r="Y446">
        <v>0</v>
      </c>
      <c r="Z446">
        <v>0</v>
      </c>
      <c r="AA446" t="s">
        <v>3506</v>
      </c>
      <c r="AB446" t="s">
        <v>6319</v>
      </c>
      <c r="AC446" t="s">
        <v>3506</v>
      </c>
      <c r="AD446" t="e">
        <f>VLOOKUP(AB446,#REF!,2,FALSE)</f>
        <v>#REF!</v>
      </c>
      <c r="AE446" t="e">
        <f>RIGHT(#REF!,(FIND("Complex",#REF!,1)-6))</f>
        <v>#REF!</v>
      </c>
    </row>
    <row r="447" spans="1:31" x14ac:dyDescent="0.25">
      <c r="A447">
        <v>1136</v>
      </c>
      <c r="B447" t="s">
        <v>92</v>
      </c>
      <c r="C447">
        <v>34</v>
      </c>
      <c r="D447">
        <v>195</v>
      </c>
      <c r="E447">
        <v>1136</v>
      </c>
      <c r="F447">
        <v>4057201</v>
      </c>
      <c r="G447">
        <v>4145400</v>
      </c>
      <c r="H447">
        <f t="shared" si="12"/>
        <v>92.000022675736957</v>
      </c>
      <c r="I447">
        <f t="shared" si="13"/>
        <v>94</v>
      </c>
      <c r="J447" t="s">
        <v>29</v>
      </c>
      <c r="K447">
        <v>4</v>
      </c>
      <c r="L447" t="e">
        <f t="array" ref="L447">VLOOKUP(J447:$J$3871&amp;K447:$K$3871,CHOOSE({1,2},#REF!&amp;#REF!,#REF!),2,0)</f>
        <v>#N/A</v>
      </c>
      <c r="M447">
        <v>0</v>
      </c>
      <c r="N447">
        <v>1</v>
      </c>
      <c r="O447" t="s">
        <v>23</v>
      </c>
      <c r="P447">
        <v>1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1</v>
      </c>
      <c r="Y447">
        <v>0</v>
      </c>
      <c r="Z447">
        <v>0</v>
      </c>
      <c r="AA447" t="s">
        <v>3542</v>
      </c>
      <c r="AB447" t="s">
        <v>180</v>
      </c>
      <c r="AC447" t="s">
        <v>3542</v>
      </c>
      <c r="AD447" t="e">
        <f>VLOOKUP(AB447,#REF!,2,FALSE)</f>
        <v>#REF!</v>
      </c>
      <c r="AE447" t="e">
        <f>RIGHT(#REF!,(FIND("Complex",#REF!,1)-6))</f>
        <v>#REF!</v>
      </c>
    </row>
    <row r="448" spans="1:31" x14ac:dyDescent="0.25">
      <c r="A448">
        <v>3118</v>
      </c>
      <c r="B448" t="s">
        <v>92</v>
      </c>
      <c r="C448">
        <v>34</v>
      </c>
      <c r="D448">
        <v>733</v>
      </c>
      <c r="E448">
        <v>3118</v>
      </c>
      <c r="F448">
        <v>3969001</v>
      </c>
      <c r="G448">
        <v>4057200</v>
      </c>
      <c r="H448">
        <f t="shared" si="12"/>
        <v>90.000022675736957</v>
      </c>
      <c r="I448">
        <f t="shared" si="13"/>
        <v>92</v>
      </c>
      <c r="J448" t="s">
        <v>29</v>
      </c>
      <c r="K448">
        <v>4</v>
      </c>
      <c r="L448" t="e">
        <f t="array" ref="L448">VLOOKUP(J448:$J$3871&amp;K448:$K$3871,CHOOSE({1,2},#REF!&amp;#REF!,#REF!),2,0)</f>
        <v>#N/A</v>
      </c>
      <c r="M448">
        <v>0</v>
      </c>
      <c r="N448">
        <v>1</v>
      </c>
      <c r="O448" t="s">
        <v>23</v>
      </c>
      <c r="P448">
        <v>1</v>
      </c>
      <c r="Q448">
        <v>1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 t="s">
        <v>3559</v>
      </c>
      <c r="AB448" t="s">
        <v>6344</v>
      </c>
      <c r="AC448" t="s">
        <v>3559</v>
      </c>
      <c r="AD448" t="e">
        <f>VLOOKUP(AB448,#REF!,2,FALSE)</f>
        <v>#REF!</v>
      </c>
      <c r="AE448" t="e">
        <f>RIGHT(#REF!,(FIND("Complex",#REF!,1)-6))</f>
        <v>#REF!</v>
      </c>
    </row>
    <row r="449" spans="1:31" x14ac:dyDescent="0.25">
      <c r="A449">
        <v>2694</v>
      </c>
      <c r="B449" t="s">
        <v>92</v>
      </c>
      <c r="C449">
        <v>34</v>
      </c>
      <c r="D449">
        <v>557</v>
      </c>
      <c r="E449">
        <v>2694</v>
      </c>
      <c r="F449">
        <v>11907001</v>
      </c>
      <c r="G449">
        <v>11995200</v>
      </c>
      <c r="H449">
        <f t="shared" si="12"/>
        <v>270.00002267573694</v>
      </c>
      <c r="I449">
        <f t="shared" si="13"/>
        <v>272</v>
      </c>
      <c r="J449" t="s">
        <v>29</v>
      </c>
      <c r="K449">
        <v>4</v>
      </c>
      <c r="L449" t="e">
        <f t="array" ref="L449">VLOOKUP(J449:$J$3871&amp;K449:$K$3871,CHOOSE({1,2},#REF!&amp;#REF!,#REF!),2,0)</f>
        <v>#N/A</v>
      </c>
      <c r="M449">
        <v>0</v>
      </c>
      <c r="N449">
        <v>1</v>
      </c>
      <c r="O449" t="s">
        <v>23</v>
      </c>
      <c r="P449">
        <v>1</v>
      </c>
      <c r="Q449">
        <v>1</v>
      </c>
      <c r="R449">
        <v>0</v>
      </c>
      <c r="S449">
        <v>0</v>
      </c>
      <c r="T449">
        <v>1</v>
      </c>
      <c r="U449">
        <v>0</v>
      </c>
      <c r="V449">
        <v>0</v>
      </c>
      <c r="W449">
        <v>0</v>
      </c>
      <c r="X449">
        <v>0</v>
      </c>
      <c r="Y449">
        <v>1</v>
      </c>
      <c r="Z449">
        <v>0</v>
      </c>
      <c r="AA449" t="s">
        <v>4127</v>
      </c>
      <c r="AB449" t="s">
        <v>6687</v>
      </c>
      <c r="AC449" t="s">
        <v>4127</v>
      </c>
      <c r="AD449" t="e">
        <f>VLOOKUP(AB449,#REF!,2,FALSE)</f>
        <v>#REF!</v>
      </c>
      <c r="AE449" t="e">
        <f>RIGHT(#REF!,(FIND("Complex",#REF!,1)-5))</f>
        <v>#REF!</v>
      </c>
    </row>
    <row r="450" spans="1:31" x14ac:dyDescent="0.25">
      <c r="A450">
        <v>171</v>
      </c>
      <c r="B450" t="s">
        <v>92</v>
      </c>
      <c r="C450">
        <v>34</v>
      </c>
      <c r="D450">
        <v>32</v>
      </c>
      <c r="E450">
        <v>171</v>
      </c>
      <c r="F450">
        <v>11113201</v>
      </c>
      <c r="G450">
        <v>11201400</v>
      </c>
      <c r="H450">
        <f t="shared" ref="H450:H513" si="14">F450/44100</f>
        <v>252.00002267573697</v>
      </c>
      <c r="I450">
        <f t="shared" ref="I450:I513" si="15">G450/44100</f>
        <v>254</v>
      </c>
      <c r="J450" t="s">
        <v>29</v>
      </c>
      <c r="K450">
        <v>4</v>
      </c>
      <c r="L450" t="e">
        <f t="array" ref="L450">VLOOKUP(J450:$J$3871&amp;K450:$K$3871,CHOOSE({1,2},#REF!&amp;#REF!,#REF!),2,0)</f>
        <v>#N/A</v>
      </c>
      <c r="M450">
        <v>0</v>
      </c>
      <c r="N450">
        <v>1</v>
      </c>
      <c r="O450" t="s">
        <v>23</v>
      </c>
      <c r="P450">
        <v>1</v>
      </c>
      <c r="Q450">
        <v>1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 t="s">
        <v>4164</v>
      </c>
      <c r="AB450" t="s">
        <v>6714</v>
      </c>
      <c r="AC450" t="s">
        <v>4164</v>
      </c>
      <c r="AD450" t="e">
        <f>VLOOKUP(AB450,#REF!,2,FALSE)</f>
        <v>#REF!</v>
      </c>
      <c r="AE450" t="e">
        <f>RIGHT(#REF!,(FIND("Complex",#REF!,1)-4))</f>
        <v>#REF!</v>
      </c>
    </row>
    <row r="451" spans="1:31" x14ac:dyDescent="0.25">
      <c r="A451">
        <v>2127</v>
      </c>
      <c r="B451" t="s">
        <v>92</v>
      </c>
      <c r="C451">
        <v>34</v>
      </c>
      <c r="D451">
        <v>381</v>
      </c>
      <c r="E451">
        <v>2127</v>
      </c>
      <c r="F451">
        <v>6085801</v>
      </c>
      <c r="G451">
        <v>6174000</v>
      </c>
      <c r="H451">
        <f t="shared" si="14"/>
        <v>138.00002267573697</v>
      </c>
      <c r="I451">
        <f t="shared" si="15"/>
        <v>140</v>
      </c>
      <c r="J451" t="s">
        <v>29</v>
      </c>
      <c r="K451">
        <v>4</v>
      </c>
      <c r="L451" t="e">
        <f t="array" ref="L451">VLOOKUP(J451:$J$3871&amp;K451:$K$3871,CHOOSE({1,2},#REF!&amp;#REF!,#REF!),2,0)</f>
        <v>#N/A</v>
      </c>
      <c r="M451">
        <v>0</v>
      </c>
      <c r="N451">
        <v>1</v>
      </c>
      <c r="O451" t="s">
        <v>23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0</v>
      </c>
      <c r="AA451" t="s">
        <v>4631</v>
      </c>
      <c r="AB451" t="s">
        <v>7008</v>
      </c>
      <c r="AC451" t="s">
        <v>4631</v>
      </c>
      <c r="AD451" t="e">
        <f>VLOOKUP(AB451,#REF!,2,FALSE)</f>
        <v>#REF!</v>
      </c>
      <c r="AE451" t="e">
        <f>RIGHT(#REF!,(FIND("Complex",#REF!,1)-5))</f>
        <v>#REF!</v>
      </c>
    </row>
    <row r="452" spans="1:31" x14ac:dyDescent="0.25">
      <c r="A452">
        <v>2069</v>
      </c>
      <c r="B452" t="s">
        <v>60</v>
      </c>
      <c r="C452">
        <v>35</v>
      </c>
      <c r="D452">
        <v>367</v>
      </c>
      <c r="E452">
        <v>2069</v>
      </c>
      <c r="F452">
        <v>3616201</v>
      </c>
      <c r="G452">
        <v>3704400</v>
      </c>
      <c r="H452">
        <f t="shared" si="14"/>
        <v>82.000022675736957</v>
      </c>
      <c r="I452">
        <f t="shared" si="15"/>
        <v>84</v>
      </c>
      <c r="J452" t="s">
        <v>29</v>
      </c>
      <c r="K452">
        <v>4</v>
      </c>
      <c r="L452" t="e">
        <f t="array" ref="L452">VLOOKUP(J452:$J$3871&amp;K452:$K$3871,CHOOSE({1,2},#REF!&amp;#REF!,#REF!),2,0)</f>
        <v>#N/A</v>
      </c>
      <c r="M452">
        <v>0</v>
      </c>
      <c r="N452">
        <v>1</v>
      </c>
      <c r="O452" t="s">
        <v>23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 t="s">
        <v>3612</v>
      </c>
      <c r="AB452" t="s">
        <v>6374</v>
      </c>
      <c r="AC452" t="s">
        <v>3612</v>
      </c>
      <c r="AD452" t="e">
        <f>VLOOKUP(AB452,#REF!,2,FALSE)</f>
        <v>#REF!</v>
      </c>
      <c r="AE452" t="e">
        <f>RIGHT(#REF!,(FIND("Complex",#REF!,1)-6))</f>
        <v>#REF!</v>
      </c>
    </row>
    <row r="453" spans="1:31" x14ac:dyDescent="0.25">
      <c r="A453">
        <v>2643</v>
      </c>
      <c r="B453" t="s">
        <v>60</v>
      </c>
      <c r="C453">
        <v>35</v>
      </c>
      <c r="D453">
        <v>538</v>
      </c>
      <c r="E453">
        <v>2643</v>
      </c>
      <c r="F453">
        <v>2910601</v>
      </c>
      <c r="G453">
        <v>2998800</v>
      </c>
      <c r="H453">
        <f t="shared" si="14"/>
        <v>66.000022675736957</v>
      </c>
      <c r="I453">
        <f t="shared" si="15"/>
        <v>68</v>
      </c>
      <c r="J453" t="s">
        <v>29</v>
      </c>
      <c r="K453">
        <v>4</v>
      </c>
      <c r="L453" t="e">
        <f t="array" ref="L453">VLOOKUP(J453:$J$3871&amp;K453:$K$3871,CHOOSE({1,2},#REF!&amp;#REF!,#REF!),2,0)</f>
        <v>#N/A</v>
      </c>
      <c r="M453">
        <v>0</v>
      </c>
      <c r="N453">
        <v>1</v>
      </c>
      <c r="O453" t="s">
        <v>23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1</v>
      </c>
      <c r="Y453">
        <v>1</v>
      </c>
      <c r="Z453">
        <v>0</v>
      </c>
      <c r="AA453" t="s">
        <v>3738</v>
      </c>
      <c r="AB453" t="s">
        <v>1060</v>
      </c>
      <c r="AC453" t="s">
        <v>3738</v>
      </c>
      <c r="AD453" t="e">
        <f>VLOOKUP(AB453,#REF!,2,FALSE)</f>
        <v>#REF!</v>
      </c>
      <c r="AE453" t="e">
        <f>RIGHT(#REF!,(FIND("Complex",#REF!,1)-6))</f>
        <v>#REF!</v>
      </c>
    </row>
    <row r="454" spans="1:31" x14ac:dyDescent="0.25">
      <c r="A454">
        <v>829</v>
      </c>
      <c r="B454" t="s">
        <v>60</v>
      </c>
      <c r="C454">
        <v>35</v>
      </c>
      <c r="D454">
        <v>143</v>
      </c>
      <c r="E454">
        <v>829</v>
      </c>
      <c r="F454">
        <v>2734201</v>
      </c>
      <c r="G454">
        <v>2822400</v>
      </c>
      <c r="H454">
        <f t="shared" si="14"/>
        <v>62.000022675736965</v>
      </c>
      <c r="I454">
        <f t="shared" si="15"/>
        <v>64</v>
      </c>
      <c r="J454" t="s">
        <v>29</v>
      </c>
      <c r="K454">
        <v>4</v>
      </c>
      <c r="L454" t="e">
        <f t="array" ref="L454">VLOOKUP(J454:$J$3871&amp;K454:$K$3871,CHOOSE({1,2},#REF!&amp;#REF!,#REF!),2,0)</f>
        <v>#N/A</v>
      </c>
      <c r="M454">
        <v>0</v>
      </c>
      <c r="N454">
        <v>1</v>
      </c>
      <c r="O454" t="s">
        <v>23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>
        <v>1</v>
      </c>
      <c r="Z454">
        <v>0</v>
      </c>
      <c r="AA454" t="s">
        <v>3765</v>
      </c>
      <c r="AB454" t="s">
        <v>1061</v>
      </c>
      <c r="AC454" t="s">
        <v>3765</v>
      </c>
      <c r="AD454" t="e">
        <f>VLOOKUP(AB454,#REF!,2,FALSE)</f>
        <v>#REF!</v>
      </c>
      <c r="AE454" t="e">
        <f>RIGHT(#REF!,(FIND("Complex",#REF!,1)-5))</f>
        <v>#REF!</v>
      </c>
    </row>
    <row r="455" spans="1:31" x14ac:dyDescent="0.25">
      <c r="A455">
        <v>1987</v>
      </c>
      <c r="B455" t="s">
        <v>60</v>
      </c>
      <c r="C455">
        <v>35</v>
      </c>
      <c r="D455">
        <v>341</v>
      </c>
      <c r="E455">
        <v>1987</v>
      </c>
      <c r="F455">
        <v>8643601</v>
      </c>
      <c r="G455">
        <v>8731800</v>
      </c>
      <c r="H455">
        <f t="shared" si="14"/>
        <v>196.00002267573697</v>
      </c>
      <c r="I455">
        <f t="shared" si="15"/>
        <v>198</v>
      </c>
      <c r="J455" t="s">
        <v>29</v>
      </c>
      <c r="K455">
        <v>4</v>
      </c>
      <c r="L455" t="e">
        <f t="array" ref="L455">VLOOKUP(J455:$J$3871&amp;K455:$K$3871,CHOOSE({1,2},#REF!&amp;#REF!,#REF!),2,0)</f>
        <v>#N/A</v>
      </c>
      <c r="M455">
        <v>0</v>
      </c>
      <c r="N455">
        <v>1</v>
      </c>
      <c r="O455" t="s">
        <v>23</v>
      </c>
      <c r="P455">
        <v>1</v>
      </c>
      <c r="Q455">
        <v>0</v>
      </c>
      <c r="R455">
        <v>1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0</v>
      </c>
      <c r="Z455">
        <v>0</v>
      </c>
      <c r="AA455" t="s">
        <v>4346</v>
      </c>
      <c r="AB455" t="s">
        <v>6823</v>
      </c>
      <c r="AC455" t="s">
        <v>4346</v>
      </c>
      <c r="AD455" t="e">
        <f>VLOOKUP(AB455,#REF!,2,FALSE)</f>
        <v>#REF!</v>
      </c>
      <c r="AE455" t="e">
        <f>RIGHT(#REF!,(FIND("Complex",#REF!,1)-5))</f>
        <v>#REF!</v>
      </c>
    </row>
    <row r="456" spans="1:31" x14ac:dyDescent="0.25">
      <c r="A456">
        <v>3265</v>
      </c>
      <c r="B456" t="s">
        <v>60</v>
      </c>
      <c r="C456">
        <v>35</v>
      </c>
      <c r="D456">
        <v>809</v>
      </c>
      <c r="E456">
        <v>3265</v>
      </c>
      <c r="F456">
        <v>8555401</v>
      </c>
      <c r="G456">
        <v>8643600</v>
      </c>
      <c r="H456">
        <f t="shared" si="14"/>
        <v>194.00002267573697</v>
      </c>
      <c r="I456">
        <f t="shared" si="15"/>
        <v>196</v>
      </c>
      <c r="J456" t="s">
        <v>29</v>
      </c>
      <c r="K456">
        <v>4</v>
      </c>
      <c r="L456" t="e">
        <f t="array" ref="L456">VLOOKUP(J456:$J$3871&amp;K456:$K$3871,CHOOSE({1,2},#REF!&amp;#REF!,#REF!),2,0)</f>
        <v>#N/A</v>
      </c>
      <c r="M456">
        <v>0</v>
      </c>
      <c r="N456">
        <v>1</v>
      </c>
      <c r="O456" t="s">
        <v>23</v>
      </c>
      <c r="P456">
        <v>1</v>
      </c>
      <c r="Q456">
        <v>0</v>
      </c>
      <c r="R456">
        <v>1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1</v>
      </c>
      <c r="Y456">
        <v>0</v>
      </c>
      <c r="Z456">
        <v>0</v>
      </c>
      <c r="AA456" t="s">
        <v>4352</v>
      </c>
      <c r="AB456" t="s">
        <v>6827</v>
      </c>
      <c r="AC456" t="s">
        <v>4352</v>
      </c>
      <c r="AD456" t="e">
        <f>VLOOKUP(AB456,#REF!,2,FALSE)</f>
        <v>#REF!</v>
      </c>
      <c r="AE456" t="e">
        <f>RIGHT(#REF!,(FIND("Complex",#REF!,1)-5))</f>
        <v>#REF!</v>
      </c>
    </row>
    <row r="457" spans="1:31" x14ac:dyDescent="0.25">
      <c r="A457">
        <v>2521</v>
      </c>
      <c r="B457" t="s">
        <v>60</v>
      </c>
      <c r="C457">
        <v>35</v>
      </c>
      <c r="D457">
        <v>490</v>
      </c>
      <c r="E457">
        <v>2521</v>
      </c>
      <c r="F457">
        <v>8467201</v>
      </c>
      <c r="G457">
        <v>8555400</v>
      </c>
      <c r="H457">
        <f t="shared" si="14"/>
        <v>192.00002267573697</v>
      </c>
      <c r="I457">
        <f t="shared" si="15"/>
        <v>194</v>
      </c>
      <c r="J457" t="s">
        <v>29</v>
      </c>
      <c r="K457">
        <v>4</v>
      </c>
      <c r="L457" t="e">
        <f t="array" ref="L457">VLOOKUP(J457:$J$3871&amp;K457:$K$3871,CHOOSE({1,2},#REF!&amp;#REF!,#REF!),2,0)</f>
        <v>#N/A</v>
      </c>
      <c r="M457">
        <v>0</v>
      </c>
      <c r="N457">
        <v>1</v>
      </c>
      <c r="O457" t="s">
        <v>23</v>
      </c>
      <c r="P457">
        <v>1</v>
      </c>
      <c r="Q457">
        <v>0</v>
      </c>
      <c r="R457">
        <v>1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  <c r="Y457">
        <v>0</v>
      </c>
      <c r="Z457">
        <v>0</v>
      </c>
      <c r="AA457" t="s">
        <v>4363</v>
      </c>
      <c r="AB457" t="s">
        <v>6836</v>
      </c>
      <c r="AC457" t="s">
        <v>4363</v>
      </c>
      <c r="AD457" t="e">
        <f>VLOOKUP(AB457,#REF!,2,FALSE)</f>
        <v>#REF!</v>
      </c>
      <c r="AE457" t="e">
        <f>RIGHT(#REF!,(FIND("Complex",#REF!,1)-5))</f>
        <v>#REF!</v>
      </c>
    </row>
    <row r="458" spans="1:31" x14ac:dyDescent="0.25">
      <c r="A458">
        <v>1763</v>
      </c>
      <c r="B458" t="s">
        <v>60</v>
      </c>
      <c r="C458">
        <v>35</v>
      </c>
      <c r="D458">
        <v>305</v>
      </c>
      <c r="E458">
        <v>1763</v>
      </c>
      <c r="F458">
        <v>8290801</v>
      </c>
      <c r="G458">
        <v>8379000</v>
      </c>
      <c r="H458">
        <f t="shared" si="14"/>
        <v>188.00002267573697</v>
      </c>
      <c r="I458">
        <f t="shared" si="15"/>
        <v>190</v>
      </c>
      <c r="J458" t="s">
        <v>29</v>
      </c>
      <c r="K458">
        <v>4</v>
      </c>
      <c r="L458" t="e">
        <f t="array" ref="L458">VLOOKUP(J458:$J$3871&amp;K458:$K$3871,CHOOSE({1,2},#REF!&amp;#REF!,#REF!),2,0)</f>
        <v>#N/A</v>
      </c>
      <c r="M458">
        <v>0</v>
      </c>
      <c r="N458">
        <v>1</v>
      </c>
      <c r="O458" t="s">
        <v>23</v>
      </c>
      <c r="P458">
        <v>1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</v>
      </c>
      <c r="Y458">
        <v>0</v>
      </c>
      <c r="Z458">
        <v>0</v>
      </c>
      <c r="AA458" t="s">
        <v>4376</v>
      </c>
      <c r="AB458" t="s">
        <v>6844</v>
      </c>
      <c r="AC458" t="s">
        <v>4376</v>
      </c>
      <c r="AD458" t="e">
        <f>VLOOKUP(AB458,#REF!,2,FALSE)</f>
        <v>#REF!</v>
      </c>
      <c r="AE458" t="e">
        <f>RIGHT(#REF!,(FIND("Complex",#REF!,1)-5))</f>
        <v>#REF!</v>
      </c>
    </row>
    <row r="459" spans="1:31" x14ac:dyDescent="0.25">
      <c r="A459">
        <v>1569</v>
      </c>
      <c r="B459" t="s">
        <v>60</v>
      </c>
      <c r="C459">
        <v>35</v>
      </c>
      <c r="D459">
        <v>265</v>
      </c>
      <c r="E459">
        <v>1569</v>
      </c>
      <c r="F459">
        <v>7408801</v>
      </c>
      <c r="G459">
        <v>7497000</v>
      </c>
      <c r="H459">
        <f t="shared" si="14"/>
        <v>168.00002267573697</v>
      </c>
      <c r="I459">
        <f t="shared" si="15"/>
        <v>170</v>
      </c>
      <c r="J459" t="s">
        <v>29</v>
      </c>
      <c r="K459">
        <v>4</v>
      </c>
      <c r="L459" t="e">
        <f t="array" ref="L459">VLOOKUP(J459:$J$3871&amp;K459:$K$3871,CHOOSE({1,2},#REF!&amp;#REF!,#REF!),2,0)</f>
        <v>#N/A</v>
      </c>
      <c r="M459">
        <v>0</v>
      </c>
      <c r="N459">
        <v>1</v>
      </c>
      <c r="O459" t="s">
        <v>23</v>
      </c>
      <c r="P459">
        <v>1</v>
      </c>
      <c r="Q459">
        <v>0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1</v>
      </c>
      <c r="Y459">
        <v>0</v>
      </c>
      <c r="Z459">
        <v>0</v>
      </c>
      <c r="AA459" t="s">
        <v>4445</v>
      </c>
      <c r="AB459" t="s">
        <v>6886</v>
      </c>
      <c r="AC459" t="s">
        <v>4445</v>
      </c>
      <c r="AD459" t="e">
        <f>VLOOKUP(AB459,#REF!,2,FALSE)</f>
        <v>#REF!</v>
      </c>
      <c r="AE459" t="e">
        <f>RIGHT(#REF!,(FIND("Complex",#REF!,1)-5))</f>
        <v>#REF!</v>
      </c>
    </row>
    <row r="460" spans="1:31" x14ac:dyDescent="0.25">
      <c r="A460">
        <v>2846</v>
      </c>
      <c r="B460" t="s">
        <v>60</v>
      </c>
      <c r="C460">
        <v>35</v>
      </c>
      <c r="D460">
        <v>618</v>
      </c>
      <c r="E460">
        <v>2846</v>
      </c>
      <c r="F460">
        <v>7144201</v>
      </c>
      <c r="G460">
        <v>7232400</v>
      </c>
      <c r="H460">
        <f t="shared" si="14"/>
        <v>162.00002267573697</v>
      </c>
      <c r="I460">
        <f t="shared" si="15"/>
        <v>164</v>
      </c>
      <c r="J460" t="s">
        <v>29</v>
      </c>
      <c r="K460">
        <v>4</v>
      </c>
      <c r="L460" t="e">
        <f t="array" ref="L460">VLOOKUP(J460:$J$3871&amp;K460:$K$3871,CHOOSE({1,2},#REF!&amp;#REF!,#REF!),2,0)</f>
        <v>#N/A</v>
      </c>
      <c r="M460">
        <v>0</v>
      </c>
      <c r="N460">
        <v>1</v>
      </c>
      <c r="O460" t="s">
        <v>23</v>
      </c>
      <c r="P460">
        <v>1</v>
      </c>
      <c r="Q460">
        <v>0</v>
      </c>
      <c r="R460">
        <v>1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1</v>
      </c>
      <c r="Y460">
        <v>0</v>
      </c>
      <c r="Z460">
        <v>0</v>
      </c>
      <c r="AA460" t="s">
        <v>4471</v>
      </c>
      <c r="AB460" t="s">
        <v>6903</v>
      </c>
      <c r="AC460" t="s">
        <v>4471</v>
      </c>
      <c r="AD460" t="e">
        <f>VLOOKUP(AB460,#REF!,2,FALSE)</f>
        <v>#REF!</v>
      </c>
      <c r="AE460" t="e">
        <f>RIGHT(#REF!,(FIND("Complex",#REF!,1)-5))</f>
        <v>#REF!</v>
      </c>
    </row>
    <row r="461" spans="1:31" x14ac:dyDescent="0.25">
      <c r="A461">
        <v>1104</v>
      </c>
      <c r="B461" t="s">
        <v>60</v>
      </c>
      <c r="C461">
        <v>35</v>
      </c>
      <c r="D461">
        <v>189</v>
      </c>
      <c r="E461">
        <v>1104</v>
      </c>
      <c r="F461">
        <v>7056001</v>
      </c>
      <c r="G461">
        <v>7144200</v>
      </c>
      <c r="H461">
        <f t="shared" si="14"/>
        <v>160.00002267573697</v>
      </c>
      <c r="I461">
        <f t="shared" si="15"/>
        <v>162</v>
      </c>
      <c r="J461" t="s">
        <v>29</v>
      </c>
      <c r="K461">
        <v>4</v>
      </c>
      <c r="L461" t="e">
        <f t="array" ref="L461">VLOOKUP(J461:$J$3871&amp;K461:$K$3871,CHOOSE({1,2},#REF!&amp;#REF!,#REF!),2,0)</f>
        <v>#N/A</v>
      </c>
      <c r="M461">
        <v>0</v>
      </c>
      <c r="N461">
        <v>1</v>
      </c>
      <c r="O461" t="s">
        <v>23</v>
      </c>
      <c r="P461">
        <v>1</v>
      </c>
      <c r="Q461">
        <v>0</v>
      </c>
      <c r="R461">
        <v>1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1</v>
      </c>
      <c r="Y461">
        <v>0</v>
      </c>
      <c r="Z461">
        <v>0</v>
      </c>
      <c r="AA461" t="s">
        <v>4482</v>
      </c>
      <c r="AB461" t="s">
        <v>1062</v>
      </c>
      <c r="AC461" t="s">
        <v>4482</v>
      </c>
      <c r="AD461" t="e">
        <f>VLOOKUP(AB461,#REF!,2,FALSE)</f>
        <v>#REF!</v>
      </c>
      <c r="AE461" t="e">
        <f>RIGHT(#REF!,(FIND("Complex",#REF!,1)-5))</f>
        <v>#REF!</v>
      </c>
    </row>
    <row r="462" spans="1:31" x14ac:dyDescent="0.25">
      <c r="A462">
        <v>3344</v>
      </c>
      <c r="B462" t="s">
        <v>60</v>
      </c>
      <c r="C462">
        <v>35</v>
      </c>
      <c r="D462">
        <v>848</v>
      </c>
      <c r="E462">
        <v>3344</v>
      </c>
      <c r="F462">
        <v>4851001</v>
      </c>
      <c r="G462">
        <v>4939200</v>
      </c>
      <c r="H462">
        <f t="shared" si="14"/>
        <v>110.00002267573696</v>
      </c>
      <c r="I462">
        <f t="shared" si="15"/>
        <v>112</v>
      </c>
      <c r="J462" t="s">
        <v>29</v>
      </c>
      <c r="K462">
        <v>4</v>
      </c>
      <c r="L462" t="e">
        <f t="array" ref="L462">VLOOKUP(J462:$J$3871&amp;K462:$K$3871,CHOOSE({1,2},#REF!&amp;#REF!,#REF!),2,0)</f>
        <v>#N/A</v>
      </c>
      <c r="M462">
        <v>0</v>
      </c>
      <c r="N462">
        <v>1</v>
      </c>
      <c r="O462" t="s">
        <v>23</v>
      </c>
      <c r="P462">
        <v>1</v>
      </c>
      <c r="Q462">
        <v>0</v>
      </c>
      <c r="R462">
        <v>0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1</v>
      </c>
      <c r="Y462">
        <v>0</v>
      </c>
      <c r="Z462">
        <v>0</v>
      </c>
      <c r="AA462" t="s">
        <v>4781</v>
      </c>
      <c r="AB462" t="s">
        <v>7100</v>
      </c>
      <c r="AC462" t="s">
        <v>4781</v>
      </c>
      <c r="AD462" t="e">
        <f>VLOOKUP(AB462,#REF!,2,FALSE)</f>
        <v>#REF!</v>
      </c>
      <c r="AE462" t="e">
        <f>RIGHT(#REF!,(FIND("Complex",#REF!,1)-5))</f>
        <v>#REF!</v>
      </c>
    </row>
    <row r="463" spans="1:31" x14ac:dyDescent="0.25">
      <c r="A463">
        <v>401</v>
      </c>
      <c r="B463" t="s">
        <v>60</v>
      </c>
      <c r="C463">
        <v>35</v>
      </c>
      <c r="D463">
        <v>71</v>
      </c>
      <c r="E463">
        <v>401</v>
      </c>
      <c r="F463">
        <v>4586401</v>
      </c>
      <c r="G463">
        <v>4674600</v>
      </c>
      <c r="H463">
        <f t="shared" si="14"/>
        <v>104.00002267573696</v>
      </c>
      <c r="I463">
        <f t="shared" si="15"/>
        <v>106</v>
      </c>
      <c r="J463" t="s">
        <v>29</v>
      </c>
      <c r="K463">
        <v>4</v>
      </c>
      <c r="L463" t="e">
        <f t="array" ref="L463">VLOOKUP(J463:$J$3871&amp;K463:$K$3871,CHOOSE({1,2},#REF!&amp;#REF!,#REF!),2,0)</f>
        <v>#N/A</v>
      </c>
      <c r="M463">
        <v>0</v>
      </c>
      <c r="N463">
        <v>1</v>
      </c>
      <c r="O463" t="s">
        <v>23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1</v>
      </c>
      <c r="Y463">
        <v>0</v>
      </c>
      <c r="Z463">
        <v>0</v>
      </c>
      <c r="AA463" t="s">
        <v>4818</v>
      </c>
      <c r="AB463" t="s">
        <v>7121</v>
      </c>
      <c r="AC463" t="s">
        <v>4818</v>
      </c>
      <c r="AD463" t="e">
        <f>VLOOKUP(AB463,#REF!,2,FALSE)</f>
        <v>#REF!</v>
      </c>
      <c r="AE463" t="e">
        <f>RIGHT(#REF!,(FIND("Complex",#REF!,1)-4))</f>
        <v>#REF!</v>
      </c>
    </row>
    <row r="464" spans="1:31" x14ac:dyDescent="0.25">
      <c r="A464">
        <v>506</v>
      </c>
      <c r="B464" t="s">
        <v>244</v>
      </c>
      <c r="C464">
        <v>36</v>
      </c>
      <c r="D464">
        <v>91</v>
      </c>
      <c r="E464">
        <v>506</v>
      </c>
      <c r="F464">
        <v>3616201</v>
      </c>
      <c r="G464">
        <v>3704400</v>
      </c>
      <c r="H464">
        <f t="shared" si="14"/>
        <v>82.000022675736957</v>
      </c>
      <c r="I464">
        <f t="shared" si="15"/>
        <v>84</v>
      </c>
      <c r="J464" t="s">
        <v>29</v>
      </c>
      <c r="K464">
        <v>4</v>
      </c>
      <c r="L464" t="e">
        <f t="array" ref="L464">VLOOKUP(J464:$J$3871&amp;K464:$K$3871,CHOOSE({1,2},#REF!&amp;#REF!,#REF!),2,0)</f>
        <v>#N/A</v>
      </c>
      <c r="M464">
        <v>0</v>
      </c>
      <c r="N464">
        <v>1</v>
      </c>
      <c r="O464" t="s">
        <v>23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>
        <v>1</v>
      </c>
      <c r="AA464" t="s">
        <v>3611</v>
      </c>
      <c r="AB464" t="s">
        <v>1081</v>
      </c>
      <c r="AC464" t="s">
        <v>3611</v>
      </c>
      <c r="AD464" t="e">
        <f>VLOOKUP(AB464,#REF!,2,FALSE)</f>
        <v>#REF!</v>
      </c>
      <c r="AE464" t="e">
        <f>RIGHT(#REF!,(FIND("Complex",#REF!,1)-5))</f>
        <v>#REF!</v>
      </c>
    </row>
    <row r="465" spans="1:31" x14ac:dyDescent="0.25">
      <c r="A465">
        <v>3085</v>
      </c>
      <c r="B465" t="s">
        <v>244</v>
      </c>
      <c r="C465">
        <v>36</v>
      </c>
      <c r="D465">
        <v>720</v>
      </c>
      <c r="E465">
        <v>3085</v>
      </c>
      <c r="F465">
        <v>3528001</v>
      </c>
      <c r="G465">
        <v>3616200</v>
      </c>
      <c r="H465">
        <f t="shared" si="14"/>
        <v>80.000022675736957</v>
      </c>
      <c r="I465">
        <f t="shared" si="15"/>
        <v>82</v>
      </c>
      <c r="J465" t="s">
        <v>29</v>
      </c>
      <c r="K465">
        <v>4</v>
      </c>
      <c r="L465" t="e">
        <f t="array" ref="L465">VLOOKUP(J465:$J$3871&amp;K465:$K$3871,CHOOSE({1,2},#REF!&amp;#REF!,#REF!),2,0)</f>
        <v>#N/A</v>
      </c>
      <c r="M465">
        <v>0</v>
      </c>
      <c r="N465">
        <v>1</v>
      </c>
      <c r="O465" t="s">
        <v>23</v>
      </c>
      <c r="P465">
        <v>1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>
        <v>1</v>
      </c>
      <c r="AA465" t="s">
        <v>3626</v>
      </c>
      <c r="AB465" t="s">
        <v>6383</v>
      </c>
      <c r="AC465" t="s">
        <v>3626</v>
      </c>
      <c r="AD465" t="e">
        <f>VLOOKUP(AB465,#REF!,2,FALSE)</f>
        <v>#REF!</v>
      </c>
      <c r="AE465" t="e">
        <f>RIGHT(#REF!,(FIND("Complex",#REF!,1)-6))</f>
        <v>#REF!</v>
      </c>
    </row>
    <row r="466" spans="1:31" x14ac:dyDescent="0.25">
      <c r="A466">
        <v>2981</v>
      </c>
      <c r="B466" t="s">
        <v>244</v>
      </c>
      <c r="C466">
        <v>36</v>
      </c>
      <c r="D466">
        <v>675</v>
      </c>
      <c r="E466">
        <v>2981</v>
      </c>
      <c r="F466">
        <v>3439801</v>
      </c>
      <c r="G466">
        <v>3528000</v>
      </c>
      <c r="H466">
        <f t="shared" si="14"/>
        <v>78.000022675736957</v>
      </c>
      <c r="I466">
        <f t="shared" si="15"/>
        <v>80</v>
      </c>
      <c r="J466" t="s">
        <v>29</v>
      </c>
      <c r="K466">
        <v>4</v>
      </c>
      <c r="L466" t="e">
        <f t="array" ref="L466">VLOOKUP(J466:$J$3871&amp;K466:$K$3871,CHOOSE({1,2},#REF!&amp;#REF!,#REF!),2,0)</f>
        <v>#N/A</v>
      </c>
      <c r="M466">
        <v>0</v>
      </c>
      <c r="N466">
        <v>1</v>
      </c>
      <c r="O466" t="s">
        <v>23</v>
      </c>
      <c r="P466">
        <v>1</v>
      </c>
      <c r="Q466">
        <v>0</v>
      </c>
      <c r="R466">
        <v>0</v>
      </c>
      <c r="S466">
        <v>1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>
        <v>1</v>
      </c>
      <c r="AA466" t="s">
        <v>3655</v>
      </c>
      <c r="AB466" t="s">
        <v>1082</v>
      </c>
      <c r="AC466" t="s">
        <v>3655</v>
      </c>
      <c r="AD466" t="e">
        <f>VLOOKUP(AB466,#REF!,2,FALSE)</f>
        <v>#REF!</v>
      </c>
      <c r="AE466" t="e">
        <f>RIGHT(#REF!,(FIND("Complex",#REF!,1)-6))</f>
        <v>#REF!</v>
      </c>
    </row>
    <row r="467" spans="1:31" x14ac:dyDescent="0.25">
      <c r="A467">
        <v>2445</v>
      </c>
      <c r="B467" t="s">
        <v>244</v>
      </c>
      <c r="C467">
        <v>36</v>
      </c>
      <c r="D467">
        <v>466</v>
      </c>
      <c r="E467">
        <v>2445</v>
      </c>
      <c r="F467">
        <v>3351601</v>
      </c>
      <c r="G467">
        <v>3439800</v>
      </c>
      <c r="H467">
        <f t="shared" si="14"/>
        <v>76.000022675736957</v>
      </c>
      <c r="I467">
        <f t="shared" si="15"/>
        <v>78</v>
      </c>
      <c r="J467" t="s">
        <v>29</v>
      </c>
      <c r="K467">
        <v>4</v>
      </c>
      <c r="L467" t="e">
        <f t="array" ref="L467">VLOOKUP(J467:$J$3871&amp;K467:$K$3871,CHOOSE({1,2},#REF!&amp;#REF!,#REF!),2,0)</f>
        <v>#N/A</v>
      </c>
      <c r="M467">
        <v>0</v>
      </c>
      <c r="N467">
        <v>1</v>
      </c>
      <c r="O467" t="s">
        <v>23</v>
      </c>
      <c r="P467">
        <v>1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1</v>
      </c>
      <c r="Z467">
        <v>1</v>
      </c>
      <c r="AA467" t="s">
        <v>3669</v>
      </c>
      <c r="AB467" t="s">
        <v>1083</v>
      </c>
      <c r="AC467" t="s">
        <v>3669</v>
      </c>
      <c r="AD467" t="e">
        <f>VLOOKUP(AB467,#REF!,2,FALSE)</f>
        <v>#REF!</v>
      </c>
      <c r="AE467" t="e">
        <f>RIGHT(#REF!,(FIND("Complex",#REF!,1)-6))</f>
        <v>#REF!</v>
      </c>
    </row>
    <row r="468" spans="1:31" x14ac:dyDescent="0.25">
      <c r="A468">
        <v>2552</v>
      </c>
      <c r="B468" t="s">
        <v>244</v>
      </c>
      <c r="C468">
        <v>36</v>
      </c>
      <c r="D468">
        <v>509</v>
      </c>
      <c r="E468">
        <v>2552</v>
      </c>
      <c r="F468">
        <v>1411201</v>
      </c>
      <c r="G468">
        <v>1499400</v>
      </c>
      <c r="H468">
        <f t="shared" si="14"/>
        <v>32.000022675736965</v>
      </c>
      <c r="I468">
        <f t="shared" si="15"/>
        <v>34</v>
      </c>
      <c r="J468" t="s">
        <v>29</v>
      </c>
      <c r="K468">
        <v>4</v>
      </c>
      <c r="L468" t="e">
        <f t="array" ref="L468">VLOOKUP(J468:$J$3871&amp;K468:$K$3871,CHOOSE({1,2},#REF!&amp;#REF!,#REF!),2,0)</f>
        <v>#N/A</v>
      </c>
      <c r="M468">
        <v>0</v>
      </c>
      <c r="N468">
        <v>1</v>
      </c>
      <c r="O468" t="s">
        <v>23</v>
      </c>
      <c r="P468">
        <v>1</v>
      </c>
      <c r="Q468">
        <v>0</v>
      </c>
      <c r="R468">
        <v>0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1</v>
      </c>
      <c r="AA468" t="s">
        <v>4045</v>
      </c>
      <c r="AB468" t="s">
        <v>6624</v>
      </c>
      <c r="AC468" t="s">
        <v>4045</v>
      </c>
      <c r="AD468" t="e">
        <f>VLOOKUP(AB468,#REF!,2,FALSE)</f>
        <v>#REF!</v>
      </c>
      <c r="AE468" t="e">
        <f>RIGHT(#REF!,(FIND("Complex",#REF!,1)-6))</f>
        <v>#REF!</v>
      </c>
    </row>
    <row r="469" spans="1:31" x14ac:dyDescent="0.25">
      <c r="A469">
        <v>2697</v>
      </c>
      <c r="B469" t="s">
        <v>244</v>
      </c>
      <c r="C469">
        <v>36</v>
      </c>
      <c r="D469">
        <v>560</v>
      </c>
      <c r="E469">
        <v>2697</v>
      </c>
      <c r="F469">
        <v>1058401</v>
      </c>
      <c r="G469">
        <v>1146600</v>
      </c>
      <c r="H469">
        <f t="shared" si="14"/>
        <v>24.000022675736961</v>
      </c>
      <c r="I469">
        <f t="shared" si="15"/>
        <v>26</v>
      </c>
      <c r="J469" t="s">
        <v>29</v>
      </c>
      <c r="K469">
        <v>4</v>
      </c>
      <c r="L469" t="e">
        <f t="array" ref="L469">VLOOKUP(J469:$J$3871&amp;K469:$K$3871,CHOOSE({1,2},#REF!&amp;#REF!,#REF!),2,0)</f>
        <v>#N/A</v>
      </c>
      <c r="M469">
        <v>0</v>
      </c>
      <c r="N469">
        <v>1</v>
      </c>
      <c r="O469" t="s">
        <v>23</v>
      </c>
      <c r="P469">
        <v>1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1</v>
      </c>
      <c r="Y469">
        <v>0</v>
      </c>
      <c r="Z469">
        <v>1</v>
      </c>
      <c r="AA469" t="s">
        <v>4193</v>
      </c>
      <c r="AB469" t="s">
        <v>6732</v>
      </c>
      <c r="AC469" t="s">
        <v>4193</v>
      </c>
      <c r="AD469" t="e">
        <f>VLOOKUP(AB469,#REF!,2,FALSE)</f>
        <v>#REF!</v>
      </c>
      <c r="AE469" t="e">
        <f>RIGHT(#REF!,(FIND("Complex",#REF!,1)-6))</f>
        <v>#REF!</v>
      </c>
    </row>
    <row r="470" spans="1:31" x14ac:dyDescent="0.25">
      <c r="A470">
        <v>3233</v>
      </c>
      <c r="B470" t="s">
        <v>244</v>
      </c>
      <c r="C470">
        <v>36</v>
      </c>
      <c r="D470">
        <v>790</v>
      </c>
      <c r="E470">
        <v>3233</v>
      </c>
      <c r="F470">
        <v>7056001</v>
      </c>
      <c r="G470">
        <v>7144200</v>
      </c>
      <c r="H470">
        <f t="shared" si="14"/>
        <v>160.00002267573697</v>
      </c>
      <c r="I470">
        <f t="shared" si="15"/>
        <v>162</v>
      </c>
      <c r="J470" t="s">
        <v>29</v>
      </c>
      <c r="K470">
        <v>4</v>
      </c>
      <c r="L470" t="e">
        <f t="array" ref="L470">VLOOKUP(J470:$J$3871&amp;K470:$K$3871,CHOOSE({1,2},#REF!&amp;#REF!,#REF!),2,0)</f>
        <v>#N/A</v>
      </c>
      <c r="M470">
        <v>0</v>
      </c>
      <c r="N470">
        <v>1</v>
      </c>
      <c r="O470" t="s">
        <v>23</v>
      </c>
      <c r="P470">
        <v>1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1</v>
      </c>
      <c r="Y470">
        <v>0</v>
      </c>
      <c r="Z470">
        <v>1</v>
      </c>
      <c r="AA470" t="s">
        <v>4481</v>
      </c>
      <c r="AB470" t="s">
        <v>6912</v>
      </c>
      <c r="AC470" t="s">
        <v>4481</v>
      </c>
      <c r="AD470" t="e">
        <f>VLOOKUP(AB470,#REF!,2,FALSE)</f>
        <v>#REF!</v>
      </c>
      <c r="AE470" t="e">
        <f>RIGHT(#REF!,(FIND("Complex",#REF!,1)-5))</f>
        <v>#REF!</v>
      </c>
    </row>
    <row r="471" spans="1:31" x14ac:dyDescent="0.25">
      <c r="A471">
        <v>2899</v>
      </c>
      <c r="B471" t="s">
        <v>244</v>
      </c>
      <c r="C471">
        <v>36</v>
      </c>
      <c r="D471">
        <v>635</v>
      </c>
      <c r="E471">
        <v>2899</v>
      </c>
      <c r="F471">
        <v>6879601</v>
      </c>
      <c r="G471">
        <v>6967800</v>
      </c>
      <c r="H471">
        <f t="shared" si="14"/>
        <v>156.00002267573697</v>
      </c>
      <c r="I471">
        <f t="shared" si="15"/>
        <v>158</v>
      </c>
      <c r="J471" t="s">
        <v>29</v>
      </c>
      <c r="K471">
        <v>4</v>
      </c>
      <c r="L471" t="e">
        <f t="array" ref="L471">VLOOKUP(J471:$J$3871&amp;K471:$K$3871,CHOOSE({1,2},#REF!&amp;#REF!,#REF!),2,0)</f>
        <v>#N/A</v>
      </c>
      <c r="M471">
        <v>0</v>
      </c>
      <c r="N471">
        <v>1</v>
      </c>
      <c r="O471" t="s">
        <v>23</v>
      </c>
      <c r="P471">
        <v>1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1</v>
      </c>
      <c r="AA471" t="s">
        <v>4520</v>
      </c>
      <c r="AB471" t="s">
        <v>6938</v>
      </c>
      <c r="AC471" t="s">
        <v>4520</v>
      </c>
      <c r="AD471" t="e">
        <f>VLOOKUP(AB471,#REF!,2,FALSE)</f>
        <v>#REF!</v>
      </c>
      <c r="AE471" t="e">
        <f>RIGHT(#REF!,(FIND("Complex",#REF!,1)-5))</f>
        <v>#REF!</v>
      </c>
    </row>
    <row r="472" spans="1:31" x14ac:dyDescent="0.25">
      <c r="A472">
        <v>1540</v>
      </c>
      <c r="B472" t="s">
        <v>244</v>
      </c>
      <c r="C472">
        <v>36</v>
      </c>
      <c r="D472">
        <v>259</v>
      </c>
      <c r="E472">
        <v>1540</v>
      </c>
      <c r="F472">
        <v>6791401</v>
      </c>
      <c r="G472">
        <v>6879600</v>
      </c>
      <c r="H472">
        <f t="shared" si="14"/>
        <v>154.00002267573697</v>
      </c>
      <c r="I472">
        <f t="shared" si="15"/>
        <v>156</v>
      </c>
      <c r="J472" t="s">
        <v>29</v>
      </c>
      <c r="K472">
        <v>4</v>
      </c>
      <c r="L472" t="e">
        <f t="array" ref="L472">VLOOKUP(J472:$J$3871&amp;K472:$K$3871,CHOOSE({1,2},#REF!&amp;#REF!,#REF!),2,0)</f>
        <v>#N/A</v>
      </c>
      <c r="M472">
        <v>0</v>
      </c>
      <c r="N472">
        <v>1</v>
      </c>
      <c r="O472" t="s">
        <v>23</v>
      </c>
      <c r="P472">
        <v>1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1</v>
      </c>
      <c r="AA472" t="s">
        <v>4529</v>
      </c>
      <c r="AB472" t="s">
        <v>6946</v>
      </c>
      <c r="AC472" t="s">
        <v>4529</v>
      </c>
      <c r="AD472" t="e">
        <f>VLOOKUP(AB472,#REF!,2,FALSE)</f>
        <v>#REF!</v>
      </c>
      <c r="AE472" t="e">
        <f>RIGHT(#REF!,(FIND("Complex",#REF!,1)-5))</f>
        <v>#REF!</v>
      </c>
    </row>
    <row r="473" spans="1:31" x14ac:dyDescent="0.25">
      <c r="A473">
        <v>280</v>
      </c>
      <c r="B473" t="s">
        <v>244</v>
      </c>
      <c r="C473">
        <v>36</v>
      </c>
      <c r="D473">
        <v>53</v>
      </c>
      <c r="E473">
        <v>280</v>
      </c>
      <c r="F473">
        <v>6703201</v>
      </c>
      <c r="G473">
        <v>6791400</v>
      </c>
      <c r="H473">
        <f t="shared" si="14"/>
        <v>152.00002267573697</v>
      </c>
      <c r="I473">
        <f t="shared" si="15"/>
        <v>154</v>
      </c>
      <c r="J473" t="s">
        <v>29</v>
      </c>
      <c r="K473">
        <v>4</v>
      </c>
      <c r="L473" t="e">
        <f t="array" ref="L473">VLOOKUP(J473:$J$3871&amp;K473:$K$3871,CHOOSE({1,2},#REF!&amp;#REF!,#REF!),2,0)</f>
        <v>#N/A</v>
      </c>
      <c r="M473">
        <v>0</v>
      </c>
      <c r="N473">
        <v>1</v>
      </c>
      <c r="O473" t="s">
        <v>23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1</v>
      </c>
      <c r="AA473" t="s">
        <v>4538</v>
      </c>
      <c r="AB473" t="s">
        <v>6952</v>
      </c>
      <c r="AC473" t="s">
        <v>4538</v>
      </c>
      <c r="AD473" t="e">
        <f>VLOOKUP(AB473,#REF!,2,FALSE)</f>
        <v>#REF!</v>
      </c>
      <c r="AE473" t="e">
        <f>RIGHT(#REF!,(FIND("Complex",#REF!,1)-4))</f>
        <v>#REF!</v>
      </c>
    </row>
    <row r="474" spans="1:31" x14ac:dyDescent="0.25">
      <c r="A474">
        <v>3370</v>
      </c>
      <c r="B474" t="s">
        <v>244</v>
      </c>
      <c r="C474">
        <v>36</v>
      </c>
      <c r="D474">
        <v>860</v>
      </c>
      <c r="E474">
        <v>3370</v>
      </c>
      <c r="F474">
        <v>6615001</v>
      </c>
      <c r="G474">
        <v>6703200</v>
      </c>
      <c r="H474">
        <f t="shared" si="14"/>
        <v>150.00002267573697</v>
      </c>
      <c r="I474">
        <f t="shared" si="15"/>
        <v>152</v>
      </c>
      <c r="J474" t="s">
        <v>29</v>
      </c>
      <c r="K474">
        <v>4</v>
      </c>
      <c r="L474" t="e">
        <f t="array" ref="L474">VLOOKUP(J474:$J$3871&amp;K474:$K$3871,CHOOSE({1,2},#REF!&amp;#REF!,#REF!),2,0)</f>
        <v>#N/A</v>
      </c>
      <c r="M474">
        <v>0</v>
      </c>
      <c r="N474">
        <v>1</v>
      </c>
      <c r="O474" t="s">
        <v>23</v>
      </c>
      <c r="P474">
        <v>1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1</v>
      </c>
      <c r="AA474" t="s">
        <v>4552</v>
      </c>
      <c r="AB474" t="s">
        <v>1084</v>
      </c>
      <c r="AC474" t="s">
        <v>4552</v>
      </c>
      <c r="AD474" t="e">
        <f>VLOOKUP(AB474,#REF!,2,FALSE)</f>
        <v>#REF!</v>
      </c>
      <c r="AE474" t="e">
        <f>RIGHT(#REF!,(FIND("Complex",#REF!,1)-5))</f>
        <v>#REF!</v>
      </c>
    </row>
    <row r="475" spans="1:31" x14ac:dyDescent="0.25">
      <c r="A475">
        <v>3049</v>
      </c>
      <c r="B475" t="s">
        <v>244</v>
      </c>
      <c r="C475">
        <v>36</v>
      </c>
      <c r="D475">
        <v>702</v>
      </c>
      <c r="E475">
        <v>3049</v>
      </c>
      <c r="F475">
        <v>6526801</v>
      </c>
      <c r="G475">
        <v>6615000</v>
      </c>
      <c r="H475">
        <f t="shared" si="14"/>
        <v>148.00002267573697</v>
      </c>
      <c r="I475">
        <f t="shared" si="15"/>
        <v>150</v>
      </c>
      <c r="J475" t="s">
        <v>29</v>
      </c>
      <c r="K475">
        <v>4</v>
      </c>
      <c r="L475" t="e">
        <f t="array" ref="L475">VLOOKUP(J475:$J$3871&amp;K475:$K$3871,CHOOSE({1,2},#REF!&amp;#REF!,#REF!),2,0)</f>
        <v>#N/A</v>
      </c>
      <c r="M475">
        <v>0</v>
      </c>
      <c r="N475">
        <v>1</v>
      </c>
      <c r="O475" t="s">
        <v>23</v>
      </c>
      <c r="P475">
        <v>1</v>
      </c>
      <c r="Q475">
        <v>0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1</v>
      </c>
      <c r="AA475" t="s">
        <v>4560</v>
      </c>
      <c r="AB475" t="s">
        <v>1085</v>
      </c>
      <c r="AC475" t="s">
        <v>4560</v>
      </c>
      <c r="AD475" t="e">
        <f>VLOOKUP(AB475,#REF!,2,FALSE)</f>
        <v>#REF!</v>
      </c>
      <c r="AE475" t="e">
        <f>RIGHT(#REF!,(FIND("Complex",#REF!,1)-5))</f>
        <v>#REF!</v>
      </c>
    </row>
    <row r="476" spans="1:31" x14ac:dyDescent="0.25">
      <c r="A476">
        <v>2671</v>
      </c>
      <c r="B476" t="s">
        <v>244</v>
      </c>
      <c r="C476">
        <v>36</v>
      </c>
      <c r="D476">
        <v>548</v>
      </c>
      <c r="E476">
        <v>2671</v>
      </c>
      <c r="F476">
        <v>6438601</v>
      </c>
      <c r="G476">
        <v>6526800</v>
      </c>
      <c r="H476">
        <f t="shared" si="14"/>
        <v>146.00002267573697</v>
      </c>
      <c r="I476">
        <f t="shared" si="15"/>
        <v>148</v>
      </c>
      <c r="J476" t="s">
        <v>29</v>
      </c>
      <c r="K476">
        <v>4</v>
      </c>
      <c r="L476" t="e">
        <f t="array" ref="L476">VLOOKUP(J476:$J$3871&amp;K476:$K$3871,CHOOSE({1,2},#REF!&amp;#REF!,#REF!),2,0)</f>
        <v>#N/A</v>
      </c>
      <c r="M476">
        <v>0</v>
      </c>
      <c r="N476">
        <v>1</v>
      </c>
      <c r="O476" t="s">
        <v>23</v>
      </c>
      <c r="P476">
        <v>1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1</v>
      </c>
      <c r="AA476" t="s">
        <v>4569</v>
      </c>
      <c r="AB476" t="s">
        <v>1086</v>
      </c>
      <c r="AC476" t="s">
        <v>4569</v>
      </c>
      <c r="AD476" t="e">
        <f>VLOOKUP(AB476,#REF!,2,FALSE)</f>
        <v>#REF!</v>
      </c>
      <c r="AE476" t="e">
        <f>RIGHT(#REF!,(FIND("Complex",#REF!,1)-5))</f>
        <v>#REF!</v>
      </c>
    </row>
    <row r="477" spans="1:31" x14ac:dyDescent="0.25">
      <c r="A477">
        <v>3149</v>
      </c>
      <c r="B477" t="s">
        <v>244</v>
      </c>
      <c r="C477">
        <v>36</v>
      </c>
      <c r="D477">
        <v>744</v>
      </c>
      <c r="E477">
        <v>3149</v>
      </c>
      <c r="F477">
        <v>6350401</v>
      </c>
      <c r="G477">
        <v>6438600</v>
      </c>
      <c r="H477">
        <f t="shared" si="14"/>
        <v>144.00002267573697</v>
      </c>
      <c r="I477">
        <f t="shared" si="15"/>
        <v>146</v>
      </c>
      <c r="J477" t="s">
        <v>29</v>
      </c>
      <c r="K477">
        <v>4</v>
      </c>
      <c r="L477" t="e">
        <f t="array" ref="L477">VLOOKUP(J477:$J$3871&amp;K477:$K$3871,CHOOSE({1,2},#REF!&amp;#REF!,#REF!),2,0)</f>
        <v>#N/A</v>
      </c>
      <c r="M477">
        <v>0</v>
      </c>
      <c r="N477">
        <v>1</v>
      </c>
      <c r="O477" t="s">
        <v>23</v>
      </c>
      <c r="P477">
        <v>1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1</v>
      </c>
      <c r="AA477" t="s">
        <v>4581</v>
      </c>
      <c r="AB477" t="s">
        <v>6982</v>
      </c>
      <c r="AC477" t="s">
        <v>4581</v>
      </c>
      <c r="AD477" t="e">
        <f>VLOOKUP(AB477,#REF!,2,FALSE)</f>
        <v>#REF!</v>
      </c>
      <c r="AE477" t="e">
        <f>RIGHT(#REF!,(FIND("Complex",#REF!,1)-5))</f>
        <v>#REF!</v>
      </c>
    </row>
    <row r="478" spans="1:31" x14ac:dyDescent="0.25">
      <c r="A478">
        <v>3395</v>
      </c>
      <c r="B478" t="s">
        <v>244</v>
      </c>
      <c r="C478">
        <v>36</v>
      </c>
      <c r="D478">
        <v>875</v>
      </c>
      <c r="E478">
        <v>3395</v>
      </c>
      <c r="F478">
        <v>6262201</v>
      </c>
      <c r="G478">
        <v>6350400</v>
      </c>
      <c r="H478">
        <f t="shared" si="14"/>
        <v>142.00002267573697</v>
      </c>
      <c r="I478">
        <f t="shared" si="15"/>
        <v>144</v>
      </c>
      <c r="J478" t="s">
        <v>29</v>
      </c>
      <c r="K478">
        <v>4</v>
      </c>
      <c r="L478" t="e">
        <f t="array" ref="L478">VLOOKUP(J478:$J$3871&amp;K478:$K$3871,CHOOSE({1,2},#REF!&amp;#REF!,#REF!),2,0)</f>
        <v>#N/A</v>
      </c>
      <c r="M478">
        <v>0</v>
      </c>
      <c r="N478">
        <v>1</v>
      </c>
      <c r="O478" t="s">
        <v>23</v>
      </c>
      <c r="P478">
        <v>1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1</v>
      </c>
      <c r="AA478" t="s">
        <v>4588</v>
      </c>
      <c r="AB478" t="s">
        <v>6987</v>
      </c>
      <c r="AC478" t="s">
        <v>4588</v>
      </c>
      <c r="AD478" t="e">
        <f>VLOOKUP(AB478,#REF!,2,FALSE)</f>
        <v>#REF!</v>
      </c>
      <c r="AE478" t="e">
        <f>RIGHT(#REF!,(FIND("Complex",#REF!,1)-5))</f>
        <v>#REF!</v>
      </c>
    </row>
    <row r="479" spans="1:31" x14ac:dyDescent="0.25">
      <c r="A479">
        <v>4</v>
      </c>
      <c r="B479" t="s">
        <v>244</v>
      </c>
      <c r="C479">
        <v>36</v>
      </c>
      <c r="D479">
        <v>2</v>
      </c>
      <c r="E479">
        <v>4</v>
      </c>
      <c r="F479">
        <v>6174001</v>
      </c>
      <c r="G479">
        <v>6262200</v>
      </c>
      <c r="H479">
        <f t="shared" si="14"/>
        <v>140.00002267573697</v>
      </c>
      <c r="I479">
        <f t="shared" si="15"/>
        <v>142</v>
      </c>
      <c r="J479" t="s">
        <v>29</v>
      </c>
      <c r="K479">
        <v>4</v>
      </c>
      <c r="L479" t="e">
        <f t="array" ref="L479">VLOOKUP(J479:$J$3871&amp;K479:$K$3871,CHOOSE({1,2},#REF!&amp;#REF!,#REF!),2,0)</f>
        <v>#N/A</v>
      </c>
      <c r="M479">
        <v>0</v>
      </c>
      <c r="N479">
        <v>1</v>
      </c>
      <c r="O479" t="s">
        <v>23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1</v>
      </c>
      <c r="AA479" t="s">
        <v>4598</v>
      </c>
      <c r="AB479" t="s">
        <v>6992</v>
      </c>
      <c r="AC479" t="s">
        <v>4598</v>
      </c>
      <c r="AD479" t="e">
        <f>VLOOKUP(AB479,#REF!,2,FALSE)</f>
        <v>#REF!</v>
      </c>
      <c r="AE479" t="e">
        <f>RIGHT(#REF!,(FIND("Complex",#REF!,1)-2))</f>
        <v>#REF!</v>
      </c>
    </row>
    <row r="480" spans="1:31" x14ac:dyDescent="0.25">
      <c r="A480">
        <v>2225</v>
      </c>
      <c r="B480" t="s">
        <v>244</v>
      </c>
      <c r="C480">
        <v>36</v>
      </c>
      <c r="D480">
        <v>405</v>
      </c>
      <c r="E480">
        <v>2225</v>
      </c>
      <c r="F480">
        <v>5997601</v>
      </c>
      <c r="G480">
        <v>6085800</v>
      </c>
      <c r="H480">
        <f t="shared" si="14"/>
        <v>136.00002267573697</v>
      </c>
      <c r="I480">
        <f t="shared" si="15"/>
        <v>138</v>
      </c>
      <c r="J480" t="s">
        <v>29</v>
      </c>
      <c r="K480">
        <v>4</v>
      </c>
      <c r="L480" t="e">
        <f t="array" ref="L480">VLOOKUP(J480:$J$3871&amp;K480:$K$3871,CHOOSE({1,2},#REF!&amp;#REF!,#REF!),2,0)</f>
        <v>#N/A</v>
      </c>
      <c r="M480">
        <v>0</v>
      </c>
      <c r="N480">
        <v>1</v>
      </c>
      <c r="O480" t="s">
        <v>23</v>
      </c>
      <c r="P480">
        <v>1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1</v>
      </c>
      <c r="AA480" t="s">
        <v>4645</v>
      </c>
      <c r="AB480" t="s">
        <v>1087</v>
      </c>
      <c r="AC480" t="s">
        <v>4645</v>
      </c>
      <c r="AD480" t="e">
        <f>VLOOKUP(AB480,#REF!,2,FALSE)</f>
        <v>#REF!</v>
      </c>
      <c r="AE480" t="e">
        <f>RIGHT(#REF!,(FIND("Complex",#REF!,1)-5))</f>
        <v>#REF!</v>
      </c>
    </row>
    <row r="481" spans="1:31" x14ac:dyDescent="0.25">
      <c r="A481">
        <v>2853</v>
      </c>
      <c r="B481" t="s">
        <v>244</v>
      </c>
      <c r="C481">
        <v>36</v>
      </c>
      <c r="D481">
        <v>619</v>
      </c>
      <c r="E481">
        <v>2853</v>
      </c>
      <c r="F481">
        <v>5909401</v>
      </c>
      <c r="G481">
        <v>5997600</v>
      </c>
      <c r="H481">
        <f t="shared" si="14"/>
        <v>134.00002267573697</v>
      </c>
      <c r="I481">
        <f t="shared" si="15"/>
        <v>136</v>
      </c>
      <c r="J481" t="s">
        <v>29</v>
      </c>
      <c r="K481">
        <v>4</v>
      </c>
      <c r="L481" t="e">
        <f t="array" ref="L481">VLOOKUP(J481:$J$3871&amp;K481:$K$3871,CHOOSE({1,2},#REF!&amp;#REF!,#REF!),2,0)</f>
        <v>#N/A</v>
      </c>
      <c r="M481">
        <v>0</v>
      </c>
      <c r="N481">
        <v>1</v>
      </c>
      <c r="O481" t="s">
        <v>23</v>
      </c>
      <c r="P481">
        <v>1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1</v>
      </c>
      <c r="AA481" t="s">
        <v>4655</v>
      </c>
      <c r="AB481" t="s">
        <v>1088</v>
      </c>
      <c r="AC481" t="s">
        <v>4655</v>
      </c>
      <c r="AD481" t="e">
        <f>VLOOKUP(AB481,#REF!,2,FALSE)</f>
        <v>#REF!</v>
      </c>
      <c r="AE481" t="e">
        <f>RIGHT(#REF!,(FIND("Complex",#REF!,1)-5))</f>
        <v>#REF!</v>
      </c>
    </row>
    <row r="482" spans="1:31" x14ac:dyDescent="0.25">
      <c r="A482">
        <v>912</v>
      </c>
      <c r="B482" t="s">
        <v>244</v>
      </c>
      <c r="C482">
        <v>36</v>
      </c>
      <c r="D482">
        <v>159</v>
      </c>
      <c r="E482">
        <v>912</v>
      </c>
      <c r="F482">
        <v>5821201</v>
      </c>
      <c r="G482">
        <v>5909400</v>
      </c>
      <c r="H482">
        <f t="shared" si="14"/>
        <v>132.00002267573697</v>
      </c>
      <c r="I482">
        <f t="shared" si="15"/>
        <v>134</v>
      </c>
      <c r="J482" t="s">
        <v>29</v>
      </c>
      <c r="K482">
        <v>4</v>
      </c>
      <c r="L482" t="e">
        <f t="array" ref="L482">VLOOKUP(J482:$J$3871&amp;K482:$K$3871,CHOOSE({1,2},#REF!&amp;#REF!,#REF!),2,0)</f>
        <v>#N/A</v>
      </c>
      <c r="M482">
        <v>0</v>
      </c>
      <c r="N482">
        <v>1</v>
      </c>
      <c r="O482" t="s">
        <v>23</v>
      </c>
      <c r="P482">
        <v>1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1</v>
      </c>
      <c r="AA482" t="s">
        <v>4667</v>
      </c>
      <c r="AB482" t="s">
        <v>7035</v>
      </c>
      <c r="AC482" t="s">
        <v>4667</v>
      </c>
      <c r="AD482" t="e">
        <f>VLOOKUP(AB482,#REF!,2,FALSE)</f>
        <v>#REF!</v>
      </c>
      <c r="AE482" t="e">
        <f>RIGHT(#REF!,(FIND("Complex",#REF!,1)-4))</f>
        <v>#REF!</v>
      </c>
    </row>
    <row r="483" spans="1:31" x14ac:dyDescent="0.25">
      <c r="A483">
        <v>1591</v>
      </c>
      <c r="B483" t="s">
        <v>244</v>
      </c>
      <c r="C483">
        <v>36</v>
      </c>
      <c r="D483">
        <v>275</v>
      </c>
      <c r="E483">
        <v>1591</v>
      </c>
      <c r="F483">
        <v>5733001</v>
      </c>
      <c r="G483">
        <v>5821200</v>
      </c>
      <c r="H483">
        <f t="shared" si="14"/>
        <v>130.00002267573697</v>
      </c>
      <c r="I483">
        <f t="shared" si="15"/>
        <v>132</v>
      </c>
      <c r="J483" t="s">
        <v>29</v>
      </c>
      <c r="K483">
        <v>4</v>
      </c>
      <c r="L483" t="e">
        <f t="array" ref="L483">VLOOKUP(J483:$J$3871&amp;K483:$K$3871,CHOOSE({1,2},#REF!&amp;#REF!,#REF!),2,0)</f>
        <v>#N/A</v>
      </c>
      <c r="M483">
        <v>0</v>
      </c>
      <c r="N483">
        <v>1</v>
      </c>
      <c r="O483" t="s">
        <v>23</v>
      </c>
      <c r="P483">
        <v>1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1</v>
      </c>
      <c r="AA483" t="s">
        <v>4674</v>
      </c>
      <c r="AB483" t="s">
        <v>1089</v>
      </c>
      <c r="AC483" t="s">
        <v>4674</v>
      </c>
      <c r="AD483" t="e">
        <f>VLOOKUP(AB483,#REF!,2,FALSE)</f>
        <v>#REF!</v>
      </c>
      <c r="AE483" t="e">
        <f>RIGHT(#REF!,(FIND("Complex",#REF!,1)-5))</f>
        <v>#REF!</v>
      </c>
    </row>
    <row r="484" spans="1:31" x14ac:dyDescent="0.25">
      <c r="A484">
        <v>3080</v>
      </c>
      <c r="B484" t="s">
        <v>50</v>
      </c>
      <c r="C484">
        <v>38</v>
      </c>
      <c r="D484">
        <v>716</v>
      </c>
      <c r="E484">
        <v>3080</v>
      </c>
      <c r="F484">
        <v>3263401</v>
      </c>
      <c r="G484">
        <v>3351600</v>
      </c>
      <c r="H484">
        <f t="shared" si="14"/>
        <v>74.000022675736957</v>
      </c>
      <c r="I484">
        <f t="shared" si="15"/>
        <v>76</v>
      </c>
      <c r="J484" t="s">
        <v>29</v>
      </c>
      <c r="K484">
        <v>4</v>
      </c>
      <c r="L484" t="e">
        <f t="array" ref="L484">VLOOKUP(J484:$J$3871&amp;K484:$K$3871,CHOOSE({1,2},#REF!&amp;#REF!,#REF!),2,0)</f>
        <v>#N/A</v>
      </c>
      <c r="M484">
        <v>0</v>
      </c>
      <c r="N484">
        <v>1</v>
      </c>
      <c r="O484" t="s">
        <v>23</v>
      </c>
      <c r="P484">
        <v>1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1</v>
      </c>
      <c r="Y484">
        <v>0</v>
      </c>
      <c r="Z484">
        <v>0</v>
      </c>
      <c r="AA484" t="s">
        <v>3680</v>
      </c>
      <c r="AB484" t="s">
        <v>6410</v>
      </c>
      <c r="AC484" t="s">
        <v>3680</v>
      </c>
      <c r="AD484" t="e">
        <f>VLOOKUP(AB484,#REF!,2,FALSE)</f>
        <v>#REF!</v>
      </c>
      <c r="AE484" t="e">
        <f>RIGHT(#REF!,(FIND("Complex",#REF!,1)-6))</f>
        <v>#REF!</v>
      </c>
    </row>
    <row r="485" spans="1:31" x14ac:dyDescent="0.25">
      <c r="A485">
        <v>1364</v>
      </c>
      <c r="B485" t="s">
        <v>50</v>
      </c>
      <c r="C485">
        <v>38</v>
      </c>
      <c r="D485">
        <v>231</v>
      </c>
      <c r="E485">
        <v>1364</v>
      </c>
      <c r="F485">
        <v>2646001</v>
      </c>
      <c r="G485">
        <v>2734200</v>
      </c>
      <c r="H485">
        <f t="shared" si="14"/>
        <v>60.000022675736965</v>
      </c>
      <c r="I485">
        <f t="shared" si="15"/>
        <v>62</v>
      </c>
      <c r="J485" t="s">
        <v>29</v>
      </c>
      <c r="K485">
        <v>4</v>
      </c>
      <c r="L485" t="e">
        <f t="array" ref="L485">VLOOKUP(J485:$J$3871&amp;K485:$K$3871,CHOOSE({1,2},#REF!&amp;#REF!,#REF!),2,0)</f>
        <v>#N/A</v>
      </c>
      <c r="M485">
        <v>0</v>
      </c>
      <c r="N485">
        <v>1</v>
      </c>
      <c r="O485" t="s">
        <v>23</v>
      </c>
      <c r="P485">
        <v>1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1</v>
      </c>
      <c r="Y485">
        <v>0</v>
      </c>
      <c r="Z485">
        <v>0</v>
      </c>
      <c r="AA485" t="s">
        <v>3787</v>
      </c>
      <c r="AB485" t="s">
        <v>6479</v>
      </c>
      <c r="AC485" t="s">
        <v>3787</v>
      </c>
      <c r="AD485" t="e">
        <f>VLOOKUP(AB485,#REF!,2,FALSE)</f>
        <v>#REF!</v>
      </c>
      <c r="AE485" t="e">
        <f>RIGHT(#REF!,(FIND("Complex",#REF!,1)-6))</f>
        <v>#REF!</v>
      </c>
    </row>
    <row r="486" spans="1:31" x14ac:dyDescent="0.25">
      <c r="A486">
        <v>1727</v>
      </c>
      <c r="B486" t="s">
        <v>50</v>
      </c>
      <c r="C486">
        <v>38</v>
      </c>
      <c r="D486">
        <v>297</v>
      </c>
      <c r="E486">
        <v>1727</v>
      </c>
      <c r="F486">
        <v>6438601</v>
      </c>
      <c r="G486">
        <v>6526800</v>
      </c>
      <c r="H486">
        <f t="shared" si="14"/>
        <v>146.00002267573697</v>
      </c>
      <c r="I486">
        <f t="shared" si="15"/>
        <v>148</v>
      </c>
      <c r="J486" t="s">
        <v>29</v>
      </c>
      <c r="K486">
        <v>4</v>
      </c>
      <c r="L486" t="e">
        <f t="array" ref="L486">VLOOKUP(J486:$J$3871&amp;K486:$K$3871,CHOOSE({1,2},#REF!&amp;#REF!,#REF!),2,0)</f>
        <v>#N/A</v>
      </c>
      <c r="M486">
        <v>0</v>
      </c>
      <c r="N486">
        <v>1</v>
      </c>
      <c r="O486" t="s">
        <v>23</v>
      </c>
      <c r="P486">
        <v>1</v>
      </c>
      <c r="Q486">
        <v>1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1</v>
      </c>
      <c r="Y486">
        <v>0</v>
      </c>
      <c r="Z486">
        <v>0</v>
      </c>
      <c r="AA486" t="s">
        <v>4567</v>
      </c>
      <c r="AB486" t="s">
        <v>6972</v>
      </c>
      <c r="AC486" t="s">
        <v>4567</v>
      </c>
      <c r="AD486" t="e">
        <f>VLOOKUP(AB486,#REF!,2,FALSE)</f>
        <v>#REF!</v>
      </c>
      <c r="AE486" t="e">
        <f>RIGHT(#REF!,(FIND("Complex",#REF!,1)-5))</f>
        <v>#REF!</v>
      </c>
    </row>
    <row r="487" spans="1:31" x14ac:dyDescent="0.25">
      <c r="A487">
        <v>3195</v>
      </c>
      <c r="B487" t="s">
        <v>50</v>
      </c>
      <c r="C487">
        <v>38</v>
      </c>
      <c r="D487">
        <v>768</v>
      </c>
      <c r="E487">
        <v>3195</v>
      </c>
      <c r="F487">
        <v>6350401</v>
      </c>
      <c r="G487">
        <v>6438600</v>
      </c>
      <c r="H487">
        <f t="shared" si="14"/>
        <v>144.00002267573697</v>
      </c>
      <c r="I487">
        <f t="shared" si="15"/>
        <v>146</v>
      </c>
      <c r="J487" t="s">
        <v>29</v>
      </c>
      <c r="K487">
        <v>4</v>
      </c>
      <c r="L487" t="e">
        <f t="array" ref="L487">VLOOKUP(J487:$J$3871&amp;K487:$K$3871,CHOOSE({1,2},#REF!&amp;#REF!,#REF!),2,0)</f>
        <v>#N/A</v>
      </c>
      <c r="M487">
        <v>0</v>
      </c>
      <c r="N487">
        <v>1</v>
      </c>
      <c r="O487" t="s">
        <v>23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0</v>
      </c>
      <c r="AA487" t="s">
        <v>4579</v>
      </c>
      <c r="AB487" t="s">
        <v>6980</v>
      </c>
      <c r="AC487" t="s">
        <v>4579</v>
      </c>
      <c r="AD487" t="e">
        <f>VLOOKUP(AB487,#REF!,2,FALSE)</f>
        <v>#REF!</v>
      </c>
      <c r="AE487" t="e">
        <f>RIGHT(#REF!,(FIND("Complex",#REF!,1)-5))</f>
        <v>#REF!</v>
      </c>
    </row>
    <row r="488" spans="1:31" x14ac:dyDescent="0.25">
      <c r="A488">
        <v>3332</v>
      </c>
      <c r="B488" t="s">
        <v>88</v>
      </c>
      <c r="C488">
        <v>39</v>
      </c>
      <c r="D488">
        <v>841</v>
      </c>
      <c r="E488">
        <v>3332</v>
      </c>
      <c r="F488">
        <v>2469601</v>
      </c>
      <c r="G488">
        <v>2557800</v>
      </c>
      <c r="H488">
        <f t="shared" si="14"/>
        <v>56.000022675736965</v>
      </c>
      <c r="I488">
        <f t="shared" si="15"/>
        <v>58</v>
      </c>
      <c r="J488" t="s">
        <v>29</v>
      </c>
      <c r="K488">
        <v>4</v>
      </c>
      <c r="L488" t="e">
        <f t="array" ref="L488">VLOOKUP(J488:$J$3871&amp;K488:$K$3871,CHOOSE({1,2},#REF!&amp;#REF!,#REF!),2,0)</f>
        <v>#N/A</v>
      </c>
      <c r="M488">
        <v>0</v>
      </c>
      <c r="N488">
        <v>1</v>
      </c>
      <c r="O488" t="s">
        <v>23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1</v>
      </c>
      <c r="Y488">
        <v>1</v>
      </c>
      <c r="Z488">
        <v>0</v>
      </c>
      <c r="AA488" t="s">
        <v>3837</v>
      </c>
      <c r="AB488" t="s">
        <v>6503</v>
      </c>
      <c r="AC488" t="s">
        <v>3837</v>
      </c>
      <c r="AD488" t="e">
        <f>VLOOKUP(AB488,#REF!,2,FALSE)</f>
        <v>#REF!</v>
      </c>
      <c r="AE488" t="e">
        <f>RIGHT(#REF!,(FIND("Complex",#REF!,1)-6))</f>
        <v>#REF!</v>
      </c>
    </row>
    <row r="489" spans="1:31" x14ac:dyDescent="0.25">
      <c r="A489">
        <v>2969</v>
      </c>
      <c r="B489" t="s">
        <v>88</v>
      </c>
      <c r="C489">
        <v>39</v>
      </c>
      <c r="D489">
        <v>669</v>
      </c>
      <c r="E489">
        <v>2969</v>
      </c>
      <c r="F489">
        <v>1940401</v>
      </c>
      <c r="G489">
        <v>2028600</v>
      </c>
      <c r="H489">
        <f t="shared" si="14"/>
        <v>44.000022675736965</v>
      </c>
      <c r="I489">
        <f t="shared" si="15"/>
        <v>46</v>
      </c>
      <c r="J489" t="s">
        <v>29</v>
      </c>
      <c r="K489">
        <v>4</v>
      </c>
      <c r="L489" t="e">
        <f t="array" ref="L489">VLOOKUP(J489:$J$3871&amp;K489:$K$3871,CHOOSE({1,2},#REF!&amp;#REF!,#REF!),2,0)</f>
        <v>#N/A</v>
      </c>
      <c r="M489">
        <v>0</v>
      </c>
      <c r="N489">
        <v>1</v>
      </c>
      <c r="O489" t="s">
        <v>23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1</v>
      </c>
      <c r="Y489">
        <v>0</v>
      </c>
      <c r="Z489">
        <v>0</v>
      </c>
      <c r="AA489" t="s">
        <v>3915</v>
      </c>
      <c r="AB489" t="s">
        <v>6547</v>
      </c>
      <c r="AC489" t="s">
        <v>3915</v>
      </c>
      <c r="AD489" t="e">
        <f>VLOOKUP(AB489,#REF!,2,FALSE)</f>
        <v>#REF!</v>
      </c>
      <c r="AE489" t="e">
        <f>RIGHT(#REF!,(FIND("Complex",#REF!,1)-6))</f>
        <v>#REF!</v>
      </c>
    </row>
    <row r="490" spans="1:31" x14ac:dyDescent="0.25">
      <c r="A490">
        <v>1800</v>
      </c>
      <c r="B490" t="s">
        <v>88</v>
      </c>
      <c r="C490">
        <v>39</v>
      </c>
      <c r="D490">
        <v>310</v>
      </c>
      <c r="E490">
        <v>1800</v>
      </c>
      <c r="F490">
        <v>1852201</v>
      </c>
      <c r="G490">
        <v>1940400</v>
      </c>
      <c r="H490">
        <f t="shared" si="14"/>
        <v>42.000022675736965</v>
      </c>
      <c r="I490">
        <f t="shared" si="15"/>
        <v>44</v>
      </c>
      <c r="J490" t="s">
        <v>29</v>
      </c>
      <c r="K490">
        <v>4</v>
      </c>
      <c r="L490" t="e">
        <f t="array" ref="L490">VLOOKUP(J490:$J$3871&amp;K490:$K$3871,CHOOSE({1,2},#REF!&amp;#REF!,#REF!),2,0)</f>
        <v>#N/A</v>
      </c>
      <c r="M490">
        <v>0</v>
      </c>
      <c r="N490">
        <v>1</v>
      </c>
      <c r="O490" t="s">
        <v>23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1</v>
      </c>
      <c r="Y490">
        <v>1</v>
      </c>
      <c r="Z490">
        <v>0</v>
      </c>
      <c r="AA490" t="s">
        <v>3933</v>
      </c>
      <c r="AB490" t="s">
        <v>1158</v>
      </c>
      <c r="AC490" t="s">
        <v>3933</v>
      </c>
      <c r="AD490" t="e">
        <f>VLOOKUP(AB490,#REF!,2,FALSE)</f>
        <v>#REF!</v>
      </c>
      <c r="AE490" t="e">
        <f>RIGHT(#REF!,(FIND("Complex",#REF!,1)-6))</f>
        <v>#REF!</v>
      </c>
    </row>
    <row r="491" spans="1:31" x14ac:dyDescent="0.25">
      <c r="A491">
        <v>1579</v>
      </c>
      <c r="B491" t="s">
        <v>88</v>
      </c>
      <c r="C491">
        <v>39</v>
      </c>
      <c r="D491">
        <v>271</v>
      </c>
      <c r="E491">
        <v>1579</v>
      </c>
      <c r="F491">
        <v>1411201</v>
      </c>
      <c r="G491">
        <v>1499400</v>
      </c>
      <c r="H491">
        <f t="shared" si="14"/>
        <v>32.000022675736965</v>
      </c>
      <c r="I491">
        <f t="shared" si="15"/>
        <v>34</v>
      </c>
      <c r="J491" t="s">
        <v>29</v>
      </c>
      <c r="K491">
        <v>4</v>
      </c>
      <c r="L491" t="e">
        <f t="array" ref="L491">VLOOKUP(J491:$J$3871&amp;K491:$K$3871,CHOOSE({1,2},#REF!&amp;#REF!,#REF!),2,0)</f>
        <v>#N/A</v>
      </c>
      <c r="M491">
        <v>0</v>
      </c>
      <c r="N491">
        <v>1</v>
      </c>
      <c r="O491" t="s">
        <v>23</v>
      </c>
      <c r="P491">
        <v>1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1</v>
      </c>
      <c r="Y491">
        <v>0</v>
      </c>
      <c r="Z491">
        <v>0</v>
      </c>
      <c r="AA491" t="s">
        <v>4043</v>
      </c>
      <c r="AB491" t="s">
        <v>6622</v>
      </c>
      <c r="AC491" t="s">
        <v>4043</v>
      </c>
      <c r="AD491" t="e">
        <f>VLOOKUP(AB491,#REF!,2,FALSE)</f>
        <v>#REF!</v>
      </c>
      <c r="AE491" t="e">
        <f>RIGHT(#REF!,(FIND("Complex",#REF!,1)-6))</f>
        <v>#REF!</v>
      </c>
    </row>
    <row r="492" spans="1:31" x14ac:dyDescent="0.25">
      <c r="A492">
        <v>1258</v>
      </c>
      <c r="B492" t="s">
        <v>88</v>
      </c>
      <c r="C492">
        <v>39</v>
      </c>
      <c r="D492">
        <v>216</v>
      </c>
      <c r="E492">
        <v>1258</v>
      </c>
      <c r="F492">
        <v>1146601</v>
      </c>
      <c r="G492">
        <v>1234800</v>
      </c>
      <c r="H492">
        <f t="shared" si="14"/>
        <v>26.000022675736961</v>
      </c>
      <c r="I492">
        <f t="shared" si="15"/>
        <v>28</v>
      </c>
      <c r="J492" t="s">
        <v>29</v>
      </c>
      <c r="K492">
        <v>4</v>
      </c>
      <c r="L492" t="e">
        <f t="array" ref="L492">VLOOKUP(J492:$J$3871&amp;K492:$K$3871,CHOOSE({1,2},#REF!&amp;#REF!,#REF!),2,0)</f>
        <v>#N/A</v>
      </c>
      <c r="M492">
        <v>0</v>
      </c>
      <c r="N492">
        <v>1</v>
      </c>
      <c r="O492" t="s">
        <v>23</v>
      </c>
      <c r="P492">
        <v>1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1</v>
      </c>
      <c r="Y492">
        <v>0</v>
      </c>
      <c r="Z492">
        <v>0</v>
      </c>
      <c r="AA492" t="s">
        <v>4153</v>
      </c>
      <c r="AB492" t="s">
        <v>6703</v>
      </c>
      <c r="AC492" t="s">
        <v>4153</v>
      </c>
      <c r="AD492" t="e">
        <f>VLOOKUP(AB492,#REF!,2,FALSE)</f>
        <v>#REF!</v>
      </c>
      <c r="AE492" t="e">
        <f>RIGHT(#REF!,(FIND("Complex",#REF!,1)-6))</f>
        <v>#REF!</v>
      </c>
    </row>
    <row r="493" spans="1:31" x14ac:dyDescent="0.25">
      <c r="A493">
        <v>1090</v>
      </c>
      <c r="B493" t="s">
        <v>88</v>
      </c>
      <c r="C493">
        <v>39</v>
      </c>
      <c r="D493">
        <v>187</v>
      </c>
      <c r="E493">
        <v>1090</v>
      </c>
      <c r="F493">
        <v>6438601</v>
      </c>
      <c r="G493">
        <v>6526800</v>
      </c>
      <c r="H493">
        <f t="shared" si="14"/>
        <v>146.00002267573697</v>
      </c>
      <c r="I493">
        <f t="shared" si="15"/>
        <v>148</v>
      </c>
      <c r="J493" t="s">
        <v>29</v>
      </c>
      <c r="K493">
        <v>4</v>
      </c>
      <c r="L493" t="e">
        <f t="array" ref="L493">VLOOKUP(J493:$J$3871&amp;K493:$K$3871,CHOOSE({1,2},#REF!&amp;#REF!,#REF!),2,0)</f>
        <v>#N/A</v>
      </c>
      <c r="M493">
        <v>0</v>
      </c>
      <c r="N493">
        <v>1</v>
      </c>
      <c r="O493" t="s">
        <v>23</v>
      </c>
      <c r="P493">
        <v>1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1</v>
      </c>
      <c r="Y493">
        <v>0</v>
      </c>
      <c r="Z493">
        <v>0</v>
      </c>
      <c r="AA493" t="s">
        <v>4566</v>
      </c>
      <c r="AB493" t="s">
        <v>6971</v>
      </c>
      <c r="AC493" t="s">
        <v>4566</v>
      </c>
      <c r="AD493" t="e">
        <f>VLOOKUP(AB493,#REF!,2,FALSE)</f>
        <v>#REF!</v>
      </c>
      <c r="AE493" t="e">
        <f>RIGHT(#REF!,(FIND("Complex",#REF!,1)-5))</f>
        <v>#REF!</v>
      </c>
    </row>
    <row r="494" spans="1:31" x14ac:dyDescent="0.25">
      <c r="A494">
        <v>1004</v>
      </c>
      <c r="B494" t="s">
        <v>40</v>
      </c>
      <c r="C494">
        <v>40</v>
      </c>
      <c r="D494">
        <v>178</v>
      </c>
      <c r="E494">
        <v>1004</v>
      </c>
      <c r="F494">
        <v>4321801</v>
      </c>
      <c r="G494">
        <v>4410000</v>
      </c>
      <c r="H494">
        <f t="shared" si="14"/>
        <v>98.000022675736957</v>
      </c>
      <c r="I494">
        <f t="shared" si="15"/>
        <v>100</v>
      </c>
      <c r="J494" t="s">
        <v>29</v>
      </c>
      <c r="K494">
        <v>4</v>
      </c>
      <c r="L494" t="e">
        <f t="array" ref="L494">VLOOKUP(J494:$J$3871&amp;K494:$K$3871,CHOOSE({1,2},#REF!&amp;#REF!,#REF!),2,0)</f>
        <v>#N/A</v>
      </c>
      <c r="M494">
        <v>0</v>
      </c>
      <c r="N494">
        <v>1</v>
      </c>
      <c r="O494" t="s">
        <v>23</v>
      </c>
      <c r="P494">
        <v>1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1</v>
      </c>
      <c r="Z494">
        <v>0</v>
      </c>
      <c r="AA494" t="s">
        <v>3505</v>
      </c>
      <c r="AB494" t="s">
        <v>6318</v>
      </c>
      <c r="AC494" t="s">
        <v>3505</v>
      </c>
      <c r="AD494" t="e">
        <f>VLOOKUP(AB494,#REF!,2,FALSE)</f>
        <v>#REF!</v>
      </c>
      <c r="AE494" t="e">
        <f>RIGHT(#REF!,(FIND("Complex",#REF!,1)-6))</f>
        <v>#REF!</v>
      </c>
    </row>
    <row r="495" spans="1:31" x14ac:dyDescent="0.25">
      <c r="A495">
        <v>602</v>
      </c>
      <c r="B495" t="s">
        <v>40</v>
      </c>
      <c r="C495">
        <v>40</v>
      </c>
      <c r="D495">
        <v>107</v>
      </c>
      <c r="E495">
        <v>602</v>
      </c>
      <c r="F495">
        <v>3616201</v>
      </c>
      <c r="G495">
        <v>3704400</v>
      </c>
      <c r="H495">
        <f t="shared" si="14"/>
        <v>82.000022675736957</v>
      </c>
      <c r="I495">
        <f t="shared" si="15"/>
        <v>84</v>
      </c>
      <c r="J495" t="s">
        <v>29</v>
      </c>
      <c r="K495">
        <v>4</v>
      </c>
      <c r="L495" t="e">
        <f t="array" ref="L495">VLOOKUP(J495:$J$3871&amp;K495:$K$3871,CHOOSE({1,2},#REF!&amp;#REF!,#REF!),2,0)</f>
        <v>#N/A</v>
      </c>
      <c r="M495">
        <v>0</v>
      </c>
      <c r="N495">
        <v>1</v>
      </c>
      <c r="O495" t="s">
        <v>23</v>
      </c>
      <c r="P495">
        <v>1</v>
      </c>
      <c r="Q495">
        <v>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1</v>
      </c>
      <c r="Z495">
        <v>0</v>
      </c>
      <c r="AA495" t="s">
        <v>3610</v>
      </c>
      <c r="AB495" t="s">
        <v>6373</v>
      </c>
      <c r="AC495" t="s">
        <v>3610</v>
      </c>
      <c r="AD495" t="e">
        <f>VLOOKUP(AB495,#REF!,2,FALSE)</f>
        <v>#REF!</v>
      </c>
      <c r="AE495" t="e">
        <f>RIGHT(#REF!,(FIND("Complex",#REF!,1)-5))</f>
        <v>#REF!</v>
      </c>
    </row>
    <row r="496" spans="1:31" x14ac:dyDescent="0.25">
      <c r="A496">
        <v>3138</v>
      </c>
      <c r="B496" t="s">
        <v>40</v>
      </c>
      <c r="C496">
        <v>40</v>
      </c>
      <c r="D496">
        <v>739</v>
      </c>
      <c r="E496">
        <v>3138</v>
      </c>
      <c r="F496">
        <v>3439801</v>
      </c>
      <c r="G496">
        <v>3528000</v>
      </c>
      <c r="H496">
        <f t="shared" si="14"/>
        <v>78.000022675736957</v>
      </c>
      <c r="I496">
        <f t="shared" si="15"/>
        <v>80</v>
      </c>
      <c r="J496" t="s">
        <v>29</v>
      </c>
      <c r="K496">
        <v>4</v>
      </c>
      <c r="L496" t="e">
        <f t="array" ref="L496">VLOOKUP(J496:$J$3871&amp;K496:$K$3871,CHOOSE({1,2},#REF!&amp;#REF!,#REF!),2,0)</f>
        <v>#N/A</v>
      </c>
      <c r="M496">
        <v>0</v>
      </c>
      <c r="N496">
        <v>1</v>
      </c>
      <c r="O496" t="s">
        <v>23</v>
      </c>
      <c r="P496">
        <v>1</v>
      </c>
      <c r="Q496">
        <v>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0</v>
      </c>
      <c r="AA496" t="s">
        <v>3654</v>
      </c>
      <c r="AB496" t="s">
        <v>6396</v>
      </c>
      <c r="AC496" t="s">
        <v>3654</v>
      </c>
      <c r="AD496" t="e">
        <f>VLOOKUP(AB496,#REF!,2,FALSE)</f>
        <v>#REF!</v>
      </c>
      <c r="AE496" t="e">
        <f>RIGHT(#REF!,(FIND("Complex",#REF!,1)-6))</f>
        <v>#REF!</v>
      </c>
    </row>
    <row r="497" spans="1:31" x14ac:dyDescent="0.25">
      <c r="A497">
        <v>463</v>
      </c>
      <c r="B497" t="s">
        <v>40</v>
      </c>
      <c r="C497">
        <v>40</v>
      </c>
      <c r="D497">
        <v>85</v>
      </c>
      <c r="E497">
        <v>463</v>
      </c>
      <c r="F497">
        <v>3351601</v>
      </c>
      <c r="G497">
        <v>3439800</v>
      </c>
      <c r="H497">
        <f t="shared" si="14"/>
        <v>76.000022675736957</v>
      </c>
      <c r="I497">
        <f t="shared" si="15"/>
        <v>78</v>
      </c>
      <c r="J497" t="s">
        <v>29</v>
      </c>
      <c r="K497">
        <v>4</v>
      </c>
      <c r="L497" t="e">
        <f t="array" ref="L497">VLOOKUP(J497:$J$3871&amp;K497:$K$3871,CHOOSE({1,2},#REF!&amp;#REF!,#REF!),2,0)</f>
        <v>#N/A</v>
      </c>
      <c r="M497">
        <v>0</v>
      </c>
      <c r="N497">
        <v>1</v>
      </c>
      <c r="O497" t="s">
        <v>23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1</v>
      </c>
      <c r="Y497">
        <v>1</v>
      </c>
      <c r="Z497">
        <v>0</v>
      </c>
      <c r="AA497" t="s">
        <v>3668</v>
      </c>
      <c r="AB497" t="s">
        <v>1182</v>
      </c>
      <c r="AC497" t="s">
        <v>3668</v>
      </c>
      <c r="AD497" t="e">
        <f>VLOOKUP(AB497,#REF!,2,FALSE)</f>
        <v>#REF!</v>
      </c>
      <c r="AE497" t="e">
        <f>RIGHT(#REF!,(FIND("Complex",#REF!,1)-5))</f>
        <v>#REF!</v>
      </c>
    </row>
    <row r="498" spans="1:31" x14ac:dyDescent="0.25">
      <c r="A498">
        <v>2894</v>
      </c>
      <c r="B498" t="s">
        <v>40</v>
      </c>
      <c r="C498">
        <v>40</v>
      </c>
      <c r="D498">
        <v>634</v>
      </c>
      <c r="E498">
        <v>2894</v>
      </c>
      <c r="F498">
        <v>3175201</v>
      </c>
      <c r="G498">
        <v>3263400</v>
      </c>
      <c r="H498">
        <f t="shared" si="14"/>
        <v>72.000022675736957</v>
      </c>
      <c r="I498">
        <f t="shared" si="15"/>
        <v>74</v>
      </c>
      <c r="J498" t="s">
        <v>29</v>
      </c>
      <c r="K498">
        <v>4</v>
      </c>
      <c r="L498" t="e">
        <f t="array" ref="L498">VLOOKUP(J498:$J$3871&amp;K498:$K$3871,CHOOSE({1,2},#REF!&amp;#REF!,#REF!),2,0)</f>
        <v>#N/A</v>
      </c>
      <c r="M498">
        <v>0</v>
      </c>
      <c r="N498">
        <v>1</v>
      </c>
      <c r="O498" t="s">
        <v>23</v>
      </c>
      <c r="P498">
        <v>1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1</v>
      </c>
      <c r="Y498">
        <v>1</v>
      </c>
      <c r="Z498">
        <v>0</v>
      </c>
      <c r="AA498" t="s">
        <v>3692</v>
      </c>
      <c r="AB498" t="s">
        <v>6417</v>
      </c>
      <c r="AC498" t="s">
        <v>3692</v>
      </c>
      <c r="AD498" t="e">
        <f>VLOOKUP(AB498,#REF!,2,FALSE)</f>
        <v>#REF!</v>
      </c>
      <c r="AE498" t="e">
        <f>RIGHT(#REF!,(FIND("Complex",#REF!,1)-6))</f>
        <v>#REF!</v>
      </c>
    </row>
    <row r="499" spans="1:31" x14ac:dyDescent="0.25">
      <c r="A499">
        <v>2756</v>
      </c>
      <c r="B499" t="s">
        <v>40</v>
      </c>
      <c r="C499">
        <v>40</v>
      </c>
      <c r="D499">
        <v>586</v>
      </c>
      <c r="E499">
        <v>2756</v>
      </c>
      <c r="F499">
        <v>2998801</v>
      </c>
      <c r="G499">
        <v>3087000</v>
      </c>
      <c r="H499">
        <f t="shared" si="14"/>
        <v>68.000022675736957</v>
      </c>
      <c r="I499">
        <f t="shared" si="15"/>
        <v>70</v>
      </c>
      <c r="J499" t="s">
        <v>29</v>
      </c>
      <c r="K499">
        <v>4</v>
      </c>
      <c r="L499" t="e">
        <f t="array" ref="L499">VLOOKUP(J499:$J$3871&amp;K499:$K$3871,CHOOSE({1,2},#REF!&amp;#REF!,#REF!),2,0)</f>
        <v>#N/A</v>
      </c>
      <c r="M499">
        <v>0</v>
      </c>
      <c r="N499">
        <v>1</v>
      </c>
      <c r="O499" t="s">
        <v>23</v>
      </c>
      <c r="P499">
        <v>1</v>
      </c>
      <c r="Q499">
        <v>0</v>
      </c>
      <c r="R499">
        <v>1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1</v>
      </c>
      <c r="Z499">
        <v>0</v>
      </c>
      <c r="AA499" t="s">
        <v>3727</v>
      </c>
      <c r="AB499" t="s">
        <v>6436</v>
      </c>
      <c r="AC499" t="s">
        <v>3727</v>
      </c>
      <c r="AD499" t="e">
        <f>VLOOKUP(AB499,#REF!,2,FALSE)</f>
        <v>#REF!</v>
      </c>
      <c r="AE499" t="e">
        <f>RIGHT(#REF!,(FIND("Complex",#REF!,1)-6))</f>
        <v>#REF!</v>
      </c>
    </row>
    <row r="500" spans="1:31" x14ac:dyDescent="0.25">
      <c r="A500">
        <v>1456</v>
      </c>
      <c r="B500" t="s">
        <v>40</v>
      </c>
      <c r="C500">
        <v>40</v>
      </c>
      <c r="D500">
        <v>244</v>
      </c>
      <c r="E500">
        <v>1456</v>
      </c>
      <c r="F500">
        <v>5644801</v>
      </c>
      <c r="G500">
        <v>5733000</v>
      </c>
      <c r="H500">
        <f t="shared" si="14"/>
        <v>128.00002267573697</v>
      </c>
      <c r="I500">
        <f t="shared" si="15"/>
        <v>130</v>
      </c>
      <c r="J500" t="s">
        <v>29</v>
      </c>
      <c r="K500">
        <v>4</v>
      </c>
      <c r="L500" t="e">
        <f t="array" ref="L500">VLOOKUP(J500:$J$3871&amp;K500:$K$3871,CHOOSE({1,2},#REF!&amp;#REF!,#REF!),2,0)</f>
        <v>#N/A</v>
      </c>
      <c r="M500">
        <v>0</v>
      </c>
      <c r="N500">
        <v>1</v>
      </c>
      <c r="O500" t="s">
        <v>23</v>
      </c>
      <c r="P500">
        <v>1</v>
      </c>
      <c r="Q500">
        <v>0</v>
      </c>
      <c r="R500">
        <v>1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1</v>
      </c>
      <c r="Z500">
        <v>0</v>
      </c>
      <c r="AA500" t="s">
        <v>4683</v>
      </c>
      <c r="AB500" t="s">
        <v>7044</v>
      </c>
      <c r="AC500" t="s">
        <v>4683</v>
      </c>
      <c r="AD500" t="e">
        <f>VLOOKUP(AB500,#REF!,2,FALSE)</f>
        <v>#REF!</v>
      </c>
      <c r="AE500" t="e">
        <f>RIGHT(#REF!,(FIND("Complex",#REF!,1)-5))</f>
        <v>#REF!</v>
      </c>
    </row>
    <row r="501" spans="1:31" x14ac:dyDescent="0.25">
      <c r="A501">
        <v>3299</v>
      </c>
      <c r="B501" t="s">
        <v>40</v>
      </c>
      <c r="C501">
        <v>40</v>
      </c>
      <c r="D501">
        <v>828</v>
      </c>
      <c r="E501">
        <v>3299</v>
      </c>
      <c r="F501">
        <v>5556601</v>
      </c>
      <c r="G501">
        <v>5644800</v>
      </c>
      <c r="H501">
        <f t="shared" si="14"/>
        <v>126.00002267573696</v>
      </c>
      <c r="I501">
        <f t="shared" si="15"/>
        <v>128</v>
      </c>
      <c r="J501" t="s">
        <v>29</v>
      </c>
      <c r="K501">
        <v>4</v>
      </c>
      <c r="L501" t="e">
        <f t="array" ref="L501">VLOOKUP(J501:$J$3871&amp;K501:$K$3871,CHOOSE({1,2},#REF!&amp;#REF!,#REF!),2,0)</f>
        <v>#N/A</v>
      </c>
      <c r="M501">
        <v>0</v>
      </c>
      <c r="N501">
        <v>1</v>
      </c>
      <c r="O501" t="s">
        <v>23</v>
      </c>
      <c r="P501">
        <v>1</v>
      </c>
      <c r="Q501">
        <v>0</v>
      </c>
      <c r="R501">
        <v>1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1</v>
      </c>
      <c r="Y501">
        <v>1</v>
      </c>
      <c r="Z501">
        <v>0</v>
      </c>
      <c r="AA501" t="s">
        <v>4692</v>
      </c>
      <c r="AB501" t="s">
        <v>1183</v>
      </c>
      <c r="AC501" t="s">
        <v>4692</v>
      </c>
      <c r="AD501" t="e">
        <f>VLOOKUP(AB501,#REF!,2,FALSE)</f>
        <v>#REF!</v>
      </c>
      <c r="AE501" t="e">
        <f>RIGHT(#REF!,(FIND("Complex",#REF!,1)-5))</f>
        <v>#REF!</v>
      </c>
    </row>
    <row r="502" spans="1:31" x14ac:dyDescent="0.25">
      <c r="A502">
        <v>2259</v>
      </c>
      <c r="B502" t="s">
        <v>40</v>
      </c>
      <c r="C502">
        <v>40</v>
      </c>
      <c r="D502">
        <v>413</v>
      </c>
      <c r="E502">
        <v>2259</v>
      </c>
      <c r="F502">
        <v>5292001</v>
      </c>
      <c r="G502">
        <v>5380200</v>
      </c>
      <c r="H502">
        <f t="shared" si="14"/>
        <v>120.00002267573696</v>
      </c>
      <c r="I502">
        <f t="shared" si="15"/>
        <v>122</v>
      </c>
      <c r="J502" t="s">
        <v>29</v>
      </c>
      <c r="K502">
        <v>4</v>
      </c>
      <c r="L502" t="e">
        <f t="array" ref="L502">VLOOKUP(J502:$J$3871&amp;K502:$K$3871,CHOOSE({1,2},#REF!&amp;#REF!,#REF!),2,0)</f>
        <v>#N/A</v>
      </c>
      <c r="M502">
        <v>0</v>
      </c>
      <c r="N502">
        <v>1</v>
      </c>
      <c r="O502" t="s">
        <v>23</v>
      </c>
      <c r="P502">
        <v>1</v>
      </c>
      <c r="Q502">
        <v>0</v>
      </c>
      <c r="R502">
        <v>1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1</v>
      </c>
      <c r="Z502">
        <v>0</v>
      </c>
      <c r="AA502" t="s">
        <v>4714</v>
      </c>
      <c r="AB502" t="s">
        <v>1184</v>
      </c>
      <c r="AC502" t="s">
        <v>4714</v>
      </c>
      <c r="AD502" t="e">
        <f>VLOOKUP(AB502,#REF!,2,FALSE)</f>
        <v>#REF!</v>
      </c>
      <c r="AE502" t="e">
        <f>RIGHT(#REF!,(FIND("Complex",#REF!,1)-5))</f>
        <v>#REF!</v>
      </c>
    </row>
    <row r="503" spans="1:31" x14ac:dyDescent="0.25">
      <c r="A503">
        <v>2345</v>
      </c>
      <c r="B503" t="s">
        <v>40</v>
      </c>
      <c r="C503">
        <v>40</v>
      </c>
      <c r="D503">
        <v>431</v>
      </c>
      <c r="E503">
        <v>2345</v>
      </c>
      <c r="F503">
        <v>5115601</v>
      </c>
      <c r="G503">
        <v>5203800</v>
      </c>
      <c r="H503">
        <f t="shared" si="14"/>
        <v>116.00002267573696</v>
      </c>
      <c r="I503">
        <f t="shared" si="15"/>
        <v>118</v>
      </c>
      <c r="J503" t="s">
        <v>29</v>
      </c>
      <c r="K503">
        <v>4</v>
      </c>
      <c r="L503" t="e">
        <f t="array" ref="L503">VLOOKUP(J503:$J$3871&amp;K503:$K$3871,CHOOSE({1,2},#REF!&amp;#REF!,#REF!),2,0)</f>
        <v>#N/A</v>
      </c>
      <c r="M503">
        <v>0</v>
      </c>
      <c r="N503">
        <v>1</v>
      </c>
      <c r="O503" t="s">
        <v>23</v>
      </c>
      <c r="P503">
        <v>1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</v>
      </c>
      <c r="Z503">
        <v>0</v>
      </c>
      <c r="AA503" t="s">
        <v>4756</v>
      </c>
      <c r="AB503" t="s">
        <v>7084</v>
      </c>
      <c r="AC503" t="s">
        <v>4756</v>
      </c>
      <c r="AD503" t="e">
        <f>VLOOKUP(AB503,#REF!,2,FALSE)</f>
        <v>#REF!</v>
      </c>
      <c r="AE503" t="e">
        <f>RIGHT(#REF!,(FIND("Complex",#REF!,1)-5))</f>
        <v>#REF!</v>
      </c>
    </row>
    <row r="504" spans="1:31" x14ac:dyDescent="0.25">
      <c r="A504">
        <v>2558</v>
      </c>
      <c r="B504" t="s">
        <v>40</v>
      </c>
      <c r="C504">
        <v>40</v>
      </c>
      <c r="D504">
        <v>511</v>
      </c>
      <c r="E504">
        <v>2558</v>
      </c>
      <c r="F504">
        <v>4939201</v>
      </c>
      <c r="G504">
        <v>5027400</v>
      </c>
      <c r="H504">
        <f t="shared" si="14"/>
        <v>112.00002267573696</v>
      </c>
      <c r="I504">
        <f t="shared" si="15"/>
        <v>114</v>
      </c>
      <c r="J504" t="s">
        <v>29</v>
      </c>
      <c r="K504">
        <v>4</v>
      </c>
      <c r="L504" t="e">
        <f t="array" ref="L504">VLOOKUP(J504:$J$3871&amp;K504:$K$3871,CHOOSE({1,2},#REF!&amp;#REF!,#REF!),2,0)</f>
        <v>#N/A</v>
      </c>
      <c r="M504">
        <v>0</v>
      </c>
      <c r="N504">
        <v>1</v>
      </c>
      <c r="O504" t="s">
        <v>23</v>
      </c>
      <c r="P504">
        <v>1</v>
      </c>
      <c r="Q504">
        <v>0</v>
      </c>
      <c r="R504">
        <v>1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1</v>
      </c>
      <c r="Z504">
        <v>0</v>
      </c>
      <c r="AA504" t="s">
        <v>4773</v>
      </c>
      <c r="AB504" t="s">
        <v>7095</v>
      </c>
      <c r="AC504" t="s">
        <v>4773</v>
      </c>
      <c r="AD504" t="e">
        <f>VLOOKUP(AB504,#REF!,2,FALSE)</f>
        <v>#REF!</v>
      </c>
      <c r="AE504" t="e">
        <f>RIGHT(#REF!,(FIND("Complex",#REF!,1)-5))</f>
        <v>#REF!</v>
      </c>
    </row>
    <row r="505" spans="1:31" x14ac:dyDescent="0.25">
      <c r="A505">
        <v>3246</v>
      </c>
      <c r="B505" t="s">
        <v>40</v>
      </c>
      <c r="C505">
        <v>40</v>
      </c>
      <c r="D505">
        <v>799</v>
      </c>
      <c r="E505">
        <v>3246</v>
      </c>
      <c r="F505">
        <v>4674601</v>
      </c>
      <c r="G505">
        <v>4762800</v>
      </c>
      <c r="H505">
        <f t="shared" si="14"/>
        <v>106.00002267573696</v>
      </c>
      <c r="I505">
        <f t="shared" si="15"/>
        <v>108</v>
      </c>
      <c r="J505" t="s">
        <v>29</v>
      </c>
      <c r="K505">
        <v>4</v>
      </c>
      <c r="L505" t="e">
        <f t="array" ref="L505">VLOOKUP(J505:$J$3871&amp;K505:$K$3871,CHOOSE({1,2},#REF!&amp;#REF!,#REF!),2,0)</f>
        <v>#N/A</v>
      </c>
      <c r="M505">
        <v>0</v>
      </c>
      <c r="N505">
        <v>1</v>
      </c>
      <c r="O505" t="s">
        <v>23</v>
      </c>
      <c r="P505">
        <v>1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1</v>
      </c>
      <c r="Z505">
        <v>0</v>
      </c>
      <c r="AA505" t="s">
        <v>4804</v>
      </c>
      <c r="AB505" t="s">
        <v>7110</v>
      </c>
      <c r="AC505" t="s">
        <v>4804</v>
      </c>
      <c r="AD505" t="e">
        <f>VLOOKUP(AB505,#REF!,2,FALSE)</f>
        <v>#REF!</v>
      </c>
      <c r="AE505" t="e">
        <f>RIGHT(#REF!,(FIND("Complex",#REF!,1)-5))</f>
        <v>#REF!</v>
      </c>
    </row>
    <row r="506" spans="1:31" x14ac:dyDescent="0.25">
      <c r="A506">
        <v>2967</v>
      </c>
      <c r="B506" t="s">
        <v>246</v>
      </c>
      <c r="C506">
        <v>41</v>
      </c>
      <c r="D506">
        <v>668</v>
      </c>
      <c r="E506">
        <v>2967</v>
      </c>
      <c r="F506">
        <v>4233601</v>
      </c>
      <c r="G506">
        <v>4321800</v>
      </c>
      <c r="H506">
        <f t="shared" si="14"/>
        <v>96.000022675736957</v>
      </c>
      <c r="I506">
        <f t="shared" si="15"/>
        <v>98</v>
      </c>
      <c r="J506" t="s">
        <v>29</v>
      </c>
      <c r="K506">
        <v>4</v>
      </c>
      <c r="L506" t="e">
        <f t="array" ref="L506">VLOOKUP(J506:$J$3871&amp;K506:$K$3871,CHOOSE({1,2},#REF!&amp;#REF!,#REF!),2,0)</f>
        <v>#N/A</v>
      </c>
      <c r="M506">
        <v>0</v>
      </c>
      <c r="N506">
        <v>1</v>
      </c>
      <c r="O506" t="s">
        <v>23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1</v>
      </c>
      <c r="Y506">
        <v>0</v>
      </c>
      <c r="Z506">
        <v>0</v>
      </c>
      <c r="AA506" t="s">
        <v>3518</v>
      </c>
      <c r="AB506" t="s">
        <v>6326</v>
      </c>
      <c r="AC506" t="s">
        <v>3518</v>
      </c>
      <c r="AD506" t="e">
        <f>VLOOKUP(AB506,#REF!,2,FALSE)</f>
        <v>#REF!</v>
      </c>
      <c r="AE506" t="e">
        <f>RIGHT(#REF!,(FIND("Complex",#REF!,1)-6))</f>
        <v>#REF!</v>
      </c>
    </row>
    <row r="507" spans="1:31" x14ac:dyDescent="0.25">
      <c r="A507">
        <v>2655</v>
      </c>
      <c r="B507" t="s">
        <v>246</v>
      </c>
      <c r="C507">
        <v>41</v>
      </c>
      <c r="D507">
        <v>543</v>
      </c>
      <c r="E507">
        <v>2655</v>
      </c>
      <c r="F507">
        <v>4057201</v>
      </c>
      <c r="G507">
        <v>4145400</v>
      </c>
      <c r="H507">
        <f t="shared" si="14"/>
        <v>92.000022675736957</v>
      </c>
      <c r="I507">
        <f t="shared" si="15"/>
        <v>94</v>
      </c>
      <c r="J507" t="s">
        <v>29</v>
      </c>
      <c r="K507">
        <v>4</v>
      </c>
      <c r="L507" t="e">
        <f t="array" ref="L507">VLOOKUP(J507:$J$3871&amp;K507:$K$3871,CHOOSE({1,2},#REF!&amp;#REF!,#REF!),2,0)</f>
        <v>#N/A</v>
      </c>
      <c r="M507">
        <v>0</v>
      </c>
      <c r="N507">
        <v>1</v>
      </c>
      <c r="O507" t="s">
        <v>23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1</v>
      </c>
      <c r="Y507">
        <v>0</v>
      </c>
      <c r="Z507">
        <v>0</v>
      </c>
      <c r="AA507" t="s">
        <v>3541</v>
      </c>
      <c r="AB507" t="s">
        <v>6336</v>
      </c>
      <c r="AC507" t="s">
        <v>3541</v>
      </c>
      <c r="AD507" t="e">
        <f>VLOOKUP(AB507,#REF!,2,FALSE)</f>
        <v>#REF!</v>
      </c>
      <c r="AE507" t="e">
        <f>RIGHT(#REF!,(FIND("Complex",#REF!,1)-6))</f>
        <v>#REF!</v>
      </c>
    </row>
    <row r="508" spans="1:31" x14ac:dyDescent="0.25">
      <c r="A508">
        <v>2535</v>
      </c>
      <c r="B508" t="s">
        <v>246</v>
      </c>
      <c r="C508">
        <v>41</v>
      </c>
      <c r="D508">
        <v>500</v>
      </c>
      <c r="E508">
        <v>2535</v>
      </c>
      <c r="F508">
        <v>2293201</v>
      </c>
      <c r="G508">
        <v>2381400</v>
      </c>
      <c r="H508">
        <f t="shared" si="14"/>
        <v>52.000022675736965</v>
      </c>
      <c r="I508">
        <f t="shared" si="15"/>
        <v>54</v>
      </c>
      <c r="J508" t="s">
        <v>29</v>
      </c>
      <c r="K508">
        <v>4</v>
      </c>
      <c r="L508" t="e">
        <f t="array" ref="L508">VLOOKUP(J508:$J$3871&amp;K508:$K$3871,CHOOSE({1,2},#REF!&amp;#REF!,#REF!),2,0)</f>
        <v>#N/A</v>
      </c>
      <c r="M508">
        <v>0</v>
      </c>
      <c r="N508">
        <v>1</v>
      </c>
      <c r="O508" t="s">
        <v>23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1</v>
      </c>
      <c r="Y508">
        <v>0</v>
      </c>
      <c r="Z508">
        <v>0</v>
      </c>
      <c r="AA508" t="s">
        <v>3862</v>
      </c>
      <c r="AB508" t="s">
        <v>6516</v>
      </c>
      <c r="AC508" t="s">
        <v>3862</v>
      </c>
      <c r="AD508" t="e">
        <f>VLOOKUP(AB508,#REF!,2,FALSE)</f>
        <v>#REF!</v>
      </c>
      <c r="AE508" t="e">
        <f>RIGHT(#REF!,(FIND("Complex",#REF!,1)-6))</f>
        <v>#REF!</v>
      </c>
    </row>
    <row r="509" spans="1:31" x14ac:dyDescent="0.25">
      <c r="A509">
        <v>2216</v>
      </c>
      <c r="B509" t="s">
        <v>246</v>
      </c>
      <c r="C509">
        <v>41</v>
      </c>
      <c r="D509">
        <v>401</v>
      </c>
      <c r="E509">
        <v>2216</v>
      </c>
      <c r="F509">
        <v>882001</v>
      </c>
      <c r="G509">
        <v>970200</v>
      </c>
      <c r="H509">
        <f t="shared" si="14"/>
        <v>20.000022675736961</v>
      </c>
      <c r="I509">
        <f t="shared" si="15"/>
        <v>22</v>
      </c>
      <c r="J509" t="s">
        <v>29</v>
      </c>
      <c r="K509">
        <v>4</v>
      </c>
      <c r="L509" t="e">
        <f t="array" ref="L509">VLOOKUP(J509:$J$3871&amp;K509:$K$3871,CHOOSE({1,2},#REF!&amp;#REF!,#REF!),2,0)</f>
        <v>#N/A</v>
      </c>
      <c r="M509">
        <v>0</v>
      </c>
      <c r="N509">
        <v>1</v>
      </c>
      <c r="O509" t="s">
        <v>23</v>
      </c>
      <c r="P509">
        <v>1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1</v>
      </c>
      <c r="Y509">
        <v>0</v>
      </c>
      <c r="Z509">
        <v>0</v>
      </c>
      <c r="AA509" t="s">
        <v>4317</v>
      </c>
      <c r="AB509" t="s">
        <v>6810</v>
      </c>
      <c r="AC509" t="s">
        <v>4317</v>
      </c>
      <c r="AD509" t="e">
        <f>VLOOKUP(AB509,#REF!,2,FALSE)</f>
        <v>#REF!</v>
      </c>
      <c r="AE509" t="e">
        <f>RIGHT(#REF!,(FIND("Complex",#REF!,1)-6))</f>
        <v>#REF!</v>
      </c>
    </row>
    <row r="510" spans="1:31" x14ac:dyDescent="0.25">
      <c r="A510">
        <v>2417</v>
      </c>
      <c r="B510" t="s">
        <v>246</v>
      </c>
      <c r="C510">
        <v>41</v>
      </c>
      <c r="D510">
        <v>455</v>
      </c>
      <c r="E510">
        <v>2417</v>
      </c>
      <c r="F510">
        <v>5203801</v>
      </c>
      <c r="G510">
        <v>5292000</v>
      </c>
      <c r="H510">
        <f t="shared" si="14"/>
        <v>118.00002267573696</v>
      </c>
      <c r="I510">
        <f t="shared" si="15"/>
        <v>120</v>
      </c>
      <c r="J510" t="s">
        <v>29</v>
      </c>
      <c r="K510">
        <v>4</v>
      </c>
      <c r="L510" t="e">
        <f t="array" ref="L510">VLOOKUP(J510:$J$3871&amp;K510:$K$3871,CHOOSE({1,2},#REF!&amp;#REF!,#REF!),2,0)</f>
        <v>#N/A</v>
      </c>
      <c r="M510">
        <v>0</v>
      </c>
      <c r="N510">
        <v>1</v>
      </c>
      <c r="O510" t="s">
        <v>23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0</v>
      </c>
      <c r="Z510">
        <v>0</v>
      </c>
      <c r="AA510" t="s">
        <v>4745</v>
      </c>
      <c r="AB510" t="s">
        <v>1224</v>
      </c>
      <c r="AC510" t="s">
        <v>4745</v>
      </c>
      <c r="AD510" t="e">
        <f>VLOOKUP(AB510,#REF!,2,FALSE)</f>
        <v>#REF!</v>
      </c>
      <c r="AE510" t="e">
        <f>RIGHT(#REF!,(FIND("Complex",#REF!,1)-5))</f>
        <v>#REF!</v>
      </c>
    </row>
    <row r="511" spans="1:31" x14ac:dyDescent="0.25">
      <c r="A511">
        <v>3168</v>
      </c>
      <c r="B511" t="s">
        <v>246</v>
      </c>
      <c r="C511">
        <v>41</v>
      </c>
      <c r="D511">
        <v>755</v>
      </c>
      <c r="E511">
        <v>3168</v>
      </c>
      <c r="F511">
        <v>5027401</v>
      </c>
      <c r="G511">
        <v>5115600</v>
      </c>
      <c r="H511">
        <f t="shared" si="14"/>
        <v>114.00002267573696</v>
      </c>
      <c r="I511">
        <f t="shared" si="15"/>
        <v>116</v>
      </c>
      <c r="J511" t="s">
        <v>29</v>
      </c>
      <c r="K511">
        <v>4</v>
      </c>
      <c r="L511" t="e">
        <f t="array" ref="L511">VLOOKUP(J511:$J$3871&amp;K511:$K$3871,CHOOSE({1,2},#REF!&amp;#REF!,#REF!),2,0)</f>
        <v>#N/A</v>
      </c>
      <c r="M511">
        <v>0</v>
      </c>
      <c r="N511">
        <v>1</v>
      </c>
      <c r="O511" t="s">
        <v>23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1</v>
      </c>
      <c r="Y511">
        <v>0</v>
      </c>
      <c r="Z511">
        <v>0</v>
      </c>
      <c r="AA511" t="s">
        <v>4765</v>
      </c>
      <c r="AB511" t="s">
        <v>7089</v>
      </c>
      <c r="AC511" t="s">
        <v>4765</v>
      </c>
      <c r="AD511" t="e">
        <f>VLOOKUP(AB511,#REF!,2,FALSE)</f>
        <v>#REF!</v>
      </c>
      <c r="AE511" t="e">
        <f>RIGHT(#REF!,(FIND("Complex",#REF!,1)-5))</f>
        <v>#REF!</v>
      </c>
    </row>
    <row r="512" spans="1:31" x14ac:dyDescent="0.25">
      <c r="A512">
        <v>197</v>
      </c>
      <c r="B512" t="s">
        <v>252</v>
      </c>
      <c r="C512">
        <v>48</v>
      </c>
      <c r="D512">
        <v>42</v>
      </c>
      <c r="E512">
        <v>197</v>
      </c>
      <c r="F512">
        <v>2822401</v>
      </c>
      <c r="G512">
        <v>2910600</v>
      </c>
      <c r="H512">
        <f t="shared" si="14"/>
        <v>64.000022675736957</v>
      </c>
      <c r="I512">
        <f t="shared" si="15"/>
        <v>66</v>
      </c>
      <c r="J512" t="s">
        <v>29</v>
      </c>
      <c r="K512">
        <v>4</v>
      </c>
      <c r="L512" t="e">
        <f t="array" ref="L512">VLOOKUP(J512:$J$3871&amp;K512:$K$3871,CHOOSE({1,2},#REF!&amp;#REF!,#REF!),2,0)</f>
        <v>#N/A</v>
      </c>
      <c r="M512">
        <v>0</v>
      </c>
      <c r="N512">
        <v>1</v>
      </c>
      <c r="O512" t="s">
        <v>23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0</v>
      </c>
      <c r="Z512">
        <v>0</v>
      </c>
      <c r="AA512" t="s">
        <v>3747</v>
      </c>
      <c r="AB512" t="s">
        <v>6447</v>
      </c>
      <c r="AC512" t="s">
        <v>3747</v>
      </c>
      <c r="AD512" t="e">
        <f>VLOOKUP(AB512,#REF!,2,FALSE)</f>
        <v>#REF!</v>
      </c>
      <c r="AE512" t="e">
        <f>RIGHT(#REF!,(FIND("Complex",#REF!,1)-5))</f>
        <v>#REF!</v>
      </c>
    </row>
    <row r="513" spans="1:31" x14ac:dyDescent="0.25">
      <c r="A513">
        <v>2018</v>
      </c>
      <c r="B513" t="s">
        <v>252</v>
      </c>
      <c r="C513">
        <v>48</v>
      </c>
      <c r="D513">
        <v>351</v>
      </c>
      <c r="E513">
        <v>2018</v>
      </c>
      <c r="F513">
        <v>2646001</v>
      </c>
      <c r="G513">
        <v>2734200</v>
      </c>
      <c r="H513">
        <f t="shared" si="14"/>
        <v>60.000022675736965</v>
      </c>
      <c r="I513">
        <f t="shared" si="15"/>
        <v>62</v>
      </c>
      <c r="J513" t="s">
        <v>29</v>
      </c>
      <c r="K513">
        <v>4</v>
      </c>
      <c r="L513" t="e">
        <f t="array" ref="L513">VLOOKUP(J513:$J$3871&amp;K513:$K$3871,CHOOSE({1,2},#REF!&amp;#REF!,#REF!),2,0)</f>
        <v>#N/A</v>
      </c>
      <c r="M513">
        <v>0</v>
      </c>
      <c r="N513">
        <v>1</v>
      </c>
      <c r="O513" t="s">
        <v>23</v>
      </c>
      <c r="P513">
        <v>1</v>
      </c>
      <c r="Q513">
        <v>1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 t="s">
        <v>3783</v>
      </c>
      <c r="AB513" t="s">
        <v>6475</v>
      </c>
      <c r="AC513" t="s">
        <v>3783</v>
      </c>
      <c r="AD513" t="e">
        <f>VLOOKUP(AB513,#REF!,2,FALSE)</f>
        <v>#REF!</v>
      </c>
      <c r="AE513" t="e">
        <f>RIGHT(#REF!,(FIND("Complex",#REF!,1)-6))</f>
        <v>#REF!</v>
      </c>
    </row>
    <row r="514" spans="1:31" x14ac:dyDescent="0.25">
      <c r="A514">
        <v>3264</v>
      </c>
      <c r="B514" t="s">
        <v>252</v>
      </c>
      <c r="C514">
        <v>48</v>
      </c>
      <c r="D514">
        <v>808</v>
      </c>
      <c r="E514">
        <v>3264</v>
      </c>
      <c r="F514">
        <v>11642401</v>
      </c>
      <c r="G514">
        <v>11730600</v>
      </c>
      <c r="H514">
        <f t="shared" ref="H514:H577" si="16">F514/44100</f>
        <v>264.00002267573694</v>
      </c>
      <c r="I514">
        <f t="shared" ref="I514:I577" si="17">G514/44100</f>
        <v>266</v>
      </c>
      <c r="J514" t="s">
        <v>29</v>
      </c>
      <c r="K514">
        <v>4</v>
      </c>
      <c r="L514" t="e">
        <f t="array" ref="L514">VLOOKUP(J514:$J$3871&amp;K514:$K$3871,CHOOSE({1,2},#REF!&amp;#REF!,#REF!),2,0)</f>
        <v>#N/A</v>
      </c>
      <c r="M514">
        <v>0</v>
      </c>
      <c r="N514">
        <v>1</v>
      </c>
      <c r="O514" t="s">
        <v>23</v>
      </c>
      <c r="P514">
        <v>1</v>
      </c>
      <c r="Q514">
        <v>0</v>
      </c>
      <c r="R514">
        <v>0</v>
      </c>
      <c r="S514">
        <v>1</v>
      </c>
      <c r="T514">
        <v>1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 t="s">
        <v>4134</v>
      </c>
      <c r="AB514" t="s">
        <v>6691</v>
      </c>
      <c r="AC514" t="s">
        <v>4134</v>
      </c>
      <c r="AD514" t="e">
        <f>VLOOKUP(AB514,#REF!,2,FALSE)</f>
        <v>#REF!</v>
      </c>
      <c r="AE514" t="e">
        <f>RIGHT(#REF!,(FIND("Complex",#REF!,1)-5))</f>
        <v>#REF!</v>
      </c>
    </row>
    <row r="515" spans="1:31" x14ac:dyDescent="0.25">
      <c r="A515">
        <v>2557</v>
      </c>
      <c r="B515" t="s">
        <v>252</v>
      </c>
      <c r="C515">
        <v>48</v>
      </c>
      <c r="D515">
        <v>510</v>
      </c>
      <c r="E515">
        <v>2557</v>
      </c>
      <c r="F515">
        <v>11554201</v>
      </c>
      <c r="G515">
        <v>11642400</v>
      </c>
      <c r="H515">
        <f t="shared" si="16"/>
        <v>262.00002267573694</v>
      </c>
      <c r="I515">
        <f t="shared" si="17"/>
        <v>264</v>
      </c>
      <c r="J515" t="s">
        <v>29</v>
      </c>
      <c r="K515">
        <v>4</v>
      </c>
      <c r="L515" t="e">
        <f t="array" ref="L515">VLOOKUP(J515:$J$3871&amp;K515:$K$3871,CHOOSE({1,2},#REF!&amp;#REF!,#REF!),2,0)</f>
        <v>#N/A</v>
      </c>
      <c r="M515">
        <v>0</v>
      </c>
      <c r="N515">
        <v>1</v>
      </c>
      <c r="O515" t="s">
        <v>23</v>
      </c>
      <c r="P515">
        <v>1</v>
      </c>
      <c r="Q515">
        <v>0</v>
      </c>
      <c r="R515">
        <v>0</v>
      </c>
      <c r="S515">
        <v>1</v>
      </c>
      <c r="T515">
        <v>1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 t="s">
        <v>4136</v>
      </c>
      <c r="AB515" t="s">
        <v>1273</v>
      </c>
      <c r="AC515" t="s">
        <v>4136</v>
      </c>
      <c r="AD515" t="e">
        <f>VLOOKUP(AB515,#REF!,2,FALSE)</f>
        <v>#REF!</v>
      </c>
      <c r="AE515" t="e">
        <f>RIGHT(#REF!,(FIND("Complex",#REF!,1)-5))</f>
        <v>#REF!</v>
      </c>
    </row>
    <row r="516" spans="1:31" x14ac:dyDescent="0.25">
      <c r="A516">
        <v>1788</v>
      </c>
      <c r="B516" t="s">
        <v>252</v>
      </c>
      <c r="C516">
        <v>48</v>
      </c>
      <c r="D516">
        <v>309</v>
      </c>
      <c r="E516">
        <v>1788</v>
      </c>
      <c r="F516">
        <v>7320601</v>
      </c>
      <c r="G516">
        <v>7408800</v>
      </c>
      <c r="H516">
        <f t="shared" si="16"/>
        <v>166.00002267573697</v>
      </c>
      <c r="I516">
        <f t="shared" si="17"/>
        <v>168</v>
      </c>
      <c r="J516" t="s">
        <v>29</v>
      </c>
      <c r="K516">
        <v>4</v>
      </c>
      <c r="L516" t="e">
        <f t="array" ref="L516">VLOOKUP(J516:$J$3871&amp;K516:$K$3871,CHOOSE({1,2},#REF!&amp;#REF!,#REF!),2,0)</f>
        <v>#N/A</v>
      </c>
      <c r="M516">
        <v>0</v>
      </c>
      <c r="N516">
        <v>1</v>
      </c>
      <c r="O516" t="s">
        <v>23</v>
      </c>
      <c r="P516">
        <v>1</v>
      </c>
      <c r="Q516">
        <v>0</v>
      </c>
      <c r="R516">
        <v>0</v>
      </c>
      <c r="S516">
        <v>1</v>
      </c>
      <c r="T516">
        <v>1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 t="s">
        <v>4456</v>
      </c>
      <c r="AB516" t="s">
        <v>1274</v>
      </c>
      <c r="AC516" t="s">
        <v>4456</v>
      </c>
      <c r="AD516" t="e">
        <f>VLOOKUP(AB516,#REF!,2,FALSE)</f>
        <v>#REF!</v>
      </c>
      <c r="AE516" t="e">
        <f>RIGHT(#REF!,(FIND("Complex",#REF!,1)-5))</f>
        <v>#REF!</v>
      </c>
    </row>
    <row r="517" spans="1:31" x14ac:dyDescent="0.25">
      <c r="A517">
        <v>2901</v>
      </c>
      <c r="B517" t="s">
        <v>252</v>
      </c>
      <c r="C517">
        <v>48</v>
      </c>
      <c r="D517">
        <v>636</v>
      </c>
      <c r="E517">
        <v>2901</v>
      </c>
      <c r="F517">
        <v>6615001</v>
      </c>
      <c r="G517">
        <v>6703200</v>
      </c>
      <c r="H517">
        <f t="shared" si="16"/>
        <v>150.00002267573697</v>
      </c>
      <c r="I517">
        <f t="shared" si="17"/>
        <v>152</v>
      </c>
      <c r="J517" t="s">
        <v>29</v>
      </c>
      <c r="K517">
        <v>4</v>
      </c>
      <c r="L517" t="e">
        <f t="array" ref="L517">VLOOKUP(J517:$J$3871&amp;K517:$K$3871,CHOOSE({1,2},#REF!&amp;#REF!,#REF!),2,0)</f>
        <v>#N/A</v>
      </c>
      <c r="M517">
        <v>0</v>
      </c>
      <c r="N517">
        <v>1</v>
      </c>
      <c r="O517" t="s">
        <v>23</v>
      </c>
      <c r="P517">
        <v>1</v>
      </c>
      <c r="Q517">
        <v>0</v>
      </c>
      <c r="R517">
        <v>0</v>
      </c>
      <c r="S517">
        <v>1</v>
      </c>
      <c r="T517">
        <v>1</v>
      </c>
      <c r="U517">
        <v>1</v>
      </c>
      <c r="V517">
        <v>0</v>
      </c>
      <c r="W517">
        <v>0</v>
      </c>
      <c r="X517">
        <v>0</v>
      </c>
      <c r="Y517">
        <v>0</v>
      </c>
      <c r="Z517">
        <v>0</v>
      </c>
      <c r="AA517" t="s">
        <v>4547</v>
      </c>
      <c r="AB517" t="s">
        <v>6959</v>
      </c>
      <c r="AC517" t="s">
        <v>4547</v>
      </c>
      <c r="AD517" t="e">
        <f>VLOOKUP(AB517,#REF!,2,FALSE)</f>
        <v>#REF!</v>
      </c>
      <c r="AE517" t="e">
        <f>RIGHT(#REF!,(FIND("Complex",#REF!,1)-5))</f>
        <v>#REF!</v>
      </c>
    </row>
    <row r="518" spans="1:31" x14ac:dyDescent="0.25">
      <c r="A518">
        <v>2142</v>
      </c>
      <c r="B518" t="s">
        <v>24</v>
      </c>
      <c r="C518">
        <v>49</v>
      </c>
      <c r="D518">
        <v>386</v>
      </c>
      <c r="E518">
        <v>2142</v>
      </c>
      <c r="F518">
        <v>3969001</v>
      </c>
      <c r="G518">
        <v>4057200</v>
      </c>
      <c r="H518">
        <f t="shared" si="16"/>
        <v>90.000022675736957</v>
      </c>
      <c r="I518">
        <f t="shared" si="17"/>
        <v>92</v>
      </c>
      <c r="J518" t="s">
        <v>29</v>
      </c>
      <c r="K518">
        <v>4</v>
      </c>
      <c r="L518" t="e">
        <f t="array" ref="L518">VLOOKUP(J518:$J$3871&amp;K518:$K$3871,CHOOSE({1,2},#REF!&amp;#REF!,#REF!),2,0)</f>
        <v>#N/A</v>
      </c>
      <c r="M518">
        <v>0</v>
      </c>
      <c r="N518">
        <v>1</v>
      </c>
      <c r="O518" t="s">
        <v>23</v>
      </c>
      <c r="P518">
        <v>1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1</v>
      </c>
      <c r="Y518">
        <v>0</v>
      </c>
      <c r="Z518">
        <v>0</v>
      </c>
      <c r="AA518" t="s">
        <v>3556</v>
      </c>
      <c r="AB518" t="s">
        <v>287</v>
      </c>
      <c r="AC518" t="s">
        <v>3556</v>
      </c>
      <c r="AD518" t="e">
        <f>VLOOKUP(AB518,#REF!,2,FALSE)</f>
        <v>#REF!</v>
      </c>
      <c r="AE518" t="e">
        <f>RIGHT(#REF!,(FIND("Complex",#REF!,1)-6))</f>
        <v>#REF!</v>
      </c>
    </row>
    <row r="519" spans="1:31" x14ac:dyDescent="0.25">
      <c r="A519">
        <v>431</v>
      </c>
      <c r="B519" t="s">
        <v>24</v>
      </c>
      <c r="C519">
        <v>49</v>
      </c>
      <c r="D519">
        <v>78</v>
      </c>
      <c r="E519">
        <v>431</v>
      </c>
      <c r="F519">
        <v>2734201</v>
      </c>
      <c r="G519">
        <v>2822400</v>
      </c>
      <c r="H519">
        <f t="shared" si="16"/>
        <v>62.000022675736965</v>
      </c>
      <c r="I519">
        <f t="shared" si="17"/>
        <v>64</v>
      </c>
      <c r="J519" t="s">
        <v>29</v>
      </c>
      <c r="K519">
        <v>4</v>
      </c>
      <c r="L519" t="e">
        <f t="array" ref="L519">VLOOKUP(J519:$J$3871&amp;K519:$K$3871,CHOOSE({1,2},#REF!&amp;#REF!,#REF!),2,0)</f>
        <v>#N/A</v>
      </c>
      <c r="M519">
        <v>0</v>
      </c>
      <c r="N519">
        <v>1</v>
      </c>
      <c r="O519" t="s">
        <v>23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1</v>
      </c>
      <c r="Y519">
        <v>0</v>
      </c>
      <c r="Z519">
        <v>0</v>
      </c>
      <c r="AA519" t="s">
        <v>3762</v>
      </c>
      <c r="AB519" t="s">
        <v>1289</v>
      </c>
      <c r="AC519" t="s">
        <v>3762</v>
      </c>
      <c r="AD519" t="e">
        <f>VLOOKUP(AB519,#REF!,2,FALSE)</f>
        <v>#REF!</v>
      </c>
      <c r="AE519" t="e">
        <f>RIGHT(#REF!,(FIND("Complex",#REF!,1)-5))</f>
        <v>#REF!</v>
      </c>
    </row>
    <row r="520" spans="1:31" x14ac:dyDescent="0.25">
      <c r="A520">
        <v>2804</v>
      </c>
      <c r="B520" t="s">
        <v>24</v>
      </c>
      <c r="C520">
        <v>49</v>
      </c>
      <c r="D520">
        <v>605</v>
      </c>
      <c r="E520">
        <v>2804</v>
      </c>
      <c r="F520">
        <v>1940401</v>
      </c>
      <c r="G520">
        <v>2028600</v>
      </c>
      <c r="H520">
        <f t="shared" si="16"/>
        <v>44.000022675736965</v>
      </c>
      <c r="I520">
        <f t="shared" si="17"/>
        <v>46</v>
      </c>
      <c r="J520" t="s">
        <v>29</v>
      </c>
      <c r="K520">
        <v>4</v>
      </c>
      <c r="L520" t="e">
        <f t="array" ref="L520">VLOOKUP(J520:$J$3871&amp;K520:$K$3871,CHOOSE({1,2},#REF!&amp;#REF!,#REF!),2,0)</f>
        <v>#N/A</v>
      </c>
      <c r="M520">
        <v>0</v>
      </c>
      <c r="N520">
        <v>1</v>
      </c>
      <c r="O520" t="s">
        <v>23</v>
      </c>
      <c r="P520">
        <v>1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1</v>
      </c>
      <c r="Y520">
        <v>0</v>
      </c>
      <c r="Z520">
        <v>0</v>
      </c>
      <c r="AA520" t="s">
        <v>3914</v>
      </c>
      <c r="AB520" t="s">
        <v>6546</v>
      </c>
      <c r="AC520" t="s">
        <v>3914</v>
      </c>
      <c r="AD520" t="e">
        <f>VLOOKUP(AB520,#REF!,2,FALSE)</f>
        <v>#REF!</v>
      </c>
      <c r="AE520" t="e">
        <f>RIGHT(#REF!,(FIND("Complex",#REF!,1)-6))</f>
        <v>#REF!</v>
      </c>
    </row>
    <row r="521" spans="1:31" x14ac:dyDescent="0.25">
      <c r="A521">
        <v>2488</v>
      </c>
      <c r="B521" t="s">
        <v>27</v>
      </c>
      <c r="C521">
        <v>52</v>
      </c>
      <c r="D521">
        <v>480</v>
      </c>
      <c r="E521">
        <v>2488</v>
      </c>
      <c r="F521">
        <v>8643601</v>
      </c>
      <c r="G521">
        <v>8731800</v>
      </c>
      <c r="H521">
        <f t="shared" si="16"/>
        <v>196.00002267573697</v>
      </c>
      <c r="I521">
        <f t="shared" si="17"/>
        <v>198</v>
      </c>
      <c r="J521" t="s">
        <v>29</v>
      </c>
      <c r="K521">
        <v>4</v>
      </c>
      <c r="L521" t="e">
        <f t="array" ref="L521">VLOOKUP(J521:$J$3871&amp;K521:$K$3871,CHOOSE({1,2},#REF!&amp;#REF!,#REF!),2,0)</f>
        <v>#N/A</v>
      </c>
      <c r="M521">
        <v>0</v>
      </c>
      <c r="N521">
        <v>1</v>
      </c>
      <c r="O521" t="s">
        <v>23</v>
      </c>
      <c r="P521">
        <v>1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 t="s">
        <v>4344</v>
      </c>
      <c r="AB521" t="s">
        <v>6821</v>
      </c>
      <c r="AC521" t="s">
        <v>4344</v>
      </c>
      <c r="AD521" t="e">
        <f>VLOOKUP(AB521,#REF!,2,FALSE)</f>
        <v>#REF!</v>
      </c>
      <c r="AE521" t="e">
        <f>RIGHT(#REF!,(FIND("Complex",#REF!,1)-5))</f>
        <v>#REF!</v>
      </c>
    </row>
    <row r="522" spans="1:31" x14ac:dyDescent="0.25">
      <c r="A522">
        <v>2664</v>
      </c>
      <c r="B522" t="s">
        <v>27</v>
      </c>
      <c r="C522">
        <v>52</v>
      </c>
      <c r="D522">
        <v>546</v>
      </c>
      <c r="E522">
        <v>2664</v>
      </c>
      <c r="F522">
        <v>7761601</v>
      </c>
      <c r="G522">
        <v>7849800</v>
      </c>
      <c r="H522">
        <f t="shared" si="16"/>
        <v>176.00002267573697</v>
      </c>
      <c r="I522">
        <f t="shared" si="17"/>
        <v>178</v>
      </c>
      <c r="J522" t="s">
        <v>29</v>
      </c>
      <c r="K522">
        <v>4</v>
      </c>
      <c r="L522" t="e">
        <f t="array" ref="L522">VLOOKUP(J522:$J$3871&amp;K522:$K$3871,CHOOSE({1,2},#REF!&amp;#REF!,#REF!),2,0)</f>
        <v>#N/A</v>
      </c>
      <c r="M522">
        <v>0</v>
      </c>
      <c r="N522">
        <v>1</v>
      </c>
      <c r="O522" t="s">
        <v>23</v>
      </c>
      <c r="P522">
        <v>1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1</v>
      </c>
      <c r="Y522">
        <v>0</v>
      </c>
      <c r="Z522">
        <v>0</v>
      </c>
      <c r="AA522" t="s">
        <v>4426</v>
      </c>
      <c r="AB522" t="s">
        <v>1346</v>
      </c>
      <c r="AC522" t="s">
        <v>4426</v>
      </c>
      <c r="AD522" t="e">
        <f>VLOOKUP(AB522,#REF!,2,FALSE)</f>
        <v>#REF!</v>
      </c>
      <c r="AE522" t="e">
        <f>RIGHT(#REF!,(FIND("Complex",#REF!,1)-5))</f>
        <v>#REF!</v>
      </c>
    </row>
    <row r="523" spans="1:31" x14ac:dyDescent="0.25">
      <c r="A523">
        <v>62</v>
      </c>
      <c r="B523" t="s">
        <v>27</v>
      </c>
      <c r="C523">
        <v>52</v>
      </c>
      <c r="D523">
        <v>10</v>
      </c>
      <c r="E523">
        <v>62</v>
      </c>
      <c r="F523">
        <v>5292001</v>
      </c>
      <c r="G523">
        <v>5380200</v>
      </c>
      <c r="H523">
        <f t="shared" si="16"/>
        <v>120.00002267573696</v>
      </c>
      <c r="I523">
        <f t="shared" si="17"/>
        <v>122</v>
      </c>
      <c r="J523" t="s">
        <v>29</v>
      </c>
      <c r="K523">
        <v>4</v>
      </c>
      <c r="L523" t="e">
        <f t="array" ref="L523">VLOOKUP(J523:$J$3871&amp;K523:$K$3871,CHOOSE({1,2},#REF!&amp;#REF!,#REF!),2,0)</f>
        <v>#N/A</v>
      </c>
      <c r="M523">
        <v>0</v>
      </c>
      <c r="N523">
        <v>1</v>
      </c>
      <c r="O523" t="s">
        <v>23</v>
      </c>
      <c r="P523">
        <v>1</v>
      </c>
      <c r="Q523">
        <v>0</v>
      </c>
      <c r="R523">
        <v>0</v>
      </c>
      <c r="S523">
        <v>0</v>
      </c>
      <c r="T523">
        <v>1</v>
      </c>
      <c r="U523">
        <v>0</v>
      </c>
      <c r="V523">
        <v>0</v>
      </c>
      <c r="W523">
        <v>0</v>
      </c>
      <c r="X523">
        <v>1</v>
      </c>
      <c r="Y523">
        <v>1</v>
      </c>
      <c r="Z523">
        <v>0</v>
      </c>
      <c r="AA523" t="s">
        <v>4713</v>
      </c>
      <c r="AB523" t="s">
        <v>7062</v>
      </c>
      <c r="AC523" t="s">
        <v>4713</v>
      </c>
      <c r="AD523" t="e">
        <f>VLOOKUP(AB523,#REF!,2,FALSE)</f>
        <v>#REF!</v>
      </c>
      <c r="AE523" t="e">
        <f>RIGHT(#REF!,(FIND("Complex",#REF!,1)-3))</f>
        <v>#REF!</v>
      </c>
    </row>
    <row r="524" spans="1:31" x14ac:dyDescent="0.25">
      <c r="A524">
        <v>3163</v>
      </c>
      <c r="B524" t="s">
        <v>27</v>
      </c>
      <c r="C524">
        <v>52</v>
      </c>
      <c r="D524">
        <v>751</v>
      </c>
      <c r="E524">
        <v>3163</v>
      </c>
      <c r="F524">
        <v>5203801</v>
      </c>
      <c r="G524">
        <v>5292000</v>
      </c>
      <c r="H524">
        <f t="shared" si="16"/>
        <v>118.00002267573696</v>
      </c>
      <c r="I524">
        <f t="shared" si="17"/>
        <v>120</v>
      </c>
      <c r="J524" t="s">
        <v>29</v>
      </c>
      <c r="K524">
        <v>4</v>
      </c>
      <c r="L524" t="e">
        <f t="array" ref="L524">VLOOKUP(J524:$J$3871&amp;K524:$K$3871,CHOOSE({1,2},#REF!&amp;#REF!,#REF!),2,0)</f>
        <v>#N/A</v>
      </c>
      <c r="M524">
        <v>0</v>
      </c>
      <c r="N524">
        <v>1</v>
      </c>
      <c r="O524" t="s">
        <v>23</v>
      </c>
      <c r="P524">
        <v>1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1</v>
      </c>
      <c r="Y524">
        <v>1</v>
      </c>
      <c r="Z524">
        <v>0</v>
      </c>
      <c r="AA524" t="s">
        <v>4744</v>
      </c>
      <c r="AB524" t="s">
        <v>7080</v>
      </c>
      <c r="AC524" t="s">
        <v>4744</v>
      </c>
      <c r="AD524" t="e">
        <f>VLOOKUP(AB524,#REF!,2,FALSE)</f>
        <v>#REF!</v>
      </c>
      <c r="AE524" t="e">
        <f>RIGHT(#REF!,(FIND("Complex",#REF!,1)-5))</f>
        <v>#REF!</v>
      </c>
    </row>
    <row r="525" spans="1:31" x14ac:dyDescent="0.25">
      <c r="A525">
        <v>2224</v>
      </c>
      <c r="B525" t="s">
        <v>27</v>
      </c>
      <c r="C525">
        <v>52</v>
      </c>
      <c r="D525">
        <v>404</v>
      </c>
      <c r="E525">
        <v>2224</v>
      </c>
      <c r="F525">
        <v>4762801</v>
      </c>
      <c r="G525">
        <v>4851000</v>
      </c>
      <c r="H525">
        <f t="shared" si="16"/>
        <v>108.00002267573696</v>
      </c>
      <c r="I525">
        <f t="shared" si="17"/>
        <v>110</v>
      </c>
      <c r="J525" t="s">
        <v>29</v>
      </c>
      <c r="K525">
        <v>4</v>
      </c>
      <c r="L525" t="e">
        <f t="array" ref="L525">VLOOKUP(J525:$J$3871&amp;K525:$K$3871,CHOOSE({1,2},#REF!&amp;#REF!,#REF!),2,0)</f>
        <v>#N/A</v>
      </c>
      <c r="M525">
        <v>0</v>
      </c>
      <c r="N525">
        <v>1</v>
      </c>
      <c r="O525" t="s">
        <v>23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1</v>
      </c>
      <c r="Z525">
        <v>0</v>
      </c>
      <c r="AA525" t="s">
        <v>4793</v>
      </c>
      <c r="AB525" t="s">
        <v>7104</v>
      </c>
      <c r="AC525" t="s">
        <v>4793</v>
      </c>
      <c r="AD525" t="e">
        <f>VLOOKUP(AB525,#REF!,2,FALSE)</f>
        <v>#REF!</v>
      </c>
      <c r="AE525" t="e">
        <f>RIGHT(#REF!,(FIND("Complex",#REF!,1)-5))</f>
        <v>#REF!</v>
      </c>
    </row>
    <row r="526" spans="1:31" x14ac:dyDescent="0.25">
      <c r="A526">
        <v>945</v>
      </c>
      <c r="B526" t="s">
        <v>253</v>
      </c>
      <c r="C526">
        <v>55</v>
      </c>
      <c r="D526">
        <v>168</v>
      </c>
      <c r="E526">
        <v>945</v>
      </c>
      <c r="F526">
        <v>3880801</v>
      </c>
      <c r="G526">
        <v>3969000</v>
      </c>
      <c r="H526">
        <f t="shared" si="16"/>
        <v>88.000022675736957</v>
      </c>
      <c r="I526">
        <f t="shared" si="17"/>
        <v>90</v>
      </c>
      <c r="J526" t="s">
        <v>29</v>
      </c>
      <c r="K526">
        <v>4</v>
      </c>
      <c r="L526" t="e">
        <f t="array" ref="L526">VLOOKUP(J526:$J$3871&amp;K526:$K$3871,CHOOSE({1,2},#REF!&amp;#REF!,#REF!),2,0)</f>
        <v>#N/A</v>
      </c>
      <c r="M526">
        <v>0</v>
      </c>
      <c r="N526">
        <v>1</v>
      </c>
      <c r="O526" t="s">
        <v>23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1</v>
      </c>
      <c r="Y526">
        <v>0</v>
      </c>
      <c r="Z526">
        <v>0</v>
      </c>
      <c r="AA526" t="s">
        <v>3573</v>
      </c>
      <c r="AB526" t="s">
        <v>6354</v>
      </c>
      <c r="AC526" t="s">
        <v>3573</v>
      </c>
      <c r="AD526" t="e">
        <f>VLOOKUP(AB526,#REF!,2,FALSE)</f>
        <v>#REF!</v>
      </c>
      <c r="AE526" t="e">
        <f>RIGHT(#REF!,(FIND("Complex",#REF!,1)-5))</f>
        <v>#REF!</v>
      </c>
    </row>
    <row r="527" spans="1:31" x14ac:dyDescent="0.25">
      <c r="A527">
        <v>3284</v>
      </c>
      <c r="B527" t="s">
        <v>253</v>
      </c>
      <c r="C527">
        <v>55</v>
      </c>
      <c r="D527">
        <v>823</v>
      </c>
      <c r="E527">
        <v>3284</v>
      </c>
      <c r="F527">
        <v>3704401</v>
      </c>
      <c r="G527">
        <v>3792600</v>
      </c>
      <c r="H527">
        <f t="shared" si="16"/>
        <v>84.000022675736957</v>
      </c>
      <c r="I527">
        <f t="shared" si="17"/>
        <v>86</v>
      </c>
      <c r="J527" t="s">
        <v>29</v>
      </c>
      <c r="K527">
        <v>4</v>
      </c>
      <c r="L527" t="e">
        <f t="array" ref="L527">VLOOKUP(J527:$J$3871&amp;K527:$K$3871,CHOOSE({1,2},#REF!&amp;#REF!,#REF!),2,0)</f>
        <v>#N/A</v>
      </c>
      <c r="M527">
        <v>0</v>
      </c>
      <c r="N527">
        <v>1</v>
      </c>
      <c r="O527" t="s">
        <v>23</v>
      </c>
      <c r="P527">
        <v>1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0</v>
      </c>
      <c r="AA527" t="s">
        <v>3597</v>
      </c>
      <c r="AB527" t="s">
        <v>6366</v>
      </c>
      <c r="AC527" t="s">
        <v>3597</v>
      </c>
      <c r="AD527" t="e">
        <f>VLOOKUP(AB527,#REF!,2,FALSE)</f>
        <v>#REF!</v>
      </c>
      <c r="AE527" t="e">
        <f>RIGHT(#REF!,(FIND("Complex",#REF!,1)-6))</f>
        <v>#REF!</v>
      </c>
    </row>
    <row r="528" spans="1:31" x14ac:dyDescent="0.25">
      <c r="A528">
        <v>2571</v>
      </c>
      <c r="B528" t="s">
        <v>253</v>
      </c>
      <c r="C528">
        <v>55</v>
      </c>
      <c r="D528">
        <v>516</v>
      </c>
      <c r="E528">
        <v>2571</v>
      </c>
      <c r="F528">
        <v>2998801</v>
      </c>
      <c r="G528">
        <v>3087000</v>
      </c>
      <c r="H528">
        <f t="shared" si="16"/>
        <v>68.000022675736957</v>
      </c>
      <c r="I528">
        <f t="shared" si="17"/>
        <v>70</v>
      </c>
      <c r="J528" t="s">
        <v>29</v>
      </c>
      <c r="K528">
        <v>4</v>
      </c>
      <c r="L528" t="e">
        <f t="array" ref="L528">VLOOKUP(J528:$J$3871&amp;K528:$K$3871,CHOOSE({1,2},#REF!&amp;#REF!,#REF!),2,0)</f>
        <v>#N/A</v>
      </c>
      <c r="M528">
        <v>0</v>
      </c>
      <c r="N528">
        <v>1</v>
      </c>
      <c r="O528" t="s">
        <v>23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1</v>
      </c>
      <c r="Y528">
        <v>0</v>
      </c>
      <c r="Z528">
        <v>0</v>
      </c>
      <c r="AA528" t="s">
        <v>3726</v>
      </c>
      <c r="AB528" t="s">
        <v>6435</v>
      </c>
      <c r="AC528" t="s">
        <v>3726</v>
      </c>
      <c r="AD528" t="e">
        <f>VLOOKUP(AB528,#REF!,2,FALSE)</f>
        <v>#REF!</v>
      </c>
      <c r="AE528" t="e">
        <f>RIGHT(#REF!,(FIND("Complex",#REF!,1)-6))</f>
        <v>#REF!</v>
      </c>
    </row>
    <row r="529" spans="1:31" x14ac:dyDescent="0.25">
      <c r="A529">
        <v>128</v>
      </c>
      <c r="B529" t="s">
        <v>253</v>
      </c>
      <c r="C529">
        <v>55</v>
      </c>
      <c r="D529">
        <v>24</v>
      </c>
      <c r="E529">
        <v>128</v>
      </c>
      <c r="F529">
        <v>2381401</v>
      </c>
      <c r="G529">
        <v>2469600</v>
      </c>
      <c r="H529">
        <f t="shared" si="16"/>
        <v>54.000022675736965</v>
      </c>
      <c r="I529">
        <f t="shared" si="17"/>
        <v>56</v>
      </c>
      <c r="J529" t="s">
        <v>29</v>
      </c>
      <c r="K529">
        <v>4</v>
      </c>
      <c r="L529" t="e">
        <f t="array" ref="L529">VLOOKUP(J529:$J$3871&amp;K529:$K$3871,CHOOSE({1,2},#REF!&amp;#REF!,#REF!),2,0)</f>
        <v>#N/A</v>
      </c>
      <c r="M529">
        <v>0</v>
      </c>
      <c r="N529">
        <v>1</v>
      </c>
      <c r="O529" t="s">
        <v>23</v>
      </c>
      <c r="P529">
        <v>1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1</v>
      </c>
      <c r="Y529">
        <v>0</v>
      </c>
      <c r="Z529">
        <v>0</v>
      </c>
      <c r="AA529" t="s">
        <v>3847</v>
      </c>
      <c r="AB529" t="s">
        <v>6507</v>
      </c>
      <c r="AC529" t="s">
        <v>3847</v>
      </c>
      <c r="AD529" t="e">
        <f>VLOOKUP(AB529,#REF!,2,FALSE)</f>
        <v>#REF!</v>
      </c>
      <c r="AE529" t="e">
        <f>RIGHT(#REF!,(FIND("Complex",#REF!,1)-5))</f>
        <v>#REF!</v>
      </c>
    </row>
    <row r="530" spans="1:31" x14ac:dyDescent="0.25">
      <c r="A530">
        <v>75</v>
      </c>
      <c r="B530" t="s">
        <v>253</v>
      </c>
      <c r="C530">
        <v>55</v>
      </c>
      <c r="D530">
        <v>12</v>
      </c>
      <c r="E530">
        <v>75</v>
      </c>
      <c r="F530">
        <v>2293201</v>
      </c>
      <c r="G530">
        <v>2381400</v>
      </c>
      <c r="H530">
        <f t="shared" si="16"/>
        <v>52.000022675736965</v>
      </c>
      <c r="I530">
        <f t="shared" si="17"/>
        <v>54</v>
      </c>
      <c r="J530" t="s">
        <v>29</v>
      </c>
      <c r="K530">
        <v>4</v>
      </c>
      <c r="L530" t="e">
        <f t="array" ref="L530">VLOOKUP(J530:$J$3871&amp;K530:$K$3871,CHOOSE({1,2},#REF!&amp;#REF!,#REF!),2,0)</f>
        <v>#N/A</v>
      </c>
      <c r="M530">
        <v>0</v>
      </c>
      <c r="N530">
        <v>1</v>
      </c>
      <c r="O530" t="s">
        <v>23</v>
      </c>
      <c r="P530">
        <v>1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1</v>
      </c>
      <c r="Y530">
        <v>0</v>
      </c>
      <c r="Z530">
        <v>0</v>
      </c>
      <c r="AA530" t="s">
        <v>3860</v>
      </c>
      <c r="AB530" t="s">
        <v>6514</v>
      </c>
      <c r="AC530" t="s">
        <v>3860</v>
      </c>
      <c r="AD530" t="e">
        <f>VLOOKUP(AB530,#REF!,2,FALSE)</f>
        <v>#REF!</v>
      </c>
      <c r="AE530" t="e">
        <f>RIGHT(#REF!,(FIND("Complex",#REF!,1)-4))</f>
        <v>#REF!</v>
      </c>
    </row>
    <row r="531" spans="1:31" x14ac:dyDescent="0.25">
      <c r="A531">
        <v>2592</v>
      </c>
      <c r="B531" t="s">
        <v>253</v>
      </c>
      <c r="C531">
        <v>55</v>
      </c>
      <c r="D531">
        <v>520</v>
      </c>
      <c r="E531">
        <v>2592</v>
      </c>
      <c r="F531">
        <v>2205001</v>
      </c>
      <c r="G531">
        <v>2293200</v>
      </c>
      <c r="H531">
        <f t="shared" si="16"/>
        <v>50.000022675736965</v>
      </c>
      <c r="I531">
        <f t="shared" si="17"/>
        <v>52</v>
      </c>
      <c r="J531" t="s">
        <v>29</v>
      </c>
      <c r="K531">
        <v>4</v>
      </c>
      <c r="L531" t="e">
        <f t="array" ref="L531">VLOOKUP(J531:$J$3871&amp;K531:$K$3871,CHOOSE({1,2},#REF!&amp;#REF!,#REF!),2,0)</f>
        <v>#N/A</v>
      </c>
      <c r="M531">
        <v>0</v>
      </c>
      <c r="N531">
        <v>1</v>
      </c>
      <c r="O531" t="s">
        <v>23</v>
      </c>
      <c r="P531">
        <v>1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1</v>
      </c>
      <c r="Y531">
        <v>0</v>
      </c>
      <c r="Z531">
        <v>0</v>
      </c>
      <c r="AA531" t="s">
        <v>3873</v>
      </c>
      <c r="AB531" t="s">
        <v>1391</v>
      </c>
      <c r="AC531" t="s">
        <v>3873</v>
      </c>
      <c r="AD531" t="e">
        <f>VLOOKUP(AB531,#REF!,2,FALSE)</f>
        <v>#REF!</v>
      </c>
      <c r="AE531" t="e">
        <f>RIGHT(#REF!,(FIND("Complex",#REF!,1)-6))</f>
        <v>#REF!</v>
      </c>
    </row>
    <row r="532" spans="1:31" x14ac:dyDescent="0.25">
      <c r="A532">
        <v>530</v>
      </c>
      <c r="B532" t="s">
        <v>253</v>
      </c>
      <c r="C532">
        <v>55</v>
      </c>
      <c r="D532">
        <v>92</v>
      </c>
      <c r="E532">
        <v>530</v>
      </c>
      <c r="F532">
        <v>1852201</v>
      </c>
      <c r="G532">
        <v>1940400</v>
      </c>
      <c r="H532">
        <f t="shared" si="16"/>
        <v>42.000022675736965</v>
      </c>
      <c r="I532">
        <f t="shared" si="17"/>
        <v>44</v>
      </c>
      <c r="J532" t="s">
        <v>29</v>
      </c>
      <c r="K532">
        <v>4</v>
      </c>
      <c r="L532" t="e">
        <f t="array" ref="L532">VLOOKUP(J532:$J$3871&amp;K532:$K$3871,CHOOSE({1,2},#REF!&amp;#REF!,#REF!),2,0)</f>
        <v>#N/A</v>
      </c>
      <c r="M532">
        <v>0</v>
      </c>
      <c r="N532">
        <v>1</v>
      </c>
      <c r="O532" t="s">
        <v>23</v>
      </c>
      <c r="P532">
        <v>1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1</v>
      </c>
      <c r="Y532">
        <v>0</v>
      </c>
      <c r="Z532">
        <v>0</v>
      </c>
      <c r="AA532" t="s">
        <v>3932</v>
      </c>
      <c r="AB532" t="s">
        <v>6560</v>
      </c>
      <c r="AC532" t="s">
        <v>3932</v>
      </c>
      <c r="AD532" t="e">
        <f>VLOOKUP(AB532,#REF!,2,FALSE)</f>
        <v>#REF!</v>
      </c>
      <c r="AE532" t="e">
        <f>RIGHT(#REF!,(FIND("Complex",#REF!,1)-5))</f>
        <v>#REF!</v>
      </c>
    </row>
    <row r="533" spans="1:31" x14ac:dyDescent="0.25">
      <c r="A533">
        <v>1741</v>
      </c>
      <c r="B533" t="s">
        <v>253</v>
      </c>
      <c r="C533">
        <v>55</v>
      </c>
      <c r="D533">
        <v>302</v>
      </c>
      <c r="E533">
        <v>1741</v>
      </c>
      <c r="F533">
        <v>10495801</v>
      </c>
      <c r="G533">
        <v>10584000</v>
      </c>
      <c r="H533">
        <f t="shared" si="16"/>
        <v>238.00002267573697</v>
      </c>
      <c r="I533">
        <f t="shared" si="17"/>
        <v>240</v>
      </c>
      <c r="J533" t="s">
        <v>29</v>
      </c>
      <c r="K533">
        <v>4</v>
      </c>
      <c r="L533" t="e">
        <f t="array" ref="L533">VLOOKUP(J533:$J$3871&amp;K533:$K$3871,CHOOSE({1,2},#REF!&amp;#REF!,#REF!),2,0)</f>
        <v>#N/A</v>
      </c>
      <c r="M533">
        <v>0</v>
      </c>
      <c r="N533">
        <v>1</v>
      </c>
      <c r="O533" t="s">
        <v>23</v>
      </c>
      <c r="P533">
        <v>1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1</v>
      </c>
      <c r="Y533">
        <v>0</v>
      </c>
      <c r="Z533">
        <v>0</v>
      </c>
      <c r="AA533" t="s">
        <v>4201</v>
      </c>
      <c r="AB533" t="s">
        <v>6739</v>
      </c>
      <c r="AC533" t="s">
        <v>4201</v>
      </c>
      <c r="AD533" t="e">
        <f>VLOOKUP(AB533,#REF!,2,FALSE)</f>
        <v>#REF!</v>
      </c>
      <c r="AE533" t="e">
        <f>RIGHT(#REF!,(FIND("Complex",#REF!,1)-5))</f>
        <v>#REF!</v>
      </c>
    </row>
    <row r="534" spans="1:31" x14ac:dyDescent="0.25">
      <c r="A534">
        <v>2448</v>
      </c>
      <c r="B534" t="s">
        <v>253</v>
      </c>
      <c r="C534">
        <v>55</v>
      </c>
      <c r="D534">
        <v>468</v>
      </c>
      <c r="E534">
        <v>2448</v>
      </c>
      <c r="F534">
        <v>9878401</v>
      </c>
      <c r="G534">
        <v>9966600</v>
      </c>
      <c r="H534">
        <f t="shared" si="16"/>
        <v>224.00002267573697</v>
      </c>
      <c r="I534">
        <f t="shared" si="17"/>
        <v>226</v>
      </c>
      <c r="J534" t="s">
        <v>29</v>
      </c>
      <c r="K534">
        <v>4</v>
      </c>
      <c r="L534" t="e">
        <f t="array" ref="L534">VLOOKUP(J534:$J$3871&amp;K534:$K$3871,CHOOSE({1,2},#REF!&amp;#REF!,#REF!),2,0)</f>
        <v>#N/A</v>
      </c>
      <c r="M534">
        <v>0</v>
      </c>
      <c r="N534">
        <v>1</v>
      </c>
      <c r="O534" t="s">
        <v>23</v>
      </c>
      <c r="P534">
        <v>1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1</v>
      </c>
      <c r="Y534">
        <v>0</v>
      </c>
      <c r="Z534">
        <v>0</v>
      </c>
      <c r="AA534" t="s">
        <v>4225</v>
      </c>
      <c r="AB534" t="s">
        <v>6759</v>
      </c>
      <c r="AC534" t="s">
        <v>4225</v>
      </c>
      <c r="AD534" t="e">
        <f>VLOOKUP(AB534,#REF!,2,FALSE)</f>
        <v>#REF!</v>
      </c>
      <c r="AE534" t="e">
        <f>RIGHT(#REF!,(FIND("Complex",#REF!,1)-5))</f>
        <v>#REF!</v>
      </c>
    </row>
    <row r="535" spans="1:31" x14ac:dyDescent="0.25">
      <c r="A535">
        <v>3231</v>
      </c>
      <c r="B535" t="s">
        <v>253</v>
      </c>
      <c r="C535">
        <v>55</v>
      </c>
      <c r="D535">
        <v>788</v>
      </c>
      <c r="E535">
        <v>3231</v>
      </c>
      <c r="F535">
        <v>8996401</v>
      </c>
      <c r="G535">
        <v>9084600</v>
      </c>
      <c r="H535">
        <f t="shared" si="16"/>
        <v>204.00002267573697</v>
      </c>
      <c r="I535">
        <f t="shared" si="17"/>
        <v>206</v>
      </c>
      <c r="J535" t="s">
        <v>29</v>
      </c>
      <c r="K535">
        <v>4</v>
      </c>
      <c r="L535" t="e">
        <f t="array" ref="L535">VLOOKUP(J535:$J$3871&amp;K535:$K$3871,CHOOSE({1,2},#REF!&amp;#REF!,#REF!),2,0)</f>
        <v>#N/A</v>
      </c>
      <c r="M535">
        <v>0</v>
      </c>
      <c r="N535">
        <v>1</v>
      </c>
      <c r="O535" t="s">
        <v>23</v>
      </c>
      <c r="P535">
        <v>1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1</v>
      </c>
      <c r="Y535">
        <v>0</v>
      </c>
      <c r="Z535">
        <v>0</v>
      </c>
      <c r="AA535" t="s">
        <v>4282</v>
      </c>
      <c r="AB535" t="s">
        <v>6791</v>
      </c>
      <c r="AC535" t="s">
        <v>4282</v>
      </c>
      <c r="AD535" t="e">
        <f>VLOOKUP(AB535,#REF!,2,FALSE)</f>
        <v>#REF!</v>
      </c>
      <c r="AE535" t="e">
        <f>RIGHT(#REF!,(FIND("Complex",#REF!,1)-5))</f>
        <v>#REF!</v>
      </c>
    </row>
    <row r="536" spans="1:31" x14ac:dyDescent="0.25">
      <c r="A536">
        <v>3075</v>
      </c>
      <c r="B536" t="s">
        <v>253</v>
      </c>
      <c r="C536">
        <v>55</v>
      </c>
      <c r="D536">
        <v>715</v>
      </c>
      <c r="E536">
        <v>3075</v>
      </c>
      <c r="F536">
        <v>5821201</v>
      </c>
      <c r="G536">
        <v>5909400</v>
      </c>
      <c r="H536">
        <f t="shared" si="16"/>
        <v>132.00002267573697</v>
      </c>
      <c r="I536">
        <f t="shared" si="17"/>
        <v>134</v>
      </c>
      <c r="J536" t="s">
        <v>29</v>
      </c>
      <c r="K536">
        <v>4</v>
      </c>
      <c r="L536" t="e">
        <f t="array" ref="L536">VLOOKUP(J536:$J$3871&amp;K536:$K$3871,CHOOSE({1,2},#REF!&amp;#REF!,#REF!),2,0)</f>
        <v>#N/A</v>
      </c>
      <c r="M536">
        <v>0</v>
      </c>
      <c r="N536">
        <v>1</v>
      </c>
      <c r="O536" t="s">
        <v>23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1</v>
      </c>
      <c r="Y536">
        <v>0</v>
      </c>
      <c r="Z536">
        <v>0</v>
      </c>
      <c r="AA536" t="s">
        <v>4664</v>
      </c>
      <c r="AB536" t="s">
        <v>7033</v>
      </c>
      <c r="AC536" t="s">
        <v>4664</v>
      </c>
      <c r="AD536" t="e">
        <f>VLOOKUP(AB536,#REF!,2,FALSE)</f>
        <v>#REF!</v>
      </c>
      <c r="AE536" t="e">
        <f>RIGHT(#REF!,(FIND("Complex",#REF!,1)-5))</f>
        <v>#REF!</v>
      </c>
    </row>
    <row r="537" spans="1:31" x14ac:dyDescent="0.25">
      <c r="A537">
        <v>1706</v>
      </c>
      <c r="B537" t="s">
        <v>253</v>
      </c>
      <c r="C537">
        <v>55</v>
      </c>
      <c r="D537">
        <v>293</v>
      </c>
      <c r="E537">
        <v>1706</v>
      </c>
      <c r="F537">
        <v>4939201</v>
      </c>
      <c r="G537">
        <v>5027400</v>
      </c>
      <c r="H537">
        <f t="shared" si="16"/>
        <v>112.00002267573696</v>
      </c>
      <c r="I537">
        <f t="shared" si="17"/>
        <v>114</v>
      </c>
      <c r="J537" t="s">
        <v>29</v>
      </c>
      <c r="K537">
        <v>4</v>
      </c>
      <c r="L537" t="e">
        <f t="array" ref="L537">VLOOKUP(J537:$J$3871&amp;K537:$K$3871,CHOOSE({1,2},#REF!&amp;#REF!,#REF!),2,0)</f>
        <v>#N/A</v>
      </c>
      <c r="M537">
        <v>0</v>
      </c>
      <c r="N537">
        <v>1</v>
      </c>
      <c r="O537" t="s">
        <v>23</v>
      </c>
      <c r="P537">
        <v>1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1</v>
      </c>
      <c r="Y537">
        <v>0</v>
      </c>
      <c r="Z537">
        <v>0</v>
      </c>
      <c r="AA537" t="s">
        <v>4771</v>
      </c>
      <c r="AB537" t="s">
        <v>7093</v>
      </c>
      <c r="AC537" t="s">
        <v>4771</v>
      </c>
      <c r="AD537" t="e">
        <f>VLOOKUP(AB537,#REF!,2,FALSE)</f>
        <v>#REF!</v>
      </c>
      <c r="AE537" t="e">
        <f>RIGHT(#REF!,(FIND("Complex",#REF!,1)-5))</f>
        <v>#REF!</v>
      </c>
    </row>
    <row r="538" spans="1:31" x14ac:dyDescent="0.25">
      <c r="A538">
        <v>2658</v>
      </c>
      <c r="B538" t="s">
        <v>255</v>
      </c>
      <c r="C538">
        <v>56</v>
      </c>
      <c r="D538">
        <v>544</v>
      </c>
      <c r="E538">
        <v>2658</v>
      </c>
      <c r="F538">
        <v>2998801</v>
      </c>
      <c r="G538">
        <v>3087000</v>
      </c>
      <c r="H538">
        <f t="shared" si="16"/>
        <v>68.000022675736957</v>
      </c>
      <c r="I538">
        <f t="shared" si="17"/>
        <v>70</v>
      </c>
      <c r="J538" t="s">
        <v>29</v>
      </c>
      <c r="K538">
        <v>4</v>
      </c>
      <c r="L538" t="e">
        <f t="array" ref="L538">VLOOKUP(J538:$J$3871&amp;K538:$K$3871,CHOOSE({1,2},#REF!&amp;#REF!,#REF!),2,0)</f>
        <v>#N/A</v>
      </c>
      <c r="M538">
        <v>0</v>
      </c>
      <c r="N538">
        <v>1</v>
      </c>
      <c r="O538" t="s">
        <v>23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0</v>
      </c>
      <c r="AA538" t="s">
        <v>3725</v>
      </c>
      <c r="AB538" t="s">
        <v>256</v>
      </c>
      <c r="AC538" t="s">
        <v>3725</v>
      </c>
      <c r="AD538" t="e">
        <f>VLOOKUP(AB538,#REF!,2,FALSE)</f>
        <v>#REF!</v>
      </c>
      <c r="AE538" t="e">
        <f>RIGHT(#REF!,(FIND("Complex",#REF!,1)-6))</f>
        <v>#REF!</v>
      </c>
    </row>
    <row r="539" spans="1:31" x14ac:dyDescent="0.25">
      <c r="A539">
        <v>2246</v>
      </c>
      <c r="B539" t="s">
        <v>255</v>
      </c>
      <c r="C539">
        <v>56</v>
      </c>
      <c r="D539">
        <v>410</v>
      </c>
      <c r="E539">
        <v>2246</v>
      </c>
      <c r="F539">
        <v>6615001</v>
      </c>
      <c r="G539">
        <v>6703200</v>
      </c>
      <c r="H539">
        <f t="shared" si="16"/>
        <v>150.00002267573697</v>
      </c>
      <c r="I539">
        <f t="shared" si="17"/>
        <v>152</v>
      </c>
      <c r="J539" t="s">
        <v>29</v>
      </c>
      <c r="K539">
        <v>4</v>
      </c>
      <c r="L539" t="e">
        <f t="array" ref="L539">VLOOKUP(J539:$J$3871&amp;K539:$K$3871,CHOOSE({1,2},#REF!&amp;#REF!,#REF!),2,0)</f>
        <v>#N/A</v>
      </c>
      <c r="M539">
        <v>0</v>
      </c>
      <c r="N539">
        <v>1</v>
      </c>
      <c r="O539" t="s">
        <v>23</v>
      </c>
      <c r="P539">
        <v>1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0</v>
      </c>
      <c r="AA539" t="s">
        <v>4546</v>
      </c>
      <c r="AB539" t="s">
        <v>6958</v>
      </c>
      <c r="AC539" t="s">
        <v>4546</v>
      </c>
      <c r="AD539" t="e">
        <f>VLOOKUP(AB539,#REF!,2,FALSE)</f>
        <v>#REF!</v>
      </c>
      <c r="AE539" t="e">
        <f>RIGHT(#REF!,(FIND("Complex",#REF!,1)-5))</f>
        <v>#REF!</v>
      </c>
    </row>
    <row r="540" spans="1:31" x14ac:dyDescent="0.25">
      <c r="A540">
        <v>2359</v>
      </c>
      <c r="B540" t="s">
        <v>255</v>
      </c>
      <c r="C540">
        <v>56</v>
      </c>
      <c r="D540">
        <v>434</v>
      </c>
      <c r="E540">
        <v>2359</v>
      </c>
      <c r="F540">
        <v>5997601</v>
      </c>
      <c r="G540">
        <v>6085800</v>
      </c>
      <c r="H540">
        <f t="shared" si="16"/>
        <v>136.00002267573697</v>
      </c>
      <c r="I540">
        <f t="shared" si="17"/>
        <v>138</v>
      </c>
      <c r="J540" t="s">
        <v>29</v>
      </c>
      <c r="K540">
        <v>4</v>
      </c>
      <c r="L540" t="e">
        <f t="array" ref="L540">VLOOKUP(J540:$J$3871&amp;K540:$K$3871,CHOOSE({1,2},#REF!&amp;#REF!,#REF!),2,0)</f>
        <v>#N/A</v>
      </c>
      <c r="M540">
        <v>0</v>
      </c>
      <c r="N540">
        <v>1</v>
      </c>
      <c r="O540" t="s">
        <v>23</v>
      </c>
      <c r="P540">
        <v>1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1</v>
      </c>
      <c r="Y540">
        <v>0</v>
      </c>
      <c r="Z540">
        <v>0</v>
      </c>
      <c r="AA540" t="s">
        <v>4641</v>
      </c>
      <c r="AB540" t="s">
        <v>7017</v>
      </c>
      <c r="AC540" t="s">
        <v>4641</v>
      </c>
      <c r="AD540" t="e">
        <f>VLOOKUP(AB540,#REF!,2,FALSE)</f>
        <v>#REF!</v>
      </c>
      <c r="AE540" t="e">
        <f>RIGHT(#REF!,(FIND("Complex",#REF!,1)-5))</f>
        <v>#REF!</v>
      </c>
    </row>
    <row r="541" spans="1:31" x14ac:dyDescent="0.25">
      <c r="A541">
        <v>1086</v>
      </c>
      <c r="B541" t="s">
        <v>30</v>
      </c>
      <c r="C541">
        <v>57</v>
      </c>
      <c r="D541">
        <v>186</v>
      </c>
      <c r="E541">
        <v>1086</v>
      </c>
      <c r="F541">
        <v>3969001</v>
      </c>
      <c r="G541">
        <v>4057200</v>
      </c>
      <c r="H541">
        <f t="shared" si="16"/>
        <v>90.000022675736957</v>
      </c>
      <c r="I541">
        <f t="shared" si="17"/>
        <v>92</v>
      </c>
      <c r="J541" t="s">
        <v>29</v>
      </c>
      <c r="K541">
        <v>4</v>
      </c>
      <c r="L541" t="e">
        <f t="array" ref="L541">VLOOKUP(J541:$J$3871&amp;K541:$K$3871,CHOOSE({1,2},#REF!&amp;#REF!,#REF!),2,0)</f>
        <v>#N/A</v>
      </c>
      <c r="M541">
        <v>0</v>
      </c>
      <c r="N541">
        <v>1</v>
      </c>
      <c r="O541" t="s">
        <v>23</v>
      </c>
      <c r="P541">
        <v>1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1</v>
      </c>
      <c r="Y541">
        <v>0</v>
      </c>
      <c r="Z541">
        <v>0</v>
      </c>
      <c r="AA541" t="s">
        <v>3554</v>
      </c>
      <c r="AB541" t="s">
        <v>6341</v>
      </c>
      <c r="AC541" t="s">
        <v>3554</v>
      </c>
      <c r="AD541" t="e">
        <f>VLOOKUP(AB541,#REF!,2,FALSE)</f>
        <v>#REF!</v>
      </c>
      <c r="AE541" t="e">
        <f>RIGHT(#REF!,(FIND("Complex",#REF!,1)-6))</f>
        <v>#REF!</v>
      </c>
    </row>
    <row r="542" spans="1:31" x14ac:dyDescent="0.25">
      <c r="A542">
        <v>2924</v>
      </c>
      <c r="B542" t="s">
        <v>30</v>
      </c>
      <c r="C542">
        <v>57</v>
      </c>
      <c r="D542">
        <v>647</v>
      </c>
      <c r="E542">
        <v>2924</v>
      </c>
      <c r="F542">
        <v>3704401</v>
      </c>
      <c r="G542">
        <v>3792600</v>
      </c>
      <c r="H542">
        <f t="shared" si="16"/>
        <v>84.000022675736957</v>
      </c>
      <c r="I542">
        <f t="shared" si="17"/>
        <v>86</v>
      </c>
      <c r="J542" t="s">
        <v>29</v>
      </c>
      <c r="K542">
        <v>4</v>
      </c>
      <c r="L542" t="e">
        <f t="array" ref="L542">VLOOKUP(J542:$J$3871&amp;K542:$K$3871,CHOOSE({1,2},#REF!&amp;#REF!,#REF!),2,0)</f>
        <v>#N/A</v>
      </c>
      <c r="M542">
        <v>0</v>
      </c>
      <c r="N542">
        <v>1</v>
      </c>
      <c r="O542" t="s">
        <v>23</v>
      </c>
      <c r="P542">
        <v>1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1</v>
      </c>
      <c r="Y542">
        <v>0</v>
      </c>
      <c r="Z542">
        <v>0</v>
      </c>
      <c r="AA542" t="s">
        <v>3596</v>
      </c>
      <c r="AB542" t="s">
        <v>6365</v>
      </c>
      <c r="AC542" t="s">
        <v>3596</v>
      </c>
      <c r="AD542" t="e">
        <f>VLOOKUP(AB542,#REF!,2,FALSE)</f>
        <v>#REF!</v>
      </c>
      <c r="AE542" t="e">
        <f>RIGHT(#REF!,(FIND("Complex",#REF!,1)-6))</f>
        <v>#REF!</v>
      </c>
    </row>
    <row r="543" spans="1:31" x14ac:dyDescent="0.25">
      <c r="A543">
        <v>2872</v>
      </c>
      <c r="B543" t="s">
        <v>30</v>
      </c>
      <c r="C543">
        <v>57</v>
      </c>
      <c r="D543">
        <v>627</v>
      </c>
      <c r="E543">
        <v>2872</v>
      </c>
      <c r="F543">
        <v>2998801</v>
      </c>
      <c r="G543">
        <v>3087000</v>
      </c>
      <c r="H543">
        <f t="shared" si="16"/>
        <v>68.000022675736957</v>
      </c>
      <c r="I543">
        <f t="shared" si="17"/>
        <v>70</v>
      </c>
      <c r="J543" t="s">
        <v>29</v>
      </c>
      <c r="K543">
        <v>4</v>
      </c>
      <c r="L543" t="e">
        <f t="array" ref="L543">VLOOKUP(J543:$J$3871&amp;K543:$K$3871,CHOOSE({1,2},#REF!&amp;#REF!,#REF!),2,0)</f>
        <v>#N/A</v>
      </c>
      <c r="M543">
        <v>0</v>
      </c>
      <c r="N543">
        <v>1</v>
      </c>
      <c r="O543" t="s">
        <v>23</v>
      </c>
      <c r="P543">
        <v>1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1</v>
      </c>
      <c r="Y543">
        <v>0</v>
      </c>
      <c r="Z543">
        <v>0</v>
      </c>
      <c r="AA543" t="s">
        <v>3724</v>
      </c>
      <c r="AB543" t="s">
        <v>6434</v>
      </c>
      <c r="AC543" t="s">
        <v>3724</v>
      </c>
      <c r="AD543" t="e">
        <f>VLOOKUP(AB543,#REF!,2,FALSE)</f>
        <v>#REF!</v>
      </c>
      <c r="AE543" t="e">
        <f>RIGHT(#REF!,(FIND("Complex",#REF!,1)-6))</f>
        <v>#REF!</v>
      </c>
    </row>
    <row r="544" spans="1:31" x14ac:dyDescent="0.25">
      <c r="A544">
        <v>3092</v>
      </c>
      <c r="B544" t="s">
        <v>30</v>
      </c>
      <c r="C544">
        <v>57</v>
      </c>
      <c r="D544">
        <v>725</v>
      </c>
      <c r="E544">
        <v>3092</v>
      </c>
      <c r="F544">
        <v>1852201</v>
      </c>
      <c r="G544">
        <v>1940400</v>
      </c>
      <c r="H544">
        <f t="shared" si="16"/>
        <v>42.000022675736965</v>
      </c>
      <c r="I544">
        <f t="shared" si="17"/>
        <v>44</v>
      </c>
      <c r="J544" t="s">
        <v>29</v>
      </c>
      <c r="K544">
        <v>4</v>
      </c>
      <c r="L544" t="e">
        <f t="array" ref="L544">VLOOKUP(J544:$J$3871&amp;K544:$K$3871,CHOOSE({1,2},#REF!&amp;#REF!,#REF!),2,0)</f>
        <v>#N/A</v>
      </c>
      <c r="M544">
        <v>0</v>
      </c>
      <c r="N544">
        <v>1</v>
      </c>
      <c r="O544" t="s">
        <v>23</v>
      </c>
      <c r="P544">
        <v>1</v>
      </c>
      <c r="Q544">
        <v>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1</v>
      </c>
      <c r="Y544">
        <v>0</v>
      </c>
      <c r="Z544">
        <v>0</v>
      </c>
      <c r="AA544" t="s">
        <v>3931</v>
      </c>
      <c r="AB544" t="s">
        <v>1399</v>
      </c>
      <c r="AC544" t="s">
        <v>3931</v>
      </c>
      <c r="AD544" t="e">
        <f>VLOOKUP(AB544,#REF!,2,FALSE)</f>
        <v>#REF!</v>
      </c>
      <c r="AE544" t="e">
        <f>RIGHT(#REF!,(FIND("Complex",#REF!,1)-6))</f>
        <v>#REF!</v>
      </c>
    </row>
    <row r="545" spans="1:31" x14ac:dyDescent="0.25">
      <c r="A545">
        <v>2115</v>
      </c>
      <c r="B545" t="s">
        <v>30</v>
      </c>
      <c r="C545">
        <v>57</v>
      </c>
      <c r="D545">
        <v>379</v>
      </c>
      <c r="E545">
        <v>2115</v>
      </c>
      <c r="F545">
        <v>1411201</v>
      </c>
      <c r="G545">
        <v>1499400</v>
      </c>
      <c r="H545">
        <f t="shared" si="16"/>
        <v>32.000022675736965</v>
      </c>
      <c r="I545">
        <f t="shared" si="17"/>
        <v>34</v>
      </c>
      <c r="J545" t="s">
        <v>29</v>
      </c>
      <c r="K545">
        <v>4</v>
      </c>
      <c r="L545" t="e">
        <f t="array" ref="L545">VLOOKUP(J545:$J$3871&amp;K545:$K$3871,CHOOSE({1,2},#REF!&amp;#REF!,#REF!),2,0)</f>
        <v>#N/A</v>
      </c>
      <c r="M545">
        <v>0</v>
      </c>
      <c r="N545">
        <v>1</v>
      </c>
      <c r="O545" t="s">
        <v>23</v>
      </c>
      <c r="P545">
        <v>1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1</v>
      </c>
      <c r="Y545">
        <v>0</v>
      </c>
      <c r="Z545">
        <v>0</v>
      </c>
      <c r="AA545" t="s">
        <v>4041</v>
      </c>
      <c r="AB545" t="s">
        <v>6621</v>
      </c>
      <c r="AC545" t="s">
        <v>4041</v>
      </c>
      <c r="AD545" t="e">
        <f>VLOOKUP(AB545,#REF!,2,FALSE)</f>
        <v>#REF!</v>
      </c>
      <c r="AE545" t="e">
        <f>RIGHT(#REF!,(FIND("Complex",#REF!,1)-6))</f>
        <v>#REF!</v>
      </c>
    </row>
    <row r="546" spans="1:31" x14ac:dyDescent="0.25">
      <c r="A546">
        <v>569</v>
      </c>
      <c r="B546" t="s">
        <v>30</v>
      </c>
      <c r="C546">
        <v>57</v>
      </c>
      <c r="D546">
        <v>98</v>
      </c>
      <c r="E546">
        <v>569</v>
      </c>
      <c r="F546">
        <v>9702001</v>
      </c>
      <c r="G546">
        <v>9790200</v>
      </c>
      <c r="H546">
        <f t="shared" si="16"/>
        <v>220.00002267573697</v>
      </c>
      <c r="I546">
        <f t="shared" si="17"/>
        <v>222</v>
      </c>
      <c r="J546" t="s">
        <v>29</v>
      </c>
      <c r="K546">
        <v>4</v>
      </c>
      <c r="L546" t="e">
        <f t="array" ref="L546">VLOOKUP(J546:$J$3871&amp;K546:$K$3871,CHOOSE({1,2},#REF!&amp;#REF!,#REF!),2,0)</f>
        <v>#N/A</v>
      </c>
      <c r="M546">
        <v>0</v>
      </c>
      <c r="N546">
        <v>1</v>
      </c>
      <c r="O546" t="s">
        <v>23</v>
      </c>
      <c r="P546">
        <v>1</v>
      </c>
      <c r="Q546">
        <v>1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</v>
      </c>
      <c r="Y546">
        <v>0</v>
      </c>
      <c r="Z546">
        <v>0</v>
      </c>
      <c r="AA546" t="s">
        <v>4234</v>
      </c>
      <c r="AB546" t="s">
        <v>1400</v>
      </c>
      <c r="AC546" t="s">
        <v>4234</v>
      </c>
      <c r="AD546" t="e">
        <f>VLOOKUP(AB546,#REF!,2,FALSE)</f>
        <v>#REF!</v>
      </c>
      <c r="AE546" t="e">
        <f>RIGHT(#REF!,(FIND("Complex",#REF!,1)-4))</f>
        <v>#REF!</v>
      </c>
    </row>
    <row r="547" spans="1:31" x14ac:dyDescent="0.25">
      <c r="A547">
        <v>1633</v>
      </c>
      <c r="B547" t="s">
        <v>30</v>
      </c>
      <c r="C547">
        <v>57</v>
      </c>
      <c r="D547">
        <v>284</v>
      </c>
      <c r="E547">
        <v>1633</v>
      </c>
      <c r="F547">
        <v>9613801</v>
      </c>
      <c r="G547">
        <v>9702000</v>
      </c>
      <c r="H547">
        <f t="shared" si="16"/>
        <v>218.00002267573697</v>
      </c>
      <c r="I547">
        <f t="shared" si="17"/>
        <v>220</v>
      </c>
      <c r="J547" t="s">
        <v>29</v>
      </c>
      <c r="K547">
        <v>4</v>
      </c>
      <c r="L547" t="e">
        <f t="array" ref="L547">VLOOKUP(J547:$J$3871&amp;K547:$K$3871,CHOOSE({1,2},#REF!&amp;#REF!,#REF!),2,0)</f>
        <v>#N/A</v>
      </c>
      <c r="M547">
        <v>0</v>
      </c>
      <c r="N547">
        <v>1</v>
      </c>
      <c r="O547" t="s">
        <v>23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1</v>
      </c>
      <c r="Y547">
        <v>0</v>
      </c>
      <c r="Z547">
        <v>0</v>
      </c>
      <c r="AA547" t="s">
        <v>4255</v>
      </c>
      <c r="AB547" t="s">
        <v>6772</v>
      </c>
      <c r="AC547" t="s">
        <v>4255</v>
      </c>
      <c r="AD547" t="e">
        <f>VLOOKUP(AB547,#REF!,2,FALSE)</f>
        <v>#REF!</v>
      </c>
      <c r="AE547" t="e">
        <f>RIGHT(#REF!,(FIND("Complex",#REF!,1)-5))</f>
        <v>#REF!</v>
      </c>
    </row>
    <row r="548" spans="1:31" x14ac:dyDescent="0.25">
      <c r="A548">
        <v>3038</v>
      </c>
      <c r="B548" t="s">
        <v>30</v>
      </c>
      <c r="C548">
        <v>57</v>
      </c>
      <c r="D548">
        <v>696</v>
      </c>
      <c r="E548">
        <v>3038</v>
      </c>
      <c r="F548">
        <v>882001</v>
      </c>
      <c r="G548">
        <v>970200</v>
      </c>
      <c r="H548">
        <f t="shared" si="16"/>
        <v>20.000022675736961</v>
      </c>
      <c r="I548">
        <f t="shared" si="17"/>
        <v>22</v>
      </c>
      <c r="J548" t="s">
        <v>29</v>
      </c>
      <c r="K548">
        <v>4</v>
      </c>
      <c r="L548" t="e">
        <f t="array" ref="L548">VLOOKUP(J548:$J$3871&amp;K548:$K$3871,CHOOSE({1,2},#REF!&amp;#REF!,#REF!),2,0)</f>
        <v>#N/A</v>
      </c>
      <c r="M548">
        <v>0</v>
      </c>
      <c r="N548">
        <v>1</v>
      </c>
      <c r="O548" t="s">
        <v>23</v>
      </c>
      <c r="P548">
        <v>1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0</v>
      </c>
      <c r="Z548">
        <v>0</v>
      </c>
      <c r="AA548" t="s">
        <v>4315</v>
      </c>
      <c r="AB548" t="s">
        <v>6809</v>
      </c>
      <c r="AC548" t="s">
        <v>4315</v>
      </c>
      <c r="AD548" t="e">
        <f>VLOOKUP(AB548,#REF!,2,FALSE)</f>
        <v>#REF!</v>
      </c>
      <c r="AE548" t="e">
        <f>RIGHT(#REF!,(FIND("Complex",#REF!,1)-6))</f>
        <v>#REF!</v>
      </c>
    </row>
    <row r="549" spans="1:31" x14ac:dyDescent="0.25">
      <c r="A549">
        <v>3364</v>
      </c>
      <c r="B549" t="s">
        <v>30</v>
      </c>
      <c r="C549">
        <v>57</v>
      </c>
      <c r="D549">
        <v>857</v>
      </c>
      <c r="E549">
        <v>3364</v>
      </c>
      <c r="F549">
        <v>793801</v>
      </c>
      <c r="G549">
        <v>882000</v>
      </c>
      <c r="H549">
        <f t="shared" si="16"/>
        <v>18.000022675736961</v>
      </c>
      <c r="I549">
        <f t="shared" si="17"/>
        <v>20</v>
      </c>
      <c r="J549" t="s">
        <v>29</v>
      </c>
      <c r="K549">
        <v>4</v>
      </c>
      <c r="L549" t="e">
        <f t="array" ref="L549">VLOOKUP(J549:$J$3871&amp;K549:$K$3871,CHOOSE({1,2},#REF!&amp;#REF!,#REF!),2,0)</f>
        <v>#N/A</v>
      </c>
      <c r="M549">
        <v>0</v>
      </c>
      <c r="N549">
        <v>1</v>
      </c>
      <c r="O549" t="s">
        <v>23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 t="s">
        <v>4416</v>
      </c>
      <c r="AB549" t="s">
        <v>6867</v>
      </c>
      <c r="AC549" t="s">
        <v>4416</v>
      </c>
      <c r="AD549" t="e">
        <f>VLOOKUP(AB549,#REF!,2,FALSE)</f>
        <v>#REF!</v>
      </c>
      <c r="AE549" t="e">
        <f>RIGHT(#REF!,(FIND("Complex",#REF!,1)-6))</f>
        <v>#REF!</v>
      </c>
    </row>
    <row r="550" spans="1:31" x14ac:dyDescent="0.25">
      <c r="A550">
        <v>2033</v>
      </c>
      <c r="B550" t="s">
        <v>30</v>
      </c>
      <c r="C550">
        <v>57</v>
      </c>
      <c r="D550">
        <v>357</v>
      </c>
      <c r="E550">
        <v>2033</v>
      </c>
      <c r="F550">
        <v>7320601</v>
      </c>
      <c r="G550">
        <v>7408800</v>
      </c>
      <c r="H550">
        <f t="shared" si="16"/>
        <v>166.00002267573697</v>
      </c>
      <c r="I550">
        <f t="shared" si="17"/>
        <v>168</v>
      </c>
      <c r="J550" t="s">
        <v>29</v>
      </c>
      <c r="K550">
        <v>4</v>
      </c>
      <c r="L550" t="e">
        <f t="array" ref="L550">VLOOKUP(J550:$J$3871&amp;K550:$K$3871,CHOOSE({1,2},#REF!&amp;#REF!,#REF!),2,0)</f>
        <v>#N/A</v>
      </c>
      <c r="M550">
        <v>0</v>
      </c>
      <c r="N550">
        <v>1</v>
      </c>
      <c r="O550" t="s">
        <v>23</v>
      </c>
      <c r="P550">
        <v>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1</v>
      </c>
      <c r="Y550">
        <v>0</v>
      </c>
      <c r="Z550">
        <v>0</v>
      </c>
      <c r="AA550" t="s">
        <v>4455</v>
      </c>
      <c r="AB550" t="s">
        <v>6894</v>
      </c>
      <c r="AC550" t="s">
        <v>4455</v>
      </c>
      <c r="AD550" t="e">
        <f>VLOOKUP(AB550,#REF!,2,FALSE)</f>
        <v>#REF!</v>
      </c>
      <c r="AE550" t="e">
        <f>RIGHT(#REF!,(FIND("Complex",#REF!,1)-5))</f>
        <v>#REF!</v>
      </c>
    </row>
    <row r="551" spans="1:31" x14ac:dyDescent="0.25">
      <c r="A551">
        <v>1458</v>
      </c>
      <c r="B551" t="s">
        <v>30</v>
      </c>
      <c r="C551">
        <v>57</v>
      </c>
      <c r="D551">
        <v>245</v>
      </c>
      <c r="E551">
        <v>1458</v>
      </c>
      <c r="F551">
        <v>7056001</v>
      </c>
      <c r="G551">
        <v>7144200</v>
      </c>
      <c r="H551">
        <f t="shared" si="16"/>
        <v>160.00002267573697</v>
      </c>
      <c r="I551">
        <f t="shared" si="17"/>
        <v>162</v>
      </c>
      <c r="J551" t="s">
        <v>29</v>
      </c>
      <c r="K551">
        <v>4</v>
      </c>
      <c r="L551" t="e">
        <f t="array" ref="L551">VLOOKUP(J551:$J$3871&amp;K551:$K$3871,CHOOSE({1,2},#REF!&amp;#REF!,#REF!),2,0)</f>
        <v>#N/A</v>
      </c>
      <c r="M551">
        <v>0</v>
      </c>
      <c r="N551">
        <v>1</v>
      </c>
      <c r="O551" t="s">
        <v>23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1</v>
      </c>
      <c r="Y551">
        <v>0</v>
      </c>
      <c r="Z551">
        <v>0</v>
      </c>
      <c r="AA551" t="s">
        <v>4477</v>
      </c>
      <c r="AB551" t="s">
        <v>6908</v>
      </c>
      <c r="AC551" t="s">
        <v>4477</v>
      </c>
      <c r="AD551" t="e">
        <f>VLOOKUP(AB551,#REF!,2,FALSE)</f>
        <v>#REF!</v>
      </c>
      <c r="AE551" t="e">
        <f>RIGHT(#REF!,(FIND("Complex",#REF!,1)-5))</f>
        <v>#REF!</v>
      </c>
    </row>
    <row r="552" spans="1:31" x14ac:dyDescent="0.25">
      <c r="A552">
        <v>3321</v>
      </c>
      <c r="B552" t="s">
        <v>30</v>
      </c>
      <c r="C552">
        <v>57</v>
      </c>
      <c r="D552">
        <v>838</v>
      </c>
      <c r="E552">
        <v>3321</v>
      </c>
      <c r="F552">
        <v>6967801</v>
      </c>
      <c r="G552">
        <v>7056000</v>
      </c>
      <c r="H552">
        <f t="shared" si="16"/>
        <v>158.00002267573697</v>
      </c>
      <c r="I552">
        <f t="shared" si="17"/>
        <v>160</v>
      </c>
      <c r="J552" t="s">
        <v>29</v>
      </c>
      <c r="K552">
        <v>4</v>
      </c>
      <c r="L552" t="e">
        <f t="array" ref="L552">VLOOKUP(J552:$J$3871&amp;K552:$K$3871,CHOOSE({1,2},#REF!&amp;#REF!,#REF!),2,0)</f>
        <v>#N/A</v>
      </c>
      <c r="M552">
        <v>0</v>
      </c>
      <c r="N552">
        <v>1</v>
      </c>
      <c r="O552" t="s">
        <v>23</v>
      </c>
      <c r="P552">
        <v>1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1</v>
      </c>
      <c r="Y552">
        <v>0</v>
      </c>
      <c r="Z552">
        <v>0</v>
      </c>
      <c r="AA552" t="s">
        <v>4507</v>
      </c>
      <c r="AB552" t="s">
        <v>6927</v>
      </c>
      <c r="AC552" t="s">
        <v>4507</v>
      </c>
      <c r="AD552" t="e">
        <f>VLOOKUP(AB552,#REF!,2,FALSE)</f>
        <v>#REF!</v>
      </c>
      <c r="AE552" t="e">
        <f>RIGHT(#REF!,(FIND("Complex",#REF!,1)-5))</f>
        <v>#REF!</v>
      </c>
    </row>
    <row r="553" spans="1:31" x14ac:dyDescent="0.25">
      <c r="A553">
        <v>2523</v>
      </c>
      <c r="B553" t="s">
        <v>257</v>
      </c>
      <c r="C553">
        <v>58</v>
      </c>
      <c r="D553">
        <v>491</v>
      </c>
      <c r="E553">
        <v>2523</v>
      </c>
      <c r="F553">
        <v>2205001</v>
      </c>
      <c r="G553">
        <v>2293200</v>
      </c>
      <c r="H553">
        <f t="shared" si="16"/>
        <v>50.000022675736965</v>
      </c>
      <c r="I553">
        <f t="shared" si="17"/>
        <v>52</v>
      </c>
      <c r="J553" t="s">
        <v>29</v>
      </c>
      <c r="K553">
        <v>4</v>
      </c>
      <c r="L553" t="e">
        <f t="array" ref="L553">VLOOKUP(J553:$J$3871&amp;K553:$K$3871,CHOOSE({1,2},#REF!&amp;#REF!,#REF!),2,0)</f>
        <v>#N/A</v>
      </c>
      <c r="M553">
        <v>0</v>
      </c>
      <c r="N553">
        <v>1</v>
      </c>
      <c r="O553" t="s">
        <v>23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1</v>
      </c>
      <c r="Y553">
        <v>0</v>
      </c>
      <c r="Z553">
        <v>0</v>
      </c>
      <c r="AA553" t="s">
        <v>3872</v>
      </c>
      <c r="AB553" t="s">
        <v>1417</v>
      </c>
      <c r="AC553" t="s">
        <v>3872</v>
      </c>
      <c r="AD553" t="e">
        <f>VLOOKUP(AB553,#REF!,2,FALSE)</f>
        <v>#REF!</v>
      </c>
      <c r="AE553" t="e">
        <f>RIGHT(#REF!,(FIND("Complex",#REF!,1)-6))</f>
        <v>#REF!</v>
      </c>
    </row>
    <row r="554" spans="1:31" x14ac:dyDescent="0.25">
      <c r="A554">
        <v>3170</v>
      </c>
      <c r="B554" t="s">
        <v>257</v>
      </c>
      <c r="C554">
        <v>58</v>
      </c>
      <c r="D554">
        <v>756</v>
      </c>
      <c r="E554">
        <v>3170</v>
      </c>
      <c r="F554">
        <v>5027401</v>
      </c>
      <c r="G554">
        <v>5115600</v>
      </c>
      <c r="H554">
        <f t="shared" si="16"/>
        <v>114.00002267573696</v>
      </c>
      <c r="I554">
        <f t="shared" si="17"/>
        <v>116</v>
      </c>
      <c r="J554" t="s">
        <v>29</v>
      </c>
      <c r="K554">
        <v>4</v>
      </c>
      <c r="L554" t="e">
        <f t="array" ref="L554">VLOOKUP(J554:$J$3871&amp;K554:$K$3871,CHOOSE({1,2},#REF!&amp;#REF!,#REF!),2,0)</f>
        <v>#N/A</v>
      </c>
      <c r="M554">
        <v>0</v>
      </c>
      <c r="N554">
        <v>1</v>
      </c>
      <c r="O554" t="s">
        <v>23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1</v>
      </c>
      <c r="Y554">
        <v>0</v>
      </c>
      <c r="Z554">
        <v>0</v>
      </c>
      <c r="AA554" t="s">
        <v>4763</v>
      </c>
      <c r="AB554" t="s">
        <v>7088</v>
      </c>
      <c r="AC554" t="s">
        <v>4763</v>
      </c>
      <c r="AD554" t="e">
        <f>VLOOKUP(AB554,#REF!,2,FALSE)</f>
        <v>#REF!</v>
      </c>
      <c r="AE554" t="e">
        <f>RIGHT(#REF!,(FIND("Complex",#REF!,1)-5))</f>
        <v>#REF!</v>
      </c>
    </row>
    <row r="555" spans="1:31" x14ac:dyDescent="0.25">
      <c r="A555">
        <v>2152</v>
      </c>
      <c r="B555" t="s">
        <v>257</v>
      </c>
      <c r="C555">
        <v>58</v>
      </c>
      <c r="D555">
        <v>390</v>
      </c>
      <c r="E555">
        <v>2152</v>
      </c>
      <c r="F555">
        <v>4939201</v>
      </c>
      <c r="G555">
        <v>5027400</v>
      </c>
      <c r="H555">
        <f t="shared" si="16"/>
        <v>112.00002267573696</v>
      </c>
      <c r="I555">
        <f t="shared" si="17"/>
        <v>114</v>
      </c>
      <c r="J555" t="s">
        <v>29</v>
      </c>
      <c r="K555">
        <v>4</v>
      </c>
      <c r="L555" t="e">
        <f t="array" ref="L555">VLOOKUP(J555:$J$3871&amp;K555:$K$3871,CHOOSE({1,2},#REF!&amp;#REF!,#REF!),2,0)</f>
        <v>#N/A</v>
      </c>
      <c r="M555">
        <v>0</v>
      </c>
      <c r="N555">
        <v>1</v>
      </c>
      <c r="O555" t="s">
        <v>23</v>
      </c>
      <c r="P555">
        <v>1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1</v>
      </c>
      <c r="Y555">
        <v>0</v>
      </c>
      <c r="Z555">
        <v>0</v>
      </c>
      <c r="AA555" t="s">
        <v>4770</v>
      </c>
      <c r="AB555" t="s">
        <v>7092</v>
      </c>
      <c r="AC555" t="s">
        <v>4770</v>
      </c>
      <c r="AD555" t="e">
        <f>VLOOKUP(AB555,#REF!,2,FALSE)</f>
        <v>#REF!</v>
      </c>
      <c r="AE555" t="e">
        <f>RIGHT(#REF!,(FIND("Complex",#REF!,1)-5))</f>
        <v>#REF!</v>
      </c>
    </row>
    <row r="556" spans="1:31" x14ac:dyDescent="0.25">
      <c r="A556">
        <v>26</v>
      </c>
      <c r="B556" t="s">
        <v>65</v>
      </c>
      <c r="C556">
        <v>59</v>
      </c>
      <c r="D556">
        <v>5</v>
      </c>
      <c r="E556">
        <v>26</v>
      </c>
      <c r="F556">
        <v>264601</v>
      </c>
      <c r="G556">
        <v>352800</v>
      </c>
      <c r="H556">
        <f t="shared" si="16"/>
        <v>6.000022675736961</v>
      </c>
      <c r="I556">
        <f t="shared" si="17"/>
        <v>8</v>
      </c>
      <c r="J556" t="s">
        <v>29</v>
      </c>
      <c r="K556">
        <v>4</v>
      </c>
      <c r="L556" t="e">
        <f t="array" ref="L556">VLOOKUP(J556:$J$3871&amp;K556:$K$3871,CHOOSE({1,2},#REF!&amp;#REF!,#REF!),2,0)</f>
        <v>#N/A</v>
      </c>
      <c r="M556">
        <v>0</v>
      </c>
      <c r="N556">
        <v>1</v>
      </c>
      <c r="O556" t="s">
        <v>23</v>
      </c>
      <c r="P556">
        <v>1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1</v>
      </c>
      <c r="Y556">
        <v>0</v>
      </c>
      <c r="Z556">
        <v>0</v>
      </c>
      <c r="AA556" t="s">
        <v>3811</v>
      </c>
      <c r="AB556" t="s">
        <v>1424</v>
      </c>
      <c r="AC556" t="s">
        <v>3811</v>
      </c>
      <c r="AD556" t="e">
        <f>VLOOKUP(AB556,#REF!,2,FALSE)</f>
        <v>#REF!</v>
      </c>
      <c r="AE556" t="e">
        <f>RIGHT(#REF!,(FIND("Complex",#REF!,1)-5))</f>
        <v>#REF!</v>
      </c>
    </row>
    <row r="557" spans="1:31" x14ac:dyDescent="0.25">
      <c r="A557">
        <v>1600</v>
      </c>
      <c r="B557" t="s">
        <v>65</v>
      </c>
      <c r="C557">
        <v>59</v>
      </c>
      <c r="D557">
        <v>276</v>
      </c>
      <c r="E557">
        <v>1600</v>
      </c>
      <c r="F557">
        <v>1764001</v>
      </c>
      <c r="G557">
        <v>1852200</v>
      </c>
      <c r="H557">
        <f t="shared" si="16"/>
        <v>40.000022675736965</v>
      </c>
      <c r="I557">
        <f t="shared" si="17"/>
        <v>42</v>
      </c>
      <c r="J557" t="s">
        <v>29</v>
      </c>
      <c r="K557">
        <v>4</v>
      </c>
      <c r="L557" t="e">
        <f t="array" ref="L557">VLOOKUP(J557:$J$3871&amp;K557:$K$3871,CHOOSE({1,2},#REF!&amp;#REF!,#REF!),2,0)</f>
        <v>#N/A</v>
      </c>
      <c r="M557">
        <v>0</v>
      </c>
      <c r="N557">
        <v>1</v>
      </c>
      <c r="O557" t="s">
        <v>23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1</v>
      </c>
      <c r="Y557">
        <v>0</v>
      </c>
      <c r="Z557">
        <v>0</v>
      </c>
      <c r="AA557" t="s">
        <v>3943</v>
      </c>
      <c r="AB557" t="s">
        <v>1425</v>
      </c>
      <c r="AC557" t="s">
        <v>3943</v>
      </c>
      <c r="AD557" t="e">
        <f>VLOOKUP(AB557,#REF!,2,FALSE)</f>
        <v>#REF!</v>
      </c>
      <c r="AE557" t="e">
        <f>RIGHT(#REF!,(FIND("Complex",#REF!,1)-6))</f>
        <v>#REF!</v>
      </c>
    </row>
    <row r="558" spans="1:31" x14ac:dyDescent="0.25">
      <c r="A558">
        <v>2006</v>
      </c>
      <c r="B558" t="s">
        <v>65</v>
      </c>
      <c r="C558">
        <v>59</v>
      </c>
      <c r="D558">
        <v>345</v>
      </c>
      <c r="E558">
        <v>2006</v>
      </c>
      <c r="F558">
        <v>176401</v>
      </c>
      <c r="G558">
        <v>264600</v>
      </c>
      <c r="H558">
        <f t="shared" si="16"/>
        <v>4.000022675736961</v>
      </c>
      <c r="I558">
        <f t="shared" si="17"/>
        <v>6</v>
      </c>
      <c r="J558" t="s">
        <v>29</v>
      </c>
      <c r="K558">
        <v>4</v>
      </c>
      <c r="L558" t="e">
        <f t="array" ref="L558">VLOOKUP(J558:$J$3871&amp;K558:$K$3871,CHOOSE({1,2},#REF!&amp;#REF!,#REF!),2,0)</f>
        <v>#N/A</v>
      </c>
      <c r="M558">
        <v>0</v>
      </c>
      <c r="N558">
        <v>1</v>
      </c>
      <c r="O558" t="s">
        <v>23</v>
      </c>
      <c r="P558">
        <v>1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1</v>
      </c>
      <c r="Y558">
        <v>0</v>
      </c>
      <c r="Z558">
        <v>0</v>
      </c>
      <c r="AA558" t="s">
        <v>3967</v>
      </c>
      <c r="AB558" t="s">
        <v>193</v>
      </c>
      <c r="AC558" t="s">
        <v>3967</v>
      </c>
      <c r="AD558" t="e">
        <f>VLOOKUP(AB558,#REF!,2,FALSE)</f>
        <v>#REF!</v>
      </c>
      <c r="AE558" t="e">
        <f>RIGHT(#REF!,(FIND("Complex",#REF!,1)-7))</f>
        <v>#REF!</v>
      </c>
    </row>
    <row r="559" spans="1:31" x14ac:dyDescent="0.25">
      <c r="A559">
        <v>1978</v>
      </c>
      <c r="B559" t="s">
        <v>65</v>
      </c>
      <c r="C559">
        <v>59</v>
      </c>
      <c r="D559">
        <v>338</v>
      </c>
      <c r="E559">
        <v>1978</v>
      </c>
      <c r="F559">
        <v>1675801</v>
      </c>
      <c r="G559">
        <v>1764000</v>
      </c>
      <c r="H559">
        <f t="shared" si="16"/>
        <v>38.000022675736965</v>
      </c>
      <c r="I559">
        <f t="shared" si="17"/>
        <v>40</v>
      </c>
      <c r="J559" t="s">
        <v>29</v>
      </c>
      <c r="K559">
        <v>4</v>
      </c>
      <c r="L559" t="e">
        <f t="array" ref="L559">VLOOKUP(J559:$J$3871&amp;K559:$K$3871,CHOOSE({1,2},#REF!&amp;#REF!,#REF!),2,0)</f>
        <v>#N/A</v>
      </c>
      <c r="M559">
        <v>0</v>
      </c>
      <c r="N559">
        <v>1</v>
      </c>
      <c r="O559" t="s">
        <v>23</v>
      </c>
      <c r="P559">
        <v>1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1</v>
      </c>
      <c r="Y559">
        <v>0</v>
      </c>
      <c r="Z559">
        <v>0</v>
      </c>
      <c r="AA559" t="s">
        <v>3977</v>
      </c>
      <c r="AB559" t="s">
        <v>1426</v>
      </c>
      <c r="AC559" t="s">
        <v>3977</v>
      </c>
      <c r="AD559" t="e">
        <f>VLOOKUP(AB559,#REF!,2,FALSE)</f>
        <v>#REF!</v>
      </c>
      <c r="AE559" t="e">
        <f>RIGHT(#REF!,(FIND("Complex",#REF!,1)-6))</f>
        <v>#REF!</v>
      </c>
    </row>
    <row r="560" spans="1:31" x14ac:dyDescent="0.25">
      <c r="A560">
        <v>755</v>
      </c>
      <c r="B560" t="s">
        <v>65</v>
      </c>
      <c r="C560">
        <v>59</v>
      </c>
      <c r="D560">
        <v>129</v>
      </c>
      <c r="E560">
        <v>755</v>
      </c>
      <c r="F560">
        <v>1411201</v>
      </c>
      <c r="G560">
        <v>1499400</v>
      </c>
      <c r="H560">
        <f t="shared" si="16"/>
        <v>32.000022675736965</v>
      </c>
      <c r="I560">
        <f t="shared" si="17"/>
        <v>34</v>
      </c>
      <c r="J560" t="s">
        <v>29</v>
      </c>
      <c r="K560">
        <v>4</v>
      </c>
      <c r="L560" t="e">
        <f t="array" ref="L560">VLOOKUP(J560:$J$3871&amp;K560:$K$3871,CHOOSE({1,2},#REF!&amp;#REF!,#REF!),2,0)</f>
        <v>#N/A</v>
      </c>
      <c r="M560">
        <v>0</v>
      </c>
      <c r="N560">
        <v>1</v>
      </c>
      <c r="O560" t="s">
        <v>23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1</v>
      </c>
      <c r="Y560">
        <v>0</v>
      </c>
      <c r="Z560">
        <v>0</v>
      </c>
      <c r="AA560" t="s">
        <v>4040</v>
      </c>
      <c r="AB560" t="s">
        <v>1427</v>
      </c>
      <c r="AC560" t="s">
        <v>4040</v>
      </c>
      <c r="AD560" t="e">
        <f>VLOOKUP(AB560,#REF!,2,FALSE)</f>
        <v>#REF!</v>
      </c>
      <c r="AE560" t="e">
        <f>RIGHT(#REF!,(FIND("Complex",#REF!,1)-5))</f>
        <v>#REF!</v>
      </c>
    </row>
    <row r="561" spans="1:31" x14ac:dyDescent="0.25">
      <c r="A561">
        <v>993</v>
      </c>
      <c r="B561" t="s">
        <v>65</v>
      </c>
      <c r="C561">
        <v>59</v>
      </c>
      <c r="D561">
        <v>175</v>
      </c>
      <c r="E561">
        <v>993</v>
      </c>
      <c r="F561">
        <v>1323001</v>
      </c>
      <c r="G561">
        <v>1411200</v>
      </c>
      <c r="H561">
        <f t="shared" si="16"/>
        <v>30.000022675736961</v>
      </c>
      <c r="I561">
        <f t="shared" si="17"/>
        <v>32</v>
      </c>
      <c r="J561" t="s">
        <v>29</v>
      </c>
      <c r="K561">
        <v>4</v>
      </c>
      <c r="L561" t="e">
        <f t="array" ref="L561">VLOOKUP(J561:$J$3871&amp;K561:$K$3871,CHOOSE({1,2},#REF!&amp;#REF!,#REF!),2,0)</f>
        <v>#N/A</v>
      </c>
      <c r="M561">
        <v>0</v>
      </c>
      <c r="N561">
        <v>1</v>
      </c>
      <c r="O561" t="s">
        <v>23</v>
      </c>
      <c r="P561">
        <v>1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1</v>
      </c>
      <c r="Y561">
        <v>0</v>
      </c>
      <c r="Z561">
        <v>0</v>
      </c>
      <c r="AA561" t="s">
        <v>4068</v>
      </c>
      <c r="AB561" t="s">
        <v>1428</v>
      </c>
      <c r="AC561" t="s">
        <v>4068</v>
      </c>
      <c r="AD561" t="e">
        <f>VLOOKUP(AB561,#REF!,2,FALSE)</f>
        <v>#REF!</v>
      </c>
      <c r="AE561" t="e">
        <f>RIGHT(#REF!,(FIND("Complex",#REF!,1)-5))</f>
        <v>#REF!</v>
      </c>
    </row>
    <row r="562" spans="1:31" x14ac:dyDescent="0.25">
      <c r="A562">
        <v>167</v>
      </c>
      <c r="B562" t="s">
        <v>65</v>
      </c>
      <c r="C562">
        <v>59</v>
      </c>
      <c r="D562">
        <v>31</v>
      </c>
      <c r="E562">
        <v>167</v>
      </c>
      <c r="F562">
        <v>1058401</v>
      </c>
      <c r="G562">
        <v>1146600</v>
      </c>
      <c r="H562">
        <f t="shared" si="16"/>
        <v>24.000022675736961</v>
      </c>
      <c r="I562">
        <f t="shared" si="17"/>
        <v>26</v>
      </c>
      <c r="J562" t="s">
        <v>29</v>
      </c>
      <c r="K562">
        <v>4</v>
      </c>
      <c r="L562" t="e">
        <f t="array" ref="L562">VLOOKUP(J562:$J$3871&amp;K562:$K$3871,CHOOSE({1,2},#REF!&amp;#REF!,#REF!),2,0)</f>
        <v>#N/A</v>
      </c>
      <c r="M562">
        <v>0</v>
      </c>
      <c r="N562">
        <v>1</v>
      </c>
      <c r="O562" t="s">
        <v>23</v>
      </c>
      <c r="P562">
        <v>1</v>
      </c>
      <c r="Q562">
        <v>1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1</v>
      </c>
      <c r="Y562">
        <v>0</v>
      </c>
      <c r="Z562">
        <v>0</v>
      </c>
      <c r="AA562" t="s">
        <v>4189</v>
      </c>
      <c r="AB562" t="s">
        <v>1429</v>
      </c>
      <c r="AC562" t="s">
        <v>4189</v>
      </c>
      <c r="AD562" t="e">
        <f>VLOOKUP(AB562,#REF!,2,FALSE)</f>
        <v>#REF!</v>
      </c>
      <c r="AE562" t="e">
        <f>RIGHT(#REF!,(FIND("Complex",#REF!,1)-5))</f>
        <v>#REF!</v>
      </c>
    </row>
    <row r="563" spans="1:31" x14ac:dyDescent="0.25">
      <c r="A563">
        <v>554</v>
      </c>
      <c r="B563" t="s">
        <v>65</v>
      </c>
      <c r="C563">
        <v>59</v>
      </c>
      <c r="D563">
        <v>96</v>
      </c>
      <c r="E563">
        <v>554</v>
      </c>
      <c r="F563">
        <v>793801</v>
      </c>
      <c r="G563">
        <v>882000</v>
      </c>
      <c r="H563">
        <f t="shared" si="16"/>
        <v>18.000022675736961</v>
      </c>
      <c r="I563">
        <f t="shared" si="17"/>
        <v>20</v>
      </c>
      <c r="J563" t="s">
        <v>29</v>
      </c>
      <c r="K563">
        <v>4</v>
      </c>
      <c r="L563" t="e">
        <f t="array" ref="L563">VLOOKUP(J563:$J$3871&amp;K563:$K$3871,CHOOSE({1,2},#REF!&amp;#REF!,#REF!),2,0)</f>
        <v>#N/A</v>
      </c>
      <c r="M563">
        <v>0</v>
      </c>
      <c r="N563">
        <v>1</v>
      </c>
      <c r="O563" t="s">
        <v>23</v>
      </c>
      <c r="P563">
        <v>1</v>
      </c>
      <c r="Q563">
        <v>1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1</v>
      </c>
      <c r="Y563">
        <v>0</v>
      </c>
      <c r="Z563">
        <v>0</v>
      </c>
      <c r="AA563" t="s">
        <v>4415</v>
      </c>
      <c r="AB563" t="s">
        <v>1430</v>
      </c>
      <c r="AC563" t="s">
        <v>4415</v>
      </c>
      <c r="AD563" t="e">
        <f>VLOOKUP(AB563,#REF!,2,FALSE)</f>
        <v>#REF!</v>
      </c>
      <c r="AE563" t="e">
        <f>RIGHT(#REF!,(FIND("Complex",#REF!,1)-5))</f>
        <v>#REF!</v>
      </c>
    </row>
    <row r="564" spans="1:31" x14ac:dyDescent="0.25">
      <c r="A564">
        <v>1206</v>
      </c>
      <c r="B564" t="s">
        <v>65</v>
      </c>
      <c r="C564">
        <v>59</v>
      </c>
      <c r="D564">
        <v>207</v>
      </c>
      <c r="E564">
        <v>1206</v>
      </c>
      <c r="F564">
        <v>441001</v>
      </c>
      <c r="G564">
        <v>529200</v>
      </c>
      <c r="H564">
        <f t="shared" si="16"/>
        <v>10.000022675736961</v>
      </c>
      <c r="I564">
        <f t="shared" si="17"/>
        <v>12</v>
      </c>
      <c r="J564" t="s">
        <v>29</v>
      </c>
      <c r="K564">
        <v>4</v>
      </c>
      <c r="L564" t="e">
        <f t="array" ref="L564">VLOOKUP(J564:$J$3871&amp;K564:$K$3871,CHOOSE({1,2},#REF!&amp;#REF!,#REF!),2,0)</f>
        <v>#N/A</v>
      </c>
      <c r="M564">
        <v>0</v>
      </c>
      <c r="N564">
        <v>1</v>
      </c>
      <c r="O564" t="s">
        <v>23</v>
      </c>
      <c r="P564">
        <v>1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1</v>
      </c>
      <c r="Y564">
        <v>0</v>
      </c>
      <c r="Z564">
        <v>0</v>
      </c>
      <c r="AA564" t="s">
        <v>4864</v>
      </c>
      <c r="AB564" t="s">
        <v>1431</v>
      </c>
      <c r="AC564" t="s">
        <v>4864</v>
      </c>
      <c r="AD564" t="e">
        <f>VLOOKUP(AB564,#REF!,2,FALSE)</f>
        <v>#REF!</v>
      </c>
      <c r="AE564" t="e">
        <f>RIGHT(#REF!,(FIND("Complex",#REF!,1)-6))</f>
        <v>#REF!</v>
      </c>
    </row>
    <row r="565" spans="1:31" x14ac:dyDescent="0.25">
      <c r="A565">
        <v>1237</v>
      </c>
      <c r="B565" t="s">
        <v>51</v>
      </c>
      <c r="C565">
        <v>60</v>
      </c>
      <c r="D565">
        <v>213</v>
      </c>
      <c r="E565">
        <v>1237</v>
      </c>
      <c r="F565">
        <v>264601</v>
      </c>
      <c r="G565">
        <v>352800</v>
      </c>
      <c r="H565">
        <f t="shared" si="16"/>
        <v>6.000022675736961</v>
      </c>
      <c r="I565">
        <f t="shared" si="17"/>
        <v>8</v>
      </c>
      <c r="J565" t="s">
        <v>29</v>
      </c>
      <c r="K565">
        <v>4</v>
      </c>
      <c r="L565" t="e">
        <f t="array" ref="L565">VLOOKUP(J565:$J$3871&amp;K565:$K$3871,CHOOSE({1,2},#REF!&amp;#REF!,#REF!),2,0)</f>
        <v>#N/A</v>
      </c>
      <c r="M565">
        <v>0</v>
      </c>
      <c r="N565">
        <v>1</v>
      </c>
      <c r="O565" t="s">
        <v>23</v>
      </c>
      <c r="P565">
        <v>1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1</v>
      </c>
      <c r="Y565">
        <v>0</v>
      </c>
      <c r="Z565">
        <v>0</v>
      </c>
      <c r="AA565" t="s">
        <v>3810</v>
      </c>
      <c r="AB565" t="s">
        <v>1438</v>
      </c>
      <c r="AC565" t="s">
        <v>3810</v>
      </c>
      <c r="AD565" t="e">
        <f>VLOOKUP(AB565,#REF!,2,FALSE)</f>
        <v>#REF!</v>
      </c>
      <c r="AE565" t="e">
        <f>RIGHT(#REF!,(FIND("Complex",#REF!,1)-7))</f>
        <v>#REF!</v>
      </c>
    </row>
    <row r="566" spans="1:31" x14ac:dyDescent="0.25">
      <c r="A566">
        <v>1115</v>
      </c>
      <c r="B566" t="s">
        <v>51</v>
      </c>
      <c r="C566">
        <v>60</v>
      </c>
      <c r="D566">
        <v>190</v>
      </c>
      <c r="E566">
        <v>1115</v>
      </c>
      <c r="F566">
        <v>617401</v>
      </c>
      <c r="G566">
        <v>705600</v>
      </c>
      <c r="H566">
        <f t="shared" si="16"/>
        <v>14.000022675736961</v>
      </c>
      <c r="I566">
        <f t="shared" si="17"/>
        <v>16</v>
      </c>
      <c r="J566" t="s">
        <v>29</v>
      </c>
      <c r="K566">
        <v>4</v>
      </c>
      <c r="L566" t="e">
        <f t="array" ref="L566">VLOOKUP(J566:$J$3871&amp;K566:$K$3871,CHOOSE({1,2},#REF!&amp;#REF!,#REF!),2,0)</f>
        <v>#N/A</v>
      </c>
      <c r="M566">
        <v>0</v>
      </c>
      <c r="N566">
        <v>1</v>
      </c>
      <c r="O566" t="s">
        <v>23</v>
      </c>
      <c r="P566">
        <v>1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1</v>
      </c>
      <c r="Y566">
        <v>0</v>
      </c>
      <c r="Z566">
        <v>0</v>
      </c>
      <c r="AA566" t="s">
        <v>4618</v>
      </c>
      <c r="AB566" t="s">
        <v>1439</v>
      </c>
      <c r="AC566" t="s">
        <v>4618</v>
      </c>
      <c r="AD566" t="e">
        <f>VLOOKUP(AB566,#REF!,2,FALSE)</f>
        <v>#REF!</v>
      </c>
      <c r="AE566" t="e">
        <f>RIGHT(#REF!,(FIND("Complex",#REF!,1)-6))</f>
        <v>#REF!</v>
      </c>
    </row>
    <row r="567" spans="1:31" x14ac:dyDescent="0.25">
      <c r="A567">
        <v>823</v>
      </c>
      <c r="B567" t="s">
        <v>51</v>
      </c>
      <c r="C567">
        <v>60</v>
      </c>
      <c r="D567">
        <v>142</v>
      </c>
      <c r="E567">
        <v>823</v>
      </c>
      <c r="F567">
        <v>441001</v>
      </c>
      <c r="G567">
        <v>529200</v>
      </c>
      <c r="H567">
        <f t="shared" si="16"/>
        <v>10.000022675736961</v>
      </c>
      <c r="I567">
        <f t="shared" si="17"/>
        <v>12</v>
      </c>
      <c r="J567" t="s">
        <v>29</v>
      </c>
      <c r="K567">
        <v>4</v>
      </c>
      <c r="L567" t="e">
        <f t="array" ref="L567">VLOOKUP(J567:$J$3871&amp;K567:$K$3871,CHOOSE({1,2},#REF!&amp;#REF!,#REF!),2,0)</f>
        <v>#N/A</v>
      </c>
      <c r="M567">
        <v>0</v>
      </c>
      <c r="N567">
        <v>1</v>
      </c>
      <c r="O567" t="s">
        <v>23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1</v>
      </c>
      <c r="Y567">
        <v>0</v>
      </c>
      <c r="Z567">
        <v>0</v>
      </c>
      <c r="AA567" t="s">
        <v>4863</v>
      </c>
      <c r="AB567" t="s">
        <v>1440</v>
      </c>
      <c r="AC567" t="s">
        <v>4863</v>
      </c>
      <c r="AD567" t="e">
        <f>VLOOKUP(AB567,#REF!,2,FALSE)</f>
        <v>#REF!</v>
      </c>
      <c r="AE567" t="e">
        <f>RIGHT(#REF!,(FIND("Complex",#REF!,1)-5))</f>
        <v>#REF!</v>
      </c>
    </row>
    <row r="568" spans="1:31" x14ac:dyDescent="0.25">
      <c r="A568">
        <v>156</v>
      </c>
      <c r="B568" t="s">
        <v>36</v>
      </c>
      <c r="C568">
        <v>62</v>
      </c>
      <c r="D568">
        <v>29</v>
      </c>
      <c r="E568">
        <v>156</v>
      </c>
      <c r="F568">
        <v>264601</v>
      </c>
      <c r="G568">
        <v>352800</v>
      </c>
      <c r="H568">
        <f t="shared" si="16"/>
        <v>6.000022675736961</v>
      </c>
      <c r="I568">
        <f t="shared" si="17"/>
        <v>8</v>
      </c>
      <c r="J568" t="s">
        <v>29</v>
      </c>
      <c r="K568">
        <v>4</v>
      </c>
      <c r="L568" t="e">
        <f t="array" ref="L568">VLOOKUP(J568:$J$3871&amp;K568:$K$3871,CHOOSE({1,2},#REF!&amp;#REF!,#REF!),2,0)</f>
        <v>#N/A</v>
      </c>
      <c r="M568">
        <v>0</v>
      </c>
      <c r="N568">
        <v>1</v>
      </c>
      <c r="O568" t="s">
        <v>23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1</v>
      </c>
      <c r="Y568">
        <v>0</v>
      </c>
      <c r="Z568">
        <v>0</v>
      </c>
      <c r="AA568" t="s">
        <v>3809</v>
      </c>
      <c r="AB568" t="s">
        <v>190</v>
      </c>
      <c r="AC568" t="s">
        <v>3809</v>
      </c>
      <c r="AD568" t="e">
        <f>VLOOKUP(AB568,#REF!,2,FALSE)</f>
        <v>#REF!</v>
      </c>
      <c r="AE568" t="e">
        <f>RIGHT(#REF!,(FIND("Complex",#REF!,1)-6))</f>
        <v>#REF!</v>
      </c>
    </row>
    <row r="569" spans="1:31" x14ac:dyDescent="0.25">
      <c r="A569">
        <v>55</v>
      </c>
      <c r="B569" t="s">
        <v>36</v>
      </c>
      <c r="C569">
        <v>62</v>
      </c>
      <c r="D569">
        <v>9</v>
      </c>
      <c r="E569">
        <v>55</v>
      </c>
      <c r="F569">
        <v>1</v>
      </c>
      <c r="G569">
        <v>88200</v>
      </c>
      <c r="H569">
        <f t="shared" si="16"/>
        <v>2.2675736961451248E-5</v>
      </c>
      <c r="I569">
        <f t="shared" si="17"/>
        <v>2</v>
      </c>
      <c r="J569" t="s">
        <v>29</v>
      </c>
      <c r="K569">
        <v>4</v>
      </c>
      <c r="L569" t="e">
        <f t="array" ref="L569">VLOOKUP(J569:$J$3871&amp;K569:$K$3871,CHOOSE({1,2},#REF!&amp;#REF!,#REF!),2,0)</f>
        <v>#N/A</v>
      </c>
      <c r="M569">
        <v>0</v>
      </c>
      <c r="N569">
        <v>1</v>
      </c>
      <c r="O569" t="s">
        <v>23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1</v>
      </c>
      <c r="Y569">
        <v>0</v>
      </c>
      <c r="Z569">
        <v>0</v>
      </c>
      <c r="AA569" t="s">
        <v>4875</v>
      </c>
      <c r="AB569" t="s">
        <v>1475</v>
      </c>
      <c r="AC569" t="s">
        <v>4875</v>
      </c>
      <c r="AD569" t="e">
        <f>VLOOKUP(AB569,#REF!,2,FALSE)</f>
        <v>#REF!</v>
      </c>
      <c r="AE569" t="e">
        <f>RIGHT(#REF!,(FIND("Complex",#REF!,1)-5))</f>
        <v>#REF!</v>
      </c>
    </row>
    <row r="570" spans="1:31" x14ac:dyDescent="0.25">
      <c r="A570">
        <v>1624</v>
      </c>
      <c r="B570" t="s">
        <v>21</v>
      </c>
      <c r="C570">
        <v>64</v>
      </c>
      <c r="D570">
        <v>282</v>
      </c>
      <c r="E570">
        <v>1624</v>
      </c>
      <c r="F570">
        <v>352801</v>
      </c>
      <c r="G570">
        <v>441000</v>
      </c>
      <c r="H570">
        <f t="shared" si="16"/>
        <v>8.000022675736961</v>
      </c>
      <c r="I570">
        <f t="shared" si="17"/>
        <v>10</v>
      </c>
      <c r="J570" t="s">
        <v>29</v>
      </c>
      <c r="K570">
        <v>4</v>
      </c>
      <c r="L570" t="e">
        <f t="array" ref="L570">VLOOKUP(J570:$J$3871&amp;K570:$K$3871,CHOOSE({1,2},#REF!&amp;#REF!,#REF!),2,0)</f>
        <v>#N/A</v>
      </c>
      <c r="M570">
        <v>0</v>
      </c>
      <c r="N570">
        <v>1</v>
      </c>
      <c r="O570" t="s">
        <v>23</v>
      </c>
      <c r="P570">
        <v>1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1</v>
      </c>
      <c r="Y570">
        <v>0</v>
      </c>
      <c r="Z570">
        <v>0</v>
      </c>
      <c r="AA570" t="s">
        <v>3643</v>
      </c>
      <c r="AB570" t="s">
        <v>1503</v>
      </c>
      <c r="AC570" t="s">
        <v>3643</v>
      </c>
      <c r="AD570" t="e">
        <f>VLOOKUP(AB570,#REF!,2,FALSE)</f>
        <v>#REF!</v>
      </c>
      <c r="AE570" t="e">
        <f>RIGHT(#REF!,(FIND("Complex",#REF!,1)-7))</f>
        <v>#REF!</v>
      </c>
    </row>
    <row r="571" spans="1:31" x14ac:dyDescent="0.25">
      <c r="A571">
        <v>298</v>
      </c>
      <c r="B571" t="s">
        <v>21</v>
      </c>
      <c r="C571">
        <v>64</v>
      </c>
      <c r="D571">
        <v>57</v>
      </c>
      <c r="E571">
        <v>298</v>
      </c>
      <c r="F571">
        <v>264601</v>
      </c>
      <c r="G571">
        <v>352800</v>
      </c>
      <c r="H571">
        <f t="shared" si="16"/>
        <v>6.000022675736961</v>
      </c>
      <c r="I571">
        <f t="shared" si="17"/>
        <v>8</v>
      </c>
      <c r="J571" t="s">
        <v>29</v>
      </c>
      <c r="K571">
        <v>4</v>
      </c>
      <c r="L571" t="e">
        <f t="array" ref="L571">VLOOKUP(J571:$J$3871&amp;K571:$K$3871,CHOOSE({1,2},#REF!&amp;#REF!,#REF!),2,0)</f>
        <v>#N/A</v>
      </c>
      <c r="M571">
        <v>0</v>
      </c>
      <c r="N571">
        <v>1</v>
      </c>
      <c r="O571" t="s">
        <v>23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1</v>
      </c>
      <c r="Y571">
        <v>0</v>
      </c>
      <c r="Z571">
        <v>0</v>
      </c>
      <c r="AA571" t="s">
        <v>3807</v>
      </c>
      <c r="AB571" t="s">
        <v>1504</v>
      </c>
      <c r="AC571" t="s">
        <v>3807</v>
      </c>
      <c r="AD571" t="e">
        <f>VLOOKUP(AB571,#REF!,2,FALSE)</f>
        <v>#REF!</v>
      </c>
      <c r="AE571" t="e">
        <f>RIGHT(#REF!,(FIND("Complex",#REF!,1)-6))</f>
        <v>#REF!</v>
      </c>
    </row>
    <row r="572" spans="1:31" x14ac:dyDescent="0.25">
      <c r="A572">
        <v>926</v>
      </c>
      <c r="B572" t="s">
        <v>21</v>
      </c>
      <c r="C572">
        <v>64</v>
      </c>
      <c r="D572">
        <v>162</v>
      </c>
      <c r="E572">
        <v>926</v>
      </c>
      <c r="F572">
        <v>176401</v>
      </c>
      <c r="G572">
        <v>264600</v>
      </c>
      <c r="H572">
        <f t="shared" si="16"/>
        <v>4.000022675736961</v>
      </c>
      <c r="I572">
        <f t="shared" si="17"/>
        <v>6</v>
      </c>
      <c r="J572" t="s">
        <v>29</v>
      </c>
      <c r="K572">
        <v>4</v>
      </c>
      <c r="L572" t="e">
        <f t="array" ref="L572">VLOOKUP(J572:$J$3871&amp;K572:$K$3871,CHOOSE({1,2},#REF!&amp;#REF!,#REF!),2,0)</f>
        <v>#N/A</v>
      </c>
      <c r="M572">
        <v>0</v>
      </c>
      <c r="N572">
        <v>1</v>
      </c>
      <c r="O572" t="s">
        <v>23</v>
      </c>
      <c r="P572">
        <v>1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1</v>
      </c>
      <c r="Y572">
        <v>0</v>
      </c>
      <c r="Z572">
        <v>0</v>
      </c>
      <c r="AA572" t="s">
        <v>3964</v>
      </c>
      <c r="AB572" t="s">
        <v>1505</v>
      </c>
      <c r="AC572" t="s">
        <v>3964</v>
      </c>
      <c r="AD572" t="e">
        <f>VLOOKUP(AB572,#REF!,2,FALSE)</f>
        <v>#REF!</v>
      </c>
      <c r="AE572" t="e">
        <f>RIGHT(#REF!,(FIND("Complex",#REF!,1)-6))</f>
        <v>#REF!</v>
      </c>
    </row>
    <row r="573" spans="1:31" x14ac:dyDescent="0.25">
      <c r="A573">
        <v>331</v>
      </c>
      <c r="B573" t="s">
        <v>21</v>
      </c>
      <c r="C573">
        <v>64</v>
      </c>
      <c r="D573">
        <v>62</v>
      </c>
      <c r="E573">
        <v>331</v>
      </c>
      <c r="F573">
        <v>882001</v>
      </c>
      <c r="G573">
        <v>970200</v>
      </c>
      <c r="H573">
        <f t="shared" si="16"/>
        <v>20.000022675736961</v>
      </c>
      <c r="I573">
        <f t="shared" si="17"/>
        <v>22</v>
      </c>
      <c r="J573" t="s">
        <v>29</v>
      </c>
      <c r="K573">
        <v>4</v>
      </c>
      <c r="L573" t="e">
        <f t="array" ref="L573">VLOOKUP(J573:$J$3871&amp;K573:$K$3871,CHOOSE({1,2},#REF!&amp;#REF!,#REF!),2,0)</f>
        <v>#N/A</v>
      </c>
      <c r="M573">
        <v>0</v>
      </c>
      <c r="N573">
        <v>1</v>
      </c>
      <c r="O573" t="s">
        <v>23</v>
      </c>
      <c r="P573">
        <v>1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1</v>
      </c>
      <c r="Y573">
        <v>0</v>
      </c>
      <c r="Z573">
        <v>0</v>
      </c>
      <c r="AA573" t="s">
        <v>4310</v>
      </c>
      <c r="AB573" t="s">
        <v>1506</v>
      </c>
      <c r="AC573" t="s">
        <v>4310</v>
      </c>
      <c r="AD573" t="e">
        <f>VLOOKUP(AB573,#REF!,2,FALSE)</f>
        <v>#REF!</v>
      </c>
      <c r="AE573" t="e">
        <f>RIGHT(#REF!,(FIND("Complex",#REF!,1)-5))</f>
        <v>#REF!</v>
      </c>
    </row>
    <row r="574" spans="1:31" x14ac:dyDescent="0.25">
      <c r="A574">
        <v>690</v>
      </c>
      <c r="B574" t="s">
        <v>21</v>
      </c>
      <c r="C574">
        <v>64</v>
      </c>
      <c r="D574">
        <v>123</v>
      </c>
      <c r="E574">
        <v>690</v>
      </c>
      <c r="F574">
        <v>1</v>
      </c>
      <c r="G574">
        <v>88200</v>
      </c>
      <c r="H574">
        <f t="shared" si="16"/>
        <v>2.2675736961451248E-5</v>
      </c>
      <c r="I574">
        <f t="shared" si="17"/>
        <v>2</v>
      </c>
      <c r="J574" t="s">
        <v>29</v>
      </c>
      <c r="K574">
        <v>4</v>
      </c>
      <c r="L574" t="e">
        <f t="array" ref="L574">VLOOKUP(J574:$J$3871&amp;K574:$K$3871,CHOOSE({1,2},#REF!&amp;#REF!,#REF!),2,0)</f>
        <v>#N/A</v>
      </c>
      <c r="M574">
        <v>0</v>
      </c>
      <c r="N574">
        <v>1</v>
      </c>
      <c r="O574" t="s">
        <v>23</v>
      </c>
      <c r="P574">
        <v>1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1</v>
      </c>
      <c r="Y574">
        <v>0</v>
      </c>
      <c r="Z574">
        <v>0</v>
      </c>
      <c r="AA574" t="s">
        <v>4874</v>
      </c>
      <c r="AB574" t="s">
        <v>1507</v>
      </c>
      <c r="AC574" t="s">
        <v>4874</v>
      </c>
      <c r="AD574" t="e">
        <f>VLOOKUP(AB574,#REF!,2,FALSE)</f>
        <v>#REF!</v>
      </c>
      <c r="AE574" t="e">
        <f>RIGHT(#REF!,(FIND("Complex",#REF!,1)-6))</f>
        <v>#REF!</v>
      </c>
    </row>
    <row r="575" spans="1:31" x14ac:dyDescent="0.25">
      <c r="A575">
        <v>146</v>
      </c>
      <c r="B575" t="s">
        <v>49</v>
      </c>
      <c r="C575">
        <v>65</v>
      </c>
      <c r="D575">
        <v>26</v>
      </c>
      <c r="E575">
        <v>146</v>
      </c>
      <c r="F575">
        <v>264601</v>
      </c>
      <c r="G575">
        <v>352800</v>
      </c>
      <c r="H575">
        <f t="shared" si="16"/>
        <v>6.000022675736961</v>
      </c>
      <c r="I575">
        <f t="shared" si="17"/>
        <v>8</v>
      </c>
      <c r="J575" t="s">
        <v>29</v>
      </c>
      <c r="K575">
        <v>4</v>
      </c>
      <c r="L575" t="e">
        <f t="array" ref="L575">VLOOKUP(J575:$J$3871&amp;K575:$K$3871,CHOOSE({1,2},#REF!&amp;#REF!,#REF!),2,0)</f>
        <v>#N/A</v>
      </c>
      <c r="M575">
        <v>0</v>
      </c>
      <c r="N575">
        <v>1</v>
      </c>
      <c r="O575" t="s">
        <v>23</v>
      </c>
      <c r="P575">
        <v>1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1</v>
      </c>
      <c r="Y575">
        <v>0</v>
      </c>
      <c r="Z575">
        <v>0</v>
      </c>
      <c r="AA575" t="s">
        <v>3806</v>
      </c>
      <c r="AB575" t="s">
        <v>189</v>
      </c>
      <c r="AC575" t="s">
        <v>3806</v>
      </c>
      <c r="AD575" t="e">
        <f>VLOOKUP(AB575,#REF!,2,FALSE)</f>
        <v>#REF!</v>
      </c>
      <c r="AE575" t="e">
        <f>RIGHT(#REF!,(FIND("Complex",#REF!,1)-6))</f>
        <v>#REF!</v>
      </c>
    </row>
    <row r="576" spans="1:31" x14ac:dyDescent="0.25">
      <c r="A576">
        <v>277</v>
      </c>
      <c r="B576" t="s">
        <v>49</v>
      </c>
      <c r="C576">
        <v>65</v>
      </c>
      <c r="D576">
        <v>52</v>
      </c>
      <c r="E576">
        <v>277</v>
      </c>
      <c r="F576">
        <v>176401</v>
      </c>
      <c r="G576">
        <v>264600</v>
      </c>
      <c r="H576">
        <f t="shared" si="16"/>
        <v>4.000022675736961</v>
      </c>
      <c r="I576">
        <f t="shared" si="17"/>
        <v>6</v>
      </c>
      <c r="J576" t="s">
        <v>29</v>
      </c>
      <c r="K576">
        <v>4</v>
      </c>
      <c r="L576" t="e">
        <f t="array" ref="L576">VLOOKUP(J576:$J$3871&amp;K576:$K$3871,CHOOSE({1,2},#REF!&amp;#REF!,#REF!),2,0)</f>
        <v>#N/A</v>
      </c>
      <c r="M576">
        <v>0</v>
      </c>
      <c r="N576">
        <v>1</v>
      </c>
      <c r="O576" t="s">
        <v>23</v>
      </c>
      <c r="P576">
        <v>1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 t="s">
        <v>3963</v>
      </c>
      <c r="AB576" t="s">
        <v>1516</v>
      </c>
      <c r="AC576" t="s">
        <v>3963</v>
      </c>
      <c r="AD576" t="e">
        <f>VLOOKUP(AB576,#REF!,2,FALSE)</f>
        <v>#REF!</v>
      </c>
      <c r="AE576" t="e">
        <f>RIGHT(#REF!,(FIND("Complex",#REF!,1)-6))</f>
        <v>#REF!</v>
      </c>
    </row>
    <row r="577" spans="1:31" x14ac:dyDescent="0.25">
      <c r="A577">
        <v>661</v>
      </c>
      <c r="B577" t="s">
        <v>49</v>
      </c>
      <c r="C577">
        <v>65</v>
      </c>
      <c r="D577">
        <v>116</v>
      </c>
      <c r="E577">
        <v>661</v>
      </c>
      <c r="F577">
        <v>617401</v>
      </c>
      <c r="G577">
        <v>705600</v>
      </c>
      <c r="H577">
        <f t="shared" si="16"/>
        <v>14.000022675736961</v>
      </c>
      <c r="I577">
        <f t="shared" si="17"/>
        <v>16</v>
      </c>
      <c r="J577" t="s">
        <v>29</v>
      </c>
      <c r="K577">
        <v>4</v>
      </c>
      <c r="L577" t="e">
        <f t="array" ref="L577">VLOOKUP(J577:$J$3871&amp;K577:$K$3871,CHOOSE({1,2},#REF!&amp;#REF!,#REF!),2,0)</f>
        <v>#N/A</v>
      </c>
      <c r="M577">
        <v>0</v>
      </c>
      <c r="N577">
        <v>1</v>
      </c>
      <c r="O577" t="s">
        <v>23</v>
      </c>
      <c r="P577">
        <v>1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1</v>
      </c>
      <c r="Y577">
        <v>0</v>
      </c>
      <c r="Z577">
        <v>0</v>
      </c>
      <c r="AA577" t="s">
        <v>4616</v>
      </c>
      <c r="AB577" t="s">
        <v>1517</v>
      </c>
      <c r="AC577" t="s">
        <v>4616</v>
      </c>
      <c r="AD577" t="e">
        <f>VLOOKUP(AB577,#REF!,2,FALSE)</f>
        <v>#REF!</v>
      </c>
      <c r="AE577" t="e">
        <f>RIGHT(#REF!,(FIND("Complex",#REF!,1)-5))</f>
        <v>#REF!</v>
      </c>
    </row>
    <row r="578" spans="1:31" x14ac:dyDescent="0.25">
      <c r="A578">
        <v>31</v>
      </c>
      <c r="B578" t="s">
        <v>49</v>
      </c>
      <c r="C578">
        <v>65</v>
      </c>
      <c r="D578">
        <v>6</v>
      </c>
      <c r="E578">
        <v>31</v>
      </c>
      <c r="F578">
        <v>529201</v>
      </c>
      <c r="G578">
        <v>617400</v>
      </c>
      <c r="H578">
        <f t="shared" ref="H578:H641" si="18">F578/44100</f>
        <v>12.000022675736961</v>
      </c>
      <c r="I578">
        <f t="shared" ref="I578:I641" si="19">G578/44100</f>
        <v>14</v>
      </c>
      <c r="J578" t="s">
        <v>29</v>
      </c>
      <c r="K578">
        <v>4</v>
      </c>
      <c r="L578" t="e">
        <f t="array" ref="L578">VLOOKUP(J578:$J$3871&amp;K578:$K$3871,CHOOSE({1,2},#REF!&amp;#REF!,#REF!),2,0)</f>
        <v>#N/A</v>
      </c>
      <c r="M578">
        <v>0</v>
      </c>
      <c r="N578">
        <v>1</v>
      </c>
      <c r="O578" t="s">
        <v>23</v>
      </c>
      <c r="P578">
        <v>1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1</v>
      </c>
      <c r="Y578">
        <v>0</v>
      </c>
      <c r="Z578">
        <v>0</v>
      </c>
      <c r="AA578" t="s">
        <v>4734</v>
      </c>
      <c r="AB578" t="s">
        <v>1518</v>
      </c>
      <c r="AC578" t="s">
        <v>4734</v>
      </c>
      <c r="AD578" t="e">
        <f>VLOOKUP(AB578,#REF!,2,FALSE)</f>
        <v>#REF!</v>
      </c>
      <c r="AE578" t="e">
        <f>RIGHT(#REF!,(FIND("Complex",#REF!,1)-4))</f>
        <v>#REF!</v>
      </c>
    </row>
    <row r="579" spans="1:31" x14ac:dyDescent="0.25">
      <c r="A579">
        <v>2778</v>
      </c>
      <c r="B579" t="s">
        <v>259</v>
      </c>
      <c r="C579">
        <v>66</v>
      </c>
      <c r="D579">
        <v>595</v>
      </c>
      <c r="E579">
        <v>2778</v>
      </c>
      <c r="F579">
        <v>4321801</v>
      </c>
      <c r="G579">
        <v>4410000</v>
      </c>
      <c r="H579">
        <f t="shared" si="18"/>
        <v>98.000022675736957</v>
      </c>
      <c r="I579">
        <f t="shared" si="19"/>
        <v>100</v>
      </c>
      <c r="J579" t="s">
        <v>29</v>
      </c>
      <c r="K579">
        <v>4</v>
      </c>
      <c r="L579" t="e">
        <f t="array" ref="L579">VLOOKUP(J579:$J$3871&amp;K579:$K$3871,CHOOSE({1,2},#REF!&amp;#REF!,#REF!),2,0)</f>
        <v>#N/A</v>
      </c>
      <c r="M579">
        <v>0</v>
      </c>
      <c r="N579">
        <v>1</v>
      </c>
      <c r="O579" t="s">
        <v>23</v>
      </c>
      <c r="P579">
        <v>1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1</v>
      </c>
      <c r="Y579">
        <v>0</v>
      </c>
      <c r="Z579">
        <v>0</v>
      </c>
      <c r="AA579" t="s">
        <v>3503</v>
      </c>
      <c r="AB579" t="s">
        <v>1523</v>
      </c>
      <c r="AC579" t="s">
        <v>3503</v>
      </c>
      <c r="AD579" t="e">
        <f>VLOOKUP(AB579,#REF!,2,FALSE)</f>
        <v>#REF!</v>
      </c>
      <c r="AE579" t="e">
        <f>RIGHT(#REF!,(FIND("Complex",#REF!,1)-6))</f>
        <v>#REF!</v>
      </c>
    </row>
    <row r="580" spans="1:31" x14ac:dyDescent="0.25">
      <c r="A580">
        <v>3070</v>
      </c>
      <c r="B580" t="s">
        <v>259</v>
      </c>
      <c r="C580">
        <v>66</v>
      </c>
      <c r="D580">
        <v>713</v>
      </c>
      <c r="E580">
        <v>3070</v>
      </c>
      <c r="F580">
        <v>4233601</v>
      </c>
      <c r="G580">
        <v>4321800</v>
      </c>
      <c r="H580">
        <f t="shared" si="18"/>
        <v>96.000022675736957</v>
      </c>
      <c r="I580">
        <f t="shared" si="19"/>
        <v>98</v>
      </c>
      <c r="J580" t="s">
        <v>29</v>
      </c>
      <c r="K580">
        <v>4</v>
      </c>
      <c r="L580" t="e">
        <f t="array" ref="L580">VLOOKUP(J580:$J$3871&amp;K580:$K$3871,CHOOSE({1,2},#REF!&amp;#REF!,#REF!),2,0)</f>
        <v>#N/A</v>
      </c>
      <c r="M580">
        <v>0</v>
      </c>
      <c r="N580">
        <v>1</v>
      </c>
      <c r="O580" t="s">
        <v>23</v>
      </c>
      <c r="P580">
        <v>1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1</v>
      </c>
      <c r="Y580">
        <v>0</v>
      </c>
      <c r="Z580">
        <v>0</v>
      </c>
      <c r="AA580" t="s">
        <v>3516</v>
      </c>
      <c r="AB580" t="s">
        <v>6324</v>
      </c>
      <c r="AC580" t="s">
        <v>3516</v>
      </c>
      <c r="AD580" t="e">
        <f>VLOOKUP(AB580,#REF!,2,FALSE)</f>
        <v>#REF!</v>
      </c>
      <c r="AE580" t="e">
        <f>RIGHT(#REF!,(FIND("Complex",#REF!,1)-6))</f>
        <v>#REF!</v>
      </c>
    </row>
    <row r="581" spans="1:31" x14ac:dyDescent="0.25">
      <c r="A581">
        <v>2794</v>
      </c>
      <c r="B581" t="s">
        <v>259</v>
      </c>
      <c r="C581">
        <v>66</v>
      </c>
      <c r="D581">
        <v>601</v>
      </c>
      <c r="E581">
        <v>2794</v>
      </c>
      <c r="F581">
        <v>3969001</v>
      </c>
      <c r="G581">
        <v>4057200</v>
      </c>
      <c r="H581">
        <f t="shared" si="18"/>
        <v>90.000022675736957</v>
      </c>
      <c r="I581">
        <f t="shared" si="19"/>
        <v>92</v>
      </c>
      <c r="J581" t="s">
        <v>29</v>
      </c>
      <c r="K581">
        <v>4</v>
      </c>
      <c r="L581" t="e">
        <f t="array" ref="L581">VLOOKUP(J581:$J$3871&amp;K581:$K$3871,CHOOSE({1,2},#REF!&amp;#REF!,#REF!),2,0)</f>
        <v>#N/A</v>
      </c>
      <c r="M581">
        <v>0</v>
      </c>
      <c r="N581">
        <v>1</v>
      </c>
      <c r="O581" t="s">
        <v>23</v>
      </c>
      <c r="P581">
        <v>1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1</v>
      </c>
      <c r="Y581">
        <v>0</v>
      </c>
      <c r="Z581">
        <v>0</v>
      </c>
      <c r="AA581" t="s">
        <v>3552</v>
      </c>
      <c r="AB581" t="s">
        <v>1524</v>
      </c>
      <c r="AC581" t="s">
        <v>3552</v>
      </c>
      <c r="AD581" t="e">
        <f>VLOOKUP(AB581,#REF!,2,FALSE)</f>
        <v>#REF!</v>
      </c>
      <c r="AE581" t="e">
        <f>RIGHT(#REF!,(FIND("Complex",#REF!,1)-6))</f>
        <v>#REF!</v>
      </c>
    </row>
    <row r="582" spans="1:31" x14ac:dyDescent="0.25">
      <c r="A582">
        <v>2936</v>
      </c>
      <c r="B582" t="s">
        <v>259</v>
      </c>
      <c r="C582">
        <v>66</v>
      </c>
      <c r="D582">
        <v>654</v>
      </c>
      <c r="E582">
        <v>2936</v>
      </c>
      <c r="F582">
        <v>3704401</v>
      </c>
      <c r="G582">
        <v>3792600</v>
      </c>
      <c r="H582">
        <f t="shared" si="18"/>
        <v>84.000022675736957</v>
      </c>
      <c r="I582">
        <f t="shared" si="19"/>
        <v>86</v>
      </c>
      <c r="J582" t="s">
        <v>29</v>
      </c>
      <c r="K582">
        <v>4</v>
      </c>
      <c r="L582" t="e">
        <f t="array" ref="L582">VLOOKUP(J582:$J$3871&amp;K582:$K$3871,CHOOSE({1,2},#REF!&amp;#REF!,#REF!),2,0)</f>
        <v>#N/A</v>
      </c>
      <c r="M582">
        <v>0</v>
      </c>
      <c r="N582">
        <v>1</v>
      </c>
      <c r="O582" t="s">
        <v>23</v>
      </c>
      <c r="P582">
        <v>1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1</v>
      </c>
      <c r="Y582">
        <v>0</v>
      </c>
      <c r="Z582">
        <v>0</v>
      </c>
      <c r="AA582" t="s">
        <v>3594</v>
      </c>
      <c r="AB582" t="s">
        <v>6364</v>
      </c>
      <c r="AC582" t="s">
        <v>3594</v>
      </c>
      <c r="AD582" t="e">
        <f>VLOOKUP(AB582,#REF!,2,FALSE)</f>
        <v>#REF!</v>
      </c>
      <c r="AE582" t="e">
        <f>RIGHT(#REF!,(FIND("Complex",#REF!,1)-6))</f>
        <v>#REF!</v>
      </c>
    </row>
    <row r="583" spans="1:31" x14ac:dyDescent="0.25">
      <c r="A583">
        <v>894</v>
      </c>
      <c r="B583" t="s">
        <v>259</v>
      </c>
      <c r="C583">
        <v>66</v>
      </c>
      <c r="D583">
        <v>156</v>
      </c>
      <c r="E583">
        <v>894</v>
      </c>
      <c r="F583">
        <v>3616201</v>
      </c>
      <c r="G583">
        <v>3704400</v>
      </c>
      <c r="H583">
        <f t="shared" si="18"/>
        <v>82.000022675736957</v>
      </c>
      <c r="I583">
        <f t="shared" si="19"/>
        <v>84</v>
      </c>
      <c r="J583" t="s">
        <v>29</v>
      </c>
      <c r="K583">
        <v>4</v>
      </c>
      <c r="L583" t="e">
        <f t="array" ref="L583">VLOOKUP(J583:$J$3871&amp;K583:$K$3871,CHOOSE({1,2},#REF!&amp;#REF!,#REF!),2,0)</f>
        <v>#N/A</v>
      </c>
      <c r="M583">
        <v>0</v>
      </c>
      <c r="N583">
        <v>1</v>
      </c>
      <c r="O583" t="s">
        <v>23</v>
      </c>
      <c r="P583">
        <v>1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1</v>
      </c>
      <c r="Y583">
        <v>0</v>
      </c>
      <c r="Z583">
        <v>0</v>
      </c>
      <c r="AA583" t="s">
        <v>3606</v>
      </c>
      <c r="AB583" t="s">
        <v>6370</v>
      </c>
      <c r="AC583" t="s">
        <v>3606</v>
      </c>
      <c r="AD583" t="e">
        <f>VLOOKUP(AB583,#REF!,2,FALSE)</f>
        <v>#REF!</v>
      </c>
      <c r="AE583" t="e">
        <f>RIGHT(#REF!,(FIND("Complex",#REF!,1)-5))</f>
        <v>#REF!</v>
      </c>
    </row>
    <row r="584" spans="1:31" x14ac:dyDescent="0.25">
      <c r="A584">
        <v>621</v>
      </c>
      <c r="B584" t="s">
        <v>259</v>
      </c>
      <c r="C584">
        <v>66</v>
      </c>
      <c r="D584">
        <v>109</v>
      </c>
      <c r="E584">
        <v>621</v>
      </c>
      <c r="F584">
        <v>352801</v>
      </c>
      <c r="G584">
        <v>441000</v>
      </c>
      <c r="H584">
        <f t="shared" si="18"/>
        <v>8.000022675736961</v>
      </c>
      <c r="I584">
        <f t="shared" si="19"/>
        <v>10</v>
      </c>
      <c r="J584" t="s">
        <v>29</v>
      </c>
      <c r="K584">
        <v>4</v>
      </c>
      <c r="L584" t="e">
        <f t="array" ref="L584">VLOOKUP(J584:$J$3871&amp;K584:$K$3871,CHOOSE({1,2},#REF!&amp;#REF!,#REF!),2,0)</f>
        <v>#N/A</v>
      </c>
      <c r="M584">
        <v>0</v>
      </c>
      <c r="N584">
        <v>1</v>
      </c>
      <c r="O584" t="s">
        <v>23</v>
      </c>
      <c r="P584">
        <v>1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1</v>
      </c>
      <c r="Y584">
        <v>0</v>
      </c>
      <c r="Z584">
        <v>0</v>
      </c>
      <c r="AA584" t="s">
        <v>3641</v>
      </c>
      <c r="AB584" t="s">
        <v>1525</v>
      </c>
      <c r="AC584" t="s">
        <v>3641</v>
      </c>
      <c r="AD584" t="e">
        <f>VLOOKUP(AB584,#REF!,2,FALSE)</f>
        <v>#REF!</v>
      </c>
      <c r="AE584" t="e">
        <f>RIGHT(#REF!,(FIND("Complex",#REF!,1)-6))</f>
        <v>#REF!</v>
      </c>
    </row>
    <row r="585" spans="1:31" x14ac:dyDescent="0.25">
      <c r="A585">
        <v>2567</v>
      </c>
      <c r="B585" t="s">
        <v>259</v>
      </c>
      <c r="C585">
        <v>66</v>
      </c>
      <c r="D585">
        <v>514</v>
      </c>
      <c r="E585">
        <v>2567</v>
      </c>
      <c r="F585">
        <v>2998801</v>
      </c>
      <c r="G585">
        <v>3087000</v>
      </c>
      <c r="H585">
        <f t="shared" si="18"/>
        <v>68.000022675736957</v>
      </c>
      <c r="I585">
        <f t="shared" si="19"/>
        <v>70</v>
      </c>
      <c r="J585" t="s">
        <v>29</v>
      </c>
      <c r="K585">
        <v>4</v>
      </c>
      <c r="L585" t="e">
        <f t="array" ref="L585">VLOOKUP(J585:$J$3871&amp;K585:$K$3871,CHOOSE({1,2},#REF!&amp;#REF!,#REF!),2,0)</f>
        <v>#N/A</v>
      </c>
      <c r="M585">
        <v>0</v>
      </c>
      <c r="N585">
        <v>1</v>
      </c>
      <c r="O585" t="s">
        <v>23</v>
      </c>
      <c r="P585">
        <v>1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1</v>
      </c>
      <c r="Y585">
        <v>0</v>
      </c>
      <c r="Z585">
        <v>0</v>
      </c>
      <c r="AA585" t="s">
        <v>3722</v>
      </c>
      <c r="AB585" t="s">
        <v>1526</v>
      </c>
      <c r="AC585" t="s">
        <v>3722</v>
      </c>
      <c r="AD585" t="e">
        <f>VLOOKUP(AB585,#REF!,2,FALSE)</f>
        <v>#REF!</v>
      </c>
      <c r="AE585" t="e">
        <f>RIGHT(#REF!,(FIND("Complex",#REF!,1)-6))</f>
        <v>#REF!</v>
      </c>
    </row>
    <row r="586" spans="1:31" x14ac:dyDescent="0.25">
      <c r="A586">
        <v>2983</v>
      </c>
      <c r="B586" t="s">
        <v>259</v>
      </c>
      <c r="C586">
        <v>66</v>
      </c>
      <c r="D586">
        <v>677</v>
      </c>
      <c r="E586">
        <v>2983</v>
      </c>
      <c r="F586">
        <v>2557801</v>
      </c>
      <c r="G586">
        <v>2646000</v>
      </c>
      <c r="H586">
        <f t="shared" si="18"/>
        <v>58.000022675736965</v>
      </c>
      <c r="I586">
        <f t="shared" si="19"/>
        <v>60</v>
      </c>
      <c r="J586" t="s">
        <v>29</v>
      </c>
      <c r="K586">
        <v>4</v>
      </c>
      <c r="L586" t="e">
        <f t="array" ref="L586">VLOOKUP(J586:$J$3871&amp;K586:$K$3871,CHOOSE({1,2},#REF!&amp;#REF!,#REF!),2,0)</f>
        <v>#N/A</v>
      </c>
      <c r="M586">
        <v>0</v>
      </c>
      <c r="N586">
        <v>1</v>
      </c>
      <c r="O586" t="s">
        <v>23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1</v>
      </c>
      <c r="Y586">
        <v>0</v>
      </c>
      <c r="Z586">
        <v>0</v>
      </c>
      <c r="AA586" t="s">
        <v>3816</v>
      </c>
      <c r="AB586" t="s">
        <v>1527</v>
      </c>
      <c r="AC586" t="s">
        <v>3816</v>
      </c>
      <c r="AD586" t="e">
        <f>VLOOKUP(AB586,#REF!,2,FALSE)</f>
        <v>#REF!</v>
      </c>
      <c r="AE586" t="e">
        <f>RIGHT(#REF!,(FIND("Complex",#REF!,1)-6))</f>
        <v>#REF!</v>
      </c>
    </row>
    <row r="587" spans="1:31" x14ac:dyDescent="0.25">
      <c r="A587">
        <v>3108</v>
      </c>
      <c r="B587" t="s">
        <v>259</v>
      </c>
      <c r="C587">
        <v>66</v>
      </c>
      <c r="D587">
        <v>728</v>
      </c>
      <c r="E587">
        <v>3108</v>
      </c>
      <c r="F587">
        <v>2469601</v>
      </c>
      <c r="G587">
        <v>2557800</v>
      </c>
      <c r="H587">
        <f t="shared" si="18"/>
        <v>56.000022675736965</v>
      </c>
      <c r="I587">
        <f t="shared" si="19"/>
        <v>58</v>
      </c>
      <c r="J587" t="s">
        <v>29</v>
      </c>
      <c r="K587">
        <v>4</v>
      </c>
      <c r="L587" t="e">
        <f t="array" ref="L587">VLOOKUP(J587:$J$3871&amp;K587:$K$3871,CHOOSE({1,2},#REF!&amp;#REF!,#REF!),2,0)</f>
        <v>#N/A</v>
      </c>
      <c r="M587">
        <v>0</v>
      </c>
      <c r="N587">
        <v>1</v>
      </c>
      <c r="O587" t="s">
        <v>23</v>
      </c>
      <c r="P587">
        <v>1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1</v>
      </c>
      <c r="Y587">
        <v>0</v>
      </c>
      <c r="Z587">
        <v>0</v>
      </c>
      <c r="AA587" t="s">
        <v>3833</v>
      </c>
      <c r="AB587" t="s">
        <v>6500</v>
      </c>
      <c r="AC587" t="s">
        <v>3833</v>
      </c>
      <c r="AD587" t="e">
        <f>VLOOKUP(AB587,#REF!,2,FALSE)</f>
        <v>#REF!</v>
      </c>
      <c r="AE587" t="e">
        <f>RIGHT(#REF!,(FIND("Complex",#REF!,1)-6))</f>
        <v>#REF!</v>
      </c>
    </row>
    <row r="588" spans="1:31" x14ac:dyDescent="0.25">
      <c r="A588">
        <v>2716</v>
      </c>
      <c r="B588" t="s">
        <v>259</v>
      </c>
      <c r="C588">
        <v>66</v>
      </c>
      <c r="D588">
        <v>567</v>
      </c>
      <c r="E588">
        <v>2716</v>
      </c>
      <c r="F588">
        <v>2205001</v>
      </c>
      <c r="G588">
        <v>2293200</v>
      </c>
      <c r="H588">
        <f t="shared" si="18"/>
        <v>50.000022675736965</v>
      </c>
      <c r="I588">
        <f t="shared" si="19"/>
        <v>52</v>
      </c>
      <c r="J588" t="s">
        <v>29</v>
      </c>
      <c r="K588">
        <v>4</v>
      </c>
      <c r="L588" t="e">
        <f t="array" ref="L588">VLOOKUP(J588:$J$3871&amp;K588:$K$3871,CHOOSE({1,2},#REF!&amp;#REF!,#REF!),2,0)</f>
        <v>#N/A</v>
      </c>
      <c r="M588">
        <v>0</v>
      </c>
      <c r="N588">
        <v>1</v>
      </c>
      <c r="O588" t="s">
        <v>23</v>
      </c>
      <c r="P588">
        <v>1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1</v>
      </c>
      <c r="Y588">
        <v>0</v>
      </c>
      <c r="Z588">
        <v>0</v>
      </c>
      <c r="AA588" t="s">
        <v>3870</v>
      </c>
      <c r="AB588" t="s">
        <v>1528</v>
      </c>
      <c r="AC588" t="s">
        <v>3870</v>
      </c>
      <c r="AD588" t="e">
        <f>VLOOKUP(AB588,#REF!,2,FALSE)</f>
        <v>#REF!</v>
      </c>
      <c r="AE588" t="e">
        <f>RIGHT(#REF!,(FIND("Complex",#REF!,1)-6))</f>
        <v>#REF!</v>
      </c>
    </row>
    <row r="589" spans="1:31" x14ac:dyDescent="0.25">
      <c r="A589">
        <v>3297</v>
      </c>
      <c r="B589" t="s">
        <v>259</v>
      </c>
      <c r="C589">
        <v>66</v>
      </c>
      <c r="D589">
        <v>826</v>
      </c>
      <c r="E589">
        <v>3297</v>
      </c>
      <c r="F589">
        <v>1587601</v>
      </c>
      <c r="G589">
        <v>1675800</v>
      </c>
      <c r="H589">
        <f t="shared" si="18"/>
        <v>36.000022675736965</v>
      </c>
      <c r="I589">
        <f t="shared" si="19"/>
        <v>38</v>
      </c>
      <c r="J589" t="s">
        <v>29</v>
      </c>
      <c r="K589">
        <v>4</v>
      </c>
      <c r="L589" t="e">
        <f t="array" ref="L589">VLOOKUP(J589:$J$3871&amp;K589:$K$3871,CHOOSE({1,2},#REF!&amp;#REF!,#REF!),2,0)</f>
        <v>#N/A</v>
      </c>
      <c r="M589">
        <v>0</v>
      </c>
      <c r="N589">
        <v>1</v>
      </c>
      <c r="O589" t="s">
        <v>23</v>
      </c>
      <c r="P589">
        <v>1</v>
      </c>
      <c r="Q589">
        <v>1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1</v>
      </c>
      <c r="Y589">
        <v>0</v>
      </c>
      <c r="Z589">
        <v>0</v>
      </c>
      <c r="AA589" t="s">
        <v>4001</v>
      </c>
      <c r="AB589" t="s">
        <v>1529</v>
      </c>
      <c r="AC589" t="s">
        <v>4001</v>
      </c>
      <c r="AD589" t="e">
        <f>VLOOKUP(AB589,#REF!,2,FALSE)</f>
        <v>#REF!</v>
      </c>
      <c r="AE589" t="e">
        <f>RIGHT(#REF!,(FIND("Complex",#REF!,1)-6))</f>
        <v>#REF!</v>
      </c>
    </row>
    <row r="590" spans="1:31" x14ac:dyDescent="0.25">
      <c r="A590">
        <v>3171</v>
      </c>
      <c r="B590" t="s">
        <v>259</v>
      </c>
      <c r="C590">
        <v>66</v>
      </c>
      <c r="D590">
        <v>757</v>
      </c>
      <c r="E590">
        <v>3171</v>
      </c>
      <c r="F590">
        <v>1499401</v>
      </c>
      <c r="G590">
        <v>1587600</v>
      </c>
      <c r="H590">
        <f t="shared" si="18"/>
        <v>34.000022675736965</v>
      </c>
      <c r="I590">
        <f t="shared" si="19"/>
        <v>36</v>
      </c>
      <c r="J590" t="s">
        <v>29</v>
      </c>
      <c r="K590">
        <v>4</v>
      </c>
      <c r="L590" t="e">
        <f t="array" ref="L590">VLOOKUP(J590:$J$3871&amp;K590:$K$3871,CHOOSE({1,2},#REF!&amp;#REF!,#REF!),2,0)</f>
        <v>#N/A</v>
      </c>
      <c r="M590">
        <v>0</v>
      </c>
      <c r="N590">
        <v>1</v>
      </c>
      <c r="O590" t="s">
        <v>23</v>
      </c>
      <c r="P590">
        <v>1</v>
      </c>
      <c r="Q590">
        <v>1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0</v>
      </c>
      <c r="AA590" t="s">
        <v>4020</v>
      </c>
      <c r="AB590" t="s">
        <v>6611</v>
      </c>
      <c r="AC590" t="s">
        <v>4020</v>
      </c>
      <c r="AD590" t="e">
        <f>VLOOKUP(AB590,#REF!,2,FALSE)</f>
        <v>#REF!</v>
      </c>
      <c r="AE590" t="e">
        <f>RIGHT(#REF!,(FIND("Complex",#REF!,1)-6))</f>
        <v>#REF!</v>
      </c>
    </row>
    <row r="591" spans="1:31" x14ac:dyDescent="0.25">
      <c r="A591">
        <v>3091</v>
      </c>
      <c r="B591" t="s">
        <v>259</v>
      </c>
      <c r="C591">
        <v>66</v>
      </c>
      <c r="D591">
        <v>724</v>
      </c>
      <c r="E591">
        <v>3091</v>
      </c>
      <c r="F591">
        <v>1058401</v>
      </c>
      <c r="G591">
        <v>1146600</v>
      </c>
      <c r="H591">
        <f t="shared" si="18"/>
        <v>24.000022675736961</v>
      </c>
      <c r="I591">
        <f t="shared" si="19"/>
        <v>26</v>
      </c>
      <c r="J591" t="s">
        <v>29</v>
      </c>
      <c r="K591">
        <v>4</v>
      </c>
      <c r="L591" t="e">
        <f t="array" ref="L591">VLOOKUP(J591:$J$3871&amp;K591:$K$3871,CHOOSE({1,2},#REF!&amp;#REF!,#REF!),2,0)</f>
        <v>#N/A</v>
      </c>
      <c r="M591">
        <v>0</v>
      </c>
      <c r="N591">
        <v>1</v>
      </c>
      <c r="O591" t="s">
        <v>23</v>
      </c>
      <c r="P591">
        <v>1</v>
      </c>
      <c r="Q591">
        <v>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1</v>
      </c>
      <c r="Y591">
        <v>0</v>
      </c>
      <c r="Z591">
        <v>0</v>
      </c>
      <c r="AA591" t="s">
        <v>4184</v>
      </c>
      <c r="AB591" t="s">
        <v>6726</v>
      </c>
      <c r="AC591" t="s">
        <v>4184</v>
      </c>
      <c r="AD591" t="e">
        <f>VLOOKUP(AB591,#REF!,2,FALSE)</f>
        <v>#REF!</v>
      </c>
      <c r="AE591" t="e">
        <f>RIGHT(#REF!,(FIND("Complex",#REF!,1)-6))</f>
        <v>#REF!</v>
      </c>
    </row>
    <row r="592" spans="1:31" x14ac:dyDescent="0.25">
      <c r="A592">
        <v>3391</v>
      </c>
      <c r="B592" t="s">
        <v>259</v>
      </c>
      <c r="C592">
        <v>66</v>
      </c>
      <c r="D592">
        <v>872</v>
      </c>
      <c r="E592">
        <v>3391</v>
      </c>
      <c r="F592">
        <v>793801</v>
      </c>
      <c r="G592">
        <v>882000</v>
      </c>
      <c r="H592">
        <f t="shared" si="18"/>
        <v>18.000022675736961</v>
      </c>
      <c r="I592">
        <f t="shared" si="19"/>
        <v>20</v>
      </c>
      <c r="J592" t="s">
        <v>29</v>
      </c>
      <c r="K592">
        <v>4</v>
      </c>
      <c r="L592" t="e">
        <f t="array" ref="L592">VLOOKUP(J592:$J$3871&amp;K592:$K$3871,CHOOSE({1,2},#REF!&amp;#REF!,#REF!),2,0)</f>
        <v>#N/A</v>
      </c>
      <c r="M592">
        <v>0</v>
      </c>
      <c r="N592">
        <v>1</v>
      </c>
      <c r="O592" t="s">
        <v>23</v>
      </c>
      <c r="P592">
        <v>1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1</v>
      </c>
      <c r="Y592">
        <v>0</v>
      </c>
      <c r="Z592">
        <v>0</v>
      </c>
      <c r="AA592" t="s">
        <v>4411</v>
      </c>
      <c r="AB592" t="s">
        <v>6866</v>
      </c>
      <c r="AC592" t="s">
        <v>4411</v>
      </c>
      <c r="AD592" t="e">
        <f>VLOOKUP(AB592,#REF!,2,FALSE)</f>
        <v>#REF!</v>
      </c>
      <c r="AE592" t="e">
        <f>RIGHT(#REF!,(FIND("Complex",#REF!,1)-6))</f>
        <v>#REF!</v>
      </c>
    </row>
    <row r="593" spans="1:31" x14ac:dyDescent="0.25">
      <c r="A593">
        <v>3047</v>
      </c>
      <c r="B593" t="s">
        <v>259</v>
      </c>
      <c r="C593">
        <v>66</v>
      </c>
      <c r="D593">
        <v>701</v>
      </c>
      <c r="E593">
        <v>3047</v>
      </c>
      <c r="F593">
        <v>617401</v>
      </c>
      <c r="G593">
        <v>705600</v>
      </c>
      <c r="H593">
        <f t="shared" si="18"/>
        <v>14.000022675736961</v>
      </c>
      <c r="I593">
        <f t="shared" si="19"/>
        <v>16</v>
      </c>
      <c r="J593" t="s">
        <v>29</v>
      </c>
      <c r="K593">
        <v>4</v>
      </c>
      <c r="L593" t="e">
        <f t="array" ref="L593">VLOOKUP(J593:$J$3871&amp;K593:$K$3871,CHOOSE({1,2},#REF!&amp;#REF!,#REF!),2,0)</f>
        <v>#N/A</v>
      </c>
      <c r="M593">
        <v>0</v>
      </c>
      <c r="N593">
        <v>1</v>
      </c>
      <c r="O593" t="s">
        <v>23</v>
      </c>
      <c r="P593">
        <v>1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 t="s">
        <v>4615</v>
      </c>
      <c r="AB593" t="s">
        <v>1530</v>
      </c>
      <c r="AC593" t="s">
        <v>4615</v>
      </c>
      <c r="AD593" t="e">
        <f>VLOOKUP(AB593,#REF!,2,FALSE)</f>
        <v>#REF!</v>
      </c>
      <c r="AE593" t="e">
        <f>RIGHT(#REF!,(FIND("Complex",#REF!,1)-6))</f>
        <v>#REF!</v>
      </c>
    </row>
    <row r="594" spans="1:31" x14ac:dyDescent="0.25">
      <c r="A594">
        <v>2437</v>
      </c>
      <c r="B594" t="s">
        <v>259</v>
      </c>
      <c r="C594">
        <v>66</v>
      </c>
      <c r="D594">
        <v>463</v>
      </c>
      <c r="E594">
        <v>2437</v>
      </c>
      <c r="F594">
        <v>529201</v>
      </c>
      <c r="G594">
        <v>617400</v>
      </c>
      <c r="H594">
        <f t="shared" si="18"/>
        <v>12.000022675736961</v>
      </c>
      <c r="I594">
        <f t="shared" si="19"/>
        <v>14</v>
      </c>
      <c r="J594" t="s">
        <v>29</v>
      </c>
      <c r="K594">
        <v>4</v>
      </c>
      <c r="L594" t="e">
        <f t="array" ref="L594">VLOOKUP(J594:$J$3871&amp;K594:$K$3871,CHOOSE({1,2},#REF!&amp;#REF!,#REF!),2,0)</f>
        <v>#N/A</v>
      </c>
      <c r="M594">
        <v>0</v>
      </c>
      <c r="N594">
        <v>1</v>
      </c>
      <c r="O594" t="s">
        <v>23</v>
      </c>
      <c r="P594">
        <v>1</v>
      </c>
      <c r="Q594">
        <v>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1</v>
      </c>
      <c r="Y594">
        <v>0</v>
      </c>
      <c r="Z594">
        <v>0</v>
      </c>
      <c r="AA594" t="s">
        <v>4733</v>
      </c>
      <c r="AB594" t="s">
        <v>7075</v>
      </c>
      <c r="AC594" t="s">
        <v>4733</v>
      </c>
      <c r="AD594" t="e">
        <f>VLOOKUP(AB594,#REF!,2,FALSE)</f>
        <v>#REF!</v>
      </c>
      <c r="AE594" t="e">
        <f>RIGHT(#REF!,(FIND("Complex",#REF!,1)-6))</f>
        <v>#REF!</v>
      </c>
    </row>
    <row r="595" spans="1:31" x14ac:dyDescent="0.25">
      <c r="A595">
        <v>1887</v>
      </c>
      <c r="B595" t="s">
        <v>259</v>
      </c>
      <c r="C595">
        <v>66</v>
      </c>
      <c r="D595">
        <v>324</v>
      </c>
      <c r="E595">
        <v>1887</v>
      </c>
      <c r="F595">
        <v>5115601</v>
      </c>
      <c r="G595">
        <v>5203800</v>
      </c>
      <c r="H595">
        <f t="shared" si="18"/>
        <v>116.00002267573696</v>
      </c>
      <c r="I595">
        <f t="shared" si="19"/>
        <v>118</v>
      </c>
      <c r="J595" t="s">
        <v>29</v>
      </c>
      <c r="K595">
        <v>4</v>
      </c>
      <c r="L595" t="e">
        <f t="array" ref="L595">VLOOKUP(J595:$J$3871&amp;K595:$K$3871,CHOOSE({1,2},#REF!&amp;#REF!,#REF!),2,0)</f>
        <v>#N/A</v>
      </c>
      <c r="M595">
        <v>0</v>
      </c>
      <c r="N595">
        <v>1</v>
      </c>
      <c r="O595" t="s">
        <v>23</v>
      </c>
      <c r="P595">
        <v>1</v>
      </c>
      <c r="Q595">
        <v>1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1</v>
      </c>
      <c r="Y595">
        <v>0</v>
      </c>
      <c r="Z595">
        <v>0</v>
      </c>
      <c r="AA595" t="s">
        <v>4753</v>
      </c>
      <c r="AB595" t="s">
        <v>1531</v>
      </c>
      <c r="AC595" t="s">
        <v>4753</v>
      </c>
      <c r="AD595" t="e">
        <f>VLOOKUP(AB595,#REF!,2,FALSE)</f>
        <v>#REF!</v>
      </c>
      <c r="AE595" t="e">
        <f>RIGHT(#REF!,(FIND("Complex",#REF!,1)-5))</f>
        <v>#REF!</v>
      </c>
    </row>
    <row r="596" spans="1:31" x14ac:dyDescent="0.25">
      <c r="A596">
        <v>423</v>
      </c>
      <c r="B596" t="s">
        <v>259</v>
      </c>
      <c r="C596">
        <v>66</v>
      </c>
      <c r="D596">
        <v>75</v>
      </c>
      <c r="E596">
        <v>423</v>
      </c>
      <c r="F596">
        <v>4851001</v>
      </c>
      <c r="G596">
        <v>4939200</v>
      </c>
      <c r="H596">
        <f t="shared" si="18"/>
        <v>110.00002267573696</v>
      </c>
      <c r="I596">
        <f t="shared" si="19"/>
        <v>112</v>
      </c>
      <c r="J596" t="s">
        <v>29</v>
      </c>
      <c r="K596">
        <v>4</v>
      </c>
      <c r="L596" t="e">
        <f t="array" ref="L596">VLOOKUP(J596:$J$3871&amp;K596:$K$3871,CHOOSE({1,2},#REF!&amp;#REF!,#REF!),2,0)</f>
        <v>#N/A</v>
      </c>
      <c r="M596">
        <v>0</v>
      </c>
      <c r="N596">
        <v>1</v>
      </c>
      <c r="O596" t="s">
        <v>23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1</v>
      </c>
      <c r="Y596">
        <v>0</v>
      </c>
      <c r="Z596">
        <v>0</v>
      </c>
      <c r="AA596" t="s">
        <v>4779</v>
      </c>
      <c r="AB596" t="s">
        <v>1532</v>
      </c>
      <c r="AC596" t="s">
        <v>4779</v>
      </c>
      <c r="AD596" t="e">
        <f>VLOOKUP(AB596,#REF!,2,FALSE)</f>
        <v>#REF!</v>
      </c>
      <c r="AE596" t="e">
        <f>RIGHT(#REF!,(FIND("Complex",#REF!,1)-4))</f>
        <v>#REF!</v>
      </c>
    </row>
    <row r="597" spans="1:31" x14ac:dyDescent="0.25">
      <c r="A597">
        <v>2169</v>
      </c>
      <c r="B597" t="s">
        <v>259</v>
      </c>
      <c r="C597">
        <v>66</v>
      </c>
      <c r="D597">
        <v>394</v>
      </c>
      <c r="E597">
        <v>2169</v>
      </c>
      <c r="F597">
        <v>4674601</v>
      </c>
      <c r="G597">
        <v>4762800</v>
      </c>
      <c r="H597">
        <f t="shared" si="18"/>
        <v>106.00002267573696</v>
      </c>
      <c r="I597">
        <f t="shared" si="19"/>
        <v>108</v>
      </c>
      <c r="J597" t="s">
        <v>29</v>
      </c>
      <c r="K597">
        <v>4</v>
      </c>
      <c r="L597" t="e">
        <f t="array" ref="L597">VLOOKUP(J597:$J$3871&amp;K597:$K$3871,CHOOSE({1,2},#REF!&amp;#REF!,#REF!),2,0)</f>
        <v>#N/A</v>
      </c>
      <c r="M597">
        <v>0</v>
      </c>
      <c r="N597">
        <v>1</v>
      </c>
      <c r="O597" t="s">
        <v>23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1</v>
      </c>
      <c r="Y597">
        <v>0</v>
      </c>
      <c r="Z597">
        <v>0</v>
      </c>
      <c r="AA597" t="s">
        <v>4801</v>
      </c>
      <c r="AB597" t="s">
        <v>7108</v>
      </c>
      <c r="AC597" t="s">
        <v>4801</v>
      </c>
      <c r="AD597" t="e">
        <f>VLOOKUP(AB597,#REF!,2,FALSE)</f>
        <v>#REF!</v>
      </c>
      <c r="AE597" t="e">
        <f>RIGHT(#REF!,(FIND("Complex",#REF!,1)-5))</f>
        <v>#REF!</v>
      </c>
    </row>
    <row r="598" spans="1:31" x14ac:dyDescent="0.25">
      <c r="A598">
        <v>2255</v>
      </c>
      <c r="B598" t="s">
        <v>259</v>
      </c>
      <c r="C598">
        <v>66</v>
      </c>
      <c r="D598">
        <v>412</v>
      </c>
      <c r="E598">
        <v>2255</v>
      </c>
      <c r="F598">
        <v>4498201</v>
      </c>
      <c r="G598">
        <v>4586400</v>
      </c>
      <c r="H598">
        <f t="shared" si="18"/>
        <v>102.00002267573696</v>
      </c>
      <c r="I598">
        <f t="shared" si="19"/>
        <v>104</v>
      </c>
      <c r="J598" t="s">
        <v>29</v>
      </c>
      <c r="K598">
        <v>4</v>
      </c>
      <c r="L598" t="e">
        <f t="array" ref="L598">VLOOKUP(J598:$J$3871&amp;K598:$K$3871,CHOOSE({1,2},#REF!&amp;#REF!,#REF!),2,0)</f>
        <v>#N/A</v>
      </c>
      <c r="M598">
        <v>0</v>
      </c>
      <c r="N598">
        <v>1</v>
      </c>
      <c r="O598" t="s">
        <v>23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1</v>
      </c>
      <c r="Y598">
        <v>0</v>
      </c>
      <c r="Z598">
        <v>0</v>
      </c>
      <c r="AA598" t="s">
        <v>4828</v>
      </c>
      <c r="AB598" t="s">
        <v>7125</v>
      </c>
      <c r="AC598" t="s">
        <v>4828</v>
      </c>
      <c r="AD598" t="e">
        <f>VLOOKUP(AB598,#REF!,2,FALSE)</f>
        <v>#REF!</v>
      </c>
      <c r="AE598" t="e">
        <f>RIGHT(#REF!,(FIND("Complex",#REF!,1)-5))</f>
        <v>#REF!</v>
      </c>
    </row>
    <row r="599" spans="1:31" x14ac:dyDescent="0.25">
      <c r="A599">
        <v>1713</v>
      </c>
      <c r="B599" t="s">
        <v>42</v>
      </c>
      <c r="C599">
        <v>71</v>
      </c>
      <c r="D599">
        <v>294</v>
      </c>
      <c r="E599">
        <v>1713</v>
      </c>
      <c r="F599">
        <v>1411201</v>
      </c>
      <c r="G599">
        <v>1499400</v>
      </c>
      <c r="H599">
        <f t="shared" si="18"/>
        <v>32.000022675736965</v>
      </c>
      <c r="I599">
        <f t="shared" si="19"/>
        <v>34</v>
      </c>
      <c r="J599" t="s">
        <v>29</v>
      </c>
      <c r="K599">
        <v>4</v>
      </c>
      <c r="L599" t="e">
        <f t="array" ref="L599">VLOOKUP(J599:$J$3871&amp;K599:$K$3871,CHOOSE({1,2},#REF!&amp;#REF!,#REF!),2,0)</f>
        <v>#N/A</v>
      </c>
      <c r="M599">
        <v>0</v>
      </c>
      <c r="N599">
        <v>1</v>
      </c>
      <c r="O599" t="s">
        <v>23</v>
      </c>
      <c r="P599">
        <v>1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1</v>
      </c>
      <c r="Y599">
        <v>0</v>
      </c>
      <c r="Z599">
        <v>0</v>
      </c>
      <c r="AA599" t="s">
        <v>4037</v>
      </c>
      <c r="AB599" t="s">
        <v>1552</v>
      </c>
      <c r="AC599" t="s">
        <v>4037</v>
      </c>
      <c r="AD599" t="e">
        <f>VLOOKUP(AB599,#REF!,2,FALSE)</f>
        <v>#REF!</v>
      </c>
      <c r="AE599" t="e">
        <f>RIGHT(#REF!,(FIND("Complex",#REF!,1)-6))</f>
        <v>#REF!</v>
      </c>
    </row>
    <row r="600" spans="1:31" x14ac:dyDescent="0.25">
      <c r="A600">
        <v>1020</v>
      </c>
      <c r="B600" t="s">
        <v>42</v>
      </c>
      <c r="C600">
        <v>71</v>
      </c>
      <c r="D600">
        <v>179</v>
      </c>
      <c r="E600">
        <v>1020</v>
      </c>
      <c r="F600">
        <v>1234801</v>
      </c>
      <c r="G600">
        <v>1323000</v>
      </c>
      <c r="H600">
        <f t="shared" si="18"/>
        <v>28.000022675736961</v>
      </c>
      <c r="I600">
        <f t="shared" si="19"/>
        <v>30</v>
      </c>
      <c r="J600" t="s">
        <v>29</v>
      </c>
      <c r="K600">
        <v>4</v>
      </c>
      <c r="L600" t="e">
        <f t="array" ref="L600">VLOOKUP(J600:$J$3871&amp;K600:$K$3871,CHOOSE({1,2},#REF!&amp;#REF!,#REF!),2,0)</f>
        <v>#N/A</v>
      </c>
      <c r="M600">
        <v>0</v>
      </c>
      <c r="N600">
        <v>1</v>
      </c>
      <c r="O600" t="s">
        <v>23</v>
      </c>
      <c r="P600">
        <v>1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1</v>
      </c>
      <c r="Y600">
        <v>0</v>
      </c>
      <c r="Z600">
        <v>0</v>
      </c>
      <c r="AA600" t="s">
        <v>4099</v>
      </c>
      <c r="AB600" t="s">
        <v>1553</v>
      </c>
      <c r="AC600" t="s">
        <v>4099</v>
      </c>
      <c r="AD600" t="e">
        <f>VLOOKUP(AB600,#REF!,2,FALSE)</f>
        <v>#REF!</v>
      </c>
      <c r="AE600" t="e">
        <f>RIGHT(#REF!,(FIND("Complex",#REF!,1)-6))</f>
        <v>#REF!</v>
      </c>
    </row>
    <row r="601" spans="1:31" x14ac:dyDescent="0.25">
      <c r="A601">
        <v>1574</v>
      </c>
      <c r="B601" t="s">
        <v>42</v>
      </c>
      <c r="C601">
        <v>71</v>
      </c>
      <c r="D601">
        <v>267</v>
      </c>
      <c r="E601">
        <v>1574</v>
      </c>
      <c r="F601">
        <v>88201</v>
      </c>
      <c r="G601">
        <v>176400</v>
      </c>
      <c r="H601">
        <f t="shared" si="18"/>
        <v>2.0000226757369615</v>
      </c>
      <c r="I601">
        <f t="shared" si="19"/>
        <v>4</v>
      </c>
      <c r="J601" t="s">
        <v>29</v>
      </c>
      <c r="K601">
        <v>4</v>
      </c>
      <c r="L601" t="e">
        <f t="array" ref="L601">VLOOKUP(J601:$J$3871&amp;K601:$K$3871,CHOOSE({1,2},#REF!&amp;#REF!,#REF!),2,0)</f>
        <v>#N/A</v>
      </c>
      <c r="M601">
        <v>0</v>
      </c>
      <c r="N601">
        <v>1</v>
      </c>
      <c r="O601" t="s">
        <v>23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1</v>
      </c>
      <c r="Y601">
        <v>0</v>
      </c>
      <c r="Z601">
        <v>0</v>
      </c>
      <c r="AA601" t="s">
        <v>4327</v>
      </c>
      <c r="AB601" t="s">
        <v>1554</v>
      </c>
      <c r="AC601" t="s">
        <v>4327</v>
      </c>
      <c r="AD601" t="e">
        <f>VLOOKUP(AB601,#REF!,2,FALSE)</f>
        <v>#REF!</v>
      </c>
      <c r="AE601" t="e">
        <f>RIGHT(#REF!,(FIND("Complex",#REF!,1)-7))</f>
        <v>#REF!</v>
      </c>
    </row>
    <row r="602" spans="1:31" x14ac:dyDescent="0.25">
      <c r="A602">
        <v>193</v>
      </c>
      <c r="B602" t="s">
        <v>42</v>
      </c>
      <c r="C602">
        <v>71</v>
      </c>
      <c r="D602">
        <v>40</v>
      </c>
      <c r="E602">
        <v>193</v>
      </c>
      <c r="F602">
        <v>793801</v>
      </c>
      <c r="G602">
        <v>882000</v>
      </c>
      <c r="H602">
        <f t="shared" si="18"/>
        <v>18.000022675736961</v>
      </c>
      <c r="I602">
        <f t="shared" si="19"/>
        <v>20</v>
      </c>
      <c r="J602" t="s">
        <v>29</v>
      </c>
      <c r="K602">
        <v>4</v>
      </c>
      <c r="L602" t="e">
        <f t="array" ref="L602">VLOOKUP(J602:$J$3871&amp;K602:$K$3871,CHOOSE({1,2},#REF!&amp;#REF!,#REF!),2,0)</f>
        <v>#N/A</v>
      </c>
      <c r="M602">
        <v>0</v>
      </c>
      <c r="N602">
        <v>1</v>
      </c>
      <c r="O602" t="s">
        <v>23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0</v>
      </c>
      <c r="Z602">
        <v>0</v>
      </c>
      <c r="AA602" t="s">
        <v>4409</v>
      </c>
      <c r="AB602" t="s">
        <v>1555</v>
      </c>
      <c r="AC602" t="s">
        <v>4409</v>
      </c>
      <c r="AD602" t="e">
        <f>VLOOKUP(AB602,#REF!,2,FALSE)</f>
        <v>#REF!</v>
      </c>
      <c r="AE602" t="e">
        <f>RIGHT(#REF!,(FIND("Complex",#REF!,1)-5))</f>
        <v>#REF!</v>
      </c>
    </row>
    <row r="603" spans="1:31" x14ac:dyDescent="0.25">
      <c r="A603">
        <v>598</v>
      </c>
      <c r="B603" t="s">
        <v>69</v>
      </c>
      <c r="C603">
        <v>72</v>
      </c>
      <c r="D603">
        <v>106</v>
      </c>
      <c r="E603">
        <v>598</v>
      </c>
      <c r="F603">
        <v>352801</v>
      </c>
      <c r="G603">
        <v>441000</v>
      </c>
      <c r="H603">
        <f t="shared" si="18"/>
        <v>8.000022675736961</v>
      </c>
      <c r="I603">
        <f t="shared" si="19"/>
        <v>10</v>
      </c>
      <c r="J603" t="s">
        <v>29</v>
      </c>
      <c r="K603">
        <v>4</v>
      </c>
      <c r="L603" t="e">
        <f t="array" ref="L603">VLOOKUP(J603:$J$3871&amp;K603:$K$3871,CHOOSE({1,2},#REF!&amp;#REF!,#REF!),2,0)</f>
        <v>#N/A</v>
      </c>
      <c r="M603">
        <v>0</v>
      </c>
      <c r="N603">
        <v>1</v>
      </c>
      <c r="O603" t="s">
        <v>23</v>
      </c>
      <c r="P603">
        <v>1</v>
      </c>
      <c r="Q603">
        <v>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1</v>
      </c>
      <c r="Y603">
        <v>0</v>
      </c>
      <c r="Z603">
        <v>0</v>
      </c>
      <c r="AA603" t="s">
        <v>3638</v>
      </c>
      <c r="AB603" t="s">
        <v>1565</v>
      </c>
      <c r="AC603" t="s">
        <v>3638</v>
      </c>
      <c r="AD603" t="e">
        <f>VLOOKUP(AB603,#REF!,2,FALSE)</f>
        <v>#REF!</v>
      </c>
      <c r="AE603" t="e">
        <f>RIGHT(#REF!,(FIND("Complex",#REF!,1)-6))</f>
        <v>#REF!</v>
      </c>
    </row>
    <row r="604" spans="1:31" x14ac:dyDescent="0.25">
      <c r="A604">
        <v>868</v>
      </c>
      <c r="B604" t="s">
        <v>69</v>
      </c>
      <c r="C604">
        <v>72</v>
      </c>
      <c r="D604">
        <v>152</v>
      </c>
      <c r="E604">
        <v>868</v>
      </c>
      <c r="F604">
        <v>705601</v>
      </c>
      <c r="G604">
        <v>793800</v>
      </c>
      <c r="H604">
        <f t="shared" si="18"/>
        <v>16.000022675736961</v>
      </c>
      <c r="I604">
        <f t="shared" si="19"/>
        <v>18</v>
      </c>
      <c r="J604" t="s">
        <v>29</v>
      </c>
      <c r="K604">
        <v>4</v>
      </c>
      <c r="L604" t="e">
        <f t="array" ref="L604">VLOOKUP(J604:$J$3871&amp;K604:$K$3871,CHOOSE({1,2},#REF!&amp;#REF!,#REF!),2,0)</f>
        <v>#N/A</v>
      </c>
      <c r="M604">
        <v>0</v>
      </c>
      <c r="N604">
        <v>1</v>
      </c>
      <c r="O604" t="s">
        <v>23</v>
      </c>
      <c r="P604">
        <v>1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1</v>
      </c>
      <c r="Y604">
        <v>0</v>
      </c>
      <c r="Z604">
        <v>0</v>
      </c>
      <c r="AA604" t="s">
        <v>4496</v>
      </c>
      <c r="AB604" t="s">
        <v>1566</v>
      </c>
      <c r="AC604" t="s">
        <v>4496</v>
      </c>
      <c r="AD604" t="e">
        <f>VLOOKUP(AB604,#REF!,2,FALSE)</f>
        <v>#REF!</v>
      </c>
      <c r="AE604" t="e">
        <f>RIGHT(#REF!,(FIND("Complex",#REF!,1)-5))</f>
        <v>#REF!</v>
      </c>
    </row>
    <row r="605" spans="1:31" x14ac:dyDescent="0.25">
      <c r="A605">
        <v>806</v>
      </c>
      <c r="B605" t="s">
        <v>59</v>
      </c>
      <c r="C605">
        <v>75</v>
      </c>
      <c r="D605">
        <v>138</v>
      </c>
      <c r="E605">
        <v>806</v>
      </c>
      <c r="F605">
        <v>264601</v>
      </c>
      <c r="G605">
        <v>352800</v>
      </c>
      <c r="H605">
        <f t="shared" si="18"/>
        <v>6.000022675736961</v>
      </c>
      <c r="I605">
        <f t="shared" si="19"/>
        <v>8</v>
      </c>
      <c r="J605" t="s">
        <v>29</v>
      </c>
      <c r="K605">
        <v>4</v>
      </c>
      <c r="L605" t="e">
        <f t="array" ref="L605">VLOOKUP(J605:$J$3871&amp;K605:$K$3871,CHOOSE({1,2},#REF!&amp;#REF!,#REF!),2,0)</f>
        <v>#N/A</v>
      </c>
      <c r="M605">
        <v>0</v>
      </c>
      <c r="N605">
        <v>1</v>
      </c>
      <c r="O605" t="s">
        <v>23</v>
      </c>
      <c r="P605">
        <v>1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1</v>
      </c>
      <c r="Y605">
        <v>0</v>
      </c>
      <c r="Z605">
        <v>0</v>
      </c>
      <c r="AA605" t="s">
        <v>3801</v>
      </c>
      <c r="AB605" t="s">
        <v>1580</v>
      </c>
      <c r="AC605" t="s">
        <v>3801</v>
      </c>
      <c r="AD605" t="e">
        <f>VLOOKUP(AB605,#REF!,2,FALSE)</f>
        <v>#REF!</v>
      </c>
      <c r="AE605" t="e">
        <f>RIGHT(#REF!,(FIND("Complex",#REF!,1)-6))</f>
        <v>#REF!</v>
      </c>
    </row>
    <row r="606" spans="1:31" x14ac:dyDescent="0.25">
      <c r="A606">
        <v>646</v>
      </c>
      <c r="B606" t="s">
        <v>59</v>
      </c>
      <c r="C606">
        <v>75</v>
      </c>
      <c r="D606">
        <v>113</v>
      </c>
      <c r="E606">
        <v>646</v>
      </c>
      <c r="F606">
        <v>793801</v>
      </c>
      <c r="G606">
        <v>882000</v>
      </c>
      <c r="H606">
        <f t="shared" si="18"/>
        <v>18.000022675736961</v>
      </c>
      <c r="I606">
        <f t="shared" si="19"/>
        <v>20</v>
      </c>
      <c r="J606" t="s">
        <v>29</v>
      </c>
      <c r="K606">
        <v>4</v>
      </c>
      <c r="L606" t="e">
        <f t="array" ref="L606">VLOOKUP(J606:$J$3871&amp;K606:$K$3871,CHOOSE({1,2},#REF!&amp;#REF!,#REF!),2,0)</f>
        <v>#N/A</v>
      </c>
      <c r="M606">
        <v>0</v>
      </c>
      <c r="N606">
        <v>1</v>
      </c>
      <c r="O606" t="s">
        <v>23</v>
      </c>
      <c r="P606">
        <v>1</v>
      </c>
      <c r="Q606">
        <v>1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1</v>
      </c>
      <c r="Y606">
        <v>0</v>
      </c>
      <c r="Z606">
        <v>0</v>
      </c>
      <c r="AA606" t="s">
        <v>4407</v>
      </c>
      <c r="AB606" t="s">
        <v>1581</v>
      </c>
      <c r="AC606" t="s">
        <v>4407</v>
      </c>
      <c r="AD606" t="e">
        <f>VLOOKUP(AB606,#REF!,2,FALSE)</f>
        <v>#REF!</v>
      </c>
      <c r="AE606" t="e">
        <f>RIGHT(#REF!,(FIND("Complex",#REF!,1)-5))</f>
        <v>#REF!</v>
      </c>
    </row>
    <row r="607" spans="1:31" x14ac:dyDescent="0.25">
      <c r="A607">
        <v>1383</v>
      </c>
      <c r="B607" t="s">
        <v>59</v>
      </c>
      <c r="C607">
        <v>75</v>
      </c>
      <c r="D607">
        <v>232</v>
      </c>
      <c r="E607">
        <v>1383</v>
      </c>
      <c r="F607">
        <v>705601</v>
      </c>
      <c r="G607">
        <v>793800</v>
      </c>
      <c r="H607">
        <f t="shared" si="18"/>
        <v>16.000022675736961</v>
      </c>
      <c r="I607">
        <f t="shared" si="19"/>
        <v>18</v>
      </c>
      <c r="J607" t="s">
        <v>29</v>
      </c>
      <c r="K607">
        <v>4</v>
      </c>
      <c r="L607" t="e">
        <f t="array" ref="L607">VLOOKUP(J607:$J$3871&amp;K607:$K$3871,CHOOSE({1,2},#REF!&amp;#REF!,#REF!),2,0)</f>
        <v>#N/A</v>
      </c>
      <c r="M607">
        <v>0</v>
      </c>
      <c r="N607">
        <v>1</v>
      </c>
      <c r="O607" t="s">
        <v>23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1</v>
      </c>
      <c r="Y607">
        <v>0</v>
      </c>
      <c r="Z607">
        <v>0</v>
      </c>
      <c r="AA607" t="s">
        <v>4493</v>
      </c>
      <c r="AB607" t="s">
        <v>196</v>
      </c>
      <c r="AC607" t="s">
        <v>4493</v>
      </c>
      <c r="AD607" t="e">
        <f>VLOOKUP(AB607,#REF!,2,FALSE)</f>
        <v>#REF!</v>
      </c>
      <c r="AE607" t="e">
        <f>RIGHT(#REF!,(FIND("Complex",#REF!,1)-6))</f>
        <v>#REF!</v>
      </c>
    </row>
    <row r="608" spans="1:31" x14ac:dyDescent="0.25">
      <c r="A608">
        <v>382</v>
      </c>
      <c r="B608" t="s">
        <v>80</v>
      </c>
      <c r="C608">
        <v>76</v>
      </c>
      <c r="D608">
        <v>67</v>
      </c>
      <c r="E608">
        <v>382</v>
      </c>
      <c r="F608">
        <v>352801</v>
      </c>
      <c r="G608">
        <v>441000</v>
      </c>
      <c r="H608">
        <f t="shared" si="18"/>
        <v>8.000022675736961</v>
      </c>
      <c r="I608">
        <f t="shared" si="19"/>
        <v>10</v>
      </c>
      <c r="J608" t="s">
        <v>29</v>
      </c>
      <c r="K608">
        <v>4</v>
      </c>
      <c r="L608" t="e">
        <f t="array" ref="L608">VLOOKUP(J608:$J$3871&amp;K608:$K$3871,CHOOSE({1,2},#REF!&amp;#REF!,#REF!),2,0)</f>
        <v>#N/A</v>
      </c>
      <c r="M608">
        <v>0</v>
      </c>
      <c r="N608">
        <v>1</v>
      </c>
      <c r="O608" t="s">
        <v>23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1</v>
      </c>
      <c r="Y608">
        <v>0</v>
      </c>
      <c r="Z608">
        <v>0</v>
      </c>
      <c r="AA608" t="s">
        <v>3635</v>
      </c>
      <c r="AB608" t="s">
        <v>1589</v>
      </c>
      <c r="AC608" t="s">
        <v>3635</v>
      </c>
      <c r="AD608" t="e">
        <f>VLOOKUP(AB608,#REF!,2,FALSE)</f>
        <v>#REF!</v>
      </c>
      <c r="AE608" t="e">
        <f>RIGHT(#REF!,(FIND("Complex",#REF!,1)-6))</f>
        <v>#REF!</v>
      </c>
    </row>
    <row r="609" spans="1:31" x14ac:dyDescent="0.25">
      <c r="A609">
        <v>296</v>
      </c>
      <c r="B609" t="s">
        <v>80</v>
      </c>
      <c r="C609">
        <v>76</v>
      </c>
      <c r="D609">
        <v>56</v>
      </c>
      <c r="E609">
        <v>296</v>
      </c>
      <c r="F609">
        <v>617401</v>
      </c>
      <c r="G609">
        <v>705600</v>
      </c>
      <c r="H609">
        <f t="shared" si="18"/>
        <v>14.000022675736961</v>
      </c>
      <c r="I609">
        <f t="shared" si="19"/>
        <v>16</v>
      </c>
      <c r="J609" t="s">
        <v>29</v>
      </c>
      <c r="K609">
        <v>4</v>
      </c>
      <c r="L609" t="e">
        <f t="array" ref="L609">VLOOKUP(J609:$J$3871&amp;K609:$K$3871,CHOOSE({1,2},#REF!&amp;#REF!,#REF!),2,0)</f>
        <v>#N/A</v>
      </c>
      <c r="M609">
        <v>0</v>
      </c>
      <c r="N609">
        <v>1</v>
      </c>
      <c r="O609" t="s">
        <v>23</v>
      </c>
      <c r="P609">
        <v>1</v>
      </c>
      <c r="Q609">
        <v>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>
        <v>0</v>
      </c>
      <c r="Z609">
        <v>0</v>
      </c>
      <c r="AA609" t="s">
        <v>4609</v>
      </c>
      <c r="AB609" t="s">
        <v>1590</v>
      </c>
      <c r="AC609" t="s">
        <v>4609</v>
      </c>
      <c r="AD609" t="e">
        <f>VLOOKUP(AB609,#REF!,2,FALSE)</f>
        <v>#REF!</v>
      </c>
      <c r="AE609" t="e">
        <f>RIGHT(#REF!,(FIND("Complex",#REF!,1)-5))</f>
        <v>#REF!</v>
      </c>
    </row>
    <row r="610" spans="1:31" x14ac:dyDescent="0.25">
      <c r="A610">
        <v>418</v>
      </c>
      <c r="B610" t="s">
        <v>71</v>
      </c>
      <c r="C610">
        <v>77</v>
      </c>
      <c r="D610">
        <v>73</v>
      </c>
      <c r="E610">
        <v>418</v>
      </c>
      <c r="F610">
        <v>1</v>
      </c>
      <c r="G610">
        <v>88200</v>
      </c>
      <c r="H610">
        <f t="shared" si="18"/>
        <v>2.2675736961451248E-5</v>
      </c>
      <c r="I610">
        <f t="shared" si="19"/>
        <v>2</v>
      </c>
      <c r="J610" t="s">
        <v>29</v>
      </c>
      <c r="K610">
        <v>4</v>
      </c>
      <c r="L610" t="e">
        <f t="array" ref="L610">VLOOKUP(J610:$J$3871&amp;K610:$K$3871,CHOOSE({1,2},#REF!&amp;#REF!,#REF!),2,0)</f>
        <v>#N/A</v>
      </c>
      <c r="M610">
        <v>0</v>
      </c>
      <c r="N610">
        <v>1</v>
      </c>
      <c r="O610" t="s">
        <v>23</v>
      </c>
      <c r="P610">
        <v>1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1</v>
      </c>
      <c r="Y610">
        <v>0</v>
      </c>
      <c r="Z610">
        <v>0</v>
      </c>
      <c r="AA610" t="s">
        <v>4869</v>
      </c>
      <c r="AB610" t="s">
        <v>1597</v>
      </c>
      <c r="AC610" t="s">
        <v>4869</v>
      </c>
      <c r="AD610" t="e">
        <f>VLOOKUP(AB610,#REF!,2,FALSE)</f>
        <v>#REF!</v>
      </c>
      <c r="AE610" t="e">
        <f>RIGHT(#REF!,(FIND("Complex",#REF!,1)-6))</f>
        <v>#REF!</v>
      </c>
    </row>
    <row r="611" spans="1:31" x14ac:dyDescent="0.25">
      <c r="A611">
        <v>1176</v>
      </c>
      <c r="B611" t="s">
        <v>56</v>
      </c>
      <c r="C611">
        <v>78</v>
      </c>
      <c r="D611">
        <v>201</v>
      </c>
      <c r="E611">
        <v>1176</v>
      </c>
      <c r="F611">
        <v>1058401</v>
      </c>
      <c r="G611">
        <v>1146600</v>
      </c>
      <c r="H611">
        <f t="shared" si="18"/>
        <v>24.000022675736961</v>
      </c>
      <c r="I611">
        <f t="shared" si="19"/>
        <v>26</v>
      </c>
      <c r="J611" t="s">
        <v>29</v>
      </c>
      <c r="K611">
        <v>4</v>
      </c>
      <c r="L611" t="e">
        <f t="array" ref="L611">VLOOKUP(J611:$J$3871&amp;K611:$K$3871,CHOOSE({1,2},#REF!&amp;#REF!,#REF!),2,0)</f>
        <v>#N/A</v>
      </c>
      <c r="M611">
        <v>0</v>
      </c>
      <c r="N611">
        <v>1</v>
      </c>
      <c r="O611" t="s">
        <v>23</v>
      </c>
      <c r="P611">
        <v>1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1</v>
      </c>
      <c r="Y611">
        <v>0</v>
      </c>
      <c r="Z611">
        <v>0</v>
      </c>
      <c r="AA611" t="s">
        <v>4179</v>
      </c>
      <c r="AB611" t="s">
        <v>1602</v>
      </c>
      <c r="AC611" t="s">
        <v>4179</v>
      </c>
      <c r="AD611" t="e">
        <f>VLOOKUP(AB611,#REF!,2,FALSE)</f>
        <v>#REF!</v>
      </c>
      <c r="AE611" t="e">
        <f>RIGHT(#REF!,(FIND("Complex",#REF!,1)-6))</f>
        <v>#REF!</v>
      </c>
    </row>
    <row r="612" spans="1:31" x14ac:dyDescent="0.25">
      <c r="A612">
        <v>2736</v>
      </c>
      <c r="B612" t="s">
        <v>31</v>
      </c>
      <c r="C612">
        <v>83</v>
      </c>
      <c r="D612">
        <v>577</v>
      </c>
      <c r="E612">
        <v>2736</v>
      </c>
      <c r="F612">
        <v>3880801</v>
      </c>
      <c r="G612">
        <v>3969000</v>
      </c>
      <c r="H612">
        <f t="shared" si="18"/>
        <v>88.000022675736957</v>
      </c>
      <c r="I612">
        <f t="shared" si="19"/>
        <v>90</v>
      </c>
      <c r="J612" t="s">
        <v>29</v>
      </c>
      <c r="K612">
        <v>4</v>
      </c>
      <c r="L612" t="e">
        <f t="array" ref="L612">VLOOKUP(J612:$J$3871&amp;K612:$K$3871,CHOOSE({1,2},#REF!&amp;#REF!,#REF!),2,0)</f>
        <v>#N/A</v>
      </c>
      <c r="M612">
        <v>0</v>
      </c>
      <c r="N612">
        <v>1</v>
      </c>
      <c r="O612" t="s">
        <v>23</v>
      </c>
      <c r="P612">
        <v>1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 t="s">
        <v>3568</v>
      </c>
      <c r="AB612" t="s">
        <v>6350</v>
      </c>
      <c r="AC612" t="s">
        <v>3568</v>
      </c>
      <c r="AD612" t="e">
        <f>VLOOKUP(AB612,#REF!,2,FALSE)</f>
        <v>#REF!</v>
      </c>
      <c r="AE612" t="e">
        <f>RIGHT(#REF!,(FIND("Complex",#REF!,1)-6))</f>
        <v>#REF!</v>
      </c>
    </row>
    <row r="613" spans="1:31" x14ac:dyDescent="0.25">
      <c r="A613">
        <v>613</v>
      </c>
      <c r="B613" t="s">
        <v>31</v>
      </c>
      <c r="C613">
        <v>83</v>
      </c>
      <c r="D613">
        <v>108</v>
      </c>
      <c r="E613">
        <v>613</v>
      </c>
      <c r="F613">
        <v>793801</v>
      </c>
      <c r="G613">
        <v>882000</v>
      </c>
      <c r="H613">
        <f t="shared" si="18"/>
        <v>18.000022675736961</v>
      </c>
      <c r="I613">
        <f t="shared" si="19"/>
        <v>20</v>
      </c>
      <c r="J613" t="s">
        <v>29</v>
      </c>
      <c r="K613">
        <v>4</v>
      </c>
      <c r="L613" t="e">
        <f t="array" ref="L613">VLOOKUP(J613:$J$3871&amp;K613:$K$3871,CHOOSE({1,2},#REF!&amp;#REF!,#REF!),2,0)</f>
        <v>#N/A</v>
      </c>
      <c r="M613">
        <v>0</v>
      </c>
      <c r="N613">
        <v>1</v>
      </c>
      <c r="O613" t="s">
        <v>23</v>
      </c>
      <c r="P613">
        <v>1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1</v>
      </c>
      <c r="Y613">
        <v>0</v>
      </c>
      <c r="Z613">
        <v>0</v>
      </c>
      <c r="AA613" t="s">
        <v>4404</v>
      </c>
      <c r="AB613" t="s">
        <v>1672</v>
      </c>
      <c r="AC613" t="s">
        <v>4404</v>
      </c>
      <c r="AD613" t="e">
        <f>VLOOKUP(AB613,#REF!,2,FALSE)</f>
        <v>#REF!</v>
      </c>
      <c r="AE613" t="e">
        <f>RIGHT(#REF!,(FIND("Complex",#REF!,1)-5))</f>
        <v>#REF!</v>
      </c>
    </row>
    <row r="614" spans="1:31" x14ac:dyDescent="0.25">
      <c r="A614">
        <v>2058</v>
      </c>
      <c r="B614" t="s">
        <v>31</v>
      </c>
      <c r="C614">
        <v>83</v>
      </c>
      <c r="D614">
        <v>363</v>
      </c>
      <c r="E614">
        <v>2058</v>
      </c>
      <c r="F614">
        <v>7144201</v>
      </c>
      <c r="G614">
        <v>7232400</v>
      </c>
      <c r="H614">
        <f t="shared" si="18"/>
        <v>162.00002267573697</v>
      </c>
      <c r="I614">
        <f t="shared" si="19"/>
        <v>164</v>
      </c>
      <c r="J614" t="s">
        <v>29</v>
      </c>
      <c r="K614">
        <v>4</v>
      </c>
      <c r="L614" t="e">
        <f t="array" ref="L614">VLOOKUP(J614:$J$3871&amp;K614:$K$3871,CHOOSE({1,2},#REF!&amp;#REF!,#REF!),2,0)</f>
        <v>#N/A</v>
      </c>
      <c r="M614">
        <v>0</v>
      </c>
      <c r="N614">
        <v>1</v>
      </c>
      <c r="O614" t="s">
        <v>23</v>
      </c>
      <c r="P614">
        <v>1</v>
      </c>
      <c r="Q614">
        <v>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1</v>
      </c>
      <c r="Y614">
        <v>0</v>
      </c>
      <c r="Z614">
        <v>0</v>
      </c>
      <c r="AA614" t="s">
        <v>4469</v>
      </c>
      <c r="AB614" t="s">
        <v>6902</v>
      </c>
      <c r="AC614" t="s">
        <v>4469</v>
      </c>
      <c r="AD614" t="e">
        <f>VLOOKUP(AB614,#REF!,2,FALSE)</f>
        <v>#REF!</v>
      </c>
      <c r="AE614" t="e">
        <f>RIGHT(#REF!,(FIND("Complex",#REF!,1)-5))</f>
        <v>#REF!</v>
      </c>
    </row>
    <row r="615" spans="1:31" x14ac:dyDescent="0.25">
      <c r="A615">
        <v>1764</v>
      </c>
      <c r="B615" t="s">
        <v>31</v>
      </c>
      <c r="C615">
        <v>83</v>
      </c>
      <c r="D615">
        <v>306</v>
      </c>
      <c r="E615">
        <v>1764</v>
      </c>
      <c r="F615">
        <v>441001</v>
      </c>
      <c r="G615">
        <v>529200</v>
      </c>
      <c r="H615">
        <f t="shared" si="18"/>
        <v>10.000022675736961</v>
      </c>
      <c r="I615">
        <f t="shared" si="19"/>
        <v>12</v>
      </c>
      <c r="J615" t="s">
        <v>29</v>
      </c>
      <c r="K615">
        <v>4</v>
      </c>
      <c r="L615" t="e">
        <f t="array" ref="L615">VLOOKUP(J615:$J$3871&amp;K615:$K$3871,CHOOSE({1,2},#REF!&amp;#REF!,#REF!),2,0)</f>
        <v>#N/A</v>
      </c>
      <c r="M615">
        <v>0</v>
      </c>
      <c r="N615">
        <v>1</v>
      </c>
      <c r="O615" t="s">
        <v>23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1</v>
      </c>
      <c r="Y615">
        <v>0</v>
      </c>
      <c r="Z615">
        <v>0</v>
      </c>
      <c r="AA615" t="s">
        <v>4851</v>
      </c>
      <c r="AB615" t="s">
        <v>7140</v>
      </c>
      <c r="AC615" t="s">
        <v>4851</v>
      </c>
      <c r="AD615" t="e">
        <f>VLOOKUP(AB615,#REF!,2,FALSE)</f>
        <v>#REF!</v>
      </c>
      <c r="AE615" t="e">
        <f>RIGHT(#REF!,(FIND("Complex",#REF!,1)-6))</f>
        <v>#REF!</v>
      </c>
    </row>
    <row r="616" spans="1:31" x14ac:dyDescent="0.25">
      <c r="A616">
        <v>683</v>
      </c>
      <c r="B616" t="s">
        <v>57</v>
      </c>
      <c r="C616">
        <v>84</v>
      </c>
      <c r="D616">
        <v>121</v>
      </c>
      <c r="E616">
        <v>683</v>
      </c>
      <c r="F616">
        <v>1234801</v>
      </c>
      <c r="G616">
        <v>1323000</v>
      </c>
      <c r="H616">
        <f t="shared" si="18"/>
        <v>28.000022675736961</v>
      </c>
      <c r="I616">
        <f t="shared" si="19"/>
        <v>30</v>
      </c>
      <c r="J616" t="s">
        <v>29</v>
      </c>
      <c r="K616">
        <v>4</v>
      </c>
      <c r="L616" t="e">
        <f t="array" ref="L616">VLOOKUP(J616:$J$3871&amp;K616:$K$3871,CHOOSE({1,2},#REF!&amp;#REF!,#REF!),2,0)</f>
        <v>#N/A</v>
      </c>
      <c r="M616">
        <v>0</v>
      </c>
      <c r="N616">
        <v>1</v>
      </c>
      <c r="O616" t="s">
        <v>23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1</v>
      </c>
      <c r="Z616">
        <v>0</v>
      </c>
      <c r="AA616" t="s">
        <v>4096</v>
      </c>
      <c r="AB616" t="s">
        <v>6662</v>
      </c>
      <c r="AC616" t="s">
        <v>4096</v>
      </c>
      <c r="AD616" t="e">
        <f>VLOOKUP(AB616,#REF!,2,FALSE)</f>
        <v>#REF!</v>
      </c>
      <c r="AE616" t="e">
        <f>RIGHT(#REF!,(FIND("Complex",#REF!,1)-5))</f>
        <v>#REF!</v>
      </c>
    </row>
    <row r="617" spans="1:31" x14ac:dyDescent="0.25">
      <c r="A617">
        <v>2822</v>
      </c>
      <c r="B617" t="s">
        <v>265</v>
      </c>
      <c r="C617">
        <v>85</v>
      </c>
      <c r="D617">
        <v>611</v>
      </c>
      <c r="E617">
        <v>2822</v>
      </c>
      <c r="F617">
        <v>3351601</v>
      </c>
      <c r="G617">
        <v>3439800</v>
      </c>
      <c r="H617">
        <f t="shared" si="18"/>
        <v>76.000022675736957</v>
      </c>
      <c r="I617">
        <f t="shared" si="19"/>
        <v>78</v>
      </c>
      <c r="J617" t="s">
        <v>29</v>
      </c>
      <c r="K617">
        <v>4</v>
      </c>
      <c r="L617" t="e">
        <f t="array" ref="L617">VLOOKUP(J617:$J$3871&amp;K617:$K$3871,CHOOSE({1,2},#REF!&amp;#REF!,#REF!),2,0)</f>
        <v>#N/A</v>
      </c>
      <c r="M617">
        <v>0</v>
      </c>
      <c r="N617">
        <v>1</v>
      </c>
      <c r="O617" t="s">
        <v>23</v>
      </c>
      <c r="P617">
        <v>1</v>
      </c>
      <c r="Q617">
        <v>0</v>
      </c>
      <c r="R617">
        <v>0</v>
      </c>
      <c r="S617">
        <v>1</v>
      </c>
      <c r="T617">
        <v>0</v>
      </c>
      <c r="U617">
        <v>0</v>
      </c>
      <c r="V617">
        <v>0</v>
      </c>
      <c r="W617">
        <v>1</v>
      </c>
      <c r="X617">
        <v>1</v>
      </c>
      <c r="Y617">
        <v>0</v>
      </c>
      <c r="Z617">
        <v>0</v>
      </c>
      <c r="AA617" t="s">
        <v>3662</v>
      </c>
      <c r="AB617" t="s">
        <v>1734</v>
      </c>
      <c r="AC617" t="s">
        <v>3662</v>
      </c>
      <c r="AD617" t="e">
        <f>VLOOKUP(AB617,#REF!,2,FALSE)</f>
        <v>#REF!</v>
      </c>
      <c r="AE617" t="e">
        <f>RIGHT(#REF!,(FIND("Complex",#REF!,1)-6))</f>
        <v>#REF!</v>
      </c>
    </row>
    <row r="618" spans="1:31" x14ac:dyDescent="0.25">
      <c r="A618">
        <v>9</v>
      </c>
      <c r="B618" t="s">
        <v>265</v>
      </c>
      <c r="C618">
        <v>85</v>
      </c>
      <c r="D618">
        <v>3</v>
      </c>
      <c r="E618">
        <v>9</v>
      </c>
      <c r="F618">
        <v>2998801</v>
      </c>
      <c r="G618">
        <v>3087000</v>
      </c>
      <c r="H618">
        <f t="shared" si="18"/>
        <v>68.000022675736957</v>
      </c>
      <c r="I618">
        <f t="shared" si="19"/>
        <v>70</v>
      </c>
      <c r="J618" t="s">
        <v>29</v>
      </c>
      <c r="K618">
        <v>4</v>
      </c>
      <c r="L618" t="e">
        <f t="array" ref="L618">VLOOKUP(J618:$J$3871&amp;K618:$K$3871,CHOOSE({1,2},#REF!&amp;#REF!,#REF!),2,0)</f>
        <v>#N/A</v>
      </c>
      <c r="M618">
        <v>0</v>
      </c>
      <c r="N618">
        <v>1</v>
      </c>
      <c r="O618" t="s">
        <v>23</v>
      </c>
      <c r="P618">
        <v>1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1</v>
      </c>
      <c r="X618">
        <v>1</v>
      </c>
      <c r="Y618">
        <v>0</v>
      </c>
      <c r="Z618">
        <v>0</v>
      </c>
      <c r="AA618" t="s">
        <v>3718</v>
      </c>
      <c r="AB618" t="s">
        <v>266</v>
      </c>
      <c r="AC618" t="s">
        <v>3718</v>
      </c>
      <c r="AD618" t="e">
        <f>VLOOKUP(AB618,#REF!,2,FALSE)</f>
        <v>#REF!</v>
      </c>
      <c r="AE618" t="e">
        <f>RIGHT(#REF!,(FIND("Complex",#REF!,1)-3))</f>
        <v>#REF!</v>
      </c>
    </row>
    <row r="619" spans="1:31" x14ac:dyDescent="0.25">
      <c r="A619">
        <v>2526</v>
      </c>
      <c r="B619" t="s">
        <v>265</v>
      </c>
      <c r="C619">
        <v>85</v>
      </c>
      <c r="D619">
        <v>494</v>
      </c>
      <c r="E619">
        <v>2526</v>
      </c>
      <c r="F619">
        <v>2469601</v>
      </c>
      <c r="G619">
        <v>2557800</v>
      </c>
      <c r="H619">
        <f t="shared" si="18"/>
        <v>56.000022675736965</v>
      </c>
      <c r="I619">
        <f t="shared" si="19"/>
        <v>58</v>
      </c>
      <c r="J619" t="s">
        <v>29</v>
      </c>
      <c r="K619">
        <v>4</v>
      </c>
      <c r="L619" t="e">
        <f t="array" ref="L619">VLOOKUP(J619:$J$3871&amp;K619:$K$3871,CHOOSE({1,2},#REF!&amp;#REF!,#REF!),2,0)</f>
        <v>#N/A</v>
      </c>
      <c r="M619">
        <v>0</v>
      </c>
      <c r="N619">
        <v>1</v>
      </c>
      <c r="O619" t="s">
        <v>23</v>
      </c>
      <c r="P619">
        <v>1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1</v>
      </c>
      <c r="X619">
        <v>1</v>
      </c>
      <c r="Y619">
        <v>0</v>
      </c>
      <c r="Z619">
        <v>0</v>
      </c>
      <c r="AA619" t="s">
        <v>3830</v>
      </c>
      <c r="AB619" t="s">
        <v>1735</v>
      </c>
      <c r="AC619" t="s">
        <v>3830</v>
      </c>
      <c r="AD619" t="e">
        <f>VLOOKUP(AB619,#REF!,2,FALSE)</f>
        <v>#REF!</v>
      </c>
      <c r="AE619" t="e">
        <f>RIGHT(#REF!,(FIND("Complex",#REF!,1)-6))</f>
        <v>#REF!</v>
      </c>
    </row>
    <row r="620" spans="1:31" x14ac:dyDescent="0.25">
      <c r="A620">
        <v>185</v>
      </c>
      <c r="B620" t="s">
        <v>265</v>
      </c>
      <c r="C620">
        <v>85</v>
      </c>
      <c r="D620">
        <v>38</v>
      </c>
      <c r="E620">
        <v>185</v>
      </c>
      <c r="F620">
        <v>2381401</v>
      </c>
      <c r="G620">
        <v>2469600</v>
      </c>
      <c r="H620">
        <f t="shared" si="18"/>
        <v>54.000022675736965</v>
      </c>
      <c r="I620">
        <f t="shared" si="19"/>
        <v>56</v>
      </c>
      <c r="J620" t="s">
        <v>29</v>
      </c>
      <c r="K620">
        <v>4</v>
      </c>
      <c r="L620" t="e">
        <f t="array" ref="L620">VLOOKUP(J620:$J$3871&amp;K620:$K$3871,CHOOSE({1,2},#REF!&amp;#REF!,#REF!),2,0)</f>
        <v>#N/A</v>
      </c>
      <c r="M620">
        <v>0</v>
      </c>
      <c r="N620">
        <v>1</v>
      </c>
      <c r="O620" t="s">
        <v>23</v>
      </c>
      <c r="P620">
        <v>1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1</v>
      </c>
      <c r="X620">
        <v>1</v>
      </c>
      <c r="Y620">
        <v>0</v>
      </c>
      <c r="Z620">
        <v>0</v>
      </c>
      <c r="AA620" t="s">
        <v>3840</v>
      </c>
      <c r="AB620" t="s">
        <v>1736</v>
      </c>
      <c r="AC620" t="s">
        <v>3840</v>
      </c>
      <c r="AD620" t="e">
        <f>VLOOKUP(AB620,#REF!,2,FALSE)</f>
        <v>#REF!</v>
      </c>
      <c r="AE620" t="e">
        <f>RIGHT(#REF!,(FIND("Complex",#REF!,1)-5))</f>
        <v>#REF!</v>
      </c>
    </row>
    <row r="621" spans="1:31" x14ac:dyDescent="0.25">
      <c r="A621">
        <v>1305</v>
      </c>
      <c r="B621" t="s">
        <v>265</v>
      </c>
      <c r="C621">
        <v>85</v>
      </c>
      <c r="D621">
        <v>223</v>
      </c>
      <c r="E621">
        <v>1305</v>
      </c>
      <c r="F621">
        <v>2293201</v>
      </c>
      <c r="G621">
        <v>2381400</v>
      </c>
      <c r="H621">
        <f t="shared" si="18"/>
        <v>52.000022675736965</v>
      </c>
      <c r="I621">
        <f t="shared" si="19"/>
        <v>54</v>
      </c>
      <c r="J621" t="s">
        <v>29</v>
      </c>
      <c r="K621">
        <v>4</v>
      </c>
      <c r="L621" t="e">
        <f t="array" ref="L621">VLOOKUP(J621:$J$3871&amp;K621:$K$3871,CHOOSE({1,2},#REF!&amp;#REF!,#REF!),2,0)</f>
        <v>#N/A</v>
      </c>
      <c r="M621">
        <v>0</v>
      </c>
      <c r="N621">
        <v>1</v>
      </c>
      <c r="O621" t="s">
        <v>23</v>
      </c>
      <c r="P621">
        <v>1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1</v>
      </c>
      <c r="X621">
        <v>1</v>
      </c>
      <c r="Y621">
        <v>0</v>
      </c>
      <c r="Z621">
        <v>0</v>
      </c>
      <c r="AA621" t="s">
        <v>3855</v>
      </c>
      <c r="AB621" t="s">
        <v>6511</v>
      </c>
      <c r="AC621" t="s">
        <v>3855</v>
      </c>
      <c r="AD621" t="e">
        <f>VLOOKUP(AB621,#REF!,2,FALSE)</f>
        <v>#REF!</v>
      </c>
      <c r="AE621" t="e">
        <f>RIGHT(#REF!,(FIND("Complex",#REF!,1)-6))</f>
        <v>#REF!</v>
      </c>
    </row>
    <row r="622" spans="1:31" x14ac:dyDescent="0.25">
      <c r="A622">
        <v>3381</v>
      </c>
      <c r="B622" t="s">
        <v>265</v>
      </c>
      <c r="C622">
        <v>85</v>
      </c>
      <c r="D622">
        <v>866</v>
      </c>
      <c r="E622">
        <v>3381</v>
      </c>
      <c r="F622">
        <v>1587601</v>
      </c>
      <c r="G622">
        <v>1675800</v>
      </c>
      <c r="H622">
        <f t="shared" si="18"/>
        <v>36.000022675736965</v>
      </c>
      <c r="I622">
        <f t="shared" si="19"/>
        <v>38</v>
      </c>
      <c r="J622" t="s">
        <v>29</v>
      </c>
      <c r="K622">
        <v>4</v>
      </c>
      <c r="L622" t="e">
        <f t="array" ref="L622">VLOOKUP(J622:$J$3871&amp;K622:$K$3871,CHOOSE({1,2},#REF!&amp;#REF!,#REF!),2,0)</f>
        <v>#N/A</v>
      </c>
      <c r="M622">
        <v>0</v>
      </c>
      <c r="N622">
        <v>1</v>
      </c>
      <c r="O622" t="s">
        <v>23</v>
      </c>
      <c r="P622">
        <v>1</v>
      </c>
      <c r="Q622">
        <v>0</v>
      </c>
      <c r="R622">
        <v>0</v>
      </c>
      <c r="S622">
        <v>1</v>
      </c>
      <c r="T622">
        <v>0</v>
      </c>
      <c r="U622">
        <v>0</v>
      </c>
      <c r="V622">
        <v>0</v>
      </c>
      <c r="W622">
        <v>1</v>
      </c>
      <c r="X622">
        <v>1</v>
      </c>
      <c r="Y622">
        <v>0</v>
      </c>
      <c r="Z622">
        <v>0</v>
      </c>
      <c r="AA622" t="s">
        <v>3997</v>
      </c>
      <c r="AB622" t="s">
        <v>6594</v>
      </c>
      <c r="AC622" t="s">
        <v>3997</v>
      </c>
      <c r="AD622" t="e">
        <f>VLOOKUP(AB622,#REF!,2,FALSE)</f>
        <v>#REF!</v>
      </c>
      <c r="AE622" t="e">
        <f>RIGHT(#REF!,(FIND("Complex",#REF!,1)-6))</f>
        <v>#REF!</v>
      </c>
    </row>
    <row r="623" spans="1:31" x14ac:dyDescent="0.25">
      <c r="A623">
        <v>2067</v>
      </c>
      <c r="B623" t="s">
        <v>265</v>
      </c>
      <c r="C623">
        <v>85</v>
      </c>
      <c r="D623">
        <v>366</v>
      </c>
      <c r="E623">
        <v>2067</v>
      </c>
      <c r="F623">
        <v>1499401</v>
      </c>
      <c r="G623">
        <v>1587600</v>
      </c>
      <c r="H623">
        <f t="shared" si="18"/>
        <v>34.000022675736965</v>
      </c>
      <c r="I623">
        <f t="shared" si="19"/>
        <v>36</v>
      </c>
      <c r="J623" t="s">
        <v>29</v>
      </c>
      <c r="K623">
        <v>4</v>
      </c>
      <c r="L623" t="e">
        <f t="array" ref="L623">VLOOKUP(J623:$J$3871&amp;K623:$K$3871,CHOOSE({1,2},#REF!&amp;#REF!,#REF!),2,0)</f>
        <v>#N/A</v>
      </c>
      <c r="M623">
        <v>0</v>
      </c>
      <c r="N623">
        <v>1</v>
      </c>
      <c r="O623" t="s">
        <v>23</v>
      </c>
      <c r="P623">
        <v>1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1</v>
      </c>
      <c r="X623">
        <v>1</v>
      </c>
      <c r="Y623">
        <v>0</v>
      </c>
      <c r="Z623">
        <v>0</v>
      </c>
      <c r="AA623" t="s">
        <v>4016</v>
      </c>
      <c r="AB623" t="s">
        <v>6607</v>
      </c>
      <c r="AC623" t="s">
        <v>4016</v>
      </c>
      <c r="AD623" t="e">
        <f>VLOOKUP(AB623,#REF!,2,FALSE)</f>
        <v>#REF!</v>
      </c>
      <c r="AE623" t="e">
        <f>RIGHT(#REF!,(FIND("Complex",#REF!,1)-6))</f>
        <v>#REF!</v>
      </c>
    </row>
    <row r="624" spans="1:31" x14ac:dyDescent="0.25">
      <c r="A624">
        <v>3309</v>
      </c>
      <c r="B624" t="s">
        <v>265</v>
      </c>
      <c r="C624">
        <v>85</v>
      </c>
      <c r="D624">
        <v>835</v>
      </c>
      <c r="E624">
        <v>3309</v>
      </c>
      <c r="F624">
        <v>970201</v>
      </c>
      <c r="G624">
        <v>1058400</v>
      </c>
      <c r="H624">
        <f t="shared" si="18"/>
        <v>22.000022675736961</v>
      </c>
      <c r="I624">
        <f t="shared" si="19"/>
        <v>24</v>
      </c>
      <c r="J624" t="s">
        <v>29</v>
      </c>
      <c r="K624">
        <v>4</v>
      </c>
      <c r="L624" t="e">
        <f t="array" ref="L624">VLOOKUP(J624:$J$3871&amp;K624:$K$3871,CHOOSE({1,2},#REF!&amp;#REF!,#REF!),2,0)</f>
        <v>#N/A</v>
      </c>
      <c r="M624">
        <v>0</v>
      </c>
      <c r="N624">
        <v>1</v>
      </c>
      <c r="O624" t="s">
        <v>23</v>
      </c>
      <c r="P624">
        <v>1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1</v>
      </c>
      <c r="X624">
        <v>1</v>
      </c>
      <c r="Y624">
        <v>0</v>
      </c>
      <c r="Z624">
        <v>0</v>
      </c>
      <c r="AA624" t="s">
        <v>4237</v>
      </c>
      <c r="AB624" t="s">
        <v>6765</v>
      </c>
      <c r="AC624" t="s">
        <v>4237</v>
      </c>
      <c r="AD624" t="e">
        <f>VLOOKUP(AB624,#REF!,2,FALSE)</f>
        <v>#REF!</v>
      </c>
      <c r="AE624" t="e">
        <f>RIGHT(#REF!,(FIND("Complex",#REF!,1)-6))</f>
        <v>#REF!</v>
      </c>
    </row>
    <row r="625" spans="1:31" x14ac:dyDescent="0.25">
      <c r="A625">
        <v>2207</v>
      </c>
      <c r="B625" t="s">
        <v>265</v>
      </c>
      <c r="C625">
        <v>85</v>
      </c>
      <c r="D625">
        <v>400</v>
      </c>
      <c r="E625">
        <v>2207</v>
      </c>
      <c r="F625">
        <v>882001</v>
      </c>
      <c r="G625">
        <v>970200</v>
      </c>
      <c r="H625">
        <f t="shared" si="18"/>
        <v>20.000022675736961</v>
      </c>
      <c r="I625">
        <f t="shared" si="19"/>
        <v>22</v>
      </c>
      <c r="J625" t="s">
        <v>29</v>
      </c>
      <c r="K625">
        <v>4</v>
      </c>
      <c r="L625" t="e">
        <f t="array" ref="L625">VLOOKUP(J625:$J$3871&amp;K625:$K$3871,CHOOSE({1,2},#REF!&amp;#REF!,#REF!),2,0)</f>
        <v>#N/A</v>
      </c>
      <c r="M625">
        <v>0</v>
      </c>
      <c r="N625">
        <v>1</v>
      </c>
      <c r="O625" t="s">
        <v>23</v>
      </c>
      <c r="P625">
        <v>1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1</v>
      </c>
      <c r="X625">
        <v>1</v>
      </c>
      <c r="Y625">
        <v>0</v>
      </c>
      <c r="Z625">
        <v>0</v>
      </c>
      <c r="AA625" t="s">
        <v>4301</v>
      </c>
      <c r="AB625" t="s">
        <v>6802</v>
      </c>
      <c r="AC625" t="s">
        <v>4301</v>
      </c>
      <c r="AD625" t="e">
        <f>VLOOKUP(AB625,#REF!,2,FALSE)</f>
        <v>#REF!</v>
      </c>
      <c r="AE625" t="e">
        <f>RIGHT(#REF!,(FIND("Complex",#REF!,1)-6))</f>
        <v>#REF!</v>
      </c>
    </row>
    <row r="626" spans="1:31" x14ac:dyDescent="0.25">
      <c r="A626">
        <v>910</v>
      </c>
      <c r="B626" t="s">
        <v>265</v>
      </c>
      <c r="C626">
        <v>85</v>
      </c>
      <c r="D626">
        <v>158</v>
      </c>
      <c r="E626">
        <v>910</v>
      </c>
      <c r="F626">
        <v>7056001</v>
      </c>
      <c r="G626">
        <v>7144200</v>
      </c>
      <c r="H626">
        <f t="shared" si="18"/>
        <v>160.00002267573697</v>
      </c>
      <c r="I626">
        <f t="shared" si="19"/>
        <v>162</v>
      </c>
      <c r="J626" t="s">
        <v>29</v>
      </c>
      <c r="K626">
        <v>4</v>
      </c>
      <c r="L626" t="e">
        <f t="array" ref="L626">VLOOKUP(J626:$J$3871&amp;K626:$K$3871,CHOOSE({1,2},#REF!&amp;#REF!,#REF!),2,0)</f>
        <v>#N/A</v>
      </c>
      <c r="M626">
        <v>0</v>
      </c>
      <c r="N626">
        <v>1</v>
      </c>
      <c r="O626" t="s">
        <v>23</v>
      </c>
      <c r="P626">
        <v>1</v>
      </c>
      <c r="Q626">
        <v>0</v>
      </c>
      <c r="R626">
        <v>0</v>
      </c>
      <c r="S626">
        <v>1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0</v>
      </c>
      <c r="Z626">
        <v>0</v>
      </c>
      <c r="AA626" t="s">
        <v>4476</v>
      </c>
      <c r="AB626" t="s">
        <v>6907</v>
      </c>
      <c r="AC626" t="s">
        <v>4476</v>
      </c>
      <c r="AD626" t="e">
        <f>VLOOKUP(AB626,#REF!,2,FALSE)</f>
        <v>#REF!</v>
      </c>
      <c r="AE626" t="e">
        <f>RIGHT(#REF!,(FIND("Complex",#REF!,1)-4))</f>
        <v>#REF!</v>
      </c>
    </row>
    <row r="627" spans="1:31" x14ac:dyDescent="0.25">
      <c r="A627">
        <v>1757</v>
      </c>
      <c r="B627" t="s">
        <v>265</v>
      </c>
      <c r="C627">
        <v>85</v>
      </c>
      <c r="D627">
        <v>304</v>
      </c>
      <c r="E627">
        <v>1757</v>
      </c>
      <c r="F627">
        <v>6967801</v>
      </c>
      <c r="G627">
        <v>7056000</v>
      </c>
      <c r="H627">
        <f t="shared" si="18"/>
        <v>158.00002267573697</v>
      </c>
      <c r="I627">
        <f t="shared" si="19"/>
        <v>160</v>
      </c>
      <c r="J627" t="s">
        <v>29</v>
      </c>
      <c r="K627">
        <v>4</v>
      </c>
      <c r="L627" t="e">
        <f t="array" ref="L627">VLOOKUP(J627:$J$3871&amp;K627:$K$3871,CHOOSE({1,2},#REF!&amp;#REF!,#REF!),2,0)</f>
        <v>#N/A</v>
      </c>
      <c r="M627">
        <v>0</v>
      </c>
      <c r="N627">
        <v>1</v>
      </c>
      <c r="O627" t="s">
        <v>23</v>
      </c>
      <c r="P627">
        <v>1</v>
      </c>
      <c r="Q627">
        <v>0</v>
      </c>
      <c r="R627">
        <v>0</v>
      </c>
      <c r="S627">
        <v>1</v>
      </c>
      <c r="T627">
        <v>0</v>
      </c>
      <c r="U627">
        <v>0</v>
      </c>
      <c r="V627">
        <v>0</v>
      </c>
      <c r="W627">
        <v>1</v>
      </c>
      <c r="X627">
        <v>1</v>
      </c>
      <c r="Y627">
        <v>0</v>
      </c>
      <c r="Z627">
        <v>0</v>
      </c>
      <c r="AA627" t="s">
        <v>4506</v>
      </c>
      <c r="AB627" t="s">
        <v>1737</v>
      </c>
      <c r="AC627" t="s">
        <v>4506</v>
      </c>
      <c r="AD627" t="e">
        <f>VLOOKUP(AB627,#REF!,2,FALSE)</f>
        <v>#REF!</v>
      </c>
      <c r="AE627" t="e">
        <f>RIGHT(#REF!,(FIND("Complex",#REF!,1)-5))</f>
        <v>#REF!</v>
      </c>
    </row>
    <row r="628" spans="1:31" x14ac:dyDescent="0.25">
      <c r="A628">
        <v>2732</v>
      </c>
      <c r="B628" t="s">
        <v>265</v>
      </c>
      <c r="C628">
        <v>85</v>
      </c>
      <c r="D628">
        <v>574</v>
      </c>
      <c r="E628">
        <v>2732</v>
      </c>
      <c r="F628">
        <v>6438601</v>
      </c>
      <c r="G628">
        <v>6526800</v>
      </c>
      <c r="H628">
        <f t="shared" si="18"/>
        <v>146.00002267573697</v>
      </c>
      <c r="I628">
        <f t="shared" si="19"/>
        <v>148</v>
      </c>
      <c r="J628" t="s">
        <v>29</v>
      </c>
      <c r="K628">
        <v>4</v>
      </c>
      <c r="L628" t="e">
        <f t="array" ref="L628">VLOOKUP(J628:$J$3871&amp;K628:$K$3871,CHOOSE({1,2},#REF!&amp;#REF!,#REF!),2,0)</f>
        <v>#N/A</v>
      </c>
      <c r="M628">
        <v>0</v>
      </c>
      <c r="N628">
        <v>1</v>
      </c>
      <c r="O628" t="s">
        <v>23</v>
      </c>
      <c r="P628">
        <v>1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1</v>
      </c>
      <c r="X628">
        <v>1</v>
      </c>
      <c r="Y628">
        <v>0</v>
      </c>
      <c r="Z628">
        <v>0</v>
      </c>
      <c r="AA628" t="s">
        <v>4564</v>
      </c>
      <c r="AB628" t="s">
        <v>6969</v>
      </c>
      <c r="AC628" t="s">
        <v>4564</v>
      </c>
      <c r="AD628" t="e">
        <f>VLOOKUP(AB628,#REF!,2,FALSE)</f>
        <v>#REF!</v>
      </c>
      <c r="AE628" t="e">
        <f>RIGHT(#REF!,(FIND("Complex",#REF!,1)-5))</f>
        <v>#REF!</v>
      </c>
    </row>
    <row r="629" spans="1:31" x14ac:dyDescent="0.25">
      <c r="A629">
        <v>692</v>
      </c>
      <c r="B629" t="s">
        <v>265</v>
      </c>
      <c r="C629">
        <v>85</v>
      </c>
      <c r="D629">
        <v>125</v>
      </c>
      <c r="E629">
        <v>692</v>
      </c>
      <c r="F629">
        <v>6350401</v>
      </c>
      <c r="G629">
        <v>6438600</v>
      </c>
      <c r="H629">
        <f t="shared" si="18"/>
        <v>144.00002267573697</v>
      </c>
      <c r="I629">
        <f t="shared" si="19"/>
        <v>146</v>
      </c>
      <c r="J629" t="s">
        <v>29</v>
      </c>
      <c r="K629">
        <v>4</v>
      </c>
      <c r="L629" t="e">
        <f t="array" ref="L629">VLOOKUP(J629:$J$3871&amp;K629:$K$3871,CHOOSE({1,2},#REF!&amp;#REF!,#REF!),2,0)</f>
        <v>#N/A</v>
      </c>
      <c r="M629">
        <v>0</v>
      </c>
      <c r="N629">
        <v>1</v>
      </c>
      <c r="O629" t="s">
        <v>23</v>
      </c>
      <c r="P629">
        <v>1</v>
      </c>
      <c r="Q629">
        <v>0</v>
      </c>
      <c r="R629">
        <v>0</v>
      </c>
      <c r="S629">
        <v>1</v>
      </c>
      <c r="T629">
        <v>0</v>
      </c>
      <c r="U629">
        <v>0</v>
      </c>
      <c r="V629">
        <v>0</v>
      </c>
      <c r="W629">
        <v>1</v>
      </c>
      <c r="X629">
        <v>1</v>
      </c>
      <c r="Y629">
        <v>0</v>
      </c>
      <c r="Z629">
        <v>0</v>
      </c>
      <c r="AA629" t="s">
        <v>4576</v>
      </c>
      <c r="AB629" t="s">
        <v>1738</v>
      </c>
      <c r="AC629" t="s">
        <v>4576</v>
      </c>
      <c r="AD629" t="e">
        <f>VLOOKUP(AB629,#REF!,2,FALSE)</f>
        <v>#REF!</v>
      </c>
      <c r="AE629" t="e">
        <f>RIGHT(#REF!,(FIND("Complex",#REF!,1)-4))</f>
        <v>#REF!</v>
      </c>
    </row>
    <row r="630" spans="1:31" x14ac:dyDescent="0.25">
      <c r="A630">
        <v>2982</v>
      </c>
      <c r="B630" t="s">
        <v>265</v>
      </c>
      <c r="C630">
        <v>85</v>
      </c>
      <c r="D630">
        <v>676</v>
      </c>
      <c r="E630">
        <v>2982</v>
      </c>
      <c r="F630">
        <v>6262201</v>
      </c>
      <c r="G630">
        <v>6350400</v>
      </c>
      <c r="H630">
        <f t="shared" si="18"/>
        <v>142.00002267573697</v>
      </c>
      <c r="I630">
        <f t="shared" si="19"/>
        <v>144</v>
      </c>
      <c r="J630" t="s">
        <v>29</v>
      </c>
      <c r="K630">
        <v>4</v>
      </c>
      <c r="L630" t="e">
        <f t="array" ref="L630">VLOOKUP(J630:$J$3871&amp;K630:$K$3871,CHOOSE({1,2},#REF!&amp;#REF!,#REF!),2,0)</f>
        <v>#N/A</v>
      </c>
      <c r="M630">
        <v>0</v>
      </c>
      <c r="N630">
        <v>1</v>
      </c>
      <c r="O630" t="s">
        <v>23</v>
      </c>
      <c r="P630">
        <v>1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1</v>
      </c>
      <c r="X630">
        <v>1</v>
      </c>
      <c r="Y630">
        <v>0</v>
      </c>
      <c r="Z630">
        <v>0</v>
      </c>
      <c r="AA630" t="s">
        <v>4587</v>
      </c>
      <c r="AB630" t="s">
        <v>1739</v>
      </c>
      <c r="AC630" t="s">
        <v>4587</v>
      </c>
      <c r="AD630" t="e">
        <f>VLOOKUP(AB630,#REF!,2,FALSE)</f>
        <v>#REF!</v>
      </c>
      <c r="AE630" t="e">
        <f>RIGHT(#REF!,(FIND("Complex",#REF!,1)-5))</f>
        <v>#REF!</v>
      </c>
    </row>
    <row r="631" spans="1:31" x14ac:dyDescent="0.25">
      <c r="A631">
        <v>2916</v>
      </c>
      <c r="B631" t="s">
        <v>53</v>
      </c>
      <c r="C631">
        <v>86</v>
      </c>
      <c r="D631">
        <v>644</v>
      </c>
      <c r="E631">
        <v>2916</v>
      </c>
      <c r="F631">
        <v>10495801</v>
      </c>
      <c r="G631">
        <v>10584000</v>
      </c>
      <c r="H631">
        <f t="shared" si="18"/>
        <v>238.00002267573697</v>
      </c>
      <c r="I631">
        <f t="shared" si="19"/>
        <v>240</v>
      </c>
      <c r="J631" t="s">
        <v>29</v>
      </c>
      <c r="K631">
        <v>4</v>
      </c>
      <c r="L631" t="e">
        <f t="array" ref="L631">VLOOKUP(J631:$J$3871&amp;K631:$K$3871,CHOOSE({1,2},#REF!&amp;#REF!,#REF!),2,0)</f>
        <v>#N/A</v>
      </c>
      <c r="M631">
        <v>0</v>
      </c>
      <c r="N631">
        <v>1</v>
      </c>
      <c r="O631" t="s">
        <v>23</v>
      </c>
      <c r="P631">
        <v>1</v>
      </c>
      <c r="Q631">
        <v>0</v>
      </c>
      <c r="R631">
        <v>0</v>
      </c>
      <c r="S631">
        <v>1</v>
      </c>
      <c r="T631">
        <v>1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 t="s">
        <v>4200</v>
      </c>
      <c r="AB631" t="s">
        <v>6738</v>
      </c>
      <c r="AC631" t="s">
        <v>4200</v>
      </c>
      <c r="AD631" t="e">
        <f>VLOOKUP(AB631,#REF!,2,FALSE)</f>
        <v>#REF!</v>
      </c>
      <c r="AE631" t="e">
        <f>RIGHT(#REF!,(FIND("Complex",#REF!,1)-5))</f>
        <v>#REF!</v>
      </c>
    </row>
    <row r="632" spans="1:31" x14ac:dyDescent="0.25">
      <c r="A632">
        <v>1203</v>
      </c>
      <c r="B632" t="s">
        <v>53</v>
      </c>
      <c r="C632">
        <v>86</v>
      </c>
      <c r="D632">
        <v>205</v>
      </c>
      <c r="E632">
        <v>1203</v>
      </c>
      <c r="F632">
        <v>10407601</v>
      </c>
      <c r="G632">
        <v>10495800</v>
      </c>
      <c r="H632">
        <f t="shared" si="18"/>
        <v>236.00002267573697</v>
      </c>
      <c r="I632">
        <f t="shared" si="19"/>
        <v>238</v>
      </c>
      <c r="J632" t="s">
        <v>29</v>
      </c>
      <c r="K632">
        <v>4</v>
      </c>
      <c r="L632" t="e">
        <f t="array" ref="L632">VLOOKUP(J632:$J$3871&amp;K632:$K$3871,CHOOSE({1,2},#REF!&amp;#REF!,#REF!),2,0)</f>
        <v>#N/A</v>
      </c>
      <c r="M632">
        <v>0</v>
      </c>
      <c r="N632">
        <v>1</v>
      </c>
      <c r="O632" t="s">
        <v>23</v>
      </c>
      <c r="P632">
        <v>1</v>
      </c>
      <c r="Q632">
        <v>0</v>
      </c>
      <c r="R632">
        <v>0</v>
      </c>
      <c r="S632">
        <v>1</v>
      </c>
      <c r="T632">
        <v>1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 t="s">
        <v>4206</v>
      </c>
      <c r="AB632" t="s">
        <v>6744</v>
      </c>
      <c r="AC632" t="s">
        <v>4206</v>
      </c>
      <c r="AD632" t="e">
        <f>VLOOKUP(AB632,#REF!,2,FALSE)</f>
        <v>#REF!</v>
      </c>
      <c r="AE632" t="e">
        <f>RIGHT(#REF!,(FIND("Complex",#REF!,1)-5))</f>
        <v>#REF!</v>
      </c>
    </row>
    <row r="633" spans="1:31" x14ac:dyDescent="0.25">
      <c r="A633">
        <v>2829</v>
      </c>
      <c r="B633" t="s">
        <v>53</v>
      </c>
      <c r="C633">
        <v>86</v>
      </c>
      <c r="D633">
        <v>613</v>
      </c>
      <c r="E633">
        <v>2829</v>
      </c>
      <c r="F633">
        <v>10319401</v>
      </c>
      <c r="G633">
        <v>10407600</v>
      </c>
      <c r="H633">
        <f t="shared" si="18"/>
        <v>234.00002267573697</v>
      </c>
      <c r="I633">
        <f t="shared" si="19"/>
        <v>236</v>
      </c>
      <c r="J633" t="s">
        <v>29</v>
      </c>
      <c r="K633">
        <v>4</v>
      </c>
      <c r="L633" t="e">
        <f t="array" ref="L633">VLOOKUP(J633:$J$3871&amp;K633:$K$3871,CHOOSE({1,2},#REF!&amp;#REF!,#REF!),2,0)</f>
        <v>#N/A</v>
      </c>
      <c r="M633">
        <v>0</v>
      </c>
      <c r="N633">
        <v>1</v>
      </c>
      <c r="O633" t="s">
        <v>23</v>
      </c>
      <c r="P633">
        <v>1</v>
      </c>
      <c r="Q633">
        <v>0</v>
      </c>
      <c r="R633">
        <v>0</v>
      </c>
      <c r="S633">
        <v>1</v>
      </c>
      <c r="T633">
        <v>1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 t="s">
        <v>4212</v>
      </c>
      <c r="AB633" t="s">
        <v>1743</v>
      </c>
      <c r="AC633" t="s">
        <v>4212</v>
      </c>
      <c r="AD633" t="e">
        <f>VLOOKUP(AB633,#REF!,2,FALSE)</f>
        <v>#REF!</v>
      </c>
      <c r="AE633" t="e">
        <f>RIGHT(#REF!,(FIND("Complex",#REF!,1)-5))</f>
        <v>#REF!</v>
      </c>
    </row>
    <row r="634" spans="1:31" x14ac:dyDescent="0.25">
      <c r="A634">
        <v>91</v>
      </c>
      <c r="B634" t="s">
        <v>53</v>
      </c>
      <c r="C634">
        <v>86</v>
      </c>
      <c r="D634">
        <v>17</v>
      </c>
      <c r="E634">
        <v>91</v>
      </c>
      <c r="F634">
        <v>10231201</v>
      </c>
      <c r="G634">
        <v>10319400</v>
      </c>
      <c r="H634">
        <f t="shared" si="18"/>
        <v>232.00002267573697</v>
      </c>
      <c r="I634">
        <f t="shared" si="19"/>
        <v>234</v>
      </c>
      <c r="J634" t="s">
        <v>29</v>
      </c>
      <c r="K634">
        <v>4</v>
      </c>
      <c r="L634" t="e">
        <f t="array" ref="L634">VLOOKUP(J634:$J$3871&amp;K634:$K$3871,CHOOSE({1,2},#REF!&amp;#REF!,#REF!),2,0)</f>
        <v>#N/A</v>
      </c>
      <c r="M634">
        <v>0</v>
      </c>
      <c r="N634">
        <v>1</v>
      </c>
      <c r="O634" t="s">
        <v>23</v>
      </c>
      <c r="P634">
        <v>1</v>
      </c>
      <c r="Q634">
        <v>0</v>
      </c>
      <c r="R634">
        <v>0</v>
      </c>
      <c r="S634">
        <v>1</v>
      </c>
      <c r="T634">
        <v>1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 t="s">
        <v>4214</v>
      </c>
      <c r="AB634" t="s">
        <v>1744</v>
      </c>
      <c r="AC634" t="s">
        <v>4214</v>
      </c>
      <c r="AD634" t="e">
        <f>VLOOKUP(AB634,#REF!,2,FALSE)</f>
        <v>#REF!</v>
      </c>
      <c r="AE634" t="e">
        <f>RIGHT(#REF!,(FIND("Complex",#REF!,1)-3))</f>
        <v>#REF!</v>
      </c>
    </row>
    <row r="635" spans="1:31" x14ac:dyDescent="0.25">
      <c r="A635">
        <v>461</v>
      </c>
      <c r="B635" t="s">
        <v>53</v>
      </c>
      <c r="C635">
        <v>86</v>
      </c>
      <c r="D635">
        <v>84</v>
      </c>
      <c r="E635">
        <v>461</v>
      </c>
      <c r="F635">
        <v>10054801</v>
      </c>
      <c r="G635">
        <v>10143000</v>
      </c>
      <c r="H635">
        <f t="shared" si="18"/>
        <v>228.00002267573697</v>
      </c>
      <c r="I635">
        <f t="shared" si="19"/>
        <v>230</v>
      </c>
      <c r="J635" t="s">
        <v>29</v>
      </c>
      <c r="K635">
        <v>4</v>
      </c>
      <c r="L635" t="e">
        <f t="array" ref="L635">VLOOKUP(J635:$J$3871&amp;K635:$K$3871,CHOOSE({1,2},#REF!&amp;#REF!,#REF!),2,0)</f>
        <v>#N/A</v>
      </c>
      <c r="M635">
        <v>0</v>
      </c>
      <c r="N635">
        <v>1</v>
      </c>
      <c r="O635" t="s">
        <v>23</v>
      </c>
      <c r="P635">
        <v>1</v>
      </c>
      <c r="Q635">
        <v>0</v>
      </c>
      <c r="R635">
        <v>0</v>
      </c>
      <c r="S635">
        <v>1</v>
      </c>
      <c r="T635">
        <v>1</v>
      </c>
      <c r="U635">
        <v>0</v>
      </c>
      <c r="V635">
        <v>0</v>
      </c>
      <c r="W635">
        <v>0</v>
      </c>
      <c r="X635">
        <v>1</v>
      </c>
      <c r="Y635">
        <v>0</v>
      </c>
      <c r="Z635">
        <v>0</v>
      </c>
      <c r="AA635" t="s">
        <v>4218</v>
      </c>
      <c r="AB635" t="s">
        <v>6753</v>
      </c>
      <c r="AC635" t="s">
        <v>4218</v>
      </c>
      <c r="AD635" t="e">
        <f>VLOOKUP(AB635,#REF!,2,FALSE)</f>
        <v>#REF!</v>
      </c>
      <c r="AE635" t="e">
        <f>RIGHT(#REF!,(FIND("Complex",#REF!,1)-4))</f>
        <v>#REF!</v>
      </c>
    </row>
    <row r="636" spans="1:31" x14ac:dyDescent="0.25">
      <c r="A636">
        <v>1730</v>
      </c>
      <c r="B636" t="s">
        <v>53</v>
      </c>
      <c r="C636">
        <v>86</v>
      </c>
      <c r="D636">
        <v>298</v>
      </c>
      <c r="E636">
        <v>1730</v>
      </c>
      <c r="F636">
        <v>9966601</v>
      </c>
      <c r="G636">
        <v>10054800</v>
      </c>
      <c r="H636">
        <f t="shared" si="18"/>
        <v>226.00002267573697</v>
      </c>
      <c r="I636">
        <f t="shared" si="19"/>
        <v>228</v>
      </c>
      <c r="J636" t="s">
        <v>29</v>
      </c>
      <c r="K636">
        <v>4</v>
      </c>
      <c r="L636" t="e">
        <f t="array" ref="L636">VLOOKUP(J636:$J$3871&amp;K636:$K$3871,CHOOSE({1,2},#REF!&amp;#REF!,#REF!),2,0)</f>
        <v>#N/A</v>
      </c>
      <c r="M636">
        <v>0</v>
      </c>
      <c r="N636">
        <v>1</v>
      </c>
      <c r="O636" t="s">
        <v>23</v>
      </c>
      <c r="P636">
        <v>1</v>
      </c>
      <c r="Q636">
        <v>0</v>
      </c>
      <c r="R636">
        <v>0</v>
      </c>
      <c r="S636">
        <v>1</v>
      </c>
      <c r="T636">
        <v>1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 t="s">
        <v>4221</v>
      </c>
      <c r="AB636" t="s">
        <v>6756</v>
      </c>
      <c r="AC636" t="s">
        <v>4221</v>
      </c>
      <c r="AD636" t="e">
        <f>VLOOKUP(AB636,#REF!,2,FALSE)</f>
        <v>#REF!</v>
      </c>
      <c r="AE636" t="e">
        <f>RIGHT(#REF!,(FIND("Complex",#REF!,1)-5))</f>
        <v>#REF!</v>
      </c>
    </row>
    <row r="637" spans="1:31" x14ac:dyDescent="0.25">
      <c r="A637">
        <v>2173</v>
      </c>
      <c r="B637" t="s">
        <v>53</v>
      </c>
      <c r="C637">
        <v>86</v>
      </c>
      <c r="D637">
        <v>395</v>
      </c>
      <c r="E637">
        <v>2173</v>
      </c>
      <c r="F637">
        <v>9790201</v>
      </c>
      <c r="G637">
        <v>9878400</v>
      </c>
      <c r="H637">
        <f t="shared" si="18"/>
        <v>222.00002267573697</v>
      </c>
      <c r="I637">
        <f t="shared" si="19"/>
        <v>224</v>
      </c>
      <c r="J637" t="s">
        <v>29</v>
      </c>
      <c r="K637">
        <v>4</v>
      </c>
      <c r="L637" t="e">
        <f t="array" ref="L637">VLOOKUP(J637:$J$3871&amp;K637:$K$3871,CHOOSE({1,2},#REF!&amp;#REF!,#REF!),2,0)</f>
        <v>#N/A</v>
      </c>
      <c r="M637">
        <v>0</v>
      </c>
      <c r="N637">
        <v>1</v>
      </c>
      <c r="O637" t="s">
        <v>23</v>
      </c>
      <c r="P637">
        <v>1</v>
      </c>
      <c r="Q637">
        <v>0</v>
      </c>
      <c r="R637">
        <v>0</v>
      </c>
      <c r="S637">
        <v>1</v>
      </c>
      <c r="T637">
        <v>1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0</v>
      </c>
      <c r="AA637" t="s">
        <v>4230</v>
      </c>
      <c r="AB637" t="s">
        <v>1745</v>
      </c>
      <c r="AC637" t="s">
        <v>4230</v>
      </c>
      <c r="AD637" t="e">
        <f>VLOOKUP(AB637,#REF!,2,FALSE)</f>
        <v>#REF!</v>
      </c>
      <c r="AE637" t="e">
        <f>RIGHT(#REF!,(FIND("Complex",#REF!,1)-5))</f>
        <v>#REF!</v>
      </c>
    </row>
    <row r="638" spans="1:31" x14ac:dyDescent="0.25">
      <c r="A638">
        <v>2685</v>
      </c>
      <c r="B638" t="s">
        <v>53</v>
      </c>
      <c r="C638">
        <v>86</v>
      </c>
      <c r="D638">
        <v>553</v>
      </c>
      <c r="E638">
        <v>2685</v>
      </c>
      <c r="F638">
        <v>9702001</v>
      </c>
      <c r="G638">
        <v>9790200</v>
      </c>
      <c r="H638">
        <f t="shared" si="18"/>
        <v>220.00002267573697</v>
      </c>
      <c r="I638">
        <f t="shared" si="19"/>
        <v>222</v>
      </c>
      <c r="J638" t="s">
        <v>29</v>
      </c>
      <c r="K638">
        <v>4</v>
      </c>
      <c r="L638" t="e">
        <f t="array" ref="L638">VLOOKUP(J638:$J$3871&amp;K638:$K$3871,CHOOSE({1,2},#REF!&amp;#REF!,#REF!),2,0)</f>
        <v>#N/A</v>
      </c>
      <c r="M638">
        <v>0</v>
      </c>
      <c r="N638">
        <v>1</v>
      </c>
      <c r="O638" t="s">
        <v>23</v>
      </c>
      <c r="P638">
        <v>1</v>
      </c>
      <c r="Q638">
        <v>0</v>
      </c>
      <c r="R638">
        <v>0</v>
      </c>
      <c r="S638">
        <v>1</v>
      </c>
      <c r="T638">
        <v>1</v>
      </c>
      <c r="U638">
        <v>0</v>
      </c>
      <c r="V638">
        <v>0</v>
      </c>
      <c r="W638">
        <v>0</v>
      </c>
      <c r="X638">
        <v>1</v>
      </c>
      <c r="Y638">
        <v>0</v>
      </c>
      <c r="Z638">
        <v>0</v>
      </c>
      <c r="AA638" t="s">
        <v>4233</v>
      </c>
      <c r="AB638" t="s">
        <v>6763</v>
      </c>
      <c r="AC638" t="s">
        <v>4233</v>
      </c>
      <c r="AD638" t="e">
        <f>VLOOKUP(AB638,#REF!,2,FALSE)</f>
        <v>#REF!</v>
      </c>
      <c r="AE638" t="e">
        <f>RIGHT(#REF!,(FIND("Complex",#REF!,1)-5))</f>
        <v>#REF!</v>
      </c>
    </row>
    <row r="639" spans="1:31" x14ac:dyDescent="0.25">
      <c r="A639">
        <v>622</v>
      </c>
      <c r="B639" t="s">
        <v>53</v>
      </c>
      <c r="C639">
        <v>86</v>
      </c>
      <c r="D639">
        <v>110</v>
      </c>
      <c r="E639">
        <v>622</v>
      </c>
      <c r="F639">
        <v>9525601</v>
      </c>
      <c r="G639">
        <v>9613800</v>
      </c>
      <c r="H639">
        <f t="shared" si="18"/>
        <v>216.00002267573697</v>
      </c>
      <c r="I639">
        <f t="shared" si="19"/>
        <v>218</v>
      </c>
      <c r="J639" t="s">
        <v>29</v>
      </c>
      <c r="K639">
        <v>4</v>
      </c>
      <c r="L639" t="e">
        <f t="array" ref="L639">VLOOKUP(J639:$J$3871&amp;K639:$K$3871,CHOOSE({1,2},#REF!&amp;#REF!,#REF!),2,0)</f>
        <v>#N/A</v>
      </c>
      <c r="M639">
        <v>0</v>
      </c>
      <c r="N639">
        <v>1</v>
      </c>
      <c r="O639" t="s">
        <v>23</v>
      </c>
      <c r="P639">
        <v>1</v>
      </c>
      <c r="Q639">
        <v>0</v>
      </c>
      <c r="R639">
        <v>0</v>
      </c>
      <c r="S639">
        <v>1</v>
      </c>
      <c r="T639">
        <v>1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 t="s">
        <v>4260</v>
      </c>
      <c r="AB639" t="s">
        <v>6776</v>
      </c>
      <c r="AC639" t="s">
        <v>4260</v>
      </c>
      <c r="AD639" t="e">
        <f>VLOOKUP(AB639,#REF!,2,FALSE)</f>
        <v>#REF!</v>
      </c>
      <c r="AE639" t="e">
        <f>RIGHT(#REF!,(FIND("Complex",#REF!,1)-4))</f>
        <v>#REF!</v>
      </c>
    </row>
    <row r="640" spans="1:31" x14ac:dyDescent="0.25">
      <c r="A640">
        <v>841</v>
      </c>
      <c r="B640" t="s">
        <v>53</v>
      </c>
      <c r="C640">
        <v>86</v>
      </c>
      <c r="D640">
        <v>146</v>
      </c>
      <c r="E640">
        <v>841</v>
      </c>
      <c r="F640">
        <v>9437401</v>
      </c>
      <c r="G640">
        <v>9525600</v>
      </c>
      <c r="H640">
        <f t="shared" si="18"/>
        <v>214.00002267573697</v>
      </c>
      <c r="I640">
        <f t="shared" si="19"/>
        <v>216</v>
      </c>
      <c r="J640" t="s">
        <v>29</v>
      </c>
      <c r="K640">
        <v>4</v>
      </c>
      <c r="L640" t="e">
        <f t="array" ref="L640">VLOOKUP(J640:$J$3871&amp;K640:$K$3871,CHOOSE({1,2},#REF!&amp;#REF!,#REF!),2,0)</f>
        <v>#N/A</v>
      </c>
      <c r="M640">
        <v>0</v>
      </c>
      <c r="N640">
        <v>1</v>
      </c>
      <c r="O640" t="s">
        <v>23</v>
      </c>
      <c r="P640">
        <v>1</v>
      </c>
      <c r="Q640">
        <v>0</v>
      </c>
      <c r="R640">
        <v>0</v>
      </c>
      <c r="S640">
        <v>1</v>
      </c>
      <c r="T640">
        <v>1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 t="s">
        <v>4263</v>
      </c>
      <c r="AB640" t="s">
        <v>1746</v>
      </c>
      <c r="AC640" t="s">
        <v>4263</v>
      </c>
      <c r="AD640" t="e">
        <f>VLOOKUP(AB640,#REF!,2,FALSE)</f>
        <v>#REF!</v>
      </c>
      <c r="AE640" t="e">
        <f>RIGHT(#REF!,(FIND("Complex",#REF!,1)-4))</f>
        <v>#REF!</v>
      </c>
    </row>
    <row r="641" spans="1:31" x14ac:dyDescent="0.25">
      <c r="A641">
        <v>1135</v>
      </c>
      <c r="B641" t="s">
        <v>53</v>
      </c>
      <c r="C641">
        <v>86</v>
      </c>
      <c r="D641">
        <v>194</v>
      </c>
      <c r="E641">
        <v>1135</v>
      </c>
      <c r="F641">
        <v>9261001</v>
      </c>
      <c r="G641">
        <v>9349200</v>
      </c>
      <c r="H641">
        <f t="shared" si="18"/>
        <v>210.00002267573697</v>
      </c>
      <c r="I641">
        <f t="shared" si="19"/>
        <v>212</v>
      </c>
      <c r="J641" t="s">
        <v>29</v>
      </c>
      <c r="K641">
        <v>4</v>
      </c>
      <c r="L641" t="e">
        <f t="array" ref="L641">VLOOKUP(J641:$J$3871&amp;K641:$K$3871,CHOOSE({1,2},#REF!&amp;#REF!,#REF!),2,0)</f>
        <v>#N/A</v>
      </c>
      <c r="M641">
        <v>0</v>
      </c>
      <c r="N641">
        <v>1</v>
      </c>
      <c r="O641" t="s">
        <v>23</v>
      </c>
      <c r="P641">
        <v>1</v>
      </c>
      <c r="Q641">
        <v>0</v>
      </c>
      <c r="R641">
        <v>0</v>
      </c>
      <c r="S641">
        <v>1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 t="s">
        <v>4271</v>
      </c>
      <c r="AB641" t="s">
        <v>1747</v>
      </c>
      <c r="AC641" t="s">
        <v>4271</v>
      </c>
      <c r="AD641" t="e">
        <f>VLOOKUP(AB641,#REF!,2,FALSE)</f>
        <v>#REF!</v>
      </c>
      <c r="AE641" t="e">
        <f>RIGHT(#REF!,(FIND("Complex",#REF!,1)-5))</f>
        <v>#REF!</v>
      </c>
    </row>
    <row r="642" spans="1:31" x14ac:dyDescent="0.25">
      <c r="A642">
        <v>2499</v>
      </c>
      <c r="B642" t="s">
        <v>53</v>
      </c>
      <c r="C642">
        <v>86</v>
      </c>
      <c r="D642">
        <v>484</v>
      </c>
      <c r="E642">
        <v>2499</v>
      </c>
      <c r="F642">
        <v>9172801</v>
      </c>
      <c r="G642">
        <v>9261000</v>
      </c>
      <c r="H642">
        <f t="shared" ref="H642:H705" si="20">F642/44100</f>
        <v>208.00002267573697</v>
      </c>
      <c r="I642">
        <f t="shared" ref="I642:I705" si="21">G642/44100</f>
        <v>210</v>
      </c>
      <c r="J642" t="s">
        <v>29</v>
      </c>
      <c r="K642">
        <v>4</v>
      </c>
      <c r="L642" t="e">
        <f t="array" ref="L642">VLOOKUP(J642:$J$3871&amp;K642:$K$3871,CHOOSE({1,2},#REF!&amp;#REF!,#REF!),2,0)</f>
        <v>#N/A</v>
      </c>
      <c r="M642">
        <v>0</v>
      </c>
      <c r="N642">
        <v>1</v>
      </c>
      <c r="O642" t="s">
        <v>23</v>
      </c>
      <c r="P642">
        <v>1</v>
      </c>
      <c r="Q642">
        <v>0</v>
      </c>
      <c r="R642">
        <v>0</v>
      </c>
      <c r="S642">
        <v>1</v>
      </c>
      <c r="T642">
        <v>1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 t="s">
        <v>4276</v>
      </c>
      <c r="AB642" t="s">
        <v>6786</v>
      </c>
      <c r="AC642" t="s">
        <v>4276</v>
      </c>
      <c r="AD642" t="e">
        <f>VLOOKUP(AB642,#REF!,2,FALSE)</f>
        <v>#REF!</v>
      </c>
      <c r="AE642" t="e">
        <f>RIGHT(#REF!,(FIND("Complex",#REF!,1)-5))</f>
        <v>#REF!</v>
      </c>
    </row>
    <row r="643" spans="1:31" x14ac:dyDescent="0.25">
      <c r="A643">
        <v>1826</v>
      </c>
      <c r="B643" t="s">
        <v>53</v>
      </c>
      <c r="C643">
        <v>86</v>
      </c>
      <c r="D643">
        <v>315</v>
      </c>
      <c r="E643">
        <v>1826</v>
      </c>
      <c r="F643">
        <v>8996401</v>
      </c>
      <c r="G643">
        <v>9084600</v>
      </c>
      <c r="H643">
        <f t="shared" si="20"/>
        <v>204.00002267573697</v>
      </c>
      <c r="I643">
        <f t="shared" si="21"/>
        <v>206</v>
      </c>
      <c r="J643" t="s">
        <v>29</v>
      </c>
      <c r="K643">
        <v>4</v>
      </c>
      <c r="L643" t="e">
        <f t="array" ref="L643">VLOOKUP(J643:$J$3871&amp;K643:$K$3871,CHOOSE({1,2},#REF!&amp;#REF!,#REF!),2,0)</f>
        <v>#N/A</v>
      </c>
      <c r="M643">
        <v>0</v>
      </c>
      <c r="N643">
        <v>1</v>
      </c>
      <c r="O643" t="s">
        <v>23</v>
      </c>
      <c r="P643">
        <v>1</v>
      </c>
      <c r="Q643">
        <v>0</v>
      </c>
      <c r="R643">
        <v>0</v>
      </c>
      <c r="S643">
        <v>1</v>
      </c>
      <c r="T643">
        <v>1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 t="s">
        <v>4281</v>
      </c>
      <c r="AB643" t="s">
        <v>1748</v>
      </c>
      <c r="AC643" t="s">
        <v>4281</v>
      </c>
      <c r="AD643" t="e">
        <f>VLOOKUP(AB643,#REF!,2,FALSE)</f>
        <v>#REF!</v>
      </c>
      <c r="AE643" t="e">
        <f>RIGHT(#REF!,(FIND("Complex",#REF!,1)-5))</f>
        <v>#REF!</v>
      </c>
    </row>
    <row r="644" spans="1:31" x14ac:dyDescent="0.25">
      <c r="A644">
        <v>1395</v>
      </c>
      <c r="B644" t="s">
        <v>53</v>
      </c>
      <c r="C644">
        <v>86</v>
      </c>
      <c r="D644">
        <v>234</v>
      </c>
      <c r="E644">
        <v>1395</v>
      </c>
      <c r="F644">
        <v>8908201</v>
      </c>
      <c r="G644">
        <v>8996400</v>
      </c>
      <c r="H644">
        <f t="shared" si="20"/>
        <v>202.00002267573697</v>
      </c>
      <c r="I644">
        <f t="shared" si="21"/>
        <v>204</v>
      </c>
      <c r="J644" t="s">
        <v>29</v>
      </c>
      <c r="K644">
        <v>4</v>
      </c>
      <c r="L644" t="e">
        <f t="array" ref="L644">VLOOKUP(J644:$J$3871&amp;K644:$K$3871,CHOOSE({1,2},#REF!&amp;#REF!,#REF!),2,0)</f>
        <v>#N/A</v>
      </c>
      <c r="M644">
        <v>0</v>
      </c>
      <c r="N644">
        <v>1</v>
      </c>
      <c r="O644" t="s">
        <v>23</v>
      </c>
      <c r="P644">
        <v>1</v>
      </c>
      <c r="Q644">
        <v>0</v>
      </c>
      <c r="R644">
        <v>0</v>
      </c>
      <c r="S644">
        <v>1</v>
      </c>
      <c r="T644">
        <v>1</v>
      </c>
      <c r="U644">
        <v>0</v>
      </c>
      <c r="V644">
        <v>0</v>
      </c>
      <c r="W644">
        <v>0</v>
      </c>
      <c r="X644">
        <v>1</v>
      </c>
      <c r="Y644">
        <v>0</v>
      </c>
      <c r="Z644">
        <v>0</v>
      </c>
      <c r="AA644" t="s">
        <v>4286</v>
      </c>
      <c r="AB644" t="s">
        <v>1749</v>
      </c>
      <c r="AC644" t="s">
        <v>4286</v>
      </c>
      <c r="AD644" t="e">
        <f>VLOOKUP(AB644,#REF!,2,FALSE)</f>
        <v>#REF!</v>
      </c>
      <c r="AE644" t="e">
        <f>RIGHT(#REF!,(FIND("Complex",#REF!,1)-5))</f>
        <v>#REF!</v>
      </c>
    </row>
    <row r="645" spans="1:31" x14ac:dyDescent="0.25">
      <c r="A645">
        <v>1846</v>
      </c>
      <c r="B645" t="s">
        <v>53</v>
      </c>
      <c r="C645">
        <v>86</v>
      </c>
      <c r="D645">
        <v>318</v>
      </c>
      <c r="E645">
        <v>1846</v>
      </c>
      <c r="F645">
        <v>8820001</v>
      </c>
      <c r="G645">
        <v>8908200</v>
      </c>
      <c r="H645">
        <f t="shared" si="20"/>
        <v>200.00002267573697</v>
      </c>
      <c r="I645">
        <f t="shared" si="21"/>
        <v>202</v>
      </c>
      <c r="J645" t="s">
        <v>29</v>
      </c>
      <c r="K645">
        <v>4</v>
      </c>
      <c r="L645" t="e">
        <f t="array" ref="L645">VLOOKUP(J645:$J$3871&amp;K645:$K$3871,CHOOSE({1,2},#REF!&amp;#REF!,#REF!),2,0)</f>
        <v>#N/A</v>
      </c>
      <c r="M645">
        <v>0</v>
      </c>
      <c r="N645">
        <v>1</v>
      </c>
      <c r="O645" t="s">
        <v>23</v>
      </c>
      <c r="P645">
        <v>1</v>
      </c>
      <c r="Q645">
        <v>0</v>
      </c>
      <c r="R645">
        <v>0</v>
      </c>
      <c r="S645">
        <v>1</v>
      </c>
      <c r="T645">
        <v>1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 t="s">
        <v>4294</v>
      </c>
      <c r="AB645" t="s">
        <v>1750</v>
      </c>
      <c r="AC645" t="s">
        <v>4294</v>
      </c>
      <c r="AD645" t="e">
        <f>VLOOKUP(AB645,#REF!,2,FALSE)</f>
        <v>#REF!</v>
      </c>
      <c r="AE645" t="e">
        <f>RIGHT(#REF!,(FIND("Complex",#REF!,1)-5))</f>
        <v>#REF!</v>
      </c>
    </row>
    <row r="646" spans="1:31" x14ac:dyDescent="0.25">
      <c r="A646">
        <v>2321</v>
      </c>
      <c r="B646" t="s">
        <v>53</v>
      </c>
      <c r="C646">
        <v>86</v>
      </c>
      <c r="D646">
        <v>423</v>
      </c>
      <c r="E646">
        <v>2321</v>
      </c>
      <c r="F646">
        <v>8731801</v>
      </c>
      <c r="G646">
        <v>8820000</v>
      </c>
      <c r="H646">
        <f t="shared" si="20"/>
        <v>198.00002267573697</v>
      </c>
      <c r="I646">
        <f t="shared" si="21"/>
        <v>200</v>
      </c>
      <c r="J646" t="s">
        <v>29</v>
      </c>
      <c r="K646">
        <v>4</v>
      </c>
      <c r="L646" t="e">
        <f t="array" ref="L646">VLOOKUP(J646:$J$3871&amp;K646:$K$3871,CHOOSE({1,2},#REF!&amp;#REF!,#REF!),2,0)</f>
        <v>#N/A</v>
      </c>
      <c r="M646">
        <v>0</v>
      </c>
      <c r="N646">
        <v>1</v>
      </c>
      <c r="O646" t="s">
        <v>23</v>
      </c>
      <c r="P646">
        <v>1</v>
      </c>
      <c r="Q646">
        <v>0</v>
      </c>
      <c r="R646">
        <v>0</v>
      </c>
      <c r="S646">
        <v>1</v>
      </c>
      <c r="T646">
        <v>1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 t="s">
        <v>4339</v>
      </c>
      <c r="AB646" t="s">
        <v>1751</v>
      </c>
      <c r="AC646" t="s">
        <v>4339</v>
      </c>
      <c r="AD646" t="e">
        <f>VLOOKUP(AB646,#REF!,2,FALSE)</f>
        <v>#REF!</v>
      </c>
      <c r="AE646" t="e">
        <f>RIGHT(#REF!,(FIND("Complex",#REF!,1)-5))</f>
        <v>#REF!</v>
      </c>
    </row>
    <row r="647" spans="1:31" x14ac:dyDescent="0.25">
      <c r="A647">
        <v>2396</v>
      </c>
      <c r="B647" t="s">
        <v>53</v>
      </c>
      <c r="C647">
        <v>86</v>
      </c>
      <c r="D647">
        <v>451</v>
      </c>
      <c r="E647">
        <v>2396</v>
      </c>
      <c r="F647">
        <v>8643601</v>
      </c>
      <c r="G647">
        <v>8731800</v>
      </c>
      <c r="H647">
        <f t="shared" si="20"/>
        <v>196.00002267573697</v>
      </c>
      <c r="I647">
        <f t="shared" si="21"/>
        <v>198</v>
      </c>
      <c r="J647" t="s">
        <v>29</v>
      </c>
      <c r="K647">
        <v>4</v>
      </c>
      <c r="L647" t="e">
        <f t="array" ref="L647">VLOOKUP(J647:$J$3871&amp;K647:$K$3871,CHOOSE({1,2},#REF!&amp;#REF!,#REF!),2,0)</f>
        <v>#N/A</v>
      </c>
      <c r="M647">
        <v>0</v>
      </c>
      <c r="N647">
        <v>1</v>
      </c>
      <c r="O647" t="s">
        <v>23</v>
      </c>
      <c r="P647">
        <v>1</v>
      </c>
      <c r="Q647">
        <v>0</v>
      </c>
      <c r="R647">
        <v>0</v>
      </c>
      <c r="S647">
        <v>1</v>
      </c>
      <c r="T647">
        <v>1</v>
      </c>
      <c r="U647">
        <v>0</v>
      </c>
      <c r="V647">
        <v>0</v>
      </c>
      <c r="W647">
        <v>0</v>
      </c>
      <c r="X647">
        <v>1</v>
      </c>
      <c r="Y647">
        <v>0</v>
      </c>
      <c r="Z647">
        <v>0</v>
      </c>
      <c r="AA647" t="s">
        <v>4343</v>
      </c>
      <c r="AB647" t="s">
        <v>1752</v>
      </c>
      <c r="AC647" t="s">
        <v>4343</v>
      </c>
      <c r="AD647" t="e">
        <f>VLOOKUP(AB647,#REF!,2,FALSE)</f>
        <v>#REF!</v>
      </c>
      <c r="AE647" t="e">
        <f>RIGHT(#REF!,(FIND("Complex",#REF!,1)-5))</f>
        <v>#REF!</v>
      </c>
    </row>
    <row r="648" spans="1:31" x14ac:dyDescent="0.25">
      <c r="A648">
        <v>2637</v>
      </c>
      <c r="B648" t="s">
        <v>53</v>
      </c>
      <c r="C648">
        <v>86</v>
      </c>
      <c r="D648">
        <v>535</v>
      </c>
      <c r="E648">
        <v>2637</v>
      </c>
      <c r="F648">
        <v>8555401</v>
      </c>
      <c r="G648">
        <v>8643600</v>
      </c>
      <c r="H648">
        <f t="shared" si="20"/>
        <v>194.00002267573697</v>
      </c>
      <c r="I648">
        <f t="shared" si="21"/>
        <v>196</v>
      </c>
      <c r="J648" t="s">
        <v>29</v>
      </c>
      <c r="K648">
        <v>4</v>
      </c>
      <c r="L648" t="e">
        <f t="array" ref="L648">VLOOKUP(J648:$J$3871&amp;K648:$K$3871,CHOOSE({1,2},#REF!&amp;#REF!,#REF!),2,0)</f>
        <v>#N/A</v>
      </c>
      <c r="M648">
        <v>0</v>
      </c>
      <c r="N648">
        <v>1</v>
      </c>
      <c r="O648" t="s">
        <v>23</v>
      </c>
      <c r="P648">
        <v>1</v>
      </c>
      <c r="Q648">
        <v>0</v>
      </c>
      <c r="R648">
        <v>0</v>
      </c>
      <c r="S648">
        <v>1</v>
      </c>
      <c r="T648">
        <v>1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 t="s">
        <v>4349</v>
      </c>
      <c r="AB648" t="s">
        <v>6825</v>
      </c>
      <c r="AC648" t="s">
        <v>4349</v>
      </c>
      <c r="AD648" t="e">
        <f>VLOOKUP(AB648,#REF!,2,FALSE)</f>
        <v>#REF!</v>
      </c>
      <c r="AE648" t="e">
        <f>RIGHT(#REF!,(FIND("Complex",#REF!,1)-5))</f>
        <v>#REF!</v>
      </c>
    </row>
    <row r="649" spans="1:31" x14ac:dyDescent="0.25">
      <c r="A649">
        <v>696</v>
      </c>
      <c r="B649" t="s">
        <v>53</v>
      </c>
      <c r="C649">
        <v>86</v>
      </c>
      <c r="D649">
        <v>127</v>
      </c>
      <c r="E649">
        <v>696</v>
      </c>
      <c r="F649">
        <v>8467201</v>
      </c>
      <c r="G649">
        <v>8555400</v>
      </c>
      <c r="H649">
        <f t="shared" si="20"/>
        <v>192.00002267573697</v>
      </c>
      <c r="I649">
        <f t="shared" si="21"/>
        <v>194</v>
      </c>
      <c r="J649" t="s">
        <v>29</v>
      </c>
      <c r="K649">
        <v>4</v>
      </c>
      <c r="L649" t="e">
        <f t="array" ref="L649">VLOOKUP(J649:$J$3871&amp;K649:$K$3871,CHOOSE({1,2},#REF!&amp;#REF!,#REF!),2,0)</f>
        <v>#N/A</v>
      </c>
      <c r="M649">
        <v>0</v>
      </c>
      <c r="N649">
        <v>1</v>
      </c>
      <c r="O649" t="s">
        <v>23</v>
      </c>
      <c r="P649">
        <v>1</v>
      </c>
      <c r="Q649">
        <v>0</v>
      </c>
      <c r="R649">
        <v>0</v>
      </c>
      <c r="S649">
        <v>1</v>
      </c>
      <c r="T649">
        <v>1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 t="s">
        <v>4359</v>
      </c>
      <c r="AB649" t="s">
        <v>6832</v>
      </c>
      <c r="AC649" t="s">
        <v>4359</v>
      </c>
      <c r="AD649" t="e">
        <f>VLOOKUP(AB649,#REF!,2,FALSE)</f>
        <v>#REF!</v>
      </c>
      <c r="AE649" t="e">
        <f>RIGHT(#REF!,(FIND("Complex",#REF!,1)-4))</f>
        <v>#REF!</v>
      </c>
    </row>
    <row r="650" spans="1:31" x14ac:dyDescent="0.25">
      <c r="A650">
        <v>1517</v>
      </c>
      <c r="B650" t="s">
        <v>53</v>
      </c>
      <c r="C650">
        <v>86</v>
      </c>
      <c r="D650">
        <v>254</v>
      </c>
      <c r="E650">
        <v>1517</v>
      </c>
      <c r="F650">
        <v>8290801</v>
      </c>
      <c r="G650">
        <v>8379000</v>
      </c>
      <c r="H650">
        <f t="shared" si="20"/>
        <v>188.00002267573697</v>
      </c>
      <c r="I650">
        <f t="shared" si="21"/>
        <v>190</v>
      </c>
      <c r="J650" t="s">
        <v>29</v>
      </c>
      <c r="K650">
        <v>4</v>
      </c>
      <c r="L650" t="e">
        <f t="array" ref="L650">VLOOKUP(J650:$J$3871&amp;K650:$K$3871,CHOOSE({1,2},#REF!&amp;#REF!,#REF!),2,0)</f>
        <v>#N/A</v>
      </c>
      <c r="M650">
        <v>0</v>
      </c>
      <c r="N650">
        <v>1</v>
      </c>
      <c r="O650" t="s">
        <v>23</v>
      </c>
      <c r="P650">
        <v>1</v>
      </c>
      <c r="Q650">
        <v>0</v>
      </c>
      <c r="R650">
        <v>0</v>
      </c>
      <c r="S650">
        <v>1</v>
      </c>
      <c r="T650">
        <v>1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 t="s">
        <v>4374</v>
      </c>
      <c r="AB650" t="s">
        <v>1753</v>
      </c>
      <c r="AC650" t="s">
        <v>4374</v>
      </c>
      <c r="AD650" t="e">
        <f>VLOOKUP(AB650,#REF!,2,FALSE)</f>
        <v>#REF!</v>
      </c>
      <c r="AE650" t="e">
        <f>RIGHT(#REF!,(FIND("Complex",#REF!,1)-5))</f>
        <v>#REF!</v>
      </c>
    </row>
    <row r="651" spans="1:31" x14ac:dyDescent="0.25">
      <c r="A651">
        <v>2808</v>
      </c>
      <c r="B651" t="s">
        <v>53</v>
      </c>
      <c r="C651">
        <v>86</v>
      </c>
      <c r="D651">
        <v>608</v>
      </c>
      <c r="E651">
        <v>2808</v>
      </c>
      <c r="F651">
        <v>8026201</v>
      </c>
      <c r="G651">
        <v>8114400</v>
      </c>
      <c r="H651">
        <f t="shared" si="20"/>
        <v>182.00002267573697</v>
      </c>
      <c r="I651">
        <f t="shared" si="21"/>
        <v>184</v>
      </c>
      <c r="J651" t="s">
        <v>29</v>
      </c>
      <c r="K651">
        <v>4</v>
      </c>
      <c r="L651" t="e">
        <f t="array" ref="L651">VLOOKUP(J651:$J$3871&amp;K651:$K$3871,CHOOSE({1,2},#REF!&amp;#REF!,#REF!),2,0)</f>
        <v>#N/A</v>
      </c>
      <c r="M651">
        <v>0</v>
      </c>
      <c r="N651">
        <v>1</v>
      </c>
      <c r="O651" t="s">
        <v>23</v>
      </c>
      <c r="P651">
        <v>1</v>
      </c>
      <c r="Q651">
        <v>0</v>
      </c>
      <c r="R651">
        <v>0</v>
      </c>
      <c r="S651">
        <v>1</v>
      </c>
      <c r="T651">
        <v>1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 t="s">
        <v>4390</v>
      </c>
      <c r="AB651" t="s">
        <v>1754</v>
      </c>
      <c r="AC651" t="s">
        <v>4390</v>
      </c>
      <c r="AD651" t="e">
        <f>VLOOKUP(AB651,#REF!,2,FALSE)</f>
        <v>#REF!</v>
      </c>
      <c r="AE651" t="e">
        <f>RIGHT(#REF!,(FIND("Complex",#REF!,1)-5))</f>
        <v>#REF!</v>
      </c>
    </row>
    <row r="652" spans="1:31" x14ac:dyDescent="0.25">
      <c r="A652">
        <v>2025</v>
      </c>
      <c r="B652" t="s">
        <v>53</v>
      </c>
      <c r="C652">
        <v>86</v>
      </c>
      <c r="D652">
        <v>353</v>
      </c>
      <c r="E652">
        <v>2025</v>
      </c>
      <c r="F652">
        <v>7938001</v>
      </c>
      <c r="G652">
        <v>8026200</v>
      </c>
      <c r="H652">
        <f t="shared" si="20"/>
        <v>180.00002267573697</v>
      </c>
      <c r="I652">
        <f t="shared" si="21"/>
        <v>182</v>
      </c>
      <c r="J652" t="s">
        <v>29</v>
      </c>
      <c r="K652">
        <v>4</v>
      </c>
      <c r="L652" t="e">
        <f t="array" ref="L652">VLOOKUP(J652:$J$3871&amp;K652:$K$3871,CHOOSE({1,2},#REF!&amp;#REF!,#REF!),2,0)</f>
        <v>#N/A</v>
      </c>
      <c r="M652">
        <v>0</v>
      </c>
      <c r="N652">
        <v>1</v>
      </c>
      <c r="O652" t="s">
        <v>23</v>
      </c>
      <c r="P652">
        <v>1</v>
      </c>
      <c r="Q652">
        <v>0</v>
      </c>
      <c r="R652">
        <v>0</v>
      </c>
      <c r="S652">
        <v>1</v>
      </c>
      <c r="T652">
        <v>1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 t="s">
        <v>4398</v>
      </c>
      <c r="AB652" t="s">
        <v>1755</v>
      </c>
      <c r="AC652" t="s">
        <v>4398</v>
      </c>
      <c r="AD652" t="e">
        <f>VLOOKUP(AB652,#REF!,2,FALSE)</f>
        <v>#REF!</v>
      </c>
      <c r="AE652" t="e">
        <f>RIGHT(#REF!,(FIND("Complex",#REF!,1)-5))</f>
        <v>#REF!</v>
      </c>
    </row>
    <row r="653" spans="1:31" x14ac:dyDescent="0.25">
      <c r="A653">
        <v>1932</v>
      </c>
      <c r="B653" t="s">
        <v>53</v>
      </c>
      <c r="C653">
        <v>86</v>
      </c>
      <c r="D653">
        <v>331</v>
      </c>
      <c r="E653">
        <v>1932</v>
      </c>
      <c r="F653">
        <v>7232401</v>
      </c>
      <c r="G653">
        <v>7320600</v>
      </c>
      <c r="H653">
        <f t="shared" si="20"/>
        <v>164.00002267573697</v>
      </c>
      <c r="I653">
        <f t="shared" si="21"/>
        <v>166</v>
      </c>
      <c r="J653" t="s">
        <v>29</v>
      </c>
      <c r="K653">
        <v>4</v>
      </c>
      <c r="L653" t="e">
        <f t="array" ref="L653">VLOOKUP(J653:$J$3871&amp;K653:$K$3871,CHOOSE({1,2},#REF!&amp;#REF!,#REF!),2,0)</f>
        <v>#N/A</v>
      </c>
      <c r="M653">
        <v>0</v>
      </c>
      <c r="N653">
        <v>1</v>
      </c>
      <c r="O653" t="s">
        <v>23</v>
      </c>
      <c r="P653">
        <v>1</v>
      </c>
      <c r="Q653">
        <v>0</v>
      </c>
      <c r="R653">
        <v>0</v>
      </c>
      <c r="S653">
        <v>1</v>
      </c>
      <c r="T653">
        <v>1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 t="s">
        <v>4462</v>
      </c>
      <c r="AB653" t="s">
        <v>1756</v>
      </c>
      <c r="AC653" t="s">
        <v>4462</v>
      </c>
      <c r="AD653" t="e">
        <f>VLOOKUP(AB653,#REF!,2,FALSE)</f>
        <v>#REF!</v>
      </c>
      <c r="AE653" t="e">
        <f>RIGHT(#REF!,(FIND("Complex",#REF!,1)-5))</f>
        <v>#REF!</v>
      </c>
    </row>
    <row r="654" spans="1:31" x14ac:dyDescent="0.25">
      <c r="A654">
        <v>2873</v>
      </c>
      <c r="B654" t="s">
        <v>53</v>
      </c>
      <c r="C654">
        <v>86</v>
      </c>
      <c r="D654">
        <v>628</v>
      </c>
      <c r="E654">
        <v>2873</v>
      </c>
      <c r="F654">
        <v>6879601</v>
      </c>
      <c r="G654">
        <v>6967800</v>
      </c>
      <c r="H654">
        <f t="shared" si="20"/>
        <v>156.00002267573697</v>
      </c>
      <c r="I654">
        <f t="shared" si="21"/>
        <v>158</v>
      </c>
      <c r="J654" t="s">
        <v>29</v>
      </c>
      <c r="K654">
        <v>4</v>
      </c>
      <c r="L654" t="e">
        <f t="array" ref="L654">VLOOKUP(J654:$J$3871&amp;K654:$K$3871,CHOOSE({1,2},#REF!&amp;#REF!,#REF!),2,0)</f>
        <v>#N/A</v>
      </c>
      <c r="M654">
        <v>0</v>
      </c>
      <c r="N654">
        <v>1</v>
      </c>
      <c r="O654" t="s">
        <v>23</v>
      </c>
      <c r="P654">
        <v>1</v>
      </c>
      <c r="Q654">
        <v>0</v>
      </c>
      <c r="R654">
        <v>0</v>
      </c>
      <c r="S654">
        <v>1</v>
      </c>
      <c r="T654">
        <v>1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 t="s">
        <v>4517</v>
      </c>
      <c r="AB654" t="s">
        <v>6935</v>
      </c>
      <c r="AC654" t="s">
        <v>4517</v>
      </c>
      <c r="AD654" t="e">
        <f>VLOOKUP(AB654,#REF!,2,FALSE)</f>
        <v>#REF!</v>
      </c>
      <c r="AE654" t="e">
        <f>RIGHT(#REF!,(FIND("Complex",#REF!,1)-5))</f>
        <v>#REF!</v>
      </c>
    </row>
    <row r="655" spans="1:31" x14ac:dyDescent="0.25">
      <c r="A655">
        <v>3355</v>
      </c>
      <c r="B655" t="s">
        <v>77</v>
      </c>
      <c r="C655">
        <v>87</v>
      </c>
      <c r="D655">
        <v>853</v>
      </c>
      <c r="E655">
        <v>3355</v>
      </c>
      <c r="F655">
        <v>8467201</v>
      </c>
      <c r="G655">
        <v>8555400</v>
      </c>
      <c r="H655">
        <f t="shared" si="20"/>
        <v>192.00002267573697</v>
      </c>
      <c r="I655">
        <f t="shared" si="21"/>
        <v>194</v>
      </c>
      <c r="J655" t="s">
        <v>29</v>
      </c>
      <c r="K655">
        <v>4</v>
      </c>
      <c r="L655" t="e">
        <f t="array" ref="L655">VLOOKUP(J655:$J$3871&amp;K655:$K$3871,CHOOSE({1,2},#REF!&amp;#REF!,#REF!),2,0)</f>
        <v>#N/A</v>
      </c>
      <c r="M655">
        <v>0</v>
      </c>
      <c r="N655">
        <v>1</v>
      </c>
      <c r="O655" t="s">
        <v>23</v>
      </c>
      <c r="P655">
        <v>1</v>
      </c>
      <c r="Q655">
        <v>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1</v>
      </c>
      <c r="Z655">
        <v>0</v>
      </c>
      <c r="AA655" t="s">
        <v>4358</v>
      </c>
      <c r="AB655" t="s">
        <v>1777</v>
      </c>
      <c r="AC655" t="s">
        <v>4358</v>
      </c>
      <c r="AD655" t="e">
        <f>VLOOKUP(AB655,#REF!,2,FALSE)</f>
        <v>#REF!</v>
      </c>
      <c r="AE655" t="e">
        <f>RIGHT(#REF!,(FIND("Complex",#REF!,1)-5))</f>
        <v>#REF!</v>
      </c>
    </row>
    <row r="656" spans="1:31" x14ac:dyDescent="0.25">
      <c r="A656">
        <v>3308</v>
      </c>
      <c r="B656" t="s">
        <v>77</v>
      </c>
      <c r="C656">
        <v>87</v>
      </c>
      <c r="D656">
        <v>834</v>
      </c>
      <c r="E656">
        <v>3308</v>
      </c>
      <c r="F656">
        <v>4498201</v>
      </c>
      <c r="G656">
        <v>4586400</v>
      </c>
      <c r="H656">
        <f t="shared" si="20"/>
        <v>102.00002267573696</v>
      </c>
      <c r="I656">
        <f t="shared" si="21"/>
        <v>104</v>
      </c>
      <c r="J656" t="s">
        <v>29</v>
      </c>
      <c r="K656">
        <v>4</v>
      </c>
      <c r="L656" t="e">
        <f t="array" ref="L656">VLOOKUP(J656:$J$3871&amp;K656:$K$3871,CHOOSE({1,2},#REF!&amp;#REF!,#REF!),2,0)</f>
        <v>#N/A</v>
      </c>
      <c r="M656">
        <v>0</v>
      </c>
      <c r="N656">
        <v>1</v>
      </c>
      <c r="O656" t="s">
        <v>23</v>
      </c>
      <c r="P656">
        <v>1</v>
      </c>
      <c r="Q656">
        <v>1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 t="s">
        <v>4826</v>
      </c>
      <c r="AB656" t="s">
        <v>7124</v>
      </c>
      <c r="AC656" t="s">
        <v>4826</v>
      </c>
      <c r="AD656" t="e">
        <f>VLOOKUP(AB656,#REF!,2,FALSE)</f>
        <v>#REF!</v>
      </c>
      <c r="AE656" t="e">
        <f>RIGHT(#REF!,(FIND("Complex",#REF!,1)-5))</f>
        <v>#REF!</v>
      </c>
    </row>
    <row r="657" spans="1:31" x14ac:dyDescent="0.25">
      <c r="A657">
        <v>1674</v>
      </c>
      <c r="B657" t="s">
        <v>77</v>
      </c>
      <c r="C657">
        <v>87</v>
      </c>
      <c r="D657">
        <v>288</v>
      </c>
      <c r="E657">
        <v>1674</v>
      </c>
      <c r="F657">
        <v>4410001</v>
      </c>
      <c r="G657">
        <v>4498200</v>
      </c>
      <c r="H657">
        <f t="shared" si="20"/>
        <v>100.00002267573696</v>
      </c>
      <c r="I657">
        <f t="shared" si="21"/>
        <v>102</v>
      </c>
      <c r="J657" t="s">
        <v>29</v>
      </c>
      <c r="K657">
        <v>4</v>
      </c>
      <c r="L657" t="e">
        <f t="array" ref="L657">VLOOKUP(J657:$J$3871&amp;K657:$K$3871,CHOOSE({1,2},#REF!&amp;#REF!,#REF!),2,0)</f>
        <v>#N/A</v>
      </c>
      <c r="M657">
        <v>0</v>
      </c>
      <c r="N657">
        <v>1</v>
      </c>
      <c r="O657" t="s">
        <v>23</v>
      </c>
      <c r="P657">
        <v>1</v>
      </c>
      <c r="Q657">
        <v>1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 t="s">
        <v>4835</v>
      </c>
      <c r="AB657" t="s">
        <v>7130</v>
      </c>
      <c r="AC657" t="s">
        <v>4835</v>
      </c>
      <c r="AD657" t="e">
        <f>VLOOKUP(AB657,#REF!,2,FALSE)</f>
        <v>#REF!</v>
      </c>
      <c r="AE657" t="e">
        <f>RIGHT(#REF!,(FIND("Complex",#REF!,1)-5))</f>
        <v>#REF!</v>
      </c>
    </row>
    <row r="658" spans="1:31" x14ac:dyDescent="0.25">
      <c r="A658">
        <v>2582</v>
      </c>
      <c r="B658" t="s">
        <v>76</v>
      </c>
      <c r="C658">
        <v>93</v>
      </c>
      <c r="D658">
        <v>519</v>
      </c>
      <c r="E658">
        <v>2582</v>
      </c>
      <c r="F658">
        <v>4145401</v>
      </c>
      <c r="G658">
        <v>4233600</v>
      </c>
      <c r="H658">
        <f t="shared" si="20"/>
        <v>94.000022675736957</v>
      </c>
      <c r="I658">
        <f t="shared" si="21"/>
        <v>96</v>
      </c>
      <c r="J658" t="s">
        <v>29</v>
      </c>
      <c r="K658">
        <v>4</v>
      </c>
      <c r="L658" t="e">
        <f t="array" ref="L658">VLOOKUP(J658:$J$3871&amp;K658:$K$3871,CHOOSE({1,2},#REF!&amp;#REF!,#REF!),2,0)</f>
        <v>#N/A</v>
      </c>
      <c r="M658">
        <v>0</v>
      </c>
      <c r="N658">
        <v>1</v>
      </c>
      <c r="O658" t="s">
        <v>23</v>
      </c>
      <c r="P658">
        <v>1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 t="s">
        <v>3526</v>
      </c>
      <c r="AB658" t="s">
        <v>1812</v>
      </c>
      <c r="AC658" t="s">
        <v>3526</v>
      </c>
      <c r="AD658" t="e">
        <f>VLOOKUP(AB658,#REF!,2,FALSE)</f>
        <v>#REF!</v>
      </c>
      <c r="AE658" t="e">
        <f>RIGHT(#REF!,(FIND("Complex",#REF!,1)-6))</f>
        <v>#REF!</v>
      </c>
    </row>
    <row r="659" spans="1:31" x14ac:dyDescent="0.25">
      <c r="A659">
        <v>2236</v>
      </c>
      <c r="B659" t="s">
        <v>76</v>
      </c>
      <c r="C659">
        <v>93</v>
      </c>
      <c r="D659">
        <v>408</v>
      </c>
      <c r="E659">
        <v>2236</v>
      </c>
      <c r="F659">
        <v>7056001</v>
      </c>
      <c r="G659">
        <v>7144200</v>
      </c>
      <c r="H659">
        <f t="shared" si="20"/>
        <v>160.00002267573697</v>
      </c>
      <c r="I659">
        <f t="shared" si="21"/>
        <v>162</v>
      </c>
      <c r="J659" t="s">
        <v>29</v>
      </c>
      <c r="K659">
        <v>4</v>
      </c>
      <c r="L659" t="e">
        <f t="array" ref="L659">VLOOKUP(J659:$J$3871&amp;K659:$K$3871,CHOOSE({1,2},#REF!&amp;#REF!,#REF!),2,0)</f>
        <v>#N/A</v>
      </c>
      <c r="M659">
        <v>0</v>
      </c>
      <c r="N659">
        <v>1</v>
      </c>
      <c r="O659" t="s">
        <v>23</v>
      </c>
      <c r="P659">
        <v>1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1</v>
      </c>
      <c r="Y659">
        <v>0</v>
      </c>
      <c r="Z659">
        <v>0</v>
      </c>
      <c r="AA659" t="s">
        <v>4474</v>
      </c>
      <c r="AB659" t="s">
        <v>6905</v>
      </c>
      <c r="AC659" t="s">
        <v>4474</v>
      </c>
      <c r="AD659" t="e">
        <f>VLOOKUP(AB659,#REF!,2,FALSE)</f>
        <v>#REF!</v>
      </c>
      <c r="AE659" t="e">
        <f>RIGHT(#REF!,(FIND("Complex",#REF!,1)-5))</f>
        <v>#REF!</v>
      </c>
    </row>
    <row r="660" spans="1:31" x14ac:dyDescent="0.25">
      <c r="A660">
        <v>2</v>
      </c>
      <c r="B660" t="s">
        <v>76</v>
      </c>
      <c r="C660">
        <v>93</v>
      </c>
      <c r="D660">
        <v>1</v>
      </c>
      <c r="E660">
        <v>2</v>
      </c>
      <c r="F660">
        <v>4939201</v>
      </c>
      <c r="G660">
        <v>5027400</v>
      </c>
      <c r="H660">
        <f t="shared" si="20"/>
        <v>112.00002267573696</v>
      </c>
      <c r="I660">
        <f t="shared" si="21"/>
        <v>114</v>
      </c>
      <c r="J660" t="s">
        <v>29</v>
      </c>
      <c r="K660">
        <v>4</v>
      </c>
      <c r="L660" t="e">
        <f t="array" ref="L660">VLOOKUP(J660:$J$3871&amp;K660:$K$3871,CHOOSE({1,2},#REF!&amp;#REF!,#REF!),2,0)</f>
        <v>#N/A</v>
      </c>
      <c r="M660">
        <v>0</v>
      </c>
      <c r="N660">
        <v>1</v>
      </c>
      <c r="O660" t="s">
        <v>23</v>
      </c>
      <c r="P660">
        <v>1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 t="s">
        <v>4769</v>
      </c>
      <c r="AB660" t="s">
        <v>1813</v>
      </c>
      <c r="AC660" t="s">
        <v>4769</v>
      </c>
      <c r="AD660" t="e">
        <f>VLOOKUP(AB660,#REF!,2,FALSE)</f>
        <v>#REF!</v>
      </c>
      <c r="AE660" t="e">
        <f>RIGHT(#REF!,(FIND("Complex",#REF!,1)-2))</f>
        <v>#REF!</v>
      </c>
    </row>
    <row r="661" spans="1:31" x14ac:dyDescent="0.25">
      <c r="A661">
        <v>2912</v>
      </c>
      <c r="B661" t="s">
        <v>76</v>
      </c>
      <c r="C661">
        <v>93</v>
      </c>
      <c r="D661">
        <v>642</v>
      </c>
      <c r="E661">
        <v>2912</v>
      </c>
      <c r="F661">
        <v>4674601</v>
      </c>
      <c r="G661">
        <v>4762800</v>
      </c>
      <c r="H661">
        <f t="shared" si="20"/>
        <v>106.00002267573696</v>
      </c>
      <c r="I661">
        <f t="shared" si="21"/>
        <v>108</v>
      </c>
      <c r="J661" t="s">
        <v>29</v>
      </c>
      <c r="K661">
        <v>4</v>
      </c>
      <c r="L661" t="e">
        <f t="array" ref="L661">VLOOKUP(J661:$J$3871&amp;K661:$K$3871,CHOOSE({1,2},#REF!&amp;#REF!,#REF!),2,0)</f>
        <v>#N/A</v>
      </c>
      <c r="M661">
        <v>0</v>
      </c>
      <c r="N661">
        <v>1</v>
      </c>
      <c r="O661" t="s">
        <v>23</v>
      </c>
      <c r="P661">
        <v>1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0</v>
      </c>
      <c r="AA661" t="s">
        <v>4800</v>
      </c>
      <c r="AB661" t="s">
        <v>7107</v>
      </c>
      <c r="AC661" t="s">
        <v>4800</v>
      </c>
      <c r="AD661" t="e">
        <f>VLOOKUP(AB661,#REF!,2,FALSE)</f>
        <v>#REF!</v>
      </c>
      <c r="AE661" t="e">
        <f>RIGHT(#REF!,(FIND("Complex",#REF!,1)-5))</f>
        <v>#REF!</v>
      </c>
    </row>
    <row r="662" spans="1:31" x14ac:dyDescent="0.25">
      <c r="A662">
        <v>3274</v>
      </c>
      <c r="B662" t="s">
        <v>58</v>
      </c>
      <c r="C662">
        <v>94</v>
      </c>
      <c r="D662">
        <v>815</v>
      </c>
      <c r="E662">
        <v>3274</v>
      </c>
      <c r="F662">
        <v>3087001</v>
      </c>
      <c r="G662">
        <v>3175200</v>
      </c>
      <c r="H662">
        <f t="shared" si="20"/>
        <v>70.000022675736957</v>
      </c>
      <c r="I662">
        <f t="shared" si="21"/>
        <v>72</v>
      </c>
      <c r="J662" t="s">
        <v>29</v>
      </c>
      <c r="K662">
        <v>4</v>
      </c>
      <c r="L662" t="e">
        <f t="array" ref="L662">VLOOKUP(J662:$J$3871&amp;K662:$K$3871,CHOOSE({1,2},#REF!&amp;#REF!,#REF!),2,0)</f>
        <v>#N/A</v>
      </c>
      <c r="M662">
        <v>0</v>
      </c>
      <c r="N662">
        <v>1</v>
      </c>
      <c r="O662" t="s">
        <v>23</v>
      </c>
      <c r="P662">
        <v>1</v>
      </c>
      <c r="Q662">
        <v>1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1</v>
      </c>
      <c r="Y662">
        <v>0</v>
      </c>
      <c r="Z662">
        <v>0</v>
      </c>
      <c r="AA662" t="s">
        <v>3700</v>
      </c>
      <c r="AB662" t="s">
        <v>1835</v>
      </c>
      <c r="AC662" t="s">
        <v>3700</v>
      </c>
      <c r="AD662" t="e">
        <f>VLOOKUP(AB662,#REF!,2,FALSE)</f>
        <v>#REF!</v>
      </c>
      <c r="AE662" t="e">
        <f>RIGHT(#REF!,(FIND("Complex",#REF!,1)-6))</f>
        <v>#REF!</v>
      </c>
    </row>
    <row r="663" spans="1:31" x14ac:dyDescent="0.25">
      <c r="A663">
        <v>3403</v>
      </c>
      <c r="B663" t="s">
        <v>58</v>
      </c>
      <c r="C663">
        <v>94</v>
      </c>
      <c r="D663">
        <v>877</v>
      </c>
      <c r="E663">
        <v>3403</v>
      </c>
      <c r="F663">
        <v>2734201</v>
      </c>
      <c r="G663">
        <v>2822400</v>
      </c>
      <c r="H663">
        <f t="shared" si="20"/>
        <v>62.000022675736965</v>
      </c>
      <c r="I663">
        <f t="shared" si="21"/>
        <v>64</v>
      </c>
      <c r="J663" t="s">
        <v>29</v>
      </c>
      <c r="K663">
        <v>4</v>
      </c>
      <c r="L663" t="e">
        <f t="array" ref="L663">VLOOKUP(J663:$J$3871&amp;K663:$K$3871,CHOOSE({1,2},#REF!&amp;#REF!,#REF!),2,0)</f>
        <v>#N/A</v>
      </c>
      <c r="M663">
        <v>0</v>
      </c>
      <c r="N663">
        <v>1</v>
      </c>
      <c r="O663" t="s">
        <v>23</v>
      </c>
      <c r="P663">
        <v>1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1</v>
      </c>
      <c r="Y663">
        <v>0</v>
      </c>
      <c r="Z663">
        <v>0</v>
      </c>
      <c r="AA663" t="s">
        <v>3755</v>
      </c>
      <c r="AB663" t="s">
        <v>6455</v>
      </c>
      <c r="AC663" t="s">
        <v>3755</v>
      </c>
      <c r="AD663" t="e">
        <f>VLOOKUP(AB663,#REF!,2,FALSE)</f>
        <v>#REF!</v>
      </c>
      <c r="AE663" t="e">
        <f>RIGHT(#REF!,(FIND("Complex",#REF!,1)-6))</f>
        <v>#REF!</v>
      </c>
    </row>
    <row r="664" spans="1:31" x14ac:dyDescent="0.25">
      <c r="A664">
        <v>3305</v>
      </c>
      <c r="B664" t="s">
        <v>58</v>
      </c>
      <c r="C664">
        <v>94</v>
      </c>
      <c r="D664">
        <v>831</v>
      </c>
      <c r="E664">
        <v>3305</v>
      </c>
      <c r="F664">
        <v>2116801</v>
      </c>
      <c r="G664">
        <v>2205000</v>
      </c>
      <c r="H664">
        <f t="shared" si="20"/>
        <v>48.000022675736965</v>
      </c>
      <c r="I664">
        <f t="shared" si="21"/>
        <v>50</v>
      </c>
      <c r="J664" t="s">
        <v>29</v>
      </c>
      <c r="K664">
        <v>4</v>
      </c>
      <c r="L664" t="e">
        <f t="array" ref="L664">VLOOKUP(J664:$J$3871&amp;K664:$K$3871,CHOOSE({1,2},#REF!&amp;#REF!,#REF!),2,0)</f>
        <v>#N/A</v>
      </c>
      <c r="M664">
        <v>0</v>
      </c>
      <c r="N664">
        <v>1</v>
      </c>
      <c r="O664" t="s">
        <v>23</v>
      </c>
      <c r="P664">
        <v>1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0</v>
      </c>
      <c r="Z664">
        <v>0</v>
      </c>
      <c r="AA664" t="s">
        <v>3883</v>
      </c>
      <c r="AB664" t="s">
        <v>1836</v>
      </c>
      <c r="AC664" t="s">
        <v>3883</v>
      </c>
      <c r="AD664" t="e">
        <f>VLOOKUP(AB664,#REF!,2,FALSE)</f>
        <v>#REF!</v>
      </c>
      <c r="AE664" t="e">
        <f>RIGHT(#REF!,(FIND("Complex",#REF!,1)-6))</f>
        <v>#REF!</v>
      </c>
    </row>
    <row r="665" spans="1:31" x14ac:dyDescent="0.25">
      <c r="A665">
        <v>3175</v>
      </c>
      <c r="B665" t="s">
        <v>58</v>
      </c>
      <c r="C665">
        <v>94</v>
      </c>
      <c r="D665">
        <v>761</v>
      </c>
      <c r="E665">
        <v>3175</v>
      </c>
      <c r="F665">
        <v>10672201</v>
      </c>
      <c r="G665">
        <v>10760400</v>
      </c>
      <c r="H665">
        <f t="shared" si="20"/>
        <v>242.00002267573697</v>
      </c>
      <c r="I665">
        <f t="shared" si="21"/>
        <v>244</v>
      </c>
      <c r="J665" t="s">
        <v>29</v>
      </c>
      <c r="K665">
        <v>4</v>
      </c>
      <c r="L665" t="e">
        <f t="array" ref="L665">VLOOKUP(J665:$J$3871&amp;K665:$K$3871,CHOOSE({1,2},#REF!&amp;#REF!,#REF!),2,0)</f>
        <v>#N/A</v>
      </c>
      <c r="M665">
        <v>0</v>
      </c>
      <c r="N665">
        <v>1</v>
      </c>
      <c r="O665" t="s">
        <v>23</v>
      </c>
      <c r="P665">
        <v>1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1</v>
      </c>
      <c r="Y665">
        <v>0</v>
      </c>
      <c r="Z665">
        <v>0</v>
      </c>
      <c r="AA665" t="s">
        <v>4172</v>
      </c>
      <c r="AB665" t="s">
        <v>6719</v>
      </c>
      <c r="AC665" t="s">
        <v>4172</v>
      </c>
      <c r="AD665" t="e">
        <f>VLOOKUP(AB665,#REF!,2,FALSE)</f>
        <v>#REF!</v>
      </c>
      <c r="AE665" t="e">
        <f>RIGHT(#REF!,(FIND("Complex",#REF!,1)-5))</f>
        <v>#REF!</v>
      </c>
    </row>
    <row r="666" spans="1:31" x14ac:dyDescent="0.25">
      <c r="A666">
        <v>2383</v>
      </c>
      <c r="B666" t="s">
        <v>58</v>
      </c>
      <c r="C666">
        <v>94</v>
      </c>
      <c r="D666">
        <v>446</v>
      </c>
      <c r="E666">
        <v>2383</v>
      </c>
      <c r="F666">
        <v>8820001</v>
      </c>
      <c r="G666">
        <v>8908200</v>
      </c>
      <c r="H666">
        <f t="shared" si="20"/>
        <v>200.00002267573697</v>
      </c>
      <c r="I666">
        <f t="shared" si="21"/>
        <v>202</v>
      </c>
      <c r="J666" t="s">
        <v>29</v>
      </c>
      <c r="K666">
        <v>4</v>
      </c>
      <c r="L666" t="e">
        <f t="array" ref="L666">VLOOKUP(J666:$J$3871&amp;K666:$K$3871,CHOOSE({1,2},#REF!&amp;#REF!,#REF!),2,0)</f>
        <v>#N/A</v>
      </c>
      <c r="M666">
        <v>0</v>
      </c>
      <c r="N666">
        <v>1</v>
      </c>
      <c r="O666" t="s">
        <v>23</v>
      </c>
      <c r="P666">
        <v>1</v>
      </c>
      <c r="Q666">
        <v>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1</v>
      </c>
      <c r="Y666">
        <v>0</v>
      </c>
      <c r="Z666">
        <v>0</v>
      </c>
      <c r="AA666" t="s">
        <v>4293</v>
      </c>
      <c r="AB666" t="s">
        <v>6798</v>
      </c>
      <c r="AC666" t="s">
        <v>4293</v>
      </c>
      <c r="AD666" t="e">
        <f>VLOOKUP(AB666,#REF!,2,FALSE)</f>
        <v>#REF!</v>
      </c>
      <c r="AE666" t="e">
        <f>RIGHT(#REF!,(FIND("Complex",#REF!,1)-5))</f>
        <v>#REF!</v>
      </c>
    </row>
    <row r="667" spans="1:31" x14ac:dyDescent="0.25">
      <c r="A667">
        <v>3052</v>
      </c>
      <c r="B667" t="s">
        <v>58</v>
      </c>
      <c r="C667">
        <v>94</v>
      </c>
      <c r="D667">
        <v>703</v>
      </c>
      <c r="E667">
        <v>3052</v>
      </c>
      <c r="F667">
        <v>7144201</v>
      </c>
      <c r="G667">
        <v>7232400</v>
      </c>
      <c r="H667">
        <f t="shared" si="20"/>
        <v>162.00002267573697</v>
      </c>
      <c r="I667">
        <f t="shared" si="21"/>
        <v>164</v>
      </c>
      <c r="J667" t="s">
        <v>29</v>
      </c>
      <c r="K667">
        <v>4</v>
      </c>
      <c r="L667" t="e">
        <f t="array" ref="L667">VLOOKUP(J667:$J$3871&amp;K667:$K$3871,CHOOSE({1,2},#REF!&amp;#REF!,#REF!),2,0)</f>
        <v>#N/A</v>
      </c>
      <c r="M667">
        <v>0</v>
      </c>
      <c r="N667">
        <v>1</v>
      </c>
      <c r="O667" t="s">
        <v>23</v>
      </c>
      <c r="P667">
        <v>1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1</v>
      </c>
      <c r="Y667">
        <v>0</v>
      </c>
      <c r="Z667">
        <v>0</v>
      </c>
      <c r="AA667" t="s">
        <v>4468</v>
      </c>
      <c r="AB667" t="s">
        <v>6901</v>
      </c>
      <c r="AC667" t="s">
        <v>4468</v>
      </c>
      <c r="AD667" t="e">
        <f>VLOOKUP(AB667,#REF!,2,FALSE)</f>
        <v>#REF!</v>
      </c>
      <c r="AE667" t="e">
        <f>RIGHT(#REF!,(FIND("Complex",#REF!,1)-5))</f>
        <v>#REF!</v>
      </c>
    </row>
    <row r="668" spans="1:31" x14ac:dyDescent="0.25">
      <c r="A668">
        <v>2343</v>
      </c>
      <c r="B668" t="s">
        <v>270</v>
      </c>
      <c r="C668">
        <v>95</v>
      </c>
      <c r="D668">
        <v>430</v>
      </c>
      <c r="E668">
        <v>2343</v>
      </c>
      <c r="F668">
        <v>2646001</v>
      </c>
      <c r="G668">
        <v>2734200</v>
      </c>
      <c r="H668">
        <f t="shared" si="20"/>
        <v>60.000022675736965</v>
      </c>
      <c r="I668">
        <f t="shared" si="21"/>
        <v>62</v>
      </c>
      <c r="J668" t="s">
        <v>29</v>
      </c>
      <c r="K668">
        <v>4</v>
      </c>
      <c r="L668" t="e">
        <f t="array" ref="L668">VLOOKUP(J668:$J$3871&amp;K668:$K$3871,CHOOSE({1,2},#REF!&amp;#REF!,#REF!),2,0)</f>
        <v>#N/A</v>
      </c>
      <c r="M668">
        <v>0</v>
      </c>
      <c r="N668">
        <v>1</v>
      </c>
      <c r="O668" t="s">
        <v>23</v>
      </c>
      <c r="P668">
        <v>1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 t="s">
        <v>3773</v>
      </c>
      <c r="AB668" t="s">
        <v>6467</v>
      </c>
      <c r="AC668" t="s">
        <v>3773</v>
      </c>
      <c r="AD668" t="e">
        <f>VLOOKUP(AB668,#REF!,2,FALSE)</f>
        <v>#REF!</v>
      </c>
      <c r="AE668" t="e">
        <f>RIGHT(#REF!,(FIND("Complex",#REF!,1)-6))</f>
        <v>#REF!</v>
      </c>
    </row>
    <row r="669" spans="1:31" x14ac:dyDescent="0.25">
      <c r="A669">
        <v>1967</v>
      </c>
      <c r="B669" t="s">
        <v>270</v>
      </c>
      <c r="C669">
        <v>95</v>
      </c>
      <c r="D669">
        <v>335</v>
      </c>
      <c r="E669">
        <v>1967</v>
      </c>
      <c r="F669">
        <v>2293201</v>
      </c>
      <c r="G669">
        <v>2381400</v>
      </c>
      <c r="H669">
        <f t="shared" si="20"/>
        <v>52.000022675736965</v>
      </c>
      <c r="I669">
        <f t="shared" si="21"/>
        <v>54</v>
      </c>
      <c r="J669" t="s">
        <v>29</v>
      </c>
      <c r="K669">
        <v>4</v>
      </c>
      <c r="L669" t="e">
        <f t="array" ref="L669">VLOOKUP(J669:$J$3871&amp;K669:$K$3871,CHOOSE({1,2},#REF!&amp;#REF!,#REF!),2,0)</f>
        <v>#N/A</v>
      </c>
      <c r="M669">
        <v>0</v>
      </c>
      <c r="N669">
        <v>1</v>
      </c>
      <c r="O669" t="s">
        <v>23</v>
      </c>
      <c r="P669">
        <v>1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1</v>
      </c>
      <c r="Y669">
        <v>0</v>
      </c>
      <c r="Z669">
        <v>0</v>
      </c>
      <c r="AA669" t="s">
        <v>3853</v>
      </c>
      <c r="AB669" t="s">
        <v>1839</v>
      </c>
      <c r="AC669" t="s">
        <v>3853</v>
      </c>
      <c r="AD669" t="e">
        <f>VLOOKUP(AB669,#REF!,2,FALSE)</f>
        <v>#REF!</v>
      </c>
      <c r="AE669" t="e">
        <f>RIGHT(#REF!,(FIND("Complex",#REF!,1)-6))</f>
        <v>#REF!</v>
      </c>
    </row>
    <row r="670" spans="1:31" x14ac:dyDescent="0.25">
      <c r="A670">
        <v>2424</v>
      </c>
      <c r="B670" t="s">
        <v>270</v>
      </c>
      <c r="C670">
        <v>95</v>
      </c>
      <c r="D670">
        <v>457</v>
      </c>
      <c r="E670">
        <v>2424</v>
      </c>
      <c r="F670">
        <v>1764001</v>
      </c>
      <c r="G670">
        <v>1852200</v>
      </c>
      <c r="H670">
        <f t="shared" si="20"/>
        <v>40.000022675736965</v>
      </c>
      <c r="I670">
        <f t="shared" si="21"/>
        <v>42</v>
      </c>
      <c r="J670" t="s">
        <v>29</v>
      </c>
      <c r="K670">
        <v>4</v>
      </c>
      <c r="L670" t="e">
        <f t="array" ref="L670">VLOOKUP(J670:$J$3871&amp;K670:$K$3871,CHOOSE({1,2},#REF!&amp;#REF!,#REF!),2,0)</f>
        <v>#N/A</v>
      </c>
      <c r="M670">
        <v>0</v>
      </c>
      <c r="N670">
        <v>1</v>
      </c>
      <c r="O670" t="s">
        <v>23</v>
      </c>
      <c r="P670">
        <v>1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1</v>
      </c>
      <c r="Y670">
        <v>0</v>
      </c>
      <c r="Z670">
        <v>0</v>
      </c>
      <c r="AA670" t="s">
        <v>3937</v>
      </c>
      <c r="AB670" t="s">
        <v>6562</v>
      </c>
      <c r="AC670" t="s">
        <v>3937</v>
      </c>
      <c r="AD670" t="e">
        <f>VLOOKUP(AB670,#REF!,2,FALSE)</f>
        <v>#REF!</v>
      </c>
      <c r="AE670" t="e">
        <f>RIGHT(#REF!,(FIND("Complex",#REF!,1)-6))</f>
        <v>#REF!</v>
      </c>
    </row>
    <row r="671" spans="1:31" x14ac:dyDescent="0.25">
      <c r="A671">
        <v>3065</v>
      </c>
      <c r="B671" t="s">
        <v>270</v>
      </c>
      <c r="C671">
        <v>95</v>
      </c>
      <c r="D671">
        <v>711</v>
      </c>
      <c r="E671">
        <v>3065</v>
      </c>
      <c r="F671">
        <v>9878401</v>
      </c>
      <c r="G671">
        <v>9966600</v>
      </c>
      <c r="H671">
        <f t="shared" si="20"/>
        <v>224.00002267573697</v>
      </c>
      <c r="I671">
        <f t="shared" si="21"/>
        <v>226</v>
      </c>
      <c r="J671" t="s">
        <v>29</v>
      </c>
      <c r="K671">
        <v>4</v>
      </c>
      <c r="L671" t="e">
        <f t="array" ref="L671">VLOOKUP(J671:$J$3871&amp;K671:$K$3871,CHOOSE({1,2},#REF!&amp;#REF!,#REF!),2,0)</f>
        <v>#N/A</v>
      </c>
      <c r="M671">
        <v>0</v>
      </c>
      <c r="N671">
        <v>1</v>
      </c>
      <c r="O671" t="s">
        <v>23</v>
      </c>
      <c r="P671">
        <v>1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1</v>
      </c>
      <c r="Y671">
        <v>0</v>
      </c>
      <c r="Z671">
        <v>0</v>
      </c>
      <c r="AA671" t="s">
        <v>4224</v>
      </c>
      <c r="AB671" t="s">
        <v>1840</v>
      </c>
      <c r="AC671" t="s">
        <v>4224</v>
      </c>
      <c r="AD671" t="e">
        <f>VLOOKUP(AB671,#REF!,2,FALSE)</f>
        <v>#REF!</v>
      </c>
      <c r="AE671" t="e">
        <f>RIGHT(#REF!,(FIND("Complex",#REF!,1)-5))</f>
        <v>#REF!</v>
      </c>
    </row>
    <row r="672" spans="1:31" x14ac:dyDescent="0.25">
      <c r="A672">
        <v>812</v>
      </c>
      <c r="B672" t="s">
        <v>270</v>
      </c>
      <c r="C672">
        <v>95</v>
      </c>
      <c r="D672">
        <v>141</v>
      </c>
      <c r="E672">
        <v>812</v>
      </c>
      <c r="F672">
        <v>9790201</v>
      </c>
      <c r="G672">
        <v>9878400</v>
      </c>
      <c r="H672">
        <f t="shared" si="20"/>
        <v>222.00002267573697</v>
      </c>
      <c r="I672">
        <f t="shared" si="21"/>
        <v>224</v>
      </c>
      <c r="J672" t="s">
        <v>29</v>
      </c>
      <c r="K672">
        <v>4</v>
      </c>
      <c r="L672" t="e">
        <f t="array" ref="L672">VLOOKUP(J672:$J$3871&amp;K672:$K$3871,CHOOSE({1,2},#REF!&amp;#REF!,#REF!),2,0)</f>
        <v>#N/A</v>
      </c>
      <c r="M672">
        <v>0</v>
      </c>
      <c r="N672">
        <v>1</v>
      </c>
      <c r="O672" t="s">
        <v>23</v>
      </c>
      <c r="P672">
        <v>1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1</v>
      </c>
      <c r="Y672">
        <v>0</v>
      </c>
      <c r="Z672">
        <v>0</v>
      </c>
      <c r="AA672" t="s">
        <v>4229</v>
      </c>
      <c r="AB672" t="s">
        <v>1841</v>
      </c>
      <c r="AC672" t="s">
        <v>4229</v>
      </c>
      <c r="AD672" t="e">
        <f>VLOOKUP(AB672,#REF!,2,FALSE)</f>
        <v>#REF!</v>
      </c>
      <c r="AE672" t="e">
        <f>RIGHT(#REF!,(FIND("Complex",#REF!,1)-4))</f>
        <v>#REF!</v>
      </c>
    </row>
    <row r="673" spans="1:31" x14ac:dyDescent="0.25">
      <c r="A673">
        <v>988</v>
      </c>
      <c r="B673" t="s">
        <v>270</v>
      </c>
      <c r="C673">
        <v>95</v>
      </c>
      <c r="D673">
        <v>174</v>
      </c>
      <c r="E673">
        <v>988</v>
      </c>
      <c r="F673">
        <v>9349201</v>
      </c>
      <c r="G673">
        <v>9437400</v>
      </c>
      <c r="H673">
        <f t="shared" si="20"/>
        <v>212.00002267573697</v>
      </c>
      <c r="I673">
        <f t="shared" si="21"/>
        <v>214</v>
      </c>
      <c r="J673" t="s">
        <v>29</v>
      </c>
      <c r="K673">
        <v>4</v>
      </c>
      <c r="L673" t="e">
        <f t="array" ref="L673">VLOOKUP(J673:$J$3871&amp;K673:$K$3871,CHOOSE({1,2},#REF!&amp;#REF!,#REF!),2,0)</f>
        <v>#N/A</v>
      </c>
      <c r="M673">
        <v>0</v>
      </c>
      <c r="N673">
        <v>1</v>
      </c>
      <c r="O673" t="s">
        <v>23</v>
      </c>
      <c r="P673">
        <v>1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1</v>
      </c>
      <c r="Y673">
        <v>0</v>
      </c>
      <c r="Z673">
        <v>0</v>
      </c>
      <c r="AA673" t="s">
        <v>4268</v>
      </c>
      <c r="AB673" t="s">
        <v>1842</v>
      </c>
      <c r="AC673" t="s">
        <v>4268</v>
      </c>
      <c r="AD673" t="e">
        <f>VLOOKUP(AB673,#REF!,2,FALSE)</f>
        <v>#REF!</v>
      </c>
      <c r="AE673" t="e">
        <f>RIGHT(#REF!,(FIND("Complex",#REF!,1)-4))</f>
        <v>#REF!</v>
      </c>
    </row>
    <row r="674" spans="1:31" x14ac:dyDescent="0.25">
      <c r="A674">
        <v>1158</v>
      </c>
      <c r="B674" t="s">
        <v>270</v>
      </c>
      <c r="C674">
        <v>95</v>
      </c>
      <c r="D674">
        <v>197</v>
      </c>
      <c r="E674">
        <v>1158</v>
      </c>
      <c r="F674">
        <v>6085801</v>
      </c>
      <c r="G674">
        <v>6174000</v>
      </c>
      <c r="H674">
        <f t="shared" si="20"/>
        <v>138.00002267573697</v>
      </c>
      <c r="I674">
        <f t="shared" si="21"/>
        <v>140</v>
      </c>
      <c r="J674" t="s">
        <v>29</v>
      </c>
      <c r="K674">
        <v>4</v>
      </c>
      <c r="L674" t="e">
        <f t="array" ref="L674">VLOOKUP(J674:$J$3871&amp;K674:$K$3871,CHOOSE({1,2},#REF!&amp;#REF!,#REF!),2,0)</f>
        <v>#N/A</v>
      </c>
      <c r="M674">
        <v>0</v>
      </c>
      <c r="N674">
        <v>1</v>
      </c>
      <c r="O674" t="s">
        <v>23</v>
      </c>
      <c r="P674">
        <v>1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1</v>
      </c>
      <c r="Y674">
        <v>0</v>
      </c>
      <c r="Z674">
        <v>0</v>
      </c>
      <c r="AA674" t="s">
        <v>4627</v>
      </c>
      <c r="AB674" t="s">
        <v>7004</v>
      </c>
      <c r="AC674" t="s">
        <v>4627</v>
      </c>
      <c r="AD674" t="e">
        <f>VLOOKUP(AB674,#REF!,2,FALSE)</f>
        <v>#REF!</v>
      </c>
      <c r="AE674" t="e">
        <f>RIGHT(#REF!,(FIND("Complex",#REF!,1)-5))</f>
        <v>#REF!</v>
      </c>
    </row>
    <row r="675" spans="1:31" x14ac:dyDescent="0.25">
      <c r="A675">
        <v>2713</v>
      </c>
      <c r="B675" t="s">
        <v>270</v>
      </c>
      <c r="C675">
        <v>95</v>
      </c>
      <c r="D675">
        <v>565</v>
      </c>
      <c r="E675">
        <v>2713</v>
      </c>
      <c r="F675">
        <v>5909401</v>
      </c>
      <c r="G675">
        <v>5997600</v>
      </c>
      <c r="H675">
        <f t="shared" si="20"/>
        <v>134.00002267573697</v>
      </c>
      <c r="I675">
        <f t="shared" si="21"/>
        <v>136</v>
      </c>
      <c r="J675" t="s">
        <v>29</v>
      </c>
      <c r="K675">
        <v>4</v>
      </c>
      <c r="L675" t="e">
        <f t="array" ref="L675">VLOOKUP(J675:$J$3871&amp;K675:$K$3871,CHOOSE({1,2},#REF!&amp;#REF!,#REF!),2,0)</f>
        <v>#N/A</v>
      </c>
      <c r="M675">
        <v>0</v>
      </c>
      <c r="N675">
        <v>1</v>
      </c>
      <c r="O675" t="s">
        <v>23</v>
      </c>
      <c r="P675">
        <v>1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1</v>
      </c>
      <c r="Y675">
        <v>0</v>
      </c>
      <c r="Z675">
        <v>0</v>
      </c>
      <c r="AA675" t="s">
        <v>4651</v>
      </c>
      <c r="AB675" t="s">
        <v>271</v>
      </c>
      <c r="AC675" t="s">
        <v>4651</v>
      </c>
      <c r="AD675" t="e">
        <f>VLOOKUP(AB675,#REF!,2,FALSE)</f>
        <v>#REF!</v>
      </c>
      <c r="AE675" t="e">
        <f>RIGHT(#REF!,(FIND("Complex",#REF!,1)-5))</f>
        <v>#REF!</v>
      </c>
    </row>
    <row r="676" spans="1:31" x14ac:dyDescent="0.25">
      <c r="A676">
        <v>2029</v>
      </c>
      <c r="B676" t="s">
        <v>270</v>
      </c>
      <c r="C676">
        <v>95</v>
      </c>
      <c r="D676">
        <v>355</v>
      </c>
      <c r="E676">
        <v>2029</v>
      </c>
      <c r="F676">
        <v>5821201</v>
      </c>
      <c r="G676">
        <v>5909400</v>
      </c>
      <c r="H676">
        <f t="shared" si="20"/>
        <v>132.00002267573697</v>
      </c>
      <c r="I676">
        <f t="shared" si="21"/>
        <v>134</v>
      </c>
      <c r="J676" t="s">
        <v>29</v>
      </c>
      <c r="K676">
        <v>4</v>
      </c>
      <c r="L676" t="e">
        <f t="array" ref="L676">VLOOKUP(J676:$J$3871&amp;K676:$K$3871,CHOOSE({1,2},#REF!&amp;#REF!,#REF!),2,0)</f>
        <v>#N/A</v>
      </c>
      <c r="M676">
        <v>0</v>
      </c>
      <c r="N676">
        <v>1</v>
      </c>
      <c r="O676" t="s">
        <v>23</v>
      </c>
      <c r="P676">
        <v>1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1</v>
      </c>
      <c r="X676">
        <v>1</v>
      </c>
      <c r="Y676">
        <v>0</v>
      </c>
      <c r="Z676">
        <v>0</v>
      </c>
      <c r="AA676" t="s">
        <v>4661</v>
      </c>
      <c r="AB676" t="s">
        <v>1843</v>
      </c>
      <c r="AC676" t="s">
        <v>4661</v>
      </c>
      <c r="AD676" t="e">
        <f>VLOOKUP(AB676,#REF!,2,FALSE)</f>
        <v>#REF!</v>
      </c>
      <c r="AE676" t="e">
        <f>RIGHT(#REF!,(FIND("Complex",#REF!,1)-5))</f>
        <v>#REF!</v>
      </c>
    </row>
    <row r="677" spans="1:31" x14ac:dyDescent="0.25">
      <c r="A677">
        <v>2131</v>
      </c>
      <c r="B677" t="s">
        <v>270</v>
      </c>
      <c r="C677">
        <v>95</v>
      </c>
      <c r="D677">
        <v>383</v>
      </c>
      <c r="E677">
        <v>2131</v>
      </c>
      <c r="F677">
        <v>5733001</v>
      </c>
      <c r="G677">
        <v>5821200</v>
      </c>
      <c r="H677">
        <f t="shared" si="20"/>
        <v>130.00002267573697</v>
      </c>
      <c r="I677">
        <f t="shared" si="21"/>
        <v>132</v>
      </c>
      <c r="J677" t="s">
        <v>29</v>
      </c>
      <c r="K677">
        <v>4</v>
      </c>
      <c r="L677" t="e">
        <f t="array" ref="L677">VLOOKUP(J677:$J$3871&amp;K677:$K$3871,CHOOSE({1,2},#REF!&amp;#REF!,#REF!),2,0)</f>
        <v>#N/A</v>
      </c>
      <c r="M677">
        <v>0</v>
      </c>
      <c r="N677">
        <v>1</v>
      </c>
      <c r="O677" t="s">
        <v>23</v>
      </c>
      <c r="P677">
        <v>1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1</v>
      </c>
      <c r="X677">
        <v>1</v>
      </c>
      <c r="Y677">
        <v>0</v>
      </c>
      <c r="Z677">
        <v>0</v>
      </c>
      <c r="AA677" t="s">
        <v>4670</v>
      </c>
      <c r="AB677" t="s">
        <v>7036</v>
      </c>
      <c r="AC677" t="s">
        <v>4670</v>
      </c>
      <c r="AD677" t="e">
        <f>VLOOKUP(AB677,#REF!,2,FALSE)</f>
        <v>#REF!</v>
      </c>
      <c r="AE677" t="e">
        <f>RIGHT(#REF!,(FIND("Complex",#REF!,1)-5))</f>
        <v>#REF!</v>
      </c>
    </row>
    <row r="678" spans="1:31" x14ac:dyDescent="0.25">
      <c r="A678">
        <v>3114</v>
      </c>
      <c r="B678" t="s">
        <v>270</v>
      </c>
      <c r="C678">
        <v>95</v>
      </c>
      <c r="D678">
        <v>731</v>
      </c>
      <c r="E678">
        <v>3114</v>
      </c>
      <c r="F678">
        <v>5556601</v>
      </c>
      <c r="G678">
        <v>5644800</v>
      </c>
      <c r="H678">
        <f t="shared" si="20"/>
        <v>126.00002267573696</v>
      </c>
      <c r="I678">
        <f t="shared" si="21"/>
        <v>128</v>
      </c>
      <c r="J678" t="s">
        <v>29</v>
      </c>
      <c r="K678">
        <v>4</v>
      </c>
      <c r="L678" t="e">
        <f t="array" ref="L678">VLOOKUP(J678:$J$3871&amp;K678:$K$3871,CHOOSE({1,2},#REF!&amp;#REF!,#REF!),2,0)</f>
        <v>#N/A</v>
      </c>
      <c r="M678">
        <v>0</v>
      </c>
      <c r="N678">
        <v>1</v>
      </c>
      <c r="O678" t="s">
        <v>23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1</v>
      </c>
      <c r="Y678">
        <v>0</v>
      </c>
      <c r="Z678">
        <v>0</v>
      </c>
      <c r="AA678" t="s">
        <v>4689</v>
      </c>
      <c r="AB678" t="s">
        <v>7047</v>
      </c>
      <c r="AC678" t="s">
        <v>4689</v>
      </c>
      <c r="AD678" t="e">
        <f>VLOOKUP(AB678,#REF!,2,FALSE)</f>
        <v>#REF!</v>
      </c>
      <c r="AE678" t="e">
        <f>RIGHT(#REF!,(FIND("Complex",#REF!,1)-5))</f>
        <v>#REF!</v>
      </c>
    </row>
    <row r="679" spans="1:31" x14ac:dyDescent="0.25">
      <c r="A679">
        <v>2368</v>
      </c>
      <c r="B679" t="s">
        <v>270</v>
      </c>
      <c r="C679">
        <v>95</v>
      </c>
      <c r="D679">
        <v>437</v>
      </c>
      <c r="E679">
        <v>2368</v>
      </c>
      <c r="F679">
        <v>5292001</v>
      </c>
      <c r="G679">
        <v>5380200</v>
      </c>
      <c r="H679">
        <f t="shared" si="20"/>
        <v>120.00002267573696</v>
      </c>
      <c r="I679">
        <f t="shared" si="21"/>
        <v>122</v>
      </c>
      <c r="J679" t="s">
        <v>29</v>
      </c>
      <c r="K679">
        <v>4</v>
      </c>
      <c r="L679" t="e">
        <f t="array" ref="L679">VLOOKUP(J679:$J$3871&amp;K679:$K$3871,CHOOSE({1,2},#REF!&amp;#REF!,#REF!),2,0)</f>
        <v>#N/A</v>
      </c>
      <c r="M679">
        <v>0</v>
      </c>
      <c r="N679">
        <v>1</v>
      </c>
      <c r="O679" t="s">
        <v>23</v>
      </c>
      <c r="P679">
        <v>1</v>
      </c>
      <c r="Q679">
        <v>0</v>
      </c>
      <c r="R679">
        <v>0</v>
      </c>
      <c r="S679">
        <v>1</v>
      </c>
      <c r="T679">
        <v>0</v>
      </c>
      <c r="U679">
        <v>0</v>
      </c>
      <c r="V679">
        <v>0</v>
      </c>
      <c r="W679">
        <v>1</v>
      </c>
      <c r="X679">
        <v>1</v>
      </c>
      <c r="Y679">
        <v>0</v>
      </c>
      <c r="Z679">
        <v>0</v>
      </c>
      <c r="AA679" t="s">
        <v>4711</v>
      </c>
      <c r="AB679" t="s">
        <v>7061</v>
      </c>
      <c r="AC679" t="s">
        <v>4711</v>
      </c>
      <c r="AD679" t="e">
        <f>VLOOKUP(AB679,#REF!,2,FALSE)</f>
        <v>#REF!</v>
      </c>
      <c r="AE679" t="e">
        <f>RIGHT(#REF!,(FIND("Complex",#REF!,1)-5))</f>
        <v>#REF!</v>
      </c>
    </row>
    <row r="680" spans="1:31" x14ac:dyDescent="0.25">
      <c r="A680">
        <v>2954</v>
      </c>
      <c r="B680" t="s">
        <v>270</v>
      </c>
      <c r="C680">
        <v>95</v>
      </c>
      <c r="D680">
        <v>658</v>
      </c>
      <c r="E680">
        <v>2954</v>
      </c>
      <c r="F680">
        <v>5115601</v>
      </c>
      <c r="G680">
        <v>5203800</v>
      </c>
      <c r="H680">
        <f t="shared" si="20"/>
        <v>116.00002267573696</v>
      </c>
      <c r="I680">
        <f t="shared" si="21"/>
        <v>118</v>
      </c>
      <c r="J680" t="s">
        <v>29</v>
      </c>
      <c r="K680">
        <v>4</v>
      </c>
      <c r="L680" t="e">
        <f t="array" ref="L680">VLOOKUP(J680:$J$3871&amp;K680:$K$3871,CHOOSE({1,2},#REF!&amp;#REF!,#REF!),2,0)</f>
        <v>#N/A</v>
      </c>
      <c r="M680">
        <v>0</v>
      </c>
      <c r="N680">
        <v>1</v>
      </c>
      <c r="O680" t="s">
        <v>23</v>
      </c>
      <c r="P680">
        <v>1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1</v>
      </c>
      <c r="X680">
        <v>1</v>
      </c>
      <c r="Y680">
        <v>0</v>
      </c>
      <c r="Z680">
        <v>0</v>
      </c>
      <c r="AA680" t="s">
        <v>4752</v>
      </c>
      <c r="AB680" t="s">
        <v>1844</v>
      </c>
      <c r="AC680" t="s">
        <v>4752</v>
      </c>
      <c r="AD680" t="e">
        <f>VLOOKUP(AB680,#REF!,2,FALSE)</f>
        <v>#REF!</v>
      </c>
      <c r="AE680" t="e">
        <f>RIGHT(#REF!,(FIND("Complex",#REF!,1)-5))</f>
        <v>#REF!</v>
      </c>
    </row>
    <row r="681" spans="1:31" x14ac:dyDescent="0.25">
      <c r="A681">
        <v>3380</v>
      </c>
      <c r="B681" t="s">
        <v>270</v>
      </c>
      <c r="C681">
        <v>95</v>
      </c>
      <c r="D681">
        <v>865</v>
      </c>
      <c r="E681">
        <v>3380</v>
      </c>
      <c r="F681">
        <v>4939201</v>
      </c>
      <c r="G681">
        <v>5027400</v>
      </c>
      <c r="H681">
        <f t="shared" si="20"/>
        <v>112.00002267573696</v>
      </c>
      <c r="I681">
        <f t="shared" si="21"/>
        <v>114</v>
      </c>
      <c r="J681" t="s">
        <v>29</v>
      </c>
      <c r="K681">
        <v>4</v>
      </c>
      <c r="L681" t="e">
        <f t="array" ref="L681">VLOOKUP(J681:$J$3871&amp;K681:$K$3871,CHOOSE({1,2},#REF!&amp;#REF!,#REF!),2,0)</f>
        <v>#N/A</v>
      </c>
      <c r="M681">
        <v>0</v>
      </c>
      <c r="N681">
        <v>1</v>
      </c>
      <c r="O681" t="s">
        <v>23</v>
      </c>
      <c r="P681">
        <v>1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1</v>
      </c>
      <c r="X681">
        <v>1</v>
      </c>
      <c r="Y681">
        <v>0</v>
      </c>
      <c r="Z681">
        <v>0</v>
      </c>
      <c r="AA681" t="s">
        <v>4768</v>
      </c>
      <c r="AB681" t="s">
        <v>7091</v>
      </c>
      <c r="AC681" t="s">
        <v>4768</v>
      </c>
      <c r="AD681" t="e">
        <f>VLOOKUP(AB681,#REF!,2,FALSE)</f>
        <v>#REF!</v>
      </c>
      <c r="AE681" t="e">
        <f>RIGHT(#REF!,(FIND("Complex",#REF!,1)-5))</f>
        <v>#REF!</v>
      </c>
    </row>
    <row r="682" spans="1:31" x14ac:dyDescent="0.25">
      <c r="A682">
        <v>1323</v>
      </c>
      <c r="B682" t="s">
        <v>270</v>
      </c>
      <c r="C682">
        <v>95</v>
      </c>
      <c r="D682">
        <v>227</v>
      </c>
      <c r="E682">
        <v>1323</v>
      </c>
      <c r="F682">
        <v>4762801</v>
      </c>
      <c r="G682">
        <v>4851000</v>
      </c>
      <c r="H682">
        <f t="shared" si="20"/>
        <v>108.00002267573696</v>
      </c>
      <c r="I682">
        <f t="shared" si="21"/>
        <v>110</v>
      </c>
      <c r="J682" t="s">
        <v>29</v>
      </c>
      <c r="K682">
        <v>4</v>
      </c>
      <c r="L682" t="e">
        <f t="array" ref="L682">VLOOKUP(J682:$J$3871&amp;K682:$K$3871,CHOOSE({1,2},#REF!&amp;#REF!,#REF!),2,0)</f>
        <v>#N/A</v>
      </c>
      <c r="M682">
        <v>0</v>
      </c>
      <c r="N682">
        <v>1</v>
      </c>
      <c r="O682" t="s">
        <v>23</v>
      </c>
      <c r="P682">
        <v>1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0</v>
      </c>
      <c r="Z682">
        <v>0</v>
      </c>
      <c r="AA682" t="s">
        <v>4791</v>
      </c>
      <c r="AB682" t="s">
        <v>1845</v>
      </c>
      <c r="AC682" t="s">
        <v>4791</v>
      </c>
      <c r="AD682" t="e">
        <f>VLOOKUP(AB682,#REF!,2,FALSE)</f>
        <v>#REF!</v>
      </c>
      <c r="AE682" t="e">
        <f>RIGHT(#REF!,(FIND("Complex",#REF!,1)-5))</f>
        <v>#REF!</v>
      </c>
    </row>
    <row r="683" spans="1:31" x14ac:dyDescent="0.25">
      <c r="A683">
        <v>571</v>
      </c>
      <c r="B683" t="s">
        <v>83</v>
      </c>
      <c r="C683">
        <v>97</v>
      </c>
      <c r="D683">
        <v>99</v>
      </c>
      <c r="E683">
        <v>571</v>
      </c>
      <c r="F683">
        <v>3439801</v>
      </c>
      <c r="G683">
        <v>3528000</v>
      </c>
      <c r="H683">
        <f t="shared" si="20"/>
        <v>78.000022675736957</v>
      </c>
      <c r="I683">
        <f t="shared" si="21"/>
        <v>80</v>
      </c>
      <c r="J683" t="s">
        <v>29</v>
      </c>
      <c r="K683">
        <v>4</v>
      </c>
      <c r="L683" t="e">
        <f t="array" ref="L683">VLOOKUP(J683:$J$3871&amp;K683:$K$3871,CHOOSE({1,2},#REF!&amp;#REF!,#REF!),2,0)</f>
        <v>#N/A</v>
      </c>
      <c r="M683">
        <v>0</v>
      </c>
      <c r="N683">
        <v>1</v>
      </c>
      <c r="O683" t="s">
        <v>23</v>
      </c>
      <c r="P683">
        <v>1</v>
      </c>
      <c r="Q683">
        <v>0</v>
      </c>
      <c r="R683">
        <v>1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1</v>
      </c>
      <c r="Y683">
        <v>0</v>
      </c>
      <c r="Z683">
        <v>0</v>
      </c>
      <c r="AA683" t="s">
        <v>3649</v>
      </c>
      <c r="AB683" t="s">
        <v>6394</v>
      </c>
      <c r="AC683" t="s">
        <v>3649</v>
      </c>
      <c r="AD683" t="e">
        <f>VLOOKUP(AB683,#REF!,2,FALSE)</f>
        <v>#REF!</v>
      </c>
      <c r="AE683" t="e">
        <f>RIGHT(#REF!,(FIND("Complex",#REF!,1)-5))</f>
        <v>#REF!</v>
      </c>
    </row>
    <row r="684" spans="1:31" x14ac:dyDescent="0.25">
      <c r="A684">
        <v>1412</v>
      </c>
      <c r="B684" t="s">
        <v>83</v>
      </c>
      <c r="C684">
        <v>97</v>
      </c>
      <c r="D684">
        <v>235</v>
      </c>
      <c r="E684">
        <v>1412</v>
      </c>
      <c r="F684">
        <v>2910601</v>
      </c>
      <c r="G684">
        <v>2998800</v>
      </c>
      <c r="H684">
        <f t="shared" si="20"/>
        <v>66.000022675736957</v>
      </c>
      <c r="I684">
        <f t="shared" si="21"/>
        <v>68</v>
      </c>
      <c r="J684" t="s">
        <v>29</v>
      </c>
      <c r="K684">
        <v>4</v>
      </c>
      <c r="L684" t="e">
        <f t="array" ref="L684">VLOOKUP(J684:$J$3871&amp;K684:$K$3871,CHOOSE({1,2},#REF!&amp;#REF!,#REF!),2,0)</f>
        <v>#N/A</v>
      </c>
      <c r="M684">
        <v>0</v>
      </c>
      <c r="N684">
        <v>1</v>
      </c>
      <c r="O684" t="s">
        <v>23</v>
      </c>
      <c r="P684">
        <v>1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1</v>
      </c>
      <c r="Y684">
        <v>0</v>
      </c>
      <c r="Z684">
        <v>0</v>
      </c>
      <c r="AA684" t="s">
        <v>3731</v>
      </c>
      <c r="AB684" t="s">
        <v>6438</v>
      </c>
      <c r="AC684" t="s">
        <v>3731</v>
      </c>
      <c r="AD684" t="e">
        <f>VLOOKUP(AB684,#REF!,2,FALSE)</f>
        <v>#REF!</v>
      </c>
      <c r="AE684" t="e">
        <f>RIGHT(#REF!,(FIND("Complex",#REF!,1)-6))</f>
        <v>#REF!</v>
      </c>
    </row>
    <row r="685" spans="1:31" x14ac:dyDescent="0.25">
      <c r="A685">
        <v>13</v>
      </c>
      <c r="B685" t="s">
        <v>55</v>
      </c>
      <c r="C685">
        <v>102</v>
      </c>
      <c r="D685">
        <v>4</v>
      </c>
      <c r="E685">
        <v>13</v>
      </c>
      <c r="F685">
        <v>1058401</v>
      </c>
      <c r="G685">
        <v>1146600</v>
      </c>
      <c r="H685">
        <f t="shared" si="20"/>
        <v>24.000022675736961</v>
      </c>
      <c r="I685">
        <f t="shared" si="21"/>
        <v>26</v>
      </c>
      <c r="J685" t="s">
        <v>29</v>
      </c>
      <c r="K685">
        <v>4</v>
      </c>
      <c r="L685" t="e">
        <f t="array" ref="L685">VLOOKUP(J685:$J$3871&amp;K685:$K$3871,CHOOSE({1,2},#REF!&amp;#REF!,#REF!),2,0)</f>
        <v>#N/A</v>
      </c>
      <c r="M685">
        <v>0</v>
      </c>
      <c r="N685">
        <v>1</v>
      </c>
      <c r="O685" t="s">
        <v>23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1</v>
      </c>
      <c r="X685">
        <v>1</v>
      </c>
      <c r="Y685">
        <v>0</v>
      </c>
      <c r="Z685">
        <v>0</v>
      </c>
      <c r="AA685" t="s">
        <v>4197</v>
      </c>
      <c r="AB685" t="s">
        <v>1971</v>
      </c>
      <c r="AC685" t="s">
        <v>4197</v>
      </c>
      <c r="AD685" t="e">
        <f>VLOOKUP(AB685,#REF!,2,FALSE)</f>
        <v>#REF!</v>
      </c>
      <c r="AE685" t="e">
        <f>RIGHT(#REF!,(FIND("Complex",#REF!,1)-3))</f>
        <v>#REF!</v>
      </c>
    </row>
    <row r="686" spans="1:31" x14ac:dyDescent="0.25">
      <c r="A686">
        <v>2985</v>
      </c>
      <c r="B686" t="s">
        <v>95</v>
      </c>
      <c r="C686">
        <v>103</v>
      </c>
      <c r="D686">
        <v>678</v>
      </c>
      <c r="E686">
        <v>2985</v>
      </c>
      <c r="F686">
        <v>2646001</v>
      </c>
      <c r="G686">
        <v>2734200</v>
      </c>
      <c r="H686">
        <f t="shared" si="20"/>
        <v>60.000022675736965</v>
      </c>
      <c r="I686">
        <f t="shared" si="21"/>
        <v>62</v>
      </c>
      <c r="J686" t="s">
        <v>29</v>
      </c>
      <c r="K686">
        <v>4</v>
      </c>
      <c r="L686" t="e">
        <f t="array" ref="L686">VLOOKUP(J686:$J$3871&amp;K686:$K$3871,CHOOSE({1,2},#REF!&amp;#REF!,#REF!),2,0)</f>
        <v>#N/A</v>
      </c>
      <c r="M686">
        <v>0</v>
      </c>
      <c r="N686">
        <v>1</v>
      </c>
      <c r="O686" t="s">
        <v>23</v>
      </c>
      <c r="P686">
        <v>1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1</v>
      </c>
      <c r="X686">
        <v>1</v>
      </c>
      <c r="Y686">
        <v>0</v>
      </c>
      <c r="Z686">
        <v>0</v>
      </c>
      <c r="AA686" t="s">
        <v>3796</v>
      </c>
      <c r="AB686" t="s">
        <v>2035</v>
      </c>
      <c r="AC686" t="s">
        <v>3796</v>
      </c>
      <c r="AD686" t="e">
        <f>VLOOKUP(AB686,#REF!,2,FALSE)</f>
        <v>#REF!</v>
      </c>
      <c r="AE686" t="e">
        <f>RIGHT(#REF!,(FIND("Complex",#REF!,1)-5))</f>
        <v>#REF!</v>
      </c>
    </row>
    <row r="687" spans="1:31" x14ac:dyDescent="0.25">
      <c r="A687">
        <v>2325</v>
      </c>
      <c r="B687" t="s">
        <v>67</v>
      </c>
      <c r="C687">
        <v>110</v>
      </c>
      <c r="D687">
        <v>425</v>
      </c>
      <c r="E687">
        <v>2325</v>
      </c>
      <c r="F687">
        <v>4321801</v>
      </c>
      <c r="G687">
        <v>4410000</v>
      </c>
      <c r="H687">
        <f t="shared" si="20"/>
        <v>98.000022675736957</v>
      </c>
      <c r="I687">
        <f t="shared" si="21"/>
        <v>100</v>
      </c>
      <c r="J687" t="s">
        <v>29</v>
      </c>
      <c r="K687">
        <v>4</v>
      </c>
      <c r="L687" t="e">
        <f t="array" ref="L687">VLOOKUP(J687:$J$3871&amp;K687:$K$3871,CHOOSE({1,2},#REF!&amp;#REF!,#REF!),2,0)</f>
        <v>#N/A</v>
      </c>
      <c r="M687">
        <v>0</v>
      </c>
      <c r="N687">
        <v>1</v>
      </c>
      <c r="O687" t="s">
        <v>23</v>
      </c>
      <c r="P687">
        <v>1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1</v>
      </c>
      <c r="Y687">
        <v>0</v>
      </c>
      <c r="Z687">
        <v>0</v>
      </c>
      <c r="AA687" t="s">
        <v>3511</v>
      </c>
      <c r="AB687" t="s">
        <v>6322</v>
      </c>
      <c r="AC687" t="s">
        <v>3511</v>
      </c>
      <c r="AD687" t="e">
        <f>VLOOKUP(AB687,#REF!,2,FALSE)</f>
        <v>#REF!</v>
      </c>
      <c r="AE687" t="e">
        <f>RIGHT(#REF!,(FIND("Complex",#REF!,1)-5))</f>
        <v>#REF!</v>
      </c>
    </row>
    <row r="688" spans="1:31" x14ac:dyDescent="0.25">
      <c r="A688">
        <v>2947</v>
      </c>
      <c r="B688" t="s">
        <v>67</v>
      </c>
      <c r="C688">
        <v>110</v>
      </c>
      <c r="D688">
        <v>656</v>
      </c>
      <c r="E688">
        <v>2947</v>
      </c>
      <c r="F688">
        <v>3969001</v>
      </c>
      <c r="G688">
        <v>4057200</v>
      </c>
      <c r="H688">
        <f t="shared" si="20"/>
        <v>90.000022675736957</v>
      </c>
      <c r="I688">
        <f t="shared" si="21"/>
        <v>92</v>
      </c>
      <c r="J688" t="s">
        <v>29</v>
      </c>
      <c r="K688">
        <v>4</v>
      </c>
      <c r="L688" t="e">
        <f t="array" ref="L688">VLOOKUP(J688:$J$3871&amp;K688:$K$3871,CHOOSE({1,2},#REF!&amp;#REF!,#REF!),2,0)</f>
        <v>#N/A</v>
      </c>
      <c r="M688">
        <v>0</v>
      </c>
      <c r="N688">
        <v>1</v>
      </c>
      <c r="O688" t="s">
        <v>23</v>
      </c>
      <c r="P688">
        <v>1</v>
      </c>
      <c r="Q688">
        <v>1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1</v>
      </c>
      <c r="Y688">
        <v>0</v>
      </c>
      <c r="Z688">
        <v>0</v>
      </c>
      <c r="AA688" t="s">
        <v>3567</v>
      </c>
      <c r="AB688" t="s">
        <v>6349</v>
      </c>
      <c r="AC688" t="s">
        <v>3567</v>
      </c>
      <c r="AD688" t="e">
        <f>VLOOKUP(AB688,#REF!,2,FALSE)</f>
        <v>#REF!</v>
      </c>
      <c r="AE688" t="e">
        <f>RIGHT(#REF!,(FIND("Complex",#REF!,1)-5))</f>
        <v>#REF!</v>
      </c>
    </row>
    <row r="689" spans="1:31" x14ac:dyDescent="0.25">
      <c r="A689">
        <v>3341</v>
      </c>
      <c r="B689" t="s">
        <v>67</v>
      </c>
      <c r="C689">
        <v>110</v>
      </c>
      <c r="D689">
        <v>845</v>
      </c>
      <c r="E689">
        <v>3341</v>
      </c>
      <c r="F689">
        <v>3351601</v>
      </c>
      <c r="G689">
        <v>3439800</v>
      </c>
      <c r="H689">
        <f t="shared" si="20"/>
        <v>76.000022675736957</v>
      </c>
      <c r="I689">
        <f t="shared" si="21"/>
        <v>78</v>
      </c>
      <c r="J689" t="s">
        <v>29</v>
      </c>
      <c r="K689">
        <v>4</v>
      </c>
      <c r="L689" t="e">
        <f t="array" ref="L689">VLOOKUP(J689:$J$3871&amp;K689:$K$3871,CHOOSE({1,2},#REF!&amp;#REF!,#REF!),2,0)</f>
        <v>#N/A</v>
      </c>
      <c r="M689">
        <v>0</v>
      </c>
      <c r="N689">
        <v>1</v>
      </c>
      <c r="O689" t="s">
        <v>23</v>
      </c>
      <c r="P689">
        <v>1</v>
      </c>
      <c r="Q689">
        <v>1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1</v>
      </c>
      <c r="Y689">
        <v>0</v>
      </c>
      <c r="Z689">
        <v>0</v>
      </c>
      <c r="AA689" t="s">
        <v>3676</v>
      </c>
      <c r="AB689" t="s">
        <v>6407</v>
      </c>
      <c r="AC689" t="s">
        <v>3676</v>
      </c>
      <c r="AD689" t="e">
        <f>VLOOKUP(AB689,#REF!,2,FALSE)</f>
        <v>#REF!</v>
      </c>
      <c r="AE689" t="e">
        <f>RIGHT(#REF!,(FIND("Complex",#REF!,1)-5))</f>
        <v>#REF!</v>
      </c>
    </row>
    <row r="690" spans="1:31" x14ac:dyDescent="0.25">
      <c r="A690">
        <v>2292</v>
      </c>
      <c r="B690" t="s">
        <v>67</v>
      </c>
      <c r="C690">
        <v>110</v>
      </c>
      <c r="D690">
        <v>417</v>
      </c>
      <c r="E690">
        <v>2292</v>
      </c>
      <c r="F690">
        <v>2646001</v>
      </c>
      <c r="G690">
        <v>2734200</v>
      </c>
      <c r="H690">
        <f t="shared" si="20"/>
        <v>60.000022675736965</v>
      </c>
      <c r="I690">
        <f t="shared" si="21"/>
        <v>62</v>
      </c>
      <c r="J690" t="s">
        <v>29</v>
      </c>
      <c r="K690">
        <v>4</v>
      </c>
      <c r="L690" t="e">
        <f t="array" ref="L690">VLOOKUP(J690:$J$3871&amp;K690:$K$3871,CHOOSE({1,2},#REF!&amp;#REF!,#REF!),2,0)</f>
        <v>#N/A</v>
      </c>
      <c r="M690">
        <v>0</v>
      </c>
      <c r="N690">
        <v>1</v>
      </c>
      <c r="O690" t="s">
        <v>23</v>
      </c>
      <c r="P690">
        <v>1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 t="s">
        <v>3794</v>
      </c>
      <c r="AB690" t="s">
        <v>6483</v>
      </c>
      <c r="AC690" t="s">
        <v>3794</v>
      </c>
      <c r="AD690" t="e">
        <f>VLOOKUP(AB690,#REF!,2,FALSE)</f>
        <v>#REF!</v>
      </c>
      <c r="AE690" t="e">
        <f>RIGHT(#REF!,(FIND("Complex",#REF!,1)-5))</f>
        <v>#REF!</v>
      </c>
    </row>
    <row r="691" spans="1:31" x14ac:dyDescent="0.25">
      <c r="A691">
        <v>2430</v>
      </c>
      <c r="B691" t="s">
        <v>67</v>
      </c>
      <c r="C691">
        <v>110</v>
      </c>
      <c r="D691">
        <v>460</v>
      </c>
      <c r="E691">
        <v>2430</v>
      </c>
      <c r="F691">
        <v>1940401</v>
      </c>
      <c r="G691">
        <v>2028600</v>
      </c>
      <c r="H691">
        <f t="shared" si="20"/>
        <v>44.000022675736965</v>
      </c>
      <c r="I691">
        <f t="shared" si="21"/>
        <v>46</v>
      </c>
      <c r="J691" t="s">
        <v>29</v>
      </c>
      <c r="K691">
        <v>4</v>
      </c>
      <c r="L691" t="e">
        <f t="array" ref="L691">VLOOKUP(J691:$J$3871&amp;K691:$K$3871,CHOOSE({1,2},#REF!&amp;#REF!,#REF!),2,0)</f>
        <v>#N/A</v>
      </c>
      <c r="M691">
        <v>0</v>
      </c>
      <c r="N691">
        <v>1</v>
      </c>
      <c r="O691" t="s">
        <v>23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1</v>
      </c>
      <c r="Y691">
        <v>0</v>
      </c>
      <c r="Z691">
        <v>0</v>
      </c>
      <c r="AA691" t="s">
        <v>3920</v>
      </c>
      <c r="AB691" t="s">
        <v>6551</v>
      </c>
      <c r="AC691" t="s">
        <v>3920</v>
      </c>
      <c r="AD691" t="e">
        <f>VLOOKUP(AB691,#REF!,2,FALSE)</f>
        <v>#REF!</v>
      </c>
      <c r="AE691" t="e">
        <f>RIGHT(#REF!,(FIND("Complex",#REF!,1)-5))</f>
        <v>#REF!</v>
      </c>
    </row>
    <row r="692" spans="1:31" x14ac:dyDescent="0.25">
      <c r="A692">
        <v>906</v>
      </c>
      <c r="B692" t="s">
        <v>67</v>
      </c>
      <c r="C692">
        <v>110</v>
      </c>
      <c r="D692">
        <v>157</v>
      </c>
      <c r="E692">
        <v>906</v>
      </c>
      <c r="F692">
        <v>1411201</v>
      </c>
      <c r="G692">
        <v>1499400</v>
      </c>
      <c r="H692">
        <f t="shared" si="20"/>
        <v>32.000022675736965</v>
      </c>
      <c r="I692">
        <f t="shared" si="21"/>
        <v>34</v>
      </c>
      <c r="J692" t="s">
        <v>29</v>
      </c>
      <c r="K692">
        <v>4</v>
      </c>
      <c r="L692" t="e">
        <f t="array" ref="L692">VLOOKUP(J692:$J$3871&amp;K692:$K$3871,CHOOSE({1,2},#REF!&amp;#REF!,#REF!),2,0)</f>
        <v>#N/A</v>
      </c>
      <c r="M692">
        <v>0</v>
      </c>
      <c r="N692">
        <v>1</v>
      </c>
      <c r="O692" t="s">
        <v>23</v>
      </c>
      <c r="P692">
        <v>1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1</v>
      </c>
      <c r="Y692">
        <v>0</v>
      </c>
      <c r="Z692">
        <v>0</v>
      </c>
      <c r="AA692" t="s">
        <v>4049</v>
      </c>
      <c r="AB692" t="s">
        <v>2169</v>
      </c>
      <c r="AC692" t="s">
        <v>4049</v>
      </c>
      <c r="AD692" t="e">
        <f>VLOOKUP(AB692,#REF!,2,FALSE)</f>
        <v>#REF!</v>
      </c>
      <c r="AE692" t="e">
        <f>RIGHT(#REF!,(FIND("Complex",#REF!,1)-4))</f>
        <v>#REF!</v>
      </c>
    </row>
    <row r="693" spans="1:31" x14ac:dyDescent="0.25">
      <c r="A693">
        <v>3155</v>
      </c>
      <c r="B693" t="s">
        <v>67</v>
      </c>
      <c r="C693">
        <v>110</v>
      </c>
      <c r="D693">
        <v>748</v>
      </c>
      <c r="E693">
        <v>3155</v>
      </c>
      <c r="F693">
        <v>8908201</v>
      </c>
      <c r="G693">
        <v>8996400</v>
      </c>
      <c r="H693">
        <f t="shared" si="20"/>
        <v>202.00002267573697</v>
      </c>
      <c r="I693">
        <f t="shared" si="21"/>
        <v>204</v>
      </c>
      <c r="J693" t="s">
        <v>29</v>
      </c>
      <c r="K693">
        <v>4</v>
      </c>
      <c r="L693" t="e">
        <f t="array" ref="L693">VLOOKUP(J693:$J$3871&amp;K693:$K$3871,CHOOSE({1,2},#REF!&amp;#REF!,#REF!),2,0)</f>
        <v>#N/A</v>
      </c>
      <c r="M693">
        <v>0</v>
      </c>
      <c r="N693">
        <v>1</v>
      </c>
      <c r="O693" t="s">
        <v>23</v>
      </c>
      <c r="P693">
        <v>1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1</v>
      </c>
      <c r="Y693">
        <v>0</v>
      </c>
      <c r="Z693">
        <v>0</v>
      </c>
      <c r="AA693" t="s">
        <v>4291</v>
      </c>
      <c r="AB693" t="s">
        <v>2170</v>
      </c>
      <c r="AC693" t="s">
        <v>4291</v>
      </c>
      <c r="AD693" t="e">
        <f>VLOOKUP(AB693,#REF!,2,FALSE)</f>
        <v>#REF!</v>
      </c>
      <c r="AE693" t="e">
        <f>RIGHT(#REF!,(FIND("Complex",#REF!,1)-4))</f>
        <v>#REF!</v>
      </c>
    </row>
    <row r="694" spans="1:31" x14ac:dyDescent="0.25">
      <c r="A694">
        <v>2501</v>
      </c>
      <c r="B694" t="s">
        <v>67</v>
      </c>
      <c r="C694">
        <v>110</v>
      </c>
      <c r="D694">
        <v>486</v>
      </c>
      <c r="E694">
        <v>2501</v>
      </c>
      <c r="F694">
        <v>8820001</v>
      </c>
      <c r="G694">
        <v>8908200</v>
      </c>
      <c r="H694">
        <f t="shared" si="20"/>
        <v>200.00002267573697</v>
      </c>
      <c r="I694">
        <f t="shared" si="21"/>
        <v>202</v>
      </c>
      <c r="J694" t="s">
        <v>29</v>
      </c>
      <c r="K694">
        <v>4</v>
      </c>
      <c r="L694" t="e">
        <f t="array" ref="L694">VLOOKUP(J694:$J$3871&amp;K694:$K$3871,CHOOSE({1,2},#REF!&amp;#REF!,#REF!),2,0)</f>
        <v>#N/A</v>
      </c>
      <c r="M694">
        <v>0</v>
      </c>
      <c r="N694">
        <v>1</v>
      </c>
      <c r="O694" t="s">
        <v>23</v>
      </c>
      <c r="P694">
        <v>1</v>
      </c>
      <c r="Q694">
        <v>1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1</v>
      </c>
      <c r="Y694">
        <v>0</v>
      </c>
      <c r="Z694">
        <v>0</v>
      </c>
      <c r="AA694" t="s">
        <v>4300</v>
      </c>
      <c r="AB694" t="s">
        <v>6801</v>
      </c>
      <c r="AC694" t="s">
        <v>4300</v>
      </c>
      <c r="AD694" t="e">
        <f>VLOOKUP(AB694,#REF!,2,FALSE)</f>
        <v>#REF!</v>
      </c>
      <c r="AE694" t="e">
        <f>RIGHT(#REF!,(FIND("Complex",#REF!,1)-4))</f>
        <v>#REF!</v>
      </c>
    </row>
    <row r="695" spans="1:31" x14ac:dyDescent="0.25">
      <c r="A695">
        <v>2099</v>
      </c>
      <c r="B695" t="s">
        <v>67</v>
      </c>
      <c r="C695">
        <v>110</v>
      </c>
      <c r="D695">
        <v>375</v>
      </c>
      <c r="E695">
        <v>2099</v>
      </c>
      <c r="F695">
        <v>8026201</v>
      </c>
      <c r="G695">
        <v>8114400</v>
      </c>
      <c r="H695">
        <f t="shared" si="20"/>
        <v>182.00002267573697</v>
      </c>
      <c r="I695">
        <f t="shared" si="21"/>
        <v>184</v>
      </c>
      <c r="J695" t="s">
        <v>29</v>
      </c>
      <c r="K695">
        <v>4</v>
      </c>
      <c r="L695" t="e">
        <f t="array" ref="L695">VLOOKUP(J695:$J$3871&amp;K695:$K$3871,CHOOSE({1,2},#REF!&amp;#REF!,#REF!),2,0)</f>
        <v>#N/A</v>
      </c>
      <c r="M695">
        <v>0</v>
      </c>
      <c r="N695">
        <v>1</v>
      </c>
      <c r="O695" t="s">
        <v>23</v>
      </c>
      <c r="P695">
        <v>1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1</v>
      </c>
      <c r="Y695">
        <v>0</v>
      </c>
      <c r="Z695">
        <v>0</v>
      </c>
      <c r="AA695" t="s">
        <v>4395</v>
      </c>
      <c r="AB695" t="s">
        <v>2171</v>
      </c>
      <c r="AC695" t="s">
        <v>4395</v>
      </c>
      <c r="AD695" t="e">
        <f>VLOOKUP(AB695,#REF!,2,FALSE)</f>
        <v>#REF!</v>
      </c>
      <c r="AE695" t="e">
        <f>RIGHT(#REF!,(FIND("Complex",#REF!,1)-4))</f>
        <v>#REF!</v>
      </c>
    </row>
    <row r="696" spans="1:31" x14ac:dyDescent="0.25">
      <c r="A696">
        <v>3216</v>
      </c>
      <c r="B696" t="s">
        <v>67</v>
      </c>
      <c r="C696">
        <v>110</v>
      </c>
      <c r="D696">
        <v>780</v>
      </c>
      <c r="E696">
        <v>3216</v>
      </c>
      <c r="F696">
        <v>4939201</v>
      </c>
      <c r="G696">
        <v>5027400</v>
      </c>
      <c r="H696">
        <f t="shared" si="20"/>
        <v>112.00002267573696</v>
      </c>
      <c r="I696">
        <f t="shared" si="21"/>
        <v>114</v>
      </c>
      <c r="J696" t="s">
        <v>29</v>
      </c>
      <c r="K696">
        <v>4</v>
      </c>
      <c r="L696" t="e">
        <f t="array" ref="L696">VLOOKUP(J696:$J$3871&amp;K696:$K$3871,CHOOSE({1,2},#REF!&amp;#REF!,#REF!),2,0)</f>
        <v>#N/A</v>
      </c>
      <c r="M696">
        <v>0</v>
      </c>
      <c r="N696">
        <v>1</v>
      </c>
      <c r="O696" t="s">
        <v>23</v>
      </c>
      <c r="P696">
        <v>1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1</v>
      </c>
      <c r="Y696">
        <v>0</v>
      </c>
      <c r="Z696">
        <v>0</v>
      </c>
      <c r="AA696" t="s">
        <v>4777</v>
      </c>
      <c r="AB696" t="s">
        <v>7098</v>
      </c>
      <c r="AC696" t="s">
        <v>4777</v>
      </c>
      <c r="AD696" t="e">
        <f>VLOOKUP(AB696,#REF!,2,FALSE)</f>
        <v>#REF!</v>
      </c>
      <c r="AE696" t="e">
        <f>RIGHT(#REF!,(FIND("Complex",#REF!,1)-4))</f>
        <v>#REF!</v>
      </c>
    </row>
    <row r="697" spans="1:31" x14ac:dyDescent="0.25">
      <c r="A697">
        <v>1576</v>
      </c>
      <c r="B697" t="s">
        <v>67</v>
      </c>
      <c r="C697">
        <v>110</v>
      </c>
      <c r="D697">
        <v>268</v>
      </c>
      <c r="E697">
        <v>1576</v>
      </c>
      <c r="F697">
        <v>4851001</v>
      </c>
      <c r="G697">
        <v>4939200</v>
      </c>
      <c r="H697">
        <f t="shared" si="20"/>
        <v>110.00002267573696</v>
      </c>
      <c r="I697">
        <f t="shared" si="21"/>
        <v>112</v>
      </c>
      <c r="J697" t="s">
        <v>29</v>
      </c>
      <c r="K697">
        <v>4</v>
      </c>
      <c r="L697" t="e">
        <f t="array" ref="L697">VLOOKUP(J697:$J$3871&amp;K697:$K$3871,CHOOSE({1,2},#REF!&amp;#REF!,#REF!),2,0)</f>
        <v>#N/A</v>
      </c>
      <c r="M697">
        <v>0</v>
      </c>
      <c r="N697">
        <v>1</v>
      </c>
      <c r="O697" t="s">
        <v>23</v>
      </c>
      <c r="P697">
        <v>1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1</v>
      </c>
      <c r="Y697">
        <v>0</v>
      </c>
      <c r="Z697">
        <v>0</v>
      </c>
      <c r="AA697" t="s">
        <v>4787</v>
      </c>
      <c r="AB697" t="s">
        <v>7103</v>
      </c>
      <c r="AC697" t="s">
        <v>4787</v>
      </c>
      <c r="AD697" t="e">
        <f>VLOOKUP(AB697,#REF!,2,FALSE)</f>
        <v>#REF!</v>
      </c>
      <c r="AE697" t="e">
        <f>RIGHT(#REF!,(FIND("Complex",#REF!,1)-4))</f>
        <v>#REF!</v>
      </c>
    </row>
    <row r="698" spans="1:31" x14ac:dyDescent="0.25">
      <c r="A698">
        <v>2757</v>
      </c>
      <c r="B698" t="s">
        <v>67</v>
      </c>
      <c r="C698">
        <v>110</v>
      </c>
      <c r="D698">
        <v>587</v>
      </c>
      <c r="E698">
        <v>2757</v>
      </c>
      <c r="F698">
        <v>4410001</v>
      </c>
      <c r="G698">
        <v>4498200</v>
      </c>
      <c r="H698">
        <f t="shared" si="20"/>
        <v>100.00002267573696</v>
      </c>
      <c r="I698">
        <f t="shared" si="21"/>
        <v>102</v>
      </c>
      <c r="J698" t="s">
        <v>29</v>
      </c>
      <c r="K698">
        <v>4</v>
      </c>
      <c r="L698" t="e">
        <f t="array" ref="L698">VLOOKUP(J698:$J$3871&amp;K698:$K$3871,CHOOSE({1,2},#REF!&amp;#REF!,#REF!),2,0)</f>
        <v>#N/A</v>
      </c>
      <c r="M698">
        <v>0</v>
      </c>
      <c r="N698">
        <v>1</v>
      </c>
      <c r="O698" t="s">
        <v>23</v>
      </c>
      <c r="P698">
        <v>1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1</v>
      </c>
      <c r="Y698">
        <v>0</v>
      </c>
      <c r="Z698">
        <v>0</v>
      </c>
      <c r="AA698" t="s">
        <v>4848</v>
      </c>
      <c r="AB698" t="s">
        <v>7138</v>
      </c>
      <c r="AC698" t="s">
        <v>4848</v>
      </c>
      <c r="AD698" t="e">
        <f>VLOOKUP(AB698,#REF!,2,FALSE)</f>
        <v>#REF!</v>
      </c>
      <c r="AE698" t="e">
        <f>RIGHT(#REF!,(FIND("Complex",#REF!,1)-4))</f>
        <v>#REF!</v>
      </c>
    </row>
    <row r="699" spans="1:31" x14ac:dyDescent="0.25">
      <c r="A699">
        <v>2251</v>
      </c>
      <c r="B699" t="s">
        <v>90</v>
      </c>
      <c r="C699">
        <v>111</v>
      </c>
      <c r="D699">
        <v>411</v>
      </c>
      <c r="E699">
        <v>2251</v>
      </c>
      <c r="F699">
        <v>2116801</v>
      </c>
      <c r="G699">
        <v>2205000</v>
      </c>
      <c r="H699">
        <f t="shared" si="20"/>
        <v>48.000022675736965</v>
      </c>
      <c r="I699">
        <f t="shared" si="21"/>
        <v>50</v>
      </c>
      <c r="J699" t="s">
        <v>29</v>
      </c>
      <c r="K699">
        <v>4</v>
      </c>
      <c r="L699" t="e">
        <f t="array" ref="L699">VLOOKUP(J699:$J$3871&amp;K699:$K$3871,CHOOSE({1,2},#REF!&amp;#REF!,#REF!),2,0)</f>
        <v>#N/A</v>
      </c>
      <c r="M699">
        <v>0</v>
      </c>
      <c r="N699">
        <v>1</v>
      </c>
      <c r="O699" t="s">
        <v>23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1</v>
      </c>
      <c r="Y699">
        <v>0</v>
      </c>
      <c r="Z699">
        <v>0</v>
      </c>
      <c r="AA699" t="s">
        <v>3894</v>
      </c>
      <c r="AB699" t="s">
        <v>6535</v>
      </c>
      <c r="AC699" t="s">
        <v>3894</v>
      </c>
      <c r="AD699" t="e">
        <f>VLOOKUP(AB699,#REF!,2,FALSE)</f>
        <v>#REF!</v>
      </c>
      <c r="AE699" t="e">
        <f>RIGHT(#REF!,(FIND("Complex",#REF!,1)-5))</f>
        <v>#REF!</v>
      </c>
    </row>
    <row r="700" spans="1:31" x14ac:dyDescent="0.25">
      <c r="A700">
        <v>2629</v>
      </c>
      <c r="B700" t="s">
        <v>90</v>
      </c>
      <c r="C700">
        <v>111</v>
      </c>
      <c r="D700">
        <v>532</v>
      </c>
      <c r="E700">
        <v>2629</v>
      </c>
      <c r="F700">
        <v>1234801</v>
      </c>
      <c r="G700">
        <v>1323000</v>
      </c>
      <c r="H700">
        <f t="shared" si="20"/>
        <v>28.000022675736961</v>
      </c>
      <c r="I700">
        <f t="shared" si="21"/>
        <v>30</v>
      </c>
      <c r="J700" t="s">
        <v>29</v>
      </c>
      <c r="K700">
        <v>4</v>
      </c>
      <c r="L700" t="e">
        <f t="array" ref="L700">VLOOKUP(J700:$J$3871&amp;K700:$K$3871,CHOOSE({1,2},#REF!&amp;#REF!,#REF!),2,0)</f>
        <v>#N/A</v>
      </c>
      <c r="M700">
        <v>0</v>
      </c>
      <c r="N700">
        <v>1</v>
      </c>
      <c r="O700" t="s">
        <v>23</v>
      </c>
      <c r="P700">
        <v>1</v>
      </c>
      <c r="Q700">
        <v>0</v>
      </c>
      <c r="R700">
        <v>1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1</v>
      </c>
      <c r="Y700">
        <v>0</v>
      </c>
      <c r="Z700">
        <v>0</v>
      </c>
      <c r="AA700" t="s">
        <v>4113</v>
      </c>
      <c r="AB700" t="s">
        <v>6675</v>
      </c>
      <c r="AC700" t="s">
        <v>4113</v>
      </c>
      <c r="AD700" t="e">
        <f>VLOOKUP(AB700,#REF!,2,FALSE)</f>
        <v>#REF!</v>
      </c>
      <c r="AE700" t="e">
        <f>RIGHT(#REF!,(FIND("Complex",#REF!,1)-5))</f>
        <v>#REF!</v>
      </c>
    </row>
    <row r="701" spans="1:31" x14ac:dyDescent="0.25">
      <c r="A701">
        <v>2064</v>
      </c>
      <c r="B701" t="s">
        <v>90</v>
      </c>
      <c r="C701">
        <v>111</v>
      </c>
      <c r="D701">
        <v>364</v>
      </c>
      <c r="E701">
        <v>2064</v>
      </c>
      <c r="F701">
        <v>4674601</v>
      </c>
      <c r="G701">
        <v>4762800</v>
      </c>
      <c r="H701">
        <f t="shared" si="20"/>
        <v>106.00002267573696</v>
      </c>
      <c r="I701">
        <f t="shared" si="21"/>
        <v>108</v>
      </c>
      <c r="J701" t="s">
        <v>29</v>
      </c>
      <c r="K701">
        <v>4</v>
      </c>
      <c r="L701" t="e">
        <f t="array" ref="L701">VLOOKUP(J701:$J$3871&amp;K701:$K$3871,CHOOSE({1,2},#REF!&amp;#REF!,#REF!),2,0)</f>
        <v>#N/A</v>
      </c>
      <c r="M701">
        <v>0</v>
      </c>
      <c r="N701">
        <v>1</v>
      </c>
      <c r="O701" t="s">
        <v>23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1</v>
      </c>
      <c r="X701">
        <v>1</v>
      </c>
      <c r="Y701">
        <v>0</v>
      </c>
      <c r="Z701">
        <v>0</v>
      </c>
      <c r="AA701" t="s">
        <v>4811</v>
      </c>
      <c r="AB701" t="s">
        <v>2185</v>
      </c>
      <c r="AC701" t="s">
        <v>4811</v>
      </c>
      <c r="AD701" t="e">
        <f>VLOOKUP(AB701,#REF!,2,FALSE)</f>
        <v>#REF!</v>
      </c>
      <c r="AE701" t="e">
        <f>RIGHT(#REF!,(FIND("Complex",#REF!,1)-4))</f>
        <v>#REF!</v>
      </c>
    </row>
    <row r="702" spans="1:31" x14ac:dyDescent="0.25">
      <c r="A702">
        <v>106</v>
      </c>
      <c r="B702" t="s">
        <v>281</v>
      </c>
      <c r="C702">
        <v>112</v>
      </c>
      <c r="D702">
        <v>19</v>
      </c>
      <c r="E702">
        <v>106</v>
      </c>
      <c r="F702">
        <v>3616201</v>
      </c>
      <c r="G702">
        <v>3704400</v>
      </c>
      <c r="H702">
        <f t="shared" si="20"/>
        <v>82.000022675736957</v>
      </c>
      <c r="I702">
        <f t="shared" si="21"/>
        <v>84</v>
      </c>
      <c r="J702" t="s">
        <v>29</v>
      </c>
      <c r="K702">
        <v>4</v>
      </c>
      <c r="L702" t="e">
        <f t="array" ref="L702">VLOOKUP(J702:$J$3871&amp;K702:$K$3871,CHOOSE({1,2},#REF!&amp;#REF!,#REF!),2,0)</f>
        <v>#N/A</v>
      </c>
      <c r="M702">
        <v>0</v>
      </c>
      <c r="N702">
        <v>1</v>
      </c>
      <c r="O702" t="s">
        <v>23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1</v>
      </c>
      <c r="Y702">
        <v>0</v>
      </c>
      <c r="Z702">
        <v>0</v>
      </c>
      <c r="AA702" t="s">
        <v>3620</v>
      </c>
      <c r="AB702" t="s">
        <v>6378</v>
      </c>
      <c r="AC702" t="s">
        <v>3620</v>
      </c>
      <c r="AD702" t="e">
        <f>VLOOKUP(AB702,#REF!,2,FALSE)</f>
        <v>#REF!</v>
      </c>
      <c r="AE702" t="e">
        <f>RIGHT(#REF!,(FIND("Complex",#REF!,1)-4))</f>
        <v>#REF!</v>
      </c>
    </row>
    <row r="703" spans="1:31" x14ac:dyDescent="0.25">
      <c r="A703">
        <v>468</v>
      </c>
      <c r="B703" t="s">
        <v>281</v>
      </c>
      <c r="C703">
        <v>112</v>
      </c>
      <c r="D703">
        <v>86</v>
      </c>
      <c r="E703">
        <v>468</v>
      </c>
      <c r="F703">
        <v>5997601</v>
      </c>
      <c r="G703">
        <v>6085800</v>
      </c>
      <c r="H703">
        <f t="shared" si="20"/>
        <v>136.00002267573697</v>
      </c>
      <c r="I703">
        <f t="shared" si="21"/>
        <v>138</v>
      </c>
      <c r="J703" t="s">
        <v>29</v>
      </c>
      <c r="K703">
        <v>4</v>
      </c>
      <c r="L703" t="e">
        <f t="array" ref="L703">VLOOKUP(J703:$J$3871&amp;K703:$K$3871,CHOOSE({1,2},#REF!&amp;#REF!,#REF!),2,0)</f>
        <v>#N/A</v>
      </c>
      <c r="M703">
        <v>0</v>
      </c>
      <c r="N703">
        <v>1</v>
      </c>
      <c r="O703" t="s">
        <v>23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1</v>
      </c>
      <c r="Y703">
        <v>0</v>
      </c>
      <c r="Z703">
        <v>0</v>
      </c>
      <c r="AA703" t="s">
        <v>4649</v>
      </c>
      <c r="AB703" t="s">
        <v>7024</v>
      </c>
      <c r="AC703" t="s">
        <v>4649</v>
      </c>
      <c r="AD703" t="e">
        <f>VLOOKUP(AB703,#REF!,2,FALSE)</f>
        <v>#REF!</v>
      </c>
      <c r="AE703" t="e">
        <f>RIGHT(#REF!,(FIND("Complex",#REF!,1)-3))</f>
        <v>#REF!</v>
      </c>
    </row>
    <row r="704" spans="1:31" x14ac:dyDescent="0.25">
      <c r="A704">
        <v>778</v>
      </c>
      <c r="B704" t="s">
        <v>281</v>
      </c>
      <c r="C704">
        <v>112</v>
      </c>
      <c r="D704">
        <v>133</v>
      </c>
      <c r="E704">
        <v>778</v>
      </c>
      <c r="F704">
        <v>5909401</v>
      </c>
      <c r="G704">
        <v>5997600</v>
      </c>
      <c r="H704">
        <f t="shared" si="20"/>
        <v>134.00002267573697</v>
      </c>
      <c r="I704">
        <f t="shared" si="21"/>
        <v>136</v>
      </c>
      <c r="J704" t="s">
        <v>29</v>
      </c>
      <c r="K704">
        <v>4</v>
      </c>
      <c r="L704" t="e">
        <f t="array" ref="L704">VLOOKUP(J704:$J$3871&amp;K704:$K$3871,CHOOSE({1,2},#REF!&amp;#REF!,#REF!),2,0)</f>
        <v>#N/A</v>
      </c>
      <c r="M704">
        <v>0</v>
      </c>
      <c r="N704">
        <v>1</v>
      </c>
      <c r="O704" t="s">
        <v>23</v>
      </c>
      <c r="P704">
        <v>1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1</v>
      </c>
      <c r="Y704">
        <v>0</v>
      </c>
      <c r="Z704">
        <v>0</v>
      </c>
      <c r="AA704" t="s">
        <v>4657</v>
      </c>
      <c r="AB704" t="s">
        <v>7028</v>
      </c>
      <c r="AC704" t="s">
        <v>4657</v>
      </c>
      <c r="AD704" t="e">
        <f>VLOOKUP(AB704,#REF!,2,FALSE)</f>
        <v>#REF!</v>
      </c>
      <c r="AE704" t="e">
        <f>RIGHT(#REF!,(FIND("Complex",#REF!,1)-3))</f>
        <v>#REF!</v>
      </c>
    </row>
    <row r="705" spans="1:31" x14ac:dyDescent="0.25">
      <c r="A705">
        <v>2806</v>
      </c>
      <c r="B705" t="s">
        <v>281</v>
      </c>
      <c r="C705">
        <v>112</v>
      </c>
      <c r="D705">
        <v>607</v>
      </c>
      <c r="E705">
        <v>2806</v>
      </c>
      <c r="F705">
        <v>5468401</v>
      </c>
      <c r="G705">
        <v>5556600</v>
      </c>
      <c r="H705">
        <f t="shared" si="20"/>
        <v>124.00002267573696</v>
      </c>
      <c r="I705">
        <f t="shared" si="21"/>
        <v>126</v>
      </c>
      <c r="J705" t="s">
        <v>29</v>
      </c>
      <c r="K705">
        <v>4</v>
      </c>
      <c r="L705" t="e">
        <f t="array" ref="L705">VLOOKUP(J705:$J$3871&amp;K705:$K$3871,CHOOSE({1,2},#REF!&amp;#REF!,#REF!),2,0)</f>
        <v>#N/A</v>
      </c>
      <c r="M705">
        <v>0</v>
      </c>
      <c r="N705">
        <v>1</v>
      </c>
      <c r="O705" t="s">
        <v>23</v>
      </c>
      <c r="P705">
        <v>1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1</v>
      </c>
      <c r="Y705">
        <v>0</v>
      </c>
      <c r="Z705">
        <v>0</v>
      </c>
      <c r="AA705" t="s">
        <v>4701</v>
      </c>
      <c r="AB705" t="s">
        <v>7054</v>
      </c>
      <c r="AC705" t="s">
        <v>4701</v>
      </c>
      <c r="AD705" t="e">
        <f>VLOOKUP(AB705,#REF!,2,FALSE)</f>
        <v>#REF!</v>
      </c>
      <c r="AE705" t="e">
        <f>RIGHT(#REF!,(FIND("Complex",#REF!,1)-4))</f>
        <v>#REF!</v>
      </c>
    </row>
    <row r="706" spans="1:31" x14ac:dyDescent="0.25">
      <c r="A706">
        <v>2546</v>
      </c>
      <c r="B706" t="s">
        <v>282</v>
      </c>
      <c r="C706">
        <v>113</v>
      </c>
      <c r="D706">
        <v>505</v>
      </c>
      <c r="E706">
        <v>2546</v>
      </c>
      <c r="F706">
        <v>3969001</v>
      </c>
      <c r="G706">
        <v>4057200</v>
      </c>
      <c r="H706">
        <f t="shared" ref="H706:H769" si="22">F706/44100</f>
        <v>90.000022675736957</v>
      </c>
      <c r="I706">
        <f t="shared" ref="I706:I769" si="23">G706/44100</f>
        <v>92</v>
      </c>
      <c r="J706" t="s">
        <v>29</v>
      </c>
      <c r="K706">
        <v>4</v>
      </c>
      <c r="L706" t="e">
        <f t="array" ref="L706">VLOOKUP(J706:$J$3871&amp;K706:$K$3871,CHOOSE({1,2},#REF!&amp;#REF!,#REF!),2,0)</f>
        <v>#N/A</v>
      </c>
      <c r="M706">
        <v>0</v>
      </c>
      <c r="N706">
        <v>1</v>
      </c>
      <c r="O706" t="s">
        <v>23</v>
      </c>
      <c r="P706">
        <v>1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1</v>
      </c>
      <c r="Y706">
        <v>0</v>
      </c>
      <c r="Z706">
        <v>0</v>
      </c>
      <c r="AA706" t="s">
        <v>3566</v>
      </c>
      <c r="AB706" t="s">
        <v>6348</v>
      </c>
      <c r="AC706" t="s">
        <v>3566</v>
      </c>
      <c r="AD706" t="e">
        <f>VLOOKUP(AB706,#REF!,2,FALSE)</f>
        <v>#REF!</v>
      </c>
      <c r="AE706" t="e">
        <f>RIGHT(#REF!,(FIND("Complex",#REF!,1)-5))</f>
        <v>#REF!</v>
      </c>
    </row>
    <row r="707" spans="1:31" x14ac:dyDescent="0.25">
      <c r="A707">
        <v>2080</v>
      </c>
      <c r="B707" t="s">
        <v>282</v>
      </c>
      <c r="C707">
        <v>113</v>
      </c>
      <c r="D707">
        <v>369</v>
      </c>
      <c r="E707">
        <v>2080</v>
      </c>
      <c r="F707">
        <v>3792601</v>
      </c>
      <c r="G707">
        <v>3880800</v>
      </c>
      <c r="H707">
        <f t="shared" si="22"/>
        <v>86.000022675736957</v>
      </c>
      <c r="I707">
        <f t="shared" si="23"/>
        <v>88</v>
      </c>
      <c r="J707" t="s">
        <v>29</v>
      </c>
      <c r="K707">
        <v>4</v>
      </c>
      <c r="L707" t="e">
        <f t="array" ref="L707">VLOOKUP(J707:$J$3871&amp;K707:$K$3871,CHOOSE({1,2},#REF!&amp;#REF!,#REF!),2,0)</f>
        <v>#N/A</v>
      </c>
      <c r="M707">
        <v>0</v>
      </c>
      <c r="N707">
        <v>1</v>
      </c>
      <c r="O707" t="s">
        <v>23</v>
      </c>
      <c r="P707">
        <v>1</v>
      </c>
      <c r="Q707">
        <v>1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1</v>
      </c>
      <c r="Y707">
        <v>0</v>
      </c>
      <c r="Z707">
        <v>0</v>
      </c>
      <c r="AA707" t="s">
        <v>3591</v>
      </c>
      <c r="AB707" t="s">
        <v>6362</v>
      </c>
      <c r="AC707" t="s">
        <v>3591</v>
      </c>
      <c r="AD707" t="e">
        <f>VLOOKUP(AB707,#REF!,2,FALSE)</f>
        <v>#REF!</v>
      </c>
      <c r="AE707" t="e">
        <f>RIGHT(#REF!,(FIND("Complex",#REF!,1)-5))</f>
        <v>#REF!</v>
      </c>
    </row>
    <row r="708" spans="1:31" x14ac:dyDescent="0.25">
      <c r="A708">
        <v>691</v>
      </c>
      <c r="B708" t="s">
        <v>282</v>
      </c>
      <c r="C708">
        <v>113</v>
      </c>
      <c r="D708">
        <v>124</v>
      </c>
      <c r="E708">
        <v>691</v>
      </c>
      <c r="F708">
        <v>3704401</v>
      </c>
      <c r="G708">
        <v>3792600</v>
      </c>
      <c r="H708">
        <f t="shared" si="22"/>
        <v>84.000022675736957</v>
      </c>
      <c r="I708">
        <f t="shared" si="23"/>
        <v>86</v>
      </c>
      <c r="J708" t="s">
        <v>29</v>
      </c>
      <c r="K708">
        <v>4</v>
      </c>
      <c r="L708" t="e">
        <f t="array" ref="L708">VLOOKUP(J708:$J$3871&amp;K708:$K$3871,CHOOSE({1,2},#REF!&amp;#REF!,#REF!),2,0)</f>
        <v>#N/A</v>
      </c>
      <c r="M708">
        <v>0</v>
      </c>
      <c r="N708">
        <v>1</v>
      </c>
      <c r="O708" t="s">
        <v>23</v>
      </c>
      <c r="P708">
        <v>1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1</v>
      </c>
      <c r="Y708">
        <v>0</v>
      </c>
      <c r="Z708">
        <v>0</v>
      </c>
      <c r="AA708" t="s">
        <v>3601</v>
      </c>
      <c r="AB708" t="s">
        <v>6367</v>
      </c>
      <c r="AC708" t="s">
        <v>3601</v>
      </c>
      <c r="AD708" t="e">
        <f>VLOOKUP(AB708,#REF!,2,FALSE)</f>
        <v>#REF!</v>
      </c>
      <c r="AE708" t="e">
        <f>RIGHT(#REF!,(FIND("Complex",#REF!,1)-4))</f>
        <v>#REF!</v>
      </c>
    </row>
    <row r="709" spans="1:31" x14ac:dyDescent="0.25">
      <c r="A709">
        <v>3214</v>
      </c>
      <c r="B709" t="s">
        <v>282</v>
      </c>
      <c r="C709">
        <v>113</v>
      </c>
      <c r="D709">
        <v>778</v>
      </c>
      <c r="E709">
        <v>3214</v>
      </c>
      <c r="F709">
        <v>3616201</v>
      </c>
      <c r="G709">
        <v>3704400</v>
      </c>
      <c r="H709">
        <f t="shared" si="22"/>
        <v>82.000022675736957</v>
      </c>
      <c r="I709">
        <f t="shared" si="23"/>
        <v>84</v>
      </c>
      <c r="J709" t="s">
        <v>29</v>
      </c>
      <c r="K709">
        <v>4</v>
      </c>
      <c r="L709" t="e">
        <f t="array" ref="L709">VLOOKUP(J709:$J$3871&amp;K709:$K$3871,CHOOSE({1,2},#REF!&amp;#REF!,#REF!),2,0)</f>
        <v>#N/A</v>
      </c>
      <c r="M709">
        <v>0</v>
      </c>
      <c r="N709">
        <v>1</v>
      </c>
      <c r="O709" t="s">
        <v>23</v>
      </c>
      <c r="P709">
        <v>1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1</v>
      </c>
      <c r="Y709">
        <v>0</v>
      </c>
      <c r="Z709">
        <v>0</v>
      </c>
      <c r="AA709" t="s">
        <v>3619</v>
      </c>
      <c r="AB709" t="s">
        <v>2225</v>
      </c>
      <c r="AC709" t="s">
        <v>3619</v>
      </c>
      <c r="AD709" t="e">
        <f>VLOOKUP(AB709,#REF!,2,FALSE)</f>
        <v>#REF!</v>
      </c>
      <c r="AE709" t="e">
        <f>RIGHT(#REF!,(FIND("Complex",#REF!,1)-5))</f>
        <v>#REF!</v>
      </c>
    </row>
    <row r="710" spans="1:31" x14ac:dyDescent="0.25">
      <c r="A710">
        <v>1777</v>
      </c>
      <c r="B710" t="s">
        <v>282</v>
      </c>
      <c r="C710">
        <v>113</v>
      </c>
      <c r="D710">
        <v>308</v>
      </c>
      <c r="E710">
        <v>1777</v>
      </c>
      <c r="F710">
        <v>3175201</v>
      </c>
      <c r="G710">
        <v>3263400</v>
      </c>
      <c r="H710">
        <f t="shared" si="22"/>
        <v>72.000022675736957</v>
      </c>
      <c r="I710">
        <f t="shared" si="23"/>
        <v>74</v>
      </c>
      <c r="J710" t="s">
        <v>29</v>
      </c>
      <c r="K710">
        <v>4</v>
      </c>
      <c r="L710" t="e">
        <f t="array" ref="L710">VLOOKUP(J710:$J$3871&amp;K710:$K$3871,CHOOSE({1,2},#REF!&amp;#REF!,#REF!),2,0)</f>
        <v>#N/A</v>
      </c>
      <c r="M710">
        <v>0</v>
      </c>
      <c r="N710">
        <v>1</v>
      </c>
      <c r="O710" t="s">
        <v>23</v>
      </c>
      <c r="P710">
        <v>1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1</v>
      </c>
      <c r="Y710">
        <v>0</v>
      </c>
      <c r="Z710">
        <v>0</v>
      </c>
      <c r="AA710" t="s">
        <v>3696</v>
      </c>
      <c r="AB710" t="s">
        <v>6420</v>
      </c>
      <c r="AC710" t="s">
        <v>3696</v>
      </c>
      <c r="AD710" t="e">
        <f>VLOOKUP(AB710,#REF!,2,FALSE)</f>
        <v>#REF!</v>
      </c>
      <c r="AE710" t="e">
        <f>RIGHT(#REF!,(FIND("Complex",#REF!,1)-5))</f>
        <v>#REF!</v>
      </c>
    </row>
    <row r="711" spans="1:31" x14ac:dyDescent="0.25">
      <c r="A711">
        <v>1169</v>
      </c>
      <c r="B711" t="s">
        <v>282</v>
      </c>
      <c r="C711">
        <v>113</v>
      </c>
      <c r="D711">
        <v>199</v>
      </c>
      <c r="E711">
        <v>1169</v>
      </c>
      <c r="F711">
        <v>1146601</v>
      </c>
      <c r="G711">
        <v>1234800</v>
      </c>
      <c r="H711">
        <f t="shared" si="22"/>
        <v>26.000022675736961</v>
      </c>
      <c r="I711">
        <f t="shared" si="23"/>
        <v>28</v>
      </c>
      <c r="J711" t="s">
        <v>29</v>
      </c>
      <c r="K711">
        <v>4</v>
      </c>
      <c r="L711" t="e">
        <f t="array" ref="L711">VLOOKUP(J711:$J$3871&amp;K711:$K$3871,CHOOSE({1,2},#REF!&amp;#REF!,#REF!),2,0)</f>
        <v>#N/A</v>
      </c>
      <c r="M711">
        <v>0</v>
      </c>
      <c r="N711">
        <v>1</v>
      </c>
      <c r="O711" t="s">
        <v>23</v>
      </c>
      <c r="P711">
        <v>1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1</v>
      </c>
      <c r="Y711">
        <v>0</v>
      </c>
      <c r="Z711">
        <v>0</v>
      </c>
      <c r="AA711" t="s">
        <v>4156</v>
      </c>
      <c r="AB711" t="s">
        <v>6706</v>
      </c>
      <c r="AC711" t="s">
        <v>4156</v>
      </c>
      <c r="AD711" t="e">
        <f>VLOOKUP(AB711,#REF!,2,FALSE)</f>
        <v>#REF!</v>
      </c>
      <c r="AE711" t="e">
        <f>RIGHT(#REF!,(FIND("Complex",#REF!,1)-5))</f>
        <v>#REF!</v>
      </c>
    </row>
    <row r="712" spans="1:31" x14ac:dyDescent="0.25">
      <c r="A712">
        <v>43</v>
      </c>
      <c r="B712" t="s">
        <v>282</v>
      </c>
      <c r="C712">
        <v>113</v>
      </c>
      <c r="D712">
        <v>8</v>
      </c>
      <c r="E712">
        <v>43</v>
      </c>
      <c r="F712">
        <v>882001</v>
      </c>
      <c r="G712">
        <v>970200</v>
      </c>
      <c r="H712">
        <f t="shared" si="22"/>
        <v>20.000022675736961</v>
      </c>
      <c r="I712">
        <f t="shared" si="23"/>
        <v>22</v>
      </c>
      <c r="J712" t="s">
        <v>29</v>
      </c>
      <c r="K712">
        <v>4</v>
      </c>
      <c r="L712" t="e">
        <f t="array" ref="L712">VLOOKUP(J712:$J$3871&amp;K712:$K$3871,CHOOSE({1,2},#REF!&amp;#REF!,#REF!),2,0)</f>
        <v>#N/A</v>
      </c>
      <c r="M712">
        <v>0</v>
      </c>
      <c r="N712">
        <v>1</v>
      </c>
      <c r="O712" t="s">
        <v>23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1</v>
      </c>
      <c r="Y712">
        <v>0</v>
      </c>
      <c r="Z712">
        <v>0</v>
      </c>
      <c r="AA712" t="s">
        <v>4320</v>
      </c>
      <c r="AB712" t="s">
        <v>2226</v>
      </c>
      <c r="AC712" t="s">
        <v>4320</v>
      </c>
      <c r="AD712" t="e">
        <f>VLOOKUP(AB712,#REF!,2,FALSE)</f>
        <v>#REF!</v>
      </c>
      <c r="AE712" t="e">
        <f>RIGHT(#REF!,(FIND("Complex",#REF!,1)-3))</f>
        <v>#REF!</v>
      </c>
    </row>
    <row r="713" spans="1:31" x14ac:dyDescent="0.25">
      <c r="A713">
        <v>2880</v>
      </c>
      <c r="B713" t="s">
        <v>282</v>
      </c>
      <c r="C713">
        <v>113</v>
      </c>
      <c r="D713">
        <v>630</v>
      </c>
      <c r="E713">
        <v>2880</v>
      </c>
      <c r="F713">
        <v>8026201</v>
      </c>
      <c r="G713">
        <v>8114400</v>
      </c>
      <c r="H713">
        <f t="shared" si="22"/>
        <v>182.00002267573697</v>
      </c>
      <c r="I713">
        <f t="shared" si="23"/>
        <v>184</v>
      </c>
      <c r="J713" t="s">
        <v>29</v>
      </c>
      <c r="K713">
        <v>4</v>
      </c>
      <c r="L713" t="e">
        <f t="array" ref="L713">VLOOKUP(J713:$J$3871&amp;K713:$K$3871,CHOOSE({1,2},#REF!&amp;#REF!,#REF!),2,0)</f>
        <v>#N/A</v>
      </c>
      <c r="M713">
        <v>0</v>
      </c>
      <c r="N713">
        <v>1</v>
      </c>
      <c r="O713" t="s">
        <v>23</v>
      </c>
      <c r="P713">
        <v>1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1</v>
      </c>
      <c r="Y713">
        <v>0</v>
      </c>
      <c r="Z713">
        <v>0</v>
      </c>
      <c r="AA713" t="s">
        <v>4394</v>
      </c>
      <c r="AB713" t="s">
        <v>6857</v>
      </c>
      <c r="AC713" t="s">
        <v>4394</v>
      </c>
      <c r="AD713" t="e">
        <f>VLOOKUP(AB713,#REF!,2,FALSE)</f>
        <v>#REF!</v>
      </c>
      <c r="AE713" t="e">
        <f>RIGHT(#REF!,(FIND("Complex",#REF!,1)-4))</f>
        <v>#REF!</v>
      </c>
    </row>
    <row r="714" spans="1:31" x14ac:dyDescent="0.25">
      <c r="A714">
        <v>3041</v>
      </c>
      <c r="B714" t="s">
        <v>282</v>
      </c>
      <c r="C714">
        <v>113</v>
      </c>
      <c r="D714">
        <v>698</v>
      </c>
      <c r="E714">
        <v>3041</v>
      </c>
      <c r="F714">
        <v>7497001</v>
      </c>
      <c r="G714">
        <v>7585200</v>
      </c>
      <c r="H714">
        <f t="shared" si="22"/>
        <v>170.00002267573697</v>
      </c>
      <c r="I714">
        <f t="shared" si="23"/>
        <v>172</v>
      </c>
      <c r="J714" t="s">
        <v>29</v>
      </c>
      <c r="K714">
        <v>4</v>
      </c>
      <c r="L714" t="e">
        <f t="array" ref="L714">VLOOKUP(J714:$J$3871&amp;K714:$K$3871,CHOOSE({1,2},#REF!&amp;#REF!,#REF!),2,0)</f>
        <v>#N/A</v>
      </c>
      <c r="M714">
        <v>0</v>
      </c>
      <c r="N714">
        <v>1</v>
      </c>
      <c r="O714" t="s">
        <v>23</v>
      </c>
      <c r="P714">
        <v>1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1</v>
      </c>
      <c r="Y714">
        <v>0</v>
      </c>
      <c r="Z714">
        <v>0</v>
      </c>
      <c r="AA714" t="s">
        <v>4441</v>
      </c>
      <c r="AB714" t="s">
        <v>6882</v>
      </c>
      <c r="AC714" t="s">
        <v>4441</v>
      </c>
      <c r="AD714" t="e">
        <f>VLOOKUP(AB714,#REF!,2,FALSE)</f>
        <v>#REF!</v>
      </c>
      <c r="AE714" t="e">
        <f>RIGHT(#REF!,(FIND("Complex",#REF!,1)-4))</f>
        <v>#REF!</v>
      </c>
    </row>
    <row r="715" spans="1:31" x14ac:dyDescent="0.25">
      <c r="A715">
        <v>2663</v>
      </c>
      <c r="B715" t="s">
        <v>282</v>
      </c>
      <c r="C715">
        <v>113</v>
      </c>
      <c r="D715">
        <v>545</v>
      </c>
      <c r="E715">
        <v>2663</v>
      </c>
      <c r="F715">
        <v>705601</v>
      </c>
      <c r="G715">
        <v>793800</v>
      </c>
      <c r="H715">
        <f t="shared" si="22"/>
        <v>16.000022675736961</v>
      </c>
      <c r="I715">
        <f t="shared" si="23"/>
        <v>18</v>
      </c>
      <c r="J715" t="s">
        <v>29</v>
      </c>
      <c r="K715">
        <v>4</v>
      </c>
      <c r="L715" t="e">
        <f t="array" ref="L715">VLOOKUP(J715:$J$3871&amp;K715:$K$3871,CHOOSE({1,2},#REF!&amp;#REF!,#REF!),2,0)</f>
        <v>#N/A</v>
      </c>
      <c r="M715">
        <v>0</v>
      </c>
      <c r="N715">
        <v>1</v>
      </c>
      <c r="O715" t="s">
        <v>23</v>
      </c>
      <c r="P715">
        <v>1</v>
      </c>
      <c r="Q715">
        <v>1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1</v>
      </c>
      <c r="Y715">
        <v>0</v>
      </c>
      <c r="Z715">
        <v>0</v>
      </c>
      <c r="AA715" t="s">
        <v>4504</v>
      </c>
      <c r="AB715" t="s">
        <v>6925</v>
      </c>
      <c r="AC715" t="s">
        <v>4504</v>
      </c>
      <c r="AD715" t="e">
        <f>VLOOKUP(AB715,#REF!,2,FALSE)</f>
        <v>#REF!</v>
      </c>
      <c r="AE715" t="e">
        <f>RIGHT(#REF!,(FIND("Complex",#REF!,1)-5))</f>
        <v>#REF!</v>
      </c>
    </row>
    <row r="716" spans="1:31" x14ac:dyDescent="0.25">
      <c r="A716">
        <v>2978</v>
      </c>
      <c r="B716" t="s">
        <v>282</v>
      </c>
      <c r="C716">
        <v>113</v>
      </c>
      <c r="D716">
        <v>673</v>
      </c>
      <c r="E716">
        <v>2978</v>
      </c>
      <c r="F716">
        <v>5203801</v>
      </c>
      <c r="G716">
        <v>5292000</v>
      </c>
      <c r="H716">
        <f t="shared" si="22"/>
        <v>118.00002267573696</v>
      </c>
      <c r="I716">
        <f t="shared" si="23"/>
        <v>120</v>
      </c>
      <c r="J716" t="s">
        <v>29</v>
      </c>
      <c r="K716">
        <v>4</v>
      </c>
      <c r="L716" t="e">
        <f t="array" ref="L716">VLOOKUP(J716:$J$3871&amp;K716:$K$3871,CHOOSE({1,2},#REF!&amp;#REF!,#REF!),2,0)</f>
        <v>#N/A</v>
      </c>
      <c r="M716">
        <v>0</v>
      </c>
      <c r="N716">
        <v>1</v>
      </c>
      <c r="O716" t="s">
        <v>23</v>
      </c>
      <c r="P716">
        <v>1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>
        <v>0</v>
      </c>
      <c r="Z716">
        <v>0</v>
      </c>
      <c r="AA716" t="s">
        <v>4749</v>
      </c>
      <c r="AB716" t="s">
        <v>2227</v>
      </c>
      <c r="AC716" t="s">
        <v>4749</v>
      </c>
      <c r="AD716" t="e">
        <f>VLOOKUP(AB716,#REF!,2,FALSE)</f>
        <v>#REF!</v>
      </c>
      <c r="AE716" t="e">
        <f>RIGHT(#REF!,(FIND("Complex",#REF!,1)-4))</f>
        <v>#REF!</v>
      </c>
    </row>
    <row r="717" spans="1:31" x14ac:dyDescent="0.25">
      <c r="A717">
        <v>925</v>
      </c>
      <c r="B717" t="s">
        <v>82</v>
      </c>
      <c r="C717">
        <v>115</v>
      </c>
      <c r="D717">
        <v>161</v>
      </c>
      <c r="E717">
        <v>925</v>
      </c>
      <c r="F717">
        <v>3087001</v>
      </c>
      <c r="G717">
        <v>3175200</v>
      </c>
      <c r="H717">
        <f t="shared" si="22"/>
        <v>70.000022675736957</v>
      </c>
      <c r="I717">
        <f t="shared" si="23"/>
        <v>72</v>
      </c>
      <c r="J717" t="s">
        <v>29</v>
      </c>
      <c r="K717">
        <v>4</v>
      </c>
      <c r="L717" t="e">
        <f t="array" ref="L717">VLOOKUP(J717:$J$3871&amp;K717:$K$3871,CHOOSE({1,2},#REF!&amp;#REF!,#REF!),2,0)</f>
        <v>#N/A</v>
      </c>
      <c r="M717">
        <v>0</v>
      </c>
      <c r="N717">
        <v>1</v>
      </c>
      <c r="O717" t="s">
        <v>23</v>
      </c>
      <c r="P717">
        <v>1</v>
      </c>
      <c r="Q717">
        <v>0</v>
      </c>
      <c r="R717">
        <v>1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1</v>
      </c>
      <c r="Z717">
        <v>0</v>
      </c>
      <c r="AA717" t="s">
        <v>3715</v>
      </c>
      <c r="AB717" t="s">
        <v>2239</v>
      </c>
      <c r="AC717" t="s">
        <v>3715</v>
      </c>
      <c r="AD717" t="e">
        <f>VLOOKUP(AB717,#REF!,2,FALSE)</f>
        <v>#REF!</v>
      </c>
      <c r="AE717" t="e">
        <f>RIGHT(#REF!,(FIND("Complex",#REF!,1)-4))</f>
        <v>#REF!</v>
      </c>
    </row>
    <row r="718" spans="1:31" x14ac:dyDescent="0.25">
      <c r="A718">
        <v>2740</v>
      </c>
      <c r="B718" t="s">
        <v>82</v>
      </c>
      <c r="C718">
        <v>115</v>
      </c>
      <c r="D718">
        <v>578</v>
      </c>
      <c r="E718">
        <v>2740</v>
      </c>
      <c r="F718">
        <v>2028601</v>
      </c>
      <c r="G718">
        <v>2116800</v>
      </c>
      <c r="H718">
        <f t="shared" si="22"/>
        <v>46.000022675736965</v>
      </c>
      <c r="I718">
        <f t="shared" si="23"/>
        <v>48</v>
      </c>
      <c r="J718" t="s">
        <v>29</v>
      </c>
      <c r="K718">
        <v>4</v>
      </c>
      <c r="L718" t="e">
        <f t="array" ref="L718">VLOOKUP(J718:$J$3871&amp;K718:$K$3871,CHOOSE({1,2},#REF!&amp;#REF!,#REF!),2,0)</f>
        <v>#N/A</v>
      </c>
      <c r="M718">
        <v>0</v>
      </c>
      <c r="N718">
        <v>1</v>
      </c>
      <c r="O718" t="s">
        <v>23</v>
      </c>
      <c r="P718">
        <v>1</v>
      </c>
      <c r="Q718">
        <v>0</v>
      </c>
      <c r="R718">
        <v>1</v>
      </c>
      <c r="S718">
        <v>0</v>
      </c>
      <c r="T718">
        <v>0</v>
      </c>
      <c r="U718">
        <v>1</v>
      </c>
      <c r="V718">
        <v>0</v>
      </c>
      <c r="W718">
        <v>1</v>
      </c>
      <c r="X718">
        <v>0</v>
      </c>
      <c r="Y718">
        <v>0</v>
      </c>
      <c r="Z718">
        <v>0</v>
      </c>
      <c r="AA718" t="s">
        <v>3907</v>
      </c>
      <c r="AB718" t="s">
        <v>6542</v>
      </c>
      <c r="AC718" t="s">
        <v>3907</v>
      </c>
      <c r="AD718" t="e">
        <f>VLOOKUP(AB718,#REF!,2,FALSE)</f>
        <v>#REF!</v>
      </c>
      <c r="AE718" t="e">
        <f>RIGHT(#REF!,(FIND("Complex",#REF!,1)-5))</f>
        <v>#REF!</v>
      </c>
    </row>
    <row r="719" spans="1:31" x14ac:dyDescent="0.25">
      <c r="A719">
        <v>1037</v>
      </c>
      <c r="B719" t="s">
        <v>285</v>
      </c>
      <c r="C719">
        <v>116</v>
      </c>
      <c r="D719">
        <v>181</v>
      </c>
      <c r="E719">
        <v>1037</v>
      </c>
      <c r="F719">
        <v>4321801</v>
      </c>
      <c r="G719">
        <v>4410000</v>
      </c>
      <c r="H719">
        <f t="shared" si="22"/>
        <v>98.000022675736957</v>
      </c>
      <c r="I719">
        <f t="shared" si="23"/>
        <v>100</v>
      </c>
      <c r="J719" t="s">
        <v>29</v>
      </c>
      <c r="K719">
        <v>4</v>
      </c>
      <c r="L719" t="e">
        <f t="array" ref="L719">VLOOKUP(J719:$J$3871&amp;K719:$K$3871,CHOOSE({1,2},#REF!&amp;#REF!,#REF!),2,0)</f>
        <v>#N/A</v>
      </c>
      <c r="M719">
        <v>0</v>
      </c>
      <c r="N719">
        <v>1</v>
      </c>
      <c r="O719" t="s">
        <v>23</v>
      </c>
      <c r="P719">
        <v>1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1</v>
      </c>
      <c r="Y719">
        <v>0</v>
      </c>
      <c r="Z719">
        <v>0</v>
      </c>
      <c r="AA719" t="s">
        <v>3510</v>
      </c>
      <c r="AB719" t="s">
        <v>2264</v>
      </c>
      <c r="AC719" t="s">
        <v>3510</v>
      </c>
      <c r="AD719" t="e">
        <f>VLOOKUP(AB719,#REF!,2,FALSE)</f>
        <v>#REF!</v>
      </c>
      <c r="AE719" t="e">
        <f>RIGHT(#REF!,(FIND("Complex",#REF!,1)-5))</f>
        <v>#REF!</v>
      </c>
    </row>
    <row r="720" spans="1:31" x14ac:dyDescent="0.25">
      <c r="A720">
        <v>3394</v>
      </c>
      <c r="B720" t="s">
        <v>285</v>
      </c>
      <c r="C720">
        <v>116</v>
      </c>
      <c r="D720">
        <v>874</v>
      </c>
      <c r="E720">
        <v>3394</v>
      </c>
      <c r="F720">
        <v>3792601</v>
      </c>
      <c r="G720">
        <v>3880800</v>
      </c>
      <c r="H720">
        <f t="shared" si="22"/>
        <v>86.000022675736957</v>
      </c>
      <c r="I720">
        <f t="shared" si="23"/>
        <v>88</v>
      </c>
      <c r="J720" t="s">
        <v>29</v>
      </c>
      <c r="K720">
        <v>4</v>
      </c>
      <c r="L720" t="e">
        <f t="array" ref="L720">VLOOKUP(J720:$J$3871&amp;K720:$K$3871,CHOOSE({1,2},#REF!&amp;#REF!,#REF!),2,0)</f>
        <v>#N/A</v>
      </c>
      <c r="M720">
        <v>0</v>
      </c>
      <c r="N720">
        <v>1</v>
      </c>
      <c r="O720" t="s">
        <v>23</v>
      </c>
      <c r="P720">
        <v>1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1</v>
      </c>
      <c r="Y720">
        <v>0</v>
      </c>
      <c r="Z720">
        <v>0</v>
      </c>
      <c r="AA720" t="s">
        <v>3590</v>
      </c>
      <c r="AB720" t="s">
        <v>2265</v>
      </c>
      <c r="AC720" t="s">
        <v>3590</v>
      </c>
      <c r="AD720" t="e">
        <f>VLOOKUP(AB720,#REF!,2,FALSE)</f>
        <v>#REF!</v>
      </c>
      <c r="AE720" t="e">
        <f>RIGHT(#REF!,(FIND("Complex",#REF!,1)-5))</f>
        <v>#REF!</v>
      </c>
    </row>
    <row r="721" spans="1:31" x14ac:dyDescent="0.25">
      <c r="A721">
        <v>2565</v>
      </c>
      <c r="B721" t="s">
        <v>285</v>
      </c>
      <c r="C721">
        <v>116</v>
      </c>
      <c r="D721">
        <v>513</v>
      </c>
      <c r="E721">
        <v>2565</v>
      </c>
      <c r="F721">
        <v>3175201</v>
      </c>
      <c r="G721">
        <v>3263400</v>
      </c>
      <c r="H721">
        <f t="shared" si="22"/>
        <v>72.000022675736957</v>
      </c>
      <c r="I721">
        <f t="shared" si="23"/>
        <v>74</v>
      </c>
      <c r="J721" t="s">
        <v>29</v>
      </c>
      <c r="K721">
        <v>4</v>
      </c>
      <c r="L721" t="e">
        <f t="array" ref="L721">VLOOKUP(J721:$J$3871&amp;K721:$K$3871,CHOOSE({1,2},#REF!&amp;#REF!,#REF!),2,0)</f>
        <v>#N/A</v>
      </c>
      <c r="M721">
        <v>0</v>
      </c>
      <c r="N721">
        <v>1</v>
      </c>
      <c r="O721" t="s">
        <v>23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1</v>
      </c>
      <c r="Y721">
        <v>0</v>
      </c>
      <c r="Z721">
        <v>0</v>
      </c>
      <c r="AA721" t="s">
        <v>3695</v>
      </c>
      <c r="AB721" t="s">
        <v>6419</v>
      </c>
      <c r="AC721" t="s">
        <v>3695</v>
      </c>
      <c r="AD721" t="e">
        <f>VLOOKUP(AB721,#REF!,2,FALSE)</f>
        <v>#REF!</v>
      </c>
      <c r="AE721" t="e">
        <f>RIGHT(#REF!,(FIND("Complex",#REF!,1)-5))</f>
        <v>#REF!</v>
      </c>
    </row>
    <row r="722" spans="1:31" x14ac:dyDescent="0.25">
      <c r="A722">
        <v>1699</v>
      </c>
      <c r="B722" t="s">
        <v>285</v>
      </c>
      <c r="C722">
        <v>116</v>
      </c>
      <c r="D722">
        <v>291</v>
      </c>
      <c r="E722">
        <v>1699</v>
      </c>
      <c r="F722">
        <v>2734201</v>
      </c>
      <c r="G722">
        <v>2822400</v>
      </c>
      <c r="H722">
        <f t="shared" si="22"/>
        <v>62.000022675736965</v>
      </c>
      <c r="I722">
        <f t="shared" si="23"/>
        <v>64</v>
      </c>
      <c r="J722" t="s">
        <v>29</v>
      </c>
      <c r="K722">
        <v>4</v>
      </c>
      <c r="L722" t="e">
        <f t="array" ref="L722">VLOOKUP(J722:$J$3871&amp;K722:$K$3871,CHOOSE({1,2},#REF!&amp;#REF!,#REF!),2,0)</f>
        <v>#N/A</v>
      </c>
      <c r="M722">
        <v>0</v>
      </c>
      <c r="N722">
        <v>1</v>
      </c>
      <c r="O722" t="s">
        <v>23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1</v>
      </c>
      <c r="Y722">
        <v>0</v>
      </c>
      <c r="Z722">
        <v>0</v>
      </c>
      <c r="AA722" t="s">
        <v>3771</v>
      </c>
      <c r="AB722" t="s">
        <v>6465</v>
      </c>
      <c r="AC722" t="s">
        <v>3771</v>
      </c>
      <c r="AD722" t="e">
        <f>VLOOKUP(AB722,#REF!,2,FALSE)</f>
        <v>#REF!</v>
      </c>
      <c r="AE722" t="e">
        <f>RIGHT(#REF!,(FIND("Complex",#REF!,1)-5))</f>
        <v>#REF!</v>
      </c>
    </row>
    <row r="723" spans="1:31" x14ac:dyDescent="0.25">
      <c r="A723">
        <v>2723</v>
      </c>
      <c r="B723" t="s">
        <v>285</v>
      </c>
      <c r="C723">
        <v>116</v>
      </c>
      <c r="D723">
        <v>570</v>
      </c>
      <c r="E723">
        <v>2723</v>
      </c>
      <c r="F723">
        <v>2116801</v>
      </c>
      <c r="G723">
        <v>2205000</v>
      </c>
      <c r="H723">
        <f t="shared" si="22"/>
        <v>48.000022675736965</v>
      </c>
      <c r="I723">
        <f t="shared" si="23"/>
        <v>50</v>
      </c>
      <c r="J723" t="s">
        <v>29</v>
      </c>
      <c r="K723">
        <v>4</v>
      </c>
      <c r="L723" t="e">
        <f t="array" ref="L723">VLOOKUP(J723:$J$3871&amp;K723:$K$3871,CHOOSE({1,2},#REF!&amp;#REF!,#REF!),2,0)</f>
        <v>#N/A</v>
      </c>
      <c r="M723">
        <v>0</v>
      </c>
      <c r="N723">
        <v>1</v>
      </c>
      <c r="O723" t="s">
        <v>23</v>
      </c>
      <c r="P723">
        <v>1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1</v>
      </c>
      <c r="Y723">
        <v>0</v>
      </c>
      <c r="Z723">
        <v>0</v>
      </c>
      <c r="AA723" t="s">
        <v>3893</v>
      </c>
      <c r="AB723" t="s">
        <v>2266</v>
      </c>
      <c r="AC723" t="s">
        <v>3893</v>
      </c>
      <c r="AD723" t="e">
        <f>VLOOKUP(AB723,#REF!,2,FALSE)</f>
        <v>#REF!</v>
      </c>
      <c r="AE723" t="e">
        <f>RIGHT(#REF!,(FIND("Complex",#REF!,1)-5))</f>
        <v>#REF!</v>
      </c>
    </row>
    <row r="724" spans="1:31" x14ac:dyDescent="0.25">
      <c r="A724">
        <v>781</v>
      </c>
      <c r="B724" t="s">
        <v>285</v>
      </c>
      <c r="C724">
        <v>116</v>
      </c>
      <c r="D724">
        <v>135</v>
      </c>
      <c r="E724">
        <v>781</v>
      </c>
      <c r="F724">
        <v>1675801</v>
      </c>
      <c r="G724">
        <v>1764000</v>
      </c>
      <c r="H724">
        <f t="shared" si="22"/>
        <v>38.000022675736965</v>
      </c>
      <c r="I724">
        <f t="shared" si="23"/>
        <v>40</v>
      </c>
      <c r="J724" t="s">
        <v>29</v>
      </c>
      <c r="K724">
        <v>4</v>
      </c>
      <c r="L724" t="e">
        <f t="array" ref="L724">VLOOKUP(J724:$J$3871&amp;K724:$K$3871,CHOOSE({1,2},#REF!&amp;#REF!,#REF!),2,0)</f>
        <v>#N/A</v>
      </c>
      <c r="M724">
        <v>0</v>
      </c>
      <c r="N724">
        <v>1</v>
      </c>
      <c r="O724" t="s">
        <v>23</v>
      </c>
      <c r="P724">
        <v>1</v>
      </c>
      <c r="Q724">
        <v>1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1</v>
      </c>
      <c r="Y724">
        <v>0</v>
      </c>
      <c r="Z724">
        <v>0</v>
      </c>
      <c r="AA724" t="s">
        <v>3987</v>
      </c>
      <c r="AB724" t="s">
        <v>6585</v>
      </c>
      <c r="AC724" t="s">
        <v>3987</v>
      </c>
      <c r="AD724" t="e">
        <f>VLOOKUP(AB724,#REF!,2,FALSE)</f>
        <v>#REF!</v>
      </c>
      <c r="AE724" t="e">
        <f>RIGHT(#REF!,(FIND("Complex",#REF!,1)-4))</f>
        <v>#REF!</v>
      </c>
    </row>
    <row r="725" spans="1:31" x14ac:dyDescent="0.25">
      <c r="A725">
        <v>241</v>
      </c>
      <c r="B725" t="s">
        <v>285</v>
      </c>
      <c r="C725">
        <v>116</v>
      </c>
      <c r="D725">
        <v>47</v>
      </c>
      <c r="E725">
        <v>241</v>
      </c>
      <c r="F725">
        <v>9702001</v>
      </c>
      <c r="G725">
        <v>9790200</v>
      </c>
      <c r="H725">
        <f t="shared" si="22"/>
        <v>220.00002267573697</v>
      </c>
      <c r="I725">
        <f t="shared" si="23"/>
        <v>222</v>
      </c>
      <c r="J725" t="s">
        <v>29</v>
      </c>
      <c r="K725">
        <v>4</v>
      </c>
      <c r="L725" t="e">
        <f t="array" ref="L725">VLOOKUP(J725:$J$3871&amp;K725:$K$3871,CHOOSE({1,2},#REF!&amp;#REF!,#REF!),2,0)</f>
        <v>#N/A</v>
      </c>
      <c r="M725">
        <v>0</v>
      </c>
      <c r="N725">
        <v>1</v>
      </c>
      <c r="O725" t="s">
        <v>23</v>
      </c>
      <c r="P725">
        <v>1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1</v>
      </c>
      <c r="Y725">
        <v>0</v>
      </c>
      <c r="Z725">
        <v>0</v>
      </c>
      <c r="AA725" t="s">
        <v>4235</v>
      </c>
      <c r="AB725" t="s">
        <v>2267</v>
      </c>
      <c r="AC725" t="s">
        <v>4235</v>
      </c>
      <c r="AD725" t="e">
        <f>VLOOKUP(AB725,#REF!,2,FALSE)</f>
        <v>#REF!</v>
      </c>
      <c r="AE725" t="e">
        <f>RIGHT(#REF!,(FIND("Complex",#REF!,1)-3))</f>
        <v>#REF!</v>
      </c>
    </row>
    <row r="726" spans="1:31" x14ac:dyDescent="0.25">
      <c r="A726">
        <v>2611</v>
      </c>
      <c r="B726" t="s">
        <v>285</v>
      </c>
      <c r="C726">
        <v>116</v>
      </c>
      <c r="D726">
        <v>525</v>
      </c>
      <c r="E726">
        <v>2611</v>
      </c>
      <c r="F726">
        <v>7144201</v>
      </c>
      <c r="G726">
        <v>7232400</v>
      </c>
      <c r="H726">
        <f t="shared" si="22"/>
        <v>162.00002267573697</v>
      </c>
      <c r="I726">
        <f t="shared" si="23"/>
        <v>164</v>
      </c>
      <c r="J726" t="s">
        <v>29</v>
      </c>
      <c r="K726">
        <v>4</v>
      </c>
      <c r="L726" t="e">
        <f t="array" ref="L726">VLOOKUP(J726:$J$3871&amp;K726:$K$3871,CHOOSE({1,2},#REF!&amp;#REF!,#REF!),2,0)</f>
        <v>#N/A</v>
      </c>
      <c r="M726">
        <v>0</v>
      </c>
      <c r="N726">
        <v>1</v>
      </c>
      <c r="O726" t="s">
        <v>23</v>
      </c>
      <c r="P726">
        <v>1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1</v>
      </c>
      <c r="Y726">
        <v>0</v>
      </c>
      <c r="Z726">
        <v>0</v>
      </c>
      <c r="AA726" t="s">
        <v>4473</v>
      </c>
      <c r="AB726" t="s">
        <v>2268</v>
      </c>
      <c r="AC726" t="s">
        <v>4473</v>
      </c>
      <c r="AD726" t="e">
        <f>VLOOKUP(AB726,#REF!,2,FALSE)</f>
        <v>#REF!</v>
      </c>
      <c r="AE726" t="e">
        <f>RIGHT(#REF!,(FIND("Complex",#REF!,1)-4))</f>
        <v>#REF!</v>
      </c>
    </row>
    <row r="727" spans="1:31" x14ac:dyDescent="0.25">
      <c r="A727">
        <v>456</v>
      </c>
      <c r="B727" t="s">
        <v>285</v>
      </c>
      <c r="C727">
        <v>116</v>
      </c>
      <c r="D727">
        <v>83</v>
      </c>
      <c r="E727">
        <v>456</v>
      </c>
      <c r="F727">
        <v>6262201</v>
      </c>
      <c r="G727">
        <v>6350400</v>
      </c>
      <c r="H727">
        <f t="shared" si="22"/>
        <v>142.00002267573697</v>
      </c>
      <c r="I727">
        <f t="shared" si="23"/>
        <v>144</v>
      </c>
      <c r="J727" t="s">
        <v>29</v>
      </c>
      <c r="K727">
        <v>4</v>
      </c>
      <c r="L727" t="e">
        <f t="array" ref="L727">VLOOKUP(J727:$J$3871&amp;K727:$K$3871,CHOOSE({1,2},#REF!&amp;#REF!,#REF!),2,0)</f>
        <v>#N/A</v>
      </c>
      <c r="M727">
        <v>0</v>
      </c>
      <c r="N727">
        <v>1</v>
      </c>
      <c r="O727" t="s">
        <v>23</v>
      </c>
      <c r="P727">
        <v>1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1</v>
      </c>
      <c r="Y727">
        <v>0</v>
      </c>
      <c r="Z727">
        <v>0</v>
      </c>
      <c r="AA727" t="s">
        <v>4593</v>
      </c>
      <c r="AB727" t="s">
        <v>6990</v>
      </c>
      <c r="AC727" t="s">
        <v>4593</v>
      </c>
      <c r="AD727" t="e">
        <f>VLOOKUP(AB727,#REF!,2,FALSE)</f>
        <v>#REF!</v>
      </c>
      <c r="AE727" t="e">
        <f>RIGHT(#REF!,(FIND("Complex",#REF!,1)-3))</f>
        <v>#REF!</v>
      </c>
    </row>
    <row r="728" spans="1:31" x14ac:dyDescent="0.25">
      <c r="A728">
        <v>2651</v>
      </c>
      <c r="B728" t="s">
        <v>285</v>
      </c>
      <c r="C728">
        <v>116</v>
      </c>
      <c r="D728">
        <v>541</v>
      </c>
      <c r="E728">
        <v>2651</v>
      </c>
      <c r="F728">
        <v>4674601</v>
      </c>
      <c r="G728">
        <v>4762800</v>
      </c>
      <c r="H728">
        <f t="shared" si="22"/>
        <v>106.00002267573696</v>
      </c>
      <c r="I728">
        <f t="shared" si="23"/>
        <v>108</v>
      </c>
      <c r="J728" t="s">
        <v>29</v>
      </c>
      <c r="K728">
        <v>4</v>
      </c>
      <c r="L728" t="e">
        <f t="array" ref="L728">VLOOKUP(J728:$J$3871&amp;K728:$K$3871,CHOOSE({1,2},#REF!&amp;#REF!,#REF!),2,0)</f>
        <v>#N/A</v>
      </c>
      <c r="M728">
        <v>0</v>
      </c>
      <c r="N728">
        <v>1</v>
      </c>
      <c r="O728" t="s">
        <v>23</v>
      </c>
      <c r="P728">
        <v>1</v>
      </c>
      <c r="Q728">
        <v>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1</v>
      </c>
      <c r="Y728">
        <v>0</v>
      </c>
      <c r="Z728">
        <v>0</v>
      </c>
      <c r="AA728" t="s">
        <v>4808</v>
      </c>
      <c r="AB728" t="s">
        <v>7113</v>
      </c>
      <c r="AC728" t="s">
        <v>4808</v>
      </c>
      <c r="AD728" t="e">
        <f>VLOOKUP(AB728,#REF!,2,FALSE)</f>
        <v>#REF!</v>
      </c>
      <c r="AE728" t="e">
        <f>RIGHT(#REF!,(FIND("Complex",#REF!,1)-4))</f>
        <v>#REF!</v>
      </c>
    </row>
    <row r="729" spans="1:31" x14ac:dyDescent="0.25">
      <c r="A729">
        <v>1614</v>
      </c>
      <c r="B729" t="s">
        <v>285</v>
      </c>
      <c r="C729">
        <v>116</v>
      </c>
      <c r="D729">
        <v>280</v>
      </c>
      <c r="E729">
        <v>1614</v>
      </c>
      <c r="F729">
        <v>4498201</v>
      </c>
      <c r="G729">
        <v>4586400</v>
      </c>
      <c r="H729">
        <f t="shared" si="22"/>
        <v>102.00002267573696</v>
      </c>
      <c r="I729">
        <f t="shared" si="23"/>
        <v>104</v>
      </c>
      <c r="J729" t="s">
        <v>29</v>
      </c>
      <c r="K729">
        <v>4</v>
      </c>
      <c r="L729" t="e">
        <f t="array" ref="L729">VLOOKUP(J729:$J$3871&amp;K729:$K$3871,CHOOSE({1,2},#REF!&amp;#REF!,#REF!),2,0)</f>
        <v>#N/A</v>
      </c>
      <c r="M729">
        <v>0</v>
      </c>
      <c r="N729">
        <v>1</v>
      </c>
      <c r="O729" t="s">
        <v>23</v>
      </c>
      <c r="P729">
        <v>1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1</v>
      </c>
      <c r="Y729">
        <v>0</v>
      </c>
      <c r="Z729">
        <v>0</v>
      </c>
      <c r="AA729" t="s">
        <v>4831</v>
      </c>
      <c r="AB729" t="s">
        <v>7127</v>
      </c>
      <c r="AC729" t="s">
        <v>4831</v>
      </c>
      <c r="AD729" t="e">
        <f>VLOOKUP(AB729,#REF!,2,FALSE)</f>
        <v>#REF!</v>
      </c>
      <c r="AE729" t="e">
        <f>RIGHT(#REF!,(FIND("Complex",#REF!,1)-4))</f>
        <v>#REF!</v>
      </c>
    </row>
    <row r="730" spans="1:31" x14ac:dyDescent="0.25">
      <c r="A730">
        <v>3210</v>
      </c>
      <c r="B730" t="s">
        <v>285</v>
      </c>
      <c r="C730">
        <v>116</v>
      </c>
      <c r="D730">
        <v>775</v>
      </c>
      <c r="E730">
        <v>3210</v>
      </c>
      <c r="F730">
        <v>4410001</v>
      </c>
      <c r="G730">
        <v>4498200</v>
      </c>
      <c r="H730">
        <f t="shared" si="22"/>
        <v>100.00002267573696</v>
      </c>
      <c r="I730">
        <f t="shared" si="23"/>
        <v>102</v>
      </c>
      <c r="J730" t="s">
        <v>29</v>
      </c>
      <c r="K730">
        <v>4</v>
      </c>
      <c r="L730" t="e">
        <f t="array" ref="L730">VLOOKUP(J730:$J$3871&amp;K730:$K$3871,CHOOSE({1,2},#REF!&amp;#REF!,#REF!),2,0)</f>
        <v>#N/A</v>
      </c>
      <c r="M730">
        <v>0</v>
      </c>
      <c r="N730">
        <v>1</v>
      </c>
      <c r="O730" t="s">
        <v>23</v>
      </c>
      <c r="P730">
        <v>1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1</v>
      </c>
      <c r="Y730">
        <v>0</v>
      </c>
      <c r="Z730">
        <v>0</v>
      </c>
      <c r="AA730" t="s">
        <v>4847</v>
      </c>
      <c r="AB730" t="s">
        <v>7137</v>
      </c>
      <c r="AC730" t="s">
        <v>4847</v>
      </c>
      <c r="AD730" t="e">
        <f>VLOOKUP(AB730,#REF!,2,FALSE)</f>
        <v>#REF!</v>
      </c>
      <c r="AE730" t="e">
        <f>RIGHT(#REF!,(FIND("Complex",#REF!,1)-4))</f>
        <v>#REF!</v>
      </c>
    </row>
    <row r="731" spans="1:31" x14ac:dyDescent="0.25">
      <c r="A731">
        <v>266</v>
      </c>
      <c r="B731" t="s">
        <v>44</v>
      </c>
      <c r="C731">
        <v>117</v>
      </c>
      <c r="D731">
        <v>51</v>
      </c>
      <c r="E731">
        <v>266</v>
      </c>
      <c r="F731">
        <v>352801</v>
      </c>
      <c r="G731">
        <v>441000</v>
      </c>
      <c r="H731">
        <f t="shared" si="22"/>
        <v>8.000022675736961</v>
      </c>
      <c r="I731">
        <f t="shared" si="23"/>
        <v>10</v>
      </c>
      <c r="J731" t="s">
        <v>29</v>
      </c>
      <c r="K731">
        <v>4</v>
      </c>
      <c r="L731" t="e">
        <f t="array" ref="L731">VLOOKUP(J731:$J$3871&amp;K731:$K$3871,CHOOSE({1,2},#REF!&amp;#REF!,#REF!),2,0)</f>
        <v>#N/A</v>
      </c>
      <c r="M731">
        <v>0</v>
      </c>
      <c r="N731">
        <v>1</v>
      </c>
      <c r="O731" t="s">
        <v>23</v>
      </c>
      <c r="P731">
        <v>1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1</v>
      </c>
      <c r="Y731">
        <v>0</v>
      </c>
      <c r="Z731">
        <v>0</v>
      </c>
      <c r="AA731" t="s">
        <v>3647</v>
      </c>
      <c r="AB731" t="s">
        <v>2273</v>
      </c>
      <c r="AC731" t="s">
        <v>3647</v>
      </c>
      <c r="AD731" t="e">
        <f>VLOOKUP(AB731,#REF!,2,FALSE)</f>
        <v>#REF!</v>
      </c>
      <c r="AE731" t="e">
        <f>RIGHT(#REF!,(FIND("Complex",#REF!,1)-5))</f>
        <v>#REF!</v>
      </c>
    </row>
    <row r="732" spans="1:31" x14ac:dyDescent="0.25">
      <c r="A732">
        <v>780</v>
      </c>
      <c r="B732" t="s">
        <v>44</v>
      </c>
      <c r="C732">
        <v>117</v>
      </c>
      <c r="D732">
        <v>134</v>
      </c>
      <c r="E732">
        <v>780</v>
      </c>
      <c r="F732">
        <v>176401</v>
      </c>
      <c r="G732">
        <v>264600</v>
      </c>
      <c r="H732">
        <f t="shared" si="22"/>
        <v>4.000022675736961</v>
      </c>
      <c r="I732">
        <f t="shared" si="23"/>
        <v>6</v>
      </c>
      <c r="J732" t="s">
        <v>29</v>
      </c>
      <c r="K732">
        <v>4</v>
      </c>
      <c r="L732" t="e">
        <f t="array" ref="L732">VLOOKUP(J732:$J$3871&amp;K732:$K$3871,CHOOSE({1,2},#REF!&amp;#REF!,#REF!),2,0)</f>
        <v>#N/A</v>
      </c>
      <c r="M732">
        <v>0</v>
      </c>
      <c r="N732">
        <v>1</v>
      </c>
      <c r="O732" t="s">
        <v>23</v>
      </c>
      <c r="P732">
        <v>1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1</v>
      </c>
      <c r="Y732">
        <v>0</v>
      </c>
      <c r="Z732">
        <v>0</v>
      </c>
      <c r="AA732" t="s">
        <v>3970</v>
      </c>
      <c r="AB732" t="s">
        <v>2274</v>
      </c>
      <c r="AC732" t="s">
        <v>3970</v>
      </c>
      <c r="AD732" t="e">
        <f>VLOOKUP(AB732,#REF!,2,FALSE)</f>
        <v>#REF!</v>
      </c>
      <c r="AE732" t="e">
        <f>RIGHT(#REF!,(FIND("Complex",#REF!,1)-5))</f>
        <v>#REF!</v>
      </c>
    </row>
    <row r="733" spans="1:31" x14ac:dyDescent="0.25">
      <c r="A733">
        <v>37</v>
      </c>
      <c r="B733" t="s">
        <v>44</v>
      </c>
      <c r="C733">
        <v>117</v>
      </c>
      <c r="D733">
        <v>7</v>
      </c>
      <c r="E733">
        <v>37</v>
      </c>
      <c r="F733">
        <v>617401</v>
      </c>
      <c r="G733">
        <v>705600</v>
      </c>
      <c r="H733">
        <f t="shared" si="22"/>
        <v>14.000022675736961</v>
      </c>
      <c r="I733">
        <f t="shared" si="23"/>
        <v>16</v>
      </c>
      <c r="J733" t="s">
        <v>29</v>
      </c>
      <c r="K733">
        <v>4</v>
      </c>
      <c r="L733" t="e">
        <f t="array" ref="L733">VLOOKUP(J733:$J$3871&amp;K733:$K$3871,CHOOSE({1,2},#REF!&amp;#REF!,#REF!),2,0)</f>
        <v>#N/A</v>
      </c>
      <c r="M733">
        <v>0</v>
      </c>
      <c r="N733">
        <v>1</v>
      </c>
      <c r="O733" t="s">
        <v>23</v>
      </c>
      <c r="P733">
        <v>1</v>
      </c>
      <c r="Q733">
        <v>1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1</v>
      </c>
      <c r="Y733">
        <v>0</v>
      </c>
      <c r="Z733">
        <v>0</v>
      </c>
      <c r="AA733" t="s">
        <v>4624</v>
      </c>
      <c r="AB733" t="s">
        <v>2275</v>
      </c>
      <c r="AC733" t="s">
        <v>4624</v>
      </c>
      <c r="AD733" t="e">
        <f>VLOOKUP(AB733,#REF!,2,FALSE)</f>
        <v>#REF!</v>
      </c>
      <c r="AE733" t="e">
        <f>RIGHT(#REF!,(FIND("Complex",#REF!,1)-3))</f>
        <v>#REF!</v>
      </c>
    </row>
    <row r="734" spans="1:31" x14ac:dyDescent="0.25">
      <c r="A734">
        <v>2436</v>
      </c>
      <c r="B734" t="s">
        <v>81</v>
      </c>
      <c r="C734">
        <v>5</v>
      </c>
      <c r="D734">
        <v>462</v>
      </c>
      <c r="E734">
        <v>2436</v>
      </c>
      <c r="F734">
        <v>15435001</v>
      </c>
      <c r="G734">
        <v>15523200</v>
      </c>
      <c r="H734">
        <f t="shared" si="22"/>
        <v>350.00002267573694</v>
      </c>
      <c r="I734">
        <f t="shared" si="23"/>
        <v>352</v>
      </c>
      <c r="J734" t="s">
        <v>29</v>
      </c>
      <c r="K734">
        <v>3</v>
      </c>
      <c r="L734" t="e">
        <f t="array" ref="L734">VLOOKUP(J734:$J$3871&amp;K734:$K$3871,CHOOSE({1,2},#REF!&amp;#REF!,#REF!),2,0)</f>
        <v>#N/A</v>
      </c>
      <c r="M734">
        <v>-15</v>
      </c>
      <c r="N734">
        <v>0</v>
      </c>
      <c r="O734" t="s">
        <v>7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1</v>
      </c>
      <c r="Y734">
        <v>0</v>
      </c>
      <c r="Z734">
        <v>0</v>
      </c>
      <c r="AA734" t="s">
        <v>5325</v>
      </c>
      <c r="AB734" t="s">
        <v>419</v>
      </c>
      <c r="AC734" t="s">
        <v>5325</v>
      </c>
      <c r="AD734" t="e">
        <f>VLOOKUP(AB734,#REF!,2,FALSE)</f>
        <v>#REF!</v>
      </c>
      <c r="AE734" t="e">
        <f>RIGHT(#REF!,(FIND("Complex",#REF!,1)-8))</f>
        <v>#REF!</v>
      </c>
    </row>
    <row r="735" spans="1:31" x14ac:dyDescent="0.25">
      <c r="A735">
        <v>1233</v>
      </c>
      <c r="B735" t="s">
        <v>81</v>
      </c>
      <c r="C735">
        <v>5</v>
      </c>
      <c r="D735">
        <v>211</v>
      </c>
      <c r="E735">
        <v>1233</v>
      </c>
      <c r="F735">
        <v>6615001</v>
      </c>
      <c r="G735">
        <v>6703200</v>
      </c>
      <c r="H735">
        <f t="shared" si="22"/>
        <v>150.00002267573697</v>
      </c>
      <c r="I735">
        <f t="shared" si="23"/>
        <v>152</v>
      </c>
      <c r="J735" t="s">
        <v>29</v>
      </c>
      <c r="K735">
        <v>3</v>
      </c>
      <c r="L735" t="e">
        <f t="array" ref="L735">VLOOKUP(J735:$J$3871&amp;K735:$K$3871,CHOOSE({1,2},#REF!&amp;#REF!,#REF!),2,0)</f>
        <v>#N/A</v>
      </c>
      <c r="M735">
        <v>-15</v>
      </c>
      <c r="N735">
        <v>0</v>
      </c>
      <c r="O735" t="s">
        <v>7</v>
      </c>
      <c r="P735">
        <v>1</v>
      </c>
      <c r="Q735">
        <v>1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 t="s">
        <v>5877</v>
      </c>
      <c r="AB735" t="s">
        <v>7725</v>
      </c>
      <c r="AC735" t="s">
        <v>5877</v>
      </c>
      <c r="AD735" t="e">
        <f>VLOOKUP(AB735,#REF!,2,FALSE)</f>
        <v>#REF!</v>
      </c>
      <c r="AE735" t="e">
        <f>RIGHT(#REF!,(FIND("Complex",#REF!,1)-8))</f>
        <v>#REF!</v>
      </c>
    </row>
    <row r="736" spans="1:31" x14ac:dyDescent="0.25">
      <c r="A736">
        <v>1416</v>
      </c>
      <c r="B736" t="s">
        <v>81</v>
      </c>
      <c r="C736">
        <v>5</v>
      </c>
      <c r="D736">
        <v>238</v>
      </c>
      <c r="E736">
        <v>1416</v>
      </c>
      <c r="F736">
        <v>6526801</v>
      </c>
      <c r="G736">
        <v>6615000</v>
      </c>
      <c r="H736">
        <f t="shared" si="22"/>
        <v>148.00002267573697</v>
      </c>
      <c r="I736">
        <f t="shared" si="23"/>
        <v>150</v>
      </c>
      <c r="J736" t="s">
        <v>29</v>
      </c>
      <c r="K736">
        <v>3</v>
      </c>
      <c r="L736" t="e">
        <f t="array" ref="L736">VLOOKUP(J736:$J$3871&amp;K736:$K$3871,CHOOSE({1,2},#REF!&amp;#REF!,#REF!),2,0)</f>
        <v>#N/A</v>
      </c>
      <c r="M736">
        <v>-15</v>
      </c>
      <c r="N736">
        <v>0</v>
      </c>
      <c r="O736" t="s">
        <v>7</v>
      </c>
      <c r="P736">
        <v>1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 t="s">
        <v>5885</v>
      </c>
      <c r="AB736" t="s">
        <v>420</v>
      </c>
      <c r="AC736" t="s">
        <v>5885</v>
      </c>
      <c r="AD736" t="e">
        <f>VLOOKUP(AB736,#REF!,2,FALSE)</f>
        <v>#REF!</v>
      </c>
      <c r="AE736" t="e">
        <f>RIGHT(#REF!,(FIND("Complex",#REF!,1)-8))</f>
        <v>#REF!</v>
      </c>
    </row>
    <row r="737" spans="1:31" x14ac:dyDescent="0.25">
      <c r="A737">
        <v>3386</v>
      </c>
      <c r="B737" t="s">
        <v>81</v>
      </c>
      <c r="C737">
        <v>5</v>
      </c>
      <c r="D737">
        <v>869</v>
      </c>
      <c r="E737">
        <v>3386</v>
      </c>
      <c r="F737">
        <v>6174001</v>
      </c>
      <c r="G737">
        <v>6262200</v>
      </c>
      <c r="H737">
        <f t="shared" si="22"/>
        <v>140.00002267573697</v>
      </c>
      <c r="I737">
        <f t="shared" si="23"/>
        <v>142</v>
      </c>
      <c r="J737" t="s">
        <v>29</v>
      </c>
      <c r="K737">
        <v>3</v>
      </c>
      <c r="L737" t="e">
        <f t="array" ref="L737">VLOOKUP(J737:$J$3871&amp;K737:$K$3871,CHOOSE({1,2},#REF!&amp;#REF!,#REF!),2,0)</f>
        <v>#N/A</v>
      </c>
      <c r="M737">
        <v>-15</v>
      </c>
      <c r="N737">
        <v>0</v>
      </c>
      <c r="O737" t="s">
        <v>7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 t="s">
        <v>5926</v>
      </c>
      <c r="AB737" t="s">
        <v>421</v>
      </c>
      <c r="AC737" t="s">
        <v>5926</v>
      </c>
      <c r="AD737" t="e">
        <f>VLOOKUP(AB737,#REF!,2,FALSE)</f>
        <v>#REF!</v>
      </c>
      <c r="AE737" t="e">
        <f>RIGHT(#REF!,(FIND("Complex",#REF!,1)-8))</f>
        <v>#REF!</v>
      </c>
    </row>
    <row r="738" spans="1:31" x14ac:dyDescent="0.25">
      <c r="A738">
        <v>1589</v>
      </c>
      <c r="B738" t="s">
        <v>81</v>
      </c>
      <c r="C738">
        <v>5</v>
      </c>
      <c r="D738">
        <v>274</v>
      </c>
      <c r="E738">
        <v>1589</v>
      </c>
      <c r="F738">
        <v>5556601</v>
      </c>
      <c r="G738">
        <v>5644800</v>
      </c>
      <c r="H738">
        <f t="shared" si="22"/>
        <v>126.00002267573696</v>
      </c>
      <c r="I738">
        <f t="shared" si="23"/>
        <v>128</v>
      </c>
      <c r="J738" t="s">
        <v>29</v>
      </c>
      <c r="K738">
        <v>3</v>
      </c>
      <c r="L738" t="e">
        <f t="array" ref="L738">VLOOKUP(J738:$J$3871&amp;K738:$K$3871,CHOOSE({1,2},#REF!&amp;#REF!,#REF!),2,0)</f>
        <v>#N/A</v>
      </c>
      <c r="M738">
        <v>-15</v>
      </c>
      <c r="N738">
        <v>0</v>
      </c>
      <c r="O738" t="s">
        <v>7</v>
      </c>
      <c r="P738">
        <v>1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 t="s">
        <v>5989</v>
      </c>
      <c r="AB738" t="s">
        <v>7790</v>
      </c>
      <c r="AC738" t="s">
        <v>5989</v>
      </c>
      <c r="AD738" t="e">
        <f>VLOOKUP(AB738,#REF!,2,FALSE)</f>
        <v>#REF!</v>
      </c>
      <c r="AE738" t="e">
        <f>RIGHT(#REF!,(FIND("Complex",#REF!,1)-8))</f>
        <v>#REF!</v>
      </c>
    </row>
    <row r="739" spans="1:31" x14ac:dyDescent="0.25">
      <c r="A739">
        <v>3584</v>
      </c>
      <c r="B739" t="s">
        <v>81</v>
      </c>
      <c r="C739">
        <v>5</v>
      </c>
      <c r="D739">
        <v>954</v>
      </c>
      <c r="E739">
        <v>3584</v>
      </c>
      <c r="F739">
        <v>5203801</v>
      </c>
      <c r="G739">
        <v>5292000</v>
      </c>
      <c r="H739">
        <f t="shared" si="22"/>
        <v>118.00002267573696</v>
      </c>
      <c r="I739">
        <f t="shared" si="23"/>
        <v>120</v>
      </c>
      <c r="J739" t="s">
        <v>29</v>
      </c>
      <c r="K739">
        <v>3</v>
      </c>
      <c r="L739" t="e">
        <f t="array" ref="L739">VLOOKUP(J739:$J$3871&amp;K739:$K$3871,CHOOSE({1,2},#REF!&amp;#REF!,#REF!),2,0)</f>
        <v>#N/A</v>
      </c>
      <c r="M739">
        <v>-15</v>
      </c>
      <c r="N739">
        <v>0</v>
      </c>
      <c r="O739" t="s">
        <v>7</v>
      </c>
      <c r="P739">
        <v>1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 t="s">
        <v>6047</v>
      </c>
      <c r="AB739" t="s">
        <v>422</v>
      </c>
      <c r="AC739" t="s">
        <v>6047</v>
      </c>
      <c r="AD739" t="e">
        <f>VLOOKUP(AB739,#REF!,2,FALSE)</f>
        <v>#REF!</v>
      </c>
      <c r="AE739" t="e">
        <f>RIGHT(#REF!,(FIND("Complex",#REF!,1)-8))</f>
        <v>#REF!</v>
      </c>
    </row>
    <row r="740" spans="1:31" x14ac:dyDescent="0.25">
      <c r="A740">
        <v>73</v>
      </c>
      <c r="B740" t="s">
        <v>94</v>
      </c>
      <c r="C740">
        <v>7</v>
      </c>
      <c r="D740">
        <v>11</v>
      </c>
      <c r="E740">
        <v>73</v>
      </c>
      <c r="F740">
        <v>793801</v>
      </c>
      <c r="G740">
        <v>882000</v>
      </c>
      <c r="H740">
        <f t="shared" si="22"/>
        <v>18.000022675736961</v>
      </c>
      <c r="I740">
        <f t="shared" si="23"/>
        <v>20</v>
      </c>
      <c r="J740" t="s">
        <v>29</v>
      </c>
      <c r="K740">
        <v>3</v>
      </c>
      <c r="L740" t="e">
        <f t="array" ref="L740">VLOOKUP(J740:$J$3871&amp;K740:$K$3871,CHOOSE({1,2},#REF!&amp;#REF!,#REF!),2,0)</f>
        <v>#N/A</v>
      </c>
      <c r="M740">
        <v>-15</v>
      </c>
      <c r="N740">
        <v>0</v>
      </c>
      <c r="O740" t="s">
        <v>7</v>
      </c>
      <c r="P740">
        <v>1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0</v>
      </c>
      <c r="X740">
        <v>0</v>
      </c>
      <c r="Y740">
        <v>0</v>
      </c>
      <c r="Z740">
        <v>0</v>
      </c>
      <c r="AA740" t="s">
        <v>5711</v>
      </c>
      <c r="AB740" t="s">
        <v>459</v>
      </c>
      <c r="AC740" t="s">
        <v>5711</v>
      </c>
      <c r="AD740" t="e">
        <f>VLOOKUP(AB740,#REF!,2,FALSE)</f>
        <v>#REF!</v>
      </c>
      <c r="AE740" t="e">
        <f>RIGHT(#REF!,(FIND("Complex",#REF!,1)-7))</f>
        <v>#REF!</v>
      </c>
    </row>
    <row r="741" spans="1:31" x14ac:dyDescent="0.25">
      <c r="A741">
        <v>3442</v>
      </c>
      <c r="B741" t="s">
        <v>89</v>
      </c>
      <c r="C741">
        <v>8</v>
      </c>
      <c r="D741">
        <v>894</v>
      </c>
      <c r="E741">
        <v>3442</v>
      </c>
      <c r="F741">
        <v>3175201</v>
      </c>
      <c r="G741">
        <v>3263400</v>
      </c>
      <c r="H741">
        <f t="shared" si="22"/>
        <v>72.000022675736957</v>
      </c>
      <c r="I741">
        <f t="shared" si="23"/>
        <v>74</v>
      </c>
      <c r="J741" t="s">
        <v>29</v>
      </c>
      <c r="K741">
        <v>3</v>
      </c>
      <c r="L741" t="e">
        <f t="array" ref="L741">VLOOKUP(J741:$J$3871&amp;K741:$K$3871,CHOOSE({1,2},#REF!&amp;#REF!,#REF!),2,0)</f>
        <v>#N/A</v>
      </c>
      <c r="M741">
        <v>-15</v>
      </c>
      <c r="N741">
        <v>0</v>
      </c>
      <c r="O741" t="s">
        <v>7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1</v>
      </c>
      <c r="Y741">
        <v>0</v>
      </c>
      <c r="Z741">
        <v>0</v>
      </c>
      <c r="AA741" t="s">
        <v>5040</v>
      </c>
      <c r="AB741" t="s">
        <v>495</v>
      </c>
      <c r="AC741" t="s">
        <v>5040</v>
      </c>
      <c r="AD741" t="e">
        <f>VLOOKUP(AB741,#REF!,2,FALSE)</f>
        <v>#REF!</v>
      </c>
      <c r="AE741" t="e">
        <f>RIGHT(#REF!,(FIND("Complex",#REF!,1)-9))</f>
        <v>#REF!</v>
      </c>
    </row>
    <row r="742" spans="1:31" x14ac:dyDescent="0.25">
      <c r="A742">
        <v>3019</v>
      </c>
      <c r="B742" t="s">
        <v>89</v>
      </c>
      <c r="C742">
        <v>8</v>
      </c>
      <c r="D742">
        <v>690</v>
      </c>
      <c r="E742">
        <v>3019</v>
      </c>
      <c r="F742">
        <v>2910601</v>
      </c>
      <c r="G742">
        <v>2998800</v>
      </c>
      <c r="H742">
        <f t="shared" si="22"/>
        <v>66.000022675736957</v>
      </c>
      <c r="I742">
        <f t="shared" si="23"/>
        <v>68</v>
      </c>
      <c r="J742" t="s">
        <v>29</v>
      </c>
      <c r="K742">
        <v>3</v>
      </c>
      <c r="L742" t="e">
        <f t="array" ref="L742">VLOOKUP(J742:$J$3871&amp;K742:$K$3871,CHOOSE({1,2},#REF!&amp;#REF!,#REF!),2,0)</f>
        <v>#N/A</v>
      </c>
      <c r="M742">
        <v>-15</v>
      </c>
      <c r="N742">
        <v>0</v>
      </c>
      <c r="O742" t="s">
        <v>7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1</v>
      </c>
      <c r="Y742">
        <v>0</v>
      </c>
      <c r="Z742">
        <v>0</v>
      </c>
      <c r="AA742" t="s">
        <v>5079</v>
      </c>
      <c r="AB742" t="s">
        <v>7255</v>
      </c>
      <c r="AC742" t="s">
        <v>5079</v>
      </c>
      <c r="AD742" t="e">
        <f>VLOOKUP(AB742,#REF!,2,FALSE)</f>
        <v>#REF!</v>
      </c>
      <c r="AE742" t="e">
        <f>RIGHT(#REF!,(FIND("Complex",#REF!,1)-9))</f>
        <v>#REF!</v>
      </c>
    </row>
    <row r="743" spans="1:31" x14ac:dyDescent="0.25">
      <c r="A743">
        <v>323</v>
      </c>
      <c r="B743" t="s">
        <v>89</v>
      </c>
      <c r="C743">
        <v>8</v>
      </c>
      <c r="D743">
        <v>61</v>
      </c>
      <c r="E743">
        <v>323</v>
      </c>
      <c r="F743">
        <v>2646001</v>
      </c>
      <c r="G743">
        <v>2734200</v>
      </c>
      <c r="H743">
        <f t="shared" si="22"/>
        <v>60.000022675736965</v>
      </c>
      <c r="I743">
        <f t="shared" si="23"/>
        <v>62</v>
      </c>
      <c r="J743" t="s">
        <v>29</v>
      </c>
      <c r="K743">
        <v>3</v>
      </c>
      <c r="L743" t="e">
        <f t="array" ref="L743">VLOOKUP(J743:$J$3871&amp;K743:$K$3871,CHOOSE({1,2},#REF!&amp;#REF!,#REF!),2,0)</f>
        <v>#N/A</v>
      </c>
      <c r="M743">
        <v>-15</v>
      </c>
      <c r="N743">
        <v>0</v>
      </c>
      <c r="O743" t="s">
        <v>7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1</v>
      </c>
      <c r="Y743">
        <v>0</v>
      </c>
      <c r="Z743">
        <v>0</v>
      </c>
      <c r="AA743" t="s">
        <v>5110</v>
      </c>
      <c r="AB743" t="s">
        <v>496</v>
      </c>
      <c r="AC743" t="s">
        <v>5110</v>
      </c>
      <c r="AD743" t="e">
        <f>VLOOKUP(AB743,#REF!,2,FALSE)</f>
        <v>#REF!</v>
      </c>
      <c r="AE743" t="e">
        <f>RIGHT(#REF!,(FIND("Complex",#REF!,1)-8))</f>
        <v>#REF!</v>
      </c>
    </row>
    <row r="744" spans="1:31" x14ac:dyDescent="0.25">
      <c r="A744">
        <v>2036</v>
      </c>
      <c r="B744" t="s">
        <v>89</v>
      </c>
      <c r="C744">
        <v>8</v>
      </c>
      <c r="D744">
        <v>359</v>
      </c>
      <c r="E744">
        <v>2036</v>
      </c>
      <c r="F744">
        <v>2557801</v>
      </c>
      <c r="G744">
        <v>2646000</v>
      </c>
      <c r="H744">
        <f t="shared" si="22"/>
        <v>58.000022675736965</v>
      </c>
      <c r="I744">
        <f t="shared" si="23"/>
        <v>60</v>
      </c>
      <c r="J744" t="s">
        <v>29</v>
      </c>
      <c r="K744">
        <v>3</v>
      </c>
      <c r="L744" t="e">
        <f t="array" ref="L744">VLOOKUP(J744:$J$3871&amp;K744:$K$3871,CHOOSE({1,2},#REF!&amp;#REF!,#REF!),2,0)</f>
        <v>#N/A</v>
      </c>
      <c r="M744">
        <v>-15</v>
      </c>
      <c r="N744">
        <v>0</v>
      </c>
      <c r="O744" t="s">
        <v>7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1</v>
      </c>
      <c r="Y744">
        <v>0</v>
      </c>
      <c r="Z744">
        <v>0</v>
      </c>
      <c r="AA744" t="s">
        <v>5140</v>
      </c>
      <c r="AB744" t="s">
        <v>497</v>
      </c>
      <c r="AC744" t="s">
        <v>5140</v>
      </c>
      <c r="AD744" t="e">
        <f>VLOOKUP(AB744,#REF!,2,FALSE)</f>
        <v>#REF!</v>
      </c>
      <c r="AE744" t="e">
        <f>RIGHT(#REF!,(FIND("Complex",#REF!,1)-9))</f>
        <v>#REF!</v>
      </c>
    </row>
    <row r="745" spans="1:31" x14ac:dyDescent="0.25">
      <c r="A745">
        <v>1140</v>
      </c>
      <c r="B745" t="s">
        <v>89</v>
      </c>
      <c r="C745">
        <v>8</v>
      </c>
      <c r="D745">
        <v>196</v>
      </c>
      <c r="E745">
        <v>1140</v>
      </c>
      <c r="F745">
        <v>2469601</v>
      </c>
      <c r="G745">
        <v>2557800</v>
      </c>
      <c r="H745">
        <f t="shared" si="22"/>
        <v>56.000022675736965</v>
      </c>
      <c r="I745">
        <f t="shared" si="23"/>
        <v>58</v>
      </c>
      <c r="J745" t="s">
        <v>29</v>
      </c>
      <c r="K745">
        <v>3</v>
      </c>
      <c r="L745" t="e">
        <f t="array" ref="L745">VLOOKUP(J745:$J$3871&amp;K745:$K$3871,CHOOSE({1,2},#REF!&amp;#REF!,#REF!),2,0)</f>
        <v>#N/A</v>
      </c>
      <c r="M745">
        <v>-15</v>
      </c>
      <c r="N745">
        <v>0</v>
      </c>
      <c r="O745" t="s">
        <v>7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 t="s">
        <v>5151</v>
      </c>
      <c r="AB745" t="s">
        <v>498</v>
      </c>
      <c r="AC745" t="s">
        <v>5151</v>
      </c>
      <c r="AD745" t="e">
        <f>VLOOKUP(AB745,#REF!,2,FALSE)</f>
        <v>#REF!</v>
      </c>
      <c r="AE745" t="e">
        <f>RIGHT(#REF!,(FIND("Complex",#REF!,1)-9))</f>
        <v>#REF!</v>
      </c>
    </row>
    <row r="746" spans="1:31" x14ac:dyDescent="0.25">
      <c r="A746">
        <v>3502</v>
      </c>
      <c r="B746" t="s">
        <v>89</v>
      </c>
      <c r="C746">
        <v>8</v>
      </c>
      <c r="D746">
        <v>922</v>
      </c>
      <c r="E746">
        <v>3502</v>
      </c>
      <c r="F746">
        <v>6526801</v>
      </c>
      <c r="G746">
        <v>6615000</v>
      </c>
      <c r="H746">
        <f t="shared" si="22"/>
        <v>148.00002267573697</v>
      </c>
      <c r="I746">
        <f t="shared" si="23"/>
        <v>150</v>
      </c>
      <c r="J746" t="s">
        <v>29</v>
      </c>
      <c r="K746">
        <v>3</v>
      </c>
      <c r="L746" t="e">
        <f t="array" ref="L746">VLOOKUP(J746:$J$3871&amp;K746:$K$3871,CHOOSE({1,2},#REF!&amp;#REF!,#REF!),2,0)</f>
        <v>#N/A</v>
      </c>
      <c r="M746">
        <v>-15</v>
      </c>
      <c r="N746">
        <v>0</v>
      </c>
      <c r="O746" t="s">
        <v>7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1</v>
      </c>
      <c r="AA746" t="s">
        <v>5884</v>
      </c>
      <c r="AB746" t="s">
        <v>7730</v>
      </c>
      <c r="AC746" t="s">
        <v>5884</v>
      </c>
      <c r="AD746" t="e">
        <f>VLOOKUP(AB746,#REF!,2,FALSE)</f>
        <v>#REF!</v>
      </c>
      <c r="AE746" t="e">
        <f>RIGHT(#REF!,(FIND("Complex",#REF!,1)-8))</f>
        <v>#REF!</v>
      </c>
    </row>
    <row r="747" spans="1:31" x14ac:dyDescent="0.25">
      <c r="A747">
        <v>3267</v>
      </c>
      <c r="B747" t="s">
        <v>89</v>
      </c>
      <c r="C747">
        <v>8</v>
      </c>
      <c r="D747">
        <v>810</v>
      </c>
      <c r="E747">
        <v>3267</v>
      </c>
      <c r="F747">
        <v>6262201</v>
      </c>
      <c r="G747">
        <v>6350400</v>
      </c>
      <c r="H747">
        <f t="shared" si="22"/>
        <v>142.00002267573697</v>
      </c>
      <c r="I747">
        <f t="shared" si="23"/>
        <v>144</v>
      </c>
      <c r="J747" t="s">
        <v>29</v>
      </c>
      <c r="K747">
        <v>3</v>
      </c>
      <c r="L747" t="e">
        <f t="array" ref="L747">VLOOKUP(J747:$J$3871&amp;K747:$K$3871,CHOOSE({1,2},#REF!&amp;#REF!,#REF!),2,0)</f>
        <v>#N/A</v>
      </c>
      <c r="M747">
        <v>-15</v>
      </c>
      <c r="N747">
        <v>0</v>
      </c>
      <c r="O747" t="s">
        <v>7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1</v>
      </c>
      <c r="Y747">
        <v>0</v>
      </c>
      <c r="Z747">
        <v>0</v>
      </c>
      <c r="AA747" t="s">
        <v>5914</v>
      </c>
      <c r="AB747" t="s">
        <v>499</v>
      </c>
      <c r="AC747" t="s">
        <v>5914</v>
      </c>
      <c r="AD747" t="e">
        <f>VLOOKUP(AB747,#REF!,2,FALSE)</f>
        <v>#REF!</v>
      </c>
      <c r="AE747" t="e">
        <f>RIGHT(#REF!,(FIND("Complex",#REF!,1)-8))</f>
        <v>#REF!</v>
      </c>
    </row>
    <row r="748" spans="1:31" x14ac:dyDescent="0.25">
      <c r="A748">
        <v>433</v>
      </c>
      <c r="B748" t="s">
        <v>52</v>
      </c>
      <c r="C748">
        <v>12</v>
      </c>
      <c r="D748">
        <v>79</v>
      </c>
      <c r="E748">
        <v>433</v>
      </c>
      <c r="F748">
        <v>4057201</v>
      </c>
      <c r="G748">
        <v>4145400</v>
      </c>
      <c r="H748">
        <f t="shared" si="22"/>
        <v>92.000022675736957</v>
      </c>
      <c r="I748">
        <f t="shared" si="23"/>
        <v>94</v>
      </c>
      <c r="J748" t="s">
        <v>29</v>
      </c>
      <c r="K748">
        <v>3</v>
      </c>
      <c r="L748" t="e">
        <f t="array" ref="L748">VLOOKUP(J748:$J$3871&amp;K748:$K$3871,CHOOSE({1,2},#REF!&amp;#REF!,#REF!),2,0)</f>
        <v>#N/A</v>
      </c>
      <c r="M748">
        <v>-15</v>
      </c>
      <c r="N748">
        <v>0</v>
      </c>
      <c r="O748" t="s">
        <v>7</v>
      </c>
      <c r="P748">
        <v>1</v>
      </c>
      <c r="Q748">
        <v>0</v>
      </c>
      <c r="R748">
        <v>1</v>
      </c>
      <c r="S748">
        <v>0</v>
      </c>
      <c r="T748">
        <v>1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 t="s">
        <v>4918</v>
      </c>
      <c r="AB748" t="s">
        <v>521</v>
      </c>
      <c r="AC748" t="s">
        <v>4918</v>
      </c>
      <c r="AD748" t="e">
        <f>VLOOKUP(AB748,#REF!,2,FALSE)</f>
        <v>#REF!</v>
      </c>
      <c r="AE748" t="e">
        <f>RIGHT(#REF!,(FIND("Complex",#REF!,1)-7))</f>
        <v>#REF!</v>
      </c>
    </row>
    <row r="749" spans="1:31" x14ac:dyDescent="0.25">
      <c r="A749">
        <v>119</v>
      </c>
      <c r="B749" t="s">
        <v>52</v>
      </c>
      <c r="C749">
        <v>12</v>
      </c>
      <c r="D749">
        <v>23</v>
      </c>
      <c r="E749">
        <v>119</v>
      </c>
      <c r="F749">
        <v>5468401</v>
      </c>
      <c r="G749">
        <v>5556600</v>
      </c>
      <c r="H749">
        <f t="shared" si="22"/>
        <v>124.00002267573696</v>
      </c>
      <c r="I749">
        <f t="shared" si="23"/>
        <v>126</v>
      </c>
      <c r="J749" t="s">
        <v>29</v>
      </c>
      <c r="K749">
        <v>3</v>
      </c>
      <c r="L749" t="e">
        <f t="array" ref="L749">VLOOKUP(J749:$J$3871&amp;K749:$K$3871,CHOOSE({1,2},#REF!&amp;#REF!,#REF!),2,0)</f>
        <v>#N/A</v>
      </c>
      <c r="M749">
        <v>-15</v>
      </c>
      <c r="N749">
        <v>0</v>
      </c>
      <c r="O749" t="s">
        <v>7</v>
      </c>
      <c r="P749">
        <v>1</v>
      </c>
      <c r="Q749">
        <v>0</v>
      </c>
      <c r="R749">
        <v>1</v>
      </c>
      <c r="S749">
        <v>0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 t="s">
        <v>6002</v>
      </c>
      <c r="AB749" t="s">
        <v>522</v>
      </c>
      <c r="AC749" t="s">
        <v>6002</v>
      </c>
      <c r="AD749" t="e">
        <f>VLOOKUP(AB749,#REF!,2,FALSE)</f>
        <v>#REF!</v>
      </c>
      <c r="AE749" t="e">
        <f>RIGHT(#REF!,(FIND("Complex",#REF!,1)-6))</f>
        <v>#REF!</v>
      </c>
    </row>
    <row r="750" spans="1:31" x14ac:dyDescent="0.25">
      <c r="A750">
        <v>867</v>
      </c>
      <c r="B750" t="s">
        <v>79</v>
      </c>
      <c r="C750">
        <v>13</v>
      </c>
      <c r="D750">
        <v>151</v>
      </c>
      <c r="E750">
        <v>867</v>
      </c>
      <c r="F750">
        <v>2822401</v>
      </c>
      <c r="G750">
        <v>2910600</v>
      </c>
      <c r="H750">
        <f t="shared" si="22"/>
        <v>64.000022675736957</v>
      </c>
      <c r="I750">
        <f t="shared" si="23"/>
        <v>66</v>
      </c>
      <c r="J750" t="s">
        <v>29</v>
      </c>
      <c r="K750">
        <v>3</v>
      </c>
      <c r="L750" t="e">
        <f t="array" ref="L750">VLOOKUP(J750:$J$3871&amp;K750:$K$3871,CHOOSE({1,2},#REF!&amp;#REF!,#REF!),2,0)</f>
        <v>#N/A</v>
      </c>
      <c r="M750">
        <v>-15</v>
      </c>
      <c r="N750">
        <v>0</v>
      </c>
      <c r="O750" t="s">
        <v>7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1</v>
      </c>
      <c r="Z750">
        <v>0</v>
      </c>
      <c r="AA750" t="s">
        <v>5092</v>
      </c>
      <c r="AB750" t="s">
        <v>536</v>
      </c>
      <c r="AC750" t="s">
        <v>5092</v>
      </c>
      <c r="AD750" t="e">
        <f>VLOOKUP(AB750,#REF!,2,FALSE)</f>
        <v>#REF!</v>
      </c>
      <c r="AE750" t="e">
        <f>RIGHT(#REF!,(FIND("Complex",#REF!,1)-7))</f>
        <v>#REF!</v>
      </c>
    </row>
    <row r="751" spans="1:31" x14ac:dyDescent="0.25">
      <c r="A751">
        <v>1272</v>
      </c>
      <c r="B751" t="s">
        <v>79</v>
      </c>
      <c r="C751">
        <v>13</v>
      </c>
      <c r="D751">
        <v>218</v>
      </c>
      <c r="E751">
        <v>1272</v>
      </c>
      <c r="F751">
        <v>2557801</v>
      </c>
      <c r="G751">
        <v>2646000</v>
      </c>
      <c r="H751">
        <f t="shared" si="22"/>
        <v>58.000022675736965</v>
      </c>
      <c r="I751">
        <f t="shared" si="23"/>
        <v>60</v>
      </c>
      <c r="J751" t="s">
        <v>29</v>
      </c>
      <c r="K751">
        <v>3</v>
      </c>
      <c r="L751" t="e">
        <f t="array" ref="L751">VLOOKUP(J751:$J$3871&amp;K751:$K$3871,CHOOSE({1,2},#REF!&amp;#REF!,#REF!),2,0)</f>
        <v>#N/A</v>
      </c>
      <c r="M751">
        <v>-15</v>
      </c>
      <c r="N751">
        <v>0</v>
      </c>
      <c r="O751" t="s">
        <v>7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>
        <v>0</v>
      </c>
      <c r="AA751" t="s">
        <v>5146</v>
      </c>
      <c r="AB751" t="s">
        <v>7288</v>
      </c>
      <c r="AC751" t="s">
        <v>5146</v>
      </c>
      <c r="AD751" t="e">
        <f>VLOOKUP(AB751,#REF!,2,FALSE)</f>
        <v>#REF!</v>
      </c>
      <c r="AE751" t="e">
        <f>RIGHT(#REF!,(FIND("Complex",#REF!,1)-8))</f>
        <v>#REF!</v>
      </c>
    </row>
    <row r="752" spans="1:31" x14ac:dyDescent="0.25">
      <c r="A752">
        <v>3437</v>
      </c>
      <c r="B752" t="s">
        <v>79</v>
      </c>
      <c r="C752">
        <v>13</v>
      </c>
      <c r="D752">
        <v>890</v>
      </c>
      <c r="E752">
        <v>3437</v>
      </c>
      <c r="F752">
        <v>1058401</v>
      </c>
      <c r="G752">
        <v>1146600</v>
      </c>
      <c r="H752">
        <f t="shared" si="22"/>
        <v>24.000022675736961</v>
      </c>
      <c r="I752">
        <f t="shared" si="23"/>
        <v>26</v>
      </c>
      <c r="J752" t="s">
        <v>29</v>
      </c>
      <c r="K752">
        <v>3</v>
      </c>
      <c r="L752" t="e">
        <f t="array" ref="L752">VLOOKUP(J752:$J$3871&amp;K752:$K$3871,CHOOSE({1,2},#REF!&amp;#REF!,#REF!),2,0)</f>
        <v>#N/A</v>
      </c>
      <c r="M752">
        <v>-15</v>
      </c>
      <c r="N752">
        <v>0</v>
      </c>
      <c r="O752" t="s">
        <v>7</v>
      </c>
      <c r="P752">
        <v>1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 t="s">
        <v>5529</v>
      </c>
      <c r="AB752" t="s">
        <v>7510</v>
      </c>
      <c r="AC752" t="s">
        <v>5529</v>
      </c>
      <c r="AD752" t="e">
        <f>VLOOKUP(AB752,#REF!,2,FALSE)</f>
        <v>#REF!</v>
      </c>
      <c r="AE752" t="e">
        <f>RIGHT(#REF!,(FIND("Complex",#REF!,1)-8))</f>
        <v>#REF!</v>
      </c>
    </row>
    <row r="753" spans="1:31" x14ac:dyDescent="0.25">
      <c r="A753">
        <v>3174</v>
      </c>
      <c r="B753" t="s">
        <v>236</v>
      </c>
      <c r="C753">
        <v>15</v>
      </c>
      <c r="D753">
        <v>760</v>
      </c>
      <c r="E753">
        <v>3174</v>
      </c>
      <c r="F753">
        <v>882001</v>
      </c>
      <c r="G753">
        <v>970200</v>
      </c>
      <c r="H753">
        <f t="shared" si="22"/>
        <v>20.000022675736961</v>
      </c>
      <c r="I753">
        <f t="shared" si="23"/>
        <v>22</v>
      </c>
      <c r="J753" t="s">
        <v>29</v>
      </c>
      <c r="K753">
        <v>3</v>
      </c>
      <c r="L753" t="e">
        <f t="array" ref="L753">VLOOKUP(J753:$J$3871&amp;K753:$K$3871,CHOOSE({1,2},#REF!&amp;#REF!,#REF!),2,0)</f>
        <v>#N/A</v>
      </c>
      <c r="M753">
        <v>-15</v>
      </c>
      <c r="N753">
        <v>0</v>
      </c>
      <c r="O753" t="s">
        <v>7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1</v>
      </c>
      <c r="Y753">
        <v>0</v>
      </c>
      <c r="Z753">
        <v>0</v>
      </c>
      <c r="AA753" t="s">
        <v>5644</v>
      </c>
      <c r="AB753" t="s">
        <v>7583</v>
      </c>
      <c r="AC753" t="s">
        <v>5644</v>
      </c>
      <c r="AD753" t="e">
        <f>VLOOKUP(AB753,#REF!,2,FALSE)</f>
        <v>#REF!</v>
      </c>
      <c r="AE753" t="e">
        <f>RIGHT(#REF!,(FIND("Complex",#REF!,1)-8))</f>
        <v>#REF!</v>
      </c>
    </row>
    <row r="754" spans="1:31" x14ac:dyDescent="0.25">
      <c r="A754">
        <v>3824</v>
      </c>
      <c r="B754" t="s">
        <v>236</v>
      </c>
      <c r="C754">
        <v>15</v>
      </c>
      <c r="D754">
        <v>1040</v>
      </c>
      <c r="E754">
        <v>3824</v>
      </c>
      <c r="F754">
        <v>617401</v>
      </c>
      <c r="G754">
        <v>705600</v>
      </c>
      <c r="H754">
        <f t="shared" si="22"/>
        <v>14.000022675736961</v>
      </c>
      <c r="I754">
        <f t="shared" si="23"/>
        <v>16</v>
      </c>
      <c r="J754" t="s">
        <v>29</v>
      </c>
      <c r="K754">
        <v>3</v>
      </c>
      <c r="L754" t="e">
        <f t="array" ref="L754">VLOOKUP(J754:$J$3871&amp;K754:$K$3871,CHOOSE({1,2},#REF!&amp;#REF!,#REF!),2,0)</f>
        <v>#N/A</v>
      </c>
      <c r="M754">
        <v>-15</v>
      </c>
      <c r="N754">
        <v>0</v>
      </c>
      <c r="O754" t="s">
        <v>7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1</v>
      </c>
      <c r="Y754">
        <v>0</v>
      </c>
      <c r="Z754">
        <v>0</v>
      </c>
      <c r="AA754" t="s">
        <v>5949</v>
      </c>
      <c r="AB754" t="s">
        <v>7768</v>
      </c>
      <c r="AC754" t="s">
        <v>5949</v>
      </c>
      <c r="AD754" t="e">
        <f>VLOOKUP(AB754,#REF!,2,FALSE)</f>
        <v>#REF!</v>
      </c>
      <c r="AE754" t="e">
        <f>RIGHT(#REF!,(FIND("Complex",#REF!,1)-9))</f>
        <v>#REF!</v>
      </c>
    </row>
    <row r="755" spans="1:31" x14ac:dyDescent="0.25">
      <c r="A755">
        <v>1244</v>
      </c>
      <c r="B755" t="s">
        <v>43</v>
      </c>
      <c r="C755">
        <v>19</v>
      </c>
      <c r="D755">
        <v>214</v>
      </c>
      <c r="E755">
        <v>1244</v>
      </c>
      <c r="F755">
        <v>705601</v>
      </c>
      <c r="G755">
        <v>793800</v>
      </c>
      <c r="H755">
        <f t="shared" si="22"/>
        <v>16.000022675736961</v>
      </c>
      <c r="I755">
        <f t="shared" si="23"/>
        <v>18</v>
      </c>
      <c r="J755" t="s">
        <v>29</v>
      </c>
      <c r="K755">
        <v>3</v>
      </c>
      <c r="L755" t="e">
        <f t="array" ref="L755">VLOOKUP(J755:$J$3871&amp;K755:$K$3871,CHOOSE({1,2},#REF!&amp;#REF!,#REF!),2,0)</f>
        <v>#N/A</v>
      </c>
      <c r="M755">
        <v>-15</v>
      </c>
      <c r="N755">
        <v>0</v>
      </c>
      <c r="O755" t="s">
        <v>7</v>
      </c>
      <c r="P755">
        <v>1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 t="s">
        <v>5825</v>
      </c>
      <c r="AB755" t="s">
        <v>657</v>
      </c>
      <c r="AC755" t="s">
        <v>5825</v>
      </c>
      <c r="AD755" t="e">
        <f>VLOOKUP(AB755,#REF!,2,FALSE)</f>
        <v>#REF!</v>
      </c>
      <c r="AE755" t="e">
        <f>RIGHT(#REF!,(FIND("Complex",#REF!,1)-8))</f>
        <v>#REF!</v>
      </c>
    </row>
    <row r="756" spans="1:31" x14ac:dyDescent="0.25">
      <c r="A756">
        <v>1720</v>
      </c>
      <c r="B756" t="s">
        <v>33</v>
      </c>
      <c r="C756">
        <v>20</v>
      </c>
      <c r="D756">
        <v>295</v>
      </c>
      <c r="E756">
        <v>1720</v>
      </c>
      <c r="F756">
        <v>3087001</v>
      </c>
      <c r="G756">
        <v>3175200</v>
      </c>
      <c r="H756">
        <f t="shared" si="22"/>
        <v>70.000022675736957</v>
      </c>
      <c r="I756">
        <f t="shared" si="23"/>
        <v>72</v>
      </c>
      <c r="J756" t="s">
        <v>29</v>
      </c>
      <c r="K756">
        <v>3</v>
      </c>
      <c r="L756" t="e">
        <f t="array" ref="L756">VLOOKUP(J756:$J$3871&amp;K756:$K$3871,CHOOSE({1,2},#REF!&amp;#REF!,#REF!),2,0)</f>
        <v>#N/A</v>
      </c>
      <c r="M756">
        <v>-15</v>
      </c>
      <c r="N756">
        <v>0</v>
      </c>
      <c r="O756" t="s">
        <v>7</v>
      </c>
      <c r="P756">
        <v>1</v>
      </c>
      <c r="Q756">
        <v>0</v>
      </c>
      <c r="R756">
        <v>0</v>
      </c>
      <c r="S756">
        <v>0</v>
      </c>
      <c r="T756">
        <v>1</v>
      </c>
      <c r="U756">
        <v>0</v>
      </c>
      <c r="V756">
        <v>0</v>
      </c>
      <c r="W756">
        <v>0</v>
      </c>
      <c r="X756">
        <v>1</v>
      </c>
      <c r="Y756">
        <v>0</v>
      </c>
      <c r="Z756">
        <v>0</v>
      </c>
      <c r="AA756" t="s">
        <v>5064</v>
      </c>
      <c r="AB756" t="s">
        <v>686</v>
      </c>
      <c r="AC756" t="s">
        <v>5064</v>
      </c>
      <c r="AD756" t="e">
        <f>VLOOKUP(AB756,#REF!,2,FALSE)</f>
        <v>#REF!</v>
      </c>
      <c r="AE756" t="e">
        <f>RIGHT(#REF!,(FIND("Complex",#REF!,1)-8))</f>
        <v>#REF!</v>
      </c>
    </row>
    <row r="757" spans="1:31" x14ac:dyDescent="0.25">
      <c r="A757">
        <v>2056</v>
      </c>
      <c r="B757" t="s">
        <v>33</v>
      </c>
      <c r="C757">
        <v>20</v>
      </c>
      <c r="D757">
        <v>362</v>
      </c>
      <c r="E757">
        <v>2056</v>
      </c>
      <c r="F757">
        <v>1234801</v>
      </c>
      <c r="G757">
        <v>1323000</v>
      </c>
      <c r="H757">
        <f t="shared" si="22"/>
        <v>28.000022675736961</v>
      </c>
      <c r="I757">
        <f t="shared" si="23"/>
        <v>30</v>
      </c>
      <c r="J757" t="s">
        <v>29</v>
      </c>
      <c r="K757">
        <v>3</v>
      </c>
      <c r="L757" t="e">
        <f t="array" ref="L757">VLOOKUP(J757:$J$3871&amp;K757:$K$3871,CHOOSE({1,2},#REF!&amp;#REF!,#REF!),2,0)</f>
        <v>#N/A</v>
      </c>
      <c r="M757">
        <v>-15</v>
      </c>
      <c r="N757">
        <v>0</v>
      </c>
      <c r="O757" t="s">
        <v>7</v>
      </c>
      <c r="P757">
        <v>1</v>
      </c>
      <c r="Q757">
        <v>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0</v>
      </c>
      <c r="AA757" t="s">
        <v>5420</v>
      </c>
      <c r="AB757" t="s">
        <v>687</v>
      </c>
      <c r="AC757" t="s">
        <v>5420</v>
      </c>
      <c r="AD757" t="e">
        <f>VLOOKUP(AB757,#REF!,2,FALSE)</f>
        <v>#REF!</v>
      </c>
      <c r="AE757" t="e">
        <f>RIGHT(#REF!,(FIND("Complex",#REF!,1)-8))</f>
        <v>#REF!</v>
      </c>
    </row>
    <row r="758" spans="1:31" x14ac:dyDescent="0.25">
      <c r="A758">
        <v>2121</v>
      </c>
      <c r="B758" t="s">
        <v>33</v>
      </c>
      <c r="C758">
        <v>20</v>
      </c>
      <c r="D758">
        <v>380</v>
      </c>
      <c r="E758">
        <v>2121</v>
      </c>
      <c r="F758">
        <v>5380201</v>
      </c>
      <c r="G758">
        <v>5468400</v>
      </c>
      <c r="H758">
        <f t="shared" si="22"/>
        <v>122.00002267573696</v>
      </c>
      <c r="I758">
        <f t="shared" si="23"/>
        <v>124</v>
      </c>
      <c r="J758" t="s">
        <v>29</v>
      </c>
      <c r="K758">
        <v>3</v>
      </c>
      <c r="L758" t="e">
        <f t="array" ref="L758">VLOOKUP(J758:$J$3871&amp;K758:$K$3871,CHOOSE({1,2},#REF!&amp;#REF!,#REF!),2,0)</f>
        <v>#N/A</v>
      </c>
      <c r="M758">
        <v>-15</v>
      </c>
      <c r="N758">
        <v>0</v>
      </c>
      <c r="O758" t="s">
        <v>7</v>
      </c>
      <c r="P758">
        <v>1</v>
      </c>
      <c r="Q758">
        <v>0</v>
      </c>
      <c r="R758">
        <v>1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 t="s">
        <v>6009</v>
      </c>
      <c r="AB758" t="s">
        <v>225</v>
      </c>
      <c r="AC758" t="s">
        <v>6009</v>
      </c>
      <c r="AD758" t="e">
        <f>VLOOKUP(AB758,#REF!,2,FALSE)</f>
        <v>#REF!</v>
      </c>
      <c r="AE758" t="e">
        <f>RIGHT(#REF!,(FIND("Complex",#REF!,1)-7))</f>
        <v>#REF!</v>
      </c>
    </row>
    <row r="759" spans="1:31" x14ac:dyDescent="0.25">
      <c r="A759">
        <v>314</v>
      </c>
      <c r="B759" t="s">
        <v>61</v>
      </c>
      <c r="C759">
        <v>21</v>
      </c>
      <c r="D759">
        <v>59</v>
      </c>
      <c r="E759">
        <v>314</v>
      </c>
      <c r="F759">
        <v>1675801</v>
      </c>
      <c r="G759">
        <v>1764000</v>
      </c>
      <c r="H759">
        <f t="shared" si="22"/>
        <v>38.000022675736965</v>
      </c>
      <c r="I759">
        <f t="shared" si="23"/>
        <v>40</v>
      </c>
      <c r="J759" t="s">
        <v>29</v>
      </c>
      <c r="K759">
        <v>3</v>
      </c>
      <c r="L759" t="e">
        <f t="array" ref="L759">VLOOKUP(J759:$J$3871&amp;K759:$K$3871,CHOOSE({1,2},#REF!&amp;#REF!,#REF!),2,0)</f>
        <v>#N/A</v>
      </c>
      <c r="M759">
        <v>-15</v>
      </c>
      <c r="N759">
        <v>0</v>
      </c>
      <c r="O759" t="s">
        <v>7</v>
      </c>
      <c r="P759">
        <v>1</v>
      </c>
      <c r="Q759">
        <v>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 t="s">
        <v>5298</v>
      </c>
      <c r="AB759" t="s">
        <v>716</v>
      </c>
      <c r="AC759" t="s">
        <v>5298</v>
      </c>
      <c r="AD759" t="e">
        <f>VLOOKUP(AB759,#REF!,2,FALSE)</f>
        <v>#REF!</v>
      </c>
      <c r="AE759" t="e">
        <f>RIGHT(#REF!,(FIND("Complex",#REF!,1)-7))</f>
        <v>#REF!</v>
      </c>
    </row>
    <row r="760" spans="1:31" x14ac:dyDescent="0.25">
      <c r="A760">
        <v>2389</v>
      </c>
      <c r="B760" t="s">
        <v>61</v>
      </c>
      <c r="C760">
        <v>21</v>
      </c>
      <c r="D760">
        <v>447</v>
      </c>
      <c r="E760">
        <v>2389</v>
      </c>
      <c r="F760">
        <v>882001</v>
      </c>
      <c r="G760">
        <v>970200</v>
      </c>
      <c r="H760">
        <f t="shared" si="22"/>
        <v>20.000022675736961</v>
      </c>
      <c r="I760">
        <f t="shared" si="23"/>
        <v>22</v>
      </c>
      <c r="J760" t="s">
        <v>29</v>
      </c>
      <c r="K760">
        <v>3</v>
      </c>
      <c r="L760" t="e">
        <f t="array" ref="L760">VLOOKUP(J760:$J$3871&amp;K760:$K$3871,CHOOSE({1,2},#REF!&amp;#REF!,#REF!),2,0)</f>
        <v>#N/A</v>
      </c>
      <c r="M760">
        <v>-15</v>
      </c>
      <c r="N760">
        <v>0</v>
      </c>
      <c r="O760" t="s">
        <v>7</v>
      </c>
      <c r="P760">
        <v>1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 t="s">
        <v>5643</v>
      </c>
      <c r="AB760" t="s">
        <v>220</v>
      </c>
      <c r="AC760" t="s">
        <v>5643</v>
      </c>
      <c r="AD760" t="e">
        <f>VLOOKUP(AB760,#REF!,2,FALSE)</f>
        <v>#REF!</v>
      </c>
      <c r="AE760" t="e">
        <f>RIGHT(#REF!,(FIND("Complex",#REF!,1)-8))</f>
        <v>#REF!</v>
      </c>
    </row>
    <row r="761" spans="1:31" x14ac:dyDescent="0.25">
      <c r="A761">
        <v>3392</v>
      </c>
      <c r="B761" t="s">
        <v>35</v>
      </c>
      <c r="C761">
        <v>23</v>
      </c>
      <c r="D761">
        <v>873</v>
      </c>
      <c r="E761">
        <v>3392</v>
      </c>
      <c r="F761">
        <v>5292001</v>
      </c>
      <c r="G761">
        <v>5380200</v>
      </c>
      <c r="H761">
        <f t="shared" si="22"/>
        <v>120.00002267573696</v>
      </c>
      <c r="I761">
        <f t="shared" si="23"/>
        <v>122</v>
      </c>
      <c r="J761" t="s">
        <v>29</v>
      </c>
      <c r="K761">
        <v>3</v>
      </c>
      <c r="L761" t="e">
        <f t="array" ref="L761">VLOOKUP(J761:$J$3871&amp;K761:$K$3871,CHOOSE({1,2},#REF!&amp;#REF!,#REF!),2,0)</f>
        <v>#N/A</v>
      </c>
      <c r="M761">
        <v>-15</v>
      </c>
      <c r="N761">
        <v>0</v>
      </c>
      <c r="O761" t="s">
        <v>7</v>
      </c>
      <c r="P761">
        <v>1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 t="s">
        <v>6021</v>
      </c>
      <c r="AB761" t="s">
        <v>741</v>
      </c>
      <c r="AC761" t="s">
        <v>6021</v>
      </c>
      <c r="AD761" t="e">
        <f>VLOOKUP(AB761,#REF!,2,FALSE)</f>
        <v>#REF!</v>
      </c>
      <c r="AE761" t="e">
        <f>RIGHT(#REF!,(FIND("Complex",#REF!,1)-7))</f>
        <v>#REF!</v>
      </c>
    </row>
    <row r="762" spans="1:31" x14ac:dyDescent="0.25">
      <c r="A762">
        <v>1923</v>
      </c>
      <c r="B762" t="s">
        <v>240</v>
      </c>
      <c r="C762">
        <v>24</v>
      </c>
      <c r="D762">
        <v>329</v>
      </c>
      <c r="E762">
        <v>1923</v>
      </c>
      <c r="F762">
        <v>2557801</v>
      </c>
      <c r="G762">
        <v>2646000</v>
      </c>
      <c r="H762">
        <f t="shared" si="22"/>
        <v>58.000022675736965</v>
      </c>
      <c r="I762">
        <f t="shared" si="23"/>
        <v>60</v>
      </c>
      <c r="J762" t="s">
        <v>29</v>
      </c>
      <c r="K762">
        <v>3</v>
      </c>
      <c r="L762" t="e">
        <f t="array" ref="L762">VLOOKUP(J762:$J$3871&amp;K762:$K$3871,CHOOSE({1,2},#REF!&amp;#REF!,#REF!),2,0)</f>
        <v>#N/A</v>
      </c>
      <c r="M762">
        <v>-15</v>
      </c>
      <c r="N762">
        <v>0</v>
      </c>
      <c r="O762" t="s">
        <v>7</v>
      </c>
      <c r="P762">
        <v>1</v>
      </c>
      <c r="Q762">
        <v>0</v>
      </c>
      <c r="R762">
        <v>0</v>
      </c>
      <c r="S762">
        <v>0</v>
      </c>
      <c r="T762">
        <v>1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0</v>
      </c>
      <c r="AA762" t="s">
        <v>5145</v>
      </c>
      <c r="AB762" t="s">
        <v>773</v>
      </c>
      <c r="AC762" t="s">
        <v>5145</v>
      </c>
      <c r="AD762" t="e">
        <f>VLOOKUP(AB762,#REF!,2,FALSE)</f>
        <v>#REF!</v>
      </c>
      <c r="AE762" t="e">
        <f>RIGHT(#REF!,(FIND("Complex",#REF!,1)-8))</f>
        <v>#REF!</v>
      </c>
    </row>
    <row r="763" spans="1:31" x14ac:dyDescent="0.25">
      <c r="A763">
        <v>2472</v>
      </c>
      <c r="B763" t="s">
        <v>240</v>
      </c>
      <c r="C763">
        <v>24</v>
      </c>
      <c r="D763">
        <v>474</v>
      </c>
      <c r="E763">
        <v>2472</v>
      </c>
      <c r="F763">
        <v>2381401</v>
      </c>
      <c r="G763">
        <v>2469600</v>
      </c>
      <c r="H763">
        <f t="shared" si="22"/>
        <v>54.000022675736965</v>
      </c>
      <c r="I763">
        <f t="shared" si="23"/>
        <v>56</v>
      </c>
      <c r="J763" t="s">
        <v>29</v>
      </c>
      <c r="K763">
        <v>3</v>
      </c>
      <c r="L763" t="e">
        <f t="array" ref="L763">VLOOKUP(J763:$J$3871&amp;K763:$K$3871,CHOOSE({1,2},#REF!&amp;#REF!,#REF!),2,0)</f>
        <v>#N/A</v>
      </c>
      <c r="M763">
        <v>-15</v>
      </c>
      <c r="N763">
        <v>0</v>
      </c>
      <c r="O763" t="s">
        <v>7</v>
      </c>
      <c r="P763">
        <v>1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 t="s">
        <v>5173</v>
      </c>
      <c r="AB763" t="s">
        <v>774</v>
      </c>
      <c r="AC763" t="s">
        <v>5173</v>
      </c>
      <c r="AD763" t="e">
        <f>VLOOKUP(AB763,#REF!,2,FALSE)</f>
        <v>#REF!</v>
      </c>
      <c r="AE763" t="e">
        <f>RIGHT(#REF!,(FIND("Complex",#REF!,1)-8))</f>
        <v>#REF!</v>
      </c>
    </row>
    <row r="764" spans="1:31" x14ac:dyDescent="0.25">
      <c r="A764">
        <v>1564</v>
      </c>
      <c r="B764" t="s">
        <v>240</v>
      </c>
      <c r="C764">
        <v>24</v>
      </c>
      <c r="D764">
        <v>263</v>
      </c>
      <c r="E764">
        <v>1564</v>
      </c>
      <c r="F764">
        <v>2293201</v>
      </c>
      <c r="G764">
        <v>2381400</v>
      </c>
      <c r="H764">
        <f t="shared" si="22"/>
        <v>52.000022675736965</v>
      </c>
      <c r="I764">
        <f t="shared" si="23"/>
        <v>54</v>
      </c>
      <c r="J764" t="s">
        <v>29</v>
      </c>
      <c r="K764">
        <v>3</v>
      </c>
      <c r="L764" t="e">
        <f t="array" ref="L764">VLOOKUP(J764:$J$3871&amp;K764:$K$3871,CHOOSE({1,2},#REF!&amp;#REF!,#REF!),2,0)</f>
        <v>#N/A</v>
      </c>
      <c r="M764">
        <v>-15</v>
      </c>
      <c r="N764">
        <v>0</v>
      </c>
      <c r="O764" t="s">
        <v>7</v>
      </c>
      <c r="P764">
        <v>1</v>
      </c>
      <c r="Q764">
        <v>0</v>
      </c>
      <c r="R764">
        <v>0</v>
      </c>
      <c r="S764">
        <v>0</v>
      </c>
      <c r="T764">
        <v>1</v>
      </c>
      <c r="U764">
        <v>0</v>
      </c>
      <c r="V764">
        <v>0</v>
      </c>
      <c r="W764">
        <v>0</v>
      </c>
      <c r="X764">
        <v>1</v>
      </c>
      <c r="Y764">
        <v>0</v>
      </c>
      <c r="Z764">
        <v>0</v>
      </c>
      <c r="AA764" t="s">
        <v>5186</v>
      </c>
      <c r="AB764" t="s">
        <v>775</v>
      </c>
      <c r="AC764" t="s">
        <v>5186</v>
      </c>
      <c r="AD764" t="e">
        <f>VLOOKUP(AB764,#REF!,2,FALSE)</f>
        <v>#REF!</v>
      </c>
      <c r="AE764" t="e">
        <f>RIGHT(#REF!,(FIND("Complex",#REF!,1)-8))</f>
        <v>#REF!</v>
      </c>
    </row>
    <row r="765" spans="1:31" x14ac:dyDescent="0.25">
      <c r="A765">
        <v>115</v>
      </c>
      <c r="B765" t="s">
        <v>240</v>
      </c>
      <c r="C765">
        <v>24</v>
      </c>
      <c r="D765">
        <v>22</v>
      </c>
      <c r="E765">
        <v>115</v>
      </c>
      <c r="F765">
        <v>6085801</v>
      </c>
      <c r="G765">
        <v>6174000</v>
      </c>
      <c r="H765">
        <f t="shared" si="22"/>
        <v>138.00002267573697</v>
      </c>
      <c r="I765">
        <f t="shared" si="23"/>
        <v>140</v>
      </c>
      <c r="J765" t="s">
        <v>29</v>
      </c>
      <c r="K765">
        <v>3</v>
      </c>
      <c r="L765" t="e">
        <f t="array" ref="L765">VLOOKUP(J765:$J$3871&amp;K765:$K$3871,CHOOSE({1,2},#REF!&amp;#REF!,#REF!),2,0)</f>
        <v>#N/A</v>
      </c>
      <c r="M765">
        <v>-15</v>
      </c>
      <c r="N765">
        <v>0</v>
      </c>
      <c r="O765" t="s">
        <v>7</v>
      </c>
      <c r="P765">
        <v>1</v>
      </c>
      <c r="Q765">
        <v>0</v>
      </c>
      <c r="R765">
        <v>0</v>
      </c>
      <c r="S765">
        <v>0</v>
      </c>
      <c r="T765">
        <v>1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 t="s">
        <v>5953</v>
      </c>
      <c r="AB765" t="s">
        <v>7771</v>
      </c>
      <c r="AC765" t="s">
        <v>5953</v>
      </c>
      <c r="AD765" t="e">
        <f>VLOOKUP(AB765,#REF!,2,FALSE)</f>
        <v>#REF!</v>
      </c>
      <c r="AE765" t="e">
        <f>RIGHT(#REF!,(FIND("Complex",#REF!,1)-6))</f>
        <v>#REF!</v>
      </c>
    </row>
    <row r="766" spans="1:31" x14ac:dyDescent="0.25">
      <c r="A766">
        <v>3000</v>
      </c>
      <c r="B766" t="s">
        <v>240</v>
      </c>
      <c r="C766">
        <v>24</v>
      </c>
      <c r="D766">
        <v>685</v>
      </c>
      <c r="E766">
        <v>3000</v>
      </c>
      <c r="F766">
        <v>5997601</v>
      </c>
      <c r="G766">
        <v>6085800</v>
      </c>
      <c r="H766">
        <f t="shared" si="22"/>
        <v>136.00002267573697</v>
      </c>
      <c r="I766">
        <f t="shared" si="23"/>
        <v>138</v>
      </c>
      <c r="J766" t="s">
        <v>29</v>
      </c>
      <c r="K766">
        <v>3</v>
      </c>
      <c r="L766" t="e">
        <f t="array" ref="L766">VLOOKUP(J766:$J$3871&amp;K766:$K$3871,CHOOSE({1,2},#REF!&amp;#REF!,#REF!),2,0)</f>
        <v>#N/A</v>
      </c>
      <c r="M766">
        <v>-15</v>
      </c>
      <c r="N766">
        <v>0</v>
      </c>
      <c r="O766" t="s">
        <v>7</v>
      </c>
      <c r="P766">
        <v>1</v>
      </c>
      <c r="Q766">
        <v>0</v>
      </c>
      <c r="R766">
        <v>0</v>
      </c>
      <c r="S766">
        <v>0</v>
      </c>
      <c r="T766">
        <v>1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 t="s">
        <v>5961</v>
      </c>
      <c r="AB766" t="s">
        <v>776</v>
      </c>
      <c r="AC766" t="s">
        <v>5961</v>
      </c>
      <c r="AD766" t="e">
        <f>VLOOKUP(AB766,#REF!,2,FALSE)</f>
        <v>#REF!</v>
      </c>
      <c r="AE766" t="e">
        <f>RIGHT(#REF!,(FIND("Complex",#REF!,1)-7))</f>
        <v>#REF!</v>
      </c>
    </row>
    <row r="767" spans="1:31" x14ac:dyDescent="0.25">
      <c r="A767">
        <v>3870</v>
      </c>
      <c r="B767" t="s">
        <v>242</v>
      </c>
      <c r="C767">
        <v>25</v>
      </c>
      <c r="D767">
        <v>1057</v>
      </c>
      <c r="E767">
        <v>3870</v>
      </c>
      <c r="F767">
        <v>10584001</v>
      </c>
      <c r="G767">
        <v>10672200</v>
      </c>
      <c r="H767">
        <f t="shared" si="22"/>
        <v>240.00002267573697</v>
      </c>
      <c r="I767">
        <f t="shared" si="23"/>
        <v>242</v>
      </c>
      <c r="J767" t="s">
        <v>29</v>
      </c>
      <c r="K767">
        <v>3</v>
      </c>
      <c r="L767" t="e">
        <f t="array" ref="L767">VLOOKUP(J767:$J$3871&amp;K767:$K$3871,CHOOSE({1,2},#REF!&amp;#REF!,#REF!),2,0)</f>
        <v>#N/A</v>
      </c>
      <c r="M767">
        <v>-15</v>
      </c>
      <c r="N767">
        <v>0</v>
      </c>
      <c r="O767" t="s">
        <v>7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1</v>
      </c>
      <c r="Y767">
        <v>0</v>
      </c>
      <c r="Z767">
        <v>0</v>
      </c>
      <c r="AA767" t="s">
        <v>5513</v>
      </c>
      <c r="AB767" t="s">
        <v>7500</v>
      </c>
      <c r="AC767" t="s">
        <v>5513</v>
      </c>
      <c r="AD767" t="e">
        <f>VLOOKUP(AB767,#REF!,2,FALSE)</f>
        <v>#REF!</v>
      </c>
      <c r="AE767" t="e">
        <f>RIGHT(#REF!,(FIND("Complex",#REF!,1)-8))</f>
        <v>#REF!</v>
      </c>
    </row>
    <row r="768" spans="1:31" x14ac:dyDescent="0.25">
      <c r="A768">
        <v>3055</v>
      </c>
      <c r="B768" t="s">
        <v>242</v>
      </c>
      <c r="C768">
        <v>25</v>
      </c>
      <c r="D768">
        <v>705</v>
      </c>
      <c r="E768">
        <v>3055</v>
      </c>
      <c r="F768">
        <v>6526801</v>
      </c>
      <c r="G768">
        <v>6615000</v>
      </c>
      <c r="H768">
        <f t="shared" si="22"/>
        <v>148.00002267573697</v>
      </c>
      <c r="I768">
        <f t="shared" si="23"/>
        <v>150</v>
      </c>
      <c r="J768" t="s">
        <v>29</v>
      </c>
      <c r="K768">
        <v>3</v>
      </c>
      <c r="L768" t="e">
        <f t="array" ref="L768">VLOOKUP(J768:$J$3871&amp;K768:$K$3871,CHOOSE({1,2},#REF!&amp;#REF!,#REF!),2,0)</f>
        <v>#N/A</v>
      </c>
      <c r="M768">
        <v>-15</v>
      </c>
      <c r="N768">
        <v>0</v>
      </c>
      <c r="O768" t="s">
        <v>7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1</v>
      </c>
      <c r="Y768">
        <v>0</v>
      </c>
      <c r="Z768">
        <v>0</v>
      </c>
      <c r="AA768" t="s">
        <v>5889</v>
      </c>
      <c r="AB768" t="s">
        <v>7733</v>
      </c>
      <c r="AC768" t="s">
        <v>5889</v>
      </c>
      <c r="AD768" t="e">
        <f>VLOOKUP(AB768,#REF!,2,FALSE)</f>
        <v>#REF!</v>
      </c>
      <c r="AE768" t="e">
        <f>RIGHT(#REF!,(FIND("Complex",#REF!,1)-7))</f>
        <v>#REF!</v>
      </c>
    </row>
    <row r="769" spans="1:31" x14ac:dyDescent="0.25">
      <c r="A769">
        <v>3507</v>
      </c>
      <c r="B769" t="s">
        <v>46</v>
      </c>
      <c r="C769">
        <v>27</v>
      </c>
      <c r="D769">
        <v>923</v>
      </c>
      <c r="E769">
        <v>3507</v>
      </c>
      <c r="F769">
        <v>2381401</v>
      </c>
      <c r="G769">
        <v>2469600</v>
      </c>
      <c r="H769">
        <f t="shared" si="22"/>
        <v>54.000022675736965</v>
      </c>
      <c r="I769">
        <f t="shared" si="23"/>
        <v>56</v>
      </c>
      <c r="J769" t="s">
        <v>29</v>
      </c>
      <c r="K769">
        <v>3</v>
      </c>
      <c r="L769" t="e">
        <f t="array" ref="L769">VLOOKUP(J769:$J$3871&amp;K769:$K$3871,CHOOSE({1,2},#REF!&amp;#REF!,#REF!),2,0)</f>
        <v>#N/A</v>
      </c>
      <c r="M769">
        <v>-15</v>
      </c>
      <c r="N769">
        <v>0</v>
      </c>
      <c r="O769" t="s">
        <v>7</v>
      </c>
      <c r="P769">
        <v>1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 t="s">
        <v>5172</v>
      </c>
      <c r="AB769" t="s">
        <v>822</v>
      </c>
      <c r="AC769" t="s">
        <v>5172</v>
      </c>
      <c r="AD769" t="e">
        <f>VLOOKUP(AB769,#REF!,2,FALSE)</f>
        <v>#REF!</v>
      </c>
      <c r="AE769" t="e">
        <f>RIGHT(#REF!,(FIND("Complex",#REF!,1)-8))</f>
        <v>#REF!</v>
      </c>
    </row>
    <row r="770" spans="1:31" x14ac:dyDescent="0.25">
      <c r="A770">
        <v>3730</v>
      </c>
      <c r="B770" t="s">
        <v>46</v>
      </c>
      <c r="C770">
        <v>27</v>
      </c>
      <c r="D770">
        <v>1007</v>
      </c>
      <c r="E770">
        <v>3730</v>
      </c>
      <c r="F770">
        <v>2293201</v>
      </c>
      <c r="G770">
        <v>2381400</v>
      </c>
      <c r="H770">
        <f t="shared" ref="H770:H833" si="24">F770/44100</f>
        <v>52.000022675736965</v>
      </c>
      <c r="I770">
        <f t="shared" ref="I770:I833" si="25">G770/44100</f>
        <v>54</v>
      </c>
      <c r="J770" t="s">
        <v>29</v>
      </c>
      <c r="K770">
        <v>3</v>
      </c>
      <c r="L770" t="e">
        <f t="array" ref="L770">VLOOKUP(J770:$J$3871&amp;K770:$K$3871,CHOOSE({1,2},#REF!&amp;#REF!,#REF!),2,0)</f>
        <v>#N/A</v>
      </c>
      <c r="M770">
        <v>-15</v>
      </c>
      <c r="N770">
        <v>0</v>
      </c>
      <c r="O770" t="s">
        <v>7</v>
      </c>
      <c r="P770">
        <v>1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1</v>
      </c>
      <c r="Y770">
        <v>0</v>
      </c>
      <c r="Z770">
        <v>0</v>
      </c>
      <c r="AA770" t="s">
        <v>5185</v>
      </c>
      <c r="AB770" t="s">
        <v>823</v>
      </c>
      <c r="AC770" t="s">
        <v>5185</v>
      </c>
      <c r="AD770" t="e">
        <f>VLOOKUP(AB770,#REF!,2,FALSE)</f>
        <v>#REF!</v>
      </c>
      <c r="AE770" t="e">
        <f>RIGHT(#REF!,(FIND("Complex",#REF!,1)-9))</f>
        <v>#REF!</v>
      </c>
    </row>
    <row r="771" spans="1:31" x14ac:dyDescent="0.25">
      <c r="A771">
        <v>3546</v>
      </c>
      <c r="B771" t="s">
        <v>46</v>
      </c>
      <c r="C771">
        <v>27</v>
      </c>
      <c r="D771">
        <v>939</v>
      </c>
      <c r="E771">
        <v>3546</v>
      </c>
      <c r="F771">
        <v>2116801</v>
      </c>
      <c r="G771">
        <v>2205000</v>
      </c>
      <c r="H771">
        <f t="shared" si="24"/>
        <v>48.000022675736965</v>
      </c>
      <c r="I771">
        <f t="shared" si="25"/>
        <v>50</v>
      </c>
      <c r="J771" t="s">
        <v>29</v>
      </c>
      <c r="K771">
        <v>3</v>
      </c>
      <c r="L771" t="e">
        <f t="array" ref="L771">VLOOKUP(J771:$J$3871&amp;K771:$K$3871,CHOOSE({1,2},#REF!&amp;#REF!,#REF!),2,0)</f>
        <v>#N/A</v>
      </c>
      <c r="M771">
        <v>-15</v>
      </c>
      <c r="N771">
        <v>0</v>
      </c>
      <c r="O771" t="s">
        <v>7</v>
      </c>
      <c r="P771">
        <v>1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0</v>
      </c>
      <c r="X771">
        <v>1</v>
      </c>
      <c r="Y771">
        <v>0</v>
      </c>
      <c r="Z771">
        <v>0</v>
      </c>
      <c r="AA771" t="s">
        <v>5210</v>
      </c>
      <c r="AB771" t="s">
        <v>7318</v>
      </c>
      <c r="AC771" t="s">
        <v>5210</v>
      </c>
      <c r="AD771" t="e">
        <f>VLOOKUP(AB771,#REF!,2,FALSE)</f>
        <v>#REF!</v>
      </c>
      <c r="AE771" t="e">
        <f>RIGHT(#REF!,(FIND("Complex",#REF!,1)-8))</f>
        <v>#REF!</v>
      </c>
    </row>
    <row r="772" spans="1:31" x14ac:dyDescent="0.25">
      <c r="A772">
        <v>1588</v>
      </c>
      <c r="B772" t="s">
        <v>46</v>
      </c>
      <c r="C772">
        <v>27</v>
      </c>
      <c r="D772">
        <v>273</v>
      </c>
      <c r="E772">
        <v>1588</v>
      </c>
      <c r="F772">
        <v>2028601</v>
      </c>
      <c r="G772">
        <v>2116800</v>
      </c>
      <c r="H772">
        <f t="shared" si="24"/>
        <v>46.000022675736965</v>
      </c>
      <c r="I772">
        <f t="shared" si="25"/>
        <v>48</v>
      </c>
      <c r="J772" t="s">
        <v>29</v>
      </c>
      <c r="K772">
        <v>3</v>
      </c>
      <c r="L772" t="e">
        <f t="array" ref="L772">VLOOKUP(J772:$J$3871&amp;K772:$K$3871,CHOOSE({1,2},#REF!&amp;#REF!,#REF!),2,0)</f>
        <v>#N/A</v>
      </c>
      <c r="M772">
        <v>-15</v>
      </c>
      <c r="N772">
        <v>0</v>
      </c>
      <c r="O772" t="s">
        <v>7</v>
      </c>
      <c r="P772">
        <v>1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 t="s">
        <v>5222</v>
      </c>
      <c r="AB772" t="s">
        <v>7324</v>
      </c>
      <c r="AC772" t="s">
        <v>5222</v>
      </c>
      <c r="AD772" t="e">
        <f>VLOOKUP(AB772,#REF!,2,FALSE)</f>
        <v>#REF!</v>
      </c>
      <c r="AE772" t="e">
        <f>RIGHT(#REF!,(FIND("Complex",#REF!,1)-8))</f>
        <v>#REF!</v>
      </c>
    </row>
    <row r="773" spans="1:31" x14ac:dyDescent="0.25">
      <c r="A773">
        <v>1888</v>
      </c>
      <c r="B773" t="s">
        <v>46</v>
      </c>
      <c r="C773">
        <v>27</v>
      </c>
      <c r="D773">
        <v>325</v>
      </c>
      <c r="E773">
        <v>1888</v>
      </c>
      <c r="F773">
        <v>1852201</v>
      </c>
      <c r="G773">
        <v>1940400</v>
      </c>
      <c r="H773">
        <f t="shared" si="24"/>
        <v>42.000022675736965</v>
      </c>
      <c r="I773">
        <f t="shared" si="25"/>
        <v>44</v>
      </c>
      <c r="J773" t="s">
        <v>29</v>
      </c>
      <c r="K773">
        <v>3</v>
      </c>
      <c r="L773" t="e">
        <f t="array" ref="L773">VLOOKUP(J773:$J$3871&amp;K773:$K$3871,CHOOSE({1,2},#REF!&amp;#REF!,#REF!),2,0)</f>
        <v>#N/A</v>
      </c>
      <c r="M773">
        <v>-15</v>
      </c>
      <c r="N773">
        <v>0</v>
      </c>
      <c r="O773" t="s">
        <v>7</v>
      </c>
      <c r="P773">
        <v>1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 t="s">
        <v>5250</v>
      </c>
      <c r="AB773" t="s">
        <v>7336</v>
      </c>
      <c r="AC773" t="s">
        <v>5250</v>
      </c>
      <c r="AD773" t="e">
        <f>VLOOKUP(AB773,#REF!,2,FALSE)</f>
        <v>#REF!</v>
      </c>
      <c r="AE773" t="e">
        <f>RIGHT(#REF!,(FIND("Complex",#REF!,1)-8))</f>
        <v>#REF!</v>
      </c>
    </row>
    <row r="774" spans="1:31" x14ac:dyDescent="0.25">
      <c r="A774">
        <v>474</v>
      </c>
      <c r="B774" t="s">
        <v>46</v>
      </c>
      <c r="C774">
        <v>27</v>
      </c>
      <c r="D774">
        <v>88</v>
      </c>
      <c r="E774">
        <v>474</v>
      </c>
      <c r="F774">
        <v>1764001</v>
      </c>
      <c r="G774">
        <v>1852200</v>
      </c>
      <c r="H774">
        <f t="shared" si="24"/>
        <v>40.000022675736965</v>
      </c>
      <c r="I774">
        <f t="shared" si="25"/>
        <v>42</v>
      </c>
      <c r="J774" t="s">
        <v>29</v>
      </c>
      <c r="K774">
        <v>3</v>
      </c>
      <c r="L774" t="e">
        <f t="array" ref="L774">VLOOKUP(J774:$J$3871&amp;K774:$K$3871,CHOOSE({1,2},#REF!&amp;#REF!,#REF!),2,0)</f>
        <v>#N/A</v>
      </c>
      <c r="M774">
        <v>-15</v>
      </c>
      <c r="N774">
        <v>0</v>
      </c>
      <c r="O774" t="s">
        <v>7</v>
      </c>
      <c r="P774">
        <v>1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1</v>
      </c>
      <c r="Y774">
        <v>0</v>
      </c>
      <c r="Z774">
        <v>0</v>
      </c>
      <c r="AA774" t="s">
        <v>5264</v>
      </c>
      <c r="AB774" t="s">
        <v>7345</v>
      </c>
      <c r="AC774" t="s">
        <v>5264</v>
      </c>
      <c r="AD774" t="e">
        <f>VLOOKUP(AB774,#REF!,2,FALSE)</f>
        <v>#REF!</v>
      </c>
      <c r="AE774" t="e">
        <f>RIGHT(#REF!,(FIND("Complex",#REF!,1)-7))</f>
        <v>#REF!</v>
      </c>
    </row>
    <row r="775" spans="1:31" x14ac:dyDescent="0.25">
      <c r="A775">
        <v>2888</v>
      </c>
      <c r="B775" t="s">
        <v>46</v>
      </c>
      <c r="C775">
        <v>27</v>
      </c>
      <c r="D775">
        <v>633</v>
      </c>
      <c r="E775">
        <v>2888</v>
      </c>
      <c r="F775">
        <v>1675801</v>
      </c>
      <c r="G775">
        <v>1764000</v>
      </c>
      <c r="H775">
        <f t="shared" si="24"/>
        <v>38.000022675736965</v>
      </c>
      <c r="I775">
        <f t="shared" si="25"/>
        <v>40</v>
      </c>
      <c r="J775" t="s">
        <v>29</v>
      </c>
      <c r="K775">
        <v>3</v>
      </c>
      <c r="L775" t="e">
        <f t="array" ref="L775">VLOOKUP(J775:$J$3871&amp;K775:$K$3871,CHOOSE({1,2},#REF!&amp;#REF!,#REF!),2,0)</f>
        <v>#N/A</v>
      </c>
      <c r="M775">
        <v>-15</v>
      </c>
      <c r="N775">
        <v>0</v>
      </c>
      <c r="O775" t="s">
        <v>7</v>
      </c>
      <c r="P775">
        <v>1</v>
      </c>
      <c r="Q775">
        <v>0</v>
      </c>
      <c r="R775">
        <v>0</v>
      </c>
      <c r="S775">
        <v>1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 t="s">
        <v>5297</v>
      </c>
      <c r="AB775" t="s">
        <v>824</v>
      </c>
      <c r="AC775" t="s">
        <v>5297</v>
      </c>
      <c r="AD775" t="e">
        <f>VLOOKUP(AB775,#REF!,2,FALSE)</f>
        <v>#REF!</v>
      </c>
      <c r="AE775" t="e">
        <f>RIGHT(#REF!,(FIND("Complex",#REF!,1)-8))</f>
        <v>#REF!</v>
      </c>
    </row>
    <row r="776" spans="1:31" x14ac:dyDescent="0.25">
      <c r="A776">
        <v>3422</v>
      </c>
      <c r="B776" t="s">
        <v>46</v>
      </c>
      <c r="C776">
        <v>27</v>
      </c>
      <c r="D776">
        <v>885</v>
      </c>
      <c r="E776">
        <v>3422</v>
      </c>
      <c r="F776">
        <v>1587601</v>
      </c>
      <c r="G776">
        <v>1675800</v>
      </c>
      <c r="H776">
        <f t="shared" si="24"/>
        <v>36.000022675736965</v>
      </c>
      <c r="I776">
        <f t="shared" si="25"/>
        <v>38</v>
      </c>
      <c r="J776" t="s">
        <v>29</v>
      </c>
      <c r="K776">
        <v>3</v>
      </c>
      <c r="L776" t="e">
        <f t="array" ref="L776">VLOOKUP(J776:$J$3871&amp;K776:$K$3871,CHOOSE({1,2},#REF!&amp;#REF!,#REF!),2,0)</f>
        <v>#N/A</v>
      </c>
      <c r="M776">
        <v>-15</v>
      </c>
      <c r="N776">
        <v>0</v>
      </c>
      <c r="O776" t="s">
        <v>7</v>
      </c>
      <c r="P776">
        <v>1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 t="s">
        <v>5317</v>
      </c>
      <c r="AB776" t="s">
        <v>7374</v>
      </c>
      <c r="AC776" t="s">
        <v>5317</v>
      </c>
      <c r="AD776" t="e">
        <f>VLOOKUP(AB776,#REF!,2,FALSE)</f>
        <v>#REF!</v>
      </c>
      <c r="AE776" t="e">
        <f>RIGHT(#REF!,(FIND("Complex",#REF!,1)-8))</f>
        <v>#REF!</v>
      </c>
    </row>
    <row r="777" spans="1:31" x14ac:dyDescent="0.25">
      <c r="A777">
        <v>3301</v>
      </c>
      <c r="B777" t="s">
        <v>46</v>
      </c>
      <c r="C777">
        <v>27</v>
      </c>
      <c r="D777">
        <v>829</v>
      </c>
      <c r="E777">
        <v>3301</v>
      </c>
      <c r="F777">
        <v>1411201</v>
      </c>
      <c r="G777">
        <v>1499400</v>
      </c>
      <c r="H777">
        <f t="shared" si="24"/>
        <v>32.000022675736965</v>
      </c>
      <c r="I777">
        <f t="shared" si="25"/>
        <v>34</v>
      </c>
      <c r="J777" t="s">
        <v>29</v>
      </c>
      <c r="K777">
        <v>3</v>
      </c>
      <c r="L777" t="e">
        <f t="array" ref="L777">VLOOKUP(J777:$J$3871&amp;K777:$K$3871,CHOOSE({1,2},#REF!&amp;#REF!,#REF!),2,0)</f>
        <v>#N/A</v>
      </c>
      <c r="M777">
        <v>-15</v>
      </c>
      <c r="N777">
        <v>0</v>
      </c>
      <c r="O777" t="s">
        <v>7</v>
      </c>
      <c r="P777">
        <v>1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1</v>
      </c>
      <c r="Y777">
        <v>0</v>
      </c>
      <c r="Z777">
        <v>0</v>
      </c>
      <c r="AA777" t="s">
        <v>5365</v>
      </c>
      <c r="AB777" t="s">
        <v>825</v>
      </c>
      <c r="AC777" t="s">
        <v>5365</v>
      </c>
      <c r="AD777" t="e">
        <f>VLOOKUP(AB777,#REF!,2,FALSE)</f>
        <v>#REF!</v>
      </c>
      <c r="AE777" t="e">
        <f>RIGHT(#REF!,(FIND("Complex",#REF!,1)-8))</f>
        <v>#REF!</v>
      </c>
    </row>
    <row r="778" spans="1:31" x14ac:dyDescent="0.25">
      <c r="A778">
        <v>2379</v>
      </c>
      <c r="B778" t="s">
        <v>46</v>
      </c>
      <c r="C778">
        <v>27</v>
      </c>
      <c r="D778">
        <v>444</v>
      </c>
      <c r="E778">
        <v>2379</v>
      </c>
      <c r="F778">
        <v>1323001</v>
      </c>
      <c r="G778">
        <v>1411200</v>
      </c>
      <c r="H778">
        <f t="shared" si="24"/>
        <v>30.000022675736961</v>
      </c>
      <c r="I778">
        <f t="shared" si="25"/>
        <v>32</v>
      </c>
      <c r="J778" t="s">
        <v>29</v>
      </c>
      <c r="K778">
        <v>3</v>
      </c>
      <c r="L778" t="e">
        <f t="array" ref="L778">VLOOKUP(J778:$J$3871&amp;K778:$K$3871,CHOOSE({1,2},#REF!&amp;#REF!,#REF!),2,0)</f>
        <v>#N/A</v>
      </c>
      <c r="M778">
        <v>-15</v>
      </c>
      <c r="N778">
        <v>0</v>
      </c>
      <c r="O778" t="s">
        <v>7</v>
      </c>
      <c r="P778">
        <v>1</v>
      </c>
      <c r="Q778">
        <v>0</v>
      </c>
      <c r="R778">
        <v>0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0</v>
      </c>
      <c r="AA778" t="s">
        <v>5386</v>
      </c>
      <c r="AB778" t="s">
        <v>826</v>
      </c>
      <c r="AC778" t="s">
        <v>5386</v>
      </c>
      <c r="AD778" t="e">
        <f>VLOOKUP(AB778,#REF!,2,FALSE)</f>
        <v>#REF!</v>
      </c>
      <c r="AE778" t="e">
        <f>RIGHT(#REF!,(FIND("Complex",#REF!,1)-8))</f>
        <v>#REF!</v>
      </c>
    </row>
    <row r="779" spans="1:31" x14ac:dyDescent="0.25">
      <c r="A779">
        <v>3650</v>
      </c>
      <c r="B779" t="s">
        <v>46</v>
      </c>
      <c r="C779">
        <v>27</v>
      </c>
      <c r="D779">
        <v>978</v>
      </c>
      <c r="E779">
        <v>3650</v>
      </c>
      <c r="F779">
        <v>7320601</v>
      </c>
      <c r="G779">
        <v>7408800</v>
      </c>
      <c r="H779">
        <f t="shared" si="24"/>
        <v>166.00002267573697</v>
      </c>
      <c r="I779">
        <f t="shared" si="25"/>
        <v>168</v>
      </c>
      <c r="J779" t="s">
        <v>29</v>
      </c>
      <c r="K779">
        <v>3</v>
      </c>
      <c r="L779" t="e">
        <f t="array" ref="L779">VLOOKUP(J779:$J$3871&amp;K779:$K$3871,CHOOSE({1,2},#REF!&amp;#REF!,#REF!),2,0)</f>
        <v>#N/A</v>
      </c>
      <c r="M779">
        <v>-15</v>
      </c>
      <c r="N779">
        <v>0</v>
      </c>
      <c r="O779" t="s">
        <v>7</v>
      </c>
      <c r="P779">
        <v>1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 t="s">
        <v>5769</v>
      </c>
      <c r="AB779" t="s">
        <v>7662</v>
      </c>
      <c r="AC779" t="s">
        <v>5769</v>
      </c>
      <c r="AD779" t="e">
        <f>VLOOKUP(AB779,#REF!,2,FALSE)</f>
        <v>#REF!</v>
      </c>
      <c r="AE779" t="e">
        <f>RIGHT(#REF!,(FIND("Complex",#REF!,1)-7))</f>
        <v>#REF!</v>
      </c>
    </row>
    <row r="780" spans="1:31" x14ac:dyDescent="0.25">
      <c r="A780">
        <v>179</v>
      </c>
      <c r="B780" t="s">
        <v>46</v>
      </c>
      <c r="C780">
        <v>27</v>
      </c>
      <c r="D780">
        <v>33</v>
      </c>
      <c r="E780">
        <v>179</v>
      </c>
      <c r="F780">
        <v>7232401</v>
      </c>
      <c r="G780">
        <v>7320600</v>
      </c>
      <c r="H780">
        <f t="shared" si="24"/>
        <v>164.00002267573697</v>
      </c>
      <c r="I780">
        <f t="shared" si="25"/>
        <v>166</v>
      </c>
      <c r="J780" t="s">
        <v>29</v>
      </c>
      <c r="K780">
        <v>3</v>
      </c>
      <c r="L780" t="e">
        <f t="array" ref="L780">VLOOKUP(J780:$J$3871&amp;K780:$K$3871,CHOOSE({1,2},#REF!&amp;#REF!,#REF!),2,0)</f>
        <v>#N/A</v>
      </c>
      <c r="M780">
        <v>-15</v>
      </c>
      <c r="N780">
        <v>0</v>
      </c>
      <c r="O780" t="s">
        <v>7</v>
      </c>
      <c r="P780">
        <v>1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 t="s">
        <v>5778</v>
      </c>
      <c r="AB780" t="s">
        <v>7666</v>
      </c>
      <c r="AC780" t="s">
        <v>5778</v>
      </c>
      <c r="AD780" t="e">
        <f>VLOOKUP(AB780,#REF!,2,FALSE)</f>
        <v>#REF!</v>
      </c>
      <c r="AE780" t="e">
        <f>RIGHT(#REF!,(FIND("Complex",#REF!,1)-6))</f>
        <v>#REF!</v>
      </c>
    </row>
    <row r="781" spans="1:31" x14ac:dyDescent="0.25">
      <c r="A781">
        <v>3705</v>
      </c>
      <c r="B781" t="s">
        <v>46</v>
      </c>
      <c r="C781">
        <v>27</v>
      </c>
      <c r="D781">
        <v>998</v>
      </c>
      <c r="E781">
        <v>3705</v>
      </c>
      <c r="F781">
        <v>7056001</v>
      </c>
      <c r="G781">
        <v>7144200</v>
      </c>
      <c r="H781">
        <f t="shared" si="24"/>
        <v>160.00002267573697</v>
      </c>
      <c r="I781">
        <f t="shared" si="25"/>
        <v>162</v>
      </c>
      <c r="J781" t="s">
        <v>29</v>
      </c>
      <c r="K781">
        <v>3</v>
      </c>
      <c r="L781" t="e">
        <f t="array" ref="L781">VLOOKUP(J781:$J$3871&amp;K781:$K$3871,CHOOSE({1,2},#REF!&amp;#REF!,#REF!),2,0)</f>
        <v>#N/A</v>
      </c>
      <c r="M781">
        <v>-15</v>
      </c>
      <c r="N781">
        <v>0</v>
      </c>
      <c r="O781" t="s">
        <v>7</v>
      </c>
      <c r="P781">
        <v>1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 t="s">
        <v>5802</v>
      </c>
      <c r="AB781" t="s">
        <v>7683</v>
      </c>
      <c r="AC781" t="s">
        <v>5802</v>
      </c>
      <c r="AD781" t="e">
        <f>VLOOKUP(AB781,#REF!,2,FALSE)</f>
        <v>#REF!</v>
      </c>
      <c r="AE781" t="e">
        <f>RIGHT(#REF!,(FIND("Complex",#REF!,1)-7))</f>
        <v>#REF!</v>
      </c>
    </row>
    <row r="782" spans="1:31" x14ac:dyDescent="0.25">
      <c r="A782">
        <v>1672</v>
      </c>
      <c r="B782" t="s">
        <v>46</v>
      </c>
      <c r="C782">
        <v>27</v>
      </c>
      <c r="D782">
        <v>287</v>
      </c>
      <c r="E782">
        <v>1672</v>
      </c>
      <c r="F782">
        <v>6967801</v>
      </c>
      <c r="G782">
        <v>7056000</v>
      </c>
      <c r="H782">
        <f t="shared" si="24"/>
        <v>158.00002267573697</v>
      </c>
      <c r="I782">
        <f t="shared" si="25"/>
        <v>160</v>
      </c>
      <c r="J782" t="s">
        <v>29</v>
      </c>
      <c r="K782">
        <v>3</v>
      </c>
      <c r="L782" t="e">
        <f t="array" ref="L782">VLOOKUP(J782:$J$3871&amp;K782:$K$3871,CHOOSE({1,2},#REF!&amp;#REF!,#REF!),2,0)</f>
        <v>#N/A</v>
      </c>
      <c r="M782">
        <v>-15</v>
      </c>
      <c r="N782">
        <v>0</v>
      </c>
      <c r="O782" t="s">
        <v>7</v>
      </c>
      <c r="P782">
        <v>1</v>
      </c>
      <c r="Q782">
        <v>0</v>
      </c>
      <c r="R782">
        <v>0</v>
      </c>
      <c r="S782">
        <v>1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 t="s">
        <v>5835</v>
      </c>
      <c r="AB782" t="s">
        <v>827</v>
      </c>
      <c r="AC782" t="s">
        <v>5835</v>
      </c>
      <c r="AD782" t="e">
        <f>VLOOKUP(AB782,#REF!,2,FALSE)</f>
        <v>#REF!</v>
      </c>
      <c r="AE782" t="e">
        <f>RIGHT(#REF!,(FIND("Complex",#REF!,1)-7))</f>
        <v>#REF!</v>
      </c>
    </row>
    <row r="783" spans="1:31" x14ac:dyDescent="0.25">
      <c r="A783">
        <v>2966</v>
      </c>
      <c r="B783" t="s">
        <v>46</v>
      </c>
      <c r="C783">
        <v>27</v>
      </c>
      <c r="D783">
        <v>667</v>
      </c>
      <c r="E783">
        <v>2966</v>
      </c>
      <c r="F783">
        <v>6879601</v>
      </c>
      <c r="G783">
        <v>6967800</v>
      </c>
      <c r="H783">
        <f t="shared" si="24"/>
        <v>156.00002267573697</v>
      </c>
      <c r="I783">
        <f t="shared" si="25"/>
        <v>158</v>
      </c>
      <c r="J783" t="s">
        <v>29</v>
      </c>
      <c r="K783">
        <v>3</v>
      </c>
      <c r="L783" t="e">
        <f t="array" ref="L783">VLOOKUP(J783:$J$3871&amp;K783:$K$3871,CHOOSE({1,2},#REF!&amp;#REF!,#REF!),2,0)</f>
        <v>#N/A</v>
      </c>
      <c r="M783">
        <v>-15</v>
      </c>
      <c r="N783">
        <v>0</v>
      </c>
      <c r="O783" t="s">
        <v>7</v>
      </c>
      <c r="P783">
        <v>1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 t="s">
        <v>5845</v>
      </c>
      <c r="AB783" t="s">
        <v>7706</v>
      </c>
      <c r="AC783" t="s">
        <v>5845</v>
      </c>
      <c r="AD783" t="e">
        <f>VLOOKUP(AB783,#REF!,2,FALSE)</f>
        <v>#REF!</v>
      </c>
      <c r="AE783" t="e">
        <f>RIGHT(#REF!,(FIND("Complex",#REF!,1)-7))</f>
        <v>#REF!</v>
      </c>
    </row>
    <row r="784" spans="1:31" x14ac:dyDescent="0.25">
      <c r="A784">
        <v>837</v>
      </c>
      <c r="B784" t="s">
        <v>46</v>
      </c>
      <c r="C784">
        <v>27</v>
      </c>
      <c r="D784">
        <v>145</v>
      </c>
      <c r="E784">
        <v>837</v>
      </c>
      <c r="F784">
        <v>6703201</v>
      </c>
      <c r="G784">
        <v>6791400</v>
      </c>
      <c r="H784">
        <f t="shared" si="24"/>
        <v>152.00002267573697</v>
      </c>
      <c r="I784">
        <f t="shared" si="25"/>
        <v>154</v>
      </c>
      <c r="J784" t="s">
        <v>29</v>
      </c>
      <c r="K784">
        <v>3</v>
      </c>
      <c r="L784" t="e">
        <f t="array" ref="L784">VLOOKUP(J784:$J$3871&amp;K784:$K$3871,CHOOSE({1,2},#REF!&amp;#REF!,#REF!),2,0)</f>
        <v>#N/A</v>
      </c>
      <c r="M784">
        <v>-15</v>
      </c>
      <c r="N784">
        <v>0</v>
      </c>
      <c r="O784" t="s">
        <v>7</v>
      </c>
      <c r="P784">
        <v>1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 t="s">
        <v>5869</v>
      </c>
      <c r="AB784" t="s">
        <v>828</v>
      </c>
      <c r="AC784" t="s">
        <v>5869</v>
      </c>
      <c r="AD784" t="e">
        <f>VLOOKUP(AB784,#REF!,2,FALSE)</f>
        <v>#REF!</v>
      </c>
      <c r="AE784" t="e">
        <f>RIGHT(#REF!,(FIND("Complex",#REF!,1)-6))</f>
        <v>#REF!</v>
      </c>
    </row>
    <row r="785" spans="1:31" x14ac:dyDescent="0.25">
      <c r="A785">
        <v>3680</v>
      </c>
      <c r="B785" t="s">
        <v>46</v>
      </c>
      <c r="C785">
        <v>27</v>
      </c>
      <c r="D785">
        <v>990</v>
      </c>
      <c r="E785">
        <v>3680</v>
      </c>
      <c r="F785">
        <v>6615001</v>
      </c>
      <c r="G785">
        <v>6703200</v>
      </c>
      <c r="H785">
        <f t="shared" si="24"/>
        <v>150.00002267573697</v>
      </c>
      <c r="I785">
        <f t="shared" si="25"/>
        <v>152</v>
      </c>
      <c r="J785" t="s">
        <v>29</v>
      </c>
      <c r="K785">
        <v>3</v>
      </c>
      <c r="L785" t="e">
        <f t="array" ref="L785">VLOOKUP(J785:$J$3871&amp;K785:$K$3871,CHOOSE({1,2},#REF!&amp;#REF!,#REF!),2,0)</f>
        <v>#N/A</v>
      </c>
      <c r="M785">
        <v>-15</v>
      </c>
      <c r="N785">
        <v>0</v>
      </c>
      <c r="O785" t="s">
        <v>7</v>
      </c>
      <c r="P785">
        <v>1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 t="s">
        <v>5880</v>
      </c>
      <c r="AB785" t="s">
        <v>7727</v>
      </c>
      <c r="AC785" t="s">
        <v>5880</v>
      </c>
      <c r="AD785" t="e">
        <f>VLOOKUP(AB785,#REF!,2,FALSE)</f>
        <v>#REF!</v>
      </c>
      <c r="AE785" t="e">
        <f>RIGHT(#REF!,(FIND("Complex",#REF!,1)-7))</f>
        <v>#REF!</v>
      </c>
    </row>
    <row r="786" spans="1:31" x14ac:dyDescent="0.25">
      <c r="A786">
        <v>3459</v>
      </c>
      <c r="B786" t="s">
        <v>46</v>
      </c>
      <c r="C786">
        <v>27</v>
      </c>
      <c r="D786">
        <v>905</v>
      </c>
      <c r="E786">
        <v>3459</v>
      </c>
      <c r="F786">
        <v>6526801</v>
      </c>
      <c r="G786">
        <v>6615000</v>
      </c>
      <c r="H786">
        <f t="shared" si="24"/>
        <v>148.00002267573697</v>
      </c>
      <c r="I786">
        <f t="shared" si="25"/>
        <v>150</v>
      </c>
      <c r="J786" t="s">
        <v>29</v>
      </c>
      <c r="K786">
        <v>3</v>
      </c>
      <c r="L786" t="e">
        <f t="array" ref="L786">VLOOKUP(J786:$J$3871&amp;K786:$K$3871,CHOOSE({1,2},#REF!&amp;#REF!,#REF!),2,0)</f>
        <v>#N/A</v>
      </c>
      <c r="M786">
        <v>-15</v>
      </c>
      <c r="N786">
        <v>0</v>
      </c>
      <c r="O786" t="s">
        <v>7</v>
      </c>
      <c r="P786">
        <v>1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0</v>
      </c>
      <c r="AA786" t="s">
        <v>5888</v>
      </c>
      <c r="AB786" t="s">
        <v>7732</v>
      </c>
      <c r="AC786" t="s">
        <v>5888</v>
      </c>
      <c r="AD786" t="e">
        <f>VLOOKUP(AB786,#REF!,2,FALSE)</f>
        <v>#REF!</v>
      </c>
      <c r="AE786" t="e">
        <f>RIGHT(#REF!,(FIND("Complex",#REF!,1)-7))</f>
        <v>#REF!</v>
      </c>
    </row>
    <row r="787" spans="1:31" x14ac:dyDescent="0.25">
      <c r="A787">
        <v>1200</v>
      </c>
      <c r="B787" t="s">
        <v>46</v>
      </c>
      <c r="C787">
        <v>27</v>
      </c>
      <c r="D787">
        <v>204</v>
      </c>
      <c r="E787">
        <v>1200</v>
      </c>
      <c r="F787">
        <v>6350401</v>
      </c>
      <c r="G787">
        <v>6438600</v>
      </c>
      <c r="H787">
        <f t="shared" si="24"/>
        <v>144.00002267573697</v>
      </c>
      <c r="I787">
        <f t="shared" si="25"/>
        <v>146</v>
      </c>
      <c r="J787" t="s">
        <v>29</v>
      </c>
      <c r="K787">
        <v>3</v>
      </c>
      <c r="L787" t="e">
        <f t="array" ref="L787">VLOOKUP(J787:$J$3871&amp;K787:$K$3871,CHOOSE({1,2},#REF!&amp;#REF!,#REF!),2,0)</f>
        <v>#N/A</v>
      </c>
      <c r="M787">
        <v>-15</v>
      </c>
      <c r="N787">
        <v>0</v>
      </c>
      <c r="O787" t="s">
        <v>7</v>
      </c>
      <c r="P787">
        <v>1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 t="s">
        <v>5907</v>
      </c>
      <c r="AB787" t="s">
        <v>7745</v>
      </c>
      <c r="AC787" t="s">
        <v>5907</v>
      </c>
      <c r="AD787" t="e">
        <f>VLOOKUP(AB787,#REF!,2,FALSE)</f>
        <v>#REF!</v>
      </c>
      <c r="AE787" t="e">
        <f>RIGHT(#REF!,(FIND("Complex",#REF!,1)-7))</f>
        <v>#REF!</v>
      </c>
    </row>
    <row r="788" spans="1:31" x14ac:dyDescent="0.25">
      <c r="A788">
        <v>3244</v>
      </c>
      <c r="B788" t="s">
        <v>46</v>
      </c>
      <c r="C788">
        <v>27</v>
      </c>
      <c r="D788">
        <v>797</v>
      </c>
      <c r="E788">
        <v>3244</v>
      </c>
      <c r="F788">
        <v>6262201</v>
      </c>
      <c r="G788">
        <v>6350400</v>
      </c>
      <c r="H788">
        <f t="shared" si="24"/>
        <v>142.00002267573697</v>
      </c>
      <c r="I788">
        <f t="shared" si="25"/>
        <v>144</v>
      </c>
      <c r="J788" t="s">
        <v>29</v>
      </c>
      <c r="K788">
        <v>3</v>
      </c>
      <c r="L788" t="e">
        <f t="array" ref="L788">VLOOKUP(J788:$J$3871&amp;K788:$K$3871,CHOOSE({1,2},#REF!&amp;#REF!,#REF!),2,0)</f>
        <v>#N/A</v>
      </c>
      <c r="M788">
        <v>-15</v>
      </c>
      <c r="N788">
        <v>0</v>
      </c>
      <c r="O788" t="s">
        <v>7</v>
      </c>
      <c r="P788">
        <v>1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0</v>
      </c>
      <c r="AA788" t="s">
        <v>5920</v>
      </c>
      <c r="AB788" t="s">
        <v>829</v>
      </c>
      <c r="AC788" t="s">
        <v>5920</v>
      </c>
      <c r="AD788" t="e">
        <f>VLOOKUP(AB788,#REF!,2,FALSE)</f>
        <v>#REF!</v>
      </c>
      <c r="AE788" t="e">
        <f>RIGHT(#REF!,(FIND("Complex",#REF!,1)-7))</f>
        <v>#REF!</v>
      </c>
    </row>
    <row r="789" spans="1:31" x14ac:dyDescent="0.25">
      <c r="A789">
        <v>2028</v>
      </c>
      <c r="B789" t="s">
        <v>54</v>
      </c>
      <c r="C789">
        <v>31</v>
      </c>
      <c r="D789">
        <v>354</v>
      </c>
      <c r="E789">
        <v>2028</v>
      </c>
      <c r="F789">
        <v>3528001</v>
      </c>
      <c r="G789">
        <v>3616200</v>
      </c>
      <c r="H789">
        <f t="shared" si="24"/>
        <v>80.000022675736957</v>
      </c>
      <c r="I789">
        <f t="shared" si="25"/>
        <v>82</v>
      </c>
      <c r="J789" t="s">
        <v>29</v>
      </c>
      <c r="K789">
        <v>3</v>
      </c>
      <c r="L789" t="e">
        <f t="array" ref="L789">VLOOKUP(J789:$J$3871&amp;K789:$K$3871,CHOOSE({1,2},#REF!&amp;#REF!,#REF!),2,0)</f>
        <v>#N/A</v>
      </c>
      <c r="M789">
        <v>-15</v>
      </c>
      <c r="N789">
        <v>0</v>
      </c>
      <c r="O789" t="s">
        <v>7</v>
      </c>
      <c r="P789">
        <v>1</v>
      </c>
      <c r="Q789">
        <v>1</v>
      </c>
      <c r="R789">
        <v>0</v>
      </c>
      <c r="S789">
        <v>1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 t="s">
        <v>4982</v>
      </c>
      <c r="AB789" t="s">
        <v>7207</v>
      </c>
      <c r="AC789" t="s">
        <v>4982</v>
      </c>
      <c r="AD789" t="e">
        <f>VLOOKUP(AB789,#REF!,2,FALSE)</f>
        <v>#REF!</v>
      </c>
      <c r="AE789" t="e">
        <f>RIGHT(#REF!,(FIND("Complex",#REF!,1)-8))</f>
        <v>#REF!</v>
      </c>
    </row>
    <row r="790" spans="1:31" x14ac:dyDescent="0.25">
      <c r="A790">
        <v>3426</v>
      </c>
      <c r="B790" t="s">
        <v>54</v>
      </c>
      <c r="C790">
        <v>31</v>
      </c>
      <c r="D790">
        <v>886</v>
      </c>
      <c r="E790">
        <v>3426</v>
      </c>
      <c r="F790">
        <v>3263401</v>
      </c>
      <c r="G790">
        <v>3351600</v>
      </c>
      <c r="H790">
        <f t="shared" si="24"/>
        <v>74.000022675736957</v>
      </c>
      <c r="I790">
        <f t="shared" si="25"/>
        <v>76</v>
      </c>
      <c r="J790" t="s">
        <v>29</v>
      </c>
      <c r="K790">
        <v>3</v>
      </c>
      <c r="L790" t="e">
        <f t="array" ref="L790">VLOOKUP(J790:$J$3871&amp;K790:$K$3871,CHOOSE({1,2},#REF!&amp;#REF!,#REF!),2,0)</f>
        <v>#N/A</v>
      </c>
      <c r="M790">
        <v>-15</v>
      </c>
      <c r="N790">
        <v>0</v>
      </c>
      <c r="O790" t="s">
        <v>7</v>
      </c>
      <c r="P790">
        <v>1</v>
      </c>
      <c r="Q790">
        <v>1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 t="s">
        <v>5033</v>
      </c>
      <c r="AB790" t="s">
        <v>7233</v>
      </c>
      <c r="AC790" t="s">
        <v>5033</v>
      </c>
      <c r="AD790" t="e">
        <f>VLOOKUP(AB790,#REF!,2,FALSE)</f>
        <v>#REF!</v>
      </c>
      <c r="AE790" t="e">
        <f>RIGHT(#REF!,(FIND("Complex",#REF!,1)-8))</f>
        <v>#REF!</v>
      </c>
    </row>
    <row r="791" spans="1:31" x14ac:dyDescent="0.25">
      <c r="A791">
        <v>969</v>
      </c>
      <c r="B791" t="s">
        <v>54</v>
      </c>
      <c r="C791">
        <v>31</v>
      </c>
      <c r="D791">
        <v>172</v>
      </c>
      <c r="E791">
        <v>969</v>
      </c>
      <c r="F791">
        <v>3175201</v>
      </c>
      <c r="G791">
        <v>3263400</v>
      </c>
      <c r="H791">
        <f t="shared" si="24"/>
        <v>72.000022675736957</v>
      </c>
      <c r="I791">
        <f t="shared" si="25"/>
        <v>74</v>
      </c>
      <c r="J791" t="s">
        <v>29</v>
      </c>
      <c r="K791">
        <v>3</v>
      </c>
      <c r="L791" t="e">
        <f t="array" ref="L791">VLOOKUP(J791:$J$3871&amp;K791:$K$3871,CHOOSE({1,2},#REF!&amp;#REF!,#REF!),2,0)</f>
        <v>#N/A</v>
      </c>
      <c r="M791">
        <v>-15</v>
      </c>
      <c r="N791">
        <v>0</v>
      </c>
      <c r="O791" t="s">
        <v>7</v>
      </c>
      <c r="P791">
        <v>1</v>
      </c>
      <c r="Q791">
        <v>1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 t="s">
        <v>5046</v>
      </c>
      <c r="AB791" t="s">
        <v>921</v>
      </c>
      <c r="AC791" t="s">
        <v>5046</v>
      </c>
      <c r="AD791" t="e">
        <f>VLOOKUP(AB791,#REF!,2,FALSE)</f>
        <v>#REF!</v>
      </c>
      <c r="AE791" t="e">
        <f>RIGHT(#REF!,(FIND("Complex",#REF!,1)-7))</f>
        <v>#REF!</v>
      </c>
    </row>
    <row r="792" spans="1:31" x14ac:dyDescent="0.25">
      <c r="A792">
        <v>3483</v>
      </c>
      <c r="B792" t="s">
        <v>54</v>
      </c>
      <c r="C792">
        <v>31</v>
      </c>
      <c r="D792">
        <v>913</v>
      </c>
      <c r="E792">
        <v>3483</v>
      </c>
      <c r="F792">
        <v>3087001</v>
      </c>
      <c r="G792">
        <v>3175200</v>
      </c>
      <c r="H792">
        <f t="shared" si="24"/>
        <v>70.000022675736957</v>
      </c>
      <c r="I792">
        <f t="shared" si="25"/>
        <v>72</v>
      </c>
      <c r="J792" t="s">
        <v>29</v>
      </c>
      <c r="K792">
        <v>3</v>
      </c>
      <c r="L792" t="e">
        <f t="array" ref="L792">VLOOKUP(J792:$J$3871&amp;K792:$K$3871,CHOOSE({1,2},#REF!&amp;#REF!,#REF!),2,0)</f>
        <v>#N/A</v>
      </c>
      <c r="M792">
        <v>-15</v>
      </c>
      <c r="N792">
        <v>0</v>
      </c>
      <c r="O792" t="s">
        <v>7</v>
      </c>
      <c r="P792">
        <v>1</v>
      </c>
      <c r="Q792">
        <v>1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 t="s">
        <v>5062</v>
      </c>
      <c r="AB792" t="s">
        <v>7249</v>
      </c>
      <c r="AC792" t="s">
        <v>5062</v>
      </c>
      <c r="AD792" t="e">
        <f>VLOOKUP(AB792,#REF!,2,FALSE)</f>
        <v>#REF!</v>
      </c>
      <c r="AE792" t="e">
        <f>RIGHT(#REF!,(FIND("Complex",#REF!,1)-8))</f>
        <v>#REF!</v>
      </c>
    </row>
    <row r="793" spans="1:31" x14ac:dyDescent="0.25">
      <c r="A793">
        <v>3554</v>
      </c>
      <c r="B793" t="s">
        <v>63</v>
      </c>
      <c r="C793">
        <v>32</v>
      </c>
      <c r="D793">
        <v>943</v>
      </c>
      <c r="E793">
        <v>3554</v>
      </c>
      <c r="F793">
        <v>1499401</v>
      </c>
      <c r="G793">
        <v>1587600</v>
      </c>
      <c r="H793">
        <f t="shared" si="24"/>
        <v>34.000022675736965</v>
      </c>
      <c r="I793">
        <f t="shared" si="25"/>
        <v>36</v>
      </c>
      <c r="J793" t="s">
        <v>29</v>
      </c>
      <c r="K793">
        <v>3</v>
      </c>
      <c r="L793" t="e">
        <f t="array" ref="L793">VLOOKUP(J793:$J$3871&amp;K793:$K$3871,CHOOSE({1,2},#REF!&amp;#REF!,#REF!),2,0)</f>
        <v>#N/A</v>
      </c>
      <c r="M793">
        <v>-15</v>
      </c>
      <c r="N793">
        <v>0</v>
      </c>
      <c r="O793" t="s">
        <v>7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1</v>
      </c>
      <c r="Y793">
        <v>0</v>
      </c>
      <c r="Z793">
        <v>0</v>
      </c>
      <c r="AA793" t="s">
        <v>5338</v>
      </c>
      <c r="AB793" t="s">
        <v>991</v>
      </c>
      <c r="AC793" t="s">
        <v>5338</v>
      </c>
      <c r="AD793" t="e">
        <f>VLOOKUP(AB793,#REF!,2,FALSE)</f>
        <v>#REF!</v>
      </c>
      <c r="AE793" t="e">
        <f>RIGHT(#REF!,(FIND("Complex",#REF!,1)-8))</f>
        <v>#REF!</v>
      </c>
    </row>
    <row r="794" spans="1:31" x14ac:dyDescent="0.25">
      <c r="A794">
        <v>2421</v>
      </c>
      <c r="B794" t="s">
        <v>63</v>
      </c>
      <c r="C794">
        <v>32</v>
      </c>
      <c r="D794">
        <v>456</v>
      </c>
      <c r="E794">
        <v>2421</v>
      </c>
      <c r="F794">
        <v>1411201</v>
      </c>
      <c r="G794">
        <v>1499400</v>
      </c>
      <c r="H794">
        <f t="shared" si="24"/>
        <v>32.000022675736965</v>
      </c>
      <c r="I794">
        <f t="shared" si="25"/>
        <v>34</v>
      </c>
      <c r="J794" t="s">
        <v>29</v>
      </c>
      <c r="K794">
        <v>3</v>
      </c>
      <c r="L794" t="e">
        <f t="array" ref="L794">VLOOKUP(J794:$J$3871&amp;K794:$K$3871,CHOOSE({1,2},#REF!&amp;#REF!,#REF!),2,0)</f>
        <v>#N/A</v>
      </c>
      <c r="M794">
        <v>-15</v>
      </c>
      <c r="N794">
        <v>0</v>
      </c>
      <c r="O794" t="s">
        <v>7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1</v>
      </c>
      <c r="Y794">
        <v>0</v>
      </c>
      <c r="Z794">
        <v>0</v>
      </c>
      <c r="AA794" t="s">
        <v>5363</v>
      </c>
      <c r="AB794" t="s">
        <v>992</v>
      </c>
      <c r="AC794" t="s">
        <v>5363</v>
      </c>
      <c r="AD794" t="e">
        <f>VLOOKUP(AB794,#REF!,2,FALSE)</f>
        <v>#REF!</v>
      </c>
      <c r="AE794" t="e">
        <f>RIGHT(#REF!,(FIND("Complex",#REF!,1)-8))</f>
        <v>#REF!</v>
      </c>
    </row>
    <row r="795" spans="1:31" x14ac:dyDescent="0.25">
      <c r="A795">
        <v>2805</v>
      </c>
      <c r="B795" t="s">
        <v>63</v>
      </c>
      <c r="C795">
        <v>32</v>
      </c>
      <c r="D795">
        <v>606</v>
      </c>
      <c r="E795">
        <v>2805</v>
      </c>
      <c r="F795">
        <v>1146601</v>
      </c>
      <c r="G795">
        <v>1234800</v>
      </c>
      <c r="H795">
        <f t="shared" si="24"/>
        <v>26.000022675736961</v>
      </c>
      <c r="I795">
        <f t="shared" si="25"/>
        <v>28</v>
      </c>
      <c r="J795" t="s">
        <v>29</v>
      </c>
      <c r="K795">
        <v>3</v>
      </c>
      <c r="L795" t="e">
        <f t="array" ref="L795">VLOOKUP(J795:$J$3871&amp;K795:$K$3871,CHOOSE({1,2},#REF!&amp;#REF!,#REF!),2,0)</f>
        <v>#N/A</v>
      </c>
      <c r="M795">
        <v>-15</v>
      </c>
      <c r="N795">
        <v>0</v>
      </c>
      <c r="O795" t="s">
        <v>7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1</v>
      </c>
      <c r="Y795">
        <v>0</v>
      </c>
      <c r="Z795">
        <v>0</v>
      </c>
      <c r="AA795" t="s">
        <v>5467</v>
      </c>
      <c r="AB795" t="s">
        <v>7464</v>
      </c>
      <c r="AC795" t="s">
        <v>5467</v>
      </c>
      <c r="AD795" t="e">
        <f>VLOOKUP(AB795,#REF!,2,FALSE)</f>
        <v>#REF!</v>
      </c>
      <c r="AE795" t="e">
        <f>RIGHT(#REF!,(FIND("Complex",#REF!,1)-8))</f>
        <v>#REF!</v>
      </c>
    </row>
    <row r="796" spans="1:31" x14ac:dyDescent="0.25">
      <c r="A796">
        <v>2151</v>
      </c>
      <c r="B796" t="s">
        <v>63</v>
      </c>
      <c r="C796">
        <v>32</v>
      </c>
      <c r="D796">
        <v>389</v>
      </c>
      <c r="E796">
        <v>2151</v>
      </c>
      <c r="F796">
        <v>617401</v>
      </c>
      <c r="G796">
        <v>705600</v>
      </c>
      <c r="H796">
        <f t="shared" si="24"/>
        <v>14.000022675736961</v>
      </c>
      <c r="I796">
        <f t="shared" si="25"/>
        <v>16</v>
      </c>
      <c r="J796" t="s">
        <v>29</v>
      </c>
      <c r="K796">
        <v>3</v>
      </c>
      <c r="L796" t="e">
        <f t="array" ref="L796">VLOOKUP(J796:$J$3871&amp;K796:$K$3871,CHOOSE({1,2},#REF!&amp;#REF!,#REF!),2,0)</f>
        <v>#N/A</v>
      </c>
      <c r="M796">
        <v>-15</v>
      </c>
      <c r="N796">
        <v>0</v>
      </c>
      <c r="O796" t="s">
        <v>7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1</v>
      </c>
      <c r="Y796">
        <v>0</v>
      </c>
      <c r="Z796">
        <v>0</v>
      </c>
      <c r="AA796" t="s">
        <v>5945</v>
      </c>
      <c r="AB796" t="s">
        <v>7765</v>
      </c>
      <c r="AC796" t="s">
        <v>5945</v>
      </c>
      <c r="AD796" t="e">
        <f>VLOOKUP(AB796,#REF!,2,FALSE)</f>
        <v>#REF!</v>
      </c>
      <c r="AE796" t="e">
        <f>RIGHT(#REF!,(FIND("Complex",#REF!,1)-8))</f>
        <v>#REF!</v>
      </c>
    </row>
    <row r="797" spans="1:31" x14ac:dyDescent="0.25">
      <c r="A797">
        <v>768</v>
      </c>
      <c r="B797" t="s">
        <v>63</v>
      </c>
      <c r="C797">
        <v>32</v>
      </c>
      <c r="D797">
        <v>132</v>
      </c>
      <c r="E797">
        <v>768</v>
      </c>
      <c r="F797">
        <v>1</v>
      </c>
      <c r="G797">
        <v>88200</v>
      </c>
      <c r="H797">
        <f t="shared" si="24"/>
        <v>2.2675736961451248E-5</v>
      </c>
      <c r="I797">
        <f t="shared" si="25"/>
        <v>2</v>
      </c>
      <c r="J797" t="s">
        <v>29</v>
      </c>
      <c r="K797">
        <v>3</v>
      </c>
      <c r="L797" t="e">
        <f t="array" ref="L797">VLOOKUP(J797:$J$3871&amp;K797:$K$3871,CHOOSE({1,2},#REF!&amp;#REF!,#REF!),2,0)</f>
        <v>#N/A</v>
      </c>
      <c r="M797">
        <v>-15</v>
      </c>
      <c r="N797">
        <v>0</v>
      </c>
      <c r="O797" t="s">
        <v>7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1</v>
      </c>
      <c r="Y797">
        <v>0</v>
      </c>
      <c r="Z797">
        <v>0</v>
      </c>
      <c r="AA797" t="s">
        <v>6150</v>
      </c>
      <c r="AB797" t="s">
        <v>993</v>
      </c>
      <c r="AC797" t="s">
        <v>6150</v>
      </c>
      <c r="AD797" t="e">
        <f>VLOOKUP(AB797,#REF!,2,FALSE)</f>
        <v>#REF!</v>
      </c>
      <c r="AE797" t="e">
        <f>RIGHT(#REF!,(FIND("Complex",#REF!,1)-8))</f>
        <v>#REF!</v>
      </c>
    </row>
    <row r="798" spans="1:31" x14ac:dyDescent="0.25">
      <c r="A798">
        <v>2680</v>
      </c>
      <c r="B798" t="s">
        <v>92</v>
      </c>
      <c r="C798">
        <v>34</v>
      </c>
      <c r="D798">
        <v>550</v>
      </c>
      <c r="E798">
        <v>2680</v>
      </c>
      <c r="F798">
        <v>3792601</v>
      </c>
      <c r="G798">
        <v>3880800</v>
      </c>
      <c r="H798">
        <f t="shared" si="24"/>
        <v>86.000022675736957</v>
      </c>
      <c r="I798">
        <f t="shared" si="25"/>
        <v>88</v>
      </c>
      <c r="J798" t="s">
        <v>29</v>
      </c>
      <c r="K798">
        <v>3</v>
      </c>
      <c r="L798" t="e">
        <f t="array" ref="L798">VLOOKUP(J798:$J$3871&amp;K798:$K$3871,CHOOSE({1,2},#REF!&amp;#REF!,#REF!),2,0)</f>
        <v>#N/A</v>
      </c>
      <c r="M798">
        <v>-15</v>
      </c>
      <c r="N798">
        <v>0</v>
      </c>
      <c r="O798" t="s">
        <v>7</v>
      </c>
      <c r="P798">
        <v>1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 t="s">
        <v>4950</v>
      </c>
      <c r="AB798" t="s">
        <v>1036</v>
      </c>
      <c r="AC798" t="s">
        <v>4950</v>
      </c>
      <c r="AD798" t="e">
        <f>VLOOKUP(AB798,#REF!,2,FALSE)</f>
        <v>#REF!</v>
      </c>
      <c r="AE798" t="e">
        <f>RIGHT(#REF!,(FIND("Complex",#REF!,1)-8))</f>
        <v>#REF!</v>
      </c>
    </row>
    <row r="799" spans="1:31" x14ac:dyDescent="0.25">
      <c r="A799">
        <v>2956</v>
      </c>
      <c r="B799" t="s">
        <v>92</v>
      </c>
      <c r="C799">
        <v>34</v>
      </c>
      <c r="D799">
        <v>660</v>
      </c>
      <c r="E799">
        <v>2956</v>
      </c>
      <c r="F799">
        <v>2116801</v>
      </c>
      <c r="G799">
        <v>2205000</v>
      </c>
      <c r="H799">
        <f t="shared" si="24"/>
        <v>48.000022675736965</v>
      </c>
      <c r="I799">
        <f t="shared" si="25"/>
        <v>50</v>
      </c>
      <c r="J799" t="s">
        <v>29</v>
      </c>
      <c r="K799">
        <v>3</v>
      </c>
      <c r="L799" t="e">
        <f t="array" ref="L799">VLOOKUP(J799:$J$3871&amp;K799:$K$3871,CHOOSE({1,2},#REF!&amp;#REF!,#REF!),2,0)</f>
        <v>#N/A</v>
      </c>
      <c r="M799">
        <v>-15</v>
      </c>
      <c r="N799">
        <v>0</v>
      </c>
      <c r="O799" t="s">
        <v>7</v>
      </c>
      <c r="P799">
        <v>1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 t="s">
        <v>5208</v>
      </c>
      <c r="AB799" t="s">
        <v>7317</v>
      </c>
      <c r="AC799" t="s">
        <v>5208</v>
      </c>
      <c r="AD799" t="e">
        <f>VLOOKUP(AB799,#REF!,2,FALSE)</f>
        <v>#REF!</v>
      </c>
      <c r="AE799" t="e">
        <f>RIGHT(#REF!,(FIND("Complex",#REF!,1)-8))</f>
        <v>#REF!</v>
      </c>
    </row>
    <row r="800" spans="1:31" x14ac:dyDescent="0.25">
      <c r="A800">
        <v>3444</v>
      </c>
      <c r="B800" t="s">
        <v>92</v>
      </c>
      <c r="C800">
        <v>34</v>
      </c>
      <c r="D800">
        <v>895</v>
      </c>
      <c r="E800">
        <v>3444</v>
      </c>
      <c r="F800">
        <v>1234801</v>
      </c>
      <c r="G800">
        <v>1323000</v>
      </c>
      <c r="H800">
        <f t="shared" si="24"/>
        <v>28.000022675736961</v>
      </c>
      <c r="I800">
        <f t="shared" si="25"/>
        <v>30</v>
      </c>
      <c r="J800" t="s">
        <v>29</v>
      </c>
      <c r="K800">
        <v>3</v>
      </c>
      <c r="L800" t="e">
        <f t="array" ref="L800">VLOOKUP(J800:$J$3871&amp;K800:$K$3871,CHOOSE({1,2},#REF!&amp;#REF!,#REF!),2,0)</f>
        <v>#N/A</v>
      </c>
      <c r="M800">
        <v>-15</v>
      </c>
      <c r="N800">
        <v>0</v>
      </c>
      <c r="O800" t="s">
        <v>7</v>
      </c>
      <c r="P800">
        <v>1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 t="s">
        <v>5416</v>
      </c>
      <c r="AB800" t="s">
        <v>1037</v>
      </c>
      <c r="AC800" t="s">
        <v>5416</v>
      </c>
      <c r="AD800" t="e">
        <f>VLOOKUP(AB800,#REF!,2,FALSE)</f>
        <v>#REF!</v>
      </c>
      <c r="AE800" t="e">
        <f>RIGHT(#REF!,(FIND("Complex",#REF!,1)-8))</f>
        <v>#REF!</v>
      </c>
    </row>
    <row r="801" spans="1:31" x14ac:dyDescent="0.25">
      <c r="A801">
        <v>3336</v>
      </c>
      <c r="B801" t="s">
        <v>92</v>
      </c>
      <c r="C801">
        <v>34</v>
      </c>
      <c r="D801">
        <v>843</v>
      </c>
      <c r="E801">
        <v>3336</v>
      </c>
      <c r="F801">
        <v>12083401</v>
      </c>
      <c r="G801">
        <v>12171600</v>
      </c>
      <c r="H801">
        <f t="shared" si="24"/>
        <v>274.00002267573694</v>
      </c>
      <c r="I801">
        <f t="shared" si="25"/>
        <v>276</v>
      </c>
      <c r="J801" t="s">
        <v>29</v>
      </c>
      <c r="K801">
        <v>3</v>
      </c>
      <c r="L801" t="e">
        <f t="array" ref="L801">VLOOKUP(J801:$J$3871&amp;K801:$K$3871,CHOOSE({1,2},#REF!&amp;#REF!,#REF!),2,0)</f>
        <v>#N/A</v>
      </c>
      <c r="M801">
        <v>-15</v>
      </c>
      <c r="N801">
        <v>0</v>
      </c>
      <c r="O801" t="s">
        <v>7</v>
      </c>
      <c r="P801">
        <v>1</v>
      </c>
      <c r="Q801">
        <v>0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1</v>
      </c>
      <c r="Z801">
        <v>0</v>
      </c>
      <c r="AA801" t="s">
        <v>5430</v>
      </c>
      <c r="AB801" t="s">
        <v>1038</v>
      </c>
      <c r="AC801" t="s">
        <v>5430</v>
      </c>
      <c r="AD801" t="e">
        <f>VLOOKUP(AB801,#REF!,2,FALSE)</f>
        <v>#REF!</v>
      </c>
      <c r="AE801" t="e">
        <f>RIGHT(#REF!,(FIND("Complex",#REF!,1)-7))</f>
        <v>#REF!</v>
      </c>
    </row>
    <row r="802" spans="1:31" x14ac:dyDescent="0.25">
      <c r="A802">
        <v>3017</v>
      </c>
      <c r="B802" t="s">
        <v>92</v>
      </c>
      <c r="C802">
        <v>34</v>
      </c>
      <c r="D802">
        <v>689</v>
      </c>
      <c r="E802">
        <v>3017</v>
      </c>
      <c r="F802">
        <v>11995201</v>
      </c>
      <c r="G802">
        <v>12083400</v>
      </c>
      <c r="H802">
        <f t="shared" si="24"/>
        <v>272.00002267573694</v>
      </c>
      <c r="I802">
        <f t="shared" si="25"/>
        <v>274</v>
      </c>
      <c r="J802" t="s">
        <v>29</v>
      </c>
      <c r="K802">
        <v>3</v>
      </c>
      <c r="L802" t="e">
        <f t="array" ref="L802">VLOOKUP(J802:$J$3871&amp;K802:$K$3871,CHOOSE({1,2},#REF!&amp;#REF!,#REF!),2,0)</f>
        <v>#N/A</v>
      </c>
      <c r="M802">
        <v>-15</v>
      </c>
      <c r="N802">
        <v>0</v>
      </c>
      <c r="O802" t="s">
        <v>7</v>
      </c>
      <c r="P802">
        <v>1</v>
      </c>
      <c r="Q802">
        <v>0</v>
      </c>
      <c r="R802">
        <v>0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 t="s">
        <v>5432</v>
      </c>
      <c r="AB802" t="s">
        <v>1039</v>
      </c>
      <c r="AC802" t="s">
        <v>5432</v>
      </c>
      <c r="AD802" t="e">
        <f>VLOOKUP(AB802,#REF!,2,FALSE)</f>
        <v>#REF!</v>
      </c>
      <c r="AE802" t="e">
        <f>RIGHT(#REF!,(FIND("Complex",#REF!,1)-7))</f>
        <v>#REF!</v>
      </c>
    </row>
    <row r="803" spans="1:31" x14ac:dyDescent="0.25">
      <c r="A803">
        <v>1317</v>
      </c>
      <c r="B803" t="s">
        <v>92</v>
      </c>
      <c r="C803">
        <v>34</v>
      </c>
      <c r="D803">
        <v>226</v>
      </c>
      <c r="E803">
        <v>1317</v>
      </c>
      <c r="F803">
        <v>11818801</v>
      </c>
      <c r="G803">
        <v>11907000</v>
      </c>
      <c r="H803">
        <f t="shared" si="24"/>
        <v>268.00002267573694</v>
      </c>
      <c r="I803">
        <f t="shared" si="25"/>
        <v>270</v>
      </c>
      <c r="J803" t="s">
        <v>29</v>
      </c>
      <c r="K803">
        <v>3</v>
      </c>
      <c r="L803" t="e">
        <f t="array" ref="L803">VLOOKUP(J803:$J$3871&amp;K803:$K$3871,CHOOSE({1,2},#REF!&amp;#REF!,#REF!),2,0)</f>
        <v>#N/A</v>
      </c>
      <c r="M803">
        <v>-15</v>
      </c>
      <c r="N803">
        <v>0</v>
      </c>
      <c r="O803" t="s">
        <v>7</v>
      </c>
      <c r="P803">
        <v>1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1</v>
      </c>
      <c r="Z803">
        <v>0</v>
      </c>
      <c r="AA803" t="s">
        <v>5441</v>
      </c>
      <c r="AB803" t="s">
        <v>7446</v>
      </c>
      <c r="AC803" t="s">
        <v>5441</v>
      </c>
      <c r="AD803" t="e">
        <f>VLOOKUP(AB803,#REF!,2,FALSE)</f>
        <v>#REF!</v>
      </c>
      <c r="AE803" t="e">
        <f>RIGHT(#REF!,(FIND("Complex",#REF!,1)-7))</f>
        <v>#REF!</v>
      </c>
    </row>
    <row r="804" spans="1:31" x14ac:dyDescent="0.25">
      <c r="A804">
        <v>3660</v>
      </c>
      <c r="B804" t="s">
        <v>92</v>
      </c>
      <c r="C804">
        <v>34</v>
      </c>
      <c r="D804">
        <v>982</v>
      </c>
      <c r="E804">
        <v>3660</v>
      </c>
      <c r="F804">
        <v>11730601</v>
      </c>
      <c r="G804">
        <v>11818800</v>
      </c>
      <c r="H804">
        <f t="shared" si="24"/>
        <v>266.00002267573694</v>
      </c>
      <c r="I804">
        <f t="shared" si="25"/>
        <v>268</v>
      </c>
      <c r="J804" t="s">
        <v>29</v>
      </c>
      <c r="K804">
        <v>3</v>
      </c>
      <c r="L804" t="e">
        <f t="array" ref="L804">VLOOKUP(J804:$J$3871&amp;K804:$K$3871,CHOOSE({1,2},#REF!&amp;#REF!,#REF!),2,0)</f>
        <v>#N/A</v>
      </c>
      <c r="M804">
        <v>-15</v>
      </c>
      <c r="N804">
        <v>0</v>
      </c>
      <c r="O804" t="s">
        <v>7</v>
      </c>
      <c r="P804">
        <v>1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1</v>
      </c>
      <c r="Z804">
        <v>0</v>
      </c>
      <c r="AA804" t="s">
        <v>5446</v>
      </c>
      <c r="AB804" t="s">
        <v>7450</v>
      </c>
      <c r="AC804" t="s">
        <v>5446</v>
      </c>
      <c r="AD804" t="e">
        <f>VLOOKUP(AB804,#REF!,2,FALSE)</f>
        <v>#REF!</v>
      </c>
      <c r="AE804" t="e">
        <f>RIGHT(#REF!,(FIND("Complex",#REF!,1)-7))</f>
        <v>#REF!</v>
      </c>
    </row>
    <row r="805" spans="1:31" x14ac:dyDescent="0.25">
      <c r="A805">
        <v>576</v>
      </c>
      <c r="B805" t="s">
        <v>92</v>
      </c>
      <c r="C805">
        <v>34</v>
      </c>
      <c r="D805">
        <v>101</v>
      </c>
      <c r="E805">
        <v>576</v>
      </c>
      <c r="F805">
        <v>11466001</v>
      </c>
      <c r="G805">
        <v>11554200</v>
      </c>
      <c r="H805">
        <f t="shared" si="24"/>
        <v>260.00002267573694</v>
      </c>
      <c r="I805">
        <f t="shared" si="25"/>
        <v>262</v>
      </c>
      <c r="J805" t="s">
        <v>29</v>
      </c>
      <c r="K805">
        <v>3</v>
      </c>
      <c r="L805" t="e">
        <f t="array" ref="L805">VLOOKUP(J805:$J$3871&amp;K805:$K$3871,CHOOSE({1,2},#REF!&amp;#REF!,#REF!),2,0)</f>
        <v>#N/A</v>
      </c>
      <c r="M805">
        <v>-15</v>
      </c>
      <c r="N805">
        <v>0</v>
      </c>
      <c r="O805" t="s">
        <v>7</v>
      </c>
      <c r="P805">
        <v>1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1</v>
      </c>
      <c r="Z805">
        <v>0</v>
      </c>
      <c r="AA805" t="s">
        <v>5453</v>
      </c>
      <c r="AB805" t="s">
        <v>1040</v>
      </c>
      <c r="AC805" t="s">
        <v>5453</v>
      </c>
      <c r="AD805" t="e">
        <f>VLOOKUP(AB805,#REF!,2,FALSE)</f>
        <v>#REF!</v>
      </c>
      <c r="AE805" t="e">
        <f>RIGHT(#REF!,(FIND("Complex",#REF!,1)-6))</f>
        <v>#REF!</v>
      </c>
    </row>
    <row r="806" spans="1:31" x14ac:dyDescent="0.25">
      <c r="A806">
        <v>2441</v>
      </c>
      <c r="B806" t="s">
        <v>92</v>
      </c>
      <c r="C806">
        <v>34</v>
      </c>
      <c r="D806">
        <v>465</v>
      </c>
      <c r="E806">
        <v>2441</v>
      </c>
      <c r="F806">
        <v>11289601</v>
      </c>
      <c r="G806">
        <v>11377800</v>
      </c>
      <c r="H806">
        <f t="shared" si="24"/>
        <v>256.00002267573694</v>
      </c>
      <c r="I806">
        <f t="shared" si="25"/>
        <v>258</v>
      </c>
      <c r="J806" t="s">
        <v>29</v>
      </c>
      <c r="K806">
        <v>3</v>
      </c>
      <c r="L806" t="e">
        <f t="array" ref="L806">VLOOKUP(J806:$J$3871&amp;K806:$K$3871,CHOOSE({1,2},#REF!&amp;#REF!,#REF!),2,0)</f>
        <v>#N/A</v>
      </c>
      <c r="M806">
        <v>-15</v>
      </c>
      <c r="N806">
        <v>0</v>
      </c>
      <c r="O806" t="s">
        <v>7</v>
      </c>
      <c r="P806">
        <v>1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1</v>
      </c>
      <c r="Z806">
        <v>0</v>
      </c>
      <c r="AA806" t="s">
        <v>5477</v>
      </c>
      <c r="AB806" t="s">
        <v>7471</v>
      </c>
      <c r="AC806" t="s">
        <v>5477</v>
      </c>
      <c r="AD806" t="e">
        <f>VLOOKUP(AB806,#REF!,2,FALSE)</f>
        <v>#REF!</v>
      </c>
      <c r="AE806" t="e">
        <f>RIGHT(#REF!,(FIND("Complex",#REF!,1)-7))</f>
        <v>#REF!</v>
      </c>
    </row>
    <row r="807" spans="1:31" x14ac:dyDescent="0.25">
      <c r="A807">
        <v>3607</v>
      </c>
      <c r="B807" t="s">
        <v>92</v>
      </c>
      <c r="C807">
        <v>34</v>
      </c>
      <c r="D807">
        <v>963</v>
      </c>
      <c r="E807">
        <v>3607</v>
      </c>
      <c r="F807">
        <v>11201401</v>
      </c>
      <c r="G807">
        <v>11289600</v>
      </c>
      <c r="H807">
        <f t="shared" si="24"/>
        <v>254.00002267573697</v>
      </c>
      <c r="I807">
        <f t="shared" si="25"/>
        <v>256</v>
      </c>
      <c r="J807" t="s">
        <v>29</v>
      </c>
      <c r="K807">
        <v>3</v>
      </c>
      <c r="L807" t="e">
        <f t="array" ref="L807">VLOOKUP(J807:$J$3871&amp;K807:$K$3871,CHOOSE({1,2},#REF!&amp;#REF!,#REF!),2,0)</f>
        <v>#N/A</v>
      </c>
      <c r="M807">
        <v>-15</v>
      </c>
      <c r="N807">
        <v>0</v>
      </c>
      <c r="O807" t="s">
        <v>7</v>
      </c>
      <c r="P807">
        <v>1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1</v>
      </c>
      <c r="Z807">
        <v>0</v>
      </c>
      <c r="AA807" t="s">
        <v>5483</v>
      </c>
      <c r="AB807" t="s">
        <v>1041</v>
      </c>
      <c r="AC807" t="s">
        <v>5483</v>
      </c>
      <c r="AD807" t="e">
        <f>VLOOKUP(AB807,#REF!,2,FALSE)</f>
        <v>#REF!</v>
      </c>
      <c r="AE807" t="e">
        <f>RIGHT(#REF!,(FIND("Complex",#REF!,1)-7))</f>
        <v>#REF!</v>
      </c>
    </row>
    <row r="808" spans="1:31" x14ac:dyDescent="0.25">
      <c r="A808">
        <v>2510</v>
      </c>
      <c r="B808" t="s">
        <v>92</v>
      </c>
      <c r="C808">
        <v>34</v>
      </c>
      <c r="D808">
        <v>489</v>
      </c>
      <c r="E808">
        <v>2510</v>
      </c>
      <c r="F808">
        <v>705601</v>
      </c>
      <c r="G808">
        <v>793800</v>
      </c>
      <c r="H808">
        <f t="shared" si="24"/>
        <v>16.000022675736961</v>
      </c>
      <c r="I808">
        <f t="shared" si="25"/>
        <v>18</v>
      </c>
      <c r="J808" t="s">
        <v>29</v>
      </c>
      <c r="K808">
        <v>3</v>
      </c>
      <c r="L808" t="e">
        <f t="array" ref="L808">VLOOKUP(J808:$J$3871&amp;K808:$K$3871,CHOOSE({1,2},#REF!&amp;#REF!,#REF!),2,0)</f>
        <v>#N/A</v>
      </c>
      <c r="M808">
        <v>-15</v>
      </c>
      <c r="N808">
        <v>0</v>
      </c>
      <c r="O808" t="s">
        <v>7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 t="s">
        <v>5822</v>
      </c>
      <c r="AB808" t="s">
        <v>7690</v>
      </c>
      <c r="AC808" t="s">
        <v>5822</v>
      </c>
      <c r="AD808" t="e">
        <f>VLOOKUP(AB808,#REF!,2,FALSE)</f>
        <v>#REF!</v>
      </c>
      <c r="AE808" t="e">
        <f>RIGHT(#REF!,(FIND("Complex",#REF!,1)-8))</f>
        <v>#REF!</v>
      </c>
    </row>
    <row r="809" spans="1:31" x14ac:dyDescent="0.25">
      <c r="A809">
        <v>1581</v>
      </c>
      <c r="B809" t="s">
        <v>92</v>
      </c>
      <c r="C809">
        <v>34</v>
      </c>
      <c r="D809">
        <v>272</v>
      </c>
      <c r="E809">
        <v>1581</v>
      </c>
      <c r="F809">
        <v>4498201</v>
      </c>
      <c r="G809">
        <v>4586400</v>
      </c>
      <c r="H809">
        <f t="shared" si="24"/>
        <v>102.00002267573696</v>
      </c>
      <c r="I809">
        <f t="shared" si="25"/>
        <v>104</v>
      </c>
      <c r="J809" t="s">
        <v>29</v>
      </c>
      <c r="K809">
        <v>3</v>
      </c>
      <c r="L809" t="e">
        <f t="array" ref="L809">VLOOKUP(J809:$J$3871&amp;K809:$K$3871,CHOOSE({1,2},#REF!&amp;#REF!,#REF!),2,0)</f>
        <v>#N/A</v>
      </c>
      <c r="M809">
        <v>-15</v>
      </c>
      <c r="N809">
        <v>0</v>
      </c>
      <c r="O809" t="s">
        <v>7</v>
      </c>
      <c r="P809">
        <v>1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 t="s">
        <v>6112</v>
      </c>
      <c r="AB809" t="s">
        <v>1042</v>
      </c>
      <c r="AC809" t="s">
        <v>6112</v>
      </c>
      <c r="AD809" t="e">
        <f>VLOOKUP(AB809,#REF!,2,FALSE)</f>
        <v>#REF!</v>
      </c>
      <c r="AE809" t="e">
        <f>RIGHT(#REF!,(FIND("Complex",#REF!,1)-7))</f>
        <v>#REF!</v>
      </c>
    </row>
    <row r="810" spans="1:31" x14ac:dyDescent="0.25">
      <c r="A810">
        <v>2790</v>
      </c>
      <c r="B810" t="s">
        <v>60</v>
      </c>
      <c r="C810">
        <v>35</v>
      </c>
      <c r="D810">
        <v>599</v>
      </c>
      <c r="E810">
        <v>2790</v>
      </c>
      <c r="F810">
        <v>4145401</v>
      </c>
      <c r="G810">
        <v>4233600</v>
      </c>
      <c r="H810">
        <f t="shared" si="24"/>
        <v>94.000022675736957</v>
      </c>
      <c r="I810">
        <f t="shared" si="25"/>
        <v>96</v>
      </c>
      <c r="J810" t="s">
        <v>29</v>
      </c>
      <c r="K810">
        <v>3</v>
      </c>
      <c r="L810" t="e">
        <f t="array" ref="L810">VLOOKUP(J810:$J$3871&amp;K810:$K$3871,CHOOSE({1,2},#REF!&amp;#REF!,#REF!),2,0)</f>
        <v>#N/A</v>
      </c>
      <c r="M810">
        <v>-15</v>
      </c>
      <c r="N810">
        <v>0</v>
      </c>
      <c r="O810" t="s">
        <v>7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1</v>
      </c>
      <c r="Y810">
        <v>0</v>
      </c>
      <c r="Z810">
        <v>0</v>
      </c>
      <c r="AA810" t="s">
        <v>4906</v>
      </c>
      <c r="AB810" t="s">
        <v>7163</v>
      </c>
      <c r="AC810" t="s">
        <v>4906</v>
      </c>
      <c r="AD810" t="e">
        <f>VLOOKUP(AB810,#REF!,2,FALSE)</f>
        <v>#REF!</v>
      </c>
      <c r="AE810" t="e">
        <f>RIGHT(#REF!,(FIND("Complex",#REF!,1)-8))</f>
        <v>#REF!</v>
      </c>
    </row>
    <row r="811" spans="1:31" x14ac:dyDescent="0.25">
      <c r="A811">
        <v>155</v>
      </c>
      <c r="B811" t="s">
        <v>60</v>
      </c>
      <c r="C811">
        <v>35</v>
      </c>
      <c r="D811">
        <v>28</v>
      </c>
      <c r="E811">
        <v>155</v>
      </c>
      <c r="F811">
        <v>3969001</v>
      </c>
      <c r="G811">
        <v>4057200</v>
      </c>
      <c r="H811">
        <f t="shared" si="24"/>
        <v>90.000022675736957</v>
      </c>
      <c r="I811">
        <f t="shared" si="25"/>
        <v>92</v>
      </c>
      <c r="J811" t="s">
        <v>29</v>
      </c>
      <c r="K811">
        <v>3</v>
      </c>
      <c r="L811" t="e">
        <f t="array" ref="L811">VLOOKUP(J811:$J$3871&amp;K811:$K$3871,CHOOSE({1,2},#REF!&amp;#REF!,#REF!),2,0)</f>
        <v>#N/A</v>
      </c>
      <c r="M811">
        <v>-15</v>
      </c>
      <c r="N811">
        <v>0</v>
      </c>
      <c r="O811" t="s">
        <v>7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1</v>
      </c>
      <c r="Y811">
        <v>0</v>
      </c>
      <c r="Z811">
        <v>0</v>
      </c>
      <c r="AA811" t="s">
        <v>4929</v>
      </c>
      <c r="AB811" t="s">
        <v>7179</v>
      </c>
      <c r="AC811" t="s">
        <v>4929</v>
      </c>
      <c r="AD811" t="e">
        <f>VLOOKUP(AB811,#REF!,2,FALSE)</f>
        <v>#REF!</v>
      </c>
      <c r="AE811" t="e">
        <f>RIGHT(#REF!,(FIND("Complex",#REF!,1)-7))</f>
        <v>#REF!</v>
      </c>
    </row>
    <row r="812" spans="1:31" x14ac:dyDescent="0.25">
      <c r="A812">
        <v>2361</v>
      </c>
      <c r="B812" t="s">
        <v>60</v>
      </c>
      <c r="C812">
        <v>35</v>
      </c>
      <c r="D812">
        <v>435</v>
      </c>
      <c r="E812">
        <v>2361</v>
      </c>
      <c r="F812">
        <v>3880801</v>
      </c>
      <c r="G812">
        <v>3969000</v>
      </c>
      <c r="H812">
        <f t="shared" si="24"/>
        <v>88.000022675736957</v>
      </c>
      <c r="I812">
        <f t="shared" si="25"/>
        <v>90</v>
      </c>
      <c r="J812" t="s">
        <v>29</v>
      </c>
      <c r="K812">
        <v>3</v>
      </c>
      <c r="L812" t="e">
        <f t="array" ref="L812">VLOOKUP(J812:$J$3871&amp;K812:$K$3871,CHOOSE({1,2},#REF!&amp;#REF!,#REF!),2,0)</f>
        <v>#N/A</v>
      </c>
      <c r="M812">
        <v>-15</v>
      </c>
      <c r="N812">
        <v>0</v>
      </c>
      <c r="O812" t="s">
        <v>7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0</v>
      </c>
      <c r="AA812" t="s">
        <v>4939</v>
      </c>
      <c r="AB812" t="s">
        <v>7184</v>
      </c>
      <c r="AC812" t="s">
        <v>4939</v>
      </c>
      <c r="AD812" t="e">
        <f>VLOOKUP(AB812,#REF!,2,FALSE)</f>
        <v>#REF!</v>
      </c>
      <c r="AE812" t="e">
        <f>RIGHT(#REF!,(FIND("Complex",#REF!,1)-8))</f>
        <v>#REF!</v>
      </c>
    </row>
    <row r="813" spans="1:31" x14ac:dyDescent="0.25">
      <c r="A813">
        <v>3151</v>
      </c>
      <c r="B813" t="s">
        <v>60</v>
      </c>
      <c r="C813">
        <v>35</v>
      </c>
      <c r="D813">
        <v>746</v>
      </c>
      <c r="E813">
        <v>3151</v>
      </c>
      <c r="F813">
        <v>3792601</v>
      </c>
      <c r="G813">
        <v>3880800</v>
      </c>
      <c r="H813">
        <f t="shared" si="24"/>
        <v>86.000022675736957</v>
      </c>
      <c r="I813">
        <f t="shared" si="25"/>
        <v>88</v>
      </c>
      <c r="J813" t="s">
        <v>29</v>
      </c>
      <c r="K813">
        <v>3</v>
      </c>
      <c r="L813" t="e">
        <f t="array" ref="L813">VLOOKUP(J813:$J$3871&amp;K813:$K$3871,CHOOSE({1,2},#REF!&amp;#REF!,#REF!),2,0)</f>
        <v>#N/A</v>
      </c>
      <c r="M813">
        <v>-15</v>
      </c>
      <c r="N813">
        <v>0</v>
      </c>
      <c r="O813" t="s">
        <v>7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1</v>
      </c>
      <c r="Y813">
        <v>0</v>
      </c>
      <c r="Z813">
        <v>0</v>
      </c>
      <c r="AA813" t="s">
        <v>4949</v>
      </c>
      <c r="AB813" t="s">
        <v>1063</v>
      </c>
      <c r="AC813" t="s">
        <v>4949</v>
      </c>
      <c r="AD813" t="e">
        <f>VLOOKUP(AB813,#REF!,2,FALSE)</f>
        <v>#REF!</v>
      </c>
      <c r="AE813" t="e">
        <f>RIGHT(#REF!,(FIND("Complex",#REF!,1)-8))</f>
        <v>#REF!</v>
      </c>
    </row>
    <row r="814" spans="1:31" x14ac:dyDescent="0.25">
      <c r="A814">
        <v>3202</v>
      </c>
      <c r="B814" t="s">
        <v>60</v>
      </c>
      <c r="C814">
        <v>35</v>
      </c>
      <c r="D814">
        <v>772</v>
      </c>
      <c r="E814">
        <v>3202</v>
      </c>
      <c r="F814">
        <v>2822401</v>
      </c>
      <c r="G814">
        <v>2910600</v>
      </c>
      <c r="H814">
        <f t="shared" si="24"/>
        <v>64.000022675736957</v>
      </c>
      <c r="I814">
        <f t="shared" si="25"/>
        <v>66</v>
      </c>
      <c r="J814" t="s">
        <v>29</v>
      </c>
      <c r="K814">
        <v>3</v>
      </c>
      <c r="L814" t="e">
        <f t="array" ref="L814">VLOOKUP(J814:$J$3871&amp;K814:$K$3871,CHOOSE({1,2},#REF!&amp;#REF!,#REF!),2,0)</f>
        <v>#N/A</v>
      </c>
      <c r="M814">
        <v>-15</v>
      </c>
      <c r="N814">
        <v>0</v>
      </c>
      <c r="O814" t="s">
        <v>7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1</v>
      </c>
      <c r="Y814">
        <v>0</v>
      </c>
      <c r="Z814">
        <v>0</v>
      </c>
      <c r="AA814" t="s">
        <v>5089</v>
      </c>
      <c r="AB814" t="s">
        <v>1064</v>
      </c>
      <c r="AC814" t="s">
        <v>5089</v>
      </c>
      <c r="AD814" t="e">
        <f>VLOOKUP(AB814,#REF!,2,FALSE)</f>
        <v>#REF!</v>
      </c>
      <c r="AE814" t="e">
        <f>RIGHT(#REF!,(FIND("Complex",#REF!,1)-8))</f>
        <v>#REF!</v>
      </c>
    </row>
    <row r="815" spans="1:31" x14ac:dyDescent="0.25">
      <c r="A815">
        <v>3490</v>
      </c>
      <c r="B815" t="s">
        <v>60</v>
      </c>
      <c r="C815">
        <v>35</v>
      </c>
      <c r="D815">
        <v>918</v>
      </c>
      <c r="E815">
        <v>3490</v>
      </c>
      <c r="F815">
        <v>2557801</v>
      </c>
      <c r="G815">
        <v>2646000</v>
      </c>
      <c r="H815">
        <f t="shared" si="24"/>
        <v>58.000022675736965</v>
      </c>
      <c r="I815">
        <f t="shared" si="25"/>
        <v>60</v>
      </c>
      <c r="J815" t="s">
        <v>29</v>
      </c>
      <c r="K815">
        <v>3</v>
      </c>
      <c r="L815" t="e">
        <f t="array" ref="L815">VLOOKUP(J815:$J$3871&amp;K815:$K$3871,CHOOSE({1,2},#REF!&amp;#REF!,#REF!),2,0)</f>
        <v>#N/A</v>
      </c>
      <c r="M815">
        <v>-15</v>
      </c>
      <c r="N815">
        <v>0</v>
      </c>
      <c r="O815" t="s">
        <v>7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1</v>
      </c>
      <c r="Z815">
        <v>0</v>
      </c>
      <c r="AA815" t="s">
        <v>5143</v>
      </c>
      <c r="AB815" t="s">
        <v>1065</v>
      </c>
      <c r="AC815" t="s">
        <v>5143</v>
      </c>
      <c r="AD815" t="e">
        <f>VLOOKUP(AB815,#REF!,2,FALSE)</f>
        <v>#REF!</v>
      </c>
      <c r="AE815" t="e">
        <f>RIGHT(#REF!,(FIND("Complex",#REF!,1)-8))</f>
        <v>#REF!</v>
      </c>
    </row>
    <row r="816" spans="1:31" x14ac:dyDescent="0.25">
      <c r="A816">
        <v>1332</v>
      </c>
      <c r="B816" t="s">
        <v>60</v>
      </c>
      <c r="C816">
        <v>35</v>
      </c>
      <c r="D816">
        <v>228</v>
      </c>
      <c r="E816">
        <v>1332</v>
      </c>
      <c r="F816">
        <v>2469601</v>
      </c>
      <c r="G816">
        <v>2557800</v>
      </c>
      <c r="H816">
        <f t="shared" si="24"/>
        <v>56.000022675736965</v>
      </c>
      <c r="I816">
        <f t="shared" si="25"/>
        <v>58</v>
      </c>
      <c r="J816" t="s">
        <v>29</v>
      </c>
      <c r="K816">
        <v>3</v>
      </c>
      <c r="L816" t="e">
        <f t="array" ref="L816">VLOOKUP(J816:$J$3871&amp;K816:$K$3871,CHOOSE({1,2},#REF!&amp;#REF!,#REF!),2,0)</f>
        <v>#N/A</v>
      </c>
      <c r="M816">
        <v>-15</v>
      </c>
      <c r="N816">
        <v>0</v>
      </c>
      <c r="O816" t="s">
        <v>7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1</v>
      </c>
      <c r="Z816">
        <v>0</v>
      </c>
      <c r="AA816" t="s">
        <v>5157</v>
      </c>
      <c r="AB816" t="s">
        <v>7297</v>
      </c>
      <c r="AC816" t="s">
        <v>5157</v>
      </c>
      <c r="AD816" t="e">
        <f>VLOOKUP(AB816,#REF!,2,FALSE)</f>
        <v>#REF!</v>
      </c>
      <c r="AE816" t="e">
        <f>RIGHT(#REF!,(FIND("Complex",#REF!,1)-8))</f>
        <v>#REF!</v>
      </c>
    </row>
    <row r="817" spans="1:31" x14ac:dyDescent="0.25">
      <c r="A817">
        <v>2871</v>
      </c>
      <c r="B817" t="s">
        <v>60</v>
      </c>
      <c r="C817">
        <v>35</v>
      </c>
      <c r="D817">
        <v>626</v>
      </c>
      <c r="E817">
        <v>2871</v>
      </c>
      <c r="F817">
        <v>2293201</v>
      </c>
      <c r="G817">
        <v>2381400</v>
      </c>
      <c r="H817">
        <f t="shared" si="24"/>
        <v>52.000022675736965</v>
      </c>
      <c r="I817">
        <f t="shared" si="25"/>
        <v>54</v>
      </c>
      <c r="J817" t="s">
        <v>29</v>
      </c>
      <c r="K817">
        <v>3</v>
      </c>
      <c r="L817" t="e">
        <f t="array" ref="L817">VLOOKUP(J817:$J$3871&amp;K817:$K$3871,CHOOSE({1,2},#REF!&amp;#REF!,#REF!),2,0)</f>
        <v>#N/A</v>
      </c>
      <c r="M817">
        <v>-15</v>
      </c>
      <c r="N817">
        <v>0</v>
      </c>
      <c r="O817" t="s">
        <v>7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1</v>
      </c>
      <c r="Z817">
        <v>0</v>
      </c>
      <c r="AA817" t="s">
        <v>5182</v>
      </c>
      <c r="AB817" t="s">
        <v>7307</v>
      </c>
      <c r="AC817" t="s">
        <v>5182</v>
      </c>
      <c r="AD817" t="e">
        <f>VLOOKUP(AB817,#REF!,2,FALSE)</f>
        <v>#REF!</v>
      </c>
      <c r="AE817" t="e">
        <f>RIGHT(#REF!,(FIND("Complex",#REF!,1)-8))</f>
        <v>#REF!</v>
      </c>
    </row>
    <row r="818" spans="1:31" x14ac:dyDescent="0.25">
      <c r="A818">
        <v>1530</v>
      </c>
      <c r="B818" t="s">
        <v>60</v>
      </c>
      <c r="C818">
        <v>35</v>
      </c>
      <c r="D818">
        <v>256</v>
      </c>
      <c r="E818">
        <v>1530</v>
      </c>
      <c r="F818">
        <v>2116801</v>
      </c>
      <c r="G818">
        <v>2205000</v>
      </c>
      <c r="H818">
        <f t="shared" si="24"/>
        <v>48.000022675736965</v>
      </c>
      <c r="I818">
        <f t="shared" si="25"/>
        <v>50</v>
      </c>
      <c r="J818" t="s">
        <v>29</v>
      </c>
      <c r="K818">
        <v>3</v>
      </c>
      <c r="L818" t="e">
        <f t="array" ref="L818">VLOOKUP(J818:$J$3871&amp;K818:$K$3871,CHOOSE({1,2},#REF!&amp;#REF!,#REF!),2,0)</f>
        <v>#N/A</v>
      </c>
      <c r="M818">
        <v>-15</v>
      </c>
      <c r="N818">
        <v>0</v>
      </c>
      <c r="O818" t="s">
        <v>7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1</v>
      </c>
      <c r="Z818">
        <v>0</v>
      </c>
      <c r="AA818" t="s">
        <v>5207</v>
      </c>
      <c r="AB818" t="s">
        <v>1066</v>
      </c>
      <c r="AC818" t="s">
        <v>5207</v>
      </c>
      <c r="AD818" t="e">
        <f>VLOOKUP(AB818,#REF!,2,FALSE)</f>
        <v>#REF!</v>
      </c>
      <c r="AE818" t="e">
        <f>RIGHT(#REF!,(FIND("Complex",#REF!,1)-8))</f>
        <v>#REF!</v>
      </c>
    </row>
    <row r="819" spans="1:31" x14ac:dyDescent="0.25">
      <c r="A819">
        <v>984</v>
      </c>
      <c r="B819" t="s">
        <v>60</v>
      </c>
      <c r="C819">
        <v>35</v>
      </c>
      <c r="D819">
        <v>173</v>
      </c>
      <c r="E819">
        <v>984</v>
      </c>
      <c r="F819">
        <v>1234801</v>
      </c>
      <c r="G819">
        <v>1323000</v>
      </c>
      <c r="H819">
        <f t="shared" si="24"/>
        <v>28.000022675736961</v>
      </c>
      <c r="I819">
        <f t="shared" si="25"/>
        <v>30</v>
      </c>
      <c r="J819" t="s">
        <v>29</v>
      </c>
      <c r="K819">
        <v>3</v>
      </c>
      <c r="L819" t="e">
        <f t="array" ref="L819">VLOOKUP(J819:$J$3871&amp;K819:$K$3871,CHOOSE({1,2},#REF!&amp;#REF!,#REF!),2,0)</f>
        <v>#N/A</v>
      </c>
      <c r="M819">
        <v>-15</v>
      </c>
      <c r="N819">
        <v>0</v>
      </c>
      <c r="O819" t="s">
        <v>7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1</v>
      </c>
      <c r="Y819">
        <v>1</v>
      </c>
      <c r="Z819">
        <v>0</v>
      </c>
      <c r="AA819" t="s">
        <v>5415</v>
      </c>
      <c r="AB819" t="s">
        <v>1067</v>
      </c>
      <c r="AC819" t="s">
        <v>5415</v>
      </c>
      <c r="AD819" t="e">
        <f>VLOOKUP(AB819,#REF!,2,FALSE)</f>
        <v>#REF!</v>
      </c>
      <c r="AE819" t="e">
        <f>RIGHT(#REF!,(FIND("Complex",#REF!,1)-7))</f>
        <v>#REF!</v>
      </c>
    </row>
    <row r="820" spans="1:31" x14ac:dyDescent="0.25">
      <c r="A820">
        <v>2425</v>
      </c>
      <c r="B820" t="s">
        <v>60</v>
      </c>
      <c r="C820">
        <v>35</v>
      </c>
      <c r="D820">
        <v>458</v>
      </c>
      <c r="E820">
        <v>2425</v>
      </c>
      <c r="F820">
        <v>1146601</v>
      </c>
      <c r="G820">
        <v>1234800</v>
      </c>
      <c r="H820">
        <f t="shared" si="24"/>
        <v>26.000022675736961</v>
      </c>
      <c r="I820">
        <f t="shared" si="25"/>
        <v>28</v>
      </c>
      <c r="J820" t="s">
        <v>29</v>
      </c>
      <c r="K820">
        <v>3</v>
      </c>
      <c r="L820" t="e">
        <f t="array" ref="L820">VLOOKUP(J820:$J$3871&amp;K820:$K$3871,CHOOSE({1,2},#REF!&amp;#REF!,#REF!),2,0)</f>
        <v>#N/A</v>
      </c>
      <c r="M820">
        <v>-15</v>
      </c>
      <c r="N820">
        <v>0</v>
      </c>
      <c r="O820" t="s">
        <v>7</v>
      </c>
      <c r="P820">
        <v>1</v>
      </c>
      <c r="Q820">
        <v>0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1</v>
      </c>
      <c r="Y820">
        <v>0</v>
      </c>
      <c r="Z820">
        <v>0</v>
      </c>
      <c r="AA820" t="s">
        <v>5466</v>
      </c>
      <c r="AB820" t="s">
        <v>1068</v>
      </c>
      <c r="AC820" t="s">
        <v>5466</v>
      </c>
      <c r="AD820" t="e">
        <f>VLOOKUP(AB820,#REF!,2,FALSE)</f>
        <v>#REF!</v>
      </c>
      <c r="AE820" t="e">
        <f>RIGHT(#REF!,(FIND("Complex",#REF!,1)-8))</f>
        <v>#REF!</v>
      </c>
    </row>
    <row r="821" spans="1:31" x14ac:dyDescent="0.25">
      <c r="A821">
        <v>2712</v>
      </c>
      <c r="B821" t="s">
        <v>60</v>
      </c>
      <c r="C821">
        <v>35</v>
      </c>
      <c r="D821">
        <v>564</v>
      </c>
      <c r="E821">
        <v>2712</v>
      </c>
      <c r="F821">
        <v>617401</v>
      </c>
      <c r="G821">
        <v>705600</v>
      </c>
      <c r="H821">
        <f t="shared" si="24"/>
        <v>14.000022675736961</v>
      </c>
      <c r="I821">
        <f t="shared" si="25"/>
        <v>16</v>
      </c>
      <c r="J821" t="s">
        <v>29</v>
      </c>
      <c r="K821">
        <v>3</v>
      </c>
      <c r="L821" t="e">
        <f t="array" ref="L821">VLOOKUP(J821:$J$3871&amp;K821:$K$3871,CHOOSE({1,2},#REF!&amp;#REF!,#REF!),2,0)</f>
        <v>#N/A</v>
      </c>
      <c r="M821">
        <v>-15</v>
      </c>
      <c r="N821">
        <v>0</v>
      </c>
      <c r="O821" t="s">
        <v>7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1</v>
      </c>
      <c r="Y821">
        <v>0</v>
      </c>
      <c r="Z821">
        <v>0</v>
      </c>
      <c r="AA821" t="s">
        <v>5944</v>
      </c>
      <c r="AB821" t="s">
        <v>7764</v>
      </c>
      <c r="AC821" t="s">
        <v>5944</v>
      </c>
      <c r="AD821" t="e">
        <f>VLOOKUP(AB821,#REF!,2,FALSE)</f>
        <v>#REF!</v>
      </c>
      <c r="AE821" t="e">
        <f>RIGHT(#REF!,(FIND("Complex",#REF!,1)-8))</f>
        <v>#REF!</v>
      </c>
    </row>
    <row r="822" spans="1:31" x14ac:dyDescent="0.25">
      <c r="A822">
        <v>1307</v>
      </c>
      <c r="B822" t="s">
        <v>244</v>
      </c>
      <c r="C822">
        <v>36</v>
      </c>
      <c r="D822">
        <v>224</v>
      </c>
      <c r="E822">
        <v>1307</v>
      </c>
      <c r="F822">
        <v>4321801</v>
      </c>
      <c r="G822">
        <v>4410000</v>
      </c>
      <c r="H822">
        <f t="shared" si="24"/>
        <v>98.000022675736957</v>
      </c>
      <c r="I822">
        <f t="shared" si="25"/>
        <v>100</v>
      </c>
      <c r="J822" t="s">
        <v>29</v>
      </c>
      <c r="K822">
        <v>3</v>
      </c>
      <c r="L822" t="e">
        <f t="array" ref="L822">VLOOKUP(J822:$J$3871&amp;K822:$K$3871,CHOOSE({1,2},#REF!&amp;#REF!,#REF!),2,0)</f>
        <v>#N/A</v>
      </c>
      <c r="M822">
        <v>-15</v>
      </c>
      <c r="N822">
        <v>0</v>
      </c>
      <c r="O822" t="s">
        <v>7</v>
      </c>
      <c r="P822">
        <v>1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 t="s">
        <v>4886</v>
      </c>
      <c r="AB822" t="s">
        <v>1090</v>
      </c>
      <c r="AC822" t="s">
        <v>4886</v>
      </c>
      <c r="AD822" t="e">
        <f>VLOOKUP(AB822,#REF!,2,FALSE)</f>
        <v>#REF!</v>
      </c>
      <c r="AE822" t="e">
        <f>RIGHT(#REF!,(FIND("Complex",#REF!,1)-8))</f>
        <v>#REF!</v>
      </c>
    </row>
    <row r="823" spans="1:31" x14ac:dyDescent="0.25">
      <c r="A823">
        <v>2371</v>
      </c>
      <c r="B823" t="s">
        <v>244</v>
      </c>
      <c r="C823">
        <v>36</v>
      </c>
      <c r="D823">
        <v>439</v>
      </c>
      <c r="E823">
        <v>2371</v>
      </c>
      <c r="F823">
        <v>4233601</v>
      </c>
      <c r="G823">
        <v>4321800</v>
      </c>
      <c r="H823">
        <f t="shared" si="24"/>
        <v>96.000022675736957</v>
      </c>
      <c r="I823">
        <f t="shared" si="25"/>
        <v>98</v>
      </c>
      <c r="J823" t="s">
        <v>29</v>
      </c>
      <c r="K823">
        <v>3</v>
      </c>
      <c r="L823" t="e">
        <f t="array" ref="L823">VLOOKUP(J823:$J$3871&amp;K823:$K$3871,CHOOSE({1,2},#REF!&amp;#REF!,#REF!),2,0)</f>
        <v>#N/A</v>
      </c>
      <c r="M823">
        <v>-15</v>
      </c>
      <c r="N823">
        <v>0</v>
      </c>
      <c r="O823" t="s">
        <v>7</v>
      </c>
      <c r="P823">
        <v>1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1</v>
      </c>
      <c r="Y823">
        <v>0</v>
      </c>
      <c r="Z823">
        <v>0</v>
      </c>
      <c r="AA823" t="s">
        <v>4898</v>
      </c>
      <c r="AB823" t="s">
        <v>1091</v>
      </c>
      <c r="AC823" t="s">
        <v>4898</v>
      </c>
      <c r="AD823" t="e">
        <f>VLOOKUP(AB823,#REF!,2,FALSE)</f>
        <v>#REF!</v>
      </c>
      <c r="AE823" t="e">
        <f>RIGHT(#REF!,(FIND("Complex",#REF!,1)-8))</f>
        <v>#REF!</v>
      </c>
    </row>
    <row r="824" spans="1:31" x14ac:dyDescent="0.25">
      <c r="A824">
        <v>354</v>
      </c>
      <c r="B824" t="s">
        <v>244</v>
      </c>
      <c r="C824">
        <v>36</v>
      </c>
      <c r="D824">
        <v>64</v>
      </c>
      <c r="E824">
        <v>354</v>
      </c>
      <c r="F824">
        <v>4145401</v>
      </c>
      <c r="G824">
        <v>4233600</v>
      </c>
      <c r="H824">
        <f t="shared" si="24"/>
        <v>94.000022675736957</v>
      </c>
      <c r="I824">
        <f t="shared" si="25"/>
        <v>96</v>
      </c>
      <c r="J824" t="s">
        <v>29</v>
      </c>
      <c r="K824">
        <v>3</v>
      </c>
      <c r="L824" t="e">
        <f t="array" ref="L824">VLOOKUP(J824:$J$3871&amp;K824:$K$3871,CHOOSE({1,2},#REF!&amp;#REF!,#REF!),2,0)</f>
        <v>#N/A</v>
      </c>
      <c r="M824">
        <v>-15</v>
      </c>
      <c r="N824">
        <v>0</v>
      </c>
      <c r="O824" t="s">
        <v>7</v>
      </c>
      <c r="P824">
        <v>1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0</v>
      </c>
      <c r="Z824">
        <v>0</v>
      </c>
      <c r="AA824" t="s">
        <v>4905</v>
      </c>
      <c r="AB824" t="s">
        <v>7162</v>
      </c>
      <c r="AC824" t="s">
        <v>4905</v>
      </c>
      <c r="AD824" t="e">
        <f>VLOOKUP(AB824,#REF!,2,FALSE)</f>
        <v>#REF!</v>
      </c>
      <c r="AE824" t="e">
        <f>RIGHT(#REF!,(FIND("Complex",#REF!,1)-7))</f>
        <v>#REF!</v>
      </c>
    </row>
    <row r="825" spans="1:31" x14ac:dyDescent="0.25">
      <c r="A825">
        <v>2775</v>
      </c>
      <c r="B825" t="s">
        <v>244</v>
      </c>
      <c r="C825">
        <v>36</v>
      </c>
      <c r="D825">
        <v>593</v>
      </c>
      <c r="E825">
        <v>2775</v>
      </c>
      <c r="F825">
        <v>4057201</v>
      </c>
      <c r="G825">
        <v>4145400</v>
      </c>
      <c r="H825">
        <f t="shared" si="24"/>
        <v>92.000022675736957</v>
      </c>
      <c r="I825">
        <f t="shared" si="25"/>
        <v>94</v>
      </c>
      <c r="J825" t="s">
        <v>29</v>
      </c>
      <c r="K825">
        <v>3</v>
      </c>
      <c r="L825" t="e">
        <f t="array" ref="L825">VLOOKUP(J825:$J$3871&amp;K825:$K$3871,CHOOSE({1,2},#REF!&amp;#REF!,#REF!),2,0)</f>
        <v>#N/A</v>
      </c>
      <c r="M825">
        <v>-15</v>
      </c>
      <c r="N825">
        <v>0</v>
      </c>
      <c r="O825" t="s">
        <v>7</v>
      </c>
      <c r="P825">
        <v>1</v>
      </c>
      <c r="Q825">
        <v>0</v>
      </c>
      <c r="R825">
        <v>0</v>
      </c>
      <c r="S825">
        <v>1</v>
      </c>
      <c r="T825">
        <v>0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 t="s">
        <v>4916</v>
      </c>
      <c r="AB825" t="s">
        <v>7170</v>
      </c>
      <c r="AC825" t="s">
        <v>4916</v>
      </c>
      <c r="AD825" t="e">
        <f>VLOOKUP(AB825,#REF!,2,FALSE)</f>
        <v>#REF!</v>
      </c>
      <c r="AE825" t="e">
        <f>RIGHT(#REF!,(FIND("Complex",#REF!,1)-8))</f>
        <v>#REF!</v>
      </c>
    </row>
    <row r="826" spans="1:31" x14ac:dyDescent="0.25">
      <c r="A826">
        <v>2489</v>
      </c>
      <c r="B826" t="s">
        <v>244</v>
      </c>
      <c r="C826">
        <v>36</v>
      </c>
      <c r="D826">
        <v>481</v>
      </c>
      <c r="E826">
        <v>2489</v>
      </c>
      <c r="F826">
        <v>3880801</v>
      </c>
      <c r="G826">
        <v>3969000</v>
      </c>
      <c r="H826">
        <f t="shared" si="24"/>
        <v>88.000022675736957</v>
      </c>
      <c r="I826">
        <f t="shared" si="25"/>
        <v>90</v>
      </c>
      <c r="J826" t="s">
        <v>29</v>
      </c>
      <c r="K826">
        <v>3</v>
      </c>
      <c r="L826" t="e">
        <f t="array" ref="L826">VLOOKUP(J826:$J$3871&amp;K826:$K$3871,CHOOSE({1,2},#REF!&amp;#REF!,#REF!),2,0)</f>
        <v>#N/A</v>
      </c>
      <c r="M826">
        <v>-15</v>
      </c>
      <c r="N826">
        <v>0</v>
      </c>
      <c r="O826" t="s">
        <v>7</v>
      </c>
      <c r="P826">
        <v>1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 t="s">
        <v>4938</v>
      </c>
      <c r="AB826" t="s">
        <v>1092</v>
      </c>
      <c r="AC826" t="s">
        <v>4938</v>
      </c>
      <c r="AD826" t="e">
        <f>VLOOKUP(AB826,#REF!,2,FALSE)</f>
        <v>#REF!</v>
      </c>
      <c r="AE826" t="e">
        <f>RIGHT(#REF!,(FIND("Complex",#REF!,1)-8))</f>
        <v>#REF!</v>
      </c>
    </row>
    <row r="827" spans="1:31" x14ac:dyDescent="0.25">
      <c r="A827">
        <v>3352</v>
      </c>
      <c r="B827" t="s">
        <v>244</v>
      </c>
      <c r="C827">
        <v>36</v>
      </c>
      <c r="D827">
        <v>852</v>
      </c>
      <c r="E827">
        <v>3352</v>
      </c>
      <c r="F827">
        <v>3792601</v>
      </c>
      <c r="G827">
        <v>3880800</v>
      </c>
      <c r="H827">
        <f t="shared" si="24"/>
        <v>86.000022675736957</v>
      </c>
      <c r="I827">
        <f t="shared" si="25"/>
        <v>88</v>
      </c>
      <c r="J827" t="s">
        <v>29</v>
      </c>
      <c r="K827">
        <v>3</v>
      </c>
      <c r="L827" t="e">
        <f t="array" ref="L827">VLOOKUP(J827:$J$3871&amp;K827:$K$3871,CHOOSE({1,2},#REF!&amp;#REF!,#REF!),2,0)</f>
        <v>#N/A</v>
      </c>
      <c r="M827">
        <v>-15</v>
      </c>
      <c r="N827">
        <v>0</v>
      </c>
      <c r="O827" t="s">
        <v>7</v>
      </c>
      <c r="P827">
        <v>1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  <c r="AA827" t="s">
        <v>4948</v>
      </c>
      <c r="AB827" t="s">
        <v>245</v>
      </c>
      <c r="AC827" t="s">
        <v>4948</v>
      </c>
      <c r="AD827" t="e">
        <f>VLOOKUP(AB827,#REF!,2,FALSE)</f>
        <v>#REF!</v>
      </c>
      <c r="AE827" t="e">
        <f>RIGHT(#REF!,(FIND("Complex",#REF!,1)-8))</f>
        <v>#REF!</v>
      </c>
    </row>
    <row r="828" spans="1:31" x14ac:dyDescent="0.25">
      <c r="A828">
        <v>111</v>
      </c>
      <c r="B828" t="s">
        <v>244</v>
      </c>
      <c r="C828">
        <v>36</v>
      </c>
      <c r="D828">
        <v>21</v>
      </c>
      <c r="E828">
        <v>111</v>
      </c>
      <c r="F828">
        <v>3704401</v>
      </c>
      <c r="G828">
        <v>3792600</v>
      </c>
      <c r="H828">
        <f t="shared" si="24"/>
        <v>84.000022675736957</v>
      </c>
      <c r="I828">
        <f t="shared" si="25"/>
        <v>86</v>
      </c>
      <c r="J828" t="s">
        <v>29</v>
      </c>
      <c r="K828">
        <v>3</v>
      </c>
      <c r="L828" t="e">
        <f t="array" ref="L828">VLOOKUP(J828:$J$3871&amp;K828:$K$3871,CHOOSE({1,2},#REF!&amp;#REF!,#REF!),2,0)</f>
        <v>#N/A</v>
      </c>
      <c r="M828">
        <v>-15</v>
      </c>
      <c r="N828">
        <v>0</v>
      </c>
      <c r="O828" t="s">
        <v>7</v>
      </c>
      <c r="P828">
        <v>1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  <c r="AA828" t="s">
        <v>4960</v>
      </c>
      <c r="AB828" t="s">
        <v>7194</v>
      </c>
      <c r="AC828" t="s">
        <v>4960</v>
      </c>
      <c r="AD828" t="e">
        <f>VLOOKUP(AB828,#REF!,2,FALSE)</f>
        <v>#REF!</v>
      </c>
      <c r="AE828" t="e">
        <f>RIGHT(#REF!,(FIND("Complex",#REF!,1)-7))</f>
        <v>#REF!</v>
      </c>
    </row>
    <row r="829" spans="1:31" x14ac:dyDescent="0.25">
      <c r="A829">
        <v>3281</v>
      </c>
      <c r="B829" t="s">
        <v>244</v>
      </c>
      <c r="C829">
        <v>36</v>
      </c>
      <c r="D829">
        <v>821</v>
      </c>
      <c r="E829">
        <v>3281</v>
      </c>
      <c r="F829">
        <v>3263401</v>
      </c>
      <c r="G829">
        <v>3351600</v>
      </c>
      <c r="H829">
        <f t="shared" si="24"/>
        <v>74.000022675736957</v>
      </c>
      <c r="I829">
        <f t="shared" si="25"/>
        <v>76</v>
      </c>
      <c r="J829" t="s">
        <v>29</v>
      </c>
      <c r="K829">
        <v>3</v>
      </c>
      <c r="L829" t="e">
        <f t="array" ref="L829">VLOOKUP(J829:$J$3871&amp;K829:$K$3871,CHOOSE({1,2},#REF!&amp;#REF!,#REF!),2,0)</f>
        <v>#N/A</v>
      </c>
      <c r="M829">
        <v>-15</v>
      </c>
      <c r="N829">
        <v>0</v>
      </c>
      <c r="O829" t="s">
        <v>7</v>
      </c>
      <c r="P829">
        <v>1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  <c r="AA829" t="s">
        <v>5032</v>
      </c>
      <c r="AB829" t="s">
        <v>1093</v>
      </c>
      <c r="AC829" t="s">
        <v>5032</v>
      </c>
      <c r="AD829" t="e">
        <f>VLOOKUP(AB829,#REF!,2,FALSE)</f>
        <v>#REF!</v>
      </c>
      <c r="AE829" t="e">
        <f>RIGHT(#REF!,(FIND("Complex",#REF!,1)-8))</f>
        <v>#REF!</v>
      </c>
    </row>
    <row r="830" spans="1:31" x14ac:dyDescent="0.25">
      <c r="A830">
        <v>3053</v>
      </c>
      <c r="B830" t="s">
        <v>244</v>
      </c>
      <c r="C830">
        <v>36</v>
      </c>
      <c r="D830">
        <v>704</v>
      </c>
      <c r="E830">
        <v>3053</v>
      </c>
      <c r="F830">
        <v>3175201</v>
      </c>
      <c r="G830">
        <v>3263400</v>
      </c>
      <c r="H830">
        <f t="shared" si="24"/>
        <v>72.000022675736957</v>
      </c>
      <c r="I830">
        <f t="shared" si="25"/>
        <v>74</v>
      </c>
      <c r="J830" t="s">
        <v>29</v>
      </c>
      <c r="K830">
        <v>3</v>
      </c>
      <c r="L830" t="e">
        <f t="array" ref="L830">VLOOKUP(J830:$J$3871&amp;K830:$K$3871,CHOOSE({1,2},#REF!&amp;#REF!,#REF!),2,0)</f>
        <v>#N/A</v>
      </c>
      <c r="M830">
        <v>-15</v>
      </c>
      <c r="N830">
        <v>0</v>
      </c>
      <c r="O830" t="s">
        <v>7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  <c r="AA830" t="s">
        <v>5045</v>
      </c>
      <c r="AB830" t="s">
        <v>7240</v>
      </c>
      <c r="AC830" t="s">
        <v>5045</v>
      </c>
      <c r="AD830" t="e">
        <f>VLOOKUP(AB830,#REF!,2,FALSE)</f>
        <v>#REF!</v>
      </c>
      <c r="AE830" t="e">
        <f>RIGHT(#REF!,(FIND("Complex",#REF!,1)-8))</f>
        <v>#REF!</v>
      </c>
    </row>
    <row r="831" spans="1:31" x14ac:dyDescent="0.25">
      <c r="A831">
        <v>3534</v>
      </c>
      <c r="B831" t="s">
        <v>244</v>
      </c>
      <c r="C831">
        <v>36</v>
      </c>
      <c r="D831">
        <v>932</v>
      </c>
      <c r="E831">
        <v>3534</v>
      </c>
      <c r="F831">
        <v>3087001</v>
      </c>
      <c r="G831">
        <v>3175200</v>
      </c>
      <c r="H831">
        <f t="shared" si="24"/>
        <v>70.000022675736957</v>
      </c>
      <c r="I831">
        <f t="shared" si="25"/>
        <v>72</v>
      </c>
      <c r="J831" t="s">
        <v>29</v>
      </c>
      <c r="K831">
        <v>3</v>
      </c>
      <c r="L831" t="e">
        <f t="array" ref="L831">VLOOKUP(J831:$J$3871&amp;K831:$K$3871,CHOOSE({1,2},#REF!&amp;#REF!,#REF!),2,0)</f>
        <v>#N/A</v>
      </c>
      <c r="M831">
        <v>-15</v>
      </c>
      <c r="N831">
        <v>0</v>
      </c>
      <c r="O831" t="s">
        <v>7</v>
      </c>
      <c r="P831">
        <v>1</v>
      </c>
      <c r="Q831">
        <v>0</v>
      </c>
      <c r="R831">
        <v>0</v>
      </c>
      <c r="S831">
        <v>1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  <c r="AA831" t="s">
        <v>5060</v>
      </c>
      <c r="AB831" t="s">
        <v>1094</v>
      </c>
      <c r="AC831" t="s">
        <v>5060</v>
      </c>
      <c r="AD831" t="e">
        <f>VLOOKUP(AB831,#REF!,2,FALSE)</f>
        <v>#REF!</v>
      </c>
      <c r="AE831" t="e">
        <f>RIGHT(#REF!,(FIND("Complex",#REF!,1)-8))</f>
        <v>#REF!</v>
      </c>
    </row>
    <row r="832" spans="1:31" x14ac:dyDescent="0.25">
      <c r="A832">
        <v>1823</v>
      </c>
      <c r="B832" t="s">
        <v>244</v>
      </c>
      <c r="C832">
        <v>36</v>
      </c>
      <c r="D832">
        <v>314</v>
      </c>
      <c r="E832">
        <v>1823</v>
      </c>
      <c r="F832">
        <v>2998801</v>
      </c>
      <c r="G832">
        <v>3087000</v>
      </c>
      <c r="H832">
        <f t="shared" si="24"/>
        <v>68.000022675736957</v>
      </c>
      <c r="I832">
        <f t="shared" si="25"/>
        <v>70</v>
      </c>
      <c r="J832" t="s">
        <v>29</v>
      </c>
      <c r="K832">
        <v>3</v>
      </c>
      <c r="L832" t="e">
        <f t="array" ref="L832">VLOOKUP(J832:$J$3871&amp;K832:$K$3871,CHOOSE({1,2},#REF!&amp;#REF!,#REF!),2,0)</f>
        <v>#N/A</v>
      </c>
      <c r="M832">
        <v>-15</v>
      </c>
      <c r="N832">
        <v>0</v>
      </c>
      <c r="O832" t="s">
        <v>7</v>
      </c>
      <c r="P832">
        <v>1</v>
      </c>
      <c r="Q832">
        <v>0</v>
      </c>
      <c r="R832">
        <v>0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 t="s">
        <v>5071</v>
      </c>
      <c r="AB832" t="s">
        <v>7252</v>
      </c>
      <c r="AC832" t="s">
        <v>5071</v>
      </c>
      <c r="AD832" t="e">
        <f>VLOOKUP(AB832,#REF!,2,FALSE)</f>
        <v>#REF!</v>
      </c>
      <c r="AE832" t="e">
        <f>RIGHT(#REF!,(FIND("Complex",#REF!,1)-8))</f>
        <v>#REF!</v>
      </c>
    </row>
    <row r="833" spans="1:31" x14ac:dyDescent="0.25">
      <c r="A833">
        <v>3517</v>
      </c>
      <c r="B833" t="s">
        <v>244</v>
      </c>
      <c r="C833">
        <v>36</v>
      </c>
      <c r="D833">
        <v>927</v>
      </c>
      <c r="E833">
        <v>3517</v>
      </c>
      <c r="F833">
        <v>2822401</v>
      </c>
      <c r="G833">
        <v>2910600</v>
      </c>
      <c r="H833">
        <f t="shared" si="24"/>
        <v>64.000022675736957</v>
      </c>
      <c r="I833">
        <f t="shared" si="25"/>
        <v>66</v>
      </c>
      <c r="J833" t="s">
        <v>29</v>
      </c>
      <c r="K833">
        <v>3</v>
      </c>
      <c r="L833" t="e">
        <f t="array" ref="L833">VLOOKUP(J833:$J$3871&amp;K833:$K$3871,CHOOSE({1,2},#REF!&amp;#REF!,#REF!),2,0)</f>
        <v>#N/A</v>
      </c>
      <c r="M833">
        <v>-15</v>
      </c>
      <c r="N833">
        <v>0</v>
      </c>
      <c r="O833" t="s">
        <v>7</v>
      </c>
      <c r="P833">
        <v>1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 t="s">
        <v>5088</v>
      </c>
      <c r="AB833" t="s">
        <v>1095</v>
      </c>
      <c r="AC833" t="s">
        <v>5088</v>
      </c>
      <c r="AD833" t="e">
        <f>VLOOKUP(AB833,#REF!,2,FALSE)</f>
        <v>#REF!</v>
      </c>
      <c r="AE833" t="e">
        <f>RIGHT(#REF!,(FIND("Complex",#REF!,1)-8))</f>
        <v>#REF!</v>
      </c>
    </row>
    <row r="834" spans="1:31" x14ac:dyDescent="0.25">
      <c r="A834">
        <v>2624</v>
      </c>
      <c r="B834" t="s">
        <v>244</v>
      </c>
      <c r="C834">
        <v>36</v>
      </c>
      <c r="D834">
        <v>530</v>
      </c>
      <c r="E834">
        <v>2624</v>
      </c>
      <c r="F834">
        <v>2734201</v>
      </c>
      <c r="G834">
        <v>2822400</v>
      </c>
      <c r="H834">
        <f t="shared" ref="H834:H897" si="26">F834/44100</f>
        <v>62.000022675736965</v>
      </c>
      <c r="I834">
        <f t="shared" ref="I834:I897" si="27">G834/44100</f>
        <v>64</v>
      </c>
      <c r="J834" t="s">
        <v>29</v>
      </c>
      <c r="K834">
        <v>3</v>
      </c>
      <c r="L834" t="e">
        <f t="array" ref="L834">VLOOKUP(J834:$J$3871&amp;K834:$K$3871,CHOOSE({1,2},#REF!&amp;#REF!,#REF!),2,0)</f>
        <v>#N/A</v>
      </c>
      <c r="M834">
        <v>-15</v>
      </c>
      <c r="N834">
        <v>0</v>
      </c>
      <c r="O834" t="s">
        <v>7</v>
      </c>
      <c r="P834">
        <v>1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 t="s">
        <v>5100</v>
      </c>
      <c r="AB834" t="s">
        <v>1096</v>
      </c>
      <c r="AC834" t="s">
        <v>5100</v>
      </c>
      <c r="AD834" t="e">
        <f>VLOOKUP(AB834,#REF!,2,FALSE)</f>
        <v>#REF!</v>
      </c>
      <c r="AE834" t="e">
        <f>RIGHT(#REF!,(FIND("Complex",#REF!,1)-8))</f>
        <v>#REF!</v>
      </c>
    </row>
    <row r="835" spans="1:31" x14ac:dyDescent="0.25">
      <c r="A835">
        <v>2022</v>
      </c>
      <c r="B835" t="s">
        <v>244</v>
      </c>
      <c r="C835">
        <v>36</v>
      </c>
      <c r="D835">
        <v>352</v>
      </c>
      <c r="E835">
        <v>2022</v>
      </c>
      <c r="F835">
        <v>2646001</v>
      </c>
      <c r="G835">
        <v>2734200</v>
      </c>
      <c r="H835">
        <f t="shared" si="26"/>
        <v>60.000022675736965</v>
      </c>
      <c r="I835">
        <f t="shared" si="27"/>
        <v>62</v>
      </c>
      <c r="J835" t="s">
        <v>29</v>
      </c>
      <c r="K835">
        <v>3</v>
      </c>
      <c r="L835" t="e">
        <f t="array" ref="L835">VLOOKUP(J835:$J$3871&amp;K835:$K$3871,CHOOSE({1,2},#REF!&amp;#REF!,#REF!),2,0)</f>
        <v>#N/A</v>
      </c>
      <c r="M835">
        <v>-15</v>
      </c>
      <c r="N835">
        <v>0</v>
      </c>
      <c r="O835" t="s">
        <v>7</v>
      </c>
      <c r="P835">
        <v>1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 t="s">
        <v>5114</v>
      </c>
      <c r="AB835" t="s">
        <v>1097</v>
      </c>
      <c r="AC835" t="s">
        <v>5114</v>
      </c>
      <c r="AD835" t="e">
        <f>VLOOKUP(AB835,#REF!,2,FALSE)</f>
        <v>#REF!</v>
      </c>
      <c r="AE835" t="e">
        <f>RIGHT(#REF!,(FIND("Complex",#REF!,1)-8))</f>
        <v>#REF!</v>
      </c>
    </row>
    <row r="836" spans="1:31" x14ac:dyDescent="0.25">
      <c r="A836">
        <v>2999</v>
      </c>
      <c r="B836" t="s">
        <v>244</v>
      </c>
      <c r="C836">
        <v>36</v>
      </c>
      <c r="D836">
        <v>684</v>
      </c>
      <c r="E836">
        <v>2999</v>
      </c>
      <c r="F836">
        <v>2469601</v>
      </c>
      <c r="G836">
        <v>2557800</v>
      </c>
      <c r="H836">
        <f t="shared" si="26"/>
        <v>56.000022675736965</v>
      </c>
      <c r="I836">
        <f t="shared" si="27"/>
        <v>58</v>
      </c>
      <c r="J836" t="s">
        <v>29</v>
      </c>
      <c r="K836">
        <v>3</v>
      </c>
      <c r="L836" t="e">
        <f t="array" ref="L836">VLOOKUP(J836:$J$3871&amp;K836:$K$3871,CHOOSE({1,2},#REF!&amp;#REF!,#REF!),2,0)</f>
        <v>#N/A</v>
      </c>
      <c r="M836">
        <v>-15</v>
      </c>
      <c r="N836">
        <v>0</v>
      </c>
      <c r="O836" t="s">
        <v>7</v>
      </c>
      <c r="P836">
        <v>1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1</v>
      </c>
      <c r="Y836">
        <v>0</v>
      </c>
      <c r="Z836">
        <v>0</v>
      </c>
      <c r="AA836" t="s">
        <v>5156</v>
      </c>
      <c r="AB836" t="s">
        <v>7296</v>
      </c>
      <c r="AC836" t="s">
        <v>5156</v>
      </c>
      <c r="AD836" t="e">
        <f>VLOOKUP(AB836,#REF!,2,FALSE)</f>
        <v>#REF!</v>
      </c>
      <c r="AE836" t="e">
        <f>RIGHT(#REF!,(FIND("Complex",#REF!,1)-8))</f>
        <v>#REF!</v>
      </c>
    </row>
    <row r="837" spans="1:31" x14ac:dyDescent="0.25">
      <c r="A837">
        <v>3465</v>
      </c>
      <c r="B837" t="s">
        <v>244</v>
      </c>
      <c r="C837">
        <v>36</v>
      </c>
      <c r="D837">
        <v>909</v>
      </c>
      <c r="E837">
        <v>3465</v>
      </c>
      <c r="F837">
        <v>2381401</v>
      </c>
      <c r="G837">
        <v>2469600</v>
      </c>
      <c r="H837">
        <f t="shared" si="26"/>
        <v>54.000022675736965</v>
      </c>
      <c r="I837">
        <f t="shared" si="27"/>
        <v>56</v>
      </c>
      <c r="J837" t="s">
        <v>29</v>
      </c>
      <c r="K837">
        <v>3</v>
      </c>
      <c r="L837" t="e">
        <f t="array" ref="L837">VLOOKUP(J837:$J$3871&amp;K837:$K$3871,CHOOSE({1,2},#REF!&amp;#REF!,#REF!),2,0)</f>
        <v>#N/A</v>
      </c>
      <c r="M837">
        <v>-15</v>
      </c>
      <c r="N837">
        <v>0</v>
      </c>
      <c r="O837" t="s">
        <v>7</v>
      </c>
      <c r="P837">
        <v>1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1</v>
      </c>
      <c r="Y837">
        <v>0</v>
      </c>
      <c r="Z837">
        <v>0</v>
      </c>
      <c r="AA837" t="s">
        <v>5169</v>
      </c>
      <c r="AB837" t="s">
        <v>1098</v>
      </c>
      <c r="AC837" t="s">
        <v>5169</v>
      </c>
      <c r="AD837" t="e">
        <f>VLOOKUP(AB837,#REF!,2,FALSE)</f>
        <v>#REF!</v>
      </c>
      <c r="AE837" t="e">
        <f>RIGHT(#REF!,(FIND("Complex",#REF!,1)-8))</f>
        <v>#REF!</v>
      </c>
    </row>
    <row r="838" spans="1:31" x14ac:dyDescent="0.25">
      <c r="A838">
        <v>807</v>
      </c>
      <c r="B838" t="s">
        <v>244</v>
      </c>
      <c r="C838">
        <v>36</v>
      </c>
      <c r="D838">
        <v>139</v>
      </c>
      <c r="E838">
        <v>807</v>
      </c>
      <c r="F838">
        <v>2293201</v>
      </c>
      <c r="G838">
        <v>2381400</v>
      </c>
      <c r="H838">
        <f t="shared" si="26"/>
        <v>52.000022675736965</v>
      </c>
      <c r="I838">
        <f t="shared" si="27"/>
        <v>54</v>
      </c>
      <c r="J838" t="s">
        <v>29</v>
      </c>
      <c r="K838">
        <v>3</v>
      </c>
      <c r="L838" t="e">
        <f t="array" ref="L838">VLOOKUP(J838:$J$3871&amp;K838:$K$3871,CHOOSE({1,2},#REF!&amp;#REF!,#REF!),2,0)</f>
        <v>#N/A</v>
      </c>
      <c r="M838">
        <v>-15</v>
      </c>
      <c r="N838">
        <v>0</v>
      </c>
      <c r="O838" t="s">
        <v>7</v>
      </c>
      <c r="P838">
        <v>1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 t="s">
        <v>5181</v>
      </c>
      <c r="AB838" t="s">
        <v>1099</v>
      </c>
      <c r="AC838" t="s">
        <v>5181</v>
      </c>
      <c r="AD838" t="e">
        <f>VLOOKUP(AB838,#REF!,2,FALSE)</f>
        <v>#REF!</v>
      </c>
      <c r="AE838" t="e">
        <f>RIGHT(#REF!,(FIND("Complex",#REF!,1)-7))</f>
        <v>#REF!</v>
      </c>
    </row>
    <row r="839" spans="1:31" x14ac:dyDescent="0.25">
      <c r="A839">
        <v>3220</v>
      </c>
      <c r="B839" t="s">
        <v>244</v>
      </c>
      <c r="C839">
        <v>36</v>
      </c>
      <c r="D839">
        <v>782</v>
      </c>
      <c r="E839">
        <v>3220</v>
      </c>
      <c r="F839">
        <v>2116801</v>
      </c>
      <c r="G839">
        <v>2205000</v>
      </c>
      <c r="H839">
        <f t="shared" si="26"/>
        <v>48.000022675736965</v>
      </c>
      <c r="I839">
        <f t="shared" si="27"/>
        <v>50</v>
      </c>
      <c r="J839" t="s">
        <v>29</v>
      </c>
      <c r="K839">
        <v>3</v>
      </c>
      <c r="L839" t="e">
        <f t="array" ref="L839">VLOOKUP(J839:$J$3871&amp;K839:$K$3871,CHOOSE({1,2},#REF!&amp;#REF!,#REF!),2,0)</f>
        <v>#N/A</v>
      </c>
      <c r="M839">
        <v>-15</v>
      </c>
      <c r="N839">
        <v>0</v>
      </c>
      <c r="O839" t="s">
        <v>7</v>
      </c>
      <c r="P839">
        <v>1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 t="s">
        <v>5206</v>
      </c>
      <c r="AB839" t="s">
        <v>7316</v>
      </c>
      <c r="AC839" t="s">
        <v>5206</v>
      </c>
      <c r="AD839" t="e">
        <f>VLOOKUP(AB839,#REF!,2,FALSE)</f>
        <v>#REF!</v>
      </c>
      <c r="AE839" t="e">
        <f>RIGHT(#REF!,(FIND("Complex",#REF!,1)-8))</f>
        <v>#REF!</v>
      </c>
    </row>
    <row r="840" spans="1:31" x14ac:dyDescent="0.25">
      <c r="A840">
        <v>1960</v>
      </c>
      <c r="B840" t="s">
        <v>244</v>
      </c>
      <c r="C840">
        <v>36</v>
      </c>
      <c r="D840">
        <v>333</v>
      </c>
      <c r="E840">
        <v>1960</v>
      </c>
      <c r="F840">
        <v>1940401</v>
      </c>
      <c r="G840">
        <v>2028600</v>
      </c>
      <c r="H840">
        <f t="shared" si="26"/>
        <v>44.000022675736965</v>
      </c>
      <c r="I840">
        <f t="shared" si="27"/>
        <v>46</v>
      </c>
      <c r="J840" t="s">
        <v>29</v>
      </c>
      <c r="K840">
        <v>3</v>
      </c>
      <c r="L840" t="e">
        <f t="array" ref="L840">VLOOKUP(J840:$J$3871&amp;K840:$K$3871,CHOOSE({1,2},#REF!&amp;#REF!,#REF!),2,0)</f>
        <v>#N/A</v>
      </c>
      <c r="M840">
        <v>-15</v>
      </c>
      <c r="N840">
        <v>0</v>
      </c>
      <c r="O840" t="s">
        <v>7</v>
      </c>
      <c r="P840">
        <v>1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 t="s">
        <v>5234</v>
      </c>
      <c r="AB840" t="s">
        <v>7327</v>
      </c>
      <c r="AC840" t="s">
        <v>5234</v>
      </c>
      <c r="AD840" t="e">
        <f>VLOOKUP(AB840,#REF!,2,FALSE)</f>
        <v>#REF!</v>
      </c>
      <c r="AE840" t="e">
        <f>RIGHT(#REF!,(FIND("Complex",#REF!,1)-8))</f>
        <v>#REF!</v>
      </c>
    </row>
    <row r="841" spans="1:31" x14ac:dyDescent="0.25">
      <c r="A841">
        <v>1885</v>
      </c>
      <c r="B841" t="s">
        <v>244</v>
      </c>
      <c r="C841">
        <v>36</v>
      </c>
      <c r="D841">
        <v>323</v>
      </c>
      <c r="E841">
        <v>1885</v>
      </c>
      <c r="F841">
        <v>1764001</v>
      </c>
      <c r="G841">
        <v>1852200</v>
      </c>
      <c r="H841">
        <f t="shared" si="26"/>
        <v>40.000022675736965</v>
      </c>
      <c r="I841">
        <f t="shared" si="27"/>
        <v>42</v>
      </c>
      <c r="J841" t="s">
        <v>29</v>
      </c>
      <c r="K841">
        <v>3</v>
      </c>
      <c r="L841" t="e">
        <f t="array" ref="L841">VLOOKUP(J841:$J$3871&amp;K841:$K$3871,CHOOSE({1,2},#REF!&amp;#REF!,#REF!),2,0)</f>
        <v>#N/A</v>
      </c>
      <c r="M841">
        <v>-15</v>
      </c>
      <c r="N841">
        <v>0</v>
      </c>
      <c r="O841" t="s">
        <v>7</v>
      </c>
      <c r="P841">
        <v>1</v>
      </c>
      <c r="Q841">
        <v>0</v>
      </c>
      <c r="R841">
        <v>0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 t="s">
        <v>5260</v>
      </c>
      <c r="AB841" t="s">
        <v>1100</v>
      </c>
      <c r="AC841" t="s">
        <v>5260</v>
      </c>
      <c r="AD841" t="e">
        <f>VLOOKUP(AB841,#REF!,2,FALSE)</f>
        <v>#REF!</v>
      </c>
      <c r="AE841" t="e">
        <f>RIGHT(#REF!,(FIND("Complex",#REF!,1)-8))</f>
        <v>#REF!</v>
      </c>
    </row>
    <row r="842" spans="1:31" x14ac:dyDescent="0.25">
      <c r="A842">
        <v>3441</v>
      </c>
      <c r="B842" t="s">
        <v>244</v>
      </c>
      <c r="C842">
        <v>36</v>
      </c>
      <c r="D842">
        <v>893</v>
      </c>
      <c r="E842">
        <v>3441</v>
      </c>
      <c r="F842">
        <v>1675801</v>
      </c>
      <c r="G842">
        <v>1764000</v>
      </c>
      <c r="H842">
        <f t="shared" si="26"/>
        <v>38.000022675736965</v>
      </c>
      <c r="I842">
        <f t="shared" si="27"/>
        <v>40</v>
      </c>
      <c r="J842" t="s">
        <v>29</v>
      </c>
      <c r="K842">
        <v>3</v>
      </c>
      <c r="L842" t="e">
        <f t="array" ref="L842">VLOOKUP(J842:$J$3871&amp;K842:$K$3871,CHOOSE({1,2},#REF!&amp;#REF!,#REF!),2,0)</f>
        <v>#N/A</v>
      </c>
      <c r="M842">
        <v>-15</v>
      </c>
      <c r="N842">
        <v>0</v>
      </c>
      <c r="O842" t="s">
        <v>7</v>
      </c>
      <c r="P842">
        <v>1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1</v>
      </c>
      <c r="Y842">
        <v>0</v>
      </c>
      <c r="Z842">
        <v>0</v>
      </c>
      <c r="AA842" t="s">
        <v>5294</v>
      </c>
      <c r="AB842" t="s">
        <v>1101</v>
      </c>
      <c r="AC842" t="s">
        <v>5294</v>
      </c>
      <c r="AD842" t="e">
        <f>VLOOKUP(AB842,#REF!,2,FALSE)</f>
        <v>#REF!</v>
      </c>
      <c r="AE842" t="e">
        <f>RIGHT(#REF!,(FIND("Complex",#REF!,1)-8))</f>
        <v>#REF!</v>
      </c>
    </row>
    <row r="843" spans="1:31" x14ac:dyDescent="0.25">
      <c r="A843">
        <v>2958</v>
      </c>
      <c r="B843" t="s">
        <v>244</v>
      </c>
      <c r="C843">
        <v>36</v>
      </c>
      <c r="D843">
        <v>662</v>
      </c>
      <c r="E843">
        <v>2958</v>
      </c>
      <c r="F843">
        <v>1587601</v>
      </c>
      <c r="G843">
        <v>1675800</v>
      </c>
      <c r="H843">
        <f t="shared" si="26"/>
        <v>36.000022675736965</v>
      </c>
      <c r="I843">
        <f t="shared" si="27"/>
        <v>38</v>
      </c>
      <c r="J843" t="s">
        <v>29</v>
      </c>
      <c r="K843">
        <v>3</v>
      </c>
      <c r="L843" t="e">
        <f t="array" ref="L843">VLOOKUP(J843:$J$3871&amp;K843:$K$3871,CHOOSE({1,2},#REF!&amp;#REF!,#REF!),2,0)</f>
        <v>#N/A</v>
      </c>
      <c r="M843">
        <v>-15</v>
      </c>
      <c r="N843">
        <v>0</v>
      </c>
      <c r="O843" t="s">
        <v>7</v>
      </c>
      <c r="P843">
        <v>1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1</v>
      </c>
      <c r="Y843">
        <v>0</v>
      </c>
      <c r="Z843">
        <v>0</v>
      </c>
      <c r="AA843" t="s">
        <v>5316</v>
      </c>
      <c r="AB843" t="s">
        <v>7373</v>
      </c>
      <c r="AC843" t="s">
        <v>5316</v>
      </c>
      <c r="AD843" t="e">
        <f>VLOOKUP(AB843,#REF!,2,FALSE)</f>
        <v>#REF!</v>
      </c>
      <c r="AE843" t="e">
        <f>RIGHT(#REF!,(FIND("Complex",#REF!,1)-8))</f>
        <v>#REF!</v>
      </c>
    </row>
    <row r="844" spans="1:31" x14ac:dyDescent="0.25">
      <c r="A844">
        <v>999</v>
      </c>
      <c r="B844" t="s">
        <v>244</v>
      </c>
      <c r="C844">
        <v>36</v>
      </c>
      <c r="D844">
        <v>176</v>
      </c>
      <c r="E844">
        <v>999</v>
      </c>
      <c r="F844">
        <v>1323001</v>
      </c>
      <c r="G844">
        <v>1411200</v>
      </c>
      <c r="H844">
        <f t="shared" si="26"/>
        <v>30.000022675736961</v>
      </c>
      <c r="I844">
        <f t="shared" si="27"/>
        <v>32</v>
      </c>
      <c r="J844" t="s">
        <v>29</v>
      </c>
      <c r="K844">
        <v>3</v>
      </c>
      <c r="L844" t="e">
        <f t="array" ref="L844">VLOOKUP(J844:$J$3871&amp;K844:$K$3871,CHOOSE({1,2},#REF!&amp;#REF!,#REF!),2,0)</f>
        <v>#N/A</v>
      </c>
      <c r="M844">
        <v>-15</v>
      </c>
      <c r="N844">
        <v>0</v>
      </c>
      <c r="O844" t="s">
        <v>7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 t="s">
        <v>5384</v>
      </c>
      <c r="AB844" t="s">
        <v>1102</v>
      </c>
      <c r="AC844" t="s">
        <v>5384</v>
      </c>
      <c r="AD844" t="e">
        <f>VLOOKUP(AB844,#REF!,2,FALSE)</f>
        <v>#REF!</v>
      </c>
      <c r="AE844" t="e">
        <f>RIGHT(#REF!,(FIND("Complex",#REF!,1)-7))</f>
        <v>#REF!</v>
      </c>
    </row>
    <row r="845" spans="1:31" x14ac:dyDescent="0.25">
      <c r="A845">
        <v>3165</v>
      </c>
      <c r="B845" t="s">
        <v>244</v>
      </c>
      <c r="C845">
        <v>36</v>
      </c>
      <c r="D845">
        <v>753</v>
      </c>
      <c r="E845">
        <v>3165</v>
      </c>
      <c r="F845">
        <v>1234801</v>
      </c>
      <c r="G845">
        <v>1323000</v>
      </c>
      <c r="H845">
        <f t="shared" si="26"/>
        <v>28.000022675736961</v>
      </c>
      <c r="I845">
        <f t="shared" si="27"/>
        <v>30</v>
      </c>
      <c r="J845" t="s">
        <v>29</v>
      </c>
      <c r="K845">
        <v>3</v>
      </c>
      <c r="L845" t="e">
        <f t="array" ref="L845">VLOOKUP(J845:$J$3871&amp;K845:$K$3871,CHOOSE({1,2},#REF!&amp;#REF!,#REF!),2,0)</f>
        <v>#N/A</v>
      </c>
      <c r="M845">
        <v>-15</v>
      </c>
      <c r="N845">
        <v>0</v>
      </c>
      <c r="O845" t="s">
        <v>7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 t="s">
        <v>5414</v>
      </c>
      <c r="AB845" t="s">
        <v>1103</v>
      </c>
      <c r="AC845" t="s">
        <v>5414</v>
      </c>
      <c r="AD845" t="e">
        <f>VLOOKUP(AB845,#REF!,2,FALSE)</f>
        <v>#REF!</v>
      </c>
      <c r="AE845" t="e">
        <f>RIGHT(#REF!,(FIND("Complex",#REF!,1)-8))</f>
        <v>#REF!</v>
      </c>
    </row>
    <row r="846" spans="1:31" x14ac:dyDescent="0.25">
      <c r="A846">
        <v>2217</v>
      </c>
      <c r="B846" t="s">
        <v>244</v>
      </c>
      <c r="C846">
        <v>36</v>
      </c>
      <c r="D846">
        <v>402</v>
      </c>
      <c r="E846">
        <v>2217</v>
      </c>
      <c r="F846">
        <v>1146601</v>
      </c>
      <c r="G846">
        <v>1234800</v>
      </c>
      <c r="H846">
        <f t="shared" si="26"/>
        <v>26.000022675736961</v>
      </c>
      <c r="I846">
        <f t="shared" si="27"/>
        <v>28</v>
      </c>
      <c r="J846" t="s">
        <v>29</v>
      </c>
      <c r="K846">
        <v>3</v>
      </c>
      <c r="L846" t="e">
        <f t="array" ref="L846">VLOOKUP(J846:$J$3871&amp;K846:$K$3871,CHOOSE({1,2},#REF!&amp;#REF!,#REF!),2,0)</f>
        <v>#N/A</v>
      </c>
      <c r="M846">
        <v>-15</v>
      </c>
      <c r="N846">
        <v>0</v>
      </c>
      <c r="O846" t="s">
        <v>7</v>
      </c>
      <c r="P846">
        <v>1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 t="s">
        <v>5465</v>
      </c>
      <c r="AB846" t="s">
        <v>1104</v>
      </c>
      <c r="AC846" t="s">
        <v>5465</v>
      </c>
      <c r="AD846" t="e">
        <f>VLOOKUP(AB846,#REF!,2,FALSE)</f>
        <v>#REF!</v>
      </c>
      <c r="AE846" t="e">
        <f>RIGHT(#REF!,(FIND("Complex",#REF!,1)-8))</f>
        <v>#REF!</v>
      </c>
    </row>
    <row r="847" spans="1:31" x14ac:dyDescent="0.25">
      <c r="A847">
        <v>1160</v>
      </c>
      <c r="B847" t="s">
        <v>244</v>
      </c>
      <c r="C847">
        <v>36</v>
      </c>
      <c r="D847">
        <v>198</v>
      </c>
      <c r="E847">
        <v>1160</v>
      </c>
      <c r="F847">
        <v>970201</v>
      </c>
      <c r="G847">
        <v>1058400</v>
      </c>
      <c r="H847">
        <f t="shared" si="26"/>
        <v>22.000022675736961</v>
      </c>
      <c r="I847">
        <f t="shared" si="27"/>
        <v>24</v>
      </c>
      <c r="J847" t="s">
        <v>29</v>
      </c>
      <c r="K847">
        <v>3</v>
      </c>
      <c r="L847" t="e">
        <f t="array" ref="L847">VLOOKUP(J847:$J$3871&amp;K847:$K$3871,CHOOSE({1,2},#REF!&amp;#REF!,#REF!),2,0)</f>
        <v>#N/A</v>
      </c>
      <c r="M847">
        <v>-15</v>
      </c>
      <c r="N847">
        <v>0</v>
      </c>
      <c r="O847" t="s">
        <v>7</v>
      </c>
      <c r="P847">
        <v>1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0</v>
      </c>
      <c r="AA847" t="s">
        <v>5582</v>
      </c>
      <c r="AB847" t="s">
        <v>1105</v>
      </c>
      <c r="AC847" t="s">
        <v>5582</v>
      </c>
      <c r="AD847" t="e">
        <f>VLOOKUP(AB847,#REF!,2,FALSE)</f>
        <v>#REF!</v>
      </c>
      <c r="AE847" t="e">
        <f>RIGHT(#REF!,(FIND("Complex",#REF!,1)-8))</f>
        <v>#REF!</v>
      </c>
    </row>
    <row r="848" spans="1:31" x14ac:dyDescent="0.25">
      <c r="A848">
        <v>2144</v>
      </c>
      <c r="B848" t="s">
        <v>244</v>
      </c>
      <c r="C848">
        <v>36</v>
      </c>
      <c r="D848">
        <v>387</v>
      </c>
      <c r="E848">
        <v>2144</v>
      </c>
      <c r="F848">
        <v>5644801</v>
      </c>
      <c r="G848">
        <v>5733000</v>
      </c>
      <c r="H848">
        <f t="shared" si="26"/>
        <v>128.00002267573697</v>
      </c>
      <c r="I848">
        <f t="shared" si="27"/>
        <v>130</v>
      </c>
      <c r="J848" t="s">
        <v>29</v>
      </c>
      <c r="K848">
        <v>3</v>
      </c>
      <c r="L848" t="e">
        <f t="array" ref="L848">VLOOKUP(J848:$J$3871&amp;K848:$K$3871,CHOOSE({1,2},#REF!&amp;#REF!,#REF!),2,0)</f>
        <v>#N/A</v>
      </c>
      <c r="M848">
        <v>-15</v>
      </c>
      <c r="N848">
        <v>0</v>
      </c>
      <c r="O848" t="s">
        <v>7</v>
      </c>
      <c r="P848">
        <v>1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 t="s">
        <v>5982</v>
      </c>
      <c r="AB848" t="s">
        <v>1106</v>
      </c>
      <c r="AC848" t="s">
        <v>5982</v>
      </c>
      <c r="AD848" t="e">
        <f>VLOOKUP(AB848,#REF!,2,FALSE)</f>
        <v>#REF!</v>
      </c>
      <c r="AE848" t="e">
        <f>RIGHT(#REF!,(FIND("Complex",#REF!,1)-7))</f>
        <v>#REF!</v>
      </c>
    </row>
    <row r="849" spans="1:31" x14ac:dyDescent="0.25">
      <c r="A849">
        <v>721</v>
      </c>
      <c r="B849" t="s">
        <v>244</v>
      </c>
      <c r="C849">
        <v>36</v>
      </c>
      <c r="D849">
        <v>128</v>
      </c>
      <c r="E849">
        <v>721</v>
      </c>
      <c r="F849">
        <v>5556601</v>
      </c>
      <c r="G849">
        <v>5644800</v>
      </c>
      <c r="H849">
        <f t="shared" si="26"/>
        <v>126.00002267573696</v>
      </c>
      <c r="I849">
        <f t="shared" si="27"/>
        <v>128</v>
      </c>
      <c r="J849" t="s">
        <v>29</v>
      </c>
      <c r="K849">
        <v>3</v>
      </c>
      <c r="L849" t="e">
        <f t="array" ref="L849">VLOOKUP(J849:$J$3871&amp;K849:$K$3871,CHOOSE({1,2},#REF!&amp;#REF!,#REF!),2,0)</f>
        <v>#N/A</v>
      </c>
      <c r="M849">
        <v>-15</v>
      </c>
      <c r="N849">
        <v>0</v>
      </c>
      <c r="O849" t="s">
        <v>7</v>
      </c>
      <c r="P849">
        <v>1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0</v>
      </c>
      <c r="Z849">
        <v>0</v>
      </c>
      <c r="AA849" t="s">
        <v>5991</v>
      </c>
      <c r="AB849" t="s">
        <v>7792</v>
      </c>
      <c r="AC849" t="s">
        <v>5991</v>
      </c>
      <c r="AD849" t="e">
        <f>VLOOKUP(AB849,#REF!,2,FALSE)</f>
        <v>#REF!</v>
      </c>
      <c r="AE849" t="e">
        <f>RIGHT(#REF!,(FIND("Complex",#REF!,1)-6))</f>
        <v>#REF!</v>
      </c>
    </row>
    <row r="850" spans="1:31" x14ac:dyDescent="0.25">
      <c r="A850">
        <v>3471</v>
      </c>
      <c r="B850" t="s">
        <v>244</v>
      </c>
      <c r="C850">
        <v>36</v>
      </c>
      <c r="D850">
        <v>910</v>
      </c>
      <c r="E850">
        <v>3471</v>
      </c>
      <c r="F850">
        <v>5468401</v>
      </c>
      <c r="G850">
        <v>5556600</v>
      </c>
      <c r="H850">
        <f t="shared" si="26"/>
        <v>124.00002267573696</v>
      </c>
      <c r="I850">
        <f t="shared" si="27"/>
        <v>126</v>
      </c>
      <c r="J850" t="s">
        <v>29</v>
      </c>
      <c r="K850">
        <v>3</v>
      </c>
      <c r="L850" t="e">
        <f t="array" ref="L850">VLOOKUP(J850:$J$3871&amp;K850:$K$3871,CHOOSE({1,2},#REF!&amp;#REF!,#REF!),2,0)</f>
        <v>#N/A</v>
      </c>
      <c r="M850">
        <v>-15</v>
      </c>
      <c r="N850">
        <v>0</v>
      </c>
      <c r="O850" t="s">
        <v>7</v>
      </c>
      <c r="P850">
        <v>1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1</v>
      </c>
      <c r="Y850">
        <v>0</v>
      </c>
      <c r="Z850">
        <v>0</v>
      </c>
      <c r="AA850" t="s">
        <v>6000</v>
      </c>
      <c r="AB850" t="s">
        <v>7797</v>
      </c>
      <c r="AC850" t="s">
        <v>6000</v>
      </c>
      <c r="AD850" t="e">
        <f>VLOOKUP(AB850,#REF!,2,FALSE)</f>
        <v>#REF!</v>
      </c>
      <c r="AE850" t="e">
        <f>RIGHT(#REF!,(FIND("Complex",#REF!,1)-7))</f>
        <v>#REF!</v>
      </c>
    </row>
    <row r="851" spans="1:31" x14ac:dyDescent="0.25">
      <c r="A851">
        <v>3313</v>
      </c>
      <c r="B851" t="s">
        <v>244</v>
      </c>
      <c r="C851">
        <v>36</v>
      </c>
      <c r="D851">
        <v>836</v>
      </c>
      <c r="E851">
        <v>3313</v>
      </c>
      <c r="F851">
        <v>5380201</v>
      </c>
      <c r="G851">
        <v>5468400</v>
      </c>
      <c r="H851">
        <f t="shared" si="26"/>
        <v>122.00002267573696</v>
      </c>
      <c r="I851">
        <f t="shared" si="27"/>
        <v>124</v>
      </c>
      <c r="J851" t="s">
        <v>29</v>
      </c>
      <c r="K851">
        <v>3</v>
      </c>
      <c r="L851" t="e">
        <f t="array" ref="L851">VLOOKUP(J851:$J$3871&amp;K851:$K$3871,CHOOSE({1,2},#REF!&amp;#REF!,#REF!),2,0)</f>
        <v>#N/A</v>
      </c>
      <c r="M851">
        <v>-15</v>
      </c>
      <c r="N851">
        <v>0</v>
      </c>
      <c r="O851" t="s">
        <v>7</v>
      </c>
      <c r="P851">
        <v>1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 t="s">
        <v>6007</v>
      </c>
      <c r="AB851" t="s">
        <v>1107</v>
      </c>
      <c r="AC851" t="s">
        <v>6007</v>
      </c>
      <c r="AD851" t="e">
        <f>VLOOKUP(AB851,#REF!,2,FALSE)</f>
        <v>#REF!</v>
      </c>
      <c r="AE851" t="e">
        <f>RIGHT(#REF!,(FIND("Complex",#REF!,1)-7))</f>
        <v>#REF!</v>
      </c>
    </row>
    <row r="852" spans="1:31" x14ac:dyDescent="0.25">
      <c r="A852">
        <v>1097</v>
      </c>
      <c r="B852" t="s">
        <v>244</v>
      </c>
      <c r="C852">
        <v>36</v>
      </c>
      <c r="D852">
        <v>188</v>
      </c>
      <c r="E852">
        <v>1097</v>
      </c>
      <c r="F852">
        <v>5292001</v>
      </c>
      <c r="G852">
        <v>5380200</v>
      </c>
      <c r="H852">
        <f t="shared" si="26"/>
        <v>120.00002267573696</v>
      </c>
      <c r="I852">
        <f t="shared" si="27"/>
        <v>122</v>
      </c>
      <c r="J852" t="s">
        <v>29</v>
      </c>
      <c r="K852">
        <v>3</v>
      </c>
      <c r="L852" t="e">
        <f t="array" ref="L852">VLOOKUP(J852:$J$3871&amp;K852:$K$3871,CHOOSE({1,2},#REF!&amp;#REF!,#REF!),2,0)</f>
        <v>#N/A</v>
      </c>
      <c r="M852">
        <v>-15</v>
      </c>
      <c r="N852">
        <v>0</v>
      </c>
      <c r="O852" t="s">
        <v>7</v>
      </c>
      <c r="P852">
        <v>1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 t="s">
        <v>6019</v>
      </c>
      <c r="AB852" t="s">
        <v>1108</v>
      </c>
      <c r="AC852" t="s">
        <v>6019</v>
      </c>
      <c r="AD852" t="e">
        <f>VLOOKUP(AB852,#REF!,2,FALSE)</f>
        <v>#REF!</v>
      </c>
      <c r="AE852" t="e">
        <f>RIGHT(#REF!,(FIND("Complex",#REF!,1)-7))</f>
        <v>#REF!</v>
      </c>
    </row>
    <row r="853" spans="1:31" x14ac:dyDescent="0.25">
      <c r="A853">
        <v>2931</v>
      </c>
      <c r="B853" t="s">
        <v>244</v>
      </c>
      <c r="C853">
        <v>36</v>
      </c>
      <c r="D853">
        <v>652</v>
      </c>
      <c r="E853">
        <v>2931</v>
      </c>
      <c r="F853">
        <v>5203801</v>
      </c>
      <c r="G853">
        <v>5292000</v>
      </c>
      <c r="H853">
        <f t="shared" si="26"/>
        <v>118.00002267573696</v>
      </c>
      <c r="I853">
        <f t="shared" si="27"/>
        <v>120</v>
      </c>
      <c r="J853" t="s">
        <v>29</v>
      </c>
      <c r="K853">
        <v>3</v>
      </c>
      <c r="L853" t="e">
        <f t="array" ref="L853">VLOOKUP(J853:$J$3871&amp;K853:$K$3871,CHOOSE({1,2},#REF!&amp;#REF!,#REF!),2,0)</f>
        <v>#N/A</v>
      </c>
      <c r="M853">
        <v>-15</v>
      </c>
      <c r="N853">
        <v>0</v>
      </c>
      <c r="O853" t="s">
        <v>7</v>
      </c>
      <c r="P853">
        <v>1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 t="s">
        <v>6049</v>
      </c>
      <c r="AB853" t="s">
        <v>1109</v>
      </c>
      <c r="AC853" t="s">
        <v>6049</v>
      </c>
      <c r="AD853" t="e">
        <f>VLOOKUP(AB853,#REF!,2,FALSE)</f>
        <v>#REF!</v>
      </c>
      <c r="AE853" t="e">
        <f>RIGHT(#REF!,(FIND("Complex",#REF!,1)-7))</f>
        <v>#REF!</v>
      </c>
    </row>
    <row r="854" spans="1:31" x14ac:dyDescent="0.25">
      <c r="A854">
        <v>591</v>
      </c>
      <c r="B854" t="s">
        <v>244</v>
      </c>
      <c r="C854">
        <v>36</v>
      </c>
      <c r="D854">
        <v>103</v>
      </c>
      <c r="E854">
        <v>591</v>
      </c>
      <c r="F854">
        <v>5115601</v>
      </c>
      <c r="G854">
        <v>5203800</v>
      </c>
      <c r="H854">
        <f t="shared" si="26"/>
        <v>116.00002267573696</v>
      </c>
      <c r="I854">
        <f t="shared" si="27"/>
        <v>118</v>
      </c>
      <c r="J854" t="s">
        <v>29</v>
      </c>
      <c r="K854">
        <v>3</v>
      </c>
      <c r="L854" t="e">
        <f t="array" ref="L854">VLOOKUP(J854:$J$3871&amp;K854:$K$3871,CHOOSE({1,2},#REF!&amp;#REF!,#REF!),2,0)</f>
        <v>#N/A</v>
      </c>
      <c r="M854">
        <v>-15</v>
      </c>
      <c r="N854">
        <v>0</v>
      </c>
      <c r="O854" t="s">
        <v>7</v>
      </c>
      <c r="P854">
        <v>1</v>
      </c>
      <c r="Q854">
        <v>0</v>
      </c>
      <c r="R854">
        <v>0</v>
      </c>
      <c r="S854">
        <v>1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 t="s">
        <v>6055</v>
      </c>
      <c r="AB854" t="s">
        <v>1110</v>
      </c>
      <c r="AC854" t="s">
        <v>6055</v>
      </c>
      <c r="AD854" t="e">
        <f>VLOOKUP(AB854,#REF!,2,FALSE)</f>
        <v>#REF!</v>
      </c>
      <c r="AE854" t="e">
        <f>RIGHT(#REF!,(FIND("Complex",#REF!,1)-6))</f>
        <v>#REF!</v>
      </c>
    </row>
    <row r="855" spans="1:31" x14ac:dyDescent="0.25">
      <c r="A855">
        <v>3488</v>
      </c>
      <c r="B855" t="s">
        <v>244</v>
      </c>
      <c r="C855">
        <v>36</v>
      </c>
      <c r="D855">
        <v>917</v>
      </c>
      <c r="E855">
        <v>3488</v>
      </c>
      <c r="F855">
        <v>5027401</v>
      </c>
      <c r="G855">
        <v>5115600</v>
      </c>
      <c r="H855">
        <f t="shared" si="26"/>
        <v>114.00002267573696</v>
      </c>
      <c r="I855">
        <f t="shared" si="27"/>
        <v>116</v>
      </c>
      <c r="J855" t="s">
        <v>29</v>
      </c>
      <c r="K855">
        <v>3</v>
      </c>
      <c r="L855" t="e">
        <f t="array" ref="L855">VLOOKUP(J855:$J$3871&amp;K855:$K$3871,CHOOSE({1,2},#REF!&amp;#REF!,#REF!),2,0)</f>
        <v>#N/A</v>
      </c>
      <c r="M855">
        <v>-15</v>
      </c>
      <c r="N855">
        <v>0</v>
      </c>
      <c r="O855" t="s">
        <v>7</v>
      </c>
      <c r="P855">
        <v>1</v>
      </c>
      <c r="Q855">
        <v>0</v>
      </c>
      <c r="R855">
        <v>0</v>
      </c>
      <c r="S855">
        <v>1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 t="s">
        <v>6059</v>
      </c>
      <c r="AB855" t="s">
        <v>7827</v>
      </c>
      <c r="AC855" t="s">
        <v>6059</v>
      </c>
      <c r="AD855" t="e">
        <f>VLOOKUP(AB855,#REF!,2,FALSE)</f>
        <v>#REF!</v>
      </c>
      <c r="AE855" t="e">
        <f>RIGHT(#REF!,(FIND("Complex",#REF!,1)-7))</f>
        <v>#REF!</v>
      </c>
    </row>
    <row r="856" spans="1:31" x14ac:dyDescent="0.25">
      <c r="A856">
        <v>1694</v>
      </c>
      <c r="B856" t="s">
        <v>244</v>
      </c>
      <c r="C856">
        <v>36</v>
      </c>
      <c r="D856">
        <v>289</v>
      </c>
      <c r="E856">
        <v>1694</v>
      </c>
      <c r="F856">
        <v>4939201</v>
      </c>
      <c r="G856">
        <v>5027400</v>
      </c>
      <c r="H856">
        <f t="shared" si="26"/>
        <v>112.00002267573696</v>
      </c>
      <c r="I856">
        <f t="shared" si="27"/>
        <v>114</v>
      </c>
      <c r="J856" t="s">
        <v>29</v>
      </c>
      <c r="K856">
        <v>3</v>
      </c>
      <c r="L856" t="e">
        <f t="array" ref="L856">VLOOKUP(J856:$J$3871&amp;K856:$K$3871,CHOOSE({1,2},#REF!&amp;#REF!,#REF!),2,0)</f>
        <v>#N/A</v>
      </c>
      <c r="M856">
        <v>-15</v>
      </c>
      <c r="N856">
        <v>0</v>
      </c>
      <c r="O856" t="s">
        <v>7</v>
      </c>
      <c r="P856">
        <v>1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 t="s">
        <v>6069</v>
      </c>
      <c r="AB856" t="s">
        <v>1111</v>
      </c>
      <c r="AC856" t="s">
        <v>6069</v>
      </c>
      <c r="AD856" t="e">
        <f>VLOOKUP(AB856,#REF!,2,FALSE)</f>
        <v>#REF!</v>
      </c>
      <c r="AE856" t="e">
        <f>RIGHT(#REF!,(FIND("Complex",#REF!,1)-7))</f>
        <v>#REF!</v>
      </c>
    </row>
    <row r="857" spans="1:31" x14ac:dyDescent="0.25">
      <c r="A857">
        <v>1427</v>
      </c>
      <c r="B857" t="s">
        <v>244</v>
      </c>
      <c r="C857">
        <v>36</v>
      </c>
      <c r="D857">
        <v>240</v>
      </c>
      <c r="E857">
        <v>1427</v>
      </c>
      <c r="F857">
        <v>4851001</v>
      </c>
      <c r="G857">
        <v>4939200</v>
      </c>
      <c r="H857">
        <f t="shared" si="26"/>
        <v>110.00002267573696</v>
      </c>
      <c r="I857">
        <f t="shared" si="27"/>
        <v>112</v>
      </c>
      <c r="J857" t="s">
        <v>29</v>
      </c>
      <c r="K857">
        <v>3</v>
      </c>
      <c r="L857" t="e">
        <f t="array" ref="L857">VLOOKUP(J857:$J$3871&amp;K857:$K$3871,CHOOSE({1,2},#REF!&amp;#REF!,#REF!),2,0)</f>
        <v>#N/A</v>
      </c>
      <c r="M857">
        <v>-15</v>
      </c>
      <c r="N857">
        <v>0</v>
      </c>
      <c r="O857" t="s">
        <v>7</v>
      </c>
      <c r="P857">
        <v>1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0</v>
      </c>
      <c r="Z857">
        <v>0</v>
      </c>
      <c r="AA857" t="s">
        <v>6077</v>
      </c>
      <c r="AB857" t="s">
        <v>1112</v>
      </c>
      <c r="AC857" t="s">
        <v>6077</v>
      </c>
      <c r="AD857" t="e">
        <f>VLOOKUP(AB857,#REF!,2,FALSE)</f>
        <v>#REF!</v>
      </c>
      <c r="AE857" t="e">
        <f>RIGHT(#REF!,(FIND("Complex",#REF!,1)-7))</f>
        <v>#REF!</v>
      </c>
    </row>
    <row r="858" spans="1:31" x14ac:dyDescent="0.25">
      <c r="A858">
        <v>3128</v>
      </c>
      <c r="B858" t="s">
        <v>244</v>
      </c>
      <c r="C858">
        <v>36</v>
      </c>
      <c r="D858">
        <v>737</v>
      </c>
      <c r="E858">
        <v>3128</v>
      </c>
      <c r="F858">
        <v>4674601</v>
      </c>
      <c r="G858">
        <v>4762800</v>
      </c>
      <c r="H858">
        <f t="shared" si="26"/>
        <v>106.00002267573696</v>
      </c>
      <c r="I858">
        <f t="shared" si="27"/>
        <v>108</v>
      </c>
      <c r="J858" t="s">
        <v>29</v>
      </c>
      <c r="K858">
        <v>3</v>
      </c>
      <c r="L858" t="e">
        <f t="array" ref="L858">VLOOKUP(J858:$J$3871&amp;K858:$K$3871,CHOOSE({1,2},#REF!&amp;#REF!,#REF!),2,0)</f>
        <v>#N/A</v>
      </c>
      <c r="M858">
        <v>-15</v>
      </c>
      <c r="N858">
        <v>0</v>
      </c>
      <c r="O858" t="s">
        <v>7</v>
      </c>
      <c r="P858">
        <v>1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 t="s">
        <v>6093</v>
      </c>
      <c r="AB858" t="s">
        <v>1113</v>
      </c>
      <c r="AC858" t="s">
        <v>6093</v>
      </c>
      <c r="AD858" t="e">
        <f>VLOOKUP(AB858,#REF!,2,FALSE)</f>
        <v>#REF!</v>
      </c>
      <c r="AE858" t="e">
        <f>RIGHT(#REF!,(FIND("Complex",#REF!,1)-7))</f>
        <v>#REF!</v>
      </c>
    </row>
    <row r="859" spans="1:31" x14ac:dyDescent="0.25">
      <c r="A859">
        <v>2309</v>
      </c>
      <c r="B859" t="s">
        <v>244</v>
      </c>
      <c r="C859">
        <v>36</v>
      </c>
      <c r="D859">
        <v>419</v>
      </c>
      <c r="E859">
        <v>2309</v>
      </c>
      <c r="F859">
        <v>4586401</v>
      </c>
      <c r="G859">
        <v>4674600</v>
      </c>
      <c r="H859">
        <f t="shared" si="26"/>
        <v>104.00002267573696</v>
      </c>
      <c r="I859">
        <f t="shared" si="27"/>
        <v>106</v>
      </c>
      <c r="J859" t="s">
        <v>29</v>
      </c>
      <c r="K859">
        <v>3</v>
      </c>
      <c r="L859" t="e">
        <f t="array" ref="L859">VLOOKUP(J859:$J$3871&amp;K859:$K$3871,CHOOSE({1,2},#REF!&amp;#REF!,#REF!),2,0)</f>
        <v>#N/A</v>
      </c>
      <c r="M859">
        <v>-15</v>
      </c>
      <c r="N859">
        <v>0</v>
      </c>
      <c r="O859" t="s">
        <v>7</v>
      </c>
      <c r="P859">
        <v>1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 t="s">
        <v>6101</v>
      </c>
      <c r="AB859" t="s">
        <v>1114</v>
      </c>
      <c r="AC859" t="s">
        <v>6101</v>
      </c>
      <c r="AD859" t="e">
        <f>VLOOKUP(AB859,#REF!,2,FALSE)</f>
        <v>#REF!</v>
      </c>
      <c r="AE859" t="e">
        <f>RIGHT(#REF!,(FIND("Complex",#REF!,1)-7))</f>
        <v>#REF!</v>
      </c>
    </row>
    <row r="860" spans="1:31" x14ac:dyDescent="0.25">
      <c r="A860">
        <v>3335</v>
      </c>
      <c r="B860" t="s">
        <v>244</v>
      </c>
      <c r="C860">
        <v>36</v>
      </c>
      <c r="D860">
        <v>842</v>
      </c>
      <c r="E860">
        <v>3335</v>
      </c>
      <c r="F860">
        <v>4498201</v>
      </c>
      <c r="G860">
        <v>4586400</v>
      </c>
      <c r="H860">
        <f t="shared" si="26"/>
        <v>102.00002267573696</v>
      </c>
      <c r="I860">
        <f t="shared" si="27"/>
        <v>104</v>
      </c>
      <c r="J860" t="s">
        <v>29</v>
      </c>
      <c r="K860">
        <v>3</v>
      </c>
      <c r="L860" t="e">
        <f t="array" ref="L860">VLOOKUP(J860:$J$3871&amp;K860:$K$3871,CHOOSE({1,2},#REF!&amp;#REF!,#REF!),2,0)</f>
        <v>#N/A</v>
      </c>
      <c r="M860">
        <v>-15</v>
      </c>
      <c r="N860">
        <v>0</v>
      </c>
      <c r="O860" t="s">
        <v>7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1</v>
      </c>
      <c r="Y860">
        <v>0</v>
      </c>
      <c r="Z860">
        <v>0</v>
      </c>
      <c r="AA860" t="s">
        <v>6111</v>
      </c>
      <c r="AB860" t="s">
        <v>1115</v>
      </c>
      <c r="AC860" t="s">
        <v>6111</v>
      </c>
      <c r="AD860" t="e">
        <f>VLOOKUP(AB860,#REF!,2,FALSE)</f>
        <v>#REF!</v>
      </c>
      <c r="AE860" t="e">
        <f>RIGHT(#REF!,(FIND("Complex",#REF!,1)-7))</f>
        <v>#REF!</v>
      </c>
    </row>
    <row r="861" spans="1:31" x14ac:dyDescent="0.25">
      <c r="A861">
        <v>2820</v>
      </c>
      <c r="B861" t="s">
        <v>244</v>
      </c>
      <c r="C861">
        <v>36</v>
      </c>
      <c r="D861">
        <v>610</v>
      </c>
      <c r="E861">
        <v>2820</v>
      </c>
      <c r="F861">
        <v>4410001</v>
      </c>
      <c r="G861">
        <v>4498200</v>
      </c>
      <c r="H861">
        <f t="shared" si="26"/>
        <v>100.00002267573696</v>
      </c>
      <c r="I861">
        <f t="shared" si="27"/>
        <v>102</v>
      </c>
      <c r="J861" t="s">
        <v>29</v>
      </c>
      <c r="K861">
        <v>3</v>
      </c>
      <c r="L861" t="e">
        <f t="array" ref="L861">VLOOKUP(J861:$J$3871&amp;K861:$K$3871,CHOOSE({1,2},#REF!&amp;#REF!,#REF!),2,0)</f>
        <v>#N/A</v>
      </c>
      <c r="M861">
        <v>-15</v>
      </c>
      <c r="N861">
        <v>0</v>
      </c>
      <c r="O861" t="s">
        <v>7</v>
      </c>
      <c r="P861">
        <v>1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1</v>
      </c>
      <c r="Y861">
        <v>0</v>
      </c>
      <c r="Z861">
        <v>0</v>
      </c>
      <c r="AA861" t="s">
        <v>6124</v>
      </c>
      <c r="AB861" t="s">
        <v>7865</v>
      </c>
      <c r="AC861" t="s">
        <v>6124</v>
      </c>
      <c r="AD861" t="e">
        <f>VLOOKUP(AB861,#REF!,2,FALSE)</f>
        <v>#REF!</v>
      </c>
      <c r="AE861" t="e">
        <f>RIGHT(#REF!,(FIND("Complex",#REF!,1)-7))</f>
        <v>#REF!</v>
      </c>
    </row>
    <row r="862" spans="1:31" x14ac:dyDescent="0.25">
      <c r="A862">
        <v>1441</v>
      </c>
      <c r="B862" t="s">
        <v>38</v>
      </c>
      <c r="C862">
        <v>37</v>
      </c>
      <c r="D862">
        <v>243</v>
      </c>
      <c r="E862">
        <v>1441</v>
      </c>
      <c r="F862">
        <v>352801</v>
      </c>
      <c r="G862">
        <v>441000</v>
      </c>
      <c r="H862">
        <f t="shared" si="26"/>
        <v>8.000022675736961</v>
      </c>
      <c r="I862">
        <f t="shared" si="27"/>
        <v>10</v>
      </c>
      <c r="J862" t="s">
        <v>29</v>
      </c>
      <c r="K862">
        <v>3</v>
      </c>
      <c r="L862" t="e">
        <f t="array" ref="L862">VLOOKUP(J862:$J$3871&amp;K862:$K$3871,CHOOSE({1,2},#REF!&amp;#REF!,#REF!),2,0)</f>
        <v>#N/A</v>
      </c>
      <c r="M862">
        <v>-15</v>
      </c>
      <c r="N862">
        <v>0</v>
      </c>
      <c r="O862" t="s">
        <v>7</v>
      </c>
      <c r="P862">
        <v>1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1</v>
      </c>
      <c r="Y862">
        <v>0</v>
      </c>
      <c r="Z862">
        <v>0</v>
      </c>
      <c r="AA862" t="s">
        <v>4995</v>
      </c>
      <c r="AB862" t="s">
        <v>7213</v>
      </c>
      <c r="AC862" t="s">
        <v>4995</v>
      </c>
      <c r="AD862" t="e">
        <f>VLOOKUP(AB862,#REF!,2,FALSE)</f>
        <v>#REF!</v>
      </c>
      <c r="AE862" t="e">
        <f>RIGHT(#REF!,(FIND("Complex",#REF!,1)-9))</f>
        <v>#REF!</v>
      </c>
    </row>
    <row r="863" spans="1:31" x14ac:dyDescent="0.25">
      <c r="A863">
        <v>2012</v>
      </c>
      <c r="B863" t="s">
        <v>38</v>
      </c>
      <c r="C863">
        <v>37</v>
      </c>
      <c r="D863">
        <v>346</v>
      </c>
      <c r="E863">
        <v>2012</v>
      </c>
      <c r="F863">
        <v>264601</v>
      </c>
      <c r="G863">
        <v>352800</v>
      </c>
      <c r="H863">
        <f t="shared" si="26"/>
        <v>6.000022675736961</v>
      </c>
      <c r="I863">
        <f t="shared" si="27"/>
        <v>8</v>
      </c>
      <c r="J863" t="s">
        <v>29</v>
      </c>
      <c r="K863">
        <v>3</v>
      </c>
      <c r="L863" t="e">
        <f t="array" ref="L863">VLOOKUP(J863:$J$3871&amp;K863:$K$3871,CHOOSE({1,2},#REF!&amp;#REF!,#REF!),2,0)</f>
        <v>#N/A</v>
      </c>
      <c r="M863">
        <v>-15</v>
      </c>
      <c r="N863">
        <v>0</v>
      </c>
      <c r="O863" t="s">
        <v>7</v>
      </c>
      <c r="P863">
        <v>1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1</v>
      </c>
      <c r="Y863">
        <v>0</v>
      </c>
      <c r="Z863">
        <v>0</v>
      </c>
      <c r="AA863" t="s">
        <v>5134</v>
      </c>
      <c r="AB863" t="s">
        <v>7283</v>
      </c>
      <c r="AC863" t="s">
        <v>5134</v>
      </c>
      <c r="AD863" t="e">
        <f>VLOOKUP(AB863,#REF!,2,FALSE)</f>
        <v>#REF!</v>
      </c>
      <c r="AE863" t="e">
        <f>RIGHT(#REF!,(FIND("Complex",#REF!,1)-9))</f>
        <v>#REF!</v>
      </c>
    </row>
    <row r="864" spans="1:31" x14ac:dyDescent="0.25">
      <c r="A864">
        <v>1211</v>
      </c>
      <c r="B864" t="s">
        <v>38</v>
      </c>
      <c r="C864">
        <v>37</v>
      </c>
      <c r="D864">
        <v>209</v>
      </c>
      <c r="E864">
        <v>1211</v>
      </c>
      <c r="F864">
        <v>176401</v>
      </c>
      <c r="G864">
        <v>264600</v>
      </c>
      <c r="H864">
        <f t="shared" si="26"/>
        <v>4.000022675736961</v>
      </c>
      <c r="I864">
        <f t="shared" si="27"/>
        <v>6</v>
      </c>
      <c r="J864" t="s">
        <v>29</v>
      </c>
      <c r="K864">
        <v>3</v>
      </c>
      <c r="L864" t="e">
        <f t="array" ref="L864">VLOOKUP(J864:$J$3871&amp;K864:$K$3871,CHOOSE({1,2},#REF!&amp;#REF!,#REF!),2,0)</f>
        <v>#N/A</v>
      </c>
      <c r="M864">
        <v>-15</v>
      </c>
      <c r="N864">
        <v>0</v>
      </c>
      <c r="O864" t="s">
        <v>7</v>
      </c>
      <c r="P864">
        <v>1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0</v>
      </c>
      <c r="AA864" t="s">
        <v>5278</v>
      </c>
      <c r="AB864" t="s">
        <v>1121</v>
      </c>
      <c r="AC864" t="s">
        <v>5278</v>
      </c>
      <c r="AD864" t="e">
        <f>VLOOKUP(AB864,#REF!,2,FALSE)</f>
        <v>#REF!</v>
      </c>
      <c r="AE864" t="e">
        <f>RIGHT(#REF!,(FIND("Complex",#REF!,1)-9))</f>
        <v>#REF!</v>
      </c>
    </row>
    <row r="865" spans="1:31" x14ac:dyDescent="0.25">
      <c r="A865">
        <v>1985</v>
      </c>
      <c r="B865" t="s">
        <v>38</v>
      </c>
      <c r="C865">
        <v>37</v>
      </c>
      <c r="D865">
        <v>340</v>
      </c>
      <c r="E865">
        <v>1985</v>
      </c>
      <c r="F865">
        <v>617401</v>
      </c>
      <c r="G865">
        <v>705600</v>
      </c>
      <c r="H865">
        <f t="shared" si="26"/>
        <v>14.000022675736961</v>
      </c>
      <c r="I865">
        <f t="shared" si="27"/>
        <v>16</v>
      </c>
      <c r="J865" t="s">
        <v>29</v>
      </c>
      <c r="K865">
        <v>3</v>
      </c>
      <c r="L865" t="e">
        <f t="array" ref="L865">VLOOKUP(J865:$J$3871&amp;K865:$K$3871,CHOOSE({1,2},#REF!&amp;#REF!,#REF!),2,0)</f>
        <v>#N/A</v>
      </c>
      <c r="M865">
        <v>-15</v>
      </c>
      <c r="N865">
        <v>0</v>
      </c>
      <c r="O865" t="s">
        <v>7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 t="s">
        <v>5943</v>
      </c>
      <c r="AB865" t="s">
        <v>1122</v>
      </c>
      <c r="AC865" t="s">
        <v>5943</v>
      </c>
      <c r="AD865" t="e">
        <f>VLOOKUP(AB865,#REF!,2,FALSE)</f>
        <v>#REF!</v>
      </c>
      <c r="AE865" t="e">
        <f>RIGHT(#REF!,(FIND("Complex",#REF!,1)-8))</f>
        <v>#REF!</v>
      </c>
    </row>
    <row r="866" spans="1:31" x14ac:dyDescent="0.25">
      <c r="A866">
        <v>3417</v>
      </c>
      <c r="B866" t="s">
        <v>38</v>
      </c>
      <c r="C866">
        <v>37</v>
      </c>
      <c r="D866">
        <v>882</v>
      </c>
      <c r="E866">
        <v>3417</v>
      </c>
      <c r="F866">
        <v>529201</v>
      </c>
      <c r="G866">
        <v>617400</v>
      </c>
      <c r="H866">
        <f t="shared" si="26"/>
        <v>12.000022675736961</v>
      </c>
      <c r="I866">
        <f t="shared" si="27"/>
        <v>14</v>
      </c>
      <c r="J866" t="s">
        <v>29</v>
      </c>
      <c r="K866">
        <v>3</v>
      </c>
      <c r="L866" t="e">
        <f t="array" ref="L866">VLOOKUP(J866:$J$3871&amp;K866:$K$3871,CHOOSE({1,2},#REF!&amp;#REF!,#REF!),2,0)</f>
        <v>#N/A</v>
      </c>
      <c r="M866">
        <v>-15</v>
      </c>
      <c r="N866">
        <v>0</v>
      </c>
      <c r="O866" t="s">
        <v>7</v>
      </c>
      <c r="P866">
        <v>1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1</v>
      </c>
      <c r="Y866">
        <v>0</v>
      </c>
      <c r="Z866">
        <v>0</v>
      </c>
      <c r="AA866" t="s">
        <v>6034</v>
      </c>
      <c r="AB866" t="s">
        <v>1123</v>
      </c>
      <c r="AC866" t="s">
        <v>6034</v>
      </c>
      <c r="AD866" t="e">
        <f>VLOOKUP(AB866,#REF!,2,FALSE)</f>
        <v>#REF!</v>
      </c>
      <c r="AE866" t="e">
        <f>RIGHT(#REF!,(FIND("Complex",#REF!,1)-8))</f>
        <v>#REF!</v>
      </c>
    </row>
    <row r="867" spans="1:31" x14ac:dyDescent="0.25">
      <c r="A867">
        <v>3279</v>
      </c>
      <c r="B867" t="s">
        <v>88</v>
      </c>
      <c r="C867">
        <v>39</v>
      </c>
      <c r="D867">
        <v>819</v>
      </c>
      <c r="E867">
        <v>3279</v>
      </c>
      <c r="F867">
        <v>1499401</v>
      </c>
      <c r="G867">
        <v>1587600</v>
      </c>
      <c r="H867">
        <f t="shared" si="26"/>
        <v>34.000022675736965</v>
      </c>
      <c r="I867">
        <f t="shared" si="27"/>
        <v>36</v>
      </c>
      <c r="J867" t="s">
        <v>29</v>
      </c>
      <c r="K867">
        <v>3</v>
      </c>
      <c r="L867" t="e">
        <f t="array" ref="L867">VLOOKUP(J867:$J$3871&amp;K867:$K$3871,CHOOSE({1,2},#REF!&amp;#REF!,#REF!),2,0)</f>
        <v>#N/A</v>
      </c>
      <c r="M867">
        <v>-15</v>
      </c>
      <c r="N867">
        <v>0</v>
      </c>
      <c r="O867" t="s">
        <v>7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1</v>
      </c>
      <c r="Y867">
        <v>0</v>
      </c>
      <c r="Z867">
        <v>0</v>
      </c>
      <c r="AA867" t="s">
        <v>5337</v>
      </c>
      <c r="AB867" t="s">
        <v>1159</v>
      </c>
      <c r="AC867" t="s">
        <v>5337</v>
      </c>
      <c r="AD867" t="e">
        <f>VLOOKUP(AB867,#REF!,2,FALSE)</f>
        <v>#REF!</v>
      </c>
      <c r="AE867" t="e">
        <f>RIGHT(#REF!,(FIND("Complex",#REF!,1)-8))</f>
        <v>#REF!</v>
      </c>
    </row>
    <row r="868" spans="1:31" x14ac:dyDescent="0.25">
      <c r="A868">
        <v>3450</v>
      </c>
      <c r="B868" t="s">
        <v>88</v>
      </c>
      <c r="C868">
        <v>39</v>
      </c>
      <c r="D868">
        <v>900</v>
      </c>
      <c r="E868">
        <v>3450</v>
      </c>
      <c r="F868">
        <v>6967801</v>
      </c>
      <c r="G868">
        <v>7056000</v>
      </c>
      <c r="H868">
        <f t="shared" si="26"/>
        <v>158.00002267573697</v>
      </c>
      <c r="I868">
        <f t="shared" si="27"/>
        <v>160</v>
      </c>
      <c r="J868" t="s">
        <v>29</v>
      </c>
      <c r="K868">
        <v>3</v>
      </c>
      <c r="L868" t="e">
        <f t="array" ref="L868">VLOOKUP(J868:$J$3871&amp;K868:$K$3871,CHOOSE({1,2},#REF!&amp;#REF!,#REF!),2,0)</f>
        <v>#N/A</v>
      </c>
      <c r="M868">
        <v>-15</v>
      </c>
      <c r="N868">
        <v>0</v>
      </c>
      <c r="O868" t="s">
        <v>7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1</v>
      </c>
      <c r="Y868">
        <v>0</v>
      </c>
      <c r="Z868">
        <v>0</v>
      </c>
      <c r="AA868" t="s">
        <v>5834</v>
      </c>
      <c r="AB868" t="s">
        <v>7698</v>
      </c>
      <c r="AC868" t="s">
        <v>5834</v>
      </c>
      <c r="AD868" t="e">
        <f>VLOOKUP(AB868,#REF!,2,FALSE)</f>
        <v>#REF!</v>
      </c>
      <c r="AE868" t="e">
        <f>RIGHT(#REF!,(FIND("Complex",#REF!,1)-7))</f>
        <v>#REF!</v>
      </c>
    </row>
    <row r="869" spans="1:31" x14ac:dyDescent="0.25">
      <c r="A869">
        <v>2354</v>
      </c>
      <c r="B869" t="s">
        <v>88</v>
      </c>
      <c r="C869">
        <v>39</v>
      </c>
      <c r="D869">
        <v>432</v>
      </c>
      <c r="E869">
        <v>2354</v>
      </c>
      <c r="F869">
        <v>6791401</v>
      </c>
      <c r="G869">
        <v>6879600</v>
      </c>
      <c r="H869">
        <f t="shared" si="26"/>
        <v>154.00002267573697</v>
      </c>
      <c r="I869">
        <f t="shared" si="27"/>
        <v>156</v>
      </c>
      <c r="J869" t="s">
        <v>29</v>
      </c>
      <c r="K869">
        <v>3</v>
      </c>
      <c r="L869" t="e">
        <f t="array" ref="L869">VLOOKUP(J869:$J$3871&amp;K869:$K$3871,CHOOSE({1,2},#REF!&amp;#REF!,#REF!),2,0)</f>
        <v>#N/A</v>
      </c>
      <c r="M869">
        <v>-15</v>
      </c>
      <c r="N869">
        <v>0</v>
      </c>
      <c r="O869" t="s">
        <v>7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1</v>
      </c>
      <c r="Y869">
        <v>0</v>
      </c>
      <c r="Z869">
        <v>0</v>
      </c>
      <c r="AA869" t="s">
        <v>5859</v>
      </c>
      <c r="AB869" t="s">
        <v>1160</v>
      </c>
      <c r="AC869" t="s">
        <v>5859</v>
      </c>
      <c r="AD869" t="e">
        <f>VLOOKUP(AB869,#REF!,2,FALSE)</f>
        <v>#REF!</v>
      </c>
      <c r="AE869" t="e">
        <f>RIGHT(#REF!,(FIND("Complex",#REF!,1)-7))</f>
        <v>#REF!</v>
      </c>
    </row>
    <row r="870" spans="1:31" x14ac:dyDescent="0.25">
      <c r="A870">
        <v>3449</v>
      </c>
      <c r="B870" t="s">
        <v>88</v>
      </c>
      <c r="C870">
        <v>39</v>
      </c>
      <c r="D870">
        <v>899</v>
      </c>
      <c r="E870">
        <v>3449</v>
      </c>
      <c r="F870">
        <v>6526801</v>
      </c>
      <c r="G870">
        <v>6615000</v>
      </c>
      <c r="H870">
        <f t="shared" si="26"/>
        <v>148.00002267573697</v>
      </c>
      <c r="I870">
        <f t="shared" si="27"/>
        <v>150</v>
      </c>
      <c r="J870" t="s">
        <v>29</v>
      </c>
      <c r="K870">
        <v>3</v>
      </c>
      <c r="L870" t="e">
        <f t="array" ref="L870">VLOOKUP(J870:$J$3871&amp;K870:$K$3871,CHOOSE({1,2},#REF!&amp;#REF!,#REF!),2,0)</f>
        <v>#N/A</v>
      </c>
      <c r="M870">
        <v>-15</v>
      </c>
      <c r="N870">
        <v>0</v>
      </c>
      <c r="O870" t="s">
        <v>7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1</v>
      </c>
      <c r="Y870">
        <v>0</v>
      </c>
      <c r="Z870">
        <v>0</v>
      </c>
      <c r="AA870" t="s">
        <v>5887</v>
      </c>
      <c r="AB870" t="s">
        <v>7731</v>
      </c>
      <c r="AC870" t="s">
        <v>5887</v>
      </c>
      <c r="AD870" t="e">
        <f>VLOOKUP(AB870,#REF!,2,FALSE)</f>
        <v>#REF!</v>
      </c>
      <c r="AE870" t="e">
        <f>RIGHT(#REF!,(FIND("Complex",#REF!,1)-7))</f>
        <v>#REF!</v>
      </c>
    </row>
    <row r="871" spans="1:31" x14ac:dyDescent="0.25">
      <c r="A871">
        <v>3360</v>
      </c>
      <c r="B871" t="s">
        <v>88</v>
      </c>
      <c r="C871">
        <v>39</v>
      </c>
      <c r="D871">
        <v>855</v>
      </c>
      <c r="E871">
        <v>3360</v>
      </c>
      <c r="F871">
        <v>617401</v>
      </c>
      <c r="G871">
        <v>705600</v>
      </c>
      <c r="H871">
        <f t="shared" si="26"/>
        <v>14.000022675736961</v>
      </c>
      <c r="I871">
        <f t="shared" si="27"/>
        <v>16</v>
      </c>
      <c r="J871" t="s">
        <v>29</v>
      </c>
      <c r="K871">
        <v>3</v>
      </c>
      <c r="L871" t="e">
        <f t="array" ref="L871">VLOOKUP(J871:$J$3871&amp;K871:$K$3871,CHOOSE({1,2},#REF!&amp;#REF!,#REF!),2,0)</f>
        <v>#N/A</v>
      </c>
      <c r="M871">
        <v>-15</v>
      </c>
      <c r="N871">
        <v>0</v>
      </c>
      <c r="O871" t="s">
        <v>7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1</v>
      </c>
      <c r="Y871">
        <v>0</v>
      </c>
      <c r="Z871">
        <v>0</v>
      </c>
      <c r="AA871" t="s">
        <v>5942</v>
      </c>
      <c r="AB871" t="s">
        <v>1161</v>
      </c>
      <c r="AC871" t="s">
        <v>5942</v>
      </c>
      <c r="AD871" t="e">
        <f>VLOOKUP(AB871,#REF!,2,FALSE)</f>
        <v>#REF!</v>
      </c>
      <c r="AE871" t="e">
        <f>RIGHT(#REF!,(FIND("Complex",#REF!,1)-8))</f>
        <v>#REF!</v>
      </c>
    </row>
    <row r="872" spans="1:31" x14ac:dyDescent="0.25">
      <c r="A872">
        <v>3445</v>
      </c>
      <c r="B872" t="s">
        <v>40</v>
      </c>
      <c r="C872">
        <v>40</v>
      </c>
      <c r="D872">
        <v>896</v>
      </c>
      <c r="E872">
        <v>3445</v>
      </c>
      <c r="F872">
        <v>2734201</v>
      </c>
      <c r="G872">
        <v>2822400</v>
      </c>
      <c r="H872">
        <f t="shared" si="26"/>
        <v>62.000022675736965</v>
      </c>
      <c r="I872">
        <f t="shared" si="27"/>
        <v>64</v>
      </c>
      <c r="J872" t="s">
        <v>29</v>
      </c>
      <c r="K872">
        <v>3</v>
      </c>
      <c r="L872" t="e">
        <f t="array" ref="L872">VLOOKUP(J872:$J$3871&amp;K872:$K$3871,CHOOSE({1,2},#REF!&amp;#REF!,#REF!),2,0)</f>
        <v>#N/A</v>
      </c>
      <c r="M872">
        <v>-15</v>
      </c>
      <c r="N872">
        <v>0</v>
      </c>
      <c r="O872" t="s">
        <v>7</v>
      </c>
      <c r="P872">
        <v>1</v>
      </c>
      <c r="Q872">
        <v>0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1</v>
      </c>
      <c r="Z872">
        <v>0</v>
      </c>
      <c r="AA872" t="s">
        <v>5099</v>
      </c>
      <c r="AB872" t="s">
        <v>7264</v>
      </c>
      <c r="AC872" t="s">
        <v>5099</v>
      </c>
      <c r="AD872" t="e">
        <f>VLOOKUP(AB872,#REF!,2,FALSE)</f>
        <v>#REF!</v>
      </c>
      <c r="AE872" t="e">
        <f>RIGHT(#REF!,(FIND("Complex",#REF!,1)-8))</f>
        <v>#REF!</v>
      </c>
    </row>
    <row r="873" spans="1:31" x14ac:dyDescent="0.25">
      <c r="A873">
        <v>1841</v>
      </c>
      <c r="B873" t="s">
        <v>40</v>
      </c>
      <c r="C873">
        <v>40</v>
      </c>
      <c r="D873">
        <v>317</v>
      </c>
      <c r="E873">
        <v>1841</v>
      </c>
      <c r="F873">
        <v>2205001</v>
      </c>
      <c r="G873">
        <v>2293200</v>
      </c>
      <c r="H873">
        <f t="shared" si="26"/>
        <v>50.000022675736965</v>
      </c>
      <c r="I873">
        <f t="shared" si="27"/>
        <v>52</v>
      </c>
      <c r="J873" t="s">
        <v>29</v>
      </c>
      <c r="K873">
        <v>3</v>
      </c>
      <c r="L873" t="e">
        <f t="array" ref="L873">VLOOKUP(J873:$J$3871&amp;K873:$K$3871,CHOOSE({1,2},#REF!&amp;#REF!,#REF!),2,0)</f>
        <v>#N/A</v>
      </c>
      <c r="M873">
        <v>-15</v>
      </c>
      <c r="N873">
        <v>0</v>
      </c>
      <c r="O873" t="s">
        <v>7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1</v>
      </c>
      <c r="Z873">
        <v>0</v>
      </c>
      <c r="AA873" t="s">
        <v>5195</v>
      </c>
      <c r="AB873" t="s">
        <v>1185</v>
      </c>
      <c r="AC873" t="s">
        <v>5195</v>
      </c>
      <c r="AD873" t="e">
        <f>VLOOKUP(AB873,#REF!,2,FALSE)</f>
        <v>#REF!</v>
      </c>
      <c r="AE873" t="e">
        <f>RIGHT(#REF!,(FIND("Complex",#REF!,1)-8))</f>
        <v>#REF!</v>
      </c>
    </row>
    <row r="874" spans="1:31" x14ac:dyDescent="0.25">
      <c r="A874">
        <v>183</v>
      </c>
      <c r="B874" t="s">
        <v>40</v>
      </c>
      <c r="C874">
        <v>40</v>
      </c>
      <c r="D874">
        <v>36</v>
      </c>
      <c r="E874">
        <v>183</v>
      </c>
      <c r="F874">
        <v>2116801</v>
      </c>
      <c r="G874">
        <v>2205000</v>
      </c>
      <c r="H874">
        <f t="shared" si="26"/>
        <v>48.000022675736965</v>
      </c>
      <c r="I874">
        <f t="shared" si="27"/>
        <v>50</v>
      </c>
      <c r="J874" t="s">
        <v>29</v>
      </c>
      <c r="K874">
        <v>3</v>
      </c>
      <c r="L874" t="e">
        <f t="array" ref="L874">VLOOKUP(J874:$J$3871&amp;K874:$K$3871,CHOOSE({1,2},#REF!&amp;#REF!,#REF!),2,0)</f>
        <v>#N/A</v>
      </c>
      <c r="M874">
        <v>-15</v>
      </c>
      <c r="N874">
        <v>0</v>
      </c>
      <c r="O874" t="s">
        <v>7</v>
      </c>
      <c r="P874">
        <v>1</v>
      </c>
      <c r="Q874">
        <v>0</v>
      </c>
      <c r="R874">
        <v>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1</v>
      </c>
      <c r="Z874">
        <v>0</v>
      </c>
      <c r="AA874" t="s">
        <v>5205</v>
      </c>
      <c r="AB874" t="s">
        <v>1186</v>
      </c>
      <c r="AC874" t="s">
        <v>5205</v>
      </c>
      <c r="AD874" t="e">
        <f>VLOOKUP(AB874,#REF!,2,FALSE)</f>
        <v>#REF!</v>
      </c>
      <c r="AE874" t="e">
        <f>RIGHT(#REF!,(FIND("Complex",#REF!,1)-7))</f>
        <v>#REF!</v>
      </c>
    </row>
    <row r="875" spans="1:31" x14ac:dyDescent="0.25">
      <c r="A875">
        <v>3752</v>
      </c>
      <c r="B875" t="s">
        <v>40</v>
      </c>
      <c r="C875">
        <v>40</v>
      </c>
      <c r="D875">
        <v>1015</v>
      </c>
      <c r="E875">
        <v>3752</v>
      </c>
      <c r="F875">
        <v>1852201</v>
      </c>
      <c r="G875">
        <v>1940400</v>
      </c>
      <c r="H875">
        <f t="shared" si="26"/>
        <v>42.000022675736965</v>
      </c>
      <c r="I875">
        <f t="shared" si="27"/>
        <v>44</v>
      </c>
      <c r="J875" t="s">
        <v>29</v>
      </c>
      <c r="K875">
        <v>3</v>
      </c>
      <c r="L875" t="e">
        <f t="array" ref="L875">VLOOKUP(J875:$J$3871&amp;K875:$K$3871,CHOOSE({1,2},#REF!&amp;#REF!,#REF!),2,0)</f>
        <v>#N/A</v>
      </c>
      <c r="M875">
        <v>-15</v>
      </c>
      <c r="N875">
        <v>0</v>
      </c>
      <c r="O875" t="s">
        <v>7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1</v>
      </c>
      <c r="Z875">
        <v>0</v>
      </c>
      <c r="AA875" t="s">
        <v>5246</v>
      </c>
      <c r="AB875" t="s">
        <v>7333</v>
      </c>
      <c r="AC875" t="s">
        <v>5246</v>
      </c>
      <c r="AD875" t="e">
        <f>VLOOKUP(AB875,#REF!,2,FALSE)</f>
        <v>#REF!</v>
      </c>
      <c r="AE875" t="e">
        <f>RIGHT(#REF!,(FIND("Complex",#REF!,1)-9))</f>
        <v>#REF!</v>
      </c>
    </row>
    <row r="876" spans="1:31" x14ac:dyDescent="0.25">
      <c r="A876">
        <v>3635</v>
      </c>
      <c r="B876" t="s">
        <v>40</v>
      </c>
      <c r="C876">
        <v>40</v>
      </c>
      <c r="D876">
        <v>972</v>
      </c>
      <c r="E876">
        <v>3635</v>
      </c>
      <c r="F876">
        <v>1764001</v>
      </c>
      <c r="G876">
        <v>1852200</v>
      </c>
      <c r="H876">
        <f t="shared" si="26"/>
        <v>40.000022675736965</v>
      </c>
      <c r="I876">
        <f t="shared" si="27"/>
        <v>42</v>
      </c>
      <c r="J876" t="s">
        <v>29</v>
      </c>
      <c r="K876">
        <v>3</v>
      </c>
      <c r="L876" t="e">
        <f t="array" ref="L876">VLOOKUP(J876:$J$3871&amp;K876:$K$3871,CHOOSE({1,2},#REF!&amp;#REF!,#REF!),2,0)</f>
        <v>#N/A</v>
      </c>
      <c r="M876">
        <v>-15</v>
      </c>
      <c r="N876">
        <v>0</v>
      </c>
      <c r="O876" t="s">
        <v>7</v>
      </c>
      <c r="P876">
        <v>1</v>
      </c>
      <c r="Q876">
        <v>0</v>
      </c>
      <c r="R876">
        <v>0</v>
      </c>
      <c r="S876">
        <v>1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1</v>
      </c>
      <c r="Z876">
        <v>0</v>
      </c>
      <c r="AA876" t="s">
        <v>5259</v>
      </c>
      <c r="AB876" t="s">
        <v>7343</v>
      </c>
      <c r="AC876" t="s">
        <v>5259</v>
      </c>
      <c r="AD876" t="e">
        <f>VLOOKUP(AB876,#REF!,2,FALSE)</f>
        <v>#REF!</v>
      </c>
      <c r="AE876" t="e">
        <f>RIGHT(#REF!,(FIND("Complex",#REF!,1)-8))</f>
        <v>#REF!</v>
      </c>
    </row>
    <row r="877" spans="1:31" x14ac:dyDescent="0.25">
      <c r="A877">
        <v>3179</v>
      </c>
      <c r="B877" t="s">
        <v>40</v>
      </c>
      <c r="C877">
        <v>40</v>
      </c>
      <c r="D877">
        <v>762</v>
      </c>
      <c r="E877">
        <v>3179</v>
      </c>
      <c r="F877">
        <v>1234801</v>
      </c>
      <c r="G877">
        <v>1323000</v>
      </c>
      <c r="H877">
        <f t="shared" si="26"/>
        <v>28.000022675736961</v>
      </c>
      <c r="I877">
        <f t="shared" si="27"/>
        <v>30</v>
      </c>
      <c r="J877" t="s">
        <v>29</v>
      </c>
      <c r="K877">
        <v>3</v>
      </c>
      <c r="L877" t="e">
        <f t="array" ref="L877">VLOOKUP(J877:$J$3871&amp;K877:$K$3871,CHOOSE({1,2},#REF!&amp;#REF!,#REF!),2,0)</f>
        <v>#N/A</v>
      </c>
      <c r="M877">
        <v>-15</v>
      </c>
      <c r="N877">
        <v>0</v>
      </c>
      <c r="O877" t="s">
        <v>7</v>
      </c>
      <c r="P877">
        <v>1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1</v>
      </c>
      <c r="Z877">
        <v>0</v>
      </c>
      <c r="AA877" t="s">
        <v>5413</v>
      </c>
      <c r="AB877" t="s">
        <v>1187</v>
      </c>
      <c r="AC877" t="s">
        <v>5413</v>
      </c>
      <c r="AD877" t="e">
        <f>VLOOKUP(AB877,#REF!,2,FALSE)</f>
        <v>#REF!</v>
      </c>
      <c r="AE877" t="e">
        <f>RIGHT(#REF!,(FIND("Complex",#REF!,1)-8))</f>
        <v>#REF!</v>
      </c>
    </row>
    <row r="878" spans="1:31" x14ac:dyDescent="0.25">
      <c r="A878">
        <v>3667</v>
      </c>
      <c r="B878" t="s">
        <v>40</v>
      </c>
      <c r="C878">
        <v>40</v>
      </c>
      <c r="D878">
        <v>984</v>
      </c>
      <c r="E878">
        <v>3667</v>
      </c>
      <c r="F878">
        <v>11025001</v>
      </c>
      <c r="G878">
        <v>11113200</v>
      </c>
      <c r="H878">
        <f t="shared" si="26"/>
        <v>250.00002267573697</v>
      </c>
      <c r="I878">
        <f t="shared" si="27"/>
        <v>252</v>
      </c>
      <c r="J878" t="s">
        <v>29</v>
      </c>
      <c r="K878">
        <v>3</v>
      </c>
      <c r="L878" t="e">
        <f t="array" ref="L878">VLOOKUP(J878:$J$3871&amp;K878:$K$3871,CHOOSE({1,2},#REF!&amp;#REF!,#REF!),2,0)</f>
        <v>#N/A</v>
      </c>
      <c r="M878">
        <v>-15</v>
      </c>
      <c r="N878">
        <v>0</v>
      </c>
      <c r="O878" t="s">
        <v>7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1</v>
      </c>
      <c r="Z878">
        <v>0</v>
      </c>
      <c r="AA878" t="s">
        <v>5488</v>
      </c>
      <c r="AB878" t="s">
        <v>1188</v>
      </c>
      <c r="AC878" t="s">
        <v>5488</v>
      </c>
      <c r="AD878" t="e">
        <f>VLOOKUP(AB878,#REF!,2,FALSE)</f>
        <v>#REF!</v>
      </c>
      <c r="AE878" t="e">
        <f>RIGHT(#REF!,(FIND("Complex",#REF!,1)-7))</f>
        <v>#REF!</v>
      </c>
    </row>
    <row r="879" spans="1:31" x14ac:dyDescent="0.25">
      <c r="A879">
        <v>3767</v>
      </c>
      <c r="B879" t="s">
        <v>40</v>
      </c>
      <c r="C879">
        <v>40</v>
      </c>
      <c r="D879">
        <v>1017</v>
      </c>
      <c r="E879">
        <v>3767</v>
      </c>
      <c r="F879">
        <v>10760401</v>
      </c>
      <c r="G879">
        <v>10848600</v>
      </c>
      <c r="H879">
        <f t="shared" si="26"/>
        <v>244.00002267573697</v>
      </c>
      <c r="I879">
        <f t="shared" si="27"/>
        <v>246</v>
      </c>
      <c r="J879" t="s">
        <v>29</v>
      </c>
      <c r="K879">
        <v>3</v>
      </c>
      <c r="L879" t="e">
        <f t="array" ref="L879">VLOOKUP(J879:$J$3871&amp;K879:$K$3871,CHOOSE({1,2},#REF!&amp;#REF!,#REF!),2,0)</f>
        <v>#N/A</v>
      </c>
      <c r="M879">
        <v>-15</v>
      </c>
      <c r="N879">
        <v>0</v>
      </c>
      <c r="O879" t="s">
        <v>7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>
        <v>1</v>
      </c>
      <c r="Z879">
        <v>0</v>
      </c>
      <c r="AA879" t="s">
        <v>5504</v>
      </c>
      <c r="AB879" t="s">
        <v>7493</v>
      </c>
      <c r="AC879" t="s">
        <v>5504</v>
      </c>
      <c r="AD879" t="e">
        <f>VLOOKUP(AB879,#REF!,2,FALSE)</f>
        <v>#REF!</v>
      </c>
      <c r="AE879" t="e">
        <f>RIGHT(#REF!,(FIND("Complex",#REF!,1)-8))</f>
        <v>#REF!</v>
      </c>
    </row>
    <row r="880" spans="1:31" x14ac:dyDescent="0.25">
      <c r="A880">
        <v>2364</v>
      </c>
      <c r="B880" t="s">
        <v>40</v>
      </c>
      <c r="C880">
        <v>40</v>
      </c>
      <c r="D880">
        <v>436</v>
      </c>
      <c r="E880">
        <v>2364</v>
      </c>
      <c r="F880">
        <v>10672201</v>
      </c>
      <c r="G880">
        <v>10760400</v>
      </c>
      <c r="H880">
        <f t="shared" si="26"/>
        <v>242.00002267573697</v>
      </c>
      <c r="I880">
        <f t="shared" si="27"/>
        <v>244</v>
      </c>
      <c r="J880" t="s">
        <v>29</v>
      </c>
      <c r="K880">
        <v>3</v>
      </c>
      <c r="L880" t="e">
        <f t="array" ref="L880">VLOOKUP(J880:$J$3871&amp;K880:$K$3871,CHOOSE({1,2},#REF!&amp;#REF!,#REF!),2,0)</f>
        <v>#N/A</v>
      </c>
      <c r="M880">
        <v>-15</v>
      </c>
      <c r="N880">
        <v>0</v>
      </c>
      <c r="O880" t="s">
        <v>7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1</v>
      </c>
      <c r="Y880">
        <v>1</v>
      </c>
      <c r="Z880">
        <v>0</v>
      </c>
      <c r="AA880" t="s">
        <v>5507</v>
      </c>
      <c r="AB880" t="s">
        <v>1189</v>
      </c>
      <c r="AC880" t="s">
        <v>5507</v>
      </c>
      <c r="AD880" t="e">
        <f>VLOOKUP(AB880,#REF!,2,FALSE)</f>
        <v>#REF!</v>
      </c>
      <c r="AE880" t="e">
        <f>RIGHT(#REF!,(FIND("Complex",#REF!,1)-7))</f>
        <v>#REF!</v>
      </c>
    </row>
    <row r="881" spans="1:31" x14ac:dyDescent="0.25">
      <c r="A881">
        <v>2696</v>
      </c>
      <c r="B881" t="s">
        <v>40</v>
      </c>
      <c r="C881">
        <v>40</v>
      </c>
      <c r="D881">
        <v>559</v>
      </c>
      <c r="E881">
        <v>2696</v>
      </c>
      <c r="F881">
        <v>10584001</v>
      </c>
      <c r="G881">
        <v>10672200</v>
      </c>
      <c r="H881">
        <f t="shared" si="26"/>
        <v>240.00002267573697</v>
      </c>
      <c r="I881">
        <f t="shared" si="27"/>
        <v>242</v>
      </c>
      <c r="J881" t="s">
        <v>29</v>
      </c>
      <c r="K881">
        <v>3</v>
      </c>
      <c r="L881" t="e">
        <f t="array" ref="L881">VLOOKUP(J881:$J$3871&amp;K881:$K$3871,CHOOSE({1,2},#REF!&amp;#REF!,#REF!),2,0)</f>
        <v>#N/A</v>
      </c>
      <c r="M881">
        <v>-15</v>
      </c>
      <c r="N881">
        <v>0</v>
      </c>
      <c r="O881" t="s">
        <v>7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1</v>
      </c>
      <c r="Z881">
        <v>0</v>
      </c>
      <c r="AA881" t="s">
        <v>5510</v>
      </c>
      <c r="AB881" t="s">
        <v>7497</v>
      </c>
      <c r="AC881" t="s">
        <v>5510</v>
      </c>
      <c r="AD881" t="e">
        <f>VLOOKUP(AB881,#REF!,2,FALSE)</f>
        <v>#REF!</v>
      </c>
      <c r="AE881" t="e">
        <f>RIGHT(#REF!,(FIND("Complex",#REF!,1)-7))</f>
        <v>#REF!</v>
      </c>
    </row>
    <row r="882" spans="1:31" x14ac:dyDescent="0.25">
      <c r="A882">
        <v>3771</v>
      </c>
      <c r="B882" t="s">
        <v>40</v>
      </c>
      <c r="C882">
        <v>40</v>
      </c>
      <c r="D882">
        <v>1018</v>
      </c>
      <c r="E882">
        <v>3771</v>
      </c>
      <c r="F882">
        <v>10495801</v>
      </c>
      <c r="G882">
        <v>10584000</v>
      </c>
      <c r="H882">
        <f t="shared" si="26"/>
        <v>238.00002267573697</v>
      </c>
      <c r="I882">
        <f t="shared" si="27"/>
        <v>240</v>
      </c>
      <c r="J882" t="s">
        <v>29</v>
      </c>
      <c r="K882">
        <v>3</v>
      </c>
      <c r="L882" t="e">
        <f t="array" ref="L882">VLOOKUP(J882:$J$3871&amp;K882:$K$3871,CHOOSE({1,2},#REF!&amp;#REF!,#REF!),2,0)</f>
        <v>#N/A</v>
      </c>
      <c r="M882">
        <v>-15</v>
      </c>
      <c r="N882">
        <v>0</v>
      </c>
      <c r="O882" t="s">
        <v>7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1</v>
      </c>
      <c r="Z882">
        <v>0</v>
      </c>
      <c r="AA882" t="s">
        <v>5532</v>
      </c>
      <c r="AB882" t="s">
        <v>1190</v>
      </c>
      <c r="AC882" t="s">
        <v>5532</v>
      </c>
      <c r="AD882" t="e">
        <f>VLOOKUP(AB882,#REF!,2,FALSE)</f>
        <v>#REF!</v>
      </c>
      <c r="AE882" t="e">
        <f>RIGHT(#REF!,(FIND("Complex",#REF!,1)-8))</f>
        <v>#REF!</v>
      </c>
    </row>
    <row r="883" spans="1:31" x14ac:dyDescent="0.25">
      <c r="A883">
        <v>2910</v>
      </c>
      <c r="B883" t="s">
        <v>40</v>
      </c>
      <c r="C883">
        <v>40</v>
      </c>
      <c r="D883">
        <v>641</v>
      </c>
      <c r="E883">
        <v>2910</v>
      </c>
      <c r="F883">
        <v>10407601</v>
      </c>
      <c r="G883">
        <v>10495800</v>
      </c>
      <c r="H883">
        <f t="shared" si="26"/>
        <v>236.00002267573697</v>
      </c>
      <c r="I883">
        <f t="shared" si="27"/>
        <v>238</v>
      </c>
      <c r="J883" t="s">
        <v>29</v>
      </c>
      <c r="K883">
        <v>3</v>
      </c>
      <c r="L883" t="e">
        <f t="array" ref="L883">VLOOKUP(J883:$J$3871&amp;K883:$K$3871,CHOOSE({1,2},#REF!&amp;#REF!,#REF!),2,0)</f>
        <v>#N/A</v>
      </c>
      <c r="M883">
        <v>-15</v>
      </c>
      <c r="N883">
        <v>0</v>
      </c>
      <c r="O883" t="s">
        <v>7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1</v>
      </c>
      <c r="Z883">
        <v>0</v>
      </c>
      <c r="AA883" t="s">
        <v>5536</v>
      </c>
      <c r="AB883" t="s">
        <v>1191</v>
      </c>
      <c r="AC883" t="s">
        <v>5536</v>
      </c>
      <c r="AD883" t="e">
        <f>VLOOKUP(AB883,#REF!,2,FALSE)</f>
        <v>#REF!</v>
      </c>
      <c r="AE883" t="e">
        <f>RIGHT(#REF!,(FIND("Complex",#REF!,1)-7))</f>
        <v>#REF!</v>
      </c>
    </row>
    <row r="884" spans="1:31" x14ac:dyDescent="0.25">
      <c r="A884">
        <v>2530</v>
      </c>
      <c r="B884" t="s">
        <v>40</v>
      </c>
      <c r="C884">
        <v>40</v>
      </c>
      <c r="D884">
        <v>497</v>
      </c>
      <c r="E884">
        <v>2530</v>
      </c>
      <c r="F884">
        <v>10319401</v>
      </c>
      <c r="G884">
        <v>10407600</v>
      </c>
      <c r="H884">
        <f t="shared" si="26"/>
        <v>234.00002267573697</v>
      </c>
      <c r="I884">
        <f t="shared" si="27"/>
        <v>236</v>
      </c>
      <c r="J884" t="s">
        <v>29</v>
      </c>
      <c r="K884">
        <v>3</v>
      </c>
      <c r="L884" t="e">
        <f t="array" ref="L884">VLOOKUP(J884:$J$3871&amp;K884:$K$3871,CHOOSE({1,2},#REF!&amp;#REF!,#REF!),2,0)</f>
        <v>#N/A</v>
      </c>
      <c r="M884">
        <v>-15</v>
      </c>
      <c r="N884">
        <v>0</v>
      </c>
      <c r="O884" t="s">
        <v>7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1</v>
      </c>
      <c r="Y884">
        <v>1</v>
      </c>
      <c r="Z884">
        <v>0</v>
      </c>
      <c r="AA884" t="s">
        <v>5540</v>
      </c>
      <c r="AB884" t="s">
        <v>7517</v>
      </c>
      <c r="AC884" t="s">
        <v>5540</v>
      </c>
      <c r="AD884" t="e">
        <f>VLOOKUP(AB884,#REF!,2,FALSE)</f>
        <v>#REF!</v>
      </c>
      <c r="AE884" t="e">
        <f>RIGHT(#REF!,(FIND("Complex",#REF!,1)-7))</f>
        <v>#REF!</v>
      </c>
    </row>
    <row r="885" spans="1:31" x14ac:dyDescent="0.25">
      <c r="A885">
        <v>3654</v>
      </c>
      <c r="B885" t="s">
        <v>40</v>
      </c>
      <c r="C885">
        <v>40</v>
      </c>
      <c r="D885">
        <v>980</v>
      </c>
      <c r="E885">
        <v>3654</v>
      </c>
      <c r="F885">
        <v>10231201</v>
      </c>
      <c r="G885">
        <v>10319400</v>
      </c>
      <c r="H885">
        <f t="shared" si="26"/>
        <v>232.00002267573697</v>
      </c>
      <c r="I885">
        <f t="shared" si="27"/>
        <v>234</v>
      </c>
      <c r="J885" t="s">
        <v>29</v>
      </c>
      <c r="K885">
        <v>3</v>
      </c>
      <c r="L885" t="e">
        <f t="array" ref="L885">VLOOKUP(J885:$J$3871&amp;K885:$K$3871,CHOOSE({1,2},#REF!&amp;#REF!,#REF!),2,0)</f>
        <v>#N/A</v>
      </c>
      <c r="M885">
        <v>-15</v>
      </c>
      <c r="N885">
        <v>0</v>
      </c>
      <c r="O885" t="s">
        <v>7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1</v>
      </c>
      <c r="Z885">
        <v>0</v>
      </c>
      <c r="AA885" t="s">
        <v>5543</v>
      </c>
      <c r="AB885" t="s">
        <v>7519</v>
      </c>
      <c r="AC885" t="s">
        <v>5543</v>
      </c>
      <c r="AD885" t="e">
        <f>VLOOKUP(AB885,#REF!,2,FALSE)</f>
        <v>#REF!</v>
      </c>
      <c r="AE885" t="e">
        <f>RIGHT(#REF!,(FIND("Complex",#REF!,1)-7))</f>
        <v>#REF!</v>
      </c>
    </row>
    <row r="886" spans="1:31" x14ac:dyDescent="0.25">
      <c r="A886">
        <v>3782</v>
      </c>
      <c r="B886" t="s">
        <v>40</v>
      </c>
      <c r="C886">
        <v>40</v>
      </c>
      <c r="D886">
        <v>1024</v>
      </c>
      <c r="E886">
        <v>3782</v>
      </c>
      <c r="F886">
        <v>10143001</v>
      </c>
      <c r="G886">
        <v>10231200</v>
      </c>
      <c r="H886">
        <f t="shared" si="26"/>
        <v>230.00002267573697</v>
      </c>
      <c r="I886">
        <f t="shared" si="27"/>
        <v>232</v>
      </c>
      <c r="J886" t="s">
        <v>29</v>
      </c>
      <c r="K886">
        <v>3</v>
      </c>
      <c r="L886" t="e">
        <f t="array" ref="L886">VLOOKUP(J886:$J$3871&amp;K886:$K$3871,CHOOSE({1,2},#REF!&amp;#REF!,#REF!),2,0)</f>
        <v>#N/A</v>
      </c>
      <c r="M886">
        <v>-15</v>
      </c>
      <c r="N886">
        <v>0</v>
      </c>
      <c r="O886" t="s">
        <v>7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1</v>
      </c>
      <c r="Z886">
        <v>0</v>
      </c>
      <c r="AA886" t="s">
        <v>5545</v>
      </c>
      <c r="AB886" t="s">
        <v>7521</v>
      </c>
      <c r="AC886" t="s">
        <v>5545</v>
      </c>
      <c r="AD886" t="e">
        <f>VLOOKUP(AB886,#REF!,2,FALSE)</f>
        <v>#REF!</v>
      </c>
      <c r="AE886" t="e">
        <f>RIGHT(#REF!,(FIND("Complex",#REF!,1)-8))</f>
        <v>#REF!</v>
      </c>
    </row>
    <row r="887" spans="1:31" x14ac:dyDescent="0.25">
      <c r="A887">
        <v>930</v>
      </c>
      <c r="B887" t="s">
        <v>40</v>
      </c>
      <c r="C887">
        <v>40</v>
      </c>
      <c r="D887">
        <v>164</v>
      </c>
      <c r="E887">
        <v>930</v>
      </c>
      <c r="F887">
        <v>10054801</v>
      </c>
      <c r="G887">
        <v>10143000</v>
      </c>
      <c r="H887">
        <f t="shared" si="26"/>
        <v>228.00002267573697</v>
      </c>
      <c r="I887">
        <f t="shared" si="27"/>
        <v>230</v>
      </c>
      <c r="J887" t="s">
        <v>29</v>
      </c>
      <c r="K887">
        <v>3</v>
      </c>
      <c r="L887" t="e">
        <f t="array" ref="L887">VLOOKUP(J887:$J$3871&amp;K887:$K$3871,CHOOSE({1,2},#REF!&amp;#REF!,#REF!),2,0)</f>
        <v>#N/A</v>
      </c>
      <c r="M887">
        <v>-15</v>
      </c>
      <c r="N887">
        <v>0</v>
      </c>
      <c r="O887" t="s">
        <v>7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1</v>
      </c>
      <c r="Z887">
        <v>0</v>
      </c>
      <c r="AA887" t="s">
        <v>5551</v>
      </c>
      <c r="AB887" t="s">
        <v>1192</v>
      </c>
      <c r="AC887" t="s">
        <v>5551</v>
      </c>
      <c r="AD887" t="e">
        <f>VLOOKUP(AB887,#REF!,2,FALSE)</f>
        <v>#REF!</v>
      </c>
      <c r="AE887" t="e">
        <f>RIGHT(#REF!,(FIND("Complex",#REF!,1)-6))</f>
        <v>#REF!</v>
      </c>
    </row>
    <row r="888" spans="1:31" x14ac:dyDescent="0.25">
      <c r="A888">
        <v>223</v>
      </c>
      <c r="B888" t="s">
        <v>40</v>
      </c>
      <c r="C888">
        <v>40</v>
      </c>
      <c r="D888">
        <v>44</v>
      </c>
      <c r="E888">
        <v>223</v>
      </c>
      <c r="F888">
        <v>9966601</v>
      </c>
      <c r="G888">
        <v>10054800</v>
      </c>
      <c r="H888">
        <f t="shared" si="26"/>
        <v>226.00002267573697</v>
      </c>
      <c r="I888">
        <f t="shared" si="27"/>
        <v>228</v>
      </c>
      <c r="J888" t="s">
        <v>29</v>
      </c>
      <c r="K888">
        <v>3</v>
      </c>
      <c r="L888" t="e">
        <f t="array" ref="L888">VLOOKUP(J888:$J$3871&amp;K888:$K$3871,CHOOSE({1,2},#REF!&amp;#REF!,#REF!),2,0)</f>
        <v>#N/A</v>
      </c>
      <c r="M888">
        <v>-15</v>
      </c>
      <c r="N888">
        <v>0</v>
      </c>
      <c r="O888" t="s">
        <v>7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1</v>
      </c>
      <c r="Y888">
        <v>1</v>
      </c>
      <c r="Z888">
        <v>0</v>
      </c>
      <c r="AA888" t="s">
        <v>5555</v>
      </c>
      <c r="AB888" t="s">
        <v>1193</v>
      </c>
      <c r="AC888" t="s">
        <v>5555</v>
      </c>
      <c r="AD888" t="e">
        <f>VLOOKUP(AB888,#REF!,2,FALSE)</f>
        <v>#REF!</v>
      </c>
      <c r="AE888" t="e">
        <f>RIGHT(#REF!,(FIND("Complex",#REF!,1)-6))</f>
        <v>#REF!</v>
      </c>
    </row>
    <row r="889" spans="1:31" x14ac:dyDescent="0.25">
      <c r="A889">
        <v>670</v>
      </c>
      <c r="B889" t="s">
        <v>40</v>
      </c>
      <c r="C889">
        <v>40</v>
      </c>
      <c r="D889">
        <v>119</v>
      </c>
      <c r="E889">
        <v>670</v>
      </c>
      <c r="F889">
        <v>9878401</v>
      </c>
      <c r="G889">
        <v>9966600</v>
      </c>
      <c r="H889">
        <f t="shared" si="26"/>
        <v>224.00002267573697</v>
      </c>
      <c r="I889">
        <f t="shared" si="27"/>
        <v>226</v>
      </c>
      <c r="J889" t="s">
        <v>29</v>
      </c>
      <c r="K889">
        <v>3</v>
      </c>
      <c r="L889" t="e">
        <f t="array" ref="L889">VLOOKUP(J889:$J$3871&amp;K889:$K$3871,CHOOSE({1,2},#REF!&amp;#REF!,#REF!),2,0)</f>
        <v>#N/A</v>
      </c>
      <c r="M889">
        <v>-15</v>
      </c>
      <c r="N889">
        <v>0</v>
      </c>
      <c r="O889" t="s">
        <v>7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1</v>
      </c>
      <c r="Y889">
        <v>1</v>
      </c>
      <c r="Z889">
        <v>0</v>
      </c>
      <c r="AA889" t="s">
        <v>5560</v>
      </c>
      <c r="AB889" t="s">
        <v>1194</v>
      </c>
      <c r="AC889" t="s">
        <v>5560</v>
      </c>
      <c r="AD889" t="e">
        <f>VLOOKUP(AB889,#REF!,2,FALSE)</f>
        <v>#REF!</v>
      </c>
      <c r="AE889" t="e">
        <f>RIGHT(#REF!,(FIND("Complex",#REF!,1)-6))</f>
        <v>#REF!</v>
      </c>
    </row>
    <row r="890" spans="1:31" x14ac:dyDescent="0.25">
      <c r="A890">
        <v>3287</v>
      </c>
      <c r="B890" t="s">
        <v>40</v>
      </c>
      <c r="C890">
        <v>40</v>
      </c>
      <c r="D890">
        <v>824</v>
      </c>
      <c r="E890">
        <v>3287</v>
      </c>
      <c r="F890">
        <v>9790201</v>
      </c>
      <c r="G890">
        <v>9878400</v>
      </c>
      <c r="H890">
        <f t="shared" si="26"/>
        <v>222.00002267573697</v>
      </c>
      <c r="I890">
        <f t="shared" si="27"/>
        <v>224</v>
      </c>
      <c r="J890" t="s">
        <v>29</v>
      </c>
      <c r="K890">
        <v>3</v>
      </c>
      <c r="L890" t="e">
        <f t="array" ref="L890">VLOOKUP(J890:$J$3871&amp;K890:$K$3871,CHOOSE({1,2},#REF!&amp;#REF!,#REF!),2,0)</f>
        <v>#N/A</v>
      </c>
      <c r="M890">
        <v>-15</v>
      </c>
      <c r="N890">
        <v>0</v>
      </c>
      <c r="O890" t="s">
        <v>7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1</v>
      </c>
      <c r="Y890">
        <v>1</v>
      </c>
      <c r="Z890">
        <v>0</v>
      </c>
      <c r="AA890" t="s">
        <v>5566</v>
      </c>
      <c r="AB890" t="s">
        <v>7532</v>
      </c>
      <c r="AC890" t="s">
        <v>5566</v>
      </c>
      <c r="AD890" t="e">
        <f>VLOOKUP(AB890,#REF!,2,FALSE)</f>
        <v>#REF!</v>
      </c>
      <c r="AE890" t="e">
        <f>RIGHT(#REF!,(FIND("Complex",#REF!,1)-7))</f>
        <v>#REF!</v>
      </c>
    </row>
    <row r="891" spans="1:31" x14ac:dyDescent="0.25">
      <c r="A891">
        <v>3618</v>
      </c>
      <c r="B891" t="s">
        <v>40</v>
      </c>
      <c r="C891">
        <v>40</v>
      </c>
      <c r="D891">
        <v>965</v>
      </c>
      <c r="E891">
        <v>3618</v>
      </c>
      <c r="F891">
        <v>9702001</v>
      </c>
      <c r="G891">
        <v>9790200</v>
      </c>
      <c r="H891">
        <f t="shared" si="26"/>
        <v>220.00002267573697</v>
      </c>
      <c r="I891">
        <f t="shared" si="27"/>
        <v>222</v>
      </c>
      <c r="J891" t="s">
        <v>29</v>
      </c>
      <c r="K891">
        <v>3</v>
      </c>
      <c r="L891" t="e">
        <f t="array" ref="L891">VLOOKUP(J891:$J$3871&amp;K891:$K$3871,CHOOSE({1,2},#REF!&amp;#REF!,#REF!),2,0)</f>
        <v>#N/A</v>
      </c>
      <c r="M891">
        <v>-15</v>
      </c>
      <c r="N891">
        <v>0</v>
      </c>
      <c r="O891" t="s">
        <v>7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1</v>
      </c>
      <c r="Z891">
        <v>0</v>
      </c>
      <c r="AA891" t="s">
        <v>5570</v>
      </c>
      <c r="AB891" t="s">
        <v>7535</v>
      </c>
      <c r="AC891" t="s">
        <v>5570</v>
      </c>
      <c r="AD891" t="e">
        <f>VLOOKUP(AB891,#REF!,2,FALSE)</f>
        <v>#REF!</v>
      </c>
      <c r="AE891" t="e">
        <f>RIGHT(#REF!,(FIND("Complex",#REF!,1)-7))</f>
        <v>#REF!</v>
      </c>
    </row>
    <row r="892" spans="1:31" x14ac:dyDescent="0.25">
      <c r="A892">
        <v>1704</v>
      </c>
      <c r="B892" t="s">
        <v>40</v>
      </c>
      <c r="C892">
        <v>40</v>
      </c>
      <c r="D892">
        <v>292</v>
      </c>
      <c r="E892">
        <v>1704</v>
      </c>
      <c r="F892">
        <v>9437401</v>
      </c>
      <c r="G892">
        <v>9525600</v>
      </c>
      <c r="H892">
        <f t="shared" si="26"/>
        <v>214.00002267573697</v>
      </c>
      <c r="I892">
        <f t="shared" si="27"/>
        <v>216</v>
      </c>
      <c r="J892" t="s">
        <v>29</v>
      </c>
      <c r="K892">
        <v>3</v>
      </c>
      <c r="L892" t="e">
        <f t="array" ref="L892">VLOOKUP(J892:$J$3871&amp;K892:$K$3871,CHOOSE({1,2},#REF!&amp;#REF!,#REF!),2,0)</f>
        <v>#N/A</v>
      </c>
      <c r="M892">
        <v>-15</v>
      </c>
      <c r="N892">
        <v>0</v>
      </c>
      <c r="O892" t="s">
        <v>7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1</v>
      </c>
      <c r="Y892">
        <v>1</v>
      </c>
      <c r="Z892">
        <v>0</v>
      </c>
      <c r="AA892" t="s">
        <v>5599</v>
      </c>
      <c r="AB892" t="s">
        <v>1195</v>
      </c>
      <c r="AC892" t="s">
        <v>5599</v>
      </c>
      <c r="AD892" t="e">
        <f>VLOOKUP(AB892,#REF!,2,FALSE)</f>
        <v>#REF!</v>
      </c>
      <c r="AE892" t="e">
        <f>RIGHT(#REF!,(FIND("Complex",#REF!,1)-7))</f>
        <v>#REF!</v>
      </c>
    </row>
    <row r="893" spans="1:31" x14ac:dyDescent="0.25">
      <c r="A893">
        <v>3337</v>
      </c>
      <c r="B893" t="s">
        <v>40</v>
      </c>
      <c r="C893">
        <v>40</v>
      </c>
      <c r="D893">
        <v>844</v>
      </c>
      <c r="E893">
        <v>3337</v>
      </c>
      <c r="F893">
        <v>9349201</v>
      </c>
      <c r="G893">
        <v>9437400</v>
      </c>
      <c r="H893">
        <f t="shared" si="26"/>
        <v>212.00002267573697</v>
      </c>
      <c r="I893">
        <f t="shared" si="27"/>
        <v>214</v>
      </c>
      <c r="J893" t="s">
        <v>29</v>
      </c>
      <c r="K893">
        <v>3</v>
      </c>
      <c r="L893" t="e">
        <f t="array" ref="L893">VLOOKUP(J893:$J$3871&amp;K893:$K$3871,CHOOSE({1,2},#REF!&amp;#REF!,#REF!),2,0)</f>
        <v>#N/A</v>
      </c>
      <c r="M893">
        <v>-15</v>
      </c>
      <c r="N893">
        <v>0</v>
      </c>
      <c r="O893" t="s">
        <v>7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1</v>
      </c>
      <c r="Z893">
        <v>0</v>
      </c>
      <c r="AA893" t="s">
        <v>5603</v>
      </c>
      <c r="AB893" t="s">
        <v>1196</v>
      </c>
      <c r="AC893" t="s">
        <v>5603</v>
      </c>
      <c r="AD893" t="e">
        <f>VLOOKUP(AB893,#REF!,2,FALSE)</f>
        <v>#REF!</v>
      </c>
      <c r="AE893" t="e">
        <f>RIGHT(#REF!,(FIND("Complex",#REF!,1)-7))</f>
        <v>#REF!</v>
      </c>
    </row>
    <row r="894" spans="1:31" x14ac:dyDescent="0.25">
      <c r="A894">
        <v>3034</v>
      </c>
      <c r="B894" t="s">
        <v>40</v>
      </c>
      <c r="C894">
        <v>40</v>
      </c>
      <c r="D894">
        <v>694</v>
      </c>
      <c r="E894">
        <v>3034</v>
      </c>
      <c r="F894">
        <v>9261001</v>
      </c>
      <c r="G894">
        <v>9349200</v>
      </c>
      <c r="H894">
        <f t="shared" si="26"/>
        <v>210.00002267573697</v>
      </c>
      <c r="I894">
        <f t="shared" si="27"/>
        <v>212</v>
      </c>
      <c r="J894" t="s">
        <v>29</v>
      </c>
      <c r="K894">
        <v>3</v>
      </c>
      <c r="L894" t="e">
        <f t="array" ref="L894">VLOOKUP(J894:$J$3871&amp;K894:$K$3871,CHOOSE({1,2},#REF!&amp;#REF!,#REF!),2,0)</f>
        <v>#N/A</v>
      </c>
      <c r="M894">
        <v>-15</v>
      </c>
      <c r="N894">
        <v>0</v>
      </c>
      <c r="O894" t="s">
        <v>7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1</v>
      </c>
      <c r="Z894">
        <v>0</v>
      </c>
      <c r="AA894" t="s">
        <v>5607</v>
      </c>
      <c r="AB894" t="s">
        <v>1197</v>
      </c>
      <c r="AC894" t="s">
        <v>5607</v>
      </c>
      <c r="AD894" t="e">
        <f>VLOOKUP(AB894,#REF!,2,FALSE)</f>
        <v>#REF!</v>
      </c>
      <c r="AE894" t="e">
        <f>RIGHT(#REF!,(FIND("Complex",#REF!,1)-7))</f>
        <v>#REF!</v>
      </c>
    </row>
    <row r="895" spans="1:31" x14ac:dyDescent="0.25">
      <c r="A895">
        <v>3063</v>
      </c>
      <c r="B895" t="s">
        <v>40</v>
      </c>
      <c r="C895">
        <v>40</v>
      </c>
      <c r="D895">
        <v>710</v>
      </c>
      <c r="E895">
        <v>3063</v>
      </c>
      <c r="F895">
        <v>9172801</v>
      </c>
      <c r="G895">
        <v>9261000</v>
      </c>
      <c r="H895">
        <f t="shared" si="26"/>
        <v>208.00002267573697</v>
      </c>
      <c r="I895">
        <f t="shared" si="27"/>
        <v>210</v>
      </c>
      <c r="J895" t="s">
        <v>29</v>
      </c>
      <c r="K895">
        <v>3</v>
      </c>
      <c r="L895" t="e">
        <f t="array" ref="L895">VLOOKUP(J895:$J$3871&amp;K895:$K$3871,CHOOSE({1,2},#REF!&amp;#REF!,#REF!),2,0)</f>
        <v>#N/A</v>
      </c>
      <c r="M895">
        <v>-15</v>
      </c>
      <c r="N895">
        <v>0</v>
      </c>
      <c r="O895" t="s">
        <v>7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1</v>
      </c>
      <c r="Y895">
        <v>1</v>
      </c>
      <c r="Z895">
        <v>0</v>
      </c>
      <c r="AA895" t="s">
        <v>5612</v>
      </c>
      <c r="AB895" t="s">
        <v>7560</v>
      </c>
      <c r="AC895" t="s">
        <v>5612</v>
      </c>
      <c r="AD895" t="e">
        <f>VLOOKUP(AB895,#REF!,2,FALSE)</f>
        <v>#REF!</v>
      </c>
      <c r="AE895" t="e">
        <f>RIGHT(#REF!,(FIND("Complex",#REF!,1)-7))</f>
        <v>#REF!</v>
      </c>
    </row>
    <row r="896" spans="1:31" x14ac:dyDescent="0.25">
      <c r="A896">
        <v>3755</v>
      </c>
      <c r="B896" t="s">
        <v>40</v>
      </c>
      <c r="C896">
        <v>40</v>
      </c>
      <c r="D896">
        <v>1016</v>
      </c>
      <c r="E896">
        <v>3755</v>
      </c>
      <c r="F896">
        <v>8996401</v>
      </c>
      <c r="G896">
        <v>9084600</v>
      </c>
      <c r="H896">
        <f t="shared" si="26"/>
        <v>204.00002267573697</v>
      </c>
      <c r="I896">
        <f t="shared" si="27"/>
        <v>206</v>
      </c>
      <c r="J896" t="s">
        <v>29</v>
      </c>
      <c r="K896">
        <v>3</v>
      </c>
      <c r="L896" t="e">
        <f t="array" ref="L896">VLOOKUP(J896:$J$3871&amp;K896:$K$3871,CHOOSE({1,2},#REF!&amp;#REF!,#REF!),2,0)</f>
        <v>#N/A</v>
      </c>
      <c r="M896">
        <v>-15</v>
      </c>
      <c r="N896">
        <v>0</v>
      </c>
      <c r="O896" t="s">
        <v>7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1</v>
      </c>
      <c r="Z896">
        <v>0</v>
      </c>
      <c r="AA896" t="s">
        <v>5623</v>
      </c>
      <c r="AB896" t="s">
        <v>7570</v>
      </c>
      <c r="AC896" t="s">
        <v>5623</v>
      </c>
      <c r="AD896" t="e">
        <f>VLOOKUP(AB896,#REF!,2,FALSE)</f>
        <v>#REF!</v>
      </c>
      <c r="AE896" t="e">
        <f>RIGHT(#REF!,(FIND("Complex",#REF!,1)-8))</f>
        <v>#REF!</v>
      </c>
    </row>
    <row r="897" spans="1:31" x14ac:dyDescent="0.25">
      <c r="A897">
        <v>2650</v>
      </c>
      <c r="B897" t="s">
        <v>40</v>
      </c>
      <c r="C897">
        <v>40</v>
      </c>
      <c r="D897">
        <v>540</v>
      </c>
      <c r="E897">
        <v>2650</v>
      </c>
      <c r="F897">
        <v>8908201</v>
      </c>
      <c r="G897">
        <v>8996400</v>
      </c>
      <c r="H897">
        <f t="shared" si="26"/>
        <v>202.00002267573697</v>
      </c>
      <c r="I897">
        <f t="shared" si="27"/>
        <v>204</v>
      </c>
      <c r="J897" t="s">
        <v>29</v>
      </c>
      <c r="K897">
        <v>3</v>
      </c>
      <c r="L897" t="e">
        <f t="array" ref="L897">VLOOKUP(J897:$J$3871&amp;K897:$K$3871,CHOOSE({1,2},#REF!&amp;#REF!,#REF!),2,0)</f>
        <v>#N/A</v>
      </c>
      <c r="M897">
        <v>-15</v>
      </c>
      <c r="N897">
        <v>0</v>
      </c>
      <c r="O897" t="s">
        <v>7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1</v>
      </c>
      <c r="Z897">
        <v>0</v>
      </c>
      <c r="AA897" t="s">
        <v>5629</v>
      </c>
      <c r="AB897" t="s">
        <v>7574</v>
      </c>
      <c r="AC897" t="s">
        <v>5629</v>
      </c>
      <c r="AD897" t="e">
        <f>VLOOKUP(AB897,#REF!,2,FALSE)</f>
        <v>#REF!</v>
      </c>
      <c r="AE897" t="e">
        <f>RIGHT(#REF!,(FIND("Complex",#REF!,1)-7))</f>
        <v>#REF!</v>
      </c>
    </row>
    <row r="898" spans="1:31" x14ac:dyDescent="0.25">
      <c r="A898">
        <v>3783</v>
      </c>
      <c r="B898" t="s">
        <v>252</v>
      </c>
      <c r="C898">
        <v>48</v>
      </c>
      <c r="D898">
        <v>1025</v>
      </c>
      <c r="E898">
        <v>3783</v>
      </c>
      <c r="F898">
        <v>3528001</v>
      </c>
      <c r="G898">
        <v>3616200</v>
      </c>
      <c r="H898">
        <f t="shared" ref="H898:H961" si="28">F898/44100</f>
        <v>80.000022675736957</v>
      </c>
      <c r="I898">
        <f t="shared" ref="I898:I961" si="29">G898/44100</f>
        <v>82</v>
      </c>
      <c r="J898" t="s">
        <v>29</v>
      </c>
      <c r="K898">
        <v>3</v>
      </c>
      <c r="L898" t="e">
        <f t="array" ref="L898">VLOOKUP(J898:$J$3871&amp;K898:$K$3871,CHOOSE({1,2},#REF!&amp;#REF!,#REF!),2,0)</f>
        <v>#N/A</v>
      </c>
      <c r="M898">
        <v>-15</v>
      </c>
      <c r="N898">
        <v>0</v>
      </c>
      <c r="O898" t="s">
        <v>7</v>
      </c>
      <c r="P898">
        <v>1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 t="s">
        <v>4980</v>
      </c>
      <c r="AB898" t="s">
        <v>1275</v>
      </c>
      <c r="AC898" t="s">
        <v>4980</v>
      </c>
      <c r="AD898" t="e">
        <f>VLOOKUP(AB898,#REF!,2,FALSE)</f>
        <v>#REF!</v>
      </c>
      <c r="AE898" t="e">
        <f>RIGHT(#REF!,(FIND("Complex",#REF!,1)-9))</f>
        <v>#REF!</v>
      </c>
    </row>
    <row r="899" spans="1:31" x14ac:dyDescent="0.25">
      <c r="A899">
        <v>3838</v>
      </c>
      <c r="B899" t="s">
        <v>252</v>
      </c>
      <c r="C899">
        <v>48</v>
      </c>
      <c r="D899">
        <v>1044</v>
      </c>
      <c r="E899">
        <v>3838</v>
      </c>
      <c r="F899">
        <v>11377801</v>
      </c>
      <c r="G899">
        <v>11466000</v>
      </c>
      <c r="H899">
        <f t="shared" si="28"/>
        <v>258.00002267573694</v>
      </c>
      <c r="I899">
        <f t="shared" si="29"/>
        <v>260</v>
      </c>
      <c r="J899" t="s">
        <v>29</v>
      </c>
      <c r="K899">
        <v>3</v>
      </c>
      <c r="L899" t="e">
        <f t="array" ref="L899">VLOOKUP(J899:$J$3871&amp;K899:$K$3871,CHOOSE({1,2},#REF!&amp;#REF!,#REF!),2,0)</f>
        <v>#N/A</v>
      </c>
      <c r="M899">
        <v>-15</v>
      </c>
      <c r="N899">
        <v>0</v>
      </c>
      <c r="O899" t="s">
        <v>7</v>
      </c>
      <c r="P899">
        <v>1</v>
      </c>
      <c r="Q899">
        <v>0</v>
      </c>
      <c r="R899">
        <v>0</v>
      </c>
      <c r="S899">
        <v>1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 t="s">
        <v>5475</v>
      </c>
      <c r="AB899" t="s">
        <v>1276</v>
      </c>
      <c r="AC899" t="s">
        <v>5475</v>
      </c>
      <c r="AD899" t="e">
        <f>VLOOKUP(AB899,#REF!,2,FALSE)</f>
        <v>#REF!</v>
      </c>
      <c r="AE899" t="e">
        <f>RIGHT(#REF!,(FIND("Complex",#REF!,1)-8))</f>
        <v>#REF!</v>
      </c>
    </row>
    <row r="900" spans="1:31" x14ac:dyDescent="0.25">
      <c r="A900">
        <v>1571</v>
      </c>
      <c r="B900" t="s">
        <v>252</v>
      </c>
      <c r="C900">
        <v>48</v>
      </c>
      <c r="D900">
        <v>266</v>
      </c>
      <c r="E900">
        <v>1571</v>
      </c>
      <c r="F900">
        <v>9349201</v>
      </c>
      <c r="G900">
        <v>9437400</v>
      </c>
      <c r="H900">
        <f t="shared" si="28"/>
        <v>212.00002267573697</v>
      </c>
      <c r="I900">
        <f t="shared" si="29"/>
        <v>214</v>
      </c>
      <c r="J900" t="s">
        <v>29</v>
      </c>
      <c r="K900">
        <v>3</v>
      </c>
      <c r="L900" t="e">
        <f t="array" ref="L900">VLOOKUP(J900:$J$3871&amp;K900:$K$3871,CHOOSE({1,2},#REF!&amp;#REF!,#REF!),2,0)</f>
        <v>#N/A</v>
      </c>
      <c r="M900">
        <v>-15</v>
      </c>
      <c r="N900">
        <v>0</v>
      </c>
      <c r="O900" t="s">
        <v>7</v>
      </c>
      <c r="P900">
        <v>1</v>
      </c>
      <c r="Q900">
        <v>0</v>
      </c>
      <c r="R900">
        <v>0</v>
      </c>
      <c r="S900">
        <v>1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0</v>
      </c>
      <c r="AA900" t="s">
        <v>5602</v>
      </c>
      <c r="AB900" t="s">
        <v>1277</v>
      </c>
      <c r="AC900" t="s">
        <v>5602</v>
      </c>
      <c r="AD900" t="e">
        <f>VLOOKUP(AB900,#REF!,2,FALSE)</f>
        <v>#REF!</v>
      </c>
      <c r="AE900" t="e">
        <f>RIGHT(#REF!,(FIND("Complex",#REF!,1)-7))</f>
        <v>#REF!</v>
      </c>
    </row>
    <row r="901" spans="1:31" x14ac:dyDescent="0.25">
      <c r="A901">
        <v>2640</v>
      </c>
      <c r="B901" t="s">
        <v>24</v>
      </c>
      <c r="C901">
        <v>49</v>
      </c>
      <c r="D901">
        <v>537</v>
      </c>
      <c r="E901">
        <v>2640</v>
      </c>
      <c r="F901">
        <v>1852201</v>
      </c>
      <c r="G901">
        <v>1940400</v>
      </c>
      <c r="H901">
        <f t="shared" si="28"/>
        <v>42.000022675736965</v>
      </c>
      <c r="I901">
        <f t="shared" si="29"/>
        <v>44</v>
      </c>
      <c r="J901" t="s">
        <v>29</v>
      </c>
      <c r="K901">
        <v>3</v>
      </c>
      <c r="L901" t="e">
        <f t="array" ref="L901">VLOOKUP(J901:$J$3871&amp;K901:$K$3871,CHOOSE({1,2},#REF!&amp;#REF!,#REF!),2,0)</f>
        <v>#N/A</v>
      </c>
      <c r="M901">
        <v>-15</v>
      </c>
      <c r="N901">
        <v>0</v>
      </c>
      <c r="O901" t="s">
        <v>7</v>
      </c>
      <c r="P901">
        <v>1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 t="s">
        <v>5244</v>
      </c>
      <c r="AB901" t="s">
        <v>1290</v>
      </c>
      <c r="AC901" t="s">
        <v>5244</v>
      </c>
      <c r="AD901" t="e">
        <f>VLOOKUP(AB901,#REF!,2,FALSE)</f>
        <v>#REF!</v>
      </c>
      <c r="AE901" t="e">
        <f>RIGHT(#REF!,(FIND("Complex",#REF!,1)-8))</f>
        <v>#REF!</v>
      </c>
    </row>
    <row r="902" spans="1:31" x14ac:dyDescent="0.25">
      <c r="A902">
        <v>3081</v>
      </c>
      <c r="B902" t="s">
        <v>24</v>
      </c>
      <c r="C902">
        <v>49</v>
      </c>
      <c r="D902">
        <v>717</v>
      </c>
      <c r="E902">
        <v>3081</v>
      </c>
      <c r="F902">
        <v>1675801</v>
      </c>
      <c r="G902">
        <v>1764000</v>
      </c>
      <c r="H902">
        <f t="shared" si="28"/>
        <v>38.000022675736965</v>
      </c>
      <c r="I902">
        <f t="shared" si="29"/>
        <v>40</v>
      </c>
      <c r="J902" t="s">
        <v>29</v>
      </c>
      <c r="K902">
        <v>3</v>
      </c>
      <c r="L902" t="e">
        <f t="array" ref="L902">VLOOKUP(J902:$J$3871&amp;K902:$K$3871,CHOOSE({1,2},#REF!&amp;#REF!,#REF!),2,0)</f>
        <v>#N/A</v>
      </c>
      <c r="M902">
        <v>-15</v>
      </c>
      <c r="N902">
        <v>0</v>
      </c>
      <c r="O902" t="s">
        <v>7</v>
      </c>
      <c r="P902">
        <v>1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1</v>
      </c>
      <c r="Y902">
        <v>0</v>
      </c>
      <c r="Z902">
        <v>0</v>
      </c>
      <c r="AA902" t="s">
        <v>5292</v>
      </c>
      <c r="AB902" t="s">
        <v>1291</v>
      </c>
      <c r="AC902" t="s">
        <v>5292</v>
      </c>
      <c r="AD902" t="e">
        <f>VLOOKUP(AB902,#REF!,2,FALSE)</f>
        <v>#REF!</v>
      </c>
      <c r="AE902" t="e">
        <f>RIGHT(#REF!,(FIND("Complex",#REF!,1)-8))</f>
        <v>#REF!</v>
      </c>
    </row>
    <row r="903" spans="1:31" x14ac:dyDescent="0.25">
      <c r="A903">
        <v>2327</v>
      </c>
      <c r="B903" t="s">
        <v>75</v>
      </c>
      <c r="C903">
        <v>51</v>
      </c>
      <c r="D903">
        <v>426</v>
      </c>
      <c r="E903">
        <v>2327</v>
      </c>
      <c r="F903">
        <v>3704401</v>
      </c>
      <c r="G903">
        <v>3792600</v>
      </c>
      <c r="H903">
        <f t="shared" si="28"/>
        <v>84.000022675736957</v>
      </c>
      <c r="I903">
        <f t="shared" si="29"/>
        <v>86</v>
      </c>
      <c r="J903" t="s">
        <v>29</v>
      </c>
      <c r="K903">
        <v>3</v>
      </c>
      <c r="L903" t="e">
        <f t="array" ref="L903">VLOOKUP(J903:$J$3871&amp;K903:$K$3871,CHOOSE({1,2},#REF!&amp;#REF!,#REF!),2,0)</f>
        <v>#N/A</v>
      </c>
      <c r="M903">
        <v>-15</v>
      </c>
      <c r="N903">
        <v>0</v>
      </c>
      <c r="O903" t="s">
        <v>7</v>
      </c>
      <c r="P903">
        <v>1</v>
      </c>
      <c r="Q903">
        <v>1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 t="s">
        <v>4957</v>
      </c>
      <c r="AB903" t="s">
        <v>7193</v>
      </c>
      <c r="AC903" t="s">
        <v>4957</v>
      </c>
      <c r="AD903" t="e">
        <f>VLOOKUP(AB903,#REF!,2,FALSE)</f>
        <v>#REF!</v>
      </c>
      <c r="AE903" t="e">
        <f>RIGHT(#REF!,(FIND("Complex",#REF!,1)-8))</f>
        <v>#REF!</v>
      </c>
    </row>
    <row r="904" spans="1:31" x14ac:dyDescent="0.25">
      <c r="A904">
        <v>1972</v>
      </c>
      <c r="B904" t="s">
        <v>75</v>
      </c>
      <c r="C904">
        <v>51</v>
      </c>
      <c r="D904">
        <v>336</v>
      </c>
      <c r="E904">
        <v>1972</v>
      </c>
      <c r="F904">
        <v>3616201</v>
      </c>
      <c r="G904">
        <v>3704400</v>
      </c>
      <c r="H904">
        <f t="shared" si="28"/>
        <v>82.000022675736957</v>
      </c>
      <c r="I904">
        <f t="shared" si="29"/>
        <v>84</v>
      </c>
      <c r="J904" t="s">
        <v>29</v>
      </c>
      <c r="K904">
        <v>3</v>
      </c>
      <c r="L904" t="e">
        <f t="array" ref="L904">VLOOKUP(J904:$J$3871&amp;K904:$K$3871,CHOOSE({1,2},#REF!&amp;#REF!,#REF!),2,0)</f>
        <v>#N/A</v>
      </c>
      <c r="M904">
        <v>-15</v>
      </c>
      <c r="N904">
        <v>0</v>
      </c>
      <c r="O904" t="s">
        <v>7</v>
      </c>
      <c r="P904">
        <v>1</v>
      </c>
      <c r="Q904">
        <v>1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 t="s">
        <v>4969</v>
      </c>
      <c r="AB904" t="s">
        <v>1321</v>
      </c>
      <c r="AC904" t="s">
        <v>4969</v>
      </c>
      <c r="AD904" t="e">
        <f>VLOOKUP(AB904,#REF!,2,FALSE)</f>
        <v>#REF!</v>
      </c>
      <c r="AE904" t="e">
        <f>RIGHT(#REF!,(FIND("Complex",#REF!,1)-8))</f>
        <v>#REF!</v>
      </c>
    </row>
    <row r="905" spans="1:31" x14ac:dyDescent="0.25">
      <c r="A905">
        <v>3419</v>
      </c>
      <c r="B905" t="s">
        <v>75</v>
      </c>
      <c r="C905">
        <v>51</v>
      </c>
      <c r="D905">
        <v>883</v>
      </c>
      <c r="E905">
        <v>3419</v>
      </c>
      <c r="F905">
        <v>3351601</v>
      </c>
      <c r="G905">
        <v>3439800</v>
      </c>
      <c r="H905">
        <f t="shared" si="28"/>
        <v>76.000022675736957</v>
      </c>
      <c r="I905">
        <f t="shared" si="29"/>
        <v>78</v>
      </c>
      <c r="J905" t="s">
        <v>29</v>
      </c>
      <c r="K905">
        <v>3</v>
      </c>
      <c r="L905" t="e">
        <f t="array" ref="L905">VLOOKUP(J905:$J$3871&amp;K905:$K$3871,CHOOSE({1,2},#REF!&amp;#REF!,#REF!),2,0)</f>
        <v>#N/A</v>
      </c>
      <c r="M905">
        <v>-15</v>
      </c>
      <c r="N905">
        <v>0</v>
      </c>
      <c r="O905" t="s">
        <v>7</v>
      </c>
      <c r="P905">
        <v>1</v>
      </c>
      <c r="Q905">
        <v>1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 t="s">
        <v>5018</v>
      </c>
      <c r="AB905" t="s">
        <v>7226</v>
      </c>
      <c r="AC905" t="s">
        <v>5018</v>
      </c>
      <c r="AD905" t="e">
        <f>VLOOKUP(AB905,#REF!,2,FALSE)</f>
        <v>#REF!</v>
      </c>
      <c r="AE905" t="e">
        <f>RIGHT(#REF!,(FIND("Complex",#REF!,1)-8))</f>
        <v>#REF!</v>
      </c>
    </row>
    <row r="906" spans="1:31" x14ac:dyDescent="0.25">
      <c r="A906">
        <v>844</v>
      </c>
      <c r="B906" t="s">
        <v>75</v>
      </c>
      <c r="C906">
        <v>51</v>
      </c>
      <c r="D906">
        <v>147</v>
      </c>
      <c r="E906">
        <v>844</v>
      </c>
      <c r="F906">
        <v>3263401</v>
      </c>
      <c r="G906">
        <v>3351600</v>
      </c>
      <c r="H906">
        <f t="shared" si="28"/>
        <v>74.000022675736957</v>
      </c>
      <c r="I906">
        <f t="shared" si="29"/>
        <v>76</v>
      </c>
      <c r="J906" t="s">
        <v>29</v>
      </c>
      <c r="K906">
        <v>3</v>
      </c>
      <c r="L906" t="e">
        <f t="array" ref="L906">VLOOKUP(J906:$J$3871&amp;K906:$K$3871,CHOOSE({1,2},#REF!&amp;#REF!,#REF!),2,0)</f>
        <v>#N/A</v>
      </c>
      <c r="M906">
        <v>-15</v>
      </c>
      <c r="N906">
        <v>0</v>
      </c>
      <c r="O906" t="s">
        <v>7</v>
      </c>
      <c r="P906">
        <v>1</v>
      </c>
      <c r="Q906">
        <v>1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 t="s">
        <v>5031</v>
      </c>
      <c r="AB906" t="s">
        <v>1322</v>
      </c>
      <c r="AC906" t="s">
        <v>5031</v>
      </c>
      <c r="AD906" t="e">
        <f>VLOOKUP(AB906,#REF!,2,FALSE)</f>
        <v>#REF!</v>
      </c>
      <c r="AE906" t="e">
        <f>RIGHT(#REF!,(FIND("Complex",#REF!,1)-7))</f>
        <v>#REF!</v>
      </c>
    </row>
    <row r="907" spans="1:31" x14ac:dyDescent="0.25">
      <c r="A907">
        <v>3409</v>
      </c>
      <c r="B907" t="s">
        <v>75</v>
      </c>
      <c r="C907">
        <v>51</v>
      </c>
      <c r="D907">
        <v>879</v>
      </c>
      <c r="E907">
        <v>3409</v>
      </c>
      <c r="F907">
        <v>3175201</v>
      </c>
      <c r="G907">
        <v>3263400</v>
      </c>
      <c r="H907">
        <f t="shared" si="28"/>
        <v>72.000022675736957</v>
      </c>
      <c r="I907">
        <f t="shared" si="29"/>
        <v>74</v>
      </c>
      <c r="J907" t="s">
        <v>29</v>
      </c>
      <c r="K907">
        <v>3</v>
      </c>
      <c r="L907" t="e">
        <f t="array" ref="L907">VLOOKUP(J907:$J$3871&amp;K907:$K$3871,CHOOSE({1,2},#REF!&amp;#REF!,#REF!),2,0)</f>
        <v>#N/A</v>
      </c>
      <c r="M907">
        <v>-15</v>
      </c>
      <c r="N907">
        <v>0</v>
      </c>
      <c r="O907" t="s">
        <v>7</v>
      </c>
      <c r="P907">
        <v>1</v>
      </c>
      <c r="Q907">
        <v>1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 t="s">
        <v>5043</v>
      </c>
      <c r="AB907" t="s">
        <v>1323</v>
      </c>
      <c r="AC907" t="s">
        <v>5043</v>
      </c>
      <c r="AD907" t="e">
        <f>VLOOKUP(AB907,#REF!,2,FALSE)</f>
        <v>#REF!</v>
      </c>
      <c r="AE907" t="e">
        <f>RIGHT(#REF!,(FIND("Complex",#REF!,1)-8))</f>
        <v>#REF!</v>
      </c>
    </row>
    <row r="908" spans="1:31" x14ac:dyDescent="0.25">
      <c r="A908">
        <v>3232</v>
      </c>
      <c r="B908" t="s">
        <v>75</v>
      </c>
      <c r="C908">
        <v>51</v>
      </c>
      <c r="D908">
        <v>789</v>
      </c>
      <c r="E908">
        <v>3232</v>
      </c>
      <c r="F908">
        <v>3087001</v>
      </c>
      <c r="G908">
        <v>3175200</v>
      </c>
      <c r="H908">
        <f t="shared" si="28"/>
        <v>70.000022675736957</v>
      </c>
      <c r="I908">
        <f t="shared" si="29"/>
        <v>72</v>
      </c>
      <c r="J908" t="s">
        <v>29</v>
      </c>
      <c r="K908">
        <v>3</v>
      </c>
      <c r="L908" t="e">
        <f t="array" ref="L908">VLOOKUP(J908:$J$3871&amp;K908:$K$3871,CHOOSE({1,2},#REF!&amp;#REF!,#REF!),2,0)</f>
        <v>#N/A</v>
      </c>
      <c r="M908">
        <v>-15</v>
      </c>
      <c r="N908">
        <v>0</v>
      </c>
      <c r="O908" t="s">
        <v>7</v>
      </c>
      <c r="P908">
        <v>1</v>
      </c>
      <c r="Q908">
        <v>1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 t="s">
        <v>5058</v>
      </c>
      <c r="AB908" t="s">
        <v>1324</v>
      </c>
      <c r="AC908" t="s">
        <v>5058</v>
      </c>
      <c r="AD908" t="e">
        <f>VLOOKUP(AB908,#REF!,2,FALSE)</f>
        <v>#REF!</v>
      </c>
      <c r="AE908" t="e">
        <f>RIGHT(#REF!,(FIND("Complex",#REF!,1)-8))</f>
        <v>#REF!</v>
      </c>
    </row>
    <row r="909" spans="1:31" x14ac:dyDescent="0.25">
      <c r="A909">
        <v>2140</v>
      </c>
      <c r="B909" t="s">
        <v>75</v>
      </c>
      <c r="C909">
        <v>51</v>
      </c>
      <c r="D909">
        <v>385</v>
      </c>
      <c r="E909">
        <v>2140</v>
      </c>
      <c r="F909">
        <v>2998801</v>
      </c>
      <c r="G909">
        <v>3087000</v>
      </c>
      <c r="H909">
        <f t="shared" si="28"/>
        <v>68.000022675736957</v>
      </c>
      <c r="I909">
        <f t="shared" si="29"/>
        <v>70</v>
      </c>
      <c r="J909" t="s">
        <v>29</v>
      </c>
      <c r="K909">
        <v>3</v>
      </c>
      <c r="L909" t="e">
        <f t="array" ref="L909">VLOOKUP(J909:$J$3871&amp;K909:$K$3871,CHOOSE({1,2},#REF!&amp;#REF!,#REF!),2,0)</f>
        <v>#N/A</v>
      </c>
      <c r="M909">
        <v>-15</v>
      </c>
      <c r="N909">
        <v>0</v>
      </c>
      <c r="O909" t="s">
        <v>7</v>
      </c>
      <c r="P909">
        <v>1</v>
      </c>
      <c r="Q909">
        <v>1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 t="s">
        <v>5069</v>
      </c>
      <c r="AB909" t="s">
        <v>1325</v>
      </c>
      <c r="AC909" t="s">
        <v>5069</v>
      </c>
      <c r="AD909" t="e">
        <f>VLOOKUP(AB909,#REF!,2,FALSE)</f>
        <v>#REF!</v>
      </c>
      <c r="AE909" t="e">
        <f>RIGHT(#REF!,(FIND("Complex",#REF!,1)-8))</f>
        <v>#REF!</v>
      </c>
    </row>
    <row r="910" spans="1:31" x14ac:dyDescent="0.25">
      <c r="A910">
        <v>2727</v>
      </c>
      <c r="B910" t="s">
        <v>75</v>
      </c>
      <c r="C910">
        <v>51</v>
      </c>
      <c r="D910">
        <v>571</v>
      </c>
      <c r="E910">
        <v>2727</v>
      </c>
      <c r="F910">
        <v>2910601</v>
      </c>
      <c r="G910">
        <v>2998800</v>
      </c>
      <c r="H910">
        <f t="shared" si="28"/>
        <v>66.000022675736957</v>
      </c>
      <c r="I910">
        <f t="shared" si="29"/>
        <v>68</v>
      </c>
      <c r="J910" t="s">
        <v>29</v>
      </c>
      <c r="K910">
        <v>3</v>
      </c>
      <c r="L910" t="e">
        <f t="array" ref="L910">VLOOKUP(J910:$J$3871&amp;K910:$K$3871,CHOOSE({1,2},#REF!&amp;#REF!,#REF!),2,0)</f>
        <v>#N/A</v>
      </c>
      <c r="M910">
        <v>-15</v>
      </c>
      <c r="N910">
        <v>0</v>
      </c>
      <c r="O910" t="s">
        <v>7</v>
      </c>
      <c r="P910">
        <v>1</v>
      </c>
      <c r="Q910">
        <v>1</v>
      </c>
      <c r="R910">
        <v>0</v>
      </c>
      <c r="S910">
        <v>0</v>
      </c>
      <c r="T910">
        <v>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 t="s">
        <v>5081</v>
      </c>
      <c r="AB910" t="s">
        <v>7257</v>
      </c>
      <c r="AC910" t="s">
        <v>5081</v>
      </c>
      <c r="AD910" t="e">
        <f>VLOOKUP(AB910,#REF!,2,FALSE)</f>
        <v>#REF!</v>
      </c>
      <c r="AE910" t="e">
        <f>RIGHT(#REF!,(FIND("Complex",#REF!,1)-8))</f>
        <v>#REF!</v>
      </c>
    </row>
    <row r="911" spans="1:31" x14ac:dyDescent="0.25">
      <c r="A911">
        <v>413</v>
      </c>
      <c r="B911" t="s">
        <v>75</v>
      </c>
      <c r="C911">
        <v>51</v>
      </c>
      <c r="D911">
        <v>72</v>
      </c>
      <c r="E911">
        <v>413</v>
      </c>
      <c r="F911">
        <v>2822401</v>
      </c>
      <c r="G911">
        <v>2910600</v>
      </c>
      <c r="H911">
        <f t="shared" si="28"/>
        <v>64.000022675736957</v>
      </c>
      <c r="I911">
        <f t="shared" si="29"/>
        <v>66</v>
      </c>
      <c r="J911" t="s">
        <v>29</v>
      </c>
      <c r="K911">
        <v>3</v>
      </c>
      <c r="L911" t="e">
        <f t="array" ref="L911">VLOOKUP(J911:$J$3871&amp;K911:$K$3871,CHOOSE({1,2},#REF!&amp;#REF!,#REF!),2,0)</f>
        <v>#N/A</v>
      </c>
      <c r="M911">
        <v>-15</v>
      </c>
      <c r="N911">
        <v>0</v>
      </c>
      <c r="O911" t="s">
        <v>7</v>
      </c>
      <c r="P911">
        <v>1</v>
      </c>
      <c r="Q911">
        <v>1</v>
      </c>
      <c r="R911">
        <v>0</v>
      </c>
      <c r="S911">
        <v>0</v>
      </c>
      <c r="T911">
        <v>1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 t="s">
        <v>5087</v>
      </c>
      <c r="AB911" t="s">
        <v>7260</v>
      </c>
      <c r="AC911" t="s">
        <v>5087</v>
      </c>
      <c r="AD911" t="e">
        <f>VLOOKUP(AB911,#REF!,2,FALSE)</f>
        <v>#REF!</v>
      </c>
      <c r="AE911" t="e">
        <f>RIGHT(#REF!,(FIND("Complex",#REF!,1)-7))</f>
        <v>#REF!</v>
      </c>
    </row>
    <row r="912" spans="1:31" x14ac:dyDescent="0.25">
      <c r="A912">
        <v>246</v>
      </c>
      <c r="B912" t="s">
        <v>75</v>
      </c>
      <c r="C912">
        <v>51</v>
      </c>
      <c r="D912">
        <v>48</v>
      </c>
      <c r="E912">
        <v>246</v>
      </c>
      <c r="F912">
        <v>2734201</v>
      </c>
      <c r="G912">
        <v>2822400</v>
      </c>
      <c r="H912">
        <f t="shared" si="28"/>
        <v>62.000022675736965</v>
      </c>
      <c r="I912">
        <f t="shared" si="29"/>
        <v>64</v>
      </c>
      <c r="J912" t="s">
        <v>29</v>
      </c>
      <c r="K912">
        <v>3</v>
      </c>
      <c r="L912" t="e">
        <f t="array" ref="L912">VLOOKUP(J912:$J$3871&amp;K912:$K$3871,CHOOSE({1,2},#REF!&amp;#REF!,#REF!),2,0)</f>
        <v>#N/A</v>
      </c>
      <c r="M912">
        <v>-15</v>
      </c>
      <c r="N912">
        <v>0</v>
      </c>
      <c r="O912" t="s">
        <v>7</v>
      </c>
      <c r="P912">
        <v>1</v>
      </c>
      <c r="Q912">
        <v>1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 t="s">
        <v>5098</v>
      </c>
      <c r="AB912" t="s">
        <v>1326</v>
      </c>
      <c r="AC912" t="s">
        <v>5098</v>
      </c>
      <c r="AD912" t="e">
        <f>VLOOKUP(AB912,#REF!,2,FALSE)</f>
        <v>#REF!</v>
      </c>
      <c r="AE912" t="e">
        <f>RIGHT(#REF!,(FIND("Complex",#REF!,1)-7))</f>
        <v>#REF!</v>
      </c>
    </row>
    <row r="913" spans="1:31" x14ac:dyDescent="0.25">
      <c r="A913">
        <v>2902</v>
      </c>
      <c r="B913" t="s">
        <v>75</v>
      </c>
      <c r="C913">
        <v>51</v>
      </c>
      <c r="D913">
        <v>637</v>
      </c>
      <c r="E913">
        <v>2902</v>
      </c>
      <c r="F913">
        <v>2381401</v>
      </c>
      <c r="G913">
        <v>2469600</v>
      </c>
      <c r="H913">
        <f t="shared" si="28"/>
        <v>54.000022675736965</v>
      </c>
      <c r="I913">
        <f t="shared" si="29"/>
        <v>56</v>
      </c>
      <c r="J913" t="s">
        <v>29</v>
      </c>
      <c r="K913">
        <v>3</v>
      </c>
      <c r="L913" t="e">
        <f t="array" ref="L913">VLOOKUP(J913:$J$3871&amp;K913:$K$3871,CHOOSE({1,2},#REF!&amp;#REF!,#REF!),2,0)</f>
        <v>#N/A</v>
      </c>
      <c r="M913">
        <v>-15</v>
      </c>
      <c r="N913">
        <v>0</v>
      </c>
      <c r="O913" t="s">
        <v>7</v>
      </c>
      <c r="P913">
        <v>1</v>
      </c>
      <c r="Q913">
        <v>1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 t="s">
        <v>5167</v>
      </c>
      <c r="AB913" t="s">
        <v>1327</v>
      </c>
      <c r="AC913" t="s">
        <v>5167</v>
      </c>
      <c r="AD913" t="e">
        <f>VLOOKUP(AB913,#REF!,2,FALSE)</f>
        <v>#REF!</v>
      </c>
      <c r="AE913" t="e">
        <f>RIGHT(#REF!,(FIND("Complex",#REF!,1)-8))</f>
        <v>#REF!</v>
      </c>
    </row>
    <row r="914" spans="1:31" x14ac:dyDescent="0.25">
      <c r="A914">
        <v>180</v>
      </c>
      <c r="B914" t="s">
        <v>75</v>
      </c>
      <c r="C914">
        <v>51</v>
      </c>
      <c r="D914">
        <v>34</v>
      </c>
      <c r="E914">
        <v>180</v>
      </c>
      <c r="F914">
        <v>2205001</v>
      </c>
      <c r="G914">
        <v>2293200</v>
      </c>
      <c r="H914">
        <f t="shared" si="28"/>
        <v>50.000022675736965</v>
      </c>
      <c r="I914">
        <f t="shared" si="29"/>
        <v>52</v>
      </c>
      <c r="J914" t="s">
        <v>29</v>
      </c>
      <c r="K914">
        <v>3</v>
      </c>
      <c r="L914" t="e">
        <f t="array" ref="L914">VLOOKUP(J914:$J$3871&amp;K914:$K$3871,CHOOSE({1,2},#REF!&amp;#REF!,#REF!),2,0)</f>
        <v>#N/A</v>
      </c>
      <c r="M914">
        <v>-15</v>
      </c>
      <c r="N914">
        <v>0</v>
      </c>
      <c r="O914" t="s">
        <v>7</v>
      </c>
      <c r="P914">
        <v>1</v>
      </c>
      <c r="Q914">
        <v>1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 t="s">
        <v>5194</v>
      </c>
      <c r="AB914" t="s">
        <v>214</v>
      </c>
      <c r="AC914" t="s">
        <v>5194</v>
      </c>
      <c r="AD914" t="e">
        <f>VLOOKUP(AB914,#REF!,2,FALSE)</f>
        <v>#REF!</v>
      </c>
      <c r="AE914" t="e">
        <f>RIGHT(#REF!,(FIND("Complex",#REF!,1)-7))</f>
        <v>#REF!</v>
      </c>
    </row>
    <row r="915" spans="1:31" x14ac:dyDescent="0.25">
      <c r="A915">
        <v>2618</v>
      </c>
      <c r="B915" t="s">
        <v>75</v>
      </c>
      <c r="C915">
        <v>51</v>
      </c>
      <c r="D915">
        <v>526</v>
      </c>
      <c r="E915">
        <v>2618</v>
      </c>
      <c r="F915">
        <v>1940401</v>
      </c>
      <c r="G915">
        <v>2028600</v>
      </c>
      <c r="H915">
        <f t="shared" si="28"/>
        <v>44.000022675736965</v>
      </c>
      <c r="I915">
        <f t="shared" si="29"/>
        <v>46</v>
      </c>
      <c r="J915" t="s">
        <v>29</v>
      </c>
      <c r="K915">
        <v>3</v>
      </c>
      <c r="L915" t="e">
        <f t="array" ref="L915">VLOOKUP(J915:$J$3871&amp;K915:$K$3871,CHOOSE({1,2},#REF!&amp;#REF!,#REF!),2,0)</f>
        <v>#N/A</v>
      </c>
      <c r="M915">
        <v>-15</v>
      </c>
      <c r="N915">
        <v>0</v>
      </c>
      <c r="O915" t="s">
        <v>7</v>
      </c>
      <c r="P915">
        <v>1</v>
      </c>
      <c r="Q915">
        <v>1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 t="s">
        <v>5232</v>
      </c>
      <c r="AB915" t="s">
        <v>1328</v>
      </c>
      <c r="AC915" t="s">
        <v>5232</v>
      </c>
      <c r="AD915" t="e">
        <f>VLOOKUP(AB915,#REF!,2,FALSE)</f>
        <v>#REF!</v>
      </c>
      <c r="AE915" t="e">
        <f>RIGHT(#REF!,(FIND("Complex",#REF!,1)-8))</f>
        <v>#REF!</v>
      </c>
    </row>
    <row r="916" spans="1:31" x14ac:dyDescent="0.25">
      <c r="A916">
        <v>3456</v>
      </c>
      <c r="B916" t="s">
        <v>75</v>
      </c>
      <c r="C916">
        <v>51</v>
      </c>
      <c r="D916">
        <v>903</v>
      </c>
      <c r="E916">
        <v>3456</v>
      </c>
      <c r="F916">
        <v>1852201</v>
      </c>
      <c r="G916">
        <v>1940400</v>
      </c>
      <c r="H916">
        <f t="shared" si="28"/>
        <v>42.000022675736965</v>
      </c>
      <c r="I916">
        <f t="shared" si="29"/>
        <v>44</v>
      </c>
      <c r="J916" t="s">
        <v>29</v>
      </c>
      <c r="K916">
        <v>3</v>
      </c>
      <c r="L916" t="e">
        <f t="array" ref="L916">VLOOKUP(J916:$J$3871&amp;K916:$K$3871,CHOOSE({1,2},#REF!&amp;#REF!,#REF!),2,0)</f>
        <v>#N/A</v>
      </c>
      <c r="M916">
        <v>-15</v>
      </c>
      <c r="N916">
        <v>0</v>
      </c>
      <c r="O916" t="s">
        <v>7</v>
      </c>
      <c r="P916">
        <v>1</v>
      </c>
      <c r="Q916">
        <v>1</v>
      </c>
      <c r="R916">
        <v>0</v>
      </c>
      <c r="S916">
        <v>0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 t="s">
        <v>5243</v>
      </c>
      <c r="AB916" t="s">
        <v>1329</v>
      </c>
      <c r="AC916" t="s">
        <v>5243</v>
      </c>
      <c r="AD916" t="e">
        <f>VLOOKUP(AB916,#REF!,2,FALSE)</f>
        <v>#REF!</v>
      </c>
      <c r="AE916" t="e">
        <f>RIGHT(#REF!,(FIND("Complex",#REF!,1)-8))</f>
        <v>#REF!</v>
      </c>
    </row>
    <row r="917" spans="1:31" x14ac:dyDescent="0.25">
      <c r="A917">
        <v>2375</v>
      </c>
      <c r="B917" t="s">
        <v>75</v>
      </c>
      <c r="C917">
        <v>51</v>
      </c>
      <c r="D917">
        <v>442</v>
      </c>
      <c r="E917">
        <v>2375</v>
      </c>
      <c r="F917">
        <v>11818801</v>
      </c>
      <c r="G917">
        <v>11907000</v>
      </c>
      <c r="H917">
        <f t="shared" si="28"/>
        <v>268.00002267573694</v>
      </c>
      <c r="I917">
        <f t="shared" si="29"/>
        <v>270</v>
      </c>
      <c r="J917" t="s">
        <v>29</v>
      </c>
      <c r="K917">
        <v>3</v>
      </c>
      <c r="L917" t="e">
        <f t="array" ref="L917">VLOOKUP(J917:$J$3871&amp;K917:$K$3871,CHOOSE({1,2},#REF!&amp;#REF!,#REF!),2,0)</f>
        <v>#N/A</v>
      </c>
      <c r="M917">
        <v>-15</v>
      </c>
      <c r="N917">
        <v>0</v>
      </c>
      <c r="O917" t="s">
        <v>7</v>
      </c>
      <c r="P917">
        <v>1</v>
      </c>
      <c r="Q917">
        <v>1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 t="s">
        <v>5440</v>
      </c>
      <c r="AB917" t="s">
        <v>7445</v>
      </c>
      <c r="AC917" t="s">
        <v>5440</v>
      </c>
      <c r="AD917" t="e">
        <f>VLOOKUP(AB917,#REF!,2,FALSE)</f>
        <v>#REF!</v>
      </c>
      <c r="AE917" t="e">
        <f>RIGHT(#REF!,(FIND("Complex",#REF!,1)-7))</f>
        <v>#REF!</v>
      </c>
    </row>
    <row r="918" spans="1:31" x14ac:dyDescent="0.25">
      <c r="A918">
        <v>3498</v>
      </c>
      <c r="B918" t="s">
        <v>75</v>
      </c>
      <c r="C918">
        <v>51</v>
      </c>
      <c r="D918">
        <v>920</v>
      </c>
      <c r="E918">
        <v>3498</v>
      </c>
      <c r="F918">
        <v>11554201</v>
      </c>
      <c r="G918">
        <v>11642400</v>
      </c>
      <c r="H918">
        <f t="shared" si="28"/>
        <v>262.00002267573694</v>
      </c>
      <c r="I918">
        <f t="shared" si="29"/>
        <v>264</v>
      </c>
      <c r="J918" t="s">
        <v>29</v>
      </c>
      <c r="K918">
        <v>3</v>
      </c>
      <c r="L918" t="e">
        <f t="array" ref="L918">VLOOKUP(J918:$J$3871&amp;K918:$K$3871,CHOOSE({1,2},#REF!&amp;#REF!,#REF!),2,0)</f>
        <v>#N/A</v>
      </c>
      <c r="M918">
        <v>-15</v>
      </c>
      <c r="N918">
        <v>0</v>
      </c>
      <c r="O918" t="s">
        <v>7</v>
      </c>
      <c r="P918">
        <v>1</v>
      </c>
      <c r="Q918">
        <v>1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 t="s">
        <v>5449</v>
      </c>
      <c r="AB918" t="s">
        <v>7453</v>
      </c>
      <c r="AC918" t="s">
        <v>5449</v>
      </c>
      <c r="AD918" t="e">
        <f>VLOOKUP(AB918,#REF!,2,FALSE)</f>
        <v>#REF!</v>
      </c>
      <c r="AE918" t="e">
        <f>RIGHT(#REF!,(FIND("Complex",#REF!,1)-7))</f>
        <v>#REF!</v>
      </c>
    </row>
    <row r="919" spans="1:31" x14ac:dyDescent="0.25">
      <c r="A919">
        <v>2839</v>
      </c>
      <c r="B919" t="s">
        <v>75</v>
      </c>
      <c r="C919">
        <v>51</v>
      </c>
      <c r="D919">
        <v>615</v>
      </c>
      <c r="E919">
        <v>2839</v>
      </c>
      <c r="F919">
        <v>11466001</v>
      </c>
      <c r="G919">
        <v>11554200</v>
      </c>
      <c r="H919">
        <f t="shared" si="28"/>
        <v>260.00002267573694</v>
      </c>
      <c r="I919">
        <f t="shared" si="29"/>
        <v>262</v>
      </c>
      <c r="J919" t="s">
        <v>29</v>
      </c>
      <c r="K919">
        <v>3</v>
      </c>
      <c r="L919" t="e">
        <f t="array" ref="L919">VLOOKUP(J919:$J$3871&amp;K919:$K$3871,CHOOSE({1,2},#REF!&amp;#REF!,#REF!),2,0)</f>
        <v>#N/A</v>
      </c>
      <c r="M919">
        <v>-15</v>
      </c>
      <c r="N919">
        <v>0</v>
      </c>
      <c r="O919" t="s">
        <v>7</v>
      </c>
      <c r="P919">
        <v>1</v>
      </c>
      <c r="Q919">
        <v>1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 t="s">
        <v>5452</v>
      </c>
      <c r="AB919" t="s">
        <v>7456</v>
      </c>
      <c r="AC919" t="s">
        <v>5452</v>
      </c>
      <c r="AD919" t="e">
        <f>VLOOKUP(AB919,#REF!,2,FALSE)</f>
        <v>#REF!</v>
      </c>
      <c r="AE919" t="e">
        <f>RIGHT(#REF!,(FIND("Complex",#REF!,1)-7))</f>
        <v>#REF!</v>
      </c>
    </row>
    <row r="920" spans="1:31" x14ac:dyDescent="0.25">
      <c r="A920">
        <v>3208</v>
      </c>
      <c r="B920" t="s">
        <v>75</v>
      </c>
      <c r="C920">
        <v>51</v>
      </c>
      <c r="D920">
        <v>773</v>
      </c>
      <c r="E920">
        <v>3208</v>
      </c>
      <c r="F920">
        <v>11377801</v>
      </c>
      <c r="G920">
        <v>11466000</v>
      </c>
      <c r="H920">
        <f t="shared" si="28"/>
        <v>258.00002267573694</v>
      </c>
      <c r="I920">
        <f t="shared" si="29"/>
        <v>260</v>
      </c>
      <c r="J920" t="s">
        <v>29</v>
      </c>
      <c r="K920">
        <v>3</v>
      </c>
      <c r="L920" t="e">
        <f t="array" ref="L920">VLOOKUP(J920:$J$3871&amp;K920:$K$3871,CHOOSE({1,2},#REF!&amp;#REF!,#REF!),2,0)</f>
        <v>#N/A</v>
      </c>
      <c r="M920">
        <v>-15</v>
      </c>
      <c r="N920">
        <v>0</v>
      </c>
      <c r="O920" t="s">
        <v>7</v>
      </c>
      <c r="P920">
        <v>1</v>
      </c>
      <c r="Q920">
        <v>1</v>
      </c>
      <c r="R920">
        <v>0</v>
      </c>
      <c r="S920">
        <v>0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 t="s">
        <v>5474</v>
      </c>
      <c r="AB920" t="s">
        <v>1330</v>
      </c>
      <c r="AC920" t="s">
        <v>5474</v>
      </c>
      <c r="AD920" t="e">
        <f>VLOOKUP(AB920,#REF!,2,FALSE)</f>
        <v>#REF!</v>
      </c>
      <c r="AE920" t="e">
        <f>RIGHT(#REF!,(FIND("Complex",#REF!,1)-7))</f>
        <v>#REF!</v>
      </c>
    </row>
    <row r="921" spans="1:31" x14ac:dyDescent="0.25">
      <c r="A921">
        <v>3289</v>
      </c>
      <c r="B921" t="s">
        <v>75</v>
      </c>
      <c r="C921">
        <v>51</v>
      </c>
      <c r="D921">
        <v>825</v>
      </c>
      <c r="E921">
        <v>3289</v>
      </c>
      <c r="F921">
        <v>11113201</v>
      </c>
      <c r="G921">
        <v>11201400</v>
      </c>
      <c r="H921">
        <f t="shared" si="28"/>
        <v>252.00002267573697</v>
      </c>
      <c r="I921">
        <f t="shared" si="29"/>
        <v>254</v>
      </c>
      <c r="J921" t="s">
        <v>29</v>
      </c>
      <c r="K921">
        <v>3</v>
      </c>
      <c r="L921" t="e">
        <f t="array" ref="L921">VLOOKUP(J921:$J$3871&amp;K921:$K$3871,CHOOSE({1,2},#REF!&amp;#REF!,#REF!),2,0)</f>
        <v>#N/A</v>
      </c>
      <c r="M921">
        <v>-15</v>
      </c>
      <c r="N921">
        <v>0</v>
      </c>
      <c r="O921" t="s">
        <v>7</v>
      </c>
      <c r="P921">
        <v>1</v>
      </c>
      <c r="Q921">
        <v>1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 t="s">
        <v>5485</v>
      </c>
      <c r="AB921" t="s">
        <v>7477</v>
      </c>
      <c r="AC921" t="s">
        <v>5485</v>
      </c>
      <c r="AD921" t="e">
        <f>VLOOKUP(AB921,#REF!,2,FALSE)</f>
        <v>#REF!</v>
      </c>
      <c r="AE921" t="e">
        <f>RIGHT(#REF!,(FIND("Complex",#REF!,1)-7))</f>
        <v>#REF!</v>
      </c>
    </row>
    <row r="922" spans="1:31" x14ac:dyDescent="0.25">
      <c r="A922">
        <v>1275</v>
      </c>
      <c r="B922" t="s">
        <v>75</v>
      </c>
      <c r="C922">
        <v>51</v>
      </c>
      <c r="D922">
        <v>219</v>
      </c>
      <c r="E922">
        <v>1275</v>
      </c>
      <c r="F922">
        <v>10936801</v>
      </c>
      <c r="G922">
        <v>11025000</v>
      </c>
      <c r="H922">
        <f t="shared" si="28"/>
        <v>248.00002267573697</v>
      </c>
      <c r="I922">
        <f t="shared" si="29"/>
        <v>250</v>
      </c>
      <c r="J922" t="s">
        <v>29</v>
      </c>
      <c r="K922">
        <v>3</v>
      </c>
      <c r="L922" t="e">
        <f t="array" ref="L922">VLOOKUP(J922:$J$3871&amp;K922:$K$3871,CHOOSE({1,2},#REF!&amp;#REF!,#REF!),2,0)</f>
        <v>#N/A</v>
      </c>
      <c r="M922">
        <v>-15</v>
      </c>
      <c r="N922">
        <v>0</v>
      </c>
      <c r="O922" t="s">
        <v>7</v>
      </c>
      <c r="P922">
        <v>1</v>
      </c>
      <c r="Q922">
        <v>1</v>
      </c>
      <c r="R922">
        <v>0</v>
      </c>
      <c r="S922">
        <v>0</v>
      </c>
      <c r="T922">
        <v>1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 t="s">
        <v>5491</v>
      </c>
      <c r="AB922" t="s">
        <v>7481</v>
      </c>
      <c r="AC922" t="s">
        <v>5491</v>
      </c>
      <c r="AD922" t="e">
        <f>VLOOKUP(AB922,#REF!,2,FALSE)</f>
        <v>#REF!</v>
      </c>
      <c r="AE922" t="e">
        <f>RIGHT(#REF!,(FIND("Complex",#REF!,1)-7))</f>
        <v>#REF!</v>
      </c>
    </row>
    <row r="923" spans="1:31" x14ac:dyDescent="0.25">
      <c r="A923">
        <v>3268</v>
      </c>
      <c r="B923" t="s">
        <v>75</v>
      </c>
      <c r="C923">
        <v>51</v>
      </c>
      <c r="D923">
        <v>811</v>
      </c>
      <c r="E923">
        <v>3268</v>
      </c>
      <c r="F923">
        <v>10760401</v>
      </c>
      <c r="G923">
        <v>10848600</v>
      </c>
      <c r="H923">
        <f t="shared" si="28"/>
        <v>244.00002267573697</v>
      </c>
      <c r="I923">
        <f t="shared" si="29"/>
        <v>246</v>
      </c>
      <c r="J923" t="s">
        <v>29</v>
      </c>
      <c r="K923">
        <v>3</v>
      </c>
      <c r="L923" t="e">
        <f t="array" ref="L923">VLOOKUP(J923:$J$3871&amp;K923:$K$3871,CHOOSE({1,2},#REF!&amp;#REF!,#REF!),2,0)</f>
        <v>#N/A</v>
      </c>
      <c r="M923">
        <v>-15</v>
      </c>
      <c r="N923">
        <v>0</v>
      </c>
      <c r="O923" t="s">
        <v>7</v>
      </c>
      <c r="P923">
        <v>1</v>
      </c>
      <c r="Q923">
        <v>1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 t="s">
        <v>5503</v>
      </c>
      <c r="AB923" t="s">
        <v>1331</v>
      </c>
      <c r="AC923" t="s">
        <v>5503</v>
      </c>
      <c r="AD923" t="e">
        <f>VLOOKUP(AB923,#REF!,2,FALSE)</f>
        <v>#REF!</v>
      </c>
      <c r="AE923" t="e">
        <f>RIGHT(#REF!,(FIND("Complex",#REF!,1)-7))</f>
        <v>#REF!</v>
      </c>
    </row>
    <row r="924" spans="1:31" x14ac:dyDescent="0.25">
      <c r="A924">
        <v>2440</v>
      </c>
      <c r="B924" t="s">
        <v>75</v>
      </c>
      <c r="C924">
        <v>51</v>
      </c>
      <c r="D924">
        <v>464</v>
      </c>
      <c r="E924">
        <v>2440</v>
      </c>
      <c r="F924">
        <v>10672201</v>
      </c>
      <c r="G924">
        <v>10760400</v>
      </c>
      <c r="H924">
        <f t="shared" si="28"/>
        <v>242.00002267573697</v>
      </c>
      <c r="I924">
        <f t="shared" si="29"/>
        <v>244</v>
      </c>
      <c r="J924" t="s">
        <v>29</v>
      </c>
      <c r="K924">
        <v>3</v>
      </c>
      <c r="L924" t="e">
        <f t="array" ref="L924">VLOOKUP(J924:$J$3871&amp;K924:$K$3871,CHOOSE({1,2},#REF!&amp;#REF!,#REF!),2,0)</f>
        <v>#N/A</v>
      </c>
      <c r="M924">
        <v>-15</v>
      </c>
      <c r="N924">
        <v>0</v>
      </c>
      <c r="O924" t="s">
        <v>7</v>
      </c>
      <c r="P924">
        <v>1</v>
      </c>
      <c r="Q924">
        <v>1</v>
      </c>
      <c r="R924">
        <v>0</v>
      </c>
      <c r="S924">
        <v>0</v>
      </c>
      <c r="T924">
        <v>1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 t="s">
        <v>5506</v>
      </c>
      <c r="AB924" t="s">
        <v>7495</v>
      </c>
      <c r="AC924" t="s">
        <v>5506</v>
      </c>
      <c r="AD924" t="e">
        <f>VLOOKUP(AB924,#REF!,2,FALSE)</f>
        <v>#REF!</v>
      </c>
      <c r="AE924" t="e">
        <f>RIGHT(#REF!,(FIND("Complex",#REF!,1)-7))</f>
        <v>#REF!</v>
      </c>
    </row>
    <row r="925" spans="1:31" x14ac:dyDescent="0.25">
      <c r="A925">
        <v>3008</v>
      </c>
      <c r="B925" t="s">
        <v>75</v>
      </c>
      <c r="C925">
        <v>51</v>
      </c>
      <c r="D925">
        <v>687</v>
      </c>
      <c r="E925">
        <v>3008</v>
      </c>
      <c r="F925">
        <v>10231201</v>
      </c>
      <c r="G925">
        <v>10319400</v>
      </c>
      <c r="H925">
        <f t="shared" si="28"/>
        <v>232.00002267573697</v>
      </c>
      <c r="I925">
        <f t="shared" si="29"/>
        <v>234</v>
      </c>
      <c r="J925" t="s">
        <v>29</v>
      </c>
      <c r="K925">
        <v>3</v>
      </c>
      <c r="L925" t="e">
        <f t="array" ref="L925">VLOOKUP(J925:$J$3871&amp;K925:$K$3871,CHOOSE({1,2},#REF!&amp;#REF!,#REF!),2,0)</f>
        <v>#N/A</v>
      </c>
      <c r="M925">
        <v>-15</v>
      </c>
      <c r="N925">
        <v>0</v>
      </c>
      <c r="O925" t="s">
        <v>7</v>
      </c>
      <c r="P925">
        <v>1</v>
      </c>
      <c r="Q925">
        <v>1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 t="s">
        <v>5542</v>
      </c>
      <c r="AB925" t="s">
        <v>7518</v>
      </c>
      <c r="AC925" t="s">
        <v>5542</v>
      </c>
      <c r="AD925" t="e">
        <f>VLOOKUP(AB925,#REF!,2,FALSE)</f>
        <v>#REF!</v>
      </c>
      <c r="AE925" t="e">
        <f>RIGHT(#REF!,(FIND("Complex",#REF!,1)-7))</f>
        <v>#REF!</v>
      </c>
    </row>
    <row r="926" spans="1:31" x14ac:dyDescent="0.25">
      <c r="A926">
        <v>1232</v>
      </c>
      <c r="B926" t="s">
        <v>75</v>
      </c>
      <c r="C926">
        <v>51</v>
      </c>
      <c r="D926">
        <v>210</v>
      </c>
      <c r="E926">
        <v>1232</v>
      </c>
      <c r="F926">
        <v>9966601</v>
      </c>
      <c r="G926">
        <v>10054800</v>
      </c>
      <c r="H926">
        <f t="shared" si="28"/>
        <v>226.00002267573697</v>
      </c>
      <c r="I926">
        <f t="shared" si="29"/>
        <v>228</v>
      </c>
      <c r="J926" t="s">
        <v>29</v>
      </c>
      <c r="K926">
        <v>3</v>
      </c>
      <c r="L926" t="e">
        <f t="array" ref="L926">VLOOKUP(J926:$J$3871&amp;K926:$K$3871,CHOOSE({1,2},#REF!&amp;#REF!,#REF!),2,0)</f>
        <v>#N/A</v>
      </c>
      <c r="M926">
        <v>-15</v>
      </c>
      <c r="N926">
        <v>0</v>
      </c>
      <c r="O926" t="s">
        <v>7</v>
      </c>
      <c r="P926">
        <v>1</v>
      </c>
      <c r="Q926">
        <v>1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 t="s">
        <v>5554</v>
      </c>
      <c r="AB926" t="s">
        <v>1332</v>
      </c>
      <c r="AC926" t="s">
        <v>5554</v>
      </c>
      <c r="AD926" t="e">
        <f>VLOOKUP(AB926,#REF!,2,FALSE)</f>
        <v>#REF!</v>
      </c>
      <c r="AE926" t="e">
        <f>RIGHT(#REF!,(FIND("Complex",#REF!,1)-7))</f>
        <v>#REF!</v>
      </c>
    </row>
    <row r="927" spans="1:31" x14ac:dyDescent="0.25">
      <c r="A927">
        <v>3196</v>
      </c>
      <c r="B927" t="s">
        <v>75</v>
      </c>
      <c r="C927">
        <v>51</v>
      </c>
      <c r="D927">
        <v>769</v>
      </c>
      <c r="E927">
        <v>3196</v>
      </c>
      <c r="F927">
        <v>9878401</v>
      </c>
      <c r="G927">
        <v>9966600</v>
      </c>
      <c r="H927">
        <f t="shared" si="28"/>
        <v>224.00002267573697</v>
      </c>
      <c r="I927">
        <f t="shared" si="29"/>
        <v>226</v>
      </c>
      <c r="J927" t="s">
        <v>29</v>
      </c>
      <c r="K927">
        <v>3</v>
      </c>
      <c r="L927" t="e">
        <f t="array" ref="L927">VLOOKUP(J927:$J$3871&amp;K927:$K$3871,CHOOSE({1,2},#REF!&amp;#REF!,#REF!),2,0)</f>
        <v>#N/A</v>
      </c>
      <c r="M927">
        <v>-15</v>
      </c>
      <c r="N927">
        <v>0</v>
      </c>
      <c r="O927" t="s">
        <v>7</v>
      </c>
      <c r="P927">
        <v>1</v>
      </c>
      <c r="Q927">
        <v>1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 t="s">
        <v>5559</v>
      </c>
      <c r="AB927" t="s">
        <v>7529</v>
      </c>
      <c r="AC927" t="s">
        <v>5559</v>
      </c>
      <c r="AD927" t="e">
        <f>VLOOKUP(AB927,#REF!,2,FALSE)</f>
        <v>#REF!</v>
      </c>
      <c r="AE927" t="e">
        <f>RIGHT(#REF!,(FIND("Complex",#REF!,1)-7))</f>
        <v>#REF!</v>
      </c>
    </row>
    <row r="928" spans="1:31" x14ac:dyDescent="0.25">
      <c r="A928">
        <v>590</v>
      </c>
      <c r="B928" t="s">
        <v>75</v>
      </c>
      <c r="C928">
        <v>51</v>
      </c>
      <c r="D928">
        <v>102</v>
      </c>
      <c r="E928">
        <v>590</v>
      </c>
      <c r="F928">
        <v>9702001</v>
      </c>
      <c r="G928">
        <v>9790200</v>
      </c>
      <c r="H928">
        <f t="shared" si="28"/>
        <v>220.00002267573697</v>
      </c>
      <c r="I928">
        <f t="shared" si="29"/>
        <v>222</v>
      </c>
      <c r="J928" t="s">
        <v>29</v>
      </c>
      <c r="K928">
        <v>3</v>
      </c>
      <c r="L928" t="e">
        <f t="array" ref="L928">VLOOKUP(J928:$J$3871&amp;K928:$K$3871,CHOOSE({1,2},#REF!&amp;#REF!,#REF!),2,0)</f>
        <v>#N/A</v>
      </c>
      <c r="M928">
        <v>-15</v>
      </c>
      <c r="N928">
        <v>0</v>
      </c>
      <c r="O928" t="s">
        <v>7</v>
      </c>
      <c r="P928">
        <v>1</v>
      </c>
      <c r="Q928">
        <v>1</v>
      </c>
      <c r="R928">
        <v>0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 t="s">
        <v>5569</v>
      </c>
      <c r="AB928" t="s">
        <v>7534</v>
      </c>
      <c r="AC928" t="s">
        <v>5569</v>
      </c>
      <c r="AD928" t="e">
        <f>VLOOKUP(AB928,#REF!,2,FALSE)</f>
        <v>#REF!</v>
      </c>
      <c r="AE928" t="e">
        <f>RIGHT(#REF!,(FIND("Complex",#REF!,1)-6))</f>
        <v>#REF!</v>
      </c>
    </row>
    <row r="929" spans="1:31" x14ac:dyDescent="0.25">
      <c r="A929">
        <v>3097</v>
      </c>
      <c r="B929" t="s">
        <v>75</v>
      </c>
      <c r="C929">
        <v>51</v>
      </c>
      <c r="D929">
        <v>726</v>
      </c>
      <c r="E929">
        <v>3097</v>
      </c>
      <c r="F929">
        <v>7761601</v>
      </c>
      <c r="G929">
        <v>7849800</v>
      </c>
      <c r="H929">
        <f t="shared" si="28"/>
        <v>176.00002267573697</v>
      </c>
      <c r="I929">
        <f t="shared" si="29"/>
        <v>178</v>
      </c>
      <c r="J929" t="s">
        <v>29</v>
      </c>
      <c r="K929">
        <v>3</v>
      </c>
      <c r="L929" t="e">
        <f t="array" ref="L929">VLOOKUP(J929:$J$3871&amp;K929:$K$3871,CHOOSE({1,2},#REF!&amp;#REF!,#REF!),2,0)</f>
        <v>#N/A</v>
      </c>
      <c r="M929">
        <v>-15</v>
      </c>
      <c r="N929">
        <v>0</v>
      </c>
      <c r="O929" t="s">
        <v>7</v>
      </c>
      <c r="P929">
        <v>1</v>
      </c>
      <c r="Q929">
        <v>1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 t="s">
        <v>5728</v>
      </c>
      <c r="AB929" t="s">
        <v>7635</v>
      </c>
      <c r="AC929" t="s">
        <v>5728</v>
      </c>
      <c r="AD929" t="e">
        <f>VLOOKUP(AB929,#REF!,2,FALSE)</f>
        <v>#REF!</v>
      </c>
      <c r="AE929" t="e">
        <f>RIGHT(#REF!,(FIND("Complex",#REF!,1)-7))</f>
        <v>#REF!</v>
      </c>
    </row>
    <row r="930" spans="1:31" x14ac:dyDescent="0.25">
      <c r="A930">
        <v>1498</v>
      </c>
      <c r="B930" t="s">
        <v>75</v>
      </c>
      <c r="C930">
        <v>51</v>
      </c>
      <c r="D930">
        <v>250</v>
      </c>
      <c r="E930">
        <v>1498</v>
      </c>
      <c r="F930">
        <v>7673401</v>
      </c>
      <c r="G930">
        <v>7761600</v>
      </c>
      <c r="H930">
        <f t="shared" si="28"/>
        <v>174.00002267573697</v>
      </c>
      <c r="I930">
        <f t="shared" si="29"/>
        <v>176</v>
      </c>
      <c r="J930" t="s">
        <v>29</v>
      </c>
      <c r="K930">
        <v>3</v>
      </c>
      <c r="L930" t="e">
        <f t="array" ref="L930">VLOOKUP(J930:$J$3871&amp;K930:$K$3871,CHOOSE({1,2},#REF!&amp;#REF!,#REF!),2,0)</f>
        <v>#N/A</v>
      </c>
      <c r="M930">
        <v>-15</v>
      </c>
      <c r="N930">
        <v>0</v>
      </c>
      <c r="O930" t="s">
        <v>7</v>
      </c>
      <c r="P930">
        <v>1</v>
      </c>
      <c r="Q930">
        <v>1</v>
      </c>
      <c r="R930">
        <v>0</v>
      </c>
      <c r="S930">
        <v>0</v>
      </c>
      <c r="T930">
        <v>1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 t="s">
        <v>5738</v>
      </c>
      <c r="AB930" t="s">
        <v>1333</v>
      </c>
      <c r="AC930" t="s">
        <v>5738</v>
      </c>
      <c r="AD930" t="e">
        <f>VLOOKUP(AB930,#REF!,2,FALSE)</f>
        <v>#REF!</v>
      </c>
      <c r="AE930" t="e">
        <f>RIGHT(#REF!,(FIND("Complex",#REF!,1)-7))</f>
        <v>#REF!</v>
      </c>
    </row>
    <row r="931" spans="1:31" x14ac:dyDescent="0.25">
      <c r="A931">
        <v>3518</v>
      </c>
      <c r="B931" t="s">
        <v>75</v>
      </c>
      <c r="C931">
        <v>51</v>
      </c>
      <c r="D931">
        <v>928</v>
      </c>
      <c r="E931">
        <v>3518</v>
      </c>
      <c r="F931">
        <v>7585201</v>
      </c>
      <c r="G931">
        <v>7673400</v>
      </c>
      <c r="H931">
        <f t="shared" si="28"/>
        <v>172.00002267573697</v>
      </c>
      <c r="I931">
        <f t="shared" si="29"/>
        <v>174</v>
      </c>
      <c r="J931" t="s">
        <v>29</v>
      </c>
      <c r="K931">
        <v>3</v>
      </c>
      <c r="L931" t="e">
        <f t="array" ref="L931">VLOOKUP(J931:$J$3871&amp;K931:$K$3871,CHOOSE({1,2},#REF!&amp;#REF!,#REF!),2,0)</f>
        <v>#N/A</v>
      </c>
      <c r="M931">
        <v>-15</v>
      </c>
      <c r="N931">
        <v>0</v>
      </c>
      <c r="O931" t="s">
        <v>7</v>
      </c>
      <c r="P931">
        <v>1</v>
      </c>
      <c r="Q931">
        <v>1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 t="s">
        <v>5746</v>
      </c>
      <c r="AB931" t="s">
        <v>7646</v>
      </c>
      <c r="AC931" t="s">
        <v>5746</v>
      </c>
      <c r="AD931" t="e">
        <f>VLOOKUP(AB931,#REF!,2,FALSE)</f>
        <v>#REF!</v>
      </c>
      <c r="AE931" t="e">
        <f>RIGHT(#REF!,(FIND("Complex",#REF!,1)-7))</f>
        <v>#REF!</v>
      </c>
    </row>
    <row r="932" spans="1:31" x14ac:dyDescent="0.25">
      <c r="A932">
        <v>3045</v>
      </c>
      <c r="B932" t="s">
        <v>75</v>
      </c>
      <c r="C932">
        <v>51</v>
      </c>
      <c r="D932">
        <v>700</v>
      </c>
      <c r="E932">
        <v>3045</v>
      </c>
      <c r="F932">
        <v>7408801</v>
      </c>
      <c r="G932">
        <v>7497000</v>
      </c>
      <c r="H932">
        <f t="shared" si="28"/>
        <v>168.00002267573697</v>
      </c>
      <c r="I932">
        <f t="shared" si="29"/>
        <v>170</v>
      </c>
      <c r="J932" t="s">
        <v>29</v>
      </c>
      <c r="K932">
        <v>3</v>
      </c>
      <c r="L932" t="e">
        <f t="array" ref="L932">VLOOKUP(J932:$J$3871&amp;K932:$K$3871,CHOOSE({1,2},#REF!&amp;#REF!,#REF!),2,0)</f>
        <v>#N/A</v>
      </c>
      <c r="M932">
        <v>-15</v>
      </c>
      <c r="N932">
        <v>0</v>
      </c>
      <c r="O932" t="s">
        <v>7</v>
      </c>
      <c r="P932">
        <v>1</v>
      </c>
      <c r="Q932">
        <v>1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 t="s">
        <v>5762</v>
      </c>
      <c r="AB932" t="s">
        <v>1334</v>
      </c>
      <c r="AC932" t="s">
        <v>5762</v>
      </c>
      <c r="AD932" t="e">
        <f>VLOOKUP(AB932,#REF!,2,FALSE)</f>
        <v>#REF!</v>
      </c>
      <c r="AE932" t="e">
        <f>RIGHT(#REF!,(FIND("Complex",#REF!,1)-7))</f>
        <v>#REF!</v>
      </c>
    </row>
    <row r="933" spans="1:31" x14ac:dyDescent="0.25">
      <c r="A933">
        <v>2771</v>
      </c>
      <c r="B933" t="s">
        <v>75</v>
      </c>
      <c r="C933">
        <v>51</v>
      </c>
      <c r="D933">
        <v>591</v>
      </c>
      <c r="E933">
        <v>2771</v>
      </c>
      <c r="F933">
        <v>7320601</v>
      </c>
      <c r="G933">
        <v>7408800</v>
      </c>
      <c r="H933">
        <f t="shared" si="28"/>
        <v>166.00002267573697</v>
      </c>
      <c r="I933">
        <f t="shared" si="29"/>
        <v>168</v>
      </c>
      <c r="J933" t="s">
        <v>29</v>
      </c>
      <c r="K933">
        <v>3</v>
      </c>
      <c r="L933" t="e">
        <f t="array" ref="L933">VLOOKUP(J933:$J$3871&amp;K933:$K$3871,CHOOSE({1,2},#REF!&amp;#REF!,#REF!),2,0)</f>
        <v>#N/A</v>
      </c>
      <c r="M933">
        <v>-15</v>
      </c>
      <c r="N933">
        <v>0</v>
      </c>
      <c r="O933" t="s">
        <v>7</v>
      </c>
      <c r="P933">
        <v>1</v>
      </c>
      <c r="Q933">
        <v>1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 t="s">
        <v>5768</v>
      </c>
      <c r="AB933" t="s">
        <v>7661</v>
      </c>
      <c r="AC933" t="s">
        <v>5768</v>
      </c>
      <c r="AD933" t="e">
        <f>VLOOKUP(AB933,#REF!,2,FALSE)</f>
        <v>#REF!</v>
      </c>
      <c r="AE933" t="e">
        <f>RIGHT(#REF!,(FIND("Complex",#REF!,1)-7))</f>
        <v>#REF!</v>
      </c>
    </row>
    <row r="934" spans="1:31" x14ac:dyDescent="0.25">
      <c r="A934">
        <v>2799</v>
      </c>
      <c r="B934" t="s">
        <v>75</v>
      </c>
      <c r="C934">
        <v>51</v>
      </c>
      <c r="D934">
        <v>603</v>
      </c>
      <c r="E934">
        <v>2799</v>
      </c>
      <c r="F934">
        <v>7232401</v>
      </c>
      <c r="G934">
        <v>7320600</v>
      </c>
      <c r="H934">
        <f t="shared" si="28"/>
        <v>164.00002267573697</v>
      </c>
      <c r="I934">
        <f t="shared" si="29"/>
        <v>166</v>
      </c>
      <c r="J934" t="s">
        <v>29</v>
      </c>
      <c r="K934">
        <v>3</v>
      </c>
      <c r="L934" t="e">
        <f t="array" ref="L934">VLOOKUP(J934:$J$3871&amp;K934:$K$3871,CHOOSE({1,2},#REF!&amp;#REF!,#REF!),2,0)</f>
        <v>#N/A</v>
      </c>
      <c r="M934">
        <v>-15</v>
      </c>
      <c r="N934">
        <v>0</v>
      </c>
      <c r="O934" t="s">
        <v>7</v>
      </c>
      <c r="P934">
        <v>1</v>
      </c>
      <c r="Q934">
        <v>1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 t="s">
        <v>5776</v>
      </c>
      <c r="AB934" t="s">
        <v>1335</v>
      </c>
      <c r="AC934" t="s">
        <v>5776</v>
      </c>
      <c r="AD934" t="e">
        <f>VLOOKUP(AB934,#REF!,2,FALSE)</f>
        <v>#REF!</v>
      </c>
      <c r="AE934" t="e">
        <f>RIGHT(#REF!,(FIND("Complex",#REF!,1)-7))</f>
        <v>#REF!</v>
      </c>
    </row>
    <row r="935" spans="1:31" x14ac:dyDescent="0.25">
      <c r="A935">
        <v>3374</v>
      </c>
      <c r="B935" t="s">
        <v>75</v>
      </c>
      <c r="C935">
        <v>51</v>
      </c>
      <c r="D935">
        <v>863</v>
      </c>
      <c r="E935">
        <v>3374</v>
      </c>
      <c r="F935">
        <v>6967801</v>
      </c>
      <c r="G935">
        <v>7056000</v>
      </c>
      <c r="H935">
        <f t="shared" si="28"/>
        <v>158.00002267573697</v>
      </c>
      <c r="I935">
        <f t="shared" si="29"/>
        <v>160</v>
      </c>
      <c r="J935" t="s">
        <v>29</v>
      </c>
      <c r="K935">
        <v>3</v>
      </c>
      <c r="L935" t="e">
        <f t="array" ref="L935">VLOOKUP(J935:$J$3871&amp;K935:$K$3871,CHOOSE({1,2},#REF!&amp;#REF!,#REF!),2,0)</f>
        <v>#N/A</v>
      </c>
      <c r="M935">
        <v>-15</v>
      </c>
      <c r="N935">
        <v>0</v>
      </c>
      <c r="O935" t="s">
        <v>7</v>
      </c>
      <c r="P935">
        <v>1</v>
      </c>
      <c r="Q935">
        <v>1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 t="s">
        <v>5829</v>
      </c>
      <c r="AB935" t="s">
        <v>1336</v>
      </c>
      <c r="AC935" t="s">
        <v>5829</v>
      </c>
      <c r="AD935" t="e">
        <f>VLOOKUP(AB935,#REF!,2,FALSE)</f>
        <v>#REF!</v>
      </c>
      <c r="AE935" t="e">
        <f>RIGHT(#REF!,(FIND("Complex",#REF!,1)-7))</f>
        <v>#REF!</v>
      </c>
    </row>
    <row r="936" spans="1:31" x14ac:dyDescent="0.25">
      <c r="A936">
        <v>3570</v>
      </c>
      <c r="B936" t="s">
        <v>75</v>
      </c>
      <c r="C936">
        <v>51</v>
      </c>
      <c r="D936">
        <v>950</v>
      </c>
      <c r="E936">
        <v>3570</v>
      </c>
      <c r="F936">
        <v>6879601</v>
      </c>
      <c r="G936">
        <v>6967800</v>
      </c>
      <c r="H936">
        <f t="shared" si="28"/>
        <v>156.00002267573697</v>
      </c>
      <c r="I936">
        <f t="shared" si="29"/>
        <v>158</v>
      </c>
      <c r="J936" t="s">
        <v>29</v>
      </c>
      <c r="K936">
        <v>3</v>
      </c>
      <c r="L936" t="e">
        <f t="array" ref="L936">VLOOKUP(J936:$J$3871&amp;K936:$K$3871,CHOOSE({1,2},#REF!&amp;#REF!,#REF!),2,0)</f>
        <v>#N/A</v>
      </c>
      <c r="M936">
        <v>-15</v>
      </c>
      <c r="N936">
        <v>0</v>
      </c>
      <c r="O936" t="s">
        <v>7</v>
      </c>
      <c r="P936">
        <v>1</v>
      </c>
      <c r="Q936">
        <v>1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 t="s">
        <v>5840</v>
      </c>
      <c r="AB936" t="s">
        <v>1337</v>
      </c>
      <c r="AC936" t="s">
        <v>5840</v>
      </c>
      <c r="AD936" t="e">
        <f>VLOOKUP(AB936,#REF!,2,FALSE)</f>
        <v>#REF!</v>
      </c>
      <c r="AE936" t="e">
        <f>RIGHT(#REF!,(FIND("Complex",#REF!,1)-7))</f>
        <v>#REF!</v>
      </c>
    </row>
    <row r="937" spans="1:31" x14ac:dyDescent="0.25">
      <c r="A937">
        <v>1559</v>
      </c>
      <c r="B937" t="s">
        <v>75</v>
      </c>
      <c r="C937">
        <v>51</v>
      </c>
      <c r="D937">
        <v>261</v>
      </c>
      <c r="E937">
        <v>1559</v>
      </c>
      <c r="F937">
        <v>6791401</v>
      </c>
      <c r="G937">
        <v>6879600</v>
      </c>
      <c r="H937">
        <f t="shared" si="28"/>
        <v>154.00002267573697</v>
      </c>
      <c r="I937">
        <f t="shared" si="29"/>
        <v>156</v>
      </c>
      <c r="J937" t="s">
        <v>29</v>
      </c>
      <c r="K937">
        <v>3</v>
      </c>
      <c r="L937" t="e">
        <f t="array" ref="L937">VLOOKUP(J937:$J$3871&amp;K937:$K$3871,CHOOSE({1,2},#REF!&amp;#REF!,#REF!),2,0)</f>
        <v>#N/A</v>
      </c>
      <c r="M937">
        <v>-15</v>
      </c>
      <c r="N937">
        <v>0</v>
      </c>
      <c r="O937" t="s">
        <v>7</v>
      </c>
      <c r="P937">
        <v>1</v>
      </c>
      <c r="Q937">
        <v>1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 t="s">
        <v>5857</v>
      </c>
      <c r="AB937" t="s">
        <v>7714</v>
      </c>
      <c r="AC937" t="s">
        <v>5857</v>
      </c>
      <c r="AD937" t="e">
        <f>VLOOKUP(AB937,#REF!,2,FALSE)</f>
        <v>#REF!</v>
      </c>
      <c r="AE937" t="e">
        <f>RIGHT(#REF!,(FIND("Complex",#REF!,1)-7))</f>
        <v>#REF!</v>
      </c>
    </row>
    <row r="938" spans="1:31" x14ac:dyDescent="0.25">
      <c r="A938">
        <v>3343</v>
      </c>
      <c r="B938" t="s">
        <v>75</v>
      </c>
      <c r="C938">
        <v>51</v>
      </c>
      <c r="D938">
        <v>847</v>
      </c>
      <c r="E938">
        <v>3343</v>
      </c>
      <c r="F938">
        <v>6615001</v>
      </c>
      <c r="G938">
        <v>6703200</v>
      </c>
      <c r="H938">
        <f t="shared" si="28"/>
        <v>150.00002267573697</v>
      </c>
      <c r="I938">
        <f t="shared" si="29"/>
        <v>152</v>
      </c>
      <c r="J938" t="s">
        <v>29</v>
      </c>
      <c r="K938">
        <v>3</v>
      </c>
      <c r="L938" t="e">
        <f t="array" ref="L938">VLOOKUP(J938:$J$3871&amp;K938:$K$3871,CHOOSE({1,2},#REF!&amp;#REF!,#REF!),2,0)</f>
        <v>#N/A</v>
      </c>
      <c r="M938">
        <v>-15</v>
      </c>
      <c r="N938">
        <v>0</v>
      </c>
      <c r="O938" t="s">
        <v>7</v>
      </c>
      <c r="P938">
        <v>1</v>
      </c>
      <c r="Q938">
        <v>1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t="s">
        <v>5876</v>
      </c>
      <c r="AB938" t="s">
        <v>1338</v>
      </c>
      <c r="AC938" t="s">
        <v>5876</v>
      </c>
      <c r="AD938" t="e">
        <f>VLOOKUP(AB938,#REF!,2,FALSE)</f>
        <v>#REF!</v>
      </c>
      <c r="AE938" t="e">
        <f>RIGHT(#REF!,(FIND("Complex",#REF!,1)-7))</f>
        <v>#REF!</v>
      </c>
    </row>
    <row r="939" spans="1:31" x14ac:dyDescent="0.25">
      <c r="A939">
        <v>3547</v>
      </c>
      <c r="B939" t="s">
        <v>75</v>
      </c>
      <c r="C939">
        <v>51</v>
      </c>
      <c r="D939">
        <v>940</v>
      </c>
      <c r="E939">
        <v>3547</v>
      </c>
      <c r="F939">
        <v>6350401</v>
      </c>
      <c r="G939">
        <v>6438600</v>
      </c>
      <c r="H939">
        <f t="shared" si="28"/>
        <v>144.00002267573697</v>
      </c>
      <c r="I939">
        <f t="shared" si="29"/>
        <v>146</v>
      </c>
      <c r="J939" t="s">
        <v>29</v>
      </c>
      <c r="K939">
        <v>3</v>
      </c>
      <c r="L939" t="e">
        <f t="array" ref="L939">VLOOKUP(J939:$J$3871&amp;K939:$K$3871,CHOOSE({1,2},#REF!&amp;#REF!,#REF!),2,0)</f>
        <v>#N/A</v>
      </c>
      <c r="M939">
        <v>-15</v>
      </c>
      <c r="N939">
        <v>0</v>
      </c>
      <c r="O939" t="s">
        <v>7</v>
      </c>
      <c r="P939">
        <v>1</v>
      </c>
      <c r="Q939">
        <v>1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 t="s">
        <v>5904</v>
      </c>
      <c r="AB939" t="s">
        <v>1339</v>
      </c>
      <c r="AC939" t="s">
        <v>5904</v>
      </c>
      <c r="AD939" t="e">
        <f>VLOOKUP(AB939,#REF!,2,FALSE)</f>
        <v>#REF!</v>
      </c>
      <c r="AE939" t="e">
        <f>RIGHT(#REF!,(FIND("Complex",#REF!,1)-7))</f>
        <v>#REF!</v>
      </c>
    </row>
    <row r="940" spans="1:31" x14ac:dyDescent="0.25">
      <c r="A940">
        <v>2154</v>
      </c>
      <c r="B940" t="s">
        <v>75</v>
      </c>
      <c r="C940">
        <v>51</v>
      </c>
      <c r="D940">
        <v>392</v>
      </c>
      <c r="E940">
        <v>2154</v>
      </c>
      <c r="F940">
        <v>6174001</v>
      </c>
      <c r="G940">
        <v>6262200</v>
      </c>
      <c r="H940">
        <f t="shared" si="28"/>
        <v>140.00002267573697</v>
      </c>
      <c r="I940">
        <f t="shared" si="29"/>
        <v>142</v>
      </c>
      <c r="J940" t="s">
        <v>29</v>
      </c>
      <c r="K940">
        <v>3</v>
      </c>
      <c r="L940" t="e">
        <f t="array" ref="L940">VLOOKUP(J940:$J$3871&amp;K940:$K$3871,CHOOSE({1,2},#REF!&amp;#REF!,#REF!),2,0)</f>
        <v>#N/A</v>
      </c>
      <c r="M940">
        <v>-15</v>
      </c>
      <c r="N940">
        <v>0</v>
      </c>
      <c r="O940" t="s">
        <v>7</v>
      </c>
      <c r="P940">
        <v>1</v>
      </c>
      <c r="Q940">
        <v>1</v>
      </c>
      <c r="R940">
        <v>0</v>
      </c>
      <c r="S940">
        <v>0</v>
      </c>
      <c r="T940">
        <v>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 t="s">
        <v>5925</v>
      </c>
      <c r="AB940" t="s">
        <v>1340</v>
      </c>
      <c r="AC940" t="s">
        <v>5925</v>
      </c>
      <c r="AD940" t="e">
        <f>VLOOKUP(AB940,#REF!,2,FALSE)</f>
        <v>#REF!</v>
      </c>
      <c r="AE940" t="e">
        <f>RIGHT(#REF!,(FIND("Complex",#REF!,1)-7))</f>
        <v>#REF!</v>
      </c>
    </row>
    <row r="941" spans="1:31" x14ac:dyDescent="0.25">
      <c r="A941">
        <v>3436</v>
      </c>
      <c r="B941" t="s">
        <v>27</v>
      </c>
      <c r="C941">
        <v>52</v>
      </c>
      <c r="D941">
        <v>889</v>
      </c>
      <c r="E941">
        <v>3436</v>
      </c>
      <c r="F941">
        <v>4233601</v>
      </c>
      <c r="G941">
        <v>4321800</v>
      </c>
      <c r="H941">
        <f t="shared" si="28"/>
        <v>96.000022675736957</v>
      </c>
      <c r="I941">
        <f t="shared" si="29"/>
        <v>98</v>
      </c>
      <c r="J941" t="s">
        <v>29</v>
      </c>
      <c r="K941">
        <v>3</v>
      </c>
      <c r="L941" t="e">
        <f t="array" ref="L941">VLOOKUP(J941:$J$3871&amp;K941:$K$3871,CHOOSE({1,2},#REF!&amp;#REF!,#REF!),2,0)</f>
        <v>#N/A</v>
      </c>
      <c r="M941">
        <v>-15</v>
      </c>
      <c r="N941">
        <v>0</v>
      </c>
      <c r="O941" t="s">
        <v>7</v>
      </c>
      <c r="P941">
        <v>1</v>
      </c>
      <c r="Q941">
        <v>0</v>
      </c>
      <c r="R941">
        <v>0</v>
      </c>
      <c r="S941">
        <v>1</v>
      </c>
      <c r="T941">
        <v>0</v>
      </c>
      <c r="U941">
        <v>1</v>
      </c>
      <c r="V941">
        <v>0</v>
      </c>
      <c r="W941">
        <v>0</v>
      </c>
      <c r="X941">
        <v>0</v>
      </c>
      <c r="Y941">
        <v>0</v>
      </c>
      <c r="Z941">
        <v>0</v>
      </c>
      <c r="AA941" t="s">
        <v>4896</v>
      </c>
      <c r="AB941" t="s">
        <v>7157</v>
      </c>
      <c r="AC941" t="s">
        <v>4896</v>
      </c>
      <c r="AD941" t="e">
        <f>VLOOKUP(AB941,#REF!,2,FALSE)</f>
        <v>#REF!</v>
      </c>
      <c r="AE941" t="e">
        <f>RIGHT(#REF!,(FIND("Complex",#REF!,1)-8))</f>
        <v>#REF!</v>
      </c>
    </row>
    <row r="942" spans="1:31" x14ac:dyDescent="0.25">
      <c r="A942">
        <v>3628</v>
      </c>
      <c r="B942" t="s">
        <v>27</v>
      </c>
      <c r="C942">
        <v>52</v>
      </c>
      <c r="D942">
        <v>969</v>
      </c>
      <c r="E942">
        <v>3628</v>
      </c>
      <c r="F942">
        <v>4145401</v>
      </c>
      <c r="G942">
        <v>4233600</v>
      </c>
      <c r="H942">
        <f t="shared" si="28"/>
        <v>94.000022675736957</v>
      </c>
      <c r="I942">
        <f t="shared" si="29"/>
        <v>96</v>
      </c>
      <c r="J942" t="s">
        <v>29</v>
      </c>
      <c r="K942">
        <v>3</v>
      </c>
      <c r="L942" t="e">
        <f t="array" ref="L942">VLOOKUP(J942:$J$3871&amp;K942:$K$3871,CHOOSE({1,2},#REF!&amp;#REF!,#REF!),2,0)</f>
        <v>#N/A</v>
      </c>
      <c r="M942">
        <v>-15</v>
      </c>
      <c r="N942">
        <v>0</v>
      </c>
      <c r="O942" t="s">
        <v>7</v>
      </c>
      <c r="P942">
        <v>1</v>
      </c>
      <c r="Q942">
        <v>0</v>
      </c>
      <c r="R942">
        <v>0</v>
      </c>
      <c r="S942">
        <v>1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 t="s">
        <v>4903</v>
      </c>
      <c r="AB942" t="s">
        <v>7161</v>
      </c>
      <c r="AC942" t="s">
        <v>4903</v>
      </c>
      <c r="AD942" t="e">
        <f>VLOOKUP(AB942,#REF!,2,FALSE)</f>
        <v>#REF!</v>
      </c>
      <c r="AE942" t="e">
        <f>RIGHT(#REF!,(FIND("Complex",#REF!,1)-8))</f>
        <v>#REF!</v>
      </c>
    </row>
    <row r="943" spans="1:31" x14ac:dyDescent="0.25">
      <c r="A943">
        <v>1984</v>
      </c>
      <c r="B943" t="s">
        <v>27</v>
      </c>
      <c r="C943">
        <v>52</v>
      </c>
      <c r="D943">
        <v>339</v>
      </c>
      <c r="E943">
        <v>1984</v>
      </c>
      <c r="F943">
        <v>4057201</v>
      </c>
      <c r="G943">
        <v>4145400</v>
      </c>
      <c r="H943">
        <f t="shared" si="28"/>
        <v>92.000022675736957</v>
      </c>
      <c r="I943">
        <f t="shared" si="29"/>
        <v>94</v>
      </c>
      <c r="J943" t="s">
        <v>29</v>
      </c>
      <c r="K943">
        <v>3</v>
      </c>
      <c r="L943" t="e">
        <f t="array" ref="L943">VLOOKUP(J943:$J$3871&amp;K943:$K$3871,CHOOSE({1,2},#REF!&amp;#REF!,#REF!),2,0)</f>
        <v>#N/A</v>
      </c>
      <c r="M943">
        <v>-15</v>
      </c>
      <c r="N943">
        <v>0</v>
      </c>
      <c r="O943" t="s">
        <v>7</v>
      </c>
      <c r="P943">
        <v>1</v>
      </c>
      <c r="Q943">
        <v>0</v>
      </c>
      <c r="R943">
        <v>0</v>
      </c>
      <c r="S943">
        <v>1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 t="s">
        <v>4915</v>
      </c>
      <c r="AB943" t="s">
        <v>1347</v>
      </c>
      <c r="AC943" t="s">
        <v>4915</v>
      </c>
      <c r="AD943" t="e">
        <f>VLOOKUP(AB943,#REF!,2,FALSE)</f>
        <v>#REF!</v>
      </c>
      <c r="AE943" t="e">
        <f>RIGHT(#REF!,(FIND("Complex",#REF!,1)-8))</f>
        <v>#REF!</v>
      </c>
    </row>
    <row r="944" spans="1:31" x14ac:dyDescent="0.25">
      <c r="A944">
        <v>2551</v>
      </c>
      <c r="B944" t="s">
        <v>27</v>
      </c>
      <c r="C944">
        <v>52</v>
      </c>
      <c r="D944">
        <v>508</v>
      </c>
      <c r="E944">
        <v>2551</v>
      </c>
      <c r="F944">
        <v>3969001</v>
      </c>
      <c r="G944">
        <v>4057200</v>
      </c>
      <c r="H944">
        <f t="shared" si="28"/>
        <v>90.000022675736957</v>
      </c>
      <c r="I944">
        <f t="shared" si="29"/>
        <v>92</v>
      </c>
      <c r="J944" t="s">
        <v>29</v>
      </c>
      <c r="K944">
        <v>3</v>
      </c>
      <c r="L944" t="e">
        <f t="array" ref="L944">VLOOKUP(J944:$J$3871&amp;K944:$K$3871,CHOOSE({1,2},#REF!&amp;#REF!,#REF!),2,0)</f>
        <v>#N/A</v>
      </c>
      <c r="M944">
        <v>-15</v>
      </c>
      <c r="N944">
        <v>0</v>
      </c>
      <c r="O944" t="s">
        <v>7</v>
      </c>
      <c r="P944">
        <v>1</v>
      </c>
      <c r="Q944">
        <v>0</v>
      </c>
      <c r="R944">
        <v>0</v>
      </c>
      <c r="S944">
        <v>1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 t="s">
        <v>4928</v>
      </c>
      <c r="AB944" t="s">
        <v>1348</v>
      </c>
      <c r="AC944" t="s">
        <v>4928</v>
      </c>
      <c r="AD944" t="e">
        <f>VLOOKUP(AB944,#REF!,2,FALSE)</f>
        <v>#REF!</v>
      </c>
      <c r="AE944" t="e">
        <f>RIGHT(#REF!,(FIND("Complex",#REF!,1)-8))</f>
        <v>#REF!</v>
      </c>
    </row>
    <row r="945" spans="1:31" x14ac:dyDescent="0.25">
      <c r="A945">
        <v>2149</v>
      </c>
      <c r="B945" t="s">
        <v>27</v>
      </c>
      <c r="C945">
        <v>52</v>
      </c>
      <c r="D945">
        <v>388</v>
      </c>
      <c r="E945">
        <v>2149</v>
      </c>
      <c r="F945">
        <v>3880801</v>
      </c>
      <c r="G945">
        <v>3969000</v>
      </c>
      <c r="H945">
        <f t="shared" si="28"/>
        <v>88.000022675736957</v>
      </c>
      <c r="I945">
        <f t="shared" si="29"/>
        <v>90</v>
      </c>
      <c r="J945" t="s">
        <v>29</v>
      </c>
      <c r="K945">
        <v>3</v>
      </c>
      <c r="L945" t="e">
        <f t="array" ref="L945">VLOOKUP(J945:$J$3871&amp;K945:$K$3871,CHOOSE({1,2},#REF!&amp;#REF!,#REF!),2,0)</f>
        <v>#N/A</v>
      </c>
      <c r="M945">
        <v>-15</v>
      </c>
      <c r="N945">
        <v>0</v>
      </c>
      <c r="O945" t="s">
        <v>7</v>
      </c>
      <c r="P945">
        <v>1</v>
      </c>
      <c r="Q945">
        <v>0</v>
      </c>
      <c r="R945">
        <v>0</v>
      </c>
      <c r="S945">
        <v>1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 t="s">
        <v>4937</v>
      </c>
      <c r="AB945" t="s">
        <v>1349</v>
      </c>
      <c r="AC945" t="s">
        <v>4937</v>
      </c>
      <c r="AD945" t="e">
        <f>VLOOKUP(AB945,#REF!,2,FALSE)</f>
        <v>#REF!</v>
      </c>
      <c r="AE945" t="e">
        <f>RIGHT(#REF!,(FIND("Complex",#REF!,1)-8))</f>
        <v>#REF!</v>
      </c>
    </row>
    <row r="946" spans="1:31" x14ac:dyDescent="0.25">
      <c r="A946">
        <v>2017</v>
      </c>
      <c r="B946" t="s">
        <v>27</v>
      </c>
      <c r="C946">
        <v>52</v>
      </c>
      <c r="D946">
        <v>350</v>
      </c>
      <c r="E946">
        <v>2017</v>
      </c>
      <c r="F946">
        <v>3792601</v>
      </c>
      <c r="G946">
        <v>3880800</v>
      </c>
      <c r="H946">
        <f t="shared" si="28"/>
        <v>86.000022675736957</v>
      </c>
      <c r="I946">
        <f t="shared" si="29"/>
        <v>88</v>
      </c>
      <c r="J946" t="s">
        <v>29</v>
      </c>
      <c r="K946">
        <v>3</v>
      </c>
      <c r="L946" t="e">
        <f t="array" ref="L946">VLOOKUP(J946:$J$3871&amp;K946:$K$3871,CHOOSE({1,2},#REF!&amp;#REF!,#REF!),2,0)</f>
        <v>#N/A</v>
      </c>
      <c r="M946">
        <v>-15</v>
      </c>
      <c r="N946">
        <v>0</v>
      </c>
      <c r="O946" t="s">
        <v>7</v>
      </c>
      <c r="P946">
        <v>1</v>
      </c>
      <c r="Q946">
        <v>0</v>
      </c>
      <c r="R946">
        <v>0</v>
      </c>
      <c r="S946">
        <v>1</v>
      </c>
      <c r="T946">
        <v>0</v>
      </c>
      <c r="U946">
        <v>1</v>
      </c>
      <c r="V946">
        <v>0</v>
      </c>
      <c r="W946">
        <v>0</v>
      </c>
      <c r="X946">
        <v>0</v>
      </c>
      <c r="Y946">
        <v>0</v>
      </c>
      <c r="Z946">
        <v>0</v>
      </c>
      <c r="AA946" t="s">
        <v>4945</v>
      </c>
      <c r="AB946" t="s">
        <v>7188</v>
      </c>
      <c r="AC946" t="s">
        <v>4945</v>
      </c>
      <c r="AD946" t="e">
        <f>VLOOKUP(AB946,#REF!,2,FALSE)</f>
        <v>#REF!</v>
      </c>
      <c r="AE946" t="e">
        <f>RIGHT(#REF!,(FIND("Complex",#REF!,1)-8))</f>
        <v>#REF!</v>
      </c>
    </row>
    <row r="947" spans="1:31" x14ac:dyDescent="0.25">
      <c r="A947">
        <v>2323</v>
      </c>
      <c r="B947" t="s">
        <v>27</v>
      </c>
      <c r="C947">
        <v>52</v>
      </c>
      <c r="D947">
        <v>424</v>
      </c>
      <c r="E947">
        <v>2323</v>
      </c>
      <c r="F947">
        <v>3704401</v>
      </c>
      <c r="G947">
        <v>3792600</v>
      </c>
      <c r="H947">
        <f t="shared" si="28"/>
        <v>84.000022675736957</v>
      </c>
      <c r="I947">
        <f t="shared" si="29"/>
        <v>86</v>
      </c>
      <c r="J947" t="s">
        <v>29</v>
      </c>
      <c r="K947">
        <v>3</v>
      </c>
      <c r="L947" t="e">
        <f t="array" ref="L947">VLOOKUP(J947:$J$3871&amp;K947:$K$3871,CHOOSE({1,2},#REF!&amp;#REF!,#REF!),2,0)</f>
        <v>#N/A</v>
      </c>
      <c r="M947">
        <v>-15</v>
      </c>
      <c r="N947">
        <v>0</v>
      </c>
      <c r="O947" t="s">
        <v>7</v>
      </c>
      <c r="P947">
        <v>1</v>
      </c>
      <c r="Q947">
        <v>0</v>
      </c>
      <c r="R947">
        <v>0</v>
      </c>
      <c r="S947">
        <v>1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 t="s">
        <v>4956</v>
      </c>
      <c r="AB947" t="s">
        <v>1350</v>
      </c>
      <c r="AC947" t="s">
        <v>4956</v>
      </c>
      <c r="AD947" t="e">
        <f>VLOOKUP(AB947,#REF!,2,FALSE)</f>
        <v>#REF!</v>
      </c>
      <c r="AE947" t="e">
        <f>RIGHT(#REF!,(FIND("Complex",#REF!,1)-8))</f>
        <v>#REF!</v>
      </c>
    </row>
    <row r="948" spans="1:31" x14ac:dyDescent="0.25">
      <c r="A948">
        <v>2788</v>
      </c>
      <c r="B948" t="s">
        <v>27</v>
      </c>
      <c r="C948">
        <v>52</v>
      </c>
      <c r="D948">
        <v>598</v>
      </c>
      <c r="E948">
        <v>2788</v>
      </c>
      <c r="F948">
        <v>3616201</v>
      </c>
      <c r="G948">
        <v>3704400</v>
      </c>
      <c r="H948">
        <f t="shared" si="28"/>
        <v>82.000022675736957</v>
      </c>
      <c r="I948">
        <f t="shared" si="29"/>
        <v>84</v>
      </c>
      <c r="J948" t="s">
        <v>29</v>
      </c>
      <c r="K948">
        <v>3</v>
      </c>
      <c r="L948" t="e">
        <f t="array" ref="L948">VLOOKUP(J948:$J$3871&amp;K948:$K$3871,CHOOSE({1,2},#REF!&amp;#REF!,#REF!),2,0)</f>
        <v>#N/A</v>
      </c>
      <c r="M948">
        <v>-15</v>
      </c>
      <c r="N948">
        <v>0</v>
      </c>
      <c r="O948" t="s">
        <v>7</v>
      </c>
      <c r="P948">
        <v>1</v>
      </c>
      <c r="Q948">
        <v>0</v>
      </c>
      <c r="R948">
        <v>0</v>
      </c>
      <c r="S948">
        <v>1</v>
      </c>
      <c r="T948">
        <v>0</v>
      </c>
      <c r="U948">
        <v>1</v>
      </c>
      <c r="V948">
        <v>0</v>
      </c>
      <c r="W948">
        <v>0</v>
      </c>
      <c r="X948">
        <v>0</v>
      </c>
      <c r="Y948">
        <v>0</v>
      </c>
      <c r="Z948">
        <v>0</v>
      </c>
      <c r="AA948" t="s">
        <v>4968</v>
      </c>
      <c r="AB948" t="s">
        <v>7199</v>
      </c>
      <c r="AC948" t="s">
        <v>4968</v>
      </c>
      <c r="AD948" t="e">
        <f>VLOOKUP(AB948,#REF!,2,FALSE)</f>
        <v>#REF!</v>
      </c>
      <c r="AE948" t="e">
        <f>RIGHT(#REF!,(FIND("Complex",#REF!,1)-8))</f>
        <v>#REF!</v>
      </c>
    </row>
    <row r="949" spans="1:31" x14ac:dyDescent="0.25">
      <c r="A949">
        <v>3474</v>
      </c>
      <c r="B949" t="s">
        <v>27</v>
      </c>
      <c r="C949">
        <v>52</v>
      </c>
      <c r="D949">
        <v>912</v>
      </c>
      <c r="E949">
        <v>3474</v>
      </c>
      <c r="F949">
        <v>3528001</v>
      </c>
      <c r="G949">
        <v>3616200</v>
      </c>
      <c r="H949">
        <f t="shared" si="28"/>
        <v>80.000022675736957</v>
      </c>
      <c r="I949">
        <f t="shared" si="29"/>
        <v>82</v>
      </c>
      <c r="J949" t="s">
        <v>29</v>
      </c>
      <c r="K949">
        <v>3</v>
      </c>
      <c r="L949" t="e">
        <f t="array" ref="L949">VLOOKUP(J949:$J$3871&amp;K949:$K$3871,CHOOSE({1,2},#REF!&amp;#REF!,#REF!),2,0)</f>
        <v>#N/A</v>
      </c>
      <c r="M949">
        <v>-15</v>
      </c>
      <c r="N949">
        <v>0</v>
      </c>
      <c r="O949" t="s">
        <v>7</v>
      </c>
      <c r="P949">
        <v>1</v>
      </c>
      <c r="Q949">
        <v>0</v>
      </c>
      <c r="R949">
        <v>0</v>
      </c>
      <c r="S949">
        <v>1</v>
      </c>
      <c r="T949">
        <v>0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 t="s">
        <v>4978</v>
      </c>
      <c r="AB949" t="s">
        <v>1351</v>
      </c>
      <c r="AC949" t="s">
        <v>4978</v>
      </c>
      <c r="AD949" t="e">
        <f>VLOOKUP(AB949,#REF!,2,FALSE)</f>
        <v>#REF!</v>
      </c>
      <c r="AE949" t="e">
        <f>RIGHT(#REF!,(FIND("Complex",#REF!,1)-8))</f>
        <v>#REF!</v>
      </c>
    </row>
    <row r="950" spans="1:31" x14ac:dyDescent="0.25">
      <c r="A950">
        <v>3701</v>
      </c>
      <c r="B950" t="s">
        <v>27</v>
      </c>
      <c r="C950">
        <v>52</v>
      </c>
      <c r="D950">
        <v>996</v>
      </c>
      <c r="E950">
        <v>3701</v>
      </c>
      <c r="F950">
        <v>3439801</v>
      </c>
      <c r="G950">
        <v>3528000</v>
      </c>
      <c r="H950">
        <f t="shared" si="28"/>
        <v>78.000022675736957</v>
      </c>
      <c r="I950">
        <f t="shared" si="29"/>
        <v>80</v>
      </c>
      <c r="J950" t="s">
        <v>29</v>
      </c>
      <c r="K950">
        <v>3</v>
      </c>
      <c r="L950" t="e">
        <f t="array" ref="L950">VLOOKUP(J950:$J$3871&amp;K950:$K$3871,CHOOSE({1,2},#REF!&amp;#REF!,#REF!),2,0)</f>
        <v>#N/A</v>
      </c>
      <c r="M950">
        <v>-15</v>
      </c>
      <c r="N950">
        <v>0</v>
      </c>
      <c r="O950" t="s">
        <v>7</v>
      </c>
      <c r="P950">
        <v>1</v>
      </c>
      <c r="Q950">
        <v>0</v>
      </c>
      <c r="R950">
        <v>0</v>
      </c>
      <c r="S950">
        <v>1</v>
      </c>
      <c r="T950">
        <v>0</v>
      </c>
      <c r="U950">
        <v>1</v>
      </c>
      <c r="V950">
        <v>0</v>
      </c>
      <c r="W950">
        <v>0</v>
      </c>
      <c r="X950">
        <v>0</v>
      </c>
      <c r="Y950">
        <v>0</v>
      </c>
      <c r="Z950">
        <v>0</v>
      </c>
      <c r="AA950" t="s">
        <v>5005</v>
      </c>
      <c r="AB950" t="s">
        <v>1352</v>
      </c>
      <c r="AC950" t="s">
        <v>5005</v>
      </c>
      <c r="AD950" t="e">
        <f>VLOOKUP(AB950,#REF!,2,FALSE)</f>
        <v>#REF!</v>
      </c>
      <c r="AE950" t="e">
        <f>RIGHT(#REF!,(FIND("Complex",#REF!,1)-8))</f>
        <v>#REF!</v>
      </c>
    </row>
    <row r="951" spans="1:31" x14ac:dyDescent="0.25">
      <c r="A951">
        <v>1515</v>
      </c>
      <c r="B951" t="s">
        <v>27</v>
      </c>
      <c r="C951">
        <v>52</v>
      </c>
      <c r="D951">
        <v>253</v>
      </c>
      <c r="E951">
        <v>1515</v>
      </c>
      <c r="F951">
        <v>3351601</v>
      </c>
      <c r="G951">
        <v>3439800</v>
      </c>
      <c r="H951">
        <f t="shared" si="28"/>
        <v>76.000022675736957</v>
      </c>
      <c r="I951">
        <f t="shared" si="29"/>
        <v>78</v>
      </c>
      <c r="J951" t="s">
        <v>29</v>
      </c>
      <c r="K951">
        <v>3</v>
      </c>
      <c r="L951" t="e">
        <f t="array" ref="L951">VLOOKUP(J951:$J$3871&amp;K951:$K$3871,CHOOSE({1,2},#REF!&amp;#REF!,#REF!),2,0)</f>
        <v>#N/A</v>
      </c>
      <c r="M951">
        <v>-15</v>
      </c>
      <c r="N951">
        <v>0</v>
      </c>
      <c r="O951" t="s">
        <v>7</v>
      </c>
      <c r="P951">
        <v>1</v>
      </c>
      <c r="Q951">
        <v>0</v>
      </c>
      <c r="R951">
        <v>0</v>
      </c>
      <c r="S951">
        <v>1</v>
      </c>
      <c r="T951">
        <v>0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 t="s">
        <v>5017</v>
      </c>
      <c r="AB951" t="s">
        <v>1353</v>
      </c>
      <c r="AC951" t="s">
        <v>5017</v>
      </c>
      <c r="AD951" t="e">
        <f>VLOOKUP(AB951,#REF!,2,FALSE)</f>
        <v>#REF!</v>
      </c>
      <c r="AE951" t="e">
        <f>RIGHT(#REF!,(FIND("Complex",#REF!,1)-8))</f>
        <v>#REF!</v>
      </c>
    </row>
    <row r="952" spans="1:31" x14ac:dyDescent="0.25">
      <c r="A952">
        <v>1313</v>
      </c>
      <c r="B952" t="s">
        <v>27</v>
      </c>
      <c r="C952">
        <v>52</v>
      </c>
      <c r="D952">
        <v>225</v>
      </c>
      <c r="E952">
        <v>1313</v>
      </c>
      <c r="F952">
        <v>4851001</v>
      </c>
      <c r="G952">
        <v>4939200</v>
      </c>
      <c r="H952">
        <f t="shared" si="28"/>
        <v>110.00002267573696</v>
      </c>
      <c r="I952">
        <f t="shared" si="29"/>
        <v>112</v>
      </c>
      <c r="J952" t="s">
        <v>29</v>
      </c>
      <c r="K952">
        <v>3</v>
      </c>
      <c r="L952" t="e">
        <f t="array" ref="L952">VLOOKUP(J952:$J$3871&amp;K952:$K$3871,CHOOSE({1,2},#REF!&amp;#REF!,#REF!),2,0)</f>
        <v>#N/A</v>
      </c>
      <c r="M952">
        <v>-15</v>
      </c>
      <c r="N952">
        <v>0</v>
      </c>
      <c r="O952" t="s">
        <v>7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1</v>
      </c>
      <c r="Z952">
        <v>0</v>
      </c>
      <c r="AA952" t="s">
        <v>6076</v>
      </c>
      <c r="AB952" t="s">
        <v>1354</v>
      </c>
      <c r="AC952" t="s">
        <v>6076</v>
      </c>
      <c r="AD952" t="e">
        <f>VLOOKUP(AB952,#REF!,2,FALSE)</f>
        <v>#REF!</v>
      </c>
      <c r="AE952" t="e">
        <f>RIGHT(#REF!,(FIND("Complex",#REF!,1)-7))</f>
        <v>#REF!</v>
      </c>
    </row>
    <row r="953" spans="1:31" x14ac:dyDescent="0.25">
      <c r="A953">
        <v>2100</v>
      </c>
      <c r="B953" t="s">
        <v>34</v>
      </c>
      <c r="C953">
        <v>53</v>
      </c>
      <c r="D953">
        <v>376</v>
      </c>
      <c r="E953">
        <v>2100</v>
      </c>
      <c r="F953">
        <v>3087001</v>
      </c>
      <c r="G953">
        <v>3175200</v>
      </c>
      <c r="H953">
        <f t="shared" si="28"/>
        <v>70.000022675736957</v>
      </c>
      <c r="I953">
        <f t="shared" si="29"/>
        <v>72</v>
      </c>
      <c r="J953" t="s">
        <v>29</v>
      </c>
      <c r="K953">
        <v>3</v>
      </c>
      <c r="L953" t="e">
        <f t="array" ref="L953">VLOOKUP(J953:$J$3871&amp;K953:$K$3871,CHOOSE({1,2},#REF!&amp;#REF!,#REF!),2,0)</f>
        <v>#N/A</v>
      </c>
      <c r="M953">
        <v>-15</v>
      </c>
      <c r="N953">
        <v>0</v>
      </c>
      <c r="O953" t="s">
        <v>7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1</v>
      </c>
      <c r="Y953">
        <v>0</v>
      </c>
      <c r="Z953">
        <v>0</v>
      </c>
      <c r="AA953" t="s">
        <v>5057</v>
      </c>
      <c r="AB953" t="s">
        <v>1367</v>
      </c>
      <c r="AC953" t="s">
        <v>5057</v>
      </c>
      <c r="AD953" t="e">
        <f>VLOOKUP(AB953,#REF!,2,FALSE)</f>
        <v>#REF!</v>
      </c>
      <c r="AE953" t="e">
        <f>RIGHT(#REF!,(FIND("Complex",#REF!,1)-8))</f>
        <v>#REF!</v>
      </c>
    </row>
    <row r="954" spans="1:31" x14ac:dyDescent="0.25">
      <c r="A954">
        <v>1615</v>
      </c>
      <c r="B954" t="s">
        <v>34</v>
      </c>
      <c r="C954">
        <v>53</v>
      </c>
      <c r="D954">
        <v>281</v>
      </c>
      <c r="E954">
        <v>1615</v>
      </c>
      <c r="F954">
        <v>2646001</v>
      </c>
      <c r="G954">
        <v>2734200</v>
      </c>
      <c r="H954">
        <f t="shared" si="28"/>
        <v>60.000022675736965</v>
      </c>
      <c r="I954">
        <f t="shared" si="29"/>
        <v>62</v>
      </c>
      <c r="J954" t="s">
        <v>29</v>
      </c>
      <c r="K954">
        <v>3</v>
      </c>
      <c r="L954" t="e">
        <f t="array" ref="L954">VLOOKUP(J954:$J$3871&amp;K954:$K$3871,CHOOSE({1,2},#REF!&amp;#REF!,#REF!),2,0)</f>
        <v>#N/A</v>
      </c>
      <c r="M954">
        <v>-15</v>
      </c>
      <c r="N954">
        <v>0</v>
      </c>
      <c r="O954" t="s">
        <v>7</v>
      </c>
      <c r="P954">
        <v>1</v>
      </c>
      <c r="Q954">
        <v>0</v>
      </c>
      <c r="R954">
        <v>1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0</v>
      </c>
      <c r="Y954">
        <v>0</v>
      </c>
      <c r="Z954">
        <v>0</v>
      </c>
      <c r="AA954" t="s">
        <v>5112</v>
      </c>
      <c r="AB954" t="s">
        <v>1368</v>
      </c>
      <c r="AC954" t="s">
        <v>5112</v>
      </c>
      <c r="AD954" t="e">
        <f>VLOOKUP(AB954,#REF!,2,FALSE)</f>
        <v>#REF!</v>
      </c>
      <c r="AE954" t="e">
        <f>RIGHT(#REF!,(FIND("Complex",#REF!,1)-8))</f>
        <v>#REF!</v>
      </c>
    </row>
    <row r="955" spans="1:31" x14ac:dyDescent="0.25">
      <c r="A955">
        <v>950</v>
      </c>
      <c r="B955" t="s">
        <v>34</v>
      </c>
      <c r="C955">
        <v>53</v>
      </c>
      <c r="D955">
        <v>169</v>
      </c>
      <c r="E955">
        <v>950</v>
      </c>
      <c r="F955">
        <v>1852201</v>
      </c>
      <c r="G955">
        <v>1940400</v>
      </c>
      <c r="H955">
        <f t="shared" si="28"/>
        <v>42.000022675736965</v>
      </c>
      <c r="I955">
        <f t="shared" si="29"/>
        <v>44</v>
      </c>
      <c r="J955" t="s">
        <v>29</v>
      </c>
      <c r="K955">
        <v>3</v>
      </c>
      <c r="L955" t="e">
        <f t="array" ref="L955">VLOOKUP(J955:$J$3871&amp;K955:$K$3871,CHOOSE({1,2},#REF!&amp;#REF!,#REF!),2,0)</f>
        <v>#N/A</v>
      </c>
      <c r="M955">
        <v>-15</v>
      </c>
      <c r="N955">
        <v>0</v>
      </c>
      <c r="O955" t="s">
        <v>7</v>
      </c>
      <c r="P955">
        <v>1</v>
      </c>
      <c r="Q955">
        <v>0</v>
      </c>
      <c r="R955">
        <v>1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 t="s">
        <v>5242</v>
      </c>
      <c r="AB955" t="s">
        <v>1369</v>
      </c>
      <c r="AC955" t="s">
        <v>5242</v>
      </c>
      <c r="AD955" t="e">
        <f>VLOOKUP(AB955,#REF!,2,FALSE)</f>
        <v>#REF!</v>
      </c>
      <c r="AE955" t="e">
        <f>RIGHT(#REF!,(FIND("Complex",#REF!,1)-7))</f>
        <v>#REF!</v>
      </c>
    </row>
    <row r="956" spans="1:31" x14ac:dyDescent="0.25">
      <c r="A956">
        <v>1003</v>
      </c>
      <c r="B956" t="s">
        <v>253</v>
      </c>
      <c r="C956">
        <v>55</v>
      </c>
      <c r="D956">
        <v>177</v>
      </c>
      <c r="E956">
        <v>1003</v>
      </c>
      <c r="F956">
        <v>9613801</v>
      </c>
      <c r="G956">
        <v>9702000</v>
      </c>
      <c r="H956">
        <f t="shared" si="28"/>
        <v>218.00002267573697</v>
      </c>
      <c r="I956">
        <f t="shared" si="29"/>
        <v>220</v>
      </c>
      <c r="J956" t="s">
        <v>29</v>
      </c>
      <c r="K956">
        <v>3</v>
      </c>
      <c r="L956" t="e">
        <f t="array" ref="L956">VLOOKUP(J956:$J$3871&amp;K956:$K$3871,CHOOSE({1,2},#REF!&amp;#REF!,#REF!),2,0)</f>
        <v>#N/A</v>
      </c>
      <c r="M956">
        <v>-15</v>
      </c>
      <c r="N956">
        <v>0</v>
      </c>
      <c r="O956" t="s">
        <v>7</v>
      </c>
      <c r="P956">
        <v>1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 t="s">
        <v>5588</v>
      </c>
      <c r="AB956" t="s">
        <v>254</v>
      </c>
      <c r="AC956" t="s">
        <v>5588</v>
      </c>
      <c r="AD956" t="e">
        <f>VLOOKUP(AB956,#REF!,2,FALSE)</f>
        <v>#REF!</v>
      </c>
      <c r="AE956" t="e">
        <f>RIGHT(#REF!,(FIND("Complex",#REF!,1)-7))</f>
        <v>#REF!</v>
      </c>
    </row>
    <row r="957" spans="1:31" x14ac:dyDescent="0.25">
      <c r="A957">
        <v>2748</v>
      </c>
      <c r="B957" t="s">
        <v>253</v>
      </c>
      <c r="C957">
        <v>55</v>
      </c>
      <c r="D957">
        <v>581</v>
      </c>
      <c r="E957">
        <v>2748</v>
      </c>
      <c r="F957">
        <v>9525601</v>
      </c>
      <c r="G957">
        <v>9613800</v>
      </c>
      <c r="H957">
        <f t="shared" si="28"/>
        <v>216.00002267573697</v>
      </c>
      <c r="I957">
        <f t="shared" si="29"/>
        <v>218</v>
      </c>
      <c r="J957" t="s">
        <v>29</v>
      </c>
      <c r="K957">
        <v>3</v>
      </c>
      <c r="L957" t="e">
        <f t="array" ref="L957">VLOOKUP(J957:$J$3871&amp;K957:$K$3871,CHOOSE({1,2},#REF!&amp;#REF!,#REF!),2,0)</f>
        <v>#N/A</v>
      </c>
      <c r="M957">
        <v>-15</v>
      </c>
      <c r="N957">
        <v>0</v>
      </c>
      <c r="O957" t="s">
        <v>7</v>
      </c>
      <c r="P957">
        <v>1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 t="s">
        <v>5592</v>
      </c>
      <c r="AB957" t="s">
        <v>1392</v>
      </c>
      <c r="AC957" t="s">
        <v>5592</v>
      </c>
      <c r="AD957" t="e">
        <f>VLOOKUP(AB957,#REF!,2,FALSE)</f>
        <v>#REF!</v>
      </c>
      <c r="AE957" t="e">
        <f>RIGHT(#REF!,(FIND("Complex",#REF!,1)-7))</f>
        <v>#REF!</v>
      </c>
    </row>
    <row r="958" spans="1:31" x14ac:dyDescent="0.25">
      <c r="A958">
        <v>3801</v>
      </c>
      <c r="B958" t="s">
        <v>255</v>
      </c>
      <c r="C958">
        <v>56</v>
      </c>
      <c r="D958">
        <v>1031</v>
      </c>
      <c r="E958">
        <v>3801</v>
      </c>
      <c r="F958">
        <v>1764001</v>
      </c>
      <c r="G958">
        <v>1852200</v>
      </c>
      <c r="H958">
        <f t="shared" si="28"/>
        <v>40.000022675736965</v>
      </c>
      <c r="I958">
        <f t="shared" si="29"/>
        <v>42</v>
      </c>
      <c r="J958" t="s">
        <v>29</v>
      </c>
      <c r="K958">
        <v>3</v>
      </c>
      <c r="L958" t="e">
        <f t="array" ref="L958">VLOOKUP(J958:$J$3871&amp;K958:$K$3871,CHOOSE({1,2},#REF!&amp;#REF!,#REF!),2,0)</f>
        <v>#N/A</v>
      </c>
      <c r="M958">
        <v>-15</v>
      </c>
      <c r="N958">
        <v>0</v>
      </c>
      <c r="O958" t="s">
        <v>7</v>
      </c>
      <c r="P958">
        <v>1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 t="s">
        <v>5257</v>
      </c>
      <c r="AB958" t="s">
        <v>7342</v>
      </c>
      <c r="AC958" t="s">
        <v>5257</v>
      </c>
      <c r="AD958" t="e">
        <f>VLOOKUP(AB958,#REF!,2,FALSE)</f>
        <v>#REF!</v>
      </c>
      <c r="AE958" t="e">
        <f>RIGHT(#REF!,(FIND("Complex",#REF!,1)-9))</f>
        <v>#REF!</v>
      </c>
    </row>
    <row r="959" spans="1:31" x14ac:dyDescent="0.25">
      <c r="A959">
        <v>3005</v>
      </c>
      <c r="B959" t="s">
        <v>255</v>
      </c>
      <c r="C959">
        <v>56</v>
      </c>
      <c r="D959">
        <v>686</v>
      </c>
      <c r="E959">
        <v>3005</v>
      </c>
      <c r="F959">
        <v>9966601</v>
      </c>
      <c r="G959">
        <v>10054800</v>
      </c>
      <c r="H959">
        <f t="shared" si="28"/>
        <v>226.00002267573697</v>
      </c>
      <c r="I959">
        <f t="shared" si="29"/>
        <v>228</v>
      </c>
      <c r="J959" t="s">
        <v>29</v>
      </c>
      <c r="K959">
        <v>3</v>
      </c>
      <c r="L959" t="e">
        <f t="array" ref="L959">VLOOKUP(J959:$J$3871&amp;K959:$K$3871,CHOOSE({1,2},#REF!&amp;#REF!,#REF!),2,0)</f>
        <v>#N/A</v>
      </c>
      <c r="M959">
        <v>-15</v>
      </c>
      <c r="N959">
        <v>0</v>
      </c>
      <c r="O959" t="s">
        <v>7</v>
      </c>
      <c r="P959">
        <v>1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0</v>
      </c>
      <c r="Y959">
        <v>0</v>
      </c>
      <c r="Z959">
        <v>0</v>
      </c>
      <c r="AA959" t="s">
        <v>5553</v>
      </c>
      <c r="AB959" t="s">
        <v>7526</v>
      </c>
      <c r="AC959" t="s">
        <v>5553</v>
      </c>
      <c r="AD959" t="e">
        <f>VLOOKUP(AB959,#REF!,2,FALSE)</f>
        <v>#REF!</v>
      </c>
      <c r="AE959" t="e">
        <f>RIGHT(#REF!,(FIND("Complex",#REF!,1)-7))</f>
        <v>#REF!</v>
      </c>
    </row>
    <row r="960" spans="1:31" x14ac:dyDescent="0.25">
      <c r="A960">
        <v>3867</v>
      </c>
      <c r="B960" t="s">
        <v>255</v>
      </c>
      <c r="C960">
        <v>56</v>
      </c>
      <c r="D960">
        <v>1056</v>
      </c>
      <c r="E960">
        <v>3867</v>
      </c>
      <c r="F960">
        <v>9878401</v>
      </c>
      <c r="G960">
        <v>9966600</v>
      </c>
      <c r="H960">
        <f t="shared" si="28"/>
        <v>224.00002267573697</v>
      </c>
      <c r="I960">
        <f t="shared" si="29"/>
        <v>226</v>
      </c>
      <c r="J960" t="s">
        <v>29</v>
      </c>
      <c r="K960">
        <v>3</v>
      </c>
      <c r="L960" t="e">
        <f t="array" ref="L960">VLOOKUP(J960:$J$3871&amp;K960:$K$3871,CHOOSE({1,2},#REF!&amp;#REF!,#REF!),2,0)</f>
        <v>#N/A</v>
      </c>
      <c r="M960">
        <v>-15</v>
      </c>
      <c r="N960">
        <v>0</v>
      </c>
      <c r="O960" t="s">
        <v>7</v>
      </c>
      <c r="P960">
        <v>1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 t="s">
        <v>5558</v>
      </c>
      <c r="AB960" t="s">
        <v>7528</v>
      </c>
      <c r="AC960" t="s">
        <v>5558</v>
      </c>
      <c r="AD960" t="e">
        <f>VLOOKUP(AB960,#REF!,2,FALSE)</f>
        <v>#REF!</v>
      </c>
      <c r="AE960" t="e">
        <f>RIGHT(#REF!,(FIND("Complex",#REF!,1)-8))</f>
        <v>#REF!</v>
      </c>
    </row>
    <row r="961" spans="1:31" x14ac:dyDescent="0.25">
      <c r="A961">
        <v>3596</v>
      </c>
      <c r="B961" t="s">
        <v>255</v>
      </c>
      <c r="C961">
        <v>56</v>
      </c>
      <c r="D961">
        <v>959</v>
      </c>
      <c r="E961">
        <v>3596</v>
      </c>
      <c r="F961">
        <v>9790201</v>
      </c>
      <c r="G961">
        <v>9878400</v>
      </c>
      <c r="H961">
        <f t="shared" si="28"/>
        <v>222.00002267573697</v>
      </c>
      <c r="I961">
        <f t="shared" si="29"/>
        <v>224</v>
      </c>
      <c r="J961" t="s">
        <v>29</v>
      </c>
      <c r="K961">
        <v>3</v>
      </c>
      <c r="L961" t="e">
        <f t="array" ref="L961">VLOOKUP(J961:$J$3871&amp;K961:$K$3871,CHOOSE({1,2},#REF!&amp;#REF!,#REF!),2,0)</f>
        <v>#N/A</v>
      </c>
      <c r="M961">
        <v>-15</v>
      </c>
      <c r="N961">
        <v>0</v>
      </c>
      <c r="O961" t="s">
        <v>7</v>
      </c>
      <c r="P961">
        <v>1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 t="s">
        <v>5564</v>
      </c>
      <c r="AB961" t="s">
        <v>1395</v>
      </c>
      <c r="AC961" t="s">
        <v>5564</v>
      </c>
      <c r="AD961" t="e">
        <f>VLOOKUP(AB961,#REF!,2,FALSE)</f>
        <v>#REF!</v>
      </c>
      <c r="AE961" t="e">
        <f>RIGHT(#REF!,(FIND("Complex",#REF!,1)-7))</f>
        <v>#REF!</v>
      </c>
    </row>
    <row r="962" spans="1:31" x14ac:dyDescent="0.25">
      <c r="A962">
        <v>3582</v>
      </c>
      <c r="B962" t="s">
        <v>255</v>
      </c>
      <c r="C962">
        <v>56</v>
      </c>
      <c r="D962">
        <v>953</v>
      </c>
      <c r="E962">
        <v>3582</v>
      </c>
      <c r="F962">
        <v>9613801</v>
      </c>
      <c r="G962">
        <v>9702000</v>
      </c>
      <c r="H962">
        <f t="shared" ref="H962:H1025" si="30">F962/44100</f>
        <v>218.00002267573697</v>
      </c>
      <c r="I962">
        <f t="shared" ref="I962:I1025" si="31">G962/44100</f>
        <v>220</v>
      </c>
      <c r="J962" t="s">
        <v>29</v>
      </c>
      <c r="K962">
        <v>3</v>
      </c>
      <c r="L962" t="e">
        <f t="array" ref="L962">VLOOKUP(J962:$J$3871&amp;K962:$K$3871,CHOOSE({1,2},#REF!&amp;#REF!,#REF!),2,0)</f>
        <v>#N/A</v>
      </c>
      <c r="M962">
        <v>-15</v>
      </c>
      <c r="N962">
        <v>0</v>
      </c>
      <c r="O962" t="s">
        <v>7</v>
      </c>
      <c r="P962">
        <v>1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 t="s">
        <v>5587</v>
      </c>
      <c r="AB962" t="s">
        <v>1396</v>
      </c>
      <c r="AC962" t="s">
        <v>5587</v>
      </c>
      <c r="AD962" t="e">
        <f>VLOOKUP(AB962,#REF!,2,FALSE)</f>
        <v>#REF!</v>
      </c>
      <c r="AE962" t="e">
        <f>RIGHT(#REF!,(FIND("Complex",#REF!,1)-7))</f>
        <v>#REF!</v>
      </c>
    </row>
    <row r="963" spans="1:31" x14ac:dyDescent="0.25">
      <c r="A963">
        <v>3616</v>
      </c>
      <c r="B963" t="s">
        <v>255</v>
      </c>
      <c r="C963">
        <v>56</v>
      </c>
      <c r="D963">
        <v>964</v>
      </c>
      <c r="E963">
        <v>3616</v>
      </c>
      <c r="F963">
        <v>9525601</v>
      </c>
      <c r="G963">
        <v>9613800</v>
      </c>
      <c r="H963">
        <f t="shared" si="30"/>
        <v>216.00002267573697</v>
      </c>
      <c r="I963">
        <f t="shared" si="31"/>
        <v>218</v>
      </c>
      <c r="J963" t="s">
        <v>29</v>
      </c>
      <c r="K963">
        <v>3</v>
      </c>
      <c r="L963" t="e">
        <f t="array" ref="L963">VLOOKUP(J963:$J$3871&amp;K963:$K$3871,CHOOSE({1,2},#REF!&amp;#REF!,#REF!),2,0)</f>
        <v>#N/A</v>
      </c>
      <c r="M963">
        <v>-15</v>
      </c>
      <c r="N963">
        <v>0</v>
      </c>
      <c r="O963" t="s">
        <v>7</v>
      </c>
      <c r="P963">
        <v>1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 t="s">
        <v>5591</v>
      </c>
      <c r="AB963" t="s">
        <v>7546</v>
      </c>
      <c r="AC963" t="s">
        <v>5591</v>
      </c>
      <c r="AD963" t="e">
        <f>VLOOKUP(AB963,#REF!,2,FALSE)</f>
        <v>#REF!</v>
      </c>
      <c r="AE963" t="e">
        <f>RIGHT(#REF!,(FIND("Complex",#REF!,1)-7))</f>
        <v>#REF!</v>
      </c>
    </row>
    <row r="964" spans="1:31" x14ac:dyDescent="0.25">
      <c r="A964">
        <v>2374</v>
      </c>
      <c r="B964" t="s">
        <v>255</v>
      </c>
      <c r="C964">
        <v>56</v>
      </c>
      <c r="D964">
        <v>441</v>
      </c>
      <c r="E964">
        <v>2374</v>
      </c>
      <c r="F964">
        <v>9437401</v>
      </c>
      <c r="G964">
        <v>9525600</v>
      </c>
      <c r="H964">
        <f t="shared" si="30"/>
        <v>214.00002267573697</v>
      </c>
      <c r="I964">
        <f t="shared" si="31"/>
        <v>216</v>
      </c>
      <c r="J964" t="s">
        <v>29</v>
      </c>
      <c r="K964">
        <v>3</v>
      </c>
      <c r="L964" t="e">
        <f t="array" ref="L964">VLOOKUP(J964:$J$3871&amp;K964:$K$3871,CHOOSE({1,2},#REF!&amp;#REF!,#REF!),2,0)</f>
        <v>#N/A</v>
      </c>
      <c r="M964">
        <v>-15</v>
      </c>
      <c r="N964">
        <v>0</v>
      </c>
      <c r="O964" t="s">
        <v>7</v>
      </c>
      <c r="P964">
        <v>1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 t="s">
        <v>5598</v>
      </c>
      <c r="AB964" t="s">
        <v>7552</v>
      </c>
      <c r="AC964" t="s">
        <v>5598</v>
      </c>
      <c r="AD964" t="e">
        <f>VLOOKUP(AB964,#REF!,2,FALSE)</f>
        <v>#REF!</v>
      </c>
      <c r="AE964" t="e">
        <f>RIGHT(#REF!,(FIND("Complex",#REF!,1)-7))</f>
        <v>#REF!</v>
      </c>
    </row>
    <row r="965" spans="1:31" x14ac:dyDescent="0.25">
      <c r="A965">
        <v>2074</v>
      </c>
      <c r="B965" t="s">
        <v>255</v>
      </c>
      <c r="C965">
        <v>56</v>
      </c>
      <c r="D965">
        <v>368</v>
      </c>
      <c r="E965">
        <v>2074</v>
      </c>
      <c r="F965">
        <v>9349201</v>
      </c>
      <c r="G965">
        <v>9437400</v>
      </c>
      <c r="H965">
        <f t="shared" si="30"/>
        <v>212.00002267573697</v>
      </c>
      <c r="I965">
        <f t="shared" si="31"/>
        <v>214</v>
      </c>
      <c r="J965" t="s">
        <v>29</v>
      </c>
      <c r="K965">
        <v>3</v>
      </c>
      <c r="L965" t="e">
        <f t="array" ref="L965">VLOOKUP(J965:$J$3871&amp;K965:$K$3871,CHOOSE({1,2},#REF!&amp;#REF!,#REF!),2,0)</f>
        <v>#N/A</v>
      </c>
      <c r="M965">
        <v>-15</v>
      </c>
      <c r="N965">
        <v>0</v>
      </c>
      <c r="O965" t="s">
        <v>7</v>
      </c>
      <c r="P965">
        <v>1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 t="s">
        <v>5601</v>
      </c>
      <c r="AB965" t="s">
        <v>7554</v>
      </c>
      <c r="AC965" t="s">
        <v>5601</v>
      </c>
      <c r="AD965" t="e">
        <f>VLOOKUP(AB965,#REF!,2,FALSE)</f>
        <v>#REF!</v>
      </c>
      <c r="AE965" t="e">
        <f>RIGHT(#REF!,(FIND("Complex",#REF!,1)-7))</f>
        <v>#REF!</v>
      </c>
    </row>
    <row r="966" spans="1:31" x14ac:dyDescent="0.25">
      <c r="A966">
        <v>3822</v>
      </c>
      <c r="B966" t="s">
        <v>255</v>
      </c>
      <c r="C966">
        <v>56</v>
      </c>
      <c r="D966">
        <v>1039</v>
      </c>
      <c r="E966">
        <v>3822</v>
      </c>
      <c r="F966">
        <v>7497001</v>
      </c>
      <c r="G966">
        <v>7585200</v>
      </c>
      <c r="H966">
        <f t="shared" si="30"/>
        <v>170.00002267573697</v>
      </c>
      <c r="I966">
        <f t="shared" si="31"/>
        <v>172</v>
      </c>
      <c r="J966" t="s">
        <v>29</v>
      </c>
      <c r="K966">
        <v>3</v>
      </c>
      <c r="L966" t="e">
        <f t="array" ref="L966">VLOOKUP(J966:$J$3871&amp;K966:$K$3871,CHOOSE({1,2},#REF!&amp;#REF!,#REF!),2,0)</f>
        <v>#N/A</v>
      </c>
      <c r="M966">
        <v>-15</v>
      </c>
      <c r="N966">
        <v>0</v>
      </c>
      <c r="O966" t="s">
        <v>7</v>
      </c>
      <c r="P966">
        <v>1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 t="s">
        <v>5755</v>
      </c>
      <c r="AB966" t="s">
        <v>7653</v>
      </c>
      <c r="AC966" t="s">
        <v>5755</v>
      </c>
      <c r="AD966" t="e">
        <f>VLOOKUP(AB966,#REF!,2,FALSE)</f>
        <v>#REF!</v>
      </c>
      <c r="AE966" t="e">
        <f>RIGHT(#REF!,(FIND("Complex",#REF!,1)-8))</f>
        <v>#REF!</v>
      </c>
    </row>
    <row r="967" spans="1:31" x14ac:dyDescent="0.25">
      <c r="A967">
        <v>3084</v>
      </c>
      <c r="B967" t="s">
        <v>255</v>
      </c>
      <c r="C967">
        <v>56</v>
      </c>
      <c r="D967">
        <v>719</v>
      </c>
      <c r="E967">
        <v>3084</v>
      </c>
      <c r="F967">
        <v>5821201</v>
      </c>
      <c r="G967">
        <v>5909400</v>
      </c>
      <c r="H967">
        <f t="shared" si="30"/>
        <v>132.00002267573697</v>
      </c>
      <c r="I967">
        <f t="shared" si="31"/>
        <v>134</v>
      </c>
      <c r="J967" t="s">
        <v>29</v>
      </c>
      <c r="K967">
        <v>3</v>
      </c>
      <c r="L967" t="e">
        <f t="array" ref="L967">VLOOKUP(J967:$J$3871&amp;K967:$K$3871,CHOOSE({1,2},#REF!&amp;#REF!,#REF!),2,0)</f>
        <v>#N/A</v>
      </c>
      <c r="M967">
        <v>-15</v>
      </c>
      <c r="N967">
        <v>0</v>
      </c>
      <c r="O967" t="s">
        <v>7</v>
      </c>
      <c r="P967">
        <v>1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 t="s">
        <v>5970</v>
      </c>
      <c r="AB967" t="s">
        <v>7778</v>
      </c>
      <c r="AC967" t="s">
        <v>5970</v>
      </c>
      <c r="AD967" t="e">
        <f>VLOOKUP(AB967,#REF!,2,FALSE)</f>
        <v>#REF!</v>
      </c>
      <c r="AE967" t="e">
        <f>RIGHT(#REF!,(FIND("Complex",#REF!,1)-7))</f>
        <v>#REF!</v>
      </c>
    </row>
    <row r="968" spans="1:31" x14ac:dyDescent="0.25">
      <c r="A968">
        <v>3860</v>
      </c>
      <c r="B968" t="s">
        <v>255</v>
      </c>
      <c r="C968">
        <v>56</v>
      </c>
      <c r="D968">
        <v>1052</v>
      </c>
      <c r="E968">
        <v>3860</v>
      </c>
      <c r="F968">
        <v>5203801</v>
      </c>
      <c r="G968">
        <v>5292000</v>
      </c>
      <c r="H968">
        <f t="shared" si="30"/>
        <v>118.00002267573696</v>
      </c>
      <c r="I968">
        <f t="shared" si="31"/>
        <v>120</v>
      </c>
      <c r="J968" t="s">
        <v>29</v>
      </c>
      <c r="K968">
        <v>3</v>
      </c>
      <c r="L968" t="e">
        <f t="array" ref="L968">VLOOKUP(J968:$J$3871&amp;K968:$K$3871,CHOOSE({1,2},#REF!&amp;#REF!,#REF!),2,0)</f>
        <v>#N/A</v>
      </c>
      <c r="M968">
        <v>-15</v>
      </c>
      <c r="N968">
        <v>0</v>
      </c>
      <c r="O968" t="s">
        <v>7</v>
      </c>
      <c r="P968">
        <v>1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>
        <v>0</v>
      </c>
      <c r="Z968">
        <v>0</v>
      </c>
      <c r="AA968" t="s">
        <v>6046</v>
      </c>
      <c r="AB968" t="s">
        <v>7821</v>
      </c>
      <c r="AC968" t="s">
        <v>6046</v>
      </c>
      <c r="AD968" t="e">
        <f>VLOOKUP(AB968,#REF!,2,FALSE)</f>
        <v>#REF!</v>
      </c>
      <c r="AE968" t="e">
        <f>RIGHT(#REF!,(FIND("Complex",#REF!,1)-8))</f>
        <v>#REF!</v>
      </c>
    </row>
    <row r="969" spans="1:31" x14ac:dyDescent="0.25">
      <c r="A969">
        <v>3687</v>
      </c>
      <c r="B969" t="s">
        <v>255</v>
      </c>
      <c r="C969">
        <v>56</v>
      </c>
      <c r="D969">
        <v>992</v>
      </c>
      <c r="E969">
        <v>3687</v>
      </c>
      <c r="F969">
        <v>4939201</v>
      </c>
      <c r="G969">
        <v>5027400</v>
      </c>
      <c r="H969">
        <f t="shared" si="30"/>
        <v>112.00002267573696</v>
      </c>
      <c r="I969">
        <f t="shared" si="31"/>
        <v>114</v>
      </c>
      <c r="J969" t="s">
        <v>29</v>
      </c>
      <c r="K969">
        <v>3</v>
      </c>
      <c r="L969" t="e">
        <f t="array" ref="L969">VLOOKUP(J969:$J$3871&amp;K969:$K$3871,CHOOSE({1,2},#REF!&amp;#REF!,#REF!),2,0)</f>
        <v>#N/A</v>
      </c>
      <c r="M969">
        <v>-15</v>
      </c>
      <c r="N969">
        <v>0</v>
      </c>
      <c r="O969" t="s">
        <v>7</v>
      </c>
      <c r="P969">
        <v>1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 t="s">
        <v>6068</v>
      </c>
      <c r="AB969" t="s">
        <v>1397</v>
      </c>
      <c r="AC969" t="s">
        <v>6068</v>
      </c>
      <c r="AD969" t="e">
        <f>VLOOKUP(AB969,#REF!,2,FALSE)</f>
        <v>#REF!</v>
      </c>
      <c r="AE969" t="e">
        <f>RIGHT(#REF!,(FIND("Complex",#REF!,1)-7))</f>
        <v>#REF!</v>
      </c>
    </row>
    <row r="970" spans="1:31" x14ac:dyDescent="0.25">
      <c r="A970">
        <v>3412</v>
      </c>
      <c r="B970" t="s">
        <v>257</v>
      </c>
      <c r="C970">
        <v>58</v>
      </c>
      <c r="D970">
        <v>881</v>
      </c>
      <c r="E970">
        <v>3412</v>
      </c>
      <c r="F970">
        <v>11907001</v>
      </c>
      <c r="G970">
        <v>11995200</v>
      </c>
      <c r="H970">
        <f t="shared" si="30"/>
        <v>270.00002267573694</v>
      </c>
      <c r="I970">
        <f t="shared" si="31"/>
        <v>272</v>
      </c>
      <c r="J970" t="s">
        <v>29</v>
      </c>
      <c r="K970">
        <v>3</v>
      </c>
      <c r="L970" t="e">
        <f t="array" ref="L970">VLOOKUP(J970:$J$3871&amp;K970:$K$3871,CHOOSE({1,2},#REF!&amp;#REF!,#REF!),2,0)</f>
        <v>#N/A</v>
      </c>
      <c r="M970">
        <v>-15</v>
      </c>
      <c r="N970">
        <v>0</v>
      </c>
      <c r="O970" t="s">
        <v>7</v>
      </c>
      <c r="P970">
        <v>1</v>
      </c>
      <c r="Q970">
        <v>1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 t="s">
        <v>5435</v>
      </c>
      <c r="AB970" t="s">
        <v>1418</v>
      </c>
      <c r="AC970" t="s">
        <v>5435</v>
      </c>
      <c r="AD970" t="e">
        <f>VLOOKUP(AB970,#REF!,2,FALSE)</f>
        <v>#REF!</v>
      </c>
      <c r="AE970" t="e">
        <f>RIGHT(#REF!,(FIND("Complex",#REF!,1)-7))</f>
        <v>#REF!</v>
      </c>
    </row>
    <row r="971" spans="1:31" x14ac:dyDescent="0.25">
      <c r="A971">
        <v>3405</v>
      </c>
      <c r="B971" t="s">
        <v>257</v>
      </c>
      <c r="C971">
        <v>58</v>
      </c>
      <c r="D971">
        <v>878</v>
      </c>
      <c r="E971">
        <v>3405</v>
      </c>
      <c r="F971">
        <v>11818801</v>
      </c>
      <c r="G971">
        <v>11907000</v>
      </c>
      <c r="H971">
        <f t="shared" si="30"/>
        <v>268.00002267573694</v>
      </c>
      <c r="I971">
        <f t="shared" si="31"/>
        <v>270</v>
      </c>
      <c r="J971" t="s">
        <v>29</v>
      </c>
      <c r="K971">
        <v>3</v>
      </c>
      <c r="L971" t="e">
        <f t="array" ref="L971">VLOOKUP(J971:$J$3871&amp;K971:$K$3871,CHOOSE({1,2},#REF!&amp;#REF!,#REF!),2,0)</f>
        <v>#N/A</v>
      </c>
      <c r="M971">
        <v>-15</v>
      </c>
      <c r="N971">
        <v>0</v>
      </c>
      <c r="O971" t="s">
        <v>7</v>
      </c>
      <c r="P971">
        <v>1</v>
      </c>
      <c r="Q971">
        <v>1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 t="s">
        <v>5439</v>
      </c>
      <c r="AB971" t="s">
        <v>1419</v>
      </c>
      <c r="AC971" t="s">
        <v>5439</v>
      </c>
      <c r="AD971" t="e">
        <f>VLOOKUP(AB971,#REF!,2,FALSE)</f>
        <v>#REF!</v>
      </c>
      <c r="AE971" t="e">
        <f>RIGHT(#REF!,(FIND("Complex",#REF!,1)-7))</f>
        <v>#REF!</v>
      </c>
    </row>
    <row r="972" spans="1:31" x14ac:dyDescent="0.25">
      <c r="A972">
        <v>3741</v>
      </c>
      <c r="B972" t="s">
        <v>257</v>
      </c>
      <c r="C972">
        <v>58</v>
      </c>
      <c r="D972">
        <v>1013</v>
      </c>
      <c r="E972">
        <v>3741</v>
      </c>
      <c r="F972">
        <v>11730601</v>
      </c>
      <c r="G972">
        <v>11818800</v>
      </c>
      <c r="H972">
        <f t="shared" si="30"/>
        <v>266.00002267573694</v>
      </c>
      <c r="I972">
        <f t="shared" si="31"/>
        <v>268</v>
      </c>
      <c r="J972" t="s">
        <v>29</v>
      </c>
      <c r="K972">
        <v>3</v>
      </c>
      <c r="L972" t="e">
        <f t="array" ref="L972">VLOOKUP(J972:$J$3871&amp;K972:$K$3871,CHOOSE({1,2},#REF!&amp;#REF!,#REF!),2,0)</f>
        <v>#N/A</v>
      </c>
      <c r="M972">
        <v>-15</v>
      </c>
      <c r="N972">
        <v>0</v>
      </c>
      <c r="O972" t="s">
        <v>7</v>
      </c>
      <c r="P972">
        <v>1</v>
      </c>
      <c r="Q972">
        <v>1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 t="s">
        <v>5443</v>
      </c>
      <c r="AB972" t="s">
        <v>1420</v>
      </c>
      <c r="AC972" t="s">
        <v>5443</v>
      </c>
      <c r="AD972" t="e">
        <f>VLOOKUP(AB972,#REF!,2,FALSE)</f>
        <v>#REF!</v>
      </c>
      <c r="AE972" t="e">
        <f>RIGHT(#REF!,(FIND("Complex",#REF!,1)-8))</f>
        <v>#REF!</v>
      </c>
    </row>
    <row r="973" spans="1:31" x14ac:dyDescent="0.25">
      <c r="A973">
        <v>3446</v>
      </c>
      <c r="B973" t="s">
        <v>257</v>
      </c>
      <c r="C973">
        <v>58</v>
      </c>
      <c r="D973">
        <v>897</v>
      </c>
      <c r="E973">
        <v>3446</v>
      </c>
      <c r="F973">
        <v>7849801</v>
      </c>
      <c r="G973">
        <v>7938000</v>
      </c>
      <c r="H973">
        <f t="shared" si="30"/>
        <v>178.00002267573697</v>
      </c>
      <c r="I973">
        <f t="shared" si="31"/>
        <v>180</v>
      </c>
      <c r="J973" t="s">
        <v>29</v>
      </c>
      <c r="K973">
        <v>3</v>
      </c>
      <c r="L973" t="e">
        <f t="array" ref="L973">VLOOKUP(J973:$J$3871&amp;K973:$K$3871,CHOOSE({1,2},#REF!&amp;#REF!,#REF!),2,0)</f>
        <v>#N/A</v>
      </c>
      <c r="M973">
        <v>-15</v>
      </c>
      <c r="N973">
        <v>0</v>
      </c>
      <c r="O973" t="s">
        <v>7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1</v>
      </c>
      <c r="Y973">
        <v>0</v>
      </c>
      <c r="Z973">
        <v>0</v>
      </c>
      <c r="AA973" t="s">
        <v>5719</v>
      </c>
      <c r="AB973" t="s">
        <v>7630</v>
      </c>
      <c r="AC973" t="s">
        <v>5719</v>
      </c>
      <c r="AD973" t="e">
        <f>VLOOKUP(AB973,#REF!,2,FALSE)</f>
        <v>#REF!</v>
      </c>
      <c r="AE973" t="e">
        <f>RIGHT(#REF!,(FIND("Complex",#REF!,1)-7))</f>
        <v>#REF!</v>
      </c>
    </row>
    <row r="974" spans="1:31" x14ac:dyDescent="0.25">
      <c r="A974">
        <v>1261</v>
      </c>
      <c r="B974" t="s">
        <v>42</v>
      </c>
      <c r="C974">
        <v>71</v>
      </c>
      <c r="D974">
        <v>217</v>
      </c>
      <c r="E974">
        <v>1261</v>
      </c>
      <c r="F974">
        <v>1675801</v>
      </c>
      <c r="G974">
        <v>1764000</v>
      </c>
      <c r="H974">
        <f t="shared" si="30"/>
        <v>38.000022675736965</v>
      </c>
      <c r="I974">
        <f t="shared" si="31"/>
        <v>40</v>
      </c>
      <c r="J974" t="s">
        <v>29</v>
      </c>
      <c r="K974">
        <v>3</v>
      </c>
      <c r="L974" t="e">
        <f t="array" ref="L974">VLOOKUP(J974:$J$3871&amp;K974:$K$3871,CHOOSE({1,2},#REF!&amp;#REF!,#REF!),2,0)</f>
        <v>#N/A</v>
      </c>
      <c r="M974">
        <v>-15</v>
      </c>
      <c r="N974">
        <v>0</v>
      </c>
      <c r="O974" t="s">
        <v>7</v>
      </c>
      <c r="P974">
        <v>1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 t="s">
        <v>5290</v>
      </c>
      <c r="AB974" t="s">
        <v>216</v>
      </c>
      <c r="AC974" t="s">
        <v>5290</v>
      </c>
      <c r="AD974" t="e">
        <f>VLOOKUP(AB974,#REF!,2,FALSE)</f>
        <v>#REF!</v>
      </c>
      <c r="AE974" t="e">
        <f>RIGHT(#REF!,(FIND("Complex",#REF!,1)-8))</f>
        <v>#REF!</v>
      </c>
    </row>
    <row r="975" spans="1:31" x14ac:dyDescent="0.25">
      <c r="A975">
        <v>483</v>
      </c>
      <c r="B975" t="s">
        <v>31</v>
      </c>
      <c r="C975">
        <v>83</v>
      </c>
      <c r="D975">
        <v>89</v>
      </c>
      <c r="E975">
        <v>483</v>
      </c>
      <c r="F975">
        <v>3792601</v>
      </c>
      <c r="G975">
        <v>3880800</v>
      </c>
      <c r="H975">
        <f t="shared" si="30"/>
        <v>86.000022675736957</v>
      </c>
      <c r="I975">
        <f t="shared" si="31"/>
        <v>88</v>
      </c>
      <c r="J975" t="s">
        <v>29</v>
      </c>
      <c r="K975">
        <v>3</v>
      </c>
      <c r="L975" t="e">
        <f t="array" ref="L975">VLOOKUP(J975:$J$3871&amp;K975:$K$3871,CHOOSE({1,2},#REF!&amp;#REF!,#REF!),2,0)</f>
        <v>#N/A</v>
      </c>
      <c r="M975">
        <v>-15</v>
      </c>
      <c r="N975">
        <v>0</v>
      </c>
      <c r="O975" t="s">
        <v>7</v>
      </c>
      <c r="P975">
        <v>1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0</v>
      </c>
      <c r="Z975">
        <v>0</v>
      </c>
      <c r="AA975" t="s">
        <v>4944</v>
      </c>
      <c r="AB975" t="s">
        <v>1673</v>
      </c>
      <c r="AC975" t="s">
        <v>4944</v>
      </c>
      <c r="AD975" t="e">
        <f>VLOOKUP(AB975,#REF!,2,FALSE)</f>
        <v>#REF!</v>
      </c>
      <c r="AE975" t="e">
        <f>RIGHT(#REF!,(FIND("Complex",#REF!,1)-7))</f>
        <v>#REF!</v>
      </c>
    </row>
    <row r="976" spans="1:31" x14ac:dyDescent="0.25">
      <c r="A976">
        <v>1648</v>
      </c>
      <c r="B976" t="s">
        <v>31</v>
      </c>
      <c r="C976">
        <v>83</v>
      </c>
      <c r="D976">
        <v>285</v>
      </c>
      <c r="E976">
        <v>1648</v>
      </c>
      <c r="F976">
        <v>264601</v>
      </c>
      <c r="G976">
        <v>352800</v>
      </c>
      <c r="H976">
        <f t="shared" si="30"/>
        <v>6.000022675736961</v>
      </c>
      <c r="I976">
        <f t="shared" si="31"/>
        <v>8</v>
      </c>
      <c r="J976" t="s">
        <v>29</v>
      </c>
      <c r="K976">
        <v>3</v>
      </c>
      <c r="L976" t="e">
        <f t="array" ref="L976">VLOOKUP(J976:$J$3871&amp;K976:$K$3871,CHOOSE({1,2},#REF!&amp;#REF!,#REF!),2,0)</f>
        <v>#N/A</v>
      </c>
      <c r="M976">
        <v>-15</v>
      </c>
      <c r="N976">
        <v>0</v>
      </c>
      <c r="O976" t="s">
        <v>7</v>
      </c>
      <c r="P976">
        <v>1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 t="s">
        <v>5124</v>
      </c>
      <c r="AB976" t="s">
        <v>1674</v>
      </c>
      <c r="AC976" t="s">
        <v>5124</v>
      </c>
      <c r="AD976" t="e">
        <f>VLOOKUP(AB976,#REF!,2,FALSE)</f>
        <v>#REF!</v>
      </c>
      <c r="AE976" t="e">
        <f>RIGHT(#REF!,(FIND("Complex",#REF!,1)-9))</f>
        <v>#REF!</v>
      </c>
    </row>
    <row r="977" spans="1:31" x14ac:dyDescent="0.25">
      <c r="A977">
        <v>574</v>
      </c>
      <c r="B977" t="s">
        <v>57</v>
      </c>
      <c r="C977">
        <v>84</v>
      </c>
      <c r="D977">
        <v>100</v>
      </c>
      <c r="E977">
        <v>574</v>
      </c>
      <c r="F977">
        <v>1146601</v>
      </c>
      <c r="G977">
        <v>1234800</v>
      </c>
      <c r="H977">
        <f t="shared" si="30"/>
        <v>26.000022675736961</v>
      </c>
      <c r="I977">
        <f t="shared" si="31"/>
        <v>28</v>
      </c>
      <c r="J977" t="s">
        <v>29</v>
      </c>
      <c r="K977">
        <v>3</v>
      </c>
      <c r="L977" t="e">
        <f t="array" ref="L977">VLOOKUP(J977:$J$3871&amp;K977:$K$3871,CHOOSE({1,2},#REF!&amp;#REF!,#REF!),2,0)</f>
        <v>#N/A</v>
      </c>
      <c r="M977">
        <v>-15</v>
      </c>
      <c r="N977">
        <v>0</v>
      </c>
      <c r="O977" t="s">
        <v>7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1</v>
      </c>
      <c r="Y977">
        <v>1</v>
      </c>
      <c r="Z977">
        <v>0</v>
      </c>
      <c r="AA977" t="s">
        <v>5460</v>
      </c>
      <c r="AB977" t="s">
        <v>7461</v>
      </c>
      <c r="AC977" t="s">
        <v>5460</v>
      </c>
      <c r="AD977" t="e">
        <f>VLOOKUP(AB977,#REF!,2,FALSE)</f>
        <v>#REF!</v>
      </c>
      <c r="AE977" t="e">
        <f>RIGHT(#REF!,(FIND("Complex",#REF!,1)-7))</f>
        <v>#REF!</v>
      </c>
    </row>
    <row r="978" spans="1:31" x14ac:dyDescent="0.25">
      <c r="A978">
        <v>2691</v>
      </c>
      <c r="B978" t="s">
        <v>57</v>
      </c>
      <c r="C978">
        <v>84</v>
      </c>
      <c r="D978">
        <v>555</v>
      </c>
      <c r="E978">
        <v>2691</v>
      </c>
      <c r="F978">
        <v>793801</v>
      </c>
      <c r="G978">
        <v>882000</v>
      </c>
      <c r="H978">
        <f t="shared" si="30"/>
        <v>18.000022675736961</v>
      </c>
      <c r="I978">
        <f t="shared" si="31"/>
        <v>20</v>
      </c>
      <c r="J978" t="s">
        <v>29</v>
      </c>
      <c r="K978">
        <v>3</v>
      </c>
      <c r="L978" t="e">
        <f t="array" ref="L978">VLOOKUP(J978:$J$3871&amp;K978:$K$3871,CHOOSE({1,2},#REF!&amp;#REF!,#REF!),2,0)</f>
        <v>#N/A</v>
      </c>
      <c r="M978">
        <v>-15</v>
      </c>
      <c r="N978">
        <v>0</v>
      </c>
      <c r="O978" t="s">
        <v>7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1</v>
      </c>
      <c r="Z978">
        <v>0</v>
      </c>
      <c r="AA978" t="s">
        <v>5707</v>
      </c>
      <c r="AB978" t="s">
        <v>1713</v>
      </c>
      <c r="AC978" t="s">
        <v>5707</v>
      </c>
      <c r="AD978" t="e">
        <f>VLOOKUP(AB978,#REF!,2,FALSE)</f>
        <v>#REF!</v>
      </c>
      <c r="AE978" t="e">
        <f>RIGHT(#REF!,(FIND("Complex",#REF!,1)-8))</f>
        <v>#REF!</v>
      </c>
    </row>
    <row r="979" spans="1:31" x14ac:dyDescent="0.25">
      <c r="A979">
        <v>3665</v>
      </c>
      <c r="B979" t="s">
        <v>57</v>
      </c>
      <c r="C979">
        <v>84</v>
      </c>
      <c r="D979">
        <v>983</v>
      </c>
      <c r="E979">
        <v>3665</v>
      </c>
      <c r="F979">
        <v>7761601</v>
      </c>
      <c r="G979">
        <v>7849800</v>
      </c>
      <c r="H979">
        <f t="shared" si="30"/>
        <v>176.00002267573697</v>
      </c>
      <c r="I979">
        <f t="shared" si="31"/>
        <v>178</v>
      </c>
      <c r="J979" t="s">
        <v>29</v>
      </c>
      <c r="K979">
        <v>3</v>
      </c>
      <c r="L979" t="e">
        <f t="array" ref="L979">VLOOKUP(J979:$J$3871&amp;K979:$K$3871,CHOOSE({1,2},#REF!&amp;#REF!,#REF!),2,0)</f>
        <v>#N/A</v>
      </c>
      <c r="M979">
        <v>-15</v>
      </c>
      <c r="N979">
        <v>0</v>
      </c>
      <c r="O979" t="s">
        <v>7</v>
      </c>
      <c r="P979">
        <v>1</v>
      </c>
      <c r="Q979">
        <v>0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 t="s">
        <v>5727</v>
      </c>
      <c r="AB979" t="s">
        <v>7634</v>
      </c>
      <c r="AC979" t="s">
        <v>5727</v>
      </c>
      <c r="AD979" t="e">
        <f>VLOOKUP(AB979,#REF!,2,FALSE)</f>
        <v>#REF!</v>
      </c>
      <c r="AE979" t="e">
        <f>RIGHT(#REF!,(FIND("Complex",#REF!,1)-7))</f>
        <v>#REF!</v>
      </c>
    </row>
    <row r="980" spans="1:31" x14ac:dyDescent="0.25">
      <c r="A980">
        <v>3253</v>
      </c>
      <c r="B980" t="s">
        <v>57</v>
      </c>
      <c r="C980">
        <v>84</v>
      </c>
      <c r="D980">
        <v>802</v>
      </c>
      <c r="E980">
        <v>3253</v>
      </c>
      <c r="F980">
        <v>7673401</v>
      </c>
      <c r="G980">
        <v>7761600</v>
      </c>
      <c r="H980">
        <f t="shared" si="30"/>
        <v>174.00002267573697</v>
      </c>
      <c r="I980">
        <f t="shared" si="31"/>
        <v>176</v>
      </c>
      <c r="J980" t="s">
        <v>29</v>
      </c>
      <c r="K980">
        <v>3</v>
      </c>
      <c r="L980" t="e">
        <f t="array" ref="L980">VLOOKUP(J980:$J$3871&amp;K980:$K$3871,CHOOSE({1,2},#REF!&amp;#REF!,#REF!),2,0)</f>
        <v>#N/A</v>
      </c>
      <c r="M980">
        <v>-15</v>
      </c>
      <c r="N980">
        <v>0</v>
      </c>
      <c r="O980" t="s">
        <v>7</v>
      </c>
      <c r="P980">
        <v>1</v>
      </c>
      <c r="Q980">
        <v>0</v>
      </c>
      <c r="R980">
        <v>0</v>
      </c>
      <c r="S980">
        <v>0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 t="s">
        <v>5735</v>
      </c>
      <c r="AB980" t="s">
        <v>1714</v>
      </c>
      <c r="AC980" t="s">
        <v>5735</v>
      </c>
      <c r="AD980" t="e">
        <f>VLOOKUP(AB980,#REF!,2,FALSE)</f>
        <v>#REF!</v>
      </c>
      <c r="AE980" t="e">
        <f>RIGHT(#REF!,(FIND("Complex",#REF!,1)-7))</f>
        <v>#REF!</v>
      </c>
    </row>
    <row r="981" spans="1:31" x14ac:dyDescent="0.25">
      <c r="A981">
        <v>1722</v>
      </c>
      <c r="B981" t="s">
        <v>57</v>
      </c>
      <c r="C981">
        <v>84</v>
      </c>
      <c r="D981">
        <v>296</v>
      </c>
      <c r="E981">
        <v>1722</v>
      </c>
      <c r="F981">
        <v>7585201</v>
      </c>
      <c r="G981">
        <v>7673400</v>
      </c>
      <c r="H981">
        <f t="shared" si="30"/>
        <v>172.00002267573697</v>
      </c>
      <c r="I981">
        <f t="shared" si="31"/>
        <v>174</v>
      </c>
      <c r="J981" t="s">
        <v>29</v>
      </c>
      <c r="K981">
        <v>3</v>
      </c>
      <c r="L981" t="e">
        <f t="array" ref="L981">VLOOKUP(J981:$J$3871&amp;K981:$K$3871,CHOOSE({1,2},#REF!&amp;#REF!,#REF!),2,0)</f>
        <v>#N/A</v>
      </c>
      <c r="M981">
        <v>-15</v>
      </c>
      <c r="N981">
        <v>0</v>
      </c>
      <c r="O981" t="s">
        <v>7</v>
      </c>
      <c r="P981">
        <v>1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 t="s">
        <v>5744</v>
      </c>
      <c r="AB981" t="s">
        <v>7644</v>
      </c>
      <c r="AC981" t="s">
        <v>5744</v>
      </c>
      <c r="AD981" t="e">
        <f>VLOOKUP(AB981,#REF!,2,FALSE)</f>
        <v>#REF!</v>
      </c>
      <c r="AE981" t="e">
        <f>RIGHT(#REF!,(FIND("Complex",#REF!,1)-7))</f>
        <v>#REF!</v>
      </c>
    </row>
    <row r="982" spans="1:31" x14ac:dyDescent="0.25">
      <c r="A982">
        <v>3586</v>
      </c>
      <c r="B982" t="s">
        <v>57</v>
      </c>
      <c r="C982">
        <v>84</v>
      </c>
      <c r="D982">
        <v>956</v>
      </c>
      <c r="E982">
        <v>3586</v>
      </c>
      <c r="F982">
        <v>7497001</v>
      </c>
      <c r="G982">
        <v>7585200</v>
      </c>
      <c r="H982">
        <f t="shared" si="30"/>
        <v>170.00002267573697</v>
      </c>
      <c r="I982">
        <f t="shared" si="31"/>
        <v>172</v>
      </c>
      <c r="J982" t="s">
        <v>29</v>
      </c>
      <c r="K982">
        <v>3</v>
      </c>
      <c r="L982" t="e">
        <f t="array" ref="L982">VLOOKUP(J982:$J$3871&amp;K982:$K$3871,CHOOSE({1,2},#REF!&amp;#REF!,#REF!),2,0)</f>
        <v>#N/A</v>
      </c>
      <c r="M982">
        <v>-15</v>
      </c>
      <c r="N982">
        <v>0</v>
      </c>
      <c r="O982" t="s">
        <v>7</v>
      </c>
      <c r="P982">
        <v>1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 t="s">
        <v>5754</v>
      </c>
      <c r="AB982" t="s">
        <v>1715</v>
      </c>
      <c r="AC982" t="s">
        <v>5754</v>
      </c>
      <c r="AD982" t="e">
        <f>VLOOKUP(AB982,#REF!,2,FALSE)</f>
        <v>#REF!</v>
      </c>
      <c r="AE982" t="e">
        <f>RIGHT(#REF!,(FIND("Complex",#REF!,1)-7))</f>
        <v>#REF!</v>
      </c>
    </row>
    <row r="983" spans="1:31" x14ac:dyDescent="0.25">
      <c r="A983">
        <v>3526</v>
      </c>
      <c r="B983" t="s">
        <v>57</v>
      </c>
      <c r="C983">
        <v>84</v>
      </c>
      <c r="D983">
        <v>929</v>
      </c>
      <c r="E983">
        <v>3526</v>
      </c>
      <c r="F983">
        <v>705601</v>
      </c>
      <c r="G983">
        <v>793800</v>
      </c>
      <c r="H983">
        <f t="shared" si="30"/>
        <v>16.000022675736961</v>
      </c>
      <c r="I983">
        <f t="shared" si="31"/>
        <v>18</v>
      </c>
      <c r="J983" t="s">
        <v>29</v>
      </c>
      <c r="K983">
        <v>3</v>
      </c>
      <c r="L983" t="e">
        <f t="array" ref="L983">VLOOKUP(J983:$J$3871&amp;K983:$K$3871,CHOOSE({1,2},#REF!&amp;#REF!,#REF!),2,0)</f>
        <v>#N/A</v>
      </c>
      <c r="M983">
        <v>-15</v>
      </c>
      <c r="N983">
        <v>0</v>
      </c>
      <c r="O983" t="s">
        <v>7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1</v>
      </c>
      <c r="Z983">
        <v>0</v>
      </c>
      <c r="AA983" t="s">
        <v>5811</v>
      </c>
      <c r="AB983" t="s">
        <v>1716</v>
      </c>
      <c r="AC983" t="s">
        <v>5811</v>
      </c>
      <c r="AD983" t="e">
        <f>VLOOKUP(AB983,#REF!,2,FALSE)</f>
        <v>#REF!</v>
      </c>
      <c r="AE983" t="e">
        <f>RIGHT(#REF!,(FIND("Complex",#REF!,1)-8))</f>
        <v>#REF!</v>
      </c>
    </row>
    <row r="984" spans="1:31" x14ac:dyDescent="0.25">
      <c r="A984">
        <v>3365</v>
      </c>
      <c r="B984" t="s">
        <v>57</v>
      </c>
      <c r="C984">
        <v>84</v>
      </c>
      <c r="D984">
        <v>858</v>
      </c>
      <c r="E984">
        <v>3365</v>
      </c>
      <c r="F984">
        <v>529201</v>
      </c>
      <c r="G984">
        <v>617400</v>
      </c>
      <c r="H984">
        <f t="shared" si="30"/>
        <v>12.000022675736961</v>
      </c>
      <c r="I984">
        <f t="shared" si="31"/>
        <v>14</v>
      </c>
      <c r="J984" t="s">
        <v>29</v>
      </c>
      <c r="K984">
        <v>3</v>
      </c>
      <c r="L984" t="e">
        <f t="array" ref="L984">VLOOKUP(J984:$J$3871&amp;K984:$K$3871,CHOOSE({1,2},#REF!&amp;#REF!,#REF!),2,0)</f>
        <v>#N/A</v>
      </c>
      <c r="M984">
        <v>-15</v>
      </c>
      <c r="N984">
        <v>0</v>
      </c>
      <c r="O984" t="s">
        <v>7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1</v>
      </c>
      <c r="Z984">
        <v>0</v>
      </c>
      <c r="AA984" t="s">
        <v>6026</v>
      </c>
      <c r="AB984" t="s">
        <v>1717</v>
      </c>
      <c r="AC984" t="s">
        <v>6026</v>
      </c>
      <c r="AD984" t="e">
        <f>VLOOKUP(AB984,#REF!,2,FALSE)</f>
        <v>#REF!</v>
      </c>
      <c r="AE984" t="e">
        <f>RIGHT(#REF!,(FIND("Complex",#REF!,1)-8))</f>
        <v>#REF!</v>
      </c>
    </row>
    <row r="985" spans="1:31" x14ac:dyDescent="0.25">
      <c r="A985">
        <v>3410</v>
      </c>
      <c r="B985" t="s">
        <v>57</v>
      </c>
      <c r="C985">
        <v>84</v>
      </c>
      <c r="D985">
        <v>880</v>
      </c>
      <c r="E985">
        <v>3410</v>
      </c>
      <c r="F985">
        <v>441001</v>
      </c>
      <c r="G985">
        <v>529200</v>
      </c>
      <c r="H985">
        <f t="shared" si="30"/>
        <v>10.000022675736961</v>
      </c>
      <c r="I985">
        <f t="shared" si="31"/>
        <v>12</v>
      </c>
      <c r="J985" t="s">
        <v>29</v>
      </c>
      <c r="K985">
        <v>3</v>
      </c>
      <c r="L985" t="e">
        <f t="array" ref="L985">VLOOKUP(J985:$J$3871&amp;K985:$K$3871,CHOOSE({1,2},#REF!&amp;#REF!,#REF!),2,0)</f>
        <v>#N/A</v>
      </c>
      <c r="M985">
        <v>-15</v>
      </c>
      <c r="N985">
        <v>0</v>
      </c>
      <c r="O985" t="s">
        <v>7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1</v>
      </c>
      <c r="Z985">
        <v>0</v>
      </c>
      <c r="AA985" t="s">
        <v>6131</v>
      </c>
      <c r="AB985" t="s">
        <v>1718</v>
      </c>
      <c r="AC985" t="s">
        <v>6131</v>
      </c>
      <c r="AD985" t="e">
        <f>VLOOKUP(AB985,#REF!,2,FALSE)</f>
        <v>#REF!</v>
      </c>
      <c r="AE985" t="e">
        <f>RIGHT(#REF!,(FIND("Complex",#REF!,1)-8))</f>
        <v>#REF!</v>
      </c>
    </row>
    <row r="986" spans="1:31" x14ac:dyDescent="0.25">
      <c r="A986">
        <v>2532</v>
      </c>
      <c r="B986" t="s">
        <v>53</v>
      </c>
      <c r="C986">
        <v>86</v>
      </c>
      <c r="D986">
        <v>498</v>
      </c>
      <c r="E986">
        <v>2532</v>
      </c>
      <c r="F986">
        <v>3528001</v>
      </c>
      <c r="G986">
        <v>3616200</v>
      </c>
      <c r="H986">
        <f t="shared" si="30"/>
        <v>80.000022675736957</v>
      </c>
      <c r="I986">
        <f t="shared" si="31"/>
        <v>82</v>
      </c>
      <c r="J986" t="s">
        <v>29</v>
      </c>
      <c r="K986">
        <v>3</v>
      </c>
      <c r="L986" t="e">
        <f t="array" ref="L986">VLOOKUP(J986:$J$3871&amp;K986:$K$3871,CHOOSE({1,2},#REF!&amp;#REF!,#REF!),2,0)</f>
        <v>#N/A</v>
      </c>
      <c r="M986">
        <v>-15</v>
      </c>
      <c r="N986">
        <v>0</v>
      </c>
      <c r="O986" t="s">
        <v>7</v>
      </c>
      <c r="P986">
        <v>1</v>
      </c>
      <c r="Q986">
        <v>0</v>
      </c>
      <c r="R986">
        <v>0</v>
      </c>
      <c r="S986">
        <v>1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 t="s">
        <v>4975</v>
      </c>
      <c r="AB986" t="s">
        <v>1757</v>
      </c>
      <c r="AC986" t="s">
        <v>4975</v>
      </c>
      <c r="AD986" t="e">
        <f>VLOOKUP(AB986,#REF!,2,FALSE)</f>
        <v>#REF!</v>
      </c>
      <c r="AE986" t="e">
        <f>RIGHT(#REF!,(FIND("Complex",#REF!,1)-8))</f>
        <v>#REF!</v>
      </c>
    </row>
    <row r="987" spans="1:31" x14ac:dyDescent="0.25">
      <c r="A987">
        <v>384</v>
      </c>
      <c r="B987" t="s">
        <v>53</v>
      </c>
      <c r="C987">
        <v>86</v>
      </c>
      <c r="D987">
        <v>68</v>
      </c>
      <c r="E987">
        <v>384</v>
      </c>
      <c r="F987">
        <v>3439801</v>
      </c>
      <c r="G987">
        <v>3528000</v>
      </c>
      <c r="H987">
        <f t="shared" si="30"/>
        <v>78.000022675736957</v>
      </c>
      <c r="I987">
        <f t="shared" si="31"/>
        <v>80</v>
      </c>
      <c r="J987" t="s">
        <v>29</v>
      </c>
      <c r="K987">
        <v>3</v>
      </c>
      <c r="L987" t="e">
        <f t="array" ref="L987">VLOOKUP(J987:$J$3871&amp;K987:$K$3871,CHOOSE({1,2},#REF!&amp;#REF!,#REF!),2,0)</f>
        <v>#N/A</v>
      </c>
      <c r="M987">
        <v>-15</v>
      </c>
      <c r="N987">
        <v>0</v>
      </c>
      <c r="O987" t="s">
        <v>7</v>
      </c>
      <c r="P987">
        <v>1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 t="s">
        <v>5004</v>
      </c>
      <c r="AB987" t="s">
        <v>1758</v>
      </c>
      <c r="AC987" t="s">
        <v>5004</v>
      </c>
      <c r="AD987" t="e">
        <f>VLOOKUP(AB987,#REF!,2,FALSE)</f>
        <v>#REF!</v>
      </c>
      <c r="AE987" t="e">
        <f>RIGHT(#REF!,(FIND("Complex",#REF!,1)-7))</f>
        <v>#REF!</v>
      </c>
    </row>
    <row r="988" spans="1:31" x14ac:dyDescent="0.25">
      <c r="A988">
        <v>2707</v>
      </c>
      <c r="B988" t="s">
        <v>53</v>
      </c>
      <c r="C988">
        <v>86</v>
      </c>
      <c r="D988">
        <v>563</v>
      </c>
      <c r="E988">
        <v>2707</v>
      </c>
      <c r="F988">
        <v>1940401</v>
      </c>
      <c r="G988">
        <v>2028600</v>
      </c>
      <c r="H988">
        <f t="shared" si="30"/>
        <v>44.000022675736965</v>
      </c>
      <c r="I988">
        <f t="shared" si="31"/>
        <v>46</v>
      </c>
      <c r="J988" t="s">
        <v>29</v>
      </c>
      <c r="K988">
        <v>3</v>
      </c>
      <c r="L988" t="e">
        <f t="array" ref="L988">VLOOKUP(J988:$J$3871&amp;K988:$K$3871,CHOOSE({1,2},#REF!&amp;#REF!,#REF!),2,0)</f>
        <v>#N/A</v>
      </c>
      <c r="M988">
        <v>-15</v>
      </c>
      <c r="N988">
        <v>0</v>
      </c>
      <c r="O988" t="s">
        <v>7</v>
      </c>
      <c r="P988">
        <v>1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 t="s">
        <v>5229</v>
      </c>
      <c r="AB988" t="s">
        <v>1759</v>
      </c>
      <c r="AC988" t="s">
        <v>5229</v>
      </c>
      <c r="AD988" t="e">
        <f>VLOOKUP(AB988,#REF!,2,FALSE)</f>
        <v>#REF!</v>
      </c>
      <c r="AE988" t="e">
        <f>RIGHT(#REF!,(FIND("Complex",#REF!,1)-8))</f>
        <v>#REF!</v>
      </c>
    </row>
    <row r="989" spans="1:31" x14ac:dyDescent="0.25">
      <c r="A989">
        <v>2955</v>
      </c>
      <c r="B989" t="s">
        <v>53</v>
      </c>
      <c r="C989">
        <v>86</v>
      </c>
      <c r="D989">
        <v>659</v>
      </c>
      <c r="E989">
        <v>2955</v>
      </c>
      <c r="F989">
        <v>7849801</v>
      </c>
      <c r="G989">
        <v>7938000</v>
      </c>
      <c r="H989">
        <f t="shared" si="30"/>
        <v>178.00002267573697</v>
      </c>
      <c r="I989">
        <f t="shared" si="31"/>
        <v>180</v>
      </c>
      <c r="J989" t="s">
        <v>29</v>
      </c>
      <c r="K989">
        <v>3</v>
      </c>
      <c r="L989" t="e">
        <f t="array" ref="L989">VLOOKUP(J989:$J$3871&amp;K989:$K$3871,CHOOSE({1,2},#REF!&amp;#REF!,#REF!),2,0)</f>
        <v>#N/A</v>
      </c>
      <c r="M989">
        <v>-15</v>
      </c>
      <c r="N989">
        <v>0</v>
      </c>
      <c r="O989" t="s">
        <v>7</v>
      </c>
      <c r="P989">
        <v>1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 t="s">
        <v>5718</v>
      </c>
      <c r="AB989" t="s">
        <v>1760</v>
      </c>
      <c r="AC989" t="s">
        <v>5718</v>
      </c>
      <c r="AD989" t="e">
        <f>VLOOKUP(AB989,#REF!,2,FALSE)</f>
        <v>#REF!</v>
      </c>
      <c r="AE989" t="e">
        <f>RIGHT(#REF!,(FIND("Complex",#REF!,1)-7))</f>
        <v>#REF!</v>
      </c>
    </row>
    <row r="990" spans="1:31" x14ac:dyDescent="0.25">
      <c r="A990">
        <v>232</v>
      </c>
      <c r="B990" t="s">
        <v>53</v>
      </c>
      <c r="C990">
        <v>86</v>
      </c>
      <c r="D990">
        <v>46</v>
      </c>
      <c r="E990">
        <v>232</v>
      </c>
      <c r="F990">
        <v>7761601</v>
      </c>
      <c r="G990">
        <v>7849800</v>
      </c>
      <c r="H990">
        <f t="shared" si="30"/>
        <v>176.00002267573697</v>
      </c>
      <c r="I990">
        <f t="shared" si="31"/>
        <v>178</v>
      </c>
      <c r="J990" t="s">
        <v>29</v>
      </c>
      <c r="K990">
        <v>3</v>
      </c>
      <c r="L990" t="e">
        <f t="array" ref="L990">VLOOKUP(J990:$J$3871&amp;K990:$K$3871,CHOOSE({1,2},#REF!&amp;#REF!,#REF!),2,0)</f>
        <v>#N/A</v>
      </c>
      <c r="M990">
        <v>-15</v>
      </c>
      <c r="N990">
        <v>0</v>
      </c>
      <c r="O990" t="s">
        <v>7</v>
      </c>
      <c r="P990">
        <v>1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 t="s">
        <v>5726</v>
      </c>
      <c r="AB990" t="s">
        <v>1761</v>
      </c>
      <c r="AC990" t="s">
        <v>5726</v>
      </c>
      <c r="AD990" t="e">
        <f>VLOOKUP(AB990,#REF!,2,FALSE)</f>
        <v>#REF!</v>
      </c>
      <c r="AE990" t="e">
        <f>RIGHT(#REF!,(FIND("Complex",#REF!,1)-6))</f>
        <v>#REF!</v>
      </c>
    </row>
    <row r="991" spans="1:31" x14ac:dyDescent="0.25">
      <c r="A991">
        <v>913</v>
      </c>
      <c r="B991" t="s">
        <v>53</v>
      </c>
      <c r="C991">
        <v>86</v>
      </c>
      <c r="D991">
        <v>160</v>
      </c>
      <c r="E991">
        <v>913</v>
      </c>
      <c r="F991">
        <v>7673401</v>
      </c>
      <c r="G991">
        <v>7761600</v>
      </c>
      <c r="H991">
        <f t="shared" si="30"/>
        <v>174.00002267573697</v>
      </c>
      <c r="I991">
        <f t="shared" si="31"/>
        <v>176</v>
      </c>
      <c r="J991" t="s">
        <v>29</v>
      </c>
      <c r="K991">
        <v>3</v>
      </c>
      <c r="L991" t="e">
        <f t="array" ref="L991">VLOOKUP(J991:$J$3871&amp;K991:$K$3871,CHOOSE({1,2},#REF!&amp;#REF!,#REF!),2,0)</f>
        <v>#N/A</v>
      </c>
      <c r="M991">
        <v>-15</v>
      </c>
      <c r="N991">
        <v>0</v>
      </c>
      <c r="O991" t="s">
        <v>7</v>
      </c>
      <c r="P991">
        <v>1</v>
      </c>
      <c r="Q991">
        <v>0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 t="s">
        <v>5734</v>
      </c>
      <c r="AB991" t="s">
        <v>1762</v>
      </c>
      <c r="AC991" t="s">
        <v>5734</v>
      </c>
      <c r="AD991" t="e">
        <f>VLOOKUP(AB991,#REF!,2,FALSE)</f>
        <v>#REF!</v>
      </c>
      <c r="AE991" t="e">
        <f>RIGHT(#REF!,(FIND("Complex",#REF!,1)-6))</f>
        <v>#REF!</v>
      </c>
    </row>
    <row r="992" spans="1:31" x14ac:dyDescent="0.25">
      <c r="A992">
        <v>2245</v>
      </c>
      <c r="B992" t="s">
        <v>53</v>
      </c>
      <c r="C992">
        <v>86</v>
      </c>
      <c r="D992">
        <v>409</v>
      </c>
      <c r="E992">
        <v>2245</v>
      </c>
      <c r="F992">
        <v>7585201</v>
      </c>
      <c r="G992">
        <v>7673400</v>
      </c>
      <c r="H992">
        <f t="shared" si="30"/>
        <v>172.00002267573697</v>
      </c>
      <c r="I992">
        <f t="shared" si="31"/>
        <v>174</v>
      </c>
      <c r="J992" t="s">
        <v>29</v>
      </c>
      <c r="K992">
        <v>3</v>
      </c>
      <c r="L992" t="e">
        <f t="array" ref="L992">VLOOKUP(J992:$J$3871&amp;K992:$K$3871,CHOOSE({1,2},#REF!&amp;#REF!,#REF!),2,0)</f>
        <v>#N/A</v>
      </c>
      <c r="M992">
        <v>-15</v>
      </c>
      <c r="N992">
        <v>0</v>
      </c>
      <c r="O992" t="s">
        <v>7</v>
      </c>
      <c r="P992">
        <v>1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 t="s">
        <v>5743</v>
      </c>
      <c r="AB992" t="s">
        <v>1763</v>
      </c>
      <c r="AC992" t="s">
        <v>5743</v>
      </c>
      <c r="AD992" t="e">
        <f>VLOOKUP(AB992,#REF!,2,FALSE)</f>
        <v>#REF!</v>
      </c>
      <c r="AE992" t="e">
        <f>RIGHT(#REF!,(FIND("Complex",#REF!,1)-7))</f>
        <v>#REF!</v>
      </c>
    </row>
    <row r="993" spans="1:31" x14ac:dyDescent="0.25">
      <c r="A993">
        <v>1578</v>
      </c>
      <c r="B993" t="s">
        <v>53</v>
      </c>
      <c r="C993">
        <v>86</v>
      </c>
      <c r="D993">
        <v>270</v>
      </c>
      <c r="E993">
        <v>1578</v>
      </c>
      <c r="F993">
        <v>6791401</v>
      </c>
      <c r="G993">
        <v>6879600</v>
      </c>
      <c r="H993">
        <f t="shared" si="30"/>
        <v>154.00002267573697</v>
      </c>
      <c r="I993">
        <f t="shared" si="31"/>
        <v>156</v>
      </c>
      <c r="J993" t="s">
        <v>29</v>
      </c>
      <c r="K993">
        <v>3</v>
      </c>
      <c r="L993" t="e">
        <f t="array" ref="L993">VLOOKUP(J993:$J$3871&amp;K993:$K$3871,CHOOSE({1,2},#REF!&amp;#REF!,#REF!),2,0)</f>
        <v>#N/A</v>
      </c>
      <c r="M993">
        <v>-15</v>
      </c>
      <c r="N993">
        <v>0</v>
      </c>
      <c r="O993" t="s">
        <v>7</v>
      </c>
      <c r="P993">
        <v>1</v>
      </c>
      <c r="Q993">
        <v>0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 t="s">
        <v>5855</v>
      </c>
      <c r="AB993" t="s">
        <v>224</v>
      </c>
      <c r="AC993" t="s">
        <v>5855</v>
      </c>
      <c r="AD993" t="e">
        <f>VLOOKUP(AB993,#REF!,2,FALSE)</f>
        <v>#REF!</v>
      </c>
      <c r="AE993" t="e">
        <f>RIGHT(#REF!,(FIND("Complex",#REF!,1)-7))</f>
        <v>#REF!</v>
      </c>
    </row>
    <row r="994" spans="1:31" x14ac:dyDescent="0.25">
      <c r="A994">
        <v>1051</v>
      </c>
      <c r="B994" t="s">
        <v>53</v>
      </c>
      <c r="C994">
        <v>86</v>
      </c>
      <c r="D994">
        <v>183</v>
      </c>
      <c r="E994">
        <v>1051</v>
      </c>
      <c r="F994">
        <v>6174001</v>
      </c>
      <c r="G994">
        <v>6262200</v>
      </c>
      <c r="H994">
        <f t="shared" si="30"/>
        <v>140.00002267573697</v>
      </c>
      <c r="I994">
        <f t="shared" si="31"/>
        <v>142</v>
      </c>
      <c r="J994" t="s">
        <v>29</v>
      </c>
      <c r="K994">
        <v>3</v>
      </c>
      <c r="L994" t="e">
        <f t="array" ref="L994">VLOOKUP(J994:$J$3871&amp;K994:$K$3871,CHOOSE({1,2},#REF!&amp;#REF!,#REF!),2,0)</f>
        <v>#N/A</v>
      </c>
      <c r="M994">
        <v>-15</v>
      </c>
      <c r="N994">
        <v>0</v>
      </c>
      <c r="O994" t="s">
        <v>7</v>
      </c>
      <c r="P994">
        <v>1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 t="s">
        <v>5924</v>
      </c>
      <c r="AB994" t="s">
        <v>1764</v>
      </c>
      <c r="AC994" t="s">
        <v>5924</v>
      </c>
      <c r="AD994" t="e">
        <f>VLOOKUP(AB994,#REF!,2,FALSE)</f>
        <v>#REF!</v>
      </c>
      <c r="AE994" t="e">
        <f>RIGHT(#REF!,(FIND("Complex",#REF!,1)-7))</f>
        <v>#REF!</v>
      </c>
    </row>
    <row r="995" spans="1:31" x14ac:dyDescent="0.25">
      <c r="A995">
        <v>1277</v>
      </c>
      <c r="B995" t="s">
        <v>53</v>
      </c>
      <c r="C995">
        <v>86</v>
      </c>
      <c r="D995">
        <v>220</v>
      </c>
      <c r="E995">
        <v>1277</v>
      </c>
      <c r="F995">
        <v>6085801</v>
      </c>
      <c r="G995">
        <v>6174000</v>
      </c>
      <c r="H995">
        <f t="shared" si="30"/>
        <v>138.00002267573697</v>
      </c>
      <c r="I995">
        <f t="shared" si="31"/>
        <v>140</v>
      </c>
      <c r="J995" t="s">
        <v>29</v>
      </c>
      <c r="K995">
        <v>3</v>
      </c>
      <c r="L995" t="e">
        <f t="array" ref="L995">VLOOKUP(J995:$J$3871&amp;K995:$K$3871,CHOOSE({1,2},#REF!&amp;#REF!,#REF!),2,0)</f>
        <v>#N/A</v>
      </c>
      <c r="M995">
        <v>-15</v>
      </c>
      <c r="N995">
        <v>0</v>
      </c>
      <c r="O995" t="s">
        <v>7</v>
      </c>
      <c r="P995">
        <v>1</v>
      </c>
      <c r="Q995">
        <v>0</v>
      </c>
      <c r="R995">
        <v>0</v>
      </c>
      <c r="S995">
        <v>1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 t="s">
        <v>5951</v>
      </c>
      <c r="AB995" t="s">
        <v>1765</v>
      </c>
      <c r="AC995" t="s">
        <v>5951</v>
      </c>
      <c r="AD995" t="e">
        <f>VLOOKUP(AB995,#REF!,2,FALSE)</f>
        <v>#REF!</v>
      </c>
      <c r="AE995" t="e">
        <f>RIGHT(#REF!,(FIND("Complex",#REF!,1)-7))</f>
        <v>#REF!</v>
      </c>
    </row>
    <row r="996" spans="1:31" x14ac:dyDescent="0.25">
      <c r="A996">
        <v>2453</v>
      </c>
      <c r="B996" t="s">
        <v>53</v>
      </c>
      <c r="C996">
        <v>86</v>
      </c>
      <c r="D996">
        <v>469</v>
      </c>
      <c r="E996">
        <v>2453</v>
      </c>
      <c r="F996">
        <v>5909401</v>
      </c>
      <c r="G996">
        <v>5997600</v>
      </c>
      <c r="H996">
        <f t="shared" si="30"/>
        <v>134.00002267573697</v>
      </c>
      <c r="I996">
        <f t="shared" si="31"/>
        <v>136</v>
      </c>
      <c r="J996" t="s">
        <v>29</v>
      </c>
      <c r="K996">
        <v>3</v>
      </c>
      <c r="L996" t="e">
        <f t="array" ref="L996">VLOOKUP(J996:$J$3871&amp;K996:$K$3871,CHOOSE({1,2},#REF!&amp;#REF!,#REF!),2,0)</f>
        <v>#N/A</v>
      </c>
      <c r="M996">
        <v>-15</v>
      </c>
      <c r="N996">
        <v>0</v>
      </c>
      <c r="O996" t="s">
        <v>7</v>
      </c>
      <c r="P996">
        <v>1</v>
      </c>
      <c r="Q996">
        <v>0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 t="s">
        <v>5963</v>
      </c>
      <c r="AB996" t="s">
        <v>1766</v>
      </c>
      <c r="AC996" t="s">
        <v>5963</v>
      </c>
      <c r="AD996" t="e">
        <f>VLOOKUP(AB996,#REF!,2,FALSE)</f>
        <v>#REF!</v>
      </c>
      <c r="AE996" t="e">
        <f>RIGHT(#REF!,(FIND("Complex",#REF!,1)-7))</f>
        <v>#REF!</v>
      </c>
    </row>
    <row r="997" spans="1:31" x14ac:dyDescent="0.25">
      <c r="A997">
        <v>159</v>
      </c>
      <c r="B997" t="s">
        <v>53</v>
      </c>
      <c r="C997">
        <v>86</v>
      </c>
      <c r="D997">
        <v>30</v>
      </c>
      <c r="E997">
        <v>159</v>
      </c>
      <c r="F997">
        <v>5821201</v>
      </c>
      <c r="G997">
        <v>5909400</v>
      </c>
      <c r="H997">
        <f t="shared" si="30"/>
        <v>132.00002267573697</v>
      </c>
      <c r="I997">
        <f t="shared" si="31"/>
        <v>134</v>
      </c>
      <c r="J997" t="s">
        <v>29</v>
      </c>
      <c r="K997">
        <v>3</v>
      </c>
      <c r="L997" t="e">
        <f t="array" ref="L997">VLOOKUP(J997:$J$3871&amp;K997:$K$3871,CHOOSE({1,2},#REF!&amp;#REF!,#REF!),2,0)</f>
        <v>#N/A</v>
      </c>
      <c r="M997">
        <v>-15</v>
      </c>
      <c r="N997">
        <v>0</v>
      </c>
      <c r="O997" t="s">
        <v>7</v>
      </c>
      <c r="P997">
        <v>1</v>
      </c>
      <c r="Q997">
        <v>0</v>
      </c>
      <c r="R997">
        <v>0</v>
      </c>
      <c r="S997">
        <v>1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 t="s">
        <v>5969</v>
      </c>
      <c r="AB997" t="s">
        <v>1767</v>
      </c>
      <c r="AC997" t="s">
        <v>5969</v>
      </c>
      <c r="AD997" t="e">
        <f>VLOOKUP(AB997,#REF!,2,FALSE)</f>
        <v>#REF!</v>
      </c>
      <c r="AE997" t="e">
        <f>RIGHT(#REF!,(FIND("Complex",#REF!,1)-6))</f>
        <v>#REF!</v>
      </c>
    </row>
    <row r="998" spans="1:31" x14ac:dyDescent="0.25">
      <c r="A998">
        <v>2779</v>
      </c>
      <c r="B998" t="s">
        <v>53</v>
      </c>
      <c r="C998">
        <v>86</v>
      </c>
      <c r="D998">
        <v>596</v>
      </c>
      <c r="E998">
        <v>2779</v>
      </c>
      <c r="F998">
        <v>5644801</v>
      </c>
      <c r="G998">
        <v>5733000</v>
      </c>
      <c r="H998">
        <f t="shared" si="30"/>
        <v>128.00002267573697</v>
      </c>
      <c r="I998">
        <f t="shared" si="31"/>
        <v>130</v>
      </c>
      <c r="J998" t="s">
        <v>29</v>
      </c>
      <c r="K998">
        <v>3</v>
      </c>
      <c r="L998" t="e">
        <f t="array" ref="L998">VLOOKUP(J998:$J$3871&amp;K998:$K$3871,CHOOSE({1,2},#REF!&amp;#REF!,#REF!),2,0)</f>
        <v>#N/A</v>
      </c>
      <c r="M998">
        <v>-15</v>
      </c>
      <c r="N998">
        <v>0</v>
      </c>
      <c r="O998" t="s">
        <v>7</v>
      </c>
      <c r="P998">
        <v>1</v>
      </c>
      <c r="Q998">
        <v>0</v>
      </c>
      <c r="R998">
        <v>0</v>
      </c>
      <c r="S998">
        <v>1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 t="s">
        <v>5979</v>
      </c>
      <c r="AB998" t="s">
        <v>1768</v>
      </c>
      <c r="AC998" t="s">
        <v>5979</v>
      </c>
      <c r="AD998" t="e">
        <f>VLOOKUP(AB998,#REF!,2,FALSE)</f>
        <v>#REF!</v>
      </c>
      <c r="AE998" t="e">
        <f>RIGHT(#REF!,(FIND("Complex",#REF!,1)-7))</f>
        <v>#REF!</v>
      </c>
    </row>
    <row r="999" spans="1:31" x14ac:dyDescent="0.25">
      <c r="A999">
        <v>2103</v>
      </c>
      <c r="B999" t="s">
        <v>53</v>
      </c>
      <c r="C999">
        <v>86</v>
      </c>
      <c r="D999">
        <v>377</v>
      </c>
      <c r="E999">
        <v>2103</v>
      </c>
      <c r="F999">
        <v>5556601</v>
      </c>
      <c r="G999">
        <v>5644800</v>
      </c>
      <c r="H999">
        <f t="shared" si="30"/>
        <v>126.00002267573696</v>
      </c>
      <c r="I999">
        <f t="shared" si="31"/>
        <v>128</v>
      </c>
      <c r="J999" t="s">
        <v>29</v>
      </c>
      <c r="K999">
        <v>3</v>
      </c>
      <c r="L999" t="e">
        <f t="array" ref="L999">VLOOKUP(J999:$J$3871&amp;K999:$K$3871,CHOOSE({1,2},#REF!&amp;#REF!,#REF!),2,0)</f>
        <v>#N/A</v>
      </c>
      <c r="M999">
        <v>-15</v>
      </c>
      <c r="N999">
        <v>0</v>
      </c>
      <c r="O999" t="s">
        <v>7</v>
      </c>
      <c r="P999">
        <v>1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 t="s">
        <v>5987</v>
      </c>
      <c r="AB999" t="s">
        <v>1769</v>
      </c>
      <c r="AC999" t="s">
        <v>5987</v>
      </c>
      <c r="AD999" t="e">
        <f>VLOOKUP(AB999,#REF!,2,FALSE)</f>
        <v>#REF!</v>
      </c>
      <c r="AE999" t="e">
        <f>RIGHT(#REF!,(FIND("Complex",#REF!,1)-7))</f>
        <v>#REF!</v>
      </c>
    </row>
    <row r="1000" spans="1:31" x14ac:dyDescent="0.25">
      <c r="A1000">
        <v>3530</v>
      </c>
      <c r="B1000" t="s">
        <v>77</v>
      </c>
      <c r="C1000">
        <v>87</v>
      </c>
      <c r="D1000">
        <v>930</v>
      </c>
      <c r="E1000">
        <v>3530</v>
      </c>
      <c r="F1000">
        <v>3616201</v>
      </c>
      <c r="G1000">
        <v>3704400</v>
      </c>
      <c r="H1000">
        <f t="shared" si="30"/>
        <v>82.000022675736957</v>
      </c>
      <c r="I1000">
        <f t="shared" si="31"/>
        <v>84</v>
      </c>
      <c r="J1000" t="s">
        <v>29</v>
      </c>
      <c r="K1000">
        <v>3</v>
      </c>
      <c r="L1000" t="e">
        <f t="array" ref="L1000">VLOOKUP(J1000:$J$3871&amp;K1000:$K$3871,CHOOSE({1,2},#REF!&amp;#REF!,#REF!),2,0)</f>
        <v>#N/A</v>
      </c>
      <c r="M1000">
        <v>-15</v>
      </c>
      <c r="N1000">
        <v>0</v>
      </c>
      <c r="O1000" t="s">
        <v>7</v>
      </c>
      <c r="P1000">
        <v>1</v>
      </c>
      <c r="Q1000">
        <v>1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 t="s">
        <v>4967</v>
      </c>
      <c r="AB1000" t="s">
        <v>7198</v>
      </c>
      <c r="AC1000" t="s">
        <v>4967</v>
      </c>
      <c r="AD1000" t="e">
        <f>VLOOKUP(AB1000,#REF!,2,FALSE)</f>
        <v>#REF!</v>
      </c>
      <c r="AE1000" t="e">
        <f>RIGHT(#REF!,(FIND("Complex",#REF!,1)-8))</f>
        <v>#REF!</v>
      </c>
    </row>
    <row r="1001" spans="1:31" x14ac:dyDescent="0.25">
      <c r="A1001">
        <v>3448</v>
      </c>
      <c r="B1001" t="s">
        <v>77</v>
      </c>
      <c r="C1001">
        <v>87</v>
      </c>
      <c r="D1001">
        <v>898</v>
      </c>
      <c r="E1001">
        <v>3448</v>
      </c>
      <c r="F1001">
        <v>3263401</v>
      </c>
      <c r="G1001">
        <v>3351600</v>
      </c>
      <c r="H1001">
        <f t="shared" si="30"/>
        <v>74.000022675736957</v>
      </c>
      <c r="I1001">
        <f t="shared" si="31"/>
        <v>76</v>
      </c>
      <c r="J1001" t="s">
        <v>29</v>
      </c>
      <c r="K1001">
        <v>3</v>
      </c>
      <c r="L1001" t="e">
        <f t="array" ref="L1001">VLOOKUP(J1001:$J$3871&amp;K1001:$K$3871,CHOOSE({1,2},#REF!&amp;#REF!,#REF!),2,0)</f>
        <v>#N/A</v>
      </c>
      <c r="M1001">
        <v>-15</v>
      </c>
      <c r="N1001">
        <v>0</v>
      </c>
      <c r="O1001" t="s">
        <v>7</v>
      </c>
      <c r="P1001">
        <v>1</v>
      </c>
      <c r="Q1001">
        <v>1</v>
      </c>
      <c r="R1001">
        <v>0</v>
      </c>
      <c r="S1001">
        <v>1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 t="s">
        <v>5029</v>
      </c>
      <c r="AB1001" t="s">
        <v>7231</v>
      </c>
      <c r="AC1001" t="s">
        <v>5029</v>
      </c>
      <c r="AD1001" t="e">
        <f>VLOOKUP(AB1001,#REF!,2,FALSE)</f>
        <v>#REF!</v>
      </c>
      <c r="AE1001" t="e">
        <f>RIGHT(#REF!,(FIND("Complex",#REF!,1)-8))</f>
        <v>#REF!</v>
      </c>
    </row>
    <row r="1002" spans="1:31" x14ac:dyDescent="0.25">
      <c r="A1002">
        <v>3421</v>
      </c>
      <c r="B1002" t="s">
        <v>77</v>
      </c>
      <c r="C1002">
        <v>87</v>
      </c>
      <c r="D1002">
        <v>884</v>
      </c>
      <c r="E1002">
        <v>3421</v>
      </c>
      <c r="F1002">
        <v>2998801</v>
      </c>
      <c r="G1002">
        <v>3087000</v>
      </c>
      <c r="H1002">
        <f t="shared" si="30"/>
        <v>68.000022675736957</v>
      </c>
      <c r="I1002">
        <f t="shared" si="31"/>
        <v>70</v>
      </c>
      <c r="J1002" t="s">
        <v>29</v>
      </c>
      <c r="K1002">
        <v>3</v>
      </c>
      <c r="L1002" t="e">
        <f t="array" ref="L1002">VLOOKUP(J1002:$J$3871&amp;K1002:$K$3871,CHOOSE({1,2},#REF!&amp;#REF!,#REF!),2,0)</f>
        <v>#N/A</v>
      </c>
      <c r="M1002">
        <v>-15</v>
      </c>
      <c r="N1002">
        <v>0</v>
      </c>
      <c r="O1002" t="s">
        <v>7</v>
      </c>
      <c r="P1002">
        <v>1</v>
      </c>
      <c r="Q1002">
        <v>1</v>
      </c>
      <c r="R1002">
        <v>0</v>
      </c>
      <c r="S1002">
        <v>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 t="s">
        <v>5067</v>
      </c>
      <c r="AB1002" t="s">
        <v>1778</v>
      </c>
      <c r="AC1002" t="s">
        <v>5067</v>
      </c>
      <c r="AD1002" t="e">
        <f>VLOOKUP(AB1002,#REF!,2,FALSE)</f>
        <v>#REF!</v>
      </c>
      <c r="AE1002" t="e">
        <f>RIGHT(#REF!,(FIND("Complex",#REF!,1)-8))</f>
        <v>#REF!</v>
      </c>
    </row>
    <row r="1003" spans="1:31" x14ac:dyDescent="0.25">
      <c r="A1003">
        <v>2543</v>
      </c>
      <c r="B1003" t="s">
        <v>77</v>
      </c>
      <c r="C1003">
        <v>87</v>
      </c>
      <c r="D1003">
        <v>503</v>
      </c>
      <c r="E1003">
        <v>2543</v>
      </c>
      <c r="F1003">
        <v>5997601</v>
      </c>
      <c r="G1003">
        <v>6085800</v>
      </c>
      <c r="H1003">
        <f t="shared" si="30"/>
        <v>136.00002267573697</v>
      </c>
      <c r="I1003">
        <f t="shared" si="31"/>
        <v>138</v>
      </c>
      <c r="J1003" t="s">
        <v>29</v>
      </c>
      <c r="K1003">
        <v>3</v>
      </c>
      <c r="L1003" t="e">
        <f t="array" ref="L1003">VLOOKUP(J1003:$J$3871&amp;K1003:$K$3871,CHOOSE({1,2},#REF!&amp;#REF!,#REF!),2,0)</f>
        <v>#N/A</v>
      </c>
      <c r="M1003">
        <v>-15</v>
      </c>
      <c r="N1003">
        <v>0</v>
      </c>
      <c r="O1003" t="s">
        <v>7</v>
      </c>
      <c r="P1003">
        <v>1</v>
      </c>
      <c r="Q1003">
        <v>1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 t="s">
        <v>5958</v>
      </c>
      <c r="AB1003" t="s">
        <v>7773</v>
      </c>
      <c r="AC1003" t="s">
        <v>5958</v>
      </c>
      <c r="AD1003" t="e">
        <f>VLOOKUP(AB1003,#REF!,2,FALSE)</f>
        <v>#REF!</v>
      </c>
      <c r="AE1003" t="e">
        <f>RIGHT(#REF!,(FIND("Complex",#REF!,1)-7))</f>
        <v>#REF!</v>
      </c>
    </row>
    <row r="1004" spans="1:31" x14ac:dyDescent="0.25">
      <c r="A1004">
        <v>3388</v>
      </c>
      <c r="B1004" t="s">
        <v>77</v>
      </c>
      <c r="C1004">
        <v>87</v>
      </c>
      <c r="D1004">
        <v>870</v>
      </c>
      <c r="E1004">
        <v>3388</v>
      </c>
      <c r="F1004">
        <v>5821201</v>
      </c>
      <c r="G1004">
        <v>5909400</v>
      </c>
      <c r="H1004">
        <f t="shared" si="30"/>
        <v>132.00002267573697</v>
      </c>
      <c r="I1004">
        <f t="shared" si="31"/>
        <v>134</v>
      </c>
      <c r="J1004" t="s">
        <v>29</v>
      </c>
      <c r="K1004">
        <v>3</v>
      </c>
      <c r="L1004" t="e">
        <f t="array" ref="L1004">VLOOKUP(J1004:$J$3871&amp;K1004:$K$3871,CHOOSE({1,2},#REF!&amp;#REF!,#REF!),2,0)</f>
        <v>#N/A</v>
      </c>
      <c r="M1004">
        <v>-15</v>
      </c>
      <c r="N1004">
        <v>0</v>
      </c>
      <c r="O1004" t="s">
        <v>7</v>
      </c>
      <c r="P1004">
        <v>1</v>
      </c>
      <c r="Q1004">
        <v>1</v>
      </c>
      <c r="R1004">
        <v>0</v>
      </c>
      <c r="S1004">
        <v>1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 t="s">
        <v>5968</v>
      </c>
      <c r="AB1004" t="s">
        <v>1779</v>
      </c>
      <c r="AC1004" t="s">
        <v>5968</v>
      </c>
      <c r="AD1004" t="e">
        <f>VLOOKUP(AB1004,#REF!,2,FALSE)</f>
        <v>#REF!</v>
      </c>
      <c r="AE1004" t="e">
        <f>RIGHT(#REF!,(FIND("Complex",#REF!,1)-7))</f>
        <v>#REF!</v>
      </c>
    </row>
    <row r="1005" spans="1:31" x14ac:dyDescent="0.25">
      <c r="A1005">
        <v>3510</v>
      </c>
      <c r="B1005" t="s">
        <v>77</v>
      </c>
      <c r="C1005">
        <v>87</v>
      </c>
      <c r="D1005">
        <v>924</v>
      </c>
      <c r="E1005">
        <v>3510</v>
      </c>
      <c r="F1005">
        <v>5292001</v>
      </c>
      <c r="G1005">
        <v>5380200</v>
      </c>
      <c r="H1005">
        <f t="shared" si="30"/>
        <v>120.00002267573696</v>
      </c>
      <c r="I1005">
        <f t="shared" si="31"/>
        <v>122</v>
      </c>
      <c r="J1005" t="s">
        <v>29</v>
      </c>
      <c r="K1005">
        <v>3</v>
      </c>
      <c r="L1005" t="e">
        <f t="array" ref="L1005">VLOOKUP(J1005:$J$3871&amp;K1005:$K$3871,CHOOSE({1,2},#REF!&amp;#REF!,#REF!),2,0)</f>
        <v>#N/A</v>
      </c>
      <c r="M1005">
        <v>-15</v>
      </c>
      <c r="N1005">
        <v>0</v>
      </c>
      <c r="O1005" t="s">
        <v>7</v>
      </c>
      <c r="P1005">
        <v>1</v>
      </c>
      <c r="Q1005">
        <v>1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 t="s">
        <v>6017</v>
      </c>
      <c r="AB1005" t="s">
        <v>228</v>
      </c>
      <c r="AC1005" t="s">
        <v>6017</v>
      </c>
      <c r="AD1005" t="e">
        <f>VLOOKUP(AB1005,#REF!,2,FALSE)</f>
        <v>#REF!</v>
      </c>
      <c r="AE1005" t="e">
        <f>RIGHT(#REF!,(FIND("Complex",#REF!,1)-7))</f>
        <v>#REF!</v>
      </c>
    </row>
    <row r="1006" spans="1:31" x14ac:dyDescent="0.25">
      <c r="A1006">
        <v>1632</v>
      </c>
      <c r="B1006" t="s">
        <v>77</v>
      </c>
      <c r="C1006">
        <v>87</v>
      </c>
      <c r="D1006">
        <v>283</v>
      </c>
      <c r="E1006">
        <v>1632</v>
      </c>
      <c r="F1006">
        <v>5203801</v>
      </c>
      <c r="G1006">
        <v>5292000</v>
      </c>
      <c r="H1006">
        <f t="shared" si="30"/>
        <v>118.00002267573696</v>
      </c>
      <c r="I1006">
        <f t="shared" si="31"/>
        <v>120</v>
      </c>
      <c r="J1006" t="s">
        <v>29</v>
      </c>
      <c r="K1006">
        <v>3</v>
      </c>
      <c r="L1006" t="e">
        <f t="array" ref="L1006">VLOOKUP(J1006:$J$3871&amp;K1006:$K$3871,CHOOSE({1,2},#REF!&amp;#REF!,#REF!),2,0)</f>
        <v>#N/A</v>
      </c>
      <c r="M1006">
        <v>-15</v>
      </c>
      <c r="N1006">
        <v>0</v>
      </c>
      <c r="O1006" t="s">
        <v>7</v>
      </c>
      <c r="P1006">
        <v>1</v>
      </c>
      <c r="Q1006">
        <v>1</v>
      </c>
      <c r="R1006">
        <v>0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 t="s">
        <v>6042</v>
      </c>
      <c r="AB1006" t="s">
        <v>1780</v>
      </c>
      <c r="AC1006" t="s">
        <v>6042</v>
      </c>
      <c r="AD1006" t="e">
        <f>VLOOKUP(AB1006,#REF!,2,FALSE)</f>
        <v>#REF!</v>
      </c>
      <c r="AE1006" t="e">
        <f>RIGHT(#REF!,(FIND("Complex",#REF!,1)-7))</f>
        <v>#REF!</v>
      </c>
    </row>
    <row r="1007" spans="1:31" x14ac:dyDescent="0.25">
      <c r="A1007">
        <v>262</v>
      </c>
      <c r="B1007" t="s">
        <v>76</v>
      </c>
      <c r="C1007">
        <v>93</v>
      </c>
      <c r="D1007">
        <v>50</v>
      </c>
      <c r="E1007">
        <v>262</v>
      </c>
      <c r="F1007">
        <v>2469601</v>
      </c>
      <c r="G1007">
        <v>2557800</v>
      </c>
      <c r="H1007">
        <f t="shared" si="30"/>
        <v>56.000022675736965</v>
      </c>
      <c r="I1007">
        <f t="shared" si="31"/>
        <v>58</v>
      </c>
      <c r="J1007" t="s">
        <v>29</v>
      </c>
      <c r="K1007">
        <v>3</v>
      </c>
      <c r="L1007" t="e">
        <f t="array" ref="L1007">VLOOKUP(J1007:$J$3871&amp;K1007:$K$3871,CHOOSE({1,2},#REF!&amp;#REF!,#REF!),2,0)</f>
        <v>#N/A</v>
      </c>
      <c r="M1007">
        <v>-15</v>
      </c>
      <c r="N1007">
        <v>0</v>
      </c>
      <c r="O1007" t="s">
        <v>7</v>
      </c>
      <c r="P1007">
        <v>1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0</v>
      </c>
      <c r="AA1007" t="s">
        <v>5150</v>
      </c>
      <c r="AB1007" t="s">
        <v>1814</v>
      </c>
      <c r="AC1007" t="s">
        <v>5150</v>
      </c>
      <c r="AD1007" t="e">
        <f>VLOOKUP(AB1007,#REF!,2,FALSE)</f>
        <v>#REF!</v>
      </c>
      <c r="AE1007" t="e">
        <f>RIGHT(#REF!,(FIND("Complex",#REF!,1)-7))</f>
        <v>#REF!</v>
      </c>
    </row>
    <row r="1008" spans="1:31" x14ac:dyDescent="0.25">
      <c r="A1008">
        <v>1535</v>
      </c>
      <c r="B1008" t="s">
        <v>76</v>
      </c>
      <c r="C1008">
        <v>93</v>
      </c>
      <c r="D1008">
        <v>258</v>
      </c>
      <c r="E1008">
        <v>1535</v>
      </c>
      <c r="F1008">
        <v>2293201</v>
      </c>
      <c r="G1008">
        <v>2381400</v>
      </c>
      <c r="H1008">
        <f t="shared" si="30"/>
        <v>52.000022675736965</v>
      </c>
      <c r="I1008">
        <f t="shared" si="31"/>
        <v>54</v>
      </c>
      <c r="J1008" t="s">
        <v>29</v>
      </c>
      <c r="K1008">
        <v>3</v>
      </c>
      <c r="L1008" t="e">
        <f t="array" ref="L1008">VLOOKUP(J1008:$J$3871&amp;K1008:$K$3871,CHOOSE({1,2},#REF!&amp;#REF!,#REF!),2,0)</f>
        <v>#N/A</v>
      </c>
      <c r="M1008">
        <v>-15</v>
      </c>
      <c r="N1008">
        <v>0</v>
      </c>
      <c r="O1008" t="s">
        <v>7</v>
      </c>
      <c r="P1008">
        <v>1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0</v>
      </c>
      <c r="AA1008" t="s">
        <v>5175</v>
      </c>
      <c r="AB1008" t="s">
        <v>213</v>
      </c>
      <c r="AC1008" t="s">
        <v>5175</v>
      </c>
      <c r="AD1008" t="e">
        <f>VLOOKUP(AB1008,#REF!,2,FALSE)</f>
        <v>#REF!</v>
      </c>
      <c r="AE1008" t="e">
        <f>RIGHT(#REF!,(FIND("Complex",#REF!,1)-8))</f>
        <v>#REF!</v>
      </c>
    </row>
    <row r="1009" spans="1:31" x14ac:dyDescent="0.25">
      <c r="A1009">
        <v>809</v>
      </c>
      <c r="B1009" t="s">
        <v>76</v>
      </c>
      <c r="C1009">
        <v>93</v>
      </c>
      <c r="D1009">
        <v>140</v>
      </c>
      <c r="E1009">
        <v>809</v>
      </c>
      <c r="F1009">
        <v>2205001</v>
      </c>
      <c r="G1009">
        <v>2293200</v>
      </c>
      <c r="H1009">
        <f t="shared" si="30"/>
        <v>50.000022675736965</v>
      </c>
      <c r="I1009">
        <f t="shared" si="31"/>
        <v>52</v>
      </c>
      <c r="J1009" t="s">
        <v>29</v>
      </c>
      <c r="K1009">
        <v>3</v>
      </c>
      <c r="L1009" t="e">
        <f t="array" ref="L1009">VLOOKUP(J1009:$J$3871&amp;K1009:$K$3871,CHOOSE({1,2},#REF!&amp;#REF!,#REF!),2,0)</f>
        <v>#N/A</v>
      </c>
      <c r="M1009">
        <v>-15</v>
      </c>
      <c r="N1009">
        <v>0</v>
      </c>
      <c r="O1009" t="s">
        <v>7</v>
      </c>
      <c r="P1009">
        <v>1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 t="s">
        <v>5189</v>
      </c>
      <c r="AB1009" t="s">
        <v>1815</v>
      </c>
      <c r="AC1009" t="s">
        <v>5189</v>
      </c>
      <c r="AD1009" t="e">
        <f>VLOOKUP(AB1009,#REF!,2,FALSE)</f>
        <v>#REF!</v>
      </c>
      <c r="AE1009" t="e">
        <f>RIGHT(#REF!,(FIND("Complex",#REF!,1)-7))</f>
        <v>#REF!</v>
      </c>
    </row>
    <row r="1010" spans="1:31" x14ac:dyDescent="0.25">
      <c r="A1010">
        <v>1948</v>
      </c>
      <c r="B1010" t="s">
        <v>76</v>
      </c>
      <c r="C1010">
        <v>93</v>
      </c>
      <c r="D1010">
        <v>332</v>
      </c>
      <c r="E1010">
        <v>1948</v>
      </c>
      <c r="F1010">
        <v>2028601</v>
      </c>
      <c r="G1010">
        <v>2116800</v>
      </c>
      <c r="H1010">
        <f t="shared" si="30"/>
        <v>46.000022675736965</v>
      </c>
      <c r="I1010">
        <f t="shared" si="31"/>
        <v>48</v>
      </c>
      <c r="J1010" t="s">
        <v>29</v>
      </c>
      <c r="K1010">
        <v>3</v>
      </c>
      <c r="L1010" t="e">
        <f t="array" ref="L1010">VLOOKUP(J1010:$J$3871&amp;K1010:$K$3871,CHOOSE({1,2},#REF!&amp;#REF!,#REF!),2,0)</f>
        <v>#N/A</v>
      </c>
      <c r="M1010">
        <v>-15</v>
      </c>
      <c r="N1010">
        <v>0</v>
      </c>
      <c r="O1010" t="s">
        <v>7</v>
      </c>
      <c r="P1010">
        <v>1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 t="s">
        <v>5214</v>
      </c>
      <c r="AB1010" t="s">
        <v>1816</v>
      </c>
      <c r="AC1010" t="s">
        <v>5214</v>
      </c>
      <c r="AD1010" t="e">
        <f>VLOOKUP(AB1010,#REF!,2,FALSE)</f>
        <v>#REF!</v>
      </c>
      <c r="AE1010" t="e">
        <f>RIGHT(#REF!,(FIND("Complex",#REF!,1)-8))</f>
        <v>#REF!</v>
      </c>
    </row>
    <row r="1011" spans="1:31" x14ac:dyDescent="0.25">
      <c r="A1011">
        <v>3209</v>
      </c>
      <c r="B1011" t="s">
        <v>76</v>
      </c>
      <c r="C1011">
        <v>93</v>
      </c>
      <c r="D1011">
        <v>774</v>
      </c>
      <c r="E1011">
        <v>3209</v>
      </c>
      <c r="F1011">
        <v>1852201</v>
      </c>
      <c r="G1011">
        <v>1940400</v>
      </c>
      <c r="H1011">
        <f t="shared" si="30"/>
        <v>42.000022675736965</v>
      </c>
      <c r="I1011">
        <f t="shared" si="31"/>
        <v>44</v>
      </c>
      <c r="J1011" t="s">
        <v>29</v>
      </c>
      <c r="K1011">
        <v>3</v>
      </c>
      <c r="L1011" t="e">
        <f t="array" ref="L1011">VLOOKUP(J1011:$J$3871&amp;K1011:$K$3871,CHOOSE({1,2},#REF!&amp;#REF!,#REF!),2,0)</f>
        <v>#N/A</v>
      </c>
      <c r="M1011">
        <v>-15</v>
      </c>
      <c r="N1011">
        <v>0</v>
      </c>
      <c r="O1011" t="s">
        <v>7</v>
      </c>
      <c r="P1011">
        <v>1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 t="s">
        <v>5239</v>
      </c>
      <c r="AB1011" t="s">
        <v>1817</v>
      </c>
      <c r="AC1011" t="s">
        <v>5239</v>
      </c>
      <c r="AD1011" t="e">
        <f>VLOOKUP(AB1011,#REF!,2,FALSE)</f>
        <v>#REF!</v>
      </c>
      <c r="AE1011" t="e">
        <f>RIGHT(#REF!,(FIND("Complex",#REF!,1)-8))</f>
        <v>#REF!</v>
      </c>
    </row>
    <row r="1012" spans="1:31" x14ac:dyDescent="0.25">
      <c r="A1012">
        <v>1737</v>
      </c>
      <c r="B1012" t="s">
        <v>76</v>
      </c>
      <c r="C1012">
        <v>93</v>
      </c>
      <c r="D1012">
        <v>300</v>
      </c>
      <c r="E1012">
        <v>1737</v>
      </c>
      <c r="F1012">
        <v>1764001</v>
      </c>
      <c r="G1012">
        <v>1852200</v>
      </c>
      <c r="H1012">
        <f t="shared" si="30"/>
        <v>40.000022675736965</v>
      </c>
      <c r="I1012">
        <f t="shared" si="31"/>
        <v>42</v>
      </c>
      <c r="J1012" t="s">
        <v>29</v>
      </c>
      <c r="K1012">
        <v>3</v>
      </c>
      <c r="L1012" t="e">
        <f t="array" ref="L1012">VLOOKUP(J1012:$J$3871&amp;K1012:$K$3871,CHOOSE({1,2},#REF!&amp;#REF!,#REF!),2,0)</f>
        <v>#N/A</v>
      </c>
      <c r="M1012">
        <v>-15</v>
      </c>
      <c r="N1012">
        <v>0</v>
      </c>
      <c r="O1012" t="s">
        <v>7</v>
      </c>
      <c r="P1012">
        <v>1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1</v>
      </c>
      <c r="Y1012">
        <v>0</v>
      </c>
      <c r="Z1012">
        <v>0</v>
      </c>
      <c r="AA1012" t="s">
        <v>5253</v>
      </c>
      <c r="AB1012" t="s">
        <v>1818</v>
      </c>
      <c r="AC1012" t="s">
        <v>5253</v>
      </c>
      <c r="AD1012" t="e">
        <f>VLOOKUP(AB1012,#REF!,2,FALSE)</f>
        <v>#REF!</v>
      </c>
      <c r="AE1012" t="e">
        <f>RIGHT(#REF!,(FIND("Complex",#REF!,1)-8))</f>
        <v>#REF!</v>
      </c>
    </row>
    <row r="1013" spans="1:31" x14ac:dyDescent="0.25">
      <c r="A1013">
        <v>2605</v>
      </c>
      <c r="B1013" t="s">
        <v>76</v>
      </c>
      <c r="C1013">
        <v>93</v>
      </c>
      <c r="D1013">
        <v>524</v>
      </c>
      <c r="E1013">
        <v>2605</v>
      </c>
      <c r="F1013">
        <v>1675801</v>
      </c>
      <c r="G1013">
        <v>1764000</v>
      </c>
      <c r="H1013">
        <f t="shared" si="30"/>
        <v>38.000022675736965</v>
      </c>
      <c r="I1013">
        <f t="shared" si="31"/>
        <v>40</v>
      </c>
      <c r="J1013" t="s">
        <v>29</v>
      </c>
      <c r="K1013">
        <v>3</v>
      </c>
      <c r="L1013" t="e">
        <f t="array" ref="L1013">VLOOKUP(J1013:$J$3871&amp;K1013:$K$3871,CHOOSE({1,2},#REF!&amp;#REF!,#REF!),2,0)</f>
        <v>#N/A</v>
      </c>
      <c r="M1013">
        <v>-15</v>
      </c>
      <c r="N1013">
        <v>0</v>
      </c>
      <c r="O1013" t="s">
        <v>7</v>
      </c>
      <c r="P1013">
        <v>1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0</v>
      </c>
      <c r="AA1013" t="s">
        <v>5287</v>
      </c>
      <c r="AB1013" t="s">
        <v>1819</v>
      </c>
      <c r="AC1013" t="s">
        <v>5287</v>
      </c>
      <c r="AD1013" t="e">
        <f>VLOOKUP(AB1013,#REF!,2,FALSE)</f>
        <v>#REF!</v>
      </c>
      <c r="AE1013" t="e">
        <f>RIGHT(#REF!,(FIND("Complex",#REF!,1)-8))</f>
        <v>#REF!</v>
      </c>
    </row>
    <row r="1014" spans="1:31" x14ac:dyDescent="0.25">
      <c r="A1014">
        <v>2800</v>
      </c>
      <c r="B1014" t="s">
        <v>76</v>
      </c>
      <c r="C1014">
        <v>93</v>
      </c>
      <c r="D1014">
        <v>604</v>
      </c>
      <c r="E1014">
        <v>2800</v>
      </c>
      <c r="F1014">
        <v>1587601</v>
      </c>
      <c r="G1014">
        <v>1675800</v>
      </c>
      <c r="H1014">
        <f t="shared" si="30"/>
        <v>36.000022675736965</v>
      </c>
      <c r="I1014">
        <f t="shared" si="31"/>
        <v>38</v>
      </c>
      <c r="J1014" t="s">
        <v>29</v>
      </c>
      <c r="K1014">
        <v>3</v>
      </c>
      <c r="L1014" t="e">
        <f t="array" ref="L1014">VLOOKUP(J1014:$J$3871&amp;K1014:$K$3871,CHOOSE({1,2},#REF!&amp;#REF!,#REF!),2,0)</f>
        <v>#N/A</v>
      </c>
      <c r="M1014">
        <v>-15</v>
      </c>
      <c r="N1014">
        <v>0</v>
      </c>
      <c r="O1014" t="s">
        <v>7</v>
      </c>
      <c r="P1014">
        <v>1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 t="s">
        <v>5312</v>
      </c>
      <c r="AB1014" t="s">
        <v>7371</v>
      </c>
      <c r="AC1014" t="s">
        <v>5312</v>
      </c>
      <c r="AD1014" t="e">
        <f>VLOOKUP(AB1014,#REF!,2,FALSE)</f>
        <v>#REF!</v>
      </c>
      <c r="AE1014" t="e">
        <f>RIGHT(#REF!,(FIND("Complex",#REF!,1)-8))</f>
        <v>#REF!</v>
      </c>
    </row>
    <row r="1015" spans="1:31" x14ac:dyDescent="0.25">
      <c r="A1015">
        <v>3350</v>
      </c>
      <c r="B1015" t="s">
        <v>76</v>
      </c>
      <c r="C1015">
        <v>93</v>
      </c>
      <c r="D1015">
        <v>851</v>
      </c>
      <c r="E1015">
        <v>3350</v>
      </c>
      <c r="F1015">
        <v>1323001</v>
      </c>
      <c r="G1015">
        <v>1411200</v>
      </c>
      <c r="H1015">
        <f t="shared" si="30"/>
        <v>30.000022675736961</v>
      </c>
      <c r="I1015">
        <f t="shared" si="31"/>
        <v>32</v>
      </c>
      <c r="J1015" t="s">
        <v>29</v>
      </c>
      <c r="K1015">
        <v>3</v>
      </c>
      <c r="L1015" t="e">
        <f t="array" ref="L1015">VLOOKUP(J1015:$J$3871&amp;K1015:$K$3871,CHOOSE({1,2},#REF!&amp;#REF!,#REF!),2,0)</f>
        <v>#N/A</v>
      </c>
      <c r="M1015">
        <v>-15</v>
      </c>
      <c r="N1015">
        <v>0</v>
      </c>
      <c r="O1015" t="s">
        <v>7</v>
      </c>
      <c r="P1015">
        <v>1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 t="s">
        <v>5376</v>
      </c>
      <c r="AB1015" t="s">
        <v>7408</v>
      </c>
      <c r="AC1015" t="s">
        <v>5376</v>
      </c>
      <c r="AD1015" t="e">
        <f>VLOOKUP(AB1015,#REF!,2,FALSE)</f>
        <v>#REF!</v>
      </c>
      <c r="AE1015" t="e">
        <f>RIGHT(#REF!,(FIND("Complex",#REF!,1)-8))</f>
        <v>#REF!</v>
      </c>
    </row>
    <row r="1016" spans="1:31" x14ac:dyDescent="0.25">
      <c r="A1016">
        <v>2703</v>
      </c>
      <c r="B1016" t="s">
        <v>76</v>
      </c>
      <c r="C1016">
        <v>93</v>
      </c>
      <c r="D1016">
        <v>561</v>
      </c>
      <c r="E1016">
        <v>2703</v>
      </c>
      <c r="F1016">
        <v>8908201</v>
      </c>
      <c r="G1016">
        <v>8996400</v>
      </c>
      <c r="H1016">
        <f t="shared" si="30"/>
        <v>202.00002267573697</v>
      </c>
      <c r="I1016">
        <f t="shared" si="31"/>
        <v>204</v>
      </c>
      <c r="J1016" t="s">
        <v>29</v>
      </c>
      <c r="K1016">
        <v>3</v>
      </c>
      <c r="L1016" t="e">
        <f t="array" ref="L1016">VLOOKUP(J1016:$J$3871&amp;K1016:$K$3871,CHOOSE({1,2},#REF!&amp;#REF!,#REF!),2,0)</f>
        <v>#N/A</v>
      </c>
      <c r="M1016">
        <v>-15</v>
      </c>
      <c r="N1016">
        <v>0</v>
      </c>
      <c r="O1016" t="s">
        <v>7</v>
      </c>
      <c r="P1016">
        <v>1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 t="s">
        <v>5628</v>
      </c>
      <c r="AB1016" t="s">
        <v>7573</v>
      </c>
      <c r="AC1016" t="s">
        <v>5628</v>
      </c>
      <c r="AD1016" t="e">
        <f>VLOOKUP(AB1016,#REF!,2,FALSE)</f>
        <v>#REF!</v>
      </c>
      <c r="AE1016" t="e">
        <f>RIGHT(#REF!,(FIND("Complex",#REF!,1)-7))</f>
        <v>#REF!</v>
      </c>
    </row>
    <row r="1017" spans="1:31" x14ac:dyDescent="0.25">
      <c r="A1017">
        <v>422</v>
      </c>
      <c r="B1017" t="s">
        <v>76</v>
      </c>
      <c r="C1017">
        <v>93</v>
      </c>
      <c r="D1017">
        <v>74</v>
      </c>
      <c r="E1017">
        <v>422</v>
      </c>
      <c r="F1017">
        <v>882001</v>
      </c>
      <c r="G1017">
        <v>970200</v>
      </c>
      <c r="H1017">
        <f t="shared" si="30"/>
        <v>20.000022675736961</v>
      </c>
      <c r="I1017">
        <f t="shared" si="31"/>
        <v>22</v>
      </c>
      <c r="J1017" t="s">
        <v>29</v>
      </c>
      <c r="K1017">
        <v>3</v>
      </c>
      <c r="L1017" t="e">
        <f t="array" ref="L1017">VLOOKUP(J1017:$J$3871&amp;K1017:$K$3871,CHOOSE({1,2},#REF!&amp;#REF!,#REF!),2,0)</f>
        <v>#N/A</v>
      </c>
      <c r="M1017">
        <v>-15</v>
      </c>
      <c r="N1017">
        <v>0</v>
      </c>
      <c r="O1017" t="s">
        <v>7</v>
      </c>
      <c r="P1017">
        <v>1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 t="s">
        <v>5637</v>
      </c>
      <c r="AB1017" t="s">
        <v>7581</v>
      </c>
      <c r="AC1017" t="s">
        <v>5637</v>
      </c>
      <c r="AD1017" t="e">
        <f>VLOOKUP(AB1017,#REF!,2,FALSE)</f>
        <v>#REF!</v>
      </c>
      <c r="AE1017" t="e">
        <f>RIGHT(#REF!,(FIND("Complex",#REF!,1)-7))</f>
        <v>#REF!</v>
      </c>
    </row>
    <row r="1018" spans="1:31" x14ac:dyDescent="0.25">
      <c r="A1018">
        <v>2014</v>
      </c>
      <c r="B1018" t="s">
        <v>76</v>
      </c>
      <c r="C1018">
        <v>93</v>
      </c>
      <c r="D1018">
        <v>348</v>
      </c>
      <c r="E1018">
        <v>2014</v>
      </c>
      <c r="F1018">
        <v>705601</v>
      </c>
      <c r="G1018">
        <v>793800</v>
      </c>
      <c r="H1018">
        <f t="shared" si="30"/>
        <v>16.000022675736961</v>
      </c>
      <c r="I1018">
        <f t="shared" si="31"/>
        <v>18</v>
      </c>
      <c r="J1018" t="s">
        <v>29</v>
      </c>
      <c r="K1018">
        <v>3</v>
      </c>
      <c r="L1018" t="e">
        <f t="array" ref="L1018">VLOOKUP(J1018:$J$3871&amp;K1018:$K$3871,CHOOSE({1,2},#REF!&amp;#REF!,#REF!),2,0)</f>
        <v>#N/A</v>
      </c>
      <c r="M1018">
        <v>-15</v>
      </c>
      <c r="N1018">
        <v>0</v>
      </c>
      <c r="O1018" t="s">
        <v>7</v>
      </c>
      <c r="P1018">
        <v>1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 t="s">
        <v>5807</v>
      </c>
      <c r="AB1018" t="s">
        <v>1820</v>
      </c>
      <c r="AC1018" t="s">
        <v>5807</v>
      </c>
      <c r="AD1018" t="e">
        <f>VLOOKUP(AB1018,#REF!,2,FALSE)</f>
        <v>#REF!</v>
      </c>
      <c r="AE1018" t="e">
        <f>RIGHT(#REF!,(FIND("Complex",#REF!,1)-8))</f>
        <v>#REF!</v>
      </c>
    </row>
    <row r="1019" spans="1:31" x14ac:dyDescent="0.25">
      <c r="A1019">
        <v>2886</v>
      </c>
      <c r="B1019" t="s">
        <v>76</v>
      </c>
      <c r="C1019">
        <v>93</v>
      </c>
      <c r="D1019">
        <v>632</v>
      </c>
      <c r="E1019">
        <v>2886</v>
      </c>
      <c r="F1019">
        <v>617401</v>
      </c>
      <c r="G1019">
        <v>705600</v>
      </c>
      <c r="H1019">
        <f t="shared" si="30"/>
        <v>14.000022675736961</v>
      </c>
      <c r="I1019">
        <f t="shared" si="31"/>
        <v>16</v>
      </c>
      <c r="J1019" t="s">
        <v>29</v>
      </c>
      <c r="K1019">
        <v>3</v>
      </c>
      <c r="L1019" t="e">
        <f t="array" ref="L1019">VLOOKUP(J1019:$J$3871&amp;K1019:$K$3871,CHOOSE({1,2},#REF!&amp;#REF!,#REF!),2,0)</f>
        <v>#N/A</v>
      </c>
      <c r="M1019">
        <v>-15</v>
      </c>
      <c r="N1019">
        <v>0</v>
      </c>
      <c r="O1019" t="s">
        <v>7</v>
      </c>
      <c r="P1019">
        <v>1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1</v>
      </c>
      <c r="Y1019">
        <v>0</v>
      </c>
      <c r="Z1019">
        <v>0</v>
      </c>
      <c r="AA1019" t="s">
        <v>5931</v>
      </c>
      <c r="AB1019" t="s">
        <v>7758</v>
      </c>
      <c r="AC1019" t="s">
        <v>5931</v>
      </c>
      <c r="AD1019" t="e">
        <f>VLOOKUP(AB1019,#REF!,2,FALSE)</f>
        <v>#REF!</v>
      </c>
      <c r="AE1019" t="e">
        <f>RIGHT(#REF!,(FIND("Complex",#REF!,1)-8))</f>
        <v>#REF!</v>
      </c>
    </row>
    <row r="1020" spans="1:31" x14ac:dyDescent="0.25">
      <c r="A1020">
        <v>1190</v>
      </c>
      <c r="B1020" t="s">
        <v>76</v>
      </c>
      <c r="C1020">
        <v>93</v>
      </c>
      <c r="D1020">
        <v>203</v>
      </c>
      <c r="E1020">
        <v>1190</v>
      </c>
      <c r="F1020">
        <v>4762801</v>
      </c>
      <c r="G1020">
        <v>4851000</v>
      </c>
      <c r="H1020">
        <f t="shared" si="30"/>
        <v>108.00002267573696</v>
      </c>
      <c r="I1020">
        <f t="shared" si="31"/>
        <v>110</v>
      </c>
      <c r="J1020" t="s">
        <v>29</v>
      </c>
      <c r="K1020">
        <v>3</v>
      </c>
      <c r="L1020" t="e">
        <f t="array" ref="L1020">VLOOKUP(J1020:$J$3871&amp;K1020:$K$3871,CHOOSE({1,2},#REF!&amp;#REF!,#REF!),2,0)</f>
        <v>#N/A</v>
      </c>
      <c r="M1020">
        <v>-15</v>
      </c>
      <c r="N1020">
        <v>0</v>
      </c>
      <c r="O1020" t="s">
        <v>7</v>
      </c>
      <c r="P1020">
        <v>1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 t="s">
        <v>6083</v>
      </c>
      <c r="AB1020" t="s">
        <v>7841</v>
      </c>
      <c r="AC1020" t="s">
        <v>6083</v>
      </c>
      <c r="AD1020" t="e">
        <f>VLOOKUP(AB1020,#REF!,2,FALSE)</f>
        <v>#REF!</v>
      </c>
      <c r="AE1020" t="e">
        <f>RIGHT(#REF!,(FIND("Complex",#REF!,1)-7))</f>
        <v>#REF!</v>
      </c>
    </row>
    <row r="1021" spans="1:31" x14ac:dyDescent="0.25">
      <c r="A1021">
        <v>3516</v>
      </c>
      <c r="B1021" t="s">
        <v>270</v>
      </c>
      <c r="C1021">
        <v>95</v>
      </c>
      <c r="D1021">
        <v>926</v>
      </c>
      <c r="E1021">
        <v>3516</v>
      </c>
      <c r="F1021">
        <v>9172801</v>
      </c>
      <c r="G1021">
        <v>9261000</v>
      </c>
      <c r="H1021">
        <f t="shared" si="30"/>
        <v>208.00002267573697</v>
      </c>
      <c r="I1021">
        <f t="shared" si="31"/>
        <v>210</v>
      </c>
      <c r="J1021" t="s">
        <v>29</v>
      </c>
      <c r="K1021">
        <v>3</v>
      </c>
      <c r="L1021" t="e">
        <f t="array" ref="L1021">VLOOKUP(J1021:$J$3871&amp;K1021:$K$3871,CHOOSE({1,2},#REF!&amp;#REF!,#REF!),2,0)</f>
        <v>#N/A</v>
      </c>
      <c r="M1021">
        <v>-15</v>
      </c>
      <c r="N1021">
        <v>0</v>
      </c>
      <c r="O1021" t="s">
        <v>7</v>
      </c>
      <c r="P1021">
        <v>1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 t="s">
        <v>5609</v>
      </c>
      <c r="AB1021" t="s">
        <v>7558</v>
      </c>
      <c r="AC1021" t="s">
        <v>5609</v>
      </c>
      <c r="AD1021" t="e">
        <f>VLOOKUP(AB1021,#REF!,2,FALSE)</f>
        <v>#REF!</v>
      </c>
      <c r="AE1021" t="e">
        <f>RIGHT(#REF!,(FIND("Complex",#REF!,1)-7))</f>
        <v>#REF!</v>
      </c>
    </row>
    <row r="1022" spans="1:31" x14ac:dyDescent="0.25">
      <c r="A1022">
        <v>283</v>
      </c>
      <c r="B1022" t="s">
        <v>270</v>
      </c>
      <c r="C1022">
        <v>95</v>
      </c>
      <c r="D1022">
        <v>54</v>
      </c>
      <c r="E1022">
        <v>283</v>
      </c>
      <c r="F1022">
        <v>8996401</v>
      </c>
      <c r="G1022">
        <v>9084600</v>
      </c>
      <c r="H1022">
        <f t="shared" si="30"/>
        <v>204.00002267573697</v>
      </c>
      <c r="I1022">
        <f t="shared" si="31"/>
        <v>206</v>
      </c>
      <c r="J1022" t="s">
        <v>29</v>
      </c>
      <c r="K1022">
        <v>3</v>
      </c>
      <c r="L1022" t="e">
        <f t="array" ref="L1022">VLOOKUP(J1022:$J$3871&amp;K1022:$K$3871,CHOOSE({1,2},#REF!&amp;#REF!,#REF!),2,0)</f>
        <v>#N/A</v>
      </c>
      <c r="M1022">
        <v>-15</v>
      </c>
      <c r="N1022">
        <v>0</v>
      </c>
      <c r="O1022" t="s">
        <v>7</v>
      </c>
      <c r="P1022">
        <v>1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 t="s">
        <v>5621</v>
      </c>
      <c r="AB1022" t="s">
        <v>1846</v>
      </c>
      <c r="AC1022" t="s">
        <v>5621</v>
      </c>
      <c r="AD1022" t="e">
        <f>VLOOKUP(AB1022,#REF!,2,FALSE)</f>
        <v>#REF!</v>
      </c>
      <c r="AE1022" t="e">
        <f>RIGHT(#REF!,(FIND("Complex",#REF!,1)-6))</f>
        <v>#REF!</v>
      </c>
    </row>
    <row r="1023" spans="1:31" x14ac:dyDescent="0.25">
      <c r="A1023">
        <v>3150</v>
      </c>
      <c r="B1023" t="s">
        <v>270</v>
      </c>
      <c r="C1023">
        <v>95</v>
      </c>
      <c r="D1023">
        <v>745</v>
      </c>
      <c r="E1023">
        <v>3150</v>
      </c>
      <c r="F1023">
        <v>8643601</v>
      </c>
      <c r="G1023">
        <v>8731800</v>
      </c>
      <c r="H1023">
        <f t="shared" si="30"/>
        <v>196.00002267573697</v>
      </c>
      <c r="I1023">
        <f t="shared" si="31"/>
        <v>198</v>
      </c>
      <c r="J1023" t="s">
        <v>29</v>
      </c>
      <c r="K1023">
        <v>3</v>
      </c>
      <c r="L1023" t="e">
        <f t="array" ref="L1023">VLOOKUP(J1023:$J$3871&amp;K1023:$K$3871,CHOOSE({1,2},#REF!&amp;#REF!,#REF!),2,0)</f>
        <v>#N/A</v>
      </c>
      <c r="M1023">
        <v>-15</v>
      </c>
      <c r="N1023">
        <v>0</v>
      </c>
      <c r="O1023" t="s">
        <v>7</v>
      </c>
      <c r="P1023">
        <v>1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 t="s">
        <v>5662</v>
      </c>
      <c r="AB1023" t="s">
        <v>1847</v>
      </c>
      <c r="AC1023" t="s">
        <v>5662</v>
      </c>
      <c r="AD1023" t="e">
        <f>VLOOKUP(AB1023,#REF!,2,FALSE)</f>
        <v>#REF!</v>
      </c>
      <c r="AE1023" t="e">
        <f>RIGHT(#REF!,(FIND("Complex",#REF!,1)-7))</f>
        <v>#REF!</v>
      </c>
    </row>
    <row r="1024" spans="1:31" x14ac:dyDescent="0.25">
      <c r="A1024">
        <v>2921</v>
      </c>
      <c r="B1024" t="s">
        <v>270</v>
      </c>
      <c r="C1024">
        <v>95</v>
      </c>
      <c r="D1024">
        <v>645</v>
      </c>
      <c r="E1024">
        <v>2921</v>
      </c>
      <c r="F1024">
        <v>4851001</v>
      </c>
      <c r="G1024">
        <v>4939200</v>
      </c>
      <c r="H1024">
        <f t="shared" si="30"/>
        <v>110.00002267573696</v>
      </c>
      <c r="I1024">
        <f t="shared" si="31"/>
        <v>112</v>
      </c>
      <c r="J1024" t="s">
        <v>29</v>
      </c>
      <c r="K1024">
        <v>3</v>
      </c>
      <c r="L1024" t="e">
        <f t="array" ref="L1024">VLOOKUP(J1024:$J$3871&amp;K1024:$K$3871,CHOOSE({1,2},#REF!&amp;#REF!,#REF!),2,0)</f>
        <v>#N/A</v>
      </c>
      <c r="M1024">
        <v>-15</v>
      </c>
      <c r="N1024">
        <v>0</v>
      </c>
      <c r="O1024" t="s">
        <v>7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1</v>
      </c>
      <c r="Y1024">
        <v>0</v>
      </c>
      <c r="Z1024">
        <v>0</v>
      </c>
      <c r="AA1024" t="s">
        <v>6072</v>
      </c>
      <c r="AB1024" t="s">
        <v>1848</v>
      </c>
      <c r="AC1024" t="s">
        <v>6072</v>
      </c>
      <c r="AD1024" t="e">
        <f>VLOOKUP(AB1024,#REF!,2,FALSE)</f>
        <v>#REF!</v>
      </c>
      <c r="AE1024" t="e">
        <f>RIGHT(#REF!,(FIND("Complex",#REF!,1)-7))</f>
        <v>#REF!</v>
      </c>
    </row>
    <row r="1025" spans="1:31" x14ac:dyDescent="0.25">
      <c r="A1025">
        <v>2004</v>
      </c>
      <c r="B1025" t="s">
        <v>83</v>
      </c>
      <c r="C1025">
        <v>97</v>
      </c>
      <c r="D1025">
        <v>344</v>
      </c>
      <c r="E1025">
        <v>2004</v>
      </c>
      <c r="F1025">
        <v>8996401</v>
      </c>
      <c r="G1025">
        <v>9084600</v>
      </c>
      <c r="H1025">
        <f t="shared" si="30"/>
        <v>204.00002267573697</v>
      </c>
      <c r="I1025">
        <f t="shared" si="31"/>
        <v>206</v>
      </c>
      <c r="J1025" t="s">
        <v>29</v>
      </c>
      <c r="K1025">
        <v>3</v>
      </c>
      <c r="L1025" t="e">
        <f t="array" ref="L1025">VLOOKUP(J1025:$J$3871&amp;K1025:$K$3871,CHOOSE({1,2},#REF!&amp;#REF!,#REF!),2,0)</f>
        <v>#N/A</v>
      </c>
      <c r="M1025">
        <v>-15</v>
      </c>
      <c r="N1025">
        <v>0</v>
      </c>
      <c r="O1025" t="s">
        <v>7</v>
      </c>
      <c r="P1025">
        <v>1</v>
      </c>
      <c r="Q1025">
        <v>1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 t="s">
        <v>5620</v>
      </c>
      <c r="AB1025" t="s">
        <v>7568</v>
      </c>
      <c r="AC1025" t="s">
        <v>5620</v>
      </c>
      <c r="AD1025" t="e">
        <f>VLOOKUP(AB1025,#REF!,2,FALSE)</f>
        <v>#REF!</v>
      </c>
      <c r="AE1025" t="e">
        <f>RIGHT(#REF!,(FIND("Complex",#REF!,1)-7))</f>
        <v>#REF!</v>
      </c>
    </row>
    <row r="1026" spans="1:31" x14ac:dyDescent="0.25">
      <c r="A1026">
        <v>437</v>
      </c>
      <c r="B1026" t="s">
        <v>83</v>
      </c>
      <c r="C1026">
        <v>97</v>
      </c>
      <c r="D1026">
        <v>80</v>
      </c>
      <c r="E1026">
        <v>437</v>
      </c>
      <c r="F1026">
        <v>8908201</v>
      </c>
      <c r="G1026">
        <v>8996400</v>
      </c>
      <c r="H1026">
        <f t="shared" ref="H1026:H1089" si="32">F1026/44100</f>
        <v>202.00002267573697</v>
      </c>
      <c r="I1026">
        <f t="shared" ref="I1026:I1089" si="33">G1026/44100</f>
        <v>204</v>
      </c>
      <c r="J1026" t="s">
        <v>29</v>
      </c>
      <c r="K1026">
        <v>3</v>
      </c>
      <c r="L1026" t="e">
        <f t="array" ref="L1026">VLOOKUP(J1026:$J$3871&amp;K1026:$K$3871,CHOOSE({1,2},#REF!&amp;#REF!,#REF!),2,0)</f>
        <v>#N/A</v>
      </c>
      <c r="M1026">
        <v>-15</v>
      </c>
      <c r="N1026">
        <v>0</v>
      </c>
      <c r="O1026" t="s">
        <v>7</v>
      </c>
      <c r="P1026">
        <v>1</v>
      </c>
      <c r="Q1026">
        <v>1</v>
      </c>
      <c r="R1026">
        <v>0</v>
      </c>
      <c r="S1026">
        <v>1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 t="s">
        <v>5627</v>
      </c>
      <c r="AB1026" t="s">
        <v>1860</v>
      </c>
      <c r="AC1026" t="s">
        <v>5627</v>
      </c>
      <c r="AD1026" t="e">
        <f>VLOOKUP(AB1026,#REF!,2,FALSE)</f>
        <v>#REF!</v>
      </c>
      <c r="AE1026" t="e">
        <f>RIGHT(#REF!,(FIND("Complex",#REF!,1)-6))</f>
        <v>#REF!</v>
      </c>
    </row>
    <row r="1027" spans="1:31" x14ac:dyDescent="0.25">
      <c r="A1027">
        <v>1170</v>
      </c>
      <c r="B1027" t="s">
        <v>74</v>
      </c>
      <c r="C1027">
        <v>101</v>
      </c>
      <c r="D1027">
        <v>200</v>
      </c>
      <c r="E1027">
        <v>1170</v>
      </c>
      <c r="F1027">
        <v>11025001</v>
      </c>
      <c r="G1027">
        <v>11113200</v>
      </c>
      <c r="H1027">
        <f t="shared" si="32"/>
        <v>250.00002267573697</v>
      </c>
      <c r="I1027">
        <f t="shared" si="33"/>
        <v>252</v>
      </c>
      <c r="J1027" t="s">
        <v>29</v>
      </c>
      <c r="K1027">
        <v>3</v>
      </c>
      <c r="L1027" t="e">
        <f t="array" ref="L1027">VLOOKUP(J1027:$J$3871&amp;K1027:$K$3871,CHOOSE({1,2},#REF!&amp;#REF!,#REF!),2,0)</f>
        <v>#N/A</v>
      </c>
      <c r="M1027">
        <v>-15</v>
      </c>
      <c r="N1027">
        <v>0</v>
      </c>
      <c r="O1027" t="s">
        <v>7</v>
      </c>
      <c r="P1027">
        <v>1</v>
      </c>
      <c r="Q1027">
        <v>1</v>
      </c>
      <c r="R1027">
        <v>0</v>
      </c>
      <c r="S1027">
        <v>1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 t="s">
        <v>5490</v>
      </c>
      <c r="AB1027" t="s">
        <v>1928</v>
      </c>
      <c r="AC1027" t="s">
        <v>5490</v>
      </c>
      <c r="AD1027" t="e">
        <f>VLOOKUP(AB1027,#REF!,2,FALSE)</f>
        <v>#REF!</v>
      </c>
      <c r="AE1027" t="e">
        <f>RIGHT(#REF!,(FIND("Complex",#REF!,1)-6))</f>
        <v>#REF!</v>
      </c>
    </row>
    <row r="1028" spans="1:31" x14ac:dyDescent="0.25">
      <c r="A1028">
        <v>386</v>
      </c>
      <c r="B1028" t="s">
        <v>95</v>
      </c>
      <c r="C1028">
        <v>103</v>
      </c>
      <c r="D1028">
        <v>69</v>
      </c>
      <c r="E1028">
        <v>386</v>
      </c>
      <c r="F1028">
        <v>1675801</v>
      </c>
      <c r="G1028">
        <v>1764000</v>
      </c>
      <c r="H1028">
        <f t="shared" si="32"/>
        <v>38.000022675736965</v>
      </c>
      <c r="I1028">
        <f t="shared" si="33"/>
        <v>40</v>
      </c>
      <c r="J1028" t="s">
        <v>29</v>
      </c>
      <c r="K1028">
        <v>3</v>
      </c>
      <c r="L1028" t="e">
        <f t="array" ref="L1028">VLOOKUP(J1028:$J$3871&amp;K1028:$K$3871,CHOOSE({1,2},#REF!&amp;#REF!,#REF!),2,0)</f>
        <v>#N/A</v>
      </c>
      <c r="M1028">
        <v>-15</v>
      </c>
      <c r="N1028">
        <v>0</v>
      </c>
      <c r="O1028" t="s">
        <v>7</v>
      </c>
      <c r="P1028">
        <v>1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W1028">
        <v>0</v>
      </c>
      <c r="X1028">
        <v>1</v>
      </c>
      <c r="Y1028">
        <v>0</v>
      </c>
      <c r="Z1028">
        <v>0</v>
      </c>
      <c r="AA1028" t="s">
        <v>5299</v>
      </c>
      <c r="AB1028" t="s">
        <v>7360</v>
      </c>
      <c r="AC1028" t="s">
        <v>5299</v>
      </c>
      <c r="AD1028" t="e">
        <f>VLOOKUP(AB1028,#REF!,2,FALSE)</f>
        <v>#REF!</v>
      </c>
      <c r="AE1028" t="e">
        <f>RIGHT(#REF!,(FIND("Complex",#REF!,1)-6))</f>
        <v>#REF!</v>
      </c>
    </row>
    <row r="1029" spans="1:31" x14ac:dyDescent="0.25">
      <c r="A1029">
        <v>110</v>
      </c>
      <c r="B1029" t="s">
        <v>95</v>
      </c>
      <c r="C1029">
        <v>103</v>
      </c>
      <c r="D1029">
        <v>20</v>
      </c>
      <c r="E1029">
        <v>110</v>
      </c>
      <c r="F1029">
        <v>1587601</v>
      </c>
      <c r="G1029">
        <v>1675800</v>
      </c>
      <c r="H1029">
        <f t="shared" si="32"/>
        <v>36.000022675736965</v>
      </c>
      <c r="I1029">
        <f t="shared" si="33"/>
        <v>38</v>
      </c>
      <c r="J1029" t="s">
        <v>29</v>
      </c>
      <c r="K1029">
        <v>3</v>
      </c>
      <c r="L1029" t="e">
        <f t="array" ref="L1029">VLOOKUP(J1029:$J$3871&amp;K1029:$K$3871,CHOOSE({1,2},#REF!&amp;#REF!,#REF!),2,0)</f>
        <v>#N/A</v>
      </c>
      <c r="M1029">
        <v>-15</v>
      </c>
      <c r="N1029">
        <v>0</v>
      </c>
      <c r="O1029" t="s">
        <v>7</v>
      </c>
      <c r="P1029">
        <v>1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0</v>
      </c>
      <c r="AA1029" t="s">
        <v>5319</v>
      </c>
      <c r="AB1029" t="s">
        <v>7376</v>
      </c>
      <c r="AC1029" t="s">
        <v>5319</v>
      </c>
      <c r="AD1029" t="e">
        <f>VLOOKUP(AB1029,#REF!,2,FALSE)</f>
        <v>#REF!</v>
      </c>
      <c r="AE1029" t="e">
        <f>RIGHT(#REF!,(FIND("Complex",#REF!,1)-6))</f>
        <v>#REF!</v>
      </c>
    </row>
    <row r="1030" spans="1:31" x14ac:dyDescent="0.25">
      <c r="A1030">
        <v>3430</v>
      </c>
      <c r="B1030" t="s">
        <v>95</v>
      </c>
      <c r="C1030">
        <v>103</v>
      </c>
      <c r="D1030">
        <v>888</v>
      </c>
      <c r="E1030">
        <v>3430</v>
      </c>
      <c r="F1030">
        <v>1499401</v>
      </c>
      <c r="G1030">
        <v>1587600</v>
      </c>
      <c r="H1030">
        <f t="shared" si="32"/>
        <v>34.000022675736965</v>
      </c>
      <c r="I1030">
        <f t="shared" si="33"/>
        <v>36</v>
      </c>
      <c r="J1030" t="s">
        <v>29</v>
      </c>
      <c r="K1030">
        <v>3</v>
      </c>
      <c r="L1030" t="e">
        <f t="array" ref="L1030">VLOOKUP(J1030:$J$3871&amp;K1030:$K$3871,CHOOSE({1,2},#REF!&amp;#REF!,#REF!),2,0)</f>
        <v>#N/A</v>
      </c>
      <c r="M1030">
        <v>-15</v>
      </c>
      <c r="N1030">
        <v>0</v>
      </c>
      <c r="O1030" t="s">
        <v>7</v>
      </c>
      <c r="P1030">
        <v>1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 t="s">
        <v>5343</v>
      </c>
      <c r="AB1030" t="s">
        <v>2036</v>
      </c>
      <c r="AC1030" t="s">
        <v>5343</v>
      </c>
      <c r="AD1030" t="e">
        <f>VLOOKUP(AB1030,#REF!,2,FALSE)</f>
        <v>#REF!</v>
      </c>
      <c r="AE1030" t="e">
        <f>RIGHT(#REF!,(FIND("Complex",#REF!,1)-7))</f>
        <v>#REF!</v>
      </c>
    </row>
    <row r="1031" spans="1:31" x14ac:dyDescent="0.25">
      <c r="A1031">
        <v>2687</v>
      </c>
      <c r="B1031" t="s">
        <v>95</v>
      </c>
      <c r="C1031">
        <v>103</v>
      </c>
      <c r="D1031">
        <v>554</v>
      </c>
      <c r="E1031">
        <v>2687</v>
      </c>
      <c r="F1031">
        <v>1234801</v>
      </c>
      <c r="G1031">
        <v>1323000</v>
      </c>
      <c r="H1031">
        <f t="shared" si="32"/>
        <v>28.000022675736961</v>
      </c>
      <c r="I1031">
        <f t="shared" si="33"/>
        <v>30</v>
      </c>
      <c r="J1031" t="s">
        <v>29</v>
      </c>
      <c r="K1031">
        <v>3</v>
      </c>
      <c r="L1031" t="e">
        <f t="array" ref="L1031">VLOOKUP(J1031:$J$3871&amp;K1031:$K$3871,CHOOSE({1,2},#REF!&amp;#REF!,#REF!),2,0)</f>
        <v>#N/A</v>
      </c>
      <c r="M1031">
        <v>-15</v>
      </c>
      <c r="N1031">
        <v>0</v>
      </c>
      <c r="O1031" t="s">
        <v>7</v>
      </c>
      <c r="P1031">
        <v>1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 t="s">
        <v>5421</v>
      </c>
      <c r="AB1031" t="s">
        <v>7432</v>
      </c>
      <c r="AC1031" t="s">
        <v>5421</v>
      </c>
      <c r="AD1031" t="e">
        <f>VLOOKUP(AB1031,#REF!,2,FALSE)</f>
        <v>#REF!</v>
      </c>
      <c r="AE1031" t="e">
        <f>RIGHT(#REF!,(FIND("Complex",#REF!,1)-7))</f>
        <v>#REF!</v>
      </c>
    </row>
    <row r="1032" spans="1:31" x14ac:dyDescent="0.25">
      <c r="A1032">
        <v>319</v>
      </c>
      <c r="B1032" t="s">
        <v>95</v>
      </c>
      <c r="C1032">
        <v>103</v>
      </c>
      <c r="D1032">
        <v>60</v>
      </c>
      <c r="E1032">
        <v>319</v>
      </c>
      <c r="F1032">
        <v>1146601</v>
      </c>
      <c r="G1032">
        <v>1234800</v>
      </c>
      <c r="H1032">
        <f t="shared" si="32"/>
        <v>26.000022675736961</v>
      </c>
      <c r="I1032">
        <f t="shared" si="33"/>
        <v>28</v>
      </c>
      <c r="J1032" t="s">
        <v>29</v>
      </c>
      <c r="K1032">
        <v>3</v>
      </c>
      <c r="L1032" t="e">
        <f t="array" ref="L1032">VLOOKUP(J1032:$J$3871&amp;K1032:$K$3871,CHOOSE({1,2},#REF!&amp;#REF!,#REF!),2,0)</f>
        <v>#N/A</v>
      </c>
      <c r="M1032">
        <v>-15</v>
      </c>
      <c r="N1032">
        <v>0</v>
      </c>
      <c r="O1032" t="s">
        <v>7</v>
      </c>
      <c r="P1032">
        <v>1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1</v>
      </c>
      <c r="Y1032">
        <v>0</v>
      </c>
      <c r="Z1032">
        <v>0</v>
      </c>
      <c r="AA1032" t="s">
        <v>5471</v>
      </c>
      <c r="AB1032" t="s">
        <v>2037</v>
      </c>
      <c r="AC1032" t="s">
        <v>5471</v>
      </c>
      <c r="AD1032" t="e">
        <f>VLOOKUP(AB1032,#REF!,2,FALSE)</f>
        <v>#REF!</v>
      </c>
      <c r="AE1032" t="e">
        <f>RIGHT(#REF!,(FIND("Complex",#REF!,1)-6))</f>
        <v>#REF!</v>
      </c>
    </row>
    <row r="1033" spans="1:31" x14ac:dyDescent="0.25">
      <c r="A1033">
        <v>3148</v>
      </c>
      <c r="B1033" t="s">
        <v>95</v>
      </c>
      <c r="C1033">
        <v>103</v>
      </c>
      <c r="D1033">
        <v>743</v>
      </c>
      <c r="E1033">
        <v>3148</v>
      </c>
      <c r="F1033">
        <v>1058401</v>
      </c>
      <c r="G1033">
        <v>1146600</v>
      </c>
      <c r="H1033">
        <f t="shared" si="32"/>
        <v>24.000022675736961</v>
      </c>
      <c r="I1033">
        <f t="shared" si="33"/>
        <v>26</v>
      </c>
      <c r="J1033" t="s">
        <v>29</v>
      </c>
      <c r="K1033">
        <v>3</v>
      </c>
      <c r="L1033" t="e">
        <f t="array" ref="L1033">VLOOKUP(J1033:$J$3871&amp;K1033:$K$3871,CHOOSE({1,2},#REF!&amp;#REF!,#REF!),2,0)</f>
        <v>#N/A</v>
      </c>
      <c r="M1033">
        <v>-15</v>
      </c>
      <c r="N1033">
        <v>0</v>
      </c>
      <c r="O1033" t="s">
        <v>7</v>
      </c>
      <c r="P1033">
        <v>1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0</v>
      </c>
      <c r="AA1033" t="s">
        <v>5531</v>
      </c>
      <c r="AB1033" t="s">
        <v>7511</v>
      </c>
      <c r="AC1033" t="s">
        <v>5531</v>
      </c>
      <c r="AD1033" t="e">
        <f>VLOOKUP(AB1033,#REF!,2,FALSE)</f>
        <v>#REF!</v>
      </c>
      <c r="AE1033" t="e">
        <f>RIGHT(#REF!,(FIND("Complex",#REF!,1)-7))</f>
        <v>#REF!</v>
      </c>
    </row>
    <row r="1034" spans="1:31" x14ac:dyDescent="0.25">
      <c r="A1034">
        <v>3036</v>
      </c>
      <c r="B1034" t="s">
        <v>95</v>
      </c>
      <c r="C1034">
        <v>103</v>
      </c>
      <c r="D1034">
        <v>695</v>
      </c>
      <c r="E1034">
        <v>3036</v>
      </c>
      <c r="F1034">
        <v>970201</v>
      </c>
      <c r="G1034">
        <v>1058400</v>
      </c>
      <c r="H1034">
        <f t="shared" si="32"/>
        <v>22.000022675736961</v>
      </c>
      <c r="I1034">
        <f t="shared" si="33"/>
        <v>24</v>
      </c>
      <c r="J1034" t="s">
        <v>29</v>
      </c>
      <c r="K1034">
        <v>3</v>
      </c>
      <c r="L1034" t="e">
        <f t="array" ref="L1034">VLOOKUP(J1034:$J$3871&amp;K1034:$K$3871,CHOOSE({1,2},#REF!&amp;#REF!,#REF!),2,0)</f>
        <v>#N/A</v>
      </c>
      <c r="M1034">
        <v>-15</v>
      </c>
      <c r="N1034">
        <v>0</v>
      </c>
      <c r="O1034" t="s">
        <v>7</v>
      </c>
      <c r="P1034">
        <v>1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1</v>
      </c>
      <c r="Y1034">
        <v>0</v>
      </c>
      <c r="Z1034">
        <v>0</v>
      </c>
      <c r="AA1034" t="s">
        <v>5585</v>
      </c>
      <c r="AB1034" t="s">
        <v>219</v>
      </c>
      <c r="AC1034" t="s">
        <v>5585</v>
      </c>
      <c r="AD1034" t="e">
        <f>VLOOKUP(AB1034,#REF!,2,FALSE)</f>
        <v>#REF!</v>
      </c>
      <c r="AE1034" t="e">
        <f>RIGHT(#REF!,(FIND("Complex",#REF!,1)-7))</f>
        <v>#REF!</v>
      </c>
    </row>
    <row r="1035" spans="1:31" x14ac:dyDescent="0.25">
      <c r="A1035">
        <v>1386</v>
      </c>
      <c r="B1035" t="s">
        <v>95</v>
      </c>
      <c r="C1035">
        <v>103</v>
      </c>
      <c r="D1035">
        <v>233</v>
      </c>
      <c r="E1035">
        <v>1386</v>
      </c>
      <c r="F1035">
        <v>5909401</v>
      </c>
      <c r="G1035">
        <v>5997600</v>
      </c>
      <c r="H1035">
        <f t="shared" si="32"/>
        <v>134.00002267573697</v>
      </c>
      <c r="I1035">
        <f t="shared" si="33"/>
        <v>136</v>
      </c>
      <c r="J1035" t="s">
        <v>29</v>
      </c>
      <c r="K1035">
        <v>3</v>
      </c>
      <c r="L1035" t="e">
        <f t="array" ref="L1035">VLOOKUP(J1035:$J$3871&amp;K1035:$K$3871,CHOOSE({1,2},#REF!&amp;#REF!,#REF!),2,0)</f>
        <v>#N/A</v>
      </c>
      <c r="M1035">
        <v>-15</v>
      </c>
      <c r="N1035">
        <v>0</v>
      </c>
      <c r="O1035" t="s">
        <v>7</v>
      </c>
      <c r="P1035">
        <v>1</v>
      </c>
      <c r="Q1035">
        <v>0</v>
      </c>
      <c r="R1035">
        <v>1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 t="s">
        <v>5966</v>
      </c>
      <c r="AB1035" t="s">
        <v>2038</v>
      </c>
      <c r="AC1035" t="s">
        <v>5966</v>
      </c>
      <c r="AD1035" t="e">
        <f>VLOOKUP(AB1035,#REF!,2,FALSE)</f>
        <v>#REF!</v>
      </c>
      <c r="AE1035" t="e">
        <f>RIGHT(#REF!,(FIND("Complex",#REF!,1)-6))</f>
        <v>#REF!</v>
      </c>
    </row>
    <row r="1036" spans="1:31" x14ac:dyDescent="0.25">
      <c r="A1036">
        <v>3540</v>
      </c>
      <c r="B1036" t="s">
        <v>67</v>
      </c>
      <c r="C1036">
        <v>110</v>
      </c>
      <c r="D1036">
        <v>936</v>
      </c>
      <c r="E1036">
        <v>3540</v>
      </c>
      <c r="F1036">
        <v>1323001</v>
      </c>
      <c r="G1036">
        <v>1411200</v>
      </c>
      <c r="H1036">
        <f t="shared" si="32"/>
        <v>30.000022675736961</v>
      </c>
      <c r="I1036">
        <f t="shared" si="33"/>
        <v>32</v>
      </c>
      <c r="J1036" t="s">
        <v>29</v>
      </c>
      <c r="K1036">
        <v>3</v>
      </c>
      <c r="L1036" t="e">
        <f t="array" ref="L1036">VLOOKUP(J1036:$J$3871&amp;K1036:$K$3871,CHOOSE({1,2},#REF!&amp;#REF!,#REF!),2,0)</f>
        <v>#N/A</v>
      </c>
      <c r="M1036">
        <v>-15</v>
      </c>
      <c r="N1036">
        <v>0</v>
      </c>
      <c r="O1036" t="s">
        <v>7</v>
      </c>
      <c r="P1036">
        <v>1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 t="s">
        <v>5390</v>
      </c>
      <c r="AB1036" t="s">
        <v>2172</v>
      </c>
      <c r="AC1036" t="s">
        <v>5390</v>
      </c>
      <c r="AD1036" t="e">
        <f>VLOOKUP(AB1036,#REF!,2,FALSE)</f>
        <v>#REF!</v>
      </c>
      <c r="AE1036" t="e">
        <f>RIGHT(#REF!,(FIND("Complex",#REF!,1)-7))</f>
        <v>#REF!</v>
      </c>
    </row>
    <row r="1037" spans="1:31" x14ac:dyDescent="0.25">
      <c r="A1037">
        <v>2729</v>
      </c>
      <c r="B1037" t="s">
        <v>90</v>
      </c>
      <c r="C1037">
        <v>111</v>
      </c>
      <c r="D1037">
        <v>572</v>
      </c>
      <c r="E1037">
        <v>2729</v>
      </c>
      <c r="F1037">
        <v>5380201</v>
      </c>
      <c r="G1037">
        <v>5468400</v>
      </c>
      <c r="H1037">
        <f t="shared" si="32"/>
        <v>122.00002267573696</v>
      </c>
      <c r="I1037">
        <f t="shared" si="33"/>
        <v>124</v>
      </c>
      <c r="J1037" t="s">
        <v>29</v>
      </c>
      <c r="K1037">
        <v>3</v>
      </c>
      <c r="L1037" t="e">
        <f t="array" ref="L1037">VLOOKUP(J1037:$J$3871&amp;K1037:$K$3871,CHOOSE({1,2},#REF!&amp;#REF!,#REF!),2,0)</f>
        <v>#N/A</v>
      </c>
      <c r="M1037">
        <v>-15</v>
      </c>
      <c r="N1037">
        <v>0</v>
      </c>
      <c r="O1037" t="s">
        <v>7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1</v>
      </c>
      <c r="Y1037">
        <v>0</v>
      </c>
      <c r="Z1037">
        <v>0</v>
      </c>
      <c r="AA1037" t="s">
        <v>6011</v>
      </c>
      <c r="AB1037" t="s">
        <v>2186</v>
      </c>
      <c r="AC1037" t="s">
        <v>6011</v>
      </c>
      <c r="AD1037" t="e">
        <f>VLOOKUP(AB1037,#REF!,2,FALSE)</f>
        <v>#REF!</v>
      </c>
      <c r="AE1037" t="e">
        <f>RIGHT(#REF!,(FIND("Complex",#REF!,1)-6))</f>
        <v>#REF!</v>
      </c>
    </row>
    <row r="1038" spans="1:31" x14ac:dyDescent="0.25">
      <c r="A1038">
        <v>3454</v>
      </c>
      <c r="B1038" t="s">
        <v>90</v>
      </c>
      <c r="C1038">
        <v>111</v>
      </c>
      <c r="D1038">
        <v>901</v>
      </c>
      <c r="E1038">
        <v>3454</v>
      </c>
      <c r="F1038">
        <v>4586401</v>
      </c>
      <c r="G1038">
        <v>4674600</v>
      </c>
      <c r="H1038">
        <f t="shared" si="32"/>
        <v>104.00002267573696</v>
      </c>
      <c r="I1038">
        <f t="shared" si="33"/>
        <v>106</v>
      </c>
      <c r="J1038" t="s">
        <v>29</v>
      </c>
      <c r="K1038">
        <v>3</v>
      </c>
      <c r="L1038" t="e">
        <f t="array" ref="L1038">VLOOKUP(J1038:$J$3871&amp;K1038:$K$3871,CHOOSE({1,2},#REF!&amp;#REF!,#REF!),2,0)</f>
        <v>#N/A</v>
      </c>
      <c r="M1038">
        <v>-15</v>
      </c>
      <c r="N1038">
        <v>0</v>
      </c>
      <c r="O1038" t="s">
        <v>7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1</v>
      </c>
      <c r="Y1038">
        <v>0</v>
      </c>
      <c r="Z1038">
        <v>0</v>
      </c>
      <c r="AA1038" t="s">
        <v>6105</v>
      </c>
      <c r="AB1038" t="s">
        <v>2187</v>
      </c>
      <c r="AC1038" t="s">
        <v>6105</v>
      </c>
      <c r="AD1038" t="e">
        <f>VLOOKUP(AB1038,#REF!,2,FALSE)</f>
        <v>#REF!</v>
      </c>
      <c r="AE1038" t="e">
        <f>RIGHT(#REF!,(FIND("Complex",#REF!,1)-6))</f>
        <v>#REF!</v>
      </c>
    </row>
    <row r="1039" spans="1:31" x14ac:dyDescent="0.25">
      <c r="A1039">
        <v>3307</v>
      </c>
      <c r="B1039" t="s">
        <v>281</v>
      </c>
      <c r="C1039">
        <v>112</v>
      </c>
      <c r="D1039">
        <v>833</v>
      </c>
      <c r="E1039">
        <v>3307</v>
      </c>
      <c r="F1039">
        <v>4321801</v>
      </c>
      <c r="G1039">
        <v>4410000</v>
      </c>
      <c r="H1039">
        <f t="shared" si="32"/>
        <v>98.000022675736957</v>
      </c>
      <c r="I1039">
        <f t="shared" si="33"/>
        <v>100</v>
      </c>
      <c r="J1039" t="s">
        <v>29</v>
      </c>
      <c r="K1039">
        <v>3</v>
      </c>
      <c r="L1039" t="e">
        <f t="array" ref="L1039">VLOOKUP(J1039:$J$3871&amp;K1039:$K$3871,CHOOSE({1,2},#REF!&amp;#REF!,#REF!),2,0)</f>
        <v>#N/A</v>
      </c>
      <c r="M1039">
        <v>-15</v>
      </c>
      <c r="N1039">
        <v>0</v>
      </c>
      <c r="O1039" t="s">
        <v>7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1</v>
      </c>
      <c r="Y1039">
        <v>0</v>
      </c>
      <c r="Z1039">
        <v>0</v>
      </c>
      <c r="AA1039" t="s">
        <v>4888</v>
      </c>
      <c r="AB1039" t="s">
        <v>7152</v>
      </c>
      <c r="AC1039" t="s">
        <v>4888</v>
      </c>
      <c r="AD1039" t="e">
        <f>VLOOKUP(AB1039,#REF!,2,FALSE)</f>
        <v>#REF!</v>
      </c>
      <c r="AE1039" t="e">
        <f>RIGHT(#REF!,(FIND("Complex",#REF!,1)-7))</f>
        <v>#REF!</v>
      </c>
    </row>
    <row r="1040" spans="1:31" x14ac:dyDescent="0.25">
      <c r="A1040">
        <v>2965</v>
      </c>
      <c r="B1040" t="s">
        <v>281</v>
      </c>
      <c r="C1040">
        <v>112</v>
      </c>
      <c r="D1040">
        <v>666</v>
      </c>
      <c r="E1040">
        <v>2965</v>
      </c>
      <c r="F1040">
        <v>4233601</v>
      </c>
      <c r="G1040">
        <v>4321800</v>
      </c>
      <c r="H1040">
        <f t="shared" si="32"/>
        <v>96.000022675736957</v>
      </c>
      <c r="I1040">
        <f t="shared" si="33"/>
        <v>98</v>
      </c>
      <c r="J1040" t="s">
        <v>29</v>
      </c>
      <c r="K1040">
        <v>3</v>
      </c>
      <c r="L1040" t="e">
        <f t="array" ref="L1040">VLOOKUP(J1040:$J$3871&amp;K1040:$K$3871,CHOOSE({1,2},#REF!&amp;#REF!,#REF!),2,0)</f>
        <v>#N/A</v>
      </c>
      <c r="M1040">
        <v>-15</v>
      </c>
      <c r="N1040">
        <v>0</v>
      </c>
      <c r="O1040" t="s">
        <v>7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1</v>
      </c>
      <c r="Y1040">
        <v>0</v>
      </c>
      <c r="Z1040">
        <v>0</v>
      </c>
      <c r="AA1040" t="s">
        <v>4900</v>
      </c>
      <c r="AB1040" t="s">
        <v>7158</v>
      </c>
      <c r="AC1040" t="s">
        <v>4900</v>
      </c>
      <c r="AD1040" t="e">
        <f>VLOOKUP(AB1040,#REF!,2,FALSE)</f>
        <v>#REF!</v>
      </c>
      <c r="AE1040" t="e">
        <f>RIGHT(#REF!,(FIND("Complex",#REF!,1)-7))</f>
        <v>#REF!</v>
      </c>
    </row>
    <row r="1041" spans="1:31" x14ac:dyDescent="0.25">
      <c r="A1041">
        <v>3549</v>
      </c>
      <c r="B1041" t="s">
        <v>281</v>
      </c>
      <c r="C1041">
        <v>112</v>
      </c>
      <c r="D1041">
        <v>941</v>
      </c>
      <c r="E1041">
        <v>3549</v>
      </c>
      <c r="F1041">
        <v>4145401</v>
      </c>
      <c r="G1041">
        <v>4233600</v>
      </c>
      <c r="H1041">
        <f t="shared" si="32"/>
        <v>94.000022675736957</v>
      </c>
      <c r="I1041">
        <f t="shared" si="33"/>
        <v>96</v>
      </c>
      <c r="J1041" t="s">
        <v>29</v>
      </c>
      <c r="K1041">
        <v>3</v>
      </c>
      <c r="L1041" t="e">
        <f t="array" ref="L1041">VLOOKUP(J1041:$J$3871&amp;K1041:$K$3871,CHOOSE({1,2},#REF!&amp;#REF!,#REF!),2,0)</f>
        <v>#N/A</v>
      </c>
      <c r="M1041">
        <v>-15</v>
      </c>
      <c r="N1041">
        <v>0</v>
      </c>
      <c r="O1041" t="s">
        <v>7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1</v>
      </c>
      <c r="Y1041">
        <v>0</v>
      </c>
      <c r="Z1041">
        <v>0</v>
      </c>
      <c r="AA1041" t="s">
        <v>4909</v>
      </c>
      <c r="AB1041" t="s">
        <v>7165</v>
      </c>
      <c r="AC1041" t="s">
        <v>4909</v>
      </c>
      <c r="AD1041" t="e">
        <f>VLOOKUP(AB1041,#REF!,2,FALSE)</f>
        <v>#REF!</v>
      </c>
      <c r="AE1041" t="e">
        <f>RIGHT(#REF!,(FIND("Complex",#REF!,1)-7))</f>
        <v>#REF!</v>
      </c>
    </row>
    <row r="1042" spans="1:31" x14ac:dyDescent="0.25">
      <c r="A1042">
        <v>2356</v>
      </c>
      <c r="B1042" t="s">
        <v>281</v>
      </c>
      <c r="C1042">
        <v>112</v>
      </c>
      <c r="D1042">
        <v>433</v>
      </c>
      <c r="E1042">
        <v>2356</v>
      </c>
      <c r="F1042">
        <v>4057201</v>
      </c>
      <c r="G1042">
        <v>4145400</v>
      </c>
      <c r="H1042">
        <f t="shared" si="32"/>
        <v>92.000022675736957</v>
      </c>
      <c r="I1042">
        <f t="shared" si="33"/>
        <v>94</v>
      </c>
      <c r="J1042" t="s">
        <v>29</v>
      </c>
      <c r="K1042">
        <v>3</v>
      </c>
      <c r="L1042" t="e">
        <f t="array" ref="L1042">VLOOKUP(J1042:$J$3871&amp;K1042:$K$3871,CHOOSE({1,2},#REF!&amp;#REF!,#REF!),2,0)</f>
        <v>#N/A</v>
      </c>
      <c r="M1042">
        <v>-15</v>
      </c>
      <c r="N1042">
        <v>0</v>
      </c>
      <c r="O1042" t="s">
        <v>7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1</v>
      </c>
      <c r="Y1042">
        <v>0</v>
      </c>
      <c r="Z1042">
        <v>0</v>
      </c>
      <c r="AA1042" t="s">
        <v>4919</v>
      </c>
      <c r="AB1042" t="s">
        <v>2219</v>
      </c>
      <c r="AC1042" t="s">
        <v>4919</v>
      </c>
      <c r="AD1042" t="e">
        <f>VLOOKUP(AB1042,#REF!,2,FALSE)</f>
        <v>#REF!</v>
      </c>
      <c r="AE1042" t="e">
        <f>RIGHT(#REF!,(FIND("Complex",#REF!,1)-7))</f>
        <v>#REF!</v>
      </c>
    </row>
    <row r="1043" spans="1:31" x14ac:dyDescent="0.25">
      <c r="A1043">
        <v>1562</v>
      </c>
      <c r="B1043" t="s">
        <v>281</v>
      </c>
      <c r="C1043">
        <v>112</v>
      </c>
      <c r="D1043">
        <v>262</v>
      </c>
      <c r="E1043">
        <v>1562</v>
      </c>
      <c r="F1043">
        <v>3969001</v>
      </c>
      <c r="G1043">
        <v>4057200</v>
      </c>
      <c r="H1043">
        <f t="shared" si="32"/>
        <v>90.000022675736957</v>
      </c>
      <c r="I1043">
        <f t="shared" si="33"/>
        <v>92</v>
      </c>
      <c r="J1043" t="s">
        <v>29</v>
      </c>
      <c r="K1043">
        <v>3</v>
      </c>
      <c r="L1043" t="e">
        <f t="array" ref="L1043">VLOOKUP(J1043:$J$3871&amp;K1043:$K$3871,CHOOSE({1,2},#REF!&amp;#REF!,#REF!),2,0)</f>
        <v>#N/A</v>
      </c>
      <c r="M1043">
        <v>-15</v>
      </c>
      <c r="N1043">
        <v>0</v>
      </c>
      <c r="O1043" t="s">
        <v>7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1</v>
      </c>
      <c r="Y1043">
        <v>0</v>
      </c>
      <c r="Z1043">
        <v>0</v>
      </c>
      <c r="AA1043" t="s">
        <v>4931</v>
      </c>
      <c r="AB1043" t="s">
        <v>2220</v>
      </c>
      <c r="AC1043" t="s">
        <v>4931</v>
      </c>
      <c r="AD1043" t="e">
        <f>VLOOKUP(AB1043,#REF!,2,FALSE)</f>
        <v>#REF!</v>
      </c>
      <c r="AE1043" t="e">
        <f>RIGHT(#REF!,(FIND("Complex",#REF!,1)-7))</f>
        <v>#REF!</v>
      </c>
    </row>
    <row r="1044" spans="1:31" x14ac:dyDescent="0.25">
      <c r="A1044">
        <v>3164</v>
      </c>
      <c r="B1044" t="s">
        <v>281</v>
      </c>
      <c r="C1044">
        <v>112</v>
      </c>
      <c r="D1044">
        <v>752</v>
      </c>
      <c r="E1044">
        <v>3164</v>
      </c>
      <c r="F1044">
        <v>3704401</v>
      </c>
      <c r="G1044">
        <v>3792600</v>
      </c>
      <c r="H1044">
        <f t="shared" si="32"/>
        <v>84.000022675736957</v>
      </c>
      <c r="I1044">
        <f t="shared" si="33"/>
        <v>86</v>
      </c>
      <c r="J1044" t="s">
        <v>29</v>
      </c>
      <c r="K1044">
        <v>3</v>
      </c>
      <c r="L1044" t="e">
        <f t="array" ref="L1044">VLOOKUP(J1044:$J$3871&amp;K1044:$K$3871,CHOOSE({1,2},#REF!&amp;#REF!,#REF!),2,0)</f>
        <v>#N/A</v>
      </c>
      <c r="M1044">
        <v>-15</v>
      </c>
      <c r="N1044">
        <v>0</v>
      </c>
      <c r="O1044" t="s">
        <v>7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1</v>
      </c>
      <c r="Y1044">
        <v>0</v>
      </c>
      <c r="Z1044">
        <v>0</v>
      </c>
      <c r="AA1044" t="s">
        <v>4963</v>
      </c>
      <c r="AB1044" t="s">
        <v>7196</v>
      </c>
      <c r="AC1044" t="s">
        <v>4963</v>
      </c>
      <c r="AD1044" t="e">
        <f>VLOOKUP(AB1044,#REF!,2,FALSE)</f>
        <v>#REF!</v>
      </c>
      <c r="AE1044" t="e">
        <f>RIGHT(#REF!,(FIND("Complex",#REF!,1)-7))</f>
        <v>#REF!</v>
      </c>
    </row>
    <row r="1045" spans="1:31" x14ac:dyDescent="0.25">
      <c r="A1045">
        <v>3040</v>
      </c>
      <c r="B1045" t="s">
        <v>281</v>
      </c>
      <c r="C1045">
        <v>112</v>
      </c>
      <c r="D1045">
        <v>697</v>
      </c>
      <c r="E1045">
        <v>3040</v>
      </c>
      <c r="F1045">
        <v>3528001</v>
      </c>
      <c r="G1045">
        <v>3616200</v>
      </c>
      <c r="H1045">
        <f t="shared" si="32"/>
        <v>80.000022675736957</v>
      </c>
      <c r="I1045">
        <f t="shared" si="33"/>
        <v>82</v>
      </c>
      <c r="J1045" t="s">
        <v>29</v>
      </c>
      <c r="K1045">
        <v>3</v>
      </c>
      <c r="L1045" t="e">
        <f t="array" ref="L1045">VLOOKUP(J1045:$J$3871&amp;K1045:$K$3871,CHOOSE({1,2},#REF!&amp;#REF!,#REF!),2,0)</f>
        <v>#N/A</v>
      </c>
      <c r="M1045">
        <v>-15</v>
      </c>
      <c r="N1045">
        <v>0</v>
      </c>
      <c r="O1045" t="s">
        <v>7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1</v>
      </c>
      <c r="Y1045">
        <v>0</v>
      </c>
      <c r="Z1045">
        <v>0</v>
      </c>
      <c r="AA1045" t="s">
        <v>4985</v>
      </c>
      <c r="AB1045" t="s">
        <v>2221</v>
      </c>
      <c r="AC1045" t="s">
        <v>4985</v>
      </c>
      <c r="AD1045" t="e">
        <f>VLOOKUP(AB1045,#REF!,2,FALSE)</f>
        <v>#REF!</v>
      </c>
      <c r="AE1045" t="e">
        <f>RIGHT(#REF!,(FIND("Complex",#REF!,1)-7))</f>
        <v>#REF!</v>
      </c>
    </row>
    <row r="1046" spans="1:31" x14ac:dyDescent="0.25">
      <c r="A1046">
        <v>2525</v>
      </c>
      <c r="B1046" t="s">
        <v>281</v>
      </c>
      <c r="C1046">
        <v>112</v>
      </c>
      <c r="D1046">
        <v>493</v>
      </c>
      <c r="E1046">
        <v>2525</v>
      </c>
      <c r="F1046">
        <v>793801</v>
      </c>
      <c r="G1046">
        <v>882000</v>
      </c>
      <c r="H1046">
        <f t="shared" si="32"/>
        <v>18.000022675736961</v>
      </c>
      <c r="I1046">
        <f t="shared" si="33"/>
        <v>20</v>
      </c>
      <c r="J1046" t="s">
        <v>29</v>
      </c>
      <c r="K1046">
        <v>3</v>
      </c>
      <c r="L1046" t="e">
        <f t="array" ref="L1046">VLOOKUP(J1046:$J$3871&amp;K1046:$K$3871,CHOOSE({1,2},#REF!&amp;#REF!,#REF!),2,0)</f>
        <v>#N/A</v>
      </c>
      <c r="M1046">
        <v>-15</v>
      </c>
      <c r="N1046">
        <v>0</v>
      </c>
      <c r="O1046" t="s">
        <v>7</v>
      </c>
      <c r="P1046">
        <v>1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 t="s">
        <v>5716</v>
      </c>
      <c r="AB1046" t="s">
        <v>7628</v>
      </c>
      <c r="AC1046" t="s">
        <v>5716</v>
      </c>
      <c r="AD1046" t="e">
        <f>VLOOKUP(AB1046,#REF!,2,FALSE)</f>
        <v>#REF!</v>
      </c>
      <c r="AE1046" t="e">
        <f>RIGHT(#REF!,(FIND("Complex",#REF!,1)-7))</f>
        <v>#REF!</v>
      </c>
    </row>
    <row r="1047" spans="1:31" x14ac:dyDescent="0.25">
      <c r="A1047">
        <v>1533</v>
      </c>
      <c r="B1047" t="s">
        <v>281</v>
      </c>
      <c r="C1047">
        <v>112</v>
      </c>
      <c r="D1047">
        <v>257</v>
      </c>
      <c r="E1047">
        <v>1533</v>
      </c>
      <c r="F1047">
        <v>705601</v>
      </c>
      <c r="G1047">
        <v>793800</v>
      </c>
      <c r="H1047">
        <f t="shared" si="32"/>
        <v>16.000022675736961</v>
      </c>
      <c r="I1047">
        <f t="shared" si="33"/>
        <v>18</v>
      </c>
      <c r="J1047" t="s">
        <v>29</v>
      </c>
      <c r="K1047">
        <v>3</v>
      </c>
      <c r="L1047" t="e">
        <f t="array" ref="L1047">VLOOKUP(J1047:$J$3871&amp;K1047:$K$3871,CHOOSE({1,2},#REF!&amp;#REF!,#REF!),2,0)</f>
        <v>#N/A</v>
      </c>
      <c r="M1047">
        <v>-15</v>
      </c>
      <c r="N1047">
        <v>0</v>
      </c>
      <c r="O1047" t="s">
        <v>7</v>
      </c>
      <c r="P1047">
        <v>1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 t="s">
        <v>5826</v>
      </c>
      <c r="AB1047" t="s">
        <v>7692</v>
      </c>
      <c r="AC1047" t="s">
        <v>5826</v>
      </c>
      <c r="AD1047" t="e">
        <f>VLOOKUP(AB1047,#REF!,2,FALSE)</f>
        <v>#REF!</v>
      </c>
      <c r="AE1047" t="e">
        <f>RIGHT(#REF!,(FIND("Complex",#REF!,1)-7))</f>
        <v>#REF!</v>
      </c>
    </row>
    <row r="1048" spans="1:31" x14ac:dyDescent="0.25">
      <c r="A1048">
        <v>3256</v>
      </c>
      <c r="B1048" t="s">
        <v>282</v>
      </c>
      <c r="C1048">
        <v>113</v>
      </c>
      <c r="D1048">
        <v>804</v>
      </c>
      <c r="E1048">
        <v>3256</v>
      </c>
      <c r="F1048">
        <v>2998801</v>
      </c>
      <c r="G1048">
        <v>3087000</v>
      </c>
      <c r="H1048">
        <f t="shared" si="32"/>
        <v>68.000022675736957</v>
      </c>
      <c r="I1048">
        <f t="shared" si="33"/>
        <v>70</v>
      </c>
      <c r="J1048" t="s">
        <v>29</v>
      </c>
      <c r="K1048">
        <v>3</v>
      </c>
      <c r="L1048" t="e">
        <f t="array" ref="L1048">VLOOKUP(J1048:$J$3871&amp;K1048:$K$3871,CHOOSE({1,2},#REF!&amp;#REF!,#REF!),2,0)</f>
        <v>#N/A</v>
      </c>
      <c r="M1048">
        <v>-15</v>
      </c>
      <c r="N1048">
        <v>0</v>
      </c>
      <c r="O1048" t="s">
        <v>7</v>
      </c>
      <c r="P1048">
        <v>1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 t="s">
        <v>5077</v>
      </c>
      <c r="AB1048" t="s">
        <v>2228</v>
      </c>
      <c r="AC1048" t="s">
        <v>5077</v>
      </c>
      <c r="AD1048" t="e">
        <f>VLOOKUP(AB1048,#REF!,2,FALSE)</f>
        <v>#REF!</v>
      </c>
      <c r="AE1048" t="e">
        <f>RIGHT(#REF!,(FIND("Complex",#REF!,1)-7))</f>
        <v>#REF!</v>
      </c>
    </row>
    <row r="1049" spans="1:31" x14ac:dyDescent="0.25">
      <c r="A1049">
        <v>2335</v>
      </c>
      <c r="B1049" t="s">
        <v>82</v>
      </c>
      <c r="C1049">
        <v>115</v>
      </c>
      <c r="D1049">
        <v>428</v>
      </c>
      <c r="E1049">
        <v>2335</v>
      </c>
      <c r="F1049">
        <v>3351601</v>
      </c>
      <c r="G1049">
        <v>3439800</v>
      </c>
      <c r="H1049">
        <f t="shared" si="32"/>
        <v>76.000022675736957</v>
      </c>
      <c r="I1049">
        <f t="shared" si="33"/>
        <v>78</v>
      </c>
      <c r="J1049" t="s">
        <v>29</v>
      </c>
      <c r="K1049">
        <v>3</v>
      </c>
      <c r="L1049" t="e">
        <f t="array" ref="L1049">VLOOKUP(J1049:$J$3871&amp;K1049:$K$3871,CHOOSE({1,2},#REF!&amp;#REF!,#REF!),2,0)</f>
        <v>#N/A</v>
      </c>
      <c r="M1049">
        <v>-15</v>
      </c>
      <c r="N1049">
        <v>0</v>
      </c>
      <c r="O1049" t="s">
        <v>7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1</v>
      </c>
      <c r="Y1049">
        <v>0</v>
      </c>
      <c r="Z1049">
        <v>0</v>
      </c>
      <c r="AA1049" t="s">
        <v>5021</v>
      </c>
      <c r="AB1049" t="s">
        <v>2240</v>
      </c>
      <c r="AC1049" t="s">
        <v>5021</v>
      </c>
      <c r="AD1049" t="e">
        <f>VLOOKUP(AB1049,#REF!,2,FALSE)</f>
        <v>#REF!</v>
      </c>
      <c r="AE1049" t="e">
        <f>RIGHT(#REF!,(FIND("Complex",#REF!,1)-7))</f>
        <v>#REF!</v>
      </c>
    </row>
    <row r="1050" spans="1:31" x14ac:dyDescent="0.25">
      <c r="A1050">
        <v>2395</v>
      </c>
      <c r="B1050" t="s">
        <v>82</v>
      </c>
      <c r="C1050">
        <v>115</v>
      </c>
      <c r="D1050">
        <v>450</v>
      </c>
      <c r="E1050">
        <v>2395</v>
      </c>
      <c r="F1050">
        <v>7497001</v>
      </c>
      <c r="G1050">
        <v>7585200</v>
      </c>
      <c r="H1050">
        <f t="shared" si="32"/>
        <v>170.00002267573697</v>
      </c>
      <c r="I1050">
        <f t="shared" si="33"/>
        <v>172</v>
      </c>
      <c r="J1050" t="s">
        <v>29</v>
      </c>
      <c r="K1050">
        <v>3</v>
      </c>
      <c r="L1050" t="e">
        <f t="array" ref="L1050">VLOOKUP(J1050:$J$3871&amp;K1050:$K$3871,CHOOSE({1,2},#REF!&amp;#REF!,#REF!),2,0)</f>
        <v>#N/A</v>
      </c>
      <c r="M1050">
        <v>-15</v>
      </c>
      <c r="N1050">
        <v>0</v>
      </c>
      <c r="O1050" t="s">
        <v>7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1</v>
      </c>
      <c r="Y1050">
        <v>0</v>
      </c>
      <c r="Z1050">
        <v>0</v>
      </c>
      <c r="AA1050" t="s">
        <v>5758</v>
      </c>
      <c r="AB1050" t="s">
        <v>2241</v>
      </c>
      <c r="AC1050" t="s">
        <v>5758</v>
      </c>
      <c r="AD1050" t="e">
        <f>VLOOKUP(AB1050,#REF!,2,FALSE)</f>
        <v>#REF!</v>
      </c>
      <c r="AE1050" t="e">
        <f>RIGHT(#REF!,(FIND("Complex",#REF!,1)-6))</f>
        <v>#REF!</v>
      </c>
    </row>
    <row r="1051" spans="1:31" x14ac:dyDescent="0.25">
      <c r="A1051">
        <v>83</v>
      </c>
      <c r="B1051" t="s">
        <v>82</v>
      </c>
      <c r="C1051">
        <v>115</v>
      </c>
      <c r="D1051">
        <v>15</v>
      </c>
      <c r="E1051">
        <v>83</v>
      </c>
      <c r="F1051">
        <v>7408801</v>
      </c>
      <c r="G1051">
        <v>7497000</v>
      </c>
      <c r="H1051">
        <f t="shared" si="32"/>
        <v>168.00002267573697</v>
      </c>
      <c r="I1051">
        <f t="shared" si="33"/>
        <v>170</v>
      </c>
      <c r="J1051" t="s">
        <v>29</v>
      </c>
      <c r="K1051">
        <v>3</v>
      </c>
      <c r="L1051" t="e">
        <f t="array" ref="L1051">VLOOKUP(J1051:$J$3871&amp;K1051:$K$3871,CHOOSE({1,2},#REF!&amp;#REF!,#REF!),2,0)</f>
        <v>#N/A</v>
      </c>
      <c r="M1051">
        <v>-15</v>
      </c>
      <c r="N1051">
        <v>0</v>
      </c>
      <c r="O1051" t="s">
        <v>7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1</v>
      </c>
      <c r="Y1051">
        <v>0</v>
      </c>
      <c r="Z1051">
        <v>0</v>
      </c>
      <c r="AA1051" t="s">
        <v>5766</v>
      </c>
      <c r="AB1051" t="s">
        <v>2242</v>
      </c>
      <c r="AC1051" t="s">
        <v>5766</v>
      </c>
      <c r="AD1051" t="e">
        <f>VLOOKUP(AB1051,#REF!,2,FALSE)</f>
        <v>#REF!</v>
      </c>
      <c r="AE1051" t="e">
        <f>RIGHT(#REF!,(FIND("Complex",#REF!,1)-4))</f>
        <v>#REF!</v>
      </c>
    </row>
    <row r="1052" spans="1:31" x14ac:dyDescent="0.25">
      <c r="A1052">
        <v>2635</v>
      </c>
      <c r="B1052" t="s">
        <v>82</v>
      </c>
      <c r="C1052">
        <v>115</v>
      </c>
      <c r="D1052">
        <v>534</v>
      </c>
      <c r="E1052">
        <v>2635</v>
      </c>
      <c r="F1052">
        <v>7320601</v>
      </c>
      <c r="G1052">
        <v>7408800</v>
      </c>
      <c r="H1052">
        <f t="shared" si="32"/>
        <v>166.00002267573697</v>
      </c>
      <c r="I1052">
        <f t="shared" si="33"/>
        <v>168</v>
      </c>
      <c r="J1052" t="s">
        <v>29</v>
      </c>
      <c r="K1052">
        <v>3</v>
      </c>
      <c r="L1052" t="e">
        <f t="array" ref="L1052">VLOOKUP(J1052:$J$3871&amp;K1052:$K$3871,CHOOSE({1,2},#REF!&amp;#REF!,#REF!),2,0)</f>
        <v>#N/A</v>
      </c>
      <c r="M1052">
        <v>-15</v>
      </c>
      <c r="N1052">
        <v>0</v>
      </c>
      <c r="O1052" t="s">
        <v>7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1</v>
      </c>
      <c r="Y1052">
        <v>0</v>
      </c>
      <c r="Z1052">
        <v>0</v>
      </c>
      <c r="AA1052" t="s">
        <v>5772</v>
      </c>
      <c r="AB1052" t="s">
        <v>2243</v>
      </c>
      <c r="AC1052" t="s">
        <v>5772</v>
      </c>
      <c r="AD1052" t="e">
        <f>VLOOKUP(AB1052,#REF!,2,FALSE)</f>
        <v>#REF!</v>
      </c>
      <c r="AE1052" t="e">
        <f>RIGHT(#REF!,(FIND("Complex",#REF!,1)-6))</f>
        <v>#REF!</v>
      </c>
    </row>
    <row r="1053" spans="1:31" x14ac:dyDescent="0.25">
      <c r="A1053">
        <v>1413</v>
      </c>
      <c r="B1053" t="s">
        <v>82</v>
      </c>
      <c r="C1053">
        <v>115</v>
      </c>
      <c r="D1053">
        <v>236</v>
      </c>
      <c r="E1053">
        <v>1413</v>
      </c>
      <c r="F1053">
        <v>7232401</v>
      </c>
      <c r="G1053">
        <v>7320600</v>
      </c>
      <c r="H1053">
        <f t="shared" si="32"/>
        <v>164.00002267573697</v>
      </c>
      <c r="I1053">
        <f t="shared" si="33"/>
        <v>166</v>
      </c>
      <c r="J1053" t="s">
        <v>29</v>
      </c>
      <c r="K1053">
        <v>3</v>
      </c>
      <c r="L1053" t="e">
        <f t="array" ref="L1053">VLOOKUP(J1053:$J$3871&amp;K1053:$K$3871,CHOOSE({1,2},#REF!&amp;#REF!,#REF!),2,0)</f>
        <v>#N/A</v>
      </c>
      <c r="M1053">
        <v>-15</v>
      </c>
      <c r="N1053">
        <v>0</v>
      </c>
      <c r="O1053" t="s">
        <v>7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1</v>
      </c>
      <c r="Y1053">
        <v>0</v>
      </c>
      <c r="Z1053">
        <v>0</v>
      </c>
      <c r="AA1053" t="s">
        <v>5781</v>
      </c>
      <c r="AB1053" t="s">
        <v>2244</v>
      </c>
      <c r="AC1053" t="s">
        <v>5781</v>
      </c>
      <c r="AD1053" t="e">
        <f>VLOOKUP(AB1053,#REF!,2,FALSE)</f>
        <v>#REF!</v>
      </c>
      <c r="AE1053" t="e">
        <f>RIGHT(#REF!,(FIND("Complex",#REF!,1)-6))</f>
        <v>#REF!</v>
      </c>
    </row>
    <row r="1054" spans="1:31" x14ac:dyDescent="0.25">
      <c r="A1054">
        <v>2930</v>
      </c>
      <c r="B1054" t="s">
        <v>82</v>
      </c>
      <c r="C1054">
        <v>115</v>
      </c>
      <c r="D1054">
        <v>651</v>
      </c>
      <c r="E1054">
        <v>2930</v>
      </c>
      <c r="F1054">
        <v>6703201</v>
      </c>
      <c r="G1054">
        <v>6791400</v>
      </c>
      <c r="H1054">
        <f t="shared" si="32"/>
        <v>152.00002267573697</v>
      </c>
      <c r="I1054">
        <f t="shared" si="33"/>
        <v>154</v>
      </c>
      <c r="J1054" t="s">
        <v>29</v>
      </c>
      <c r="K1054">
        <v>3</v>
      </c>
      <c r="L1054" t="e">
        <f t="array" ref="L1054">VLOOKUP(J1054:$J$3871&amp;K1054:$K$3871,CHOOSE({1,2},#REF!&amp;#REF!,#REF!),2,0)</f>
        <v>#N/A</v>
      </c>
      <c r="M1054">
        <v>-15</v>
      </c>
      <c r="N1054">
        <v>0</v>
      </c>
      <c r="O1054" t="s">
        <v>7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1</v>
      </c>
      <c r="Y1054">
        <v>0</v>
      </c>
      <c r="Z1054">
        <v>0</v>
      </c>
      <c r="AA1054" t="s">
        <v>5872</v>
      </c>
      <c r="AB1054" t="s">
        <v>2245</v>
      </c>
      <c r="AC1054" t="s">
        <v>5872</v>
      </c>
      <c r="AD1054" t="e">
        <f>VLOOKUP(AB1054,#REF!,2,FALSE)</f>
        <v>#REF!</v>
      </c>
      <c r="AE1054" t="e">
        <f>RIGHT(#REF!,(FIND("Complex",#REF!,1)-6))</f>
        <v>#REF!</v>
      </c>
    </row>
    <row r="1055" spans="1:31" x14ac:dyDescent="0.25">
      <c r="A1055">
        <v>2541</v>
      </c>
      <c r="B1055" t="s">
        <v>82</v>
      </c>
      <c r="C1055">
        <v>115</v>
      </c>
      <c r="D1055">
        <v>502</v>
      </c>
      <c r="E1055">
        <v>2541</v>
      </c>
      <c r="F1055">
        <v>6526801</v>
      </c>
      <c r="G1055">
        <v>6615000</v>
      </c>
      <c r="H1055">
        <f t="shared" si="32"/>
        <v>148.00002267573697</v>
      </c>
      <c r="I1055">
        <f t="shared" si="33"/>
        <v>150</v>
      </c>
      <c r="J1055" t="s">
        <v>29</v>
      </c>
      <c r="K1055">
        <v>3</v>
      </c>
      <c r="L1055" t="e">
        <f t="array" ref="L1055">VLOOKUP(J1055:$J$3871&amp;K1055:$K$3871,CHOOSE({1,2},#REF!&amp;#REF!,#REF!),2,0)</f>
        <v>#N/A</v>
      </c>
      <c r="M1055">
        <v>-15</v>
      </c>
      <c r="N1055">
        <v>0</v>
      </c>
      <c r="O1055" t="s">
        <v>7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1</v>
      </c>
      <c r="Y1055">
        <v>0</v>
      </c>
      <c r="Z1055">
        <v>0</v>
      </c>
      <c r="AA1055" t="s">
        <v>5893</v>
      </c>
      <c r="AB1055" t="s">
        <v>2246</v>
      </c>
      <c r="AC1055" t="s">
        <v>5893</v>
      </c>
      <c r="AD1055" t="e">
        <f>VLOOKUP(AB1055,#REF!,2,FALSE)</f>
        <v>#REF!</v>
      </c>
      <c r="AE1055" t="e">
        <f>RIGHT(#REF!,(FIND("Complex",#REF!,1)-6))</f>
        <v>#REF!</v>
      </c>
    </row>
    <row r="1056" spans="1:31" x14ac:dyDescent="0.25">
      <c r="A1056">
        <v>3496</v>
      </c>
      <c r="B1056" t="s">
        <v>285</v>
      </c>
      <c r="C1056">
        <v>116</v>
      </c>
      <c r="D1056">
        <v>919</v>
      </c>
      <c r="E1056">
        <v>3496</v>
      </c>
      <c r="F1056">
        <v>8555401</v>
      </c>
      <c r="G1056">
        <v>8643600</v>
      </c>
      <c r="H1056">
        <f t="shared" si="32"/>
        <v>194.00002267573697</v>
      </c>
      <c r="I1056">
        <f t="shared" si="33"/>
        <v>196</v>
      </c>
      <c r="J1056" t="s">
        <v>29</v>
      </c>
      <c r="K1056">
        <v>3</v>
      </c>
      <c r="L1056" t="e">
        <f t="array" ref="L1056">VLOOKUP(J1056:$J$3871&amp;K1056:$K$3871,CHOOSE({1,2},#REF!&amp;#REF!,#REF!),2,0)</f>
        <v>#N/A</v>
      </c>
      <c r="M1056">
        <v>-15</v>
      </c>
      <c r="N1056">
        <v>0</v>
      </c>
      <c r="O1056" t="s">
        <v>7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1</v>
      </c>
      <c r="Y1056">
        <v>0</v>
      </c>
      <c r="Z1056">
        <v>0</v>
      </c>
      <c r="AA1056" t="s">
        <v>5672</v>
      </c>
      <c r="AB1056" t="s">
        <v>286</v>
      </c>
      <c r="AC1056" t="s">
        <v>5672</v>
      </c>
      <c r="AD1056" t="e">
        <f>VLOOKUP(AB1056,#REF!,2,FALSE)</f>
        <v>#REF!</v>
      </c>
      <c r="AE1056" t="e">
        <f>RIGHT(#REF!,(FIND("Complex",#REF!,1)-6))</f>
        <v>#REF!</v>
      </c>
    </row>
    <row r="1057" spans="1:31" x14ac:dyDescent="0.25">
      <c r="A1057">
        <v>3692</v>
      </c>
      <c r="B1057" t="s">
        <v>285</v>
      </c>
      <c r="C1057">
        <v>116</v>
      </c>
      <c r="D1057">
        <v>993</v>
      </c>
      <c r="E1057">
        <v>3692</v>
      </c>
      <c r="F1057">
        <v>8026201</v>
      </c>
      <c r="G1057">
        <v>8114400</v>
      </c>
      <c r="H1057">
        <f t="shared" si="32"/>
        <v>182.00002267573697</v>
      </c>
      <c r="I1057">
        <f t="shared" si="33"/>
        <v>184</v>
      </c>
      <c r="J1057" t="s">
        <v>29</v>
      </c>
      <c r="K1057">
        <v>3</v>
      </c>
      <c r="L1057" t="e">
        <f t="array" ref="L1057">VLOOKUP(J1057:$J$3871&amp;K1057:$K$3871,CHOOSE({1,2},#REF!&amp;#REF!,#REF!),2,0)</f>
        <v>#N/A</v>
      </c>
      <c r="M1057">
        <v>-15</v>
      </c>
      <c r="N1057">
        <v>0</v>
      </c>
      <c r="O1057" t="s">
        <v>7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1</v>
      </c>
      <c r="Y1057">
        <v>0</v>
      </c>
      <c r="Z1057">
        <v>0</v>
      </c>
      <c r="AA1057" t="s">
        <v>5699</v>
      </c>
      <c r="AB1057" t="s">
        <v>7621</v>
      </c>
      <c r="AC1057" t="s">
        <v>5699</v>
      </c>
      <c r="AD1057" t="e">
        <f>VLOOKUP(AB1057,#REF!,2,FALSE)</f>
        <v>#REF!</v>
      </c>
      <c r="AE1057" t="e">
        <f>RIGHT(#REF!,(FIND("Complex",#REF!,1)-6))</f>
        <v>#REF!</v>
      </c>
    </row>
    <row r="1058" spans="1:31" x14ac:dyDescent="0.25">
      <c r="A1058">
        <v>3739</v>
      </c>
      <c r="B1058" t="s">
        <v>285</v>
      </c>
      <c r="C1058">
        <v>116</v>
      </c>
      <c r="D1058">
        <v>1011</v>
      </c>
      <c r="E1058">
        <v>3739</v>
      </c>
      <c r="F1058">
        <v>7320601</v>
      </c>
      <c r="G1058">
        <v>7408800</v>
      </c>
      <c r="H1058">
        <f t="shared" si="32"/>
        <v>166.00002267573697</v>
      </c>
      <c r="I1058">
        <f t="shared" si="33"/>
        <v>168</v>
      </c>
      <c r="J1058" t="s">
        <v>29</v>
      </c>
      <c r="K1058">
        <v>3</v>
      </c>
      <c r="L1058" t="e">
        <f t="array" ref="L1058">VLOOKUP(J1058:$J$3871&amp;K1058:$K$3871,CHOOSE({1,2},#REF!&amp;#REF!,#REF!),2,0)</f>
        <v>#N/A</v>
      </c>
      <c r="M1058">
        <v>-15</v>
      </c>
      <c r="N1058">
        <v>0</v>
      </c>
      <c r="O1058" t="s">
        <v>7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1</v>
      </c>
      <c r="Y1058">
        <v>0</v>
      </c>
      <c r="Z1058">
        <v>0</v>
      </c>
      <c r="AA1058" t="s">
        <v>5771</v>
      </c>
      <c r="AB1058" t="s">
        <v>2269</v>
      </c>
      <c r="AC1058" t="s">
        <v>5771</v>
      </c>
      <c r="AD1058" t="e">
        <f>VLOOKUP(AB1058,#REF!,2,FALSE)</f>
        <v>#REF!</v>
      </c>
      <c r="AE1058" t="e">
        <f>RIGHT(#REF!,(FIND("Complex",#REF!,1)-7))</f>
        <v>#REF!</v>
      </c>
    </row>
    <row r="1059" spans="1:31" x14ac:dyDescent="0.25">
      <c r="A1059">
        <v>1167</v>
      </c>
      <c r="B1059" t="s">
        <v>68</v>
      </c>
      <c r="C1059">
        <v>4</v>
      </c>
      <c r="D1059">
        <v>351</v>
      </c>
      <c r="E1059">
        <v>1167</v>
      </c>
      <c r="F1059">
        <v>12348001</v>
      </c>
      <c r="G1059">
        <v>12436200</v>
      </c>
      <c r="H1059">
        <f t="shared" si="32"/>
        <v>280.00002267573694</v>
      </c>
      <c r="I1059">
        <f t="shared" si="33"/>
        <v>282</v>
      </c>
      <c r="J1059" t="s">
        <v>22</v>
      </c>
      <c r="K1059">
        <v>7</v>
      </c>
      <c r="L1059" t="e">
        <f t="array" ref="L1059">VLOOKUP(J1059:$J$3871&amp;K1059:$K$3871,CHOOSE({1,2},#REF!&amp;#REF!,#REF!),2,0)</f>
        <v>#N/A</v>
      </c>
      <c r="M1059">
        <v>0</v>
      </c>
      <c r="N1059">
        <v>1</v>
      </c>
      <c r="O1059" t="s">
        <v>23</v>
      </c>
      <c r="P1059">
        <v>1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1</v>
      </c>
      <c r="X1059">
        <v>1</v>
      </c>
      <c r="Y1059">
        <v>0</v>
      </c>
      <c r="Z1059">
        <v>1</v>
      </c>
      <c r="AA1059" t="s">
        <v>2354</v>
      </c>
      <c r="AB1059" t="s">
        <v>105</v>
      </c>
      <c r="AC1059" t="s">
        <v>2354</v>
      </c>
      <c r="AD1059" t="e">
        <f>VLOOKUP(AB1059,#REF!,2,FALSE)</f>
        <v>#REF!</v>
      </c>
      <c r="AE1059" t="e">
        <f>RIGHT(#REF!,(FIND("Complex",#REF!,1)-8))</f>
        <v>#REF!</v>
      </c>
    </row>
    <row r="1060" spans="1:31" x14ac:dyDescent="0.25">
      <c r="A1060">
        <v>3590</v>
      </c>
      <c r="B1060" t="s">
        <v>68</v>
      </c>
      <c r="C1060">
        <v>4</v>
      </c>
      <c r="D1060">
        <v>1038</v>
      </c>
      <c r="E1060">
        <v>3590</v>
      </c>
      <c r="F1060">
        <v>12171601</v>
      </c>
      <c r="G1060">
        <v>12259800</v>
      </c>
      <c r="H1060">
        <f t="shared" si="32"/>
        <v>276.00002267573694</v>
      </c>
      <c r="I1060">
        <f t="shared" si="33"/>
        <v>278</v>
      </c>
      <c r="J1060" t="s">
        <v>22</v>
      </c>
      <c r="K1060">
        <v>7</v>
      </c>
      <c r="L1060" t="e">
        <f t="array" ref="L1060">VLOOKUP(J1060:$J$3871&amp;K1060:$K$3871,CHOOSE({1,2},#REF!&amp;#REF!,#REF!),2,0)</f>
        <v>#N/A</v>
      </c>
      <c r="M1060">
        <v>0</v>
      </c>
      <c r="N1060">
        <v>1</v>
      </c>
      <c r="O1060" t="s">
        <v>23</v>
      </c>
      <c r="P1060">
        <v>1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1</v>
      </c>
      <c r="X1060">
        <v>1</v>
      </c>
      <c r="Y1060">
        <v>0</v>
      </c>
      <c r="Z1060">
        <v>1</v>
      </c>
      <c r="AA1060" t="s">
        <v>2358</v>
      </c>
      <c r="AB1060" t="s">
        <v>397</v>
      </c>
      <c r="AC1060" t="s">
        <v>2358</v>
      </c>
      <c r="AD1060" t="e">
        <f>VLOOKUP(AB1060,#REF!,2,FALSE)</f>
        <v>#REF!</v>
      </c>
      <c r="AE1060" t="e">
        <f>RIGHT(#REF!,(FIND("Complex",#REF!,1)-9))</f>
        <v>#REF!</v>
      </c>
    </row>
    <row r="1061" spans="1:31" x14ac:dyDescent="0.25">
      <c r="A1061">
        <v>3154</v>
      </c>
      <c r="B1061" t="s">
        <v>68</v>
      </c>
      <c r="C1061">
        <v>4</v>
      </c>
      <c r="D1061">
        <v>979</v>
      </c>
      <c r="E1061">
        <v>3154</v>
      </c>
      <c r="F1061">
        <v>11554201</v>
      </c>
      <c r="G1061">
        <v>11642400</v>
      </c>
      <c r="H1061">
        <f t="shared" si="32"/>
        <v>262.00002267573694</v>
      </c>
      <c r="I1061">
        <f t="shared" si="33"/>
        <v>264</v>
      </c>
      <c r="J1061" t="s">
        <v>22</v>
      </c>
      <c r="K1061">
        <v>7</v>
      </c>
      <c r="L1061" t="e">
        <f t="array" ref="L1061">VLOOKUP(J1061:$J$3871&amp;K1061:$K$3871,CHOOSE({1,2},#REF!&amp;#REF!,#REF!),2,0)</f>
        <v>#N/A</v>
      </c>
      <c r="M1061">
        <v>0</v>
      </c>
      <c r="N1061">
        <v>1</v>
      </c>
      <c r="O1061" t="s">
        <v>23</v>
      </c>
      <c r="P1061">
        <v>1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1</v>
      </c>
      <c r="X1061">
        <v>1</v>
      </c>
      <c r="Y1061">
        <v>0</v>
      </c>
      <c r="Z1061">
        <v>1</v>
      </c>
      <c r="AA1061" t="s">
        <v>2375</v>
      </c>
      <c r="AB1061" t="s">
        <v>398</v>
      </c>
      <c r="AC1061" t="s">
        <v>2375</v>
      </c>
      <c r="AD1061" t="e">
        <f>VLOOKUP(AB1061,#REF!,2,FALSE)</f>
        <v>#REF!</v>
      </c>
      <c r="AE1061" t="e">
        <f>RIGHT(#REF!,(FIND("Complex",#REF!,1)-8))</f>
        <v>#REF!</v>
      </c>
    </row>
    <row r="1062" spans="1:31" x14ac:dyDescent="0.25">
      <c r="A1062">
        <v>3862</v>
      </c>
      <c r="B1062" t="s">
        <v>68</v>
      </c>
      <c r="C1062">
        <v>4</v>
      </c>
      <c r="D1062">
        <v>1095</v>
      </c>
      <c r="E1062">
        <v>3862</v>
      </c>
      <c r="F1062">
        <v>11466001</v>
      </c>
      <c r="G1062">
        <v>11554200</v>
      </c>
      <c r="H1062">
        <f t="shared" si="32"/>
        <v>260.00002267573694</v>
      </c>
      <c r="I1062">
        <f t="shared" si="33"/>
        <v>262</v>
      </c>
      <c r="J1062" t="s">
        <v>22</v>
      </c>
      <c r="K1062">
        <v>7</v>
      </c>
      <c r="L1062" t="e">
        <f t="array" ref="L1062">VLOOKUP(J1062:$J$3871&amp;K1062:$K$3871,CHOOSE({1,2},#REF!&amp;#REF!,#REF!),2,0)</f>
        <v>#N/A</v>
      </c>
      <c r="M1062">
        <v>0</v>
      </c>
      <c r="N1062">
        <v>1</v>
      </c>
      <c r="O1062" t="s">
        <v>23</v>
      </c>
      <c r="P1062">
        <v>1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1</v>
      </c>
      <c r="X1062">
        <v>1</v>
      </c>
      <c r="Y1062">
        <v>0</v>
      </c>
      <c r="Z1062">
        <v>1</v>
      </c>
      <c r="AA1062" t="s">
        <v>2378</v>
      </c>
      <c r="AB1062" t="s">
        <v>399</v>
      </c>
      <c r="AC1062" t="s">
        <v>2378</v>
      </c>
      <c r="AD1062" t="e">
        <f>VLOOKUP(AB1062,#REF!,2,FALSE)</f>
        <v>#REF!</v>
      </c>
      <c r="AE1062" t="e">
        <f>RIGHT(#REF!,(FIND("Complex",#REF!,1)-9))</f>
        <v>#REF!</v>
      </c>
    </row>
    <row r="1063" spans="1:31" x14ac:dyDescent="0.25">
      <c r="A1063">
        <v>2392</v>
      </c>
      <c r="B1063" t="s">
        <v>81</v>
      </c>
      <c r="C1063">
        <v>5</v>
      </c>
      <c r="D1063">
        <v>764</v>
      </c>
      <c r="E1063">
        <v>2392</v>
      </c>
      <c r="F1063">
        <v>21344401</v>
      </c>
      <c r="G1063">
        <v>21432600</v>
      </c>
      <c r="H1063">
        <f t="shared" si="32"/>
        <v>484.00002267573694</v>
      </c>
      <c r="I1063">
        <f t="shared" si="33"/>
        <v>486</v>
      </c>
      <c r="J1063" t="s">
        <v>22</v>
      </c>
      <c r="K1063">
        <v>7</v>
      </c>
      <c r="L1063" t="e">
        <f t="array" ref="L1063">VLOOKUP(J1063:$J$3871&amp;K1063:$K$3871,CHOOSE({1,2},#REF!&amp;#REF!,#REF!),2,0)</f>
        <v>#N/A</v>
      </c>
      <c r="M1063">
        <v>0</v>
      </c>
      <c r="N1063">
        <v>1</v>
      </c>
      <c r="O1063" t="s">
        <v>23</v>
      </c>
      <c r="P1063">
        <v>0</v>
      </c>
      <c r="Q1063">
        <v>1</v>
      </c>
      <c r="R1063">
        <v>0</v>
      </c>
      <c r="S1063">
        <v>0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0</v>
      </c>
      <c r="Z1063">
        <v>1</v>
      </c>
      <c r="AA1063" t="s">
        <v>2304</v>
      </c>
      <c r="AB1063" t="s">
        <v>423</v>
      </c>
      <c r="AC1063" t="s">
        <v>2304</v>
      </c>
      <c r="AD1063" t="e">
        <f>VLOOKUP(AB1063,#REF!,2,FALSE)</f>
        <v>#REF!</v>
      </c>
      <c r="AE1063" t="e">
        <f>RIGHT(#REF!,(FIND("Complex",#REF!,1)-8))</f>
        <v>#REF!</v>
      </c>
    </row>
    <row r="1064" spans="1:31" x14ac:dyDescent="0.25">
      <c r="A1064">
        <v>735</v>
      </c>
      <c r="B1064" t="s">
        <v>81</v>
      </c>
      <c r="C1064">
        <v>5</v>
      </c>
      <c r="D1064">
        <v>227</v>
      </c>
      <c r="E1064">
        <v>735</v>
      </c>
      <c r="F1064">
        <v>21168001</v>
      </c>
      <c r="G1064">
        <v>21256200</v>
      </c>
      <c r="H1064">
        <f t="shared" si="32"/>
        <v>480.00002267573694</v>
      </c>
      <c r="I1064">
        <f t="shared" si="33"/>
        <v>482</v>
      </c>
      <c r="J1064" t="s">
        <v>22</v>
      </c>
      <c r="K1064">
        <v>7</v>
      </c>
      <c r="L1064" t="e">
        <f t="array" ref="L1064">VLOOKUP(J1064:$J$3871&amp;K1064:$K$3871,CHOOSE({1,2},#REF!&amp;#REF!,#REF!),2,0)</f>
        <v>#N/A</v>
      </c>
      <c r="M1064">
        <v>0</v>
      </c>
      <c r="N1064">
        <v>1</v>
      </c>
      <c r="O1064" t="s">
        <v>23</v>
      </c>
      <c r="P1064">
        <v>0</v>
      </c>
      <c r="Q1064">
        <v>1</v>
      </c>
      <c r="R1064">
        <v>0</v>
      </c>
      <c r="S1064">
        <v>0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0</v>
      </c>
      <c r="Z1064">
        <v>1</v>
      </c>
      <c r="AA1064" t="s">
        <v>2306</v>
      </c>
      <c r="AB1064" t="s">
        <v>424</v>
      </c>
      <c r="AC1064" t="s">
        <v>2306</v>
      </c>
      <c r="AD1064" t="e">
        <f>VLOOKUP(AB1064,#REF!,2,FALSE)</f>
        <v>#REF!</v>
      </c>
      <c r="AE1064" t="e">
        <f>RIGHT(#REF!,(FIND("Complex",#REF!,1)-7))</f>
        <v>#REF!</v>
      </c>
    </row>
    <row r="1065" spans="1:31" x14ac:dyDescent="0.25">
      <c r="A1065">
        <v>2760</v>
      </c>
      <c r="B1065" t="s">
        <v>81</v>
      </c>
      <c r="C1065">
        <v>5</v>
      </c>
      <c r="D1065">
        <v>911</v>
      </c>
      <c r="E1065">
        <v>2760</v>
      </c>
      <c r="F1065">
        <v>21079801</v>
      </c>
      <c r="G1065">
        <v>21168000</v>
      </c>
      <c r="H1065">
        <f t="shared" si="32"/>
        <v>478.00002267573694</v>
      </c>
      <c r="I1065">
        <f t="shared" si="33"/>
        <v>480</v>
      </c>
      <c r="J1065" t="s">
        <v>22</v>
      </c>
      <c r="K1065">
        <v>7</v>
      </c>
      <c r="L1065" t="e">
        <f t="array" ref="L1065">VLOOKUP(J1065:$J$3871&amp;K1065:$K$3871,CHOOSE({1,2},#REF!&amp;#REF!,#REF!),2,0)</f>
        <v>#N/A</v>
      </c>
      <c r="M1065">
        <v>0</v>
      </c>
      <c r="N1065">
        <v>1</v>
      </c>
      <c r="O1065" t="s">
        <v>23</v>
      </c>
      <c r="P1065">
        <v>0</v>
      </c>
      <c r="Q1065">
        <v>1</v>
      </c>
      <c r="R1065">
        <v>0</v>
      </c>
      <c r="S1065">
        <v>0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0</v>
      </c>
      <c r="Z1065">
        <v>1</v>
      </c>
      <c r="AA1065" t="s">
        <v>2307</v>
      </c>
      <c r="AB1065" t="s">
        <v>425</v>
      </c>
      <c r="AC1065" t="s">
        <v>2307</v>
      </c>
      <c r="AD1065" t="e">
        <f>VLOOKUP(AB1065,#REF!,2,FALSE)</f>
        <v>#REF!</v>
      </c>
      <c r="AE1065" t="e">
        <f>RIGHT(#REF!,(FIND("Complex",#REF!,1)-8))</f>
        <v>#REF!</v>
      </c>
    </row>
    <row r="1066" spans="1:31" x14ac:dyDescent="0.25">
      <c r="A1066">
        <v>3351</v>
      </c>
      <c r="B1066" t="s">
        <v>81</v>
      </c>
      <c r="C1066">
        <v>5</v>
      </c>
      <c r="D1066">
        <v>1002</v>
      </c>
      <c r="E1066">
        <v>3351</v>
      </c>
      <c r="F1066">
        <v>20638801</v>
      </c>
      <c r="G1066">
        <v>20727000</v>
      </c>
      <c r="H1066">
        <f t="shared" si="32"/>
        <v>468.00002267573694</v>
      </c>
      <c r="I1066">
        <f t="shared" si="33"/>
        <v>470</v>
      </c>
      <c r="J1066" t="s">
        <v>22</v>
      </c>
      <c r="K1066">
        <v>7</v>
      </c>
      <c r="L1066" t="e">
        <f t="array" ref="L1066">VLOOKUP(J1066:$J$3871&amp;K1066:$K$3871,CHOOSE({1,2},#REF!&amp;#REF!,#REF!),2,0)</f>
        <v>#N/A</v>
      </c>
      <c r="M1066">
        <v>0</v>
      </c>
      <c r="N1066">
        <v>1</v>
      </c>
      <c r="O1066" t="s">
        <v>23</v>
      </c>
      <c r="P1066">
        <v>0</v>
      </c>
      <c r="Q1066">
        <v>1</v>
      </c>
      <c r="R1066">
        <v>0</v>
      </c>
      <c r="S1066">
        <v>0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0</v>
      </c>
      <c r="Z1066">
        <v>1</v>
      </c>
      <c r="AA1066" t="s">
        <v>2312</v>
      </c>
      <c r="AB1066" t="s">
        <v>426</v>
      </c>
      <c r="AC1066" t="s">
        <v>2312</v>
      </c>
      <c r="AD1066" t="e">
        <f>VLOOKUP(AB1066,#REF!,2,FALSE)</f>
        <v>#REF!</v>
      </c>
      <c r="AE1066" t="e">
        <f>RIGHT(#REF!,(FIND("Complex",#REF!,1)-9))</f>
        <v>#REF!</v>
      </c>
    </row>
    <row r="1067" spans="1:31" x14ac:dyDescent="0.25">
      <c r="A1067">
        <v>2998</v>
      </c>
      <c r="B1067" t="s">
        <v>81</v>
      </c>
      <c r="C1067">
        <v>5</v>
      </c>
      <c r="D1067">
        <v>960</v>
      </c>
      <c r="E1067">
        <v>2998</v>
      </c>
      <c r="F1067">
        <v>20550601</v>
      </c>
      <c r="G1067">
        <v>20638800</v>
      </c>
      <c r="H1067">
        <f t="shared" si="32"/>
        <v>466.00002267573694</v>
      </c>
      <c r="I1067">
        <f t="shared" si="33"/>
        <v>468</v>
      </c>
      <c r="J1067" t="s">
        <v>22</v>
      </c>
      <c r="K1067">
        <v>7</v>
      </c>
      <c r="L1067" t="e">
        <f t="array" ref="L1067">VLOOKUP(J1067:$J$3871&amp;K1067:$K$3871,CHOOSE({1,2},#REF!&amp;#REF!,#REF!),2,0)</f>
        <v>#N/A</v>
      </c>
      <c r="M1067">
        <v>0</v>
      </c>
      <c r="N1067">
        <v>1</v>
      </c>
      <c r="O1067" t="s">
        <v>23</v>
      </c>
      <c r="P1067">
        <v>0</v>
      </c>
      <c r="Q1067">
        <v>1</v>
      </c>
      <c r="R1067">
        <v>0</v>
      </c>
      <c r="S1067">
        <v>0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0</v>
      </c>
      <c r="Z1067">
        <v>1</v>
      </c>
      <c r="AA1067" t="s">
        <v>2313</v>
      </c>
      <c r="AB1067" t="s">
        <v>427</v>
      </c>
      <c r="AC1067" t="s">
        <v>2313</v>
      </c>
      <c r="AD1067" t="e">
        <f>VLOOKUP(AB1067,#REF!,2,FALSE)</f>
        <v>#REF!</v>
      </c>
      <c r="AE1067" t="e">
        <f>RIGHT(#REF!,(FIND("Complex",#REF!,1)-8))</f>
        <v>#REF!</v>
      </c>
    </row>
    <row r="1068" spans="1:31" x14ac:dyDescent="0.25">
      <c r="A1068">
        <v>3463</v>
      </c>
      <c r="B1068" t="s">
        <v>81</v>
      </c>
      <c r="C1068">
        <v>5</v>
      </c>
      <c r="D1068">
        <v>1015</v>
      </c>
      <c r="E1068">
        <v>3463</v>
      </c>
      <c r="F1068">
        <v>20462401</v>
      </c>
      <c r="G1068">
        <v>20550600</v>
      </c>
      <c r="H1068">
        <f t="shared" si="32"/>
        <v>464.00002267573694</v>
      </c>
      <c r="I1068">
        <f t="shared" si="33"/>
        <v>466</v>
      </c>
      <c r="J1068" t="s">
        <v>22</v>
      </c>
      <c r="K1068">
        <v>7</v>
      </c>
      <c r="L1068" t="e">
        <f t="array" ref="L1068">VLOOKUP(J1068:$J$3871&amp;K1068:$K$3871,CHOOSE({1,2},#REF!&amp;#REF!,#REF!),2,0)</f>
        <v>#N/A</v>
      </c>
      <c r="M1068">
        <v>0</v>
      </c>
      <c r="N1068">
        <v>1</v>
      </c>
      <c r="O1068" t="s">
        <v>23</v>
      </c>
      <c r="P1068">
        <v>0</v>
      </c>
      <c r="Q1068">
        <v>1</v>
      </c>
      <c r="R1068">
        <v>0</v>
      </c>
      <c r="S1068">
        <v>0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0</v>
      </c>
      <c r="Z1068">
        <v>1</v>
      </c>
      <c r="AA1068" t="s">
        <v>2314</v>
      </c>
      <c r="AB1068" t="s">
        <v>428</v>
      </c>
      <c r="AC1068" t="s">
        <v>2314</v>
      </c>
      <c r="AD1068" t="e">
        <f>VLOOKUP(AB1068,#REF!,2,FALSE)</f>
        <v>#REF!</v>
      </c>
      <c r="AE1068" t="e">
        <f>RIGHT(#REF!,(FIND("Complex",#REF!,1)-9))</f>
        <v>#REF!</v>
      </c>
    </row>
    <row r="1069" spans="1:31" x14ac:dyDescent="0.25">
      <c r="A1069">
        <v>457</v>
      </c>
      <c r="B1069" t="s">
        <v>81</v>
      </c>
      <c r="C1069">
        <v>5</v>
      </c>
      <c r="D1069">
        <v>144</v>
      </c>
      <c r="E1069">
        <v>457</v>
      </c>
      <c r="F1069">
        <v>20374201</v>
      </c>
      <c r="G1069">
        <v>20462400</v>
      </c>
      <c r="H1069">
        <f t="shared" si="32"/>
        <v>462.00002267573694</v>
      </c>
      <c r="I1069">
        <f t="shared" si="33"/>
        <v>464</v>
      </c>
      <c r="J1069" t="s">
        <v>22</v>
      </c>
      <c r="K1069">
        <v>7</v>
      </c>
      <c r="L1069" t="e">
        <f t="array" ref="L1069">VLOOKUP(J1069:$J$3871&amp;K1069:$K$3871,CHOOSE({1,2},#REF!&amp;#REF!,#REF!),2,0)</f>
        <v>#N/A</v>
      </c>
      <c r="M1069">
        <v>0</v>
      </c>
      <c r="N1069">
        <v>1</v>
      </c>
      <c r="O1069" t="s">
        <v>23</v>
      </c>
      <c r="P1069">
        <v>0</v>
      </c>
      <c r="Q1069">
        <v>1</v>
      </c>
      <c r="R1069">
        <v>0</v>
      </c>
      <c r="S1069">
        <v>0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0</v>
      </c>
      <c r="Z1069">
        <v>1</v>
      </c>
      <c r="AA1069" t="s">
        <v>2315</v>
      </c>
      <c r="AB1069" t="s">
        <v>429</v>
      </c>
      <c r="AC1069" t="s">
        <v>2315</v>
      </c>
      <c r="AD1069" t="e">
        <f>VLOOKUP(AB1069,#REF!,2,FALSE)</f>
        <v>#REF!</v>
      </c>
      <c r="AE1069" t="e">
        <f>RIGHT(#REF!,(FIND("Complex",#REF!,1)-7))</f>
        <v>#REF!</v>
      </c>
    </row>
    <row r="1070" spans="1:31" x14ac:dyDescent="0.25">
      <c r="A1070">
        <v>3698</v>
      </c>
      <c r="B1070" t="s">
        <v>81</v>
      </c>
      <c r="C1070">
        <v>5</v>
      </c>
      <c r="D1070">
        <v>1058</v>
      </c>
      <c r="E1070">
        <v>3698</v>
      </c>
      <c r="F1070">
        <v>20021401</v>
      </c>
      <c r="G1070">
        <v>20109600</v>
      </c>
      <c r="H1070">
        <f t="shared" si="32"/>
        <v>454.00002267573694</v>
      </c>
      <c r="I1070">
        <f t="shared" si="33"/>
        <v>456</v>
      </c>
      <c r="J1070" t="s">
        <v>22</v>
      </c>
      <c r="K1070">
        <v>7</v>
      </c>
      <c r="L1070" t="e">
        <f t="array" ref="L1070">VLOOKUP(J1070:$J$3871&amp;K1070:$K$3871,CHOOSE({1,2},#REF!&amp;#REF!,#REF!),2,0)</f>
        <v>#N/A</v>
      </c>
      <c r="M1070">
        <v>0</v>
      </c>
      <c r="N1070">
        <v>1</v>
      </c>
      <c r="O1070" t="s">
        <v>23</v>
      </c>
      <c r="P1070">
        <v>1</v>
      </c>
      <c r="Q1070">
        <v>1</v>
      </c>
      <c r="R1070">
        <v>0</v>
      </c>
      <c r="S1070">
        <v>0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0</v>
      </c>
      <c r="Z1070">
        <v>0</v>
      </c>
      <c r="AA1070" t="s">
        <v>2318</v>
      </c>
      <c r="AB1070" t="s">
        <v>430</v>
      </c>
      <c r="AC1070" t="s">
        <v>2318</v>
      </c>
      <c r="AD1070" t="e">
        <f>VLOOKUP(AB1070,#REF!,2,FALSE)</f>
        <v>#REF!</v>
      </c>
      <c r="AE1070" t="e">
        <f>RIGHT(#REF!,(FIND("Complex",#REF!,1)-9))</f>
        <v>#REF!</v>
      </c>
    </row>
    <row r="1071" spans="1:31" x14ac:dyDescent="0.25">
      <c r="A1071">
        <v>3599</v>
      </c>
      <c r="B1071" t="s">
        <v>81</v>
      </c>
      <c r="C1071">
        <v>5</v>
      </c>
      <c r="D1071">
        <v>1041</v>
      </c>
      <c r="E1071">
        <v>3599</v>
      </c>
      <c r="F1071">
        <v>19845001</v>
      </c>
      <c r="G1071">
        <v>19933200</v>
      </c>
      <c r="H1071">
        <f t="shared" si="32"/>
        <v>450.00002267573694</v>
      </c>
      <c r="I1071">
        <f t="shared" si="33"/>
        <v>452</v>
      </c>
      <c r="J1071" t="s">
        <v>22</v>
      </c>
      <c r="K1071">
        <v>7</v>
      </c>
      <c r="L1071" t="e">
        <f t="array" ref="L1071">VLOOKUP(J1071:$J$3871&amp;K1071:$K$3871,CHOOSE({1,2},#REF!&amp;#REF!,#REF!),2,0)</f>
        <v>#N/A</v>
      </c>
      <c r="M1071">
        <v>0</v>
      </c>
      <c r="N1071">
        <v>1</v>
      </c>
      <c r="O1071" t="s">
        <v>23</v>
      </c>
      <c r="P1071">
        <v>1</v>
      </c>
      <c r="Q1071">
        <v>1</v>
      </c>
      <c r="R1071">
        <v>0</v>
      </c>
      <c r="S1071">
        <v>0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0</v>
      </c>
      <c r="Z1071">
        <v>0</v>
      </c>
      <c r="AA1071" t="s">
        <v>2320</v>
      </c>
      <c r="AB1071" t="s">
        <v>431</v>
      </c>
      <c r="AC1071" t="s">
        <v>2320</v>
      </c>
      <c r="AD1071" t="e">
        <f>VLOOKUP(AB1071,#REF!,2,FALSE)</f>
        <v>#REF!</v>
      </c>
      <c r="AE1071" t="e">
        <f>RIGHT(#REF!,(FIND("Complex",#REF!,1)-9))</f>
        <v>#REF!</v>
      </c>
    </row>
    <row r="1072" spans="1:31" x14ac:dyDescent="0.25">
      <c r="A1072">
        <v>3745</v>
      </c>
      <c r="B1072" t="s">
        <v>81</v>
      </c>
      <c r="C1072">
        <v>5</v>
      </c>
      <c r="D1072">
        <v>1069</v>
      </c>
      <c r="E1072">
        <v>3745</v>
      </c>
      <c r="F1072">
        <v>19492201</v>
      </c>
      <c r="G1072">
        <v>19580400</v>
      </c>
      <c r="H1072">
        <f t="shared" si="32"/>
        <v>442.00002267573694</v>
      </c>
      <c r="I1072">
        <f t="shared" si="33"/>
        <v>444</v>
      </c>
      <c r="J1072" t="s">
        <v>22</v>
      </c>
      <c r="K1072">
        <v>7</v>
      </c>
      <c r="L1072" t="e">
        <f t="array" ref="L1072">VLOOKUP(J1072:$J$3871&amp;K1072:$K$3871,CHOOSE({1,2},#REF!&amp;#REF!,#REF!),2,0)</f>
        <v>#N/A</v>
      </c>
      <c r="M1072">
        <v>0</v>
      </c>
      <c r="N1072">
        <v>1</v>
      </c>
      <c r="O1072" t="s">
        <v>23</v>
      </c>
      <c r="P1072">
        <v>1</v>
      </c>
      <c r="Q1072">
        <v>1</v>
      </c>
      <c r="R1072">
        <v>0</v>
      </c>
      <c r="S1072">
        <v>0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0</v>
      </c>
      <c r="Z1072">
        <v>0</v>
      </c>
      <c r="AA1072" t="s">
        <v>2323</v>
      </c>
      <c r="AB1072" t="s">
        <v>432</v>
      </c>
      <c r="AC1072" t="s">
        <v>2323</v>
      </c>
      <c r="AD1072" t="e">
        <f>VLOOKUP(AB1072,#REF!,2,FALSE)</f>
        <v>#REF!</v>
      </c>
      <c r="AE1072" t="e">
        <f>RIGHT(#REF!,(FIND("Complex",#REF!,1)-9))</f>
        <v>#REF!</v>
      </c>
    </row>
    <row r="1073" spans="1:31" x14ac:dyDescent="0.25">
      <c r="A1073">
        <v>3323</v>
      </c>
      <c r="B1073" t="s">
        <v>81</v>
      </c>
      <c r="C1073">
        <v>5</v>
      </c>
      <c r="D1073">
        <v>1000</v>
      </c>
      <c r="E1073">
        <v>3323</v>
      </c>
      <c r="F1073">
        <v>18963001</v>
      </c>
      <c r="G1073">
        <v>19051200</v>
      </c>
      <c r="H1073">
        <f t="shared" si="32"/>
        <v>430.00002267573694</v>
      </c>
      <c r="I1073">
        <f t="shared" si="33"/>
        <v>432</v>
      </c>
      <c r="J1073" t="s">
        <v>22</v>
      </c>
      <c r="K1073">
        <v>7</v>
      </c>
      <c r="L1073" t="e">
        <f t="array" ref="L1073">VLOOKUP(J1073:$J$3871&amp;K1073:$K$3871,CHOOSE({1,2},#REF!&amp;#REF!,#REF!),2,0)</f>
        <v>#N/A</v>
      </c>
      <c r="M1073">
        <v>0</v>
      </c>
      <c r="N1073">
        <v>1</v>
      </c>
      <c r="O1073" t="s">
        <v>23</v>
      </c>
      <c r="P1073">
        <v>1</v>
      </c>
      <c r="Q1073">
        <v>1</v>
      </c>
      <c r="R1073">
        <v>0</v>
      </c>
      <c r="S1073">
        <v>0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0</v>
      </c>
      <c r="Z1073">
        <v>0</v>
      </c>
      <c r="AA1073" t="s">
        <v>2327</v>
      </c>
      <c r="AB1073" t="s">
        <v>102</v>
      </c>
      <c r="AC1073" t="s">
        <v>2327</v>
      </c>
      <c r="AD1073" t="e">
        <f>VLOOKUP(AB1073,#REF!,2,FALSE)</f>
        <v>#REF!</v>
      </c>
      <c r="AE1073" t="e">
        <f>RIGHT(#REF!,(FIND("Complex",#REF!,1)-9))</f>
        <v>#REF!</v>
      </c>
    </row>
    <row r="1074" spans="1:31" x14ac:dyDescent="0.25">
      <c r="A1074">
        <v>2971</v>
      </c>
      <c r="B1074" t="s">
        <v>94</v>
      </c>
      <c r="C1074">
        <v>7</v>
      </c>
      <c r="D1074">
        <v>957</v>
      </c>
      <c r="E1074">
        <v>2971</v>
      </c>
      <c r="F1074">
        <v>8026201</v>
      </c>
      <c r="G1074">
        <v>8114400</v>
      </c>
      <c r="H1074">
        <f t="shared" si="32"/>
        <v>182.00002267573697</v>
      </c>
      <c r="I1074">
        <f t="shared" si="33"/>
        <v>184</v>
      </c>
      <c r="J1074" t="s">
        <v>22</v>
      </c>
      <c r="K1074">
        <v>7</v>
      </c>
      <c r="L1074" t="e">
        <f t="array" ref="L1074">VLOOKUP(J1074:$J$3871&amp;K1074:$K$3871,CHOOSE({1,2},#REF!&amp;#REF!,#REF!),2,0)</f>
        <v>#N/A</v>
      </c>
      <c r="M1074">
        <v>0</v>
      </c>
      <c r="N1074">
        <v>1</v>
      </c>
      <c r="O1074" t="s">
        <v>23</v>
      </c>
      <c r="P1074">
        <v>0</v>
      </c>
      <c r="Q1074">
        <v>1</v>
      </c>
      <c r="R1074">
        <v>1</v>
      </c>
      <c r="S1074">
        <v>0</v>
      </c>
      <c r="T1074">
        <v>0</v>
      </c>
      <c r="U1074">
        <v>0</v>
      </c>
      <c r="V1074">
        <v>1</v>
      </c>
      <c r="W1074">
        <v>1</v>
      </c>
      <c r="X1074">
        <v>1</v>
      </c>
      <c r="Y1074">
        <v>1</v>
      </c>
      <c r="Z1074">
        <v>1</v>
      </c>
      <c r="AA1074" t="s">
        <v>2510</v>
      </c>
      <c r="AB1074" t="s">
        <v>460</v>
      </c>
      <c r="AC1074" t="s">
        <v>2510</v>
      </c>
      <c r="AD1074" t="e">
        <f>VLOOKUP(AB1074,#REF!,2,FALSE)</f>
        <v>#REF!</v>
      </c>
      <c r="AE1074" t="e">
        <f>RIGHT(#REF!,(FIND("Complex",#REF!,1)-8))</f>
        <v>#REF!</v>
      </c>
    </row>
    <row r="1075" spans="1:31" x14ac:dyDescent="0.25">
      <c r="A1075">
        <v>1205</v>
      </c>
      <c r="B1075" t="s">
        <v>94</v>
      </c>
      <c r="C1075">
        <v>7</v>
      </c>
      <c r="D1075">
        <v>363</v>
      </c>
      <c r="E1075">
        <v>1205</v>
      </c>
      <c r="F1075">
        <v>7938001</v>
      </c>
      <c r="G1075">
        <v>8026200</v>
      </c>
      <c r="H1075">
        <f t="shared" si="32"/>
        <v>180.00002267573697</v>
      </c>
      <c r="I1075">
        <f t="shared" si="33"/>
        <v>182</v>
      </c>
      <c r="J1075" t="s">
        <v>22</v>
      </c>
      <c r="K1075">
        <v>7</v>
      </c>
      <c r="L1075" t="e">
        <f t="array" ref="L1075">VLOOKUP(J1075:$J$3871&amp;K1075:$K$3871,CHOOSE({1,2},#REF!&amp;#REF!,#REF!),2,0)</f>
        <v>#N/A</v>
      </c>
      <c r="M1075">
        <v>0</v>
      </c>
      <c r="N1075">
        <v>1</v>
      </c>
      <c r="O1075" t="s">
        <v>23</v>
      </c>
      <c r="P1075">
        <v>0</v>
      </c>
      <c r="Q1075">
        <v>1</v>
      </c>
      <c r="R1075">
        <v>1</v>
      </c>
      <c r="S1075">
        <v>0</v>
      </c>
      <c r="T1075">
        <v>0</v>
      </c>
      <c r="U1075">
        <v>0</v>
      </c>
      <c r="V1075">
        <v>1</v>
      </c>
      <c r="W1075">
        <v>1</v>
      </c>
      <c r="X1075">
        <v>1</v>
      </c>
      <c r="Y1075">
        <v>1</v>
      </c>
      <c r="Z1075">
        <v>1</v>
      </c>
      <c r="AA1075" t="s">
        <v>2512</v>
      </c>
      <c r="AB1075" t="s">
        <v>461</v>
      </c>
      <c r="AC1075" t="s">
        <v>2512</v>
      </c>
      <c r="AD1075" t="e">
        <f>VLOOKUP(AB1075,#REF!,2,FALSE)</f>
        <v>#REF!</v>
      </c>
      <c r="AE1075" t="e">
        <f>RIGHT(#REF!,(FIND("Complex",#REF!,1)-8))</f>
        <v>#REF!</v>
      </c>
    </row>
    <row r="1076" spans="1:31" x14ac:dyDescent="0.25">
      <c r="A1076">
        <v>1057</v>
      </c>
      <c r="B1076" t="s">
        <v>94</v>
      </c>
      <c r="C1076">
        <v>7</v>
      </c>
      <c r="D1076">
        <v>317</v>
      </c>
      <c r="E1076">
        <v>1057</v>
      </c>
      <c r="F1076">
        <v>7761601</v>
      </c>
      <c r="G1076">
        <v>7849800</v>
      </c>
      <c r="H1076">
        <f t="shared" si="32"/>
        <v>176.00002267573697</v>
      </c>
      <c r="I1076">
        <f t="shared" si="33"/>
        <v>178</v>
      </c>
      <c r="J1076" t="s">
        <v>22</v>
      </c>
      <c r="K1076">
        <v>7</v>
      </c>
      <c r="L1076" t="e">
        <f t="array" ref="L1076">VLOOKUP(J1076:$J$3871&amp;K1076:$K$3871,CHOOSE({1,2},#REF!&amp;#REF!,#REF!),2,0)</f>
        <v>#N/A</v>
      </c>
      <c r="M1076">
        <v>0</v>
      </c>
      <c r="N1076">
        <v>1</v>
      </c>
      <c r="O1076" t="s">
        <v>23</v>
      </c>
      <c r="P1076">
        <v>0</v>
      </c>
      <c r="Q1076">
        <v>1</v>
      </c>
      <c r="R1076">
        <v>1</v>
      </c>
      <c r="S1076">
        <v>0</v>
      </c>
      <c r="T1076">
        <v>0</v>
      </c>
      <c r="U1076">
        <v>0</v>
      </c>
      <c r="V1076">
        <v>1</v>
      </c>
      <c r="W1076">
        <v>1</v>
      </c>
      <c r="X1076">
        <v>1</v>
      </c>
      <c r="Y1076">
        <v>1</v>
      </c>
      <c r="Z1076">
        <v>1</v>
      </c>
      <c r="AA1076" t="s">
        <v>2519</v>
      </c>
      <c r="AB1076" t="s">
        <v>125</v>
      </c>
      <c r="AC1076" t="s">
        <v>2519</v>
      </c>
      <c r="AD1076" t="e">
        <f>VLOOKUP(AB1076,#REF!,2,FALSE)</f>
        <v>#REF!</v>
      </c>
      <c r="AE1076" t="e">
        <f>RIGHT(#REF!,(FIND("Complex",#REF!,1)-8))</f>
        <v>#REF!</v>
      </c>
    </row>
    <row r="1077" spans="1:31" x14ac:dyDescent="0.25">
      <c r="A1077">
        <v>2403</v>
      </c>
      <c r="B1077" t="s">
        <v>89</v>
      </c>
      <c r="C1077">
        <v>8</v>
      </c>
      <c r="D1077">
        <v>767</v>
      </c>
      <c r="E1077">
        <v>2403</v>
      </c>
      <c r="F1077">
        <v>8114401</v>
      </c>
      <c r="G1077">
        <v>8202600</v>
      </c>
      <c r="H1077">
        <f t="shared" si="32"/>
        <v>184.00002267573697</v>
      </c>
      <c r="I1077">
        <f t="shared" si="33"/>
        <v>186</v>
      </c>
      <c r="J1077" t="s">
        <v>22</v>
      </c>
      <c r="K1077">
        <v>7</v>
      </c>
      <c r="L1077" t="e">
        <f t="array" ref="L1077">VLOOKUP(J1077:$J$3871&amp;K1077:$K$3871,CHOOSE({1,2},#REF!&amp;#REF!,#REF!),2,0)</f>
        <v>#N/A</v>
      </c>
      <c r="M1077">
        <v>0</v>
      </c>
      <c r="N1077">
        <v>1</v>
      </c>
      <c r="O1077" t="s">
        <v>23</v>
      </c>
      <c r="P1077">
        <v>0</v>
      </c>
      <c r="Q1077">
        <v>1</v>
      </c>
      <c r="R1077">
        <v>0</v>
      </c>
      <c r="S1077">
        <v>1</v>
      </c>
      <c r="T1077">
        <v>1</v>
      </c>
      <c r="U1077">
        <v>0</v>
      </c>
      <c r="V1077">
        <v>0</v>
      </c>
      <c r="W1077">
        <v>1</v>
      </c>
      <c r="X1077">
        <v>1</v>
      </c>
      <c r="Y1077">
        <v>1</v>
      </c>
      <c r="Z1077">
        <v>1</v>
      </c>
      <c r="AA1077" t="s">
        <v>2506</v>
      </c>
      <c r="AB1077" t="s">
        <v>123</v>
      </c>
      <c r="AC1077" t="s">
        <v>2506</v>
      </c>
      <c r="AD1077" t="e">
        <f>VLOOKUP(AB1077,#REF!,2,FALSE)</f>
        <v>#REF!</v>
      </c>
      <c r="AE1077" t="e">
        <f>RIGHT(#REF!,(FIND("Complex",#REF!,1)-8))</f>
        <v>#REF!</v>
      </c>
    </row>
    <row r="1078" spans="1:31" x14ac:dyDescent="0.25">
      <c r="A1078">
        <v>3651</v>
      </c>
      <c r="B1078" t="s">
        <v>89</v>
      </c>
      <c r="C1078">
        <v>8</v>
      </c>
      <c r="D1078">
        <v>1051</v>
      </c>
      <c r="E1078">
        <v>3651</v>
      </c>
      <c r="F1078">
        <v>7585201</v>
      </c>
      <c r="G1078">
        <v>7673400</v>
      </c>
      <c r="H1078">
        <f t="shared" si="32"/>
        <v>172.00002267573697</v>
      </c>
      <c r="I1078">
        <f t="shared" si="33"/>
        <v>174</v>
      </c>
      <c r="J1078" t="s">
        <v>22</v>
      </c>
      <c r="K1078">
        <v>7</v>
      </c>
      <c r="L1078" t="e">
        <f t="array" ref="L1078">VLOOKUP(J1078:$J$3871&amp;K1078:$K$3871,CHOOSE({1,2},#REF!&amp;#REF!,#REF!),2,0)</f>
        <v>#N/A</v>
      </c>
      <c r="M1078">
        <v>0</v>
      </c>
      <c r="N1078">
        <v>1</v>
      </c>
      <c r="O1078" t="s">
        <v>23</v>
      </c>
      <c r="P1078">
        <v>1</v>
      </c>
      <c r="Q1078">
        <v>1</v>
      </c>
      <c r="R1078">
        <v>0</v>
      </c>
      <c r="S1078">
        <v>1</v>
      </c>
      <c r="T1078">
        <v>1</v>
      </c>
      <c r="U1078">
        <v>0</v>
      </c>
      <c r="V1078">
        <v>0</v>
      </c>
      <c r="W1078">
        <v>1</v>
      </c>
      <c r="X1078">
        <v>1</v>
      </c>
      <c r="Y1078">
        <v>0</v>
      </c>
      <c r="Z1078">
        <v>1</v>
      </c>
      <c r="AA1078" t="s">
        <v>2521</v>
      </c>
      <c r="AB1078" t="s">
        <v>500</v>
      </c>
      <c r="AC1078" t="s">
        <v>2521</v>
      </c>
      <c r="AD1078" t="e">
        <f>VLOOKUP(AB1078,#REF!,2,FALSE)</f>
        <v>#REF!</v>
      </c>
      <c r="AE1078" t="e">
        <f>RIGHT(#REF!,(FIND("Complex",#REF!,1)-9))</f>
        <v>#REF!</v>
      </c>
    </row>
    <row r="1079" spans="1:31" x14ac:dyDescent="0.25">
      <c r="A1079">
        <v>3311</v>
      </c>
      <c r="B1079" t="s">
        <v>79</v>
      </c>
      <c r="C1079">
        <v>13</v>
      </c>
      <c r="D1079">
        <v>997</v>
      </c>
      <c r="E1079">
        <v>3311</v>
      </c>
      <c r="F1079">
        <v>4321801</v>
      </c>
      <c r="G1079">
        <v>4410000</v>
      </c>
      <c r="H1079">
        <f t="shared" si="32"/>
        <v>98.000022675736957</v>
      </c>
      <c r="I1079">
        <f t="shared" si="33"/>
        <v>100</v>
      </c>
      <c r="J1079" t="s">
        <v>22</v>
      </c>
      <c r="K1079">
        <v>7</v>
      </c>
      <c r="L1079" t="e">
        <f t="array" ref="L1079">VLOOKUP(J1079:$J$3871&amp;K1079:$K$3871,CHOOSE({1,2},#REF!&amp;#REF!,#REF!),2,0)</f>
        <v>#N/A</v>
      </c>
      <c r="M1079">
        <v>0</v>
      </c>
      <c r="N1079">
        <v>1</v>
      </c>
      <c r="O1079" t="s">
        <v>23</v>
      </c>
      <c r="P1079">
        <v>1</v>
      </c>
      <c r="Q1079">
        <v>1</v>
      </c>
      <c r="R1079">
        <v>1</v>
      </c>
      <c r="S1079">
        <v>0</v>
      </c>
      <c r="T1079">
        <v>0</v>
      </c>
      <c r="U1079">
        <v>1</v>
      </c>
      <c r="V1079">
        <v>1</v>
      </c>
      <c r="W1079">
        <v>1</v>
      </c>
      <c r="X1079">
        <v>0</v>
      </c>
      <c r="Y1079">
        <v>1</v>
      </c>
      <c r="Z1079">
        <v>0</v>
      </c>
      <c r="AA1079" t="s">
        <v>2283</v>
      </c>
      <c r="AB1079" t="s">
        <v>537</v>
      </c>
      <c r="AC1079" t="s">
        <v>2283</v>
      </c>
      <c r="AD1079" t="e">
        <f>VLOOKUP(AB1079,#REF!,2,FALSE)</f>
        <v>#REF!</v>
      </c>
      <c r="AE1079" t="e">
        <f>RIGHT(#REF!,(FIND("Complex",#REF!,1)-8))</f>
        <v>#REF!</v>
      </c>
    </row>
    <row r="1080" spans="1:31" x14ac:dyDescent="0.25">
      <c r="A1080">
        <v>2405</v>
      </c>
      <c r="B1080" t="s">
        <v>79</v>
      </c>
      <c r="C1080">
        <v>13</v>
      </c>
      <c r="D1080">
        <v>769</v>
      </c>
      <c r="E1080">
        <v>2405</v>
      </c>
      <c r="F1080">
        <v>8820001</v>
      </c>
      <c r="G1080">
        <v>8908200</v>
      </c>
      <c r="H1080">
        <f t="shared" si="32"/>
        <v>200.00002267573697</v>
      </c>
      <c r="I1080">
        <f t="shared" si="33"/>
        <v>202</v>
      </c>
      <c r="J1080" t="s">
        <v>22</v>
      </c>
      <c r="K1080">
        <v>7</v>
      </c>
      <c r="L1080" t="e">
        <f t="array" ref="L1080">VLOOKUP(J1080:$J$3871&amp;K1080:$K$3871,CHOOSE({1,2},#REF!&amp;#REF!,#REF!),2,0)</f>
        <v>#N/A</v>
      </c>
      <c r="M1080">
        <v>0</v>
      </c>
      <c r="N1080">
        <v>1</v>
      </c>
      <c r="O1080" t="s">
        <v>23</v>
      </c>
      <c r="P1080">
        <v>1</v>
      </c>
      <c r="Q1080">
        <v>1</v>
      </c>
      <c r="R1080">
        <v>1</v>
      </c>
      <c r="S1080">
        <v>0</v>
      </c>
      <c r="T1080">
        <v>1</v>
      </c>
      <c r="U1080">
        <v>1</v>
      </c>
      <c r="V1080">
        <v>0</v>
      </c>
      <c r="W1080">
        <v>1</v>
      </c>
      <c r="X1080">
        <v>0</v>
      </c>
      <c r="Y1080">
        <v>1</v>
      </c>
      <c r="Z1080">
        <v>0</v>
      </c>
      <c r="AA1080" t="s">
        <v>2482</v>
      </c>
      <c r="AB1080" t="s">
        <v>121</v>
      </c>
      <c r="AC1080" t="s">
        <v>2482</v>
      </c>
      <c r="AD1080" t="e">
        <f>VLOOKUP(AB1080,#REF!,2,FALSE)</f>
        <v>#REF!</v>
      </c>
      <c r="AE1080" t="e">
        <f>RIGHT(#REF!,(FIND("Complex",#REF!,1)-7))</f>
        <v>#REF!</v>
      </c>
    </row>
    <row r="1081" spans="1:31" x14ac:dyDescent="0.25">
      <c r="A1081">
        <v>2837</v>
      </c>
      <c r="B1081" t="s">
        <v>79</v>
      </c>
      <c r="C1081">
        <v>13</v>
      </c>
      <c r="D1081">
        <v>932</v>
      </c>
      <c r="E1081">
        <v>2837</v>
      </c>
      <c r="F1081">
        <v>5821201</v>
      </c>
      <c r="G1081">
        <v>5909400</v>
      </c>
      <c r="H1081">
        <f t="shared" si="32"/>
        <v>132.00002267573697</v>
      </c>
      <c r="I1081">
        <f t="shared" si="33"/>
        <v>134</v>
      </c>
      <c r="J1081" t="s">
        <v>22</v>
      </c>
      <c r="K1081">
        <v>7</v>
      </c>
      <c r="L1081" t="e">
        <f t="array" ref="L1081">VLOOKUP(J1081:$J$3871&amp;K1081:$K$3871,CHOOSE({1,2},#REF!&amp;#REF!,#REF!),2,0)</f>
        <v>#N/A</v>
      </c>
      <c r="M1081">
        <v>0</v>
      </c>
      <c r="N1081">
        <v>1</v>
      </c>
      <c r="O1081" t="s">
        <v>23</v>
      </c>
      <c r="P1081">
        <v>1</v>
      </c>
      <c r="Q1081">
        <v>1</v>
      </c>
      <c r="R1081">
        <v>1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1</v>
      </c>
      <c r="Z1081">
        <v>0</v>
      </c>
      <c r="AA1081" t="s">
        <v>2561</v>
      </c>
      <c r="AB1081" t="s">
        <v>538</v>
      </c>
      <c r="AC1081" t="s">
        <v>2561</v>
      </c>
      <c r="AD1081" t="e">
        <f>VLOOKUP(AB1081,#REF!,2,FALSE)</f>
        <v>#REF!</v>
      </c>
      <c r="AE1081" t="e">
        <f>RIGHT(#REF!,(FIND("Complex",#REF!,1)-7))</f>
        <v>#REF!</v>
      </c>
    </row>
    <row r="1082" spans="1:31" x14ac:dyDescent="0.25">
      <c r="A1082">
        <v>2204</v>
      </c>
      <c r="B1082" t="s">
        <v>79</v>
      </c>
      <c r="C1082">
        <v>13</v>
      </c>
      <c r="D1082">
        <v>682</v>
      </c>
      <c r="E1082">
        <v>2204</v>
      </c>
      <c r="F1082">
        <v>5644801</v>
      </c>
      <c r="G1082">
        <v>5733000</v>
      </c>
      <c r="H1082">
        <f t="shared" si="32"/>
        <v>128.00002267573697</v>
      </c>
      <c r="I1082">
        <f t="shared" si="33"/>
        <v>130</v>
      </c>
      <c r="J1082" t="s">
        <v>22</v>
      </c>
      <c r="K1082">
        <v>7</v>
      </c>
      <c r="L1082" t="e">
        <f t="array" ref="L1082">VLOOKUP(J1082:$J$3871&amp;K1082:$K$3871,CHOOSE({1,2},#REF!&amp;#REF!,#REF!),2,0)</f>
        <v>#N/A</v>
      </c>
      <c r="M1082">
        <v>0</v>
      </c>
      <c r="N1082">
        <v>1</v>
      </c>
      <c r="O1082" t="s">
        <v>23</v>
      </c>
      <c r="P1082">
        <v>1</v>
      </c>
      <c r="Q1082">
        <v>1</v>
      </c>
      <c r="R1082">
        <v>1</v>
      </c>
      <c r="S1082">
        <v>0</v>
      </c>
      <c r="T1082">
        <v>1</v>
      </c>
      <c r="U1082">
        <v>1</v>
      </c>
      <c r="V1082">
        <v>0</v>
      </c>
      <c r="W1082">
        <v>1</v>
      </c>
      <c r="X1082">
        <v>0</v>
      </c>
      <c r="Y1082">
        <v>1</v>
      </c>
      <c r="Z1082">
        <v>0</v>
      </c>
      <c r="AA1082" t="s">
        <v>2568</v>
      </c>
      <c r="AB1082" t="s">
        <v>539</v>
      </c>
      <c r="AC1082" t="s">
        <v>2568</v>
      </c>
      <c r="AD1082" t="e">
        <f>VLOOKUP(AB1082,#REF!,2,FALSE)</f>
        <v>#REF!</v>
      </c>
      <c r="AE1082" t="e">
        <f>RIGHT(#REF!,(FIND("Complex",#REF!,1)-7))</f>
        <v>#REF!</v>
      </c>
    </row>
    <row r="1083" spans="1:31" x14ac:dyDescent="0.25">
      <c r="A1083">
        <v>2762</v>
      </c>
      <c r="B1083" t="s">
        <v>79</v>
      </c>
      <c r="C1083">
        <v>13</v>
      </c>
      <c r="D1083">
        <v>913</v>
      </c>
      <c r="E1083">
        <v>2762</v>
      </c>
      <c r="F1083">
        <v>4762801</v>
      </c>
      <c r="G1083">
        <v>4851000</v>
      </c>
      <c r="H1083">
        <f t="shared" si="32"/>
        <v>108.00002267573696</v>
      </c>
      <c r="I1083">
        <f t="shared" si="33"/>
        <v>110</v>
      </c>
      <c r="J1083" t="s">
        <v>22</v>
      </c>
      <c r="K1083">
        <v>7</v>
      </c>
      <c r="L1083" t="e">
        <f t="array" ref="L1083">VLOOKUP(J1083:$J$3871&amp;K1083:$K$3871,CHOOSE({1,2},#REF!&amp;#REF!,#REF!),2,0)</f>
        <v>#N/A</v>
      </c>
      <c r="M1083">
        <v>0</v>
      </c>
      <c r="N1083">
        <v>1</v>
      </c>
      <c r="O1083" t="s">
        <v>23</v>
      </c>
      <c r="P1083">
        <v>1</v>
      </c>
      <c r="Q1083">
        <v>1</v>
      </c>
      <c r="R1083">
        <v>1</v>
      </c>
      <c r="S1083">
        <v>0</v>
      </c>
      <c r="T1083">
        <v>0</v>
      </c>
      <c r="U1083">
        <v>1</v>
      </c>
      <c r="V1083">
        <v>1</v>
      </c>
      <c r="W1083">
        <v>1</v>
      </c>
      <c r="X1083">
        <v>0</v>
      </c>
      <c r="Y1083">
        <v>1</v>
      </c>
      <c r="Z1083">
        <v>0</v>
      </c>
      <c r="AA1083" t="s">
        <v>2599</v>
      </c>
      <c r="AB1083" t="s">
        <v>540</v>
      </c>
      <c r="AC1083" t="s">
        <v>2599</v>
      </c>
      <c r="AD1083" t="e">
        <f>VLOOKUP(AB1083,#REF!,2,FALSE)</f>
        <v>#REF!</v>
      </c>
      <c r="AE1083" t="e">
        <f>RIGHT(#REF!,(FIND("Complex",#REF!,1)-7))</f>
        <v>#REF!</v>
      </c>
    </row>
    <row r="1084" spans="1:31" x14ac:dyDescent="0.25">
      <c r="A1084">
        <v>350</v>
      </c>
      <c r="B1084" t="s">
        <v>79</v>
      </c>
      <c r="C1084">
        <v>13</v>
      </c>
      <c r="D1084">
        <v>109</v>
      </c>
      <c r="E1084">
        <v>350</v>
      </c>
      <c r="F1084">
        <v>4586401</v>
      </c>
      <c r="G1084">
        <v>4674600</v>
      </c>
      <c r="H1084">
        <f t="shared" si="32"/>
        <v>104.00002267573696</v>
      </c>
      <c r="I1084">
        <f t="shared" si="33"/>
        <v>106</v>
      </c>
      <c r="J1084" t="s">
        <v>22</v>
      </c>
      <c r="K1084">
        <v>7</v>
      </c>
      <c r="L1084" t="e">
        <f t="array" ref="L1084">VLOOKUP(J1084:$J$3871&amp;K1084:$K$3871,CHOOSE({1,2},#REF!&amp;#REF!,#REF!),2,0)</f>
        <v>#N/A</v>
      </c>
      <c r="M1084">
        <v>0</v>
      </c>
      <c r="N1084">
        <v>1</v>
      </c>
      <c r="O1084" t="s">
        <v>23</v>
      </c>
      <c r="P1084">
        <v>1</v>
      </c>
      <c r="Q1084">
        <v>1</v>
      </c>
      <c r="R1084">
        <v>1</v>
      </c>
      <c r="S1084">
        <v>0</v>
      </c>
      <c r="T1084">
        <v>0</v>
      </c>
      <c r="U1084">
        <v>1</v>
      </c>
      <c r="V1084">
        <v>1</v>
      </c>
      <c r="W1084">
        <v>1</v>
      </c>
      <c r="X1084">
        <v>0</v>
      </c>
      <c r="Y1084">
        <v>1</v>
      </c>
      <c r="Z1084">
        <v>0</v>
      </c>
      <c r="AA1084" t="s">
        <v>2607</v>
      </c>
      <c r="AB1084" t="s">
        <v>541</v>
      </c>
      <c r="AC1084" t="s">
        <v>2607</v>
      </c>
      <c r="AD1084" t="e">
        <f>VLOOKUP(AB1084,#REF!,2,FALSE)</f>
        <v>#REF!</v>
      </c>
      <c r="AE1084" t="e">
        <f>RIGHT(#REF!,(FIND("Complex",#REF!,1)-6))</f>
        <v>#REF!</v>
      </c>
    </row>
    <row r="1085" spans="1:31" x14ac:dyDescent="0.25">
      <c r="A1085">
        <v>3718</v>
      </c>
      <c r="B1085" t="s">
        <v>28</v>
      </c>
      <c r="C1085">
        <v>14</v>
      </c>
      <c r="D1085">
        <v>1063</v>
      </c>
      <c r="E1085">
        <v>3718</v>
      </c>
      <c r="F1085">
        <v>14023801</v>
      </c>
      <c r="G1085">
        <v>14112000</v>
      </c>
      <c r="H1085">
        <f t="shared" si="32"/>
        <v>318.00002267573694</v>
      </c>
      <c r="I1085">
        <f t="shared" si="33"/>
        <v>320</v>
      </c>
      <c r="J1085" t="s">
        <v>22</v>
      </c>
      <c r="K1085">
        <v>7</v>
      </c>
      <c r="L1085" t="e">
        <f t="array" ref="L1085">VLOOKUP(J1085:$J$3871&amp;K1085:$K$3871,CHOOSE({1,2},#REF!&amp;#REF!,#REF!),2,0)</f>
        <v>#N/A</v>
      </c>
      <c r="M1085">
        <v>0</v>
      </c>
      <c r="N1085">
        <v>1</v>
      </c>
      <c r="O1085" t="s">
        <v>23</v>
      </c>
      <c r="P1085">
        <v>1</v>
      </c>
      <c r="Q1085">
        <v>1</v>
      </c>
      <c r="R1085">
        <v>0</v>
      </c>
      <c r="S1085">
        <v>1</v>
      </c>
      <c r="T1085">
        <v>1</v>
      </c>
      <c r="U1085">
        <v>0</v>
      </c>
      <c r="V1085">
        <v>0</v>
      </c>
      <c r="W1085">
        <v>1</v>
      </c>
      <c r="X1085">
        <v>1</v>
      </c>
      <c r="Y1085">
        <v>0</v>
      </c>
      <c r="Z1085">
        <v>1</v>
      </c>
      <c r="AA1085" t="s">
        <v>2341</v>
      </c>
      <c r="AB1085" t="s">
        <v>590</v>
      </c>
      <c r="AC1085" t="s">
        <v>2341</v>
      </c>
      <c r="AD1085" t="e">
        <f>VLOOKUP(AB1085,#REF!,2,FALSE)</f>
        <v>#REF!</v>
      </c>
      <c r="AE1085" t="e">
        <f>RIGHT(#REF!,(FIND("Complex",#REF!,1)-8))</f>
        <v>#REF!</v>
      </c>
    </row>
    <row r="1086" spans="1:31" x14ac:dyDescent="0.25">
      <c r="A1086">
        <v>2741</v>
      </c>
      <c r="B1086" t="s">
        <v>28</v>
      </c>
      <c r="C1086">
        <v>14</v>
      </c>
      <c r="D1086">
        <v>906</v>
      </c>
      <c r="E1086">
        <v>2741</v>
      </c>
      <c r="F1086">
        <v>13230001</v>
      </c>
      <c r="G1086">
        <v>13318200</v>
      </c>
      <c r="H1086">
        <f t="shared" si="32"/>
        <v>300.00002267573694</v>
      </c>
      <c r="I1086">
        <f t="shared" si="33"/>
        <v>302</v>
      </c>
      <c r="J1086" t="s">
        <v>22</v>
      </c>
      <c r="K1086">
        <v>7</v>
      </c>
      <c r="L1086" t="e">
        <f t="array" ref="L1086">VLOOKUP(J1086:$J$3871&amp;K1086:$K$3871,CHOOSE({1,2},#REF!&amp;#REF!,#REF!),2,0)</f>
        <v>#N/A</v>
      </c>
      <c r="M1086">
        <v>0</v>
      </c>
      <c r="N1086">
        <v>1</v>
      </c>
      <c r="O1086" t="s">
        <v>23</v>
      </c>
      <c r="P1086">
        <v>1</v>
      </c>
      <c r="Q1086">
        <v>1</v>
      </c>
      <c r="R1086">
        <v>0</v>
      </c>
      <c r="S1086">
        <v>1</v>
      </c>
      <c r="T1086">
        <v>1</v>
      </c>
      <c r="U1086">
        <v>0</v>
      </c>
      <c r="V1086">
        <v>0</v>
      </c>
      <c r="W1086">
        <v>1</v>
      </c>
      <c r="X1086">
        <v>1</v>
      </c>
      <c r="Y1086">
        <v>0</v>
      </c>
      <c r="Z1086">
        <v>1</v>
      </c>
      <c r="AA1086" t="s">
        <v>2348</v>
      </c>
      <c r="AB1086" t="s">
        <v>591</v>
      </c>
      <c r="AC1086" t="s">
        <v>2348</v>
      </c>
      <c r="AD1086" t="e">
        <f>VLOOKUP(AB1086,#REF!,2,FALSE)</f>
        <v>#REF!</v>
      </c>
      <c r="AE1086" t="e">
        <f>RIGHT(#REF!,(FIND("Complex",#REF!,1)-7))</f>
        <v>#REF!</v>
      </c>
    </row>
    <row r="1087" spans="1:31" x14ac:dyDescent="0.25">
      <c r="A1087">
        <v>2690</v>
      </c>
      <c r="B1087" t="s">
        <v>28</v>
      </c>
      <c r="C1087">
        <v>14</v>
      </c>
      <c r="D1087">
        <v>894</v>
      </c>
      <c r="E1087">
        <v>2690</v>
      </c>
      <c r="F1087">
        <v>12259801</v>
      </c>
      <c r="G1087">
        <v>12348000</v>
      </c>
      <c r="H1087">
        <f t="shared" si="32"/>
        <v>278.00002267573694</v>
      </c>
      <c r="I1087">
        <f t="shared" si="33"/>
        <v>280</v>
      </c>
      <c r="J1087" t="s">
        <v>22</v>
      </c>
      <c r="K1087">
        <v>7</v>
      </c>
      <c r="L1087" t="e">
        <f t="array" ref="L1087">VLOOKUP(J1087:$J$3871&amp;K1087:$K$3871,CHOOSE({1,2},#REF!&amp;#REF!,#REF!),2,0)</f>
        <v>#N/A</v>
      </c>
      <c r="M1087">
        <v>0</v>
      </c>
      <c r="N1087">
        <v>1</v>
      </c>
      <c r="O1087" t="s">
        <v>23</v>
      </c>
      <c r="P1087">
        <v>1</v>
      </c>
      <c r="Q1087">
        <v>1</v>
      </c>
      <c r="R1087">
        <v>0</v>
      </c>
      <c r="S1087">
        <v>1</v>
      </c>
      <c r="T1087">
        <v>1</v>
      </c>
      <c r="U1087">
        <v>0</v>
      </c>
      <c r="V1087">
        <v>0</v>
      </c>
      <c r="W1087">
        <v>1</v>
      </c>
      <c r="X1087">
        <v>1</v>
      </c>
      <c r="Y1087">
        <v>0</v>
      </c>
      <c r="Z1087">
        <v>1</v>
      </c>
      <c r="AA1087" t="s">
        <v>2357</v>
      </c>
      <c r="AB1087" t="s">
        <v>592</v>
      </c>
      <c r="AC1087" t="s">
        <v>2357</v>
      </c>
      <c r="AD1087" t="e">
        <f>VLOOKUP(AB1087,#REF!,2,FALSE)</f>
        <v>#REF!</v>
      </c>
      <c r="AE1087" t="e">
        <f>RIGHT(#REF!,(FIND("Complex",#REF!,1)-7))</f>
        <v>#REF!</v>
      </c>
    </row>
    <row r="1088" spans="1:31" x14ac:dyDescent="0.25">
      <c r="A1088">
        <v>3662</v>
      </c>
      <c r="B1088" t="s">
        <v>28</v>
      </c>
      <c r="C1088">
        <v>14</v>
      </c>
      <c r="D1088">
        <v>1053</v>
      </c>
      <c r="E1088">
        <v>3662</v>
      </c>
      <c r="F1088">
        <v>12171601</v>
      </c>
      <c r="G1088">
        <v>12259800</v>
      </c>
      <c r="H1088">
        <f t="shared" si="32"/>
        <v>276.00002267573694</v>
      </c>
      <c r="I1088">
        <f t="shared" si="33"/>
        <v>278</v>
      </c>
      <c r="J1088" t="s">
        <v>22</v>
      </c>
      <c r="K1088">
        <v>7</v>
      </c>
      <c r="L1088" t="e">
        <f t="array" ref="L1088">VLOOKUP(J1088:$J$3871&amp;K1088:$K$3871,CHOOSE({1,2},#REF!&amp;#REF!,#REF!),2,0)</f>
        <v>#N/A</v>
      </c>
      <c r="M1088">
        <v>0</v>
      </c>
      <c r="N1088">
        <v>1</v>
      </c>
      <c r="O1088" t="s">
        <v>23</v>
      </c>
      <c r="P1088">
        <v>1</v>
      </c>
      <c r="Q1088">
        <v>1</v>
      </c>
      <c r="R1088">
        <v>0</v>
      </c>
      <c r="S1088">
        <v>1</v>
      </c>
      <c r="T1088">
        <v>1</v>
      </c>
      <c r="U1088">
        <v>0</v>
      </c>
      <c r="V1088">
        <v>0</v>
      </c>
      <c r="W1088">
        <v>1</v>
      </c>
      <c r="X1088">
        <v>1</v>
      </c>
      <c r="Y1088">
        <v>0</v>
      </c>
      <c r="Z1088">
        <v>1</v>
      </c>
      <c r="AA1088" t="s">
        <v>2359</v>
      </c>
      <c r="AB1088" t="s">
        <v>593</v>
      </c>
      <c r="AC1088" t="s">
        <v>2359</v>
      </c>
      <c r="AD1088" t="e">
        <f>VLOOKUP(AB1088,#REF!,2,FALSE)</f>
        <v>#REF!</v>
      </c>
      <c r="AE1088" t="e">
        <f>RIGHT(#REF!,(FIND("Complex",#REF!,1)-8))</f>
        <v>#REF!</v>
      </c>
    </row>
    <row r="1089" spans="1:31" x14ac:dyDescent="0.25">
      <c r="A1089">
        <v>3842</v>
      </c>
      <c r="B1089" t="s">
        <v>28</v>
      </c>
      <c r="C1089">
        <v>14</v>
      </c>
      <c r="D1089">
        <v>1090</v>
      </c>
      <c r="E1089">
        <v>3842</v>
      </c>
      <c r="F1089">
        <v>12083401</v>
      </c>
      <c r="G1089">
        <v>12171600</v>
      </c>
      <c r="H1089">
        <f t="shared" si="32"/>
        <v>274.00002267573694</v>
      </c>
      <c r="I1089">
        <f t="shared" si="33"/>
        <v>276</v>
      </c>
      <c r="J1089" t="s">
        <v>22</v>
      </c>
      <c r="K1089">
        <v>7</v>
      </c>
      <c r="L1089" t="e">
        <f t="array" ref="L1089">VLOOKUP(J1089:$J$3871&amp;K1089:$K$3871,CHOOSE({1,2},#REF!&amp;#REF!,#REF!),2,0)</f>
        <v>#N/A</v>
      </c>
      <c r="M1089">
        <v>0</v>
      </c>
      <c r="N1089">
        <v>1</v>
      </c>
      <c r="O1089" t="s">
        <v>23</v>
      </c>
      <c r="P1089">
        <v>1</v>
      </c>
      <c r="Q1089">
        <v>1</v>
      </c>
      <c r="R1089">
        <v>0</v>
      </c>
      <c r="S1089">
        <v>1</v>
      </c>
      <c r="T1089">
        <v>1</v>
      </c>
      <c r="U1089">
        <v>0</v>
      </c>
      <c r="V1089">
        <v>0</v>
      </c>
      <c r="W1089">
        <v>1</v>
      </c>
      <c r="X1089">
        <v>1</v>
      </c>
      <c r="Y1089">
        <v>0</v>
      </c>
      <c r="Z1089">
        <v>1</v>
      </c>
      <c r="AA1089" t="s">
        <v>2361</v>
      </c>
      <c r="AB1089" t="s">
        <v>106</v>
      </c>
      <c r="AC1089" t="s">
        <v>2361</v>
      </c>
      <c r="AD1089" t="e">
        <f>VLOOKUP(AB1089,#REF!,2,FALSE)</f>
        <v>#REF!</v>
      </c>
      <c r="AE1089" t="e">
        <f>RIGHT(#REF!,(FIND("Complex",#REF!,1)-8))</f>
        <v>#REF!</v>
      </c>
    </row>
    <row r="1090" spans="1:31" x14ac:dyDescent="0.25">
      <c r="A1090">
        <v>2807</v>
      </c>
      <c r="B1090" t="s">
        <v>28</v>
      </c>
      <c r="C1090">
        <v>14</v>
      </c>
      <c r="D1090">
        <v>923</v>
      </c>
      <c r="E1090">
        <v>2807</v>
      </c>
      <c r="F1090">
        <v>11730601</v>
      </c>
      <c r="G1090">
        <v>11818800</v>
      </c>
      <c r="H1090">
        <f t="shared" ref="H1090:H1153" si="34">F1090/44100</f>
        <v>266.00002267573694</v>
      </c>
      <c r="I1090">
        <f t="shared" ref="I1090:I1153" si="35">G1090/44100</f>
        <v>268</v>
      </c>
      <c r="J1090" t="s">
        <v>22</v>
      </c>
      <c r="K1090">
        <v>7</v>
      </c>
      <c r="L1090" t="e">
        <f t="array" ref="L1090">VLOOKUP(J1090:$J$3871&amp;K1090:$K$3871,CHOOSE({1,2},#REF!&amp;#REF!,#REF!),2,0)</f>
        <v>#N/A</v>
      </c>
      <c r="M1090">
        <v>0</v>
      </c>
      <c r="N1090">
        <v>1</v>
      </c>
      <c r="O1090" t="s">
        <v>23</v>
      </c>
      <c r="P1090">
        <v>1</v>
      </c>
      <c r="Q1090">
        <v>1</v>
      </c>
      <c r="R1090">
        <v>0</v>
      </c>
      <c r="S1090">
        <v>1</v>
      </c>
      <c r="T1090">
        <v>1</v>
      </c>
      <c r="U1090">
        <v>0</v>
      </c>
      <c r="V1090">
        <v>0</v>
      </c>
      <c r="W1090">
        <v>1</v>
      </c>
      <c r="X1090">
        <v>1</v>
      </c>
      <c r="Y1090">
        <v>0</v>
      </c>
      <c r="Z1090">
        <v>1</v>
      </c>
      <c r="AA1090" t="s">
        <v>2371</v>
      </c>
      <c r="AB1090" t="s">
        <v>594</v>
      </c>
      <c r="AC1090" t="s">
        <v>2371</v>
      </c>
      <c r="AD1090" t="e">
        <f>VLOOKUP(AB1090,#REF!,2,FALSE)</f>
        <v>#REF!</v>
      </c>
      <c r="AE1090" t="e">
        <f>RIGHT(#REF!,(FIND("Complex",#REF!,1)-7))</f>
        <v>#REF!</v>
      </c>
    </row>
    <row r="1091" spans="1:31" x14ac:dyDescent="0.25">
      <c r="A1091">
        <v>2920</v>
      </c>
      <c r="B1091" t="s">
        <v>28</v>
      </c>
      <c r="C1091">
        <v>14</v>
      </c>
      <c r="D1091">
        <v>951</v>
      </c>
      <c r="E1091">
        <v>2920</v>
      </c>
      <c r="F1091">
        <v>11201401</v>
      </c>
      <c r="G1091">
        <v>11289600</v>
      </c>
      <c r="H1091">
        <f t="shared" si="34"/>
        <v>254.00002267573697</v>
      </c>
      <c r="I1091">
        <f t="shared" si="35"/>
        <v>256</v>
      </c>
      <c r="J1091" t="s">
        <v>22</v>
      </c>
      <c r="K1091">
        <v>7</v>
      </c>
      <c r="L1091" t="e">
        <f t="array" ref="L1091">VLOOKUP(J1091:$J$3871&amp;K1091:$K$3871,CHOOSE({1,2},#REF!&amp;#REF!,#REF!),2,0)</f>
        <v>#N/A</v>
      </c>
      <c r="M1091">
        <v>0</v>
      </c>
      <c r="N1091">
        <v>1</v>
      </c>
      <c r="O1091" t="s">
        <v>23</v>
      </c>
      <c r="P1091">
        <v>1</v>
      </c>
      <c r="Q1091">
        <v>1</v>
      </c>
      <c r="R1091">
        <v>0</v>
      </c>
      <c r="S1091">
        <v>1</v>
      </c>
      <c r="T1091">
        <v>1</v>
      </c>
      <c r="U1091">
        <v>0</v>
      </c>
      <c r="V1091">
        <v>0</v>
      </c>
      <c r="W1091">
        <v>1</v>
      </c>
      <c r="X1091">
        <v>1</v>
      </c>
      <c r="Y1091">
        <v>0</v>
      </c>
      <c r="Z1091">
        <v>1</v>
      </c>
      <c r="AA1091" t="s">
        <v>2390</v>
      </c>
      <c r="AB1091" t="s">
        <v>595</v>
      </c>
      <c r="AC1091" t="s">
        <v>2390</v>
      </c>
      <c r="AD1091" t="e">
        <f>VLOOKUP(AB1091,#REF!,2,FALSE)</f>
        <v>#REF!</v>
      </c>
      <c r="AE1091" t="e">
        <f>RIGHT(#REF!,(FIND("Complex",#REF!,1)-7))</f>
        <v>#REF!</v>
      </c>
    </row>
    <row r="1092" spans="1:31" x14ac:dyDescent="0.25">
      <c r="A1092">
        <v>2284</v>
      </c>
      <c r="B1092" t="s">
        <v>62</v>
      </c>
      <c r="C1092">
        <v>26</v>
      </c>
      <c r="D1092">
        <v>715</v>
      </c>
      <c r="E1092">
        <v>2284</v>
      </c>
      <c r="F1092">
        <v>6703201</v>
      </c>
      <c r="G1092">
        <v>6791400</v>
      </c>
      <c r="H1092">
        <f t="shared" si="34"/>
        <v>152.00002267573697</v>
      </c>
      <c r="I1092">
        <f t="shared" si="35"/>
        <v>154</v>
      </c>
      <c r="J1092" t="s">
        <v>22</v>
      </c>
      <c r="K1092">
        <v>7</v>
      </c>
      <c r="L1092" t="e">
        <f t="array" ref="L1092">VLOOKUP(J1092:$J$3871&amp;K1092:$K$3871,CHOOSE({1,2},#REF!&amp;#REF!,#REF!),2,0)</f>
        <v>#N/A</v>
      </c>
      <c r="M1092">
        <v>0</v>
      </c>
      <c r="N1092">
        <v>1</v>
      </c>
      <c r="O1092" t="s">
        <v>23</v>
      </c>
      <c r="P1092">
        <v>1</v>
      </c>
      <c r="Q1092">
        <v>1</v>
      </c>
      <c r="R1092">
        <v>0</v>
      </c>
      <c r="S1092">
        <v>1</v>
      </c>
      <c r="T1092">
        <v>1</v>
      </c>
      <c r="U1092">
        <v>0</v>
      </c>
      <c r="V1092">
        <v>0</v>
      </c>
      <c r="W1092">
        <v>1</v>
      </c>
      <c r="X1092">
        <v>1</v>
      </c>
      <c r="Y1092">
        <v>1</v>
      </c>
      <c r="Z1092">
        <v>0</v>
      </c>
      <c r="AA1092" t="s">
        <v>2537</v>
      </c>
      <c r="AB1092" t="s">
        <v>130</v>
      </c>
      <c r="AC1092" t="s">
        <v>2537</v>
      </c>
      <c r="AD1092" t="e">
        <f>VLOOKUP(AB1092,#REF!,2,FALSE)</f>
        <v>#REF!</v>
      </c>
      <c r="AE1092" t="e">
        <f>RIGHT(#REF!,(FIND("Complex",#REF!,1)-7))</f>
        <v>#REF!</v>
      </c>
    </row>
    <row r="1093" spans="1:31" x14ac:dyDescent="0.25">
      <c r="A1093">
        <v>1769</v>
      </c>
      <c r="B1093" t="s">
        <v>46</v>
      </c>
      <c r="C1093">
        <v>27</v>
      </c>
      <c r="D1093">
        <v>531</v>
      </c>
      <c r="E1093">
        <v>1769</v>
      </c>
      <c r="F1093">
        <v>4057201</v>
      </c>
      <c r="G1093">
        <v>4145400</v>
      </c>
      <c r="H1093">
        <f t="shared" si="34"/>
        <v>92.000022675736957</v>
      </c>
      <c r="I1093">
        <f t="shared" si="35"/>
        <v>94</v>
      </c>
      <c r="J1093" t="s">
        <v>22</v>
      </c>
      <c r="K1093">
        <v>7</v>
      </c>
      <c r="L1093" t="e">
        <f t="array" ref="L1093">VLOOKUP(J1093:$J$3871&amp;K1093:$K$3871,CHOOSE({1,2},#REF!&amp;#REF!,#REF!),2,0)</f>
        <v>#N/A</v>
      </c>
      <c r="M1093">
        <v>0</v>
      </c>
      <c r="N1093">
        <v>1</v>
      </c>
      <c r="O1093" t="s">
        <v>23</v>
      </c>
      <c r="P1093">
        <v>1</v>
      </c>
      <c r="Q1093">
        <v>1</v>
      </c>
      <c r="R1093">
        <v>0</v>
      </c>
      <c r="S1093">
        <v>1</v>
      </c>
      <c r="T1093">
        <v>1</v>
      </c>
      <c r="U1093">
        <v>0</v>
      </c>
      <c r="V1093">
        <v>0</v>
      </c>
      <c r="W1093">
        <v>1</v>
      </c>
      <c r="X1093">
        <v>1</v>
      </c>
      <c r="Y1093">
        <v>0</v>
      </c>
      <c r="Z1093">
        <v>1</v>
      </c>
      <c r="AA1093" t="s">
        <v>2290</v>
      </c>
      <c r="AB1093" t="s">
        <v>830</v>
      </c>
      <c r="AC1093" t="s">
        <v>2290</v>
      </c>
      <c r="AD1093" t="e">
        <f>VLOOKUP(AB1093,#REF!,2,FALSE)</f>
        <v>#REF!</v>
      </c>
      <c r="AE1093" t="e">
        <f>RIGHT(#REF!,(FIND("Complex",#REF!,1)-8))</f>
        <v>#REF!</v>
      </c>
    </row>
    <row r="1094" spans="1:31" x14ac:dyDescent="0.25">
      <c r="A1094">
        <v>3754</v>
      </c>
      <c r="B1094" t="s">
        <v>46</v>
      </c>
      <c r="C1094">
        <v>27</v>
      </c>
      <c r="D1094">
        <v>1070</v>
      </c>
      <c r="E1094">
        <v>3754</v>
      </c>
      <c r="F1094">
        <v>10760401</v>
      </c>
      <c r="G1094">
        <v>10848600</v>
      </c>
      <c r="H1094">
        <f t="shared" si="34"/>
        <v>244.00002267573697</v>
      </c>
      <c r="I1094">
        <f t="shared" si="35"/>
        <v>246</v>
      </c>
      <c r="J1094" t="s">
        <v>22</v>
      </c>
      <c r="K1094">
        <v>7</v>
      </c>
      <c r="L1094" t="e">
        <f t="array" ref="L1094">VLOOKUP(J1094:$J$3871&amp;K1094:$K$3871,CHOOSE({1,2},#REF!&amp;#REF!,#REF!),2,0)</f>
        <v>#N/A</v>
      </c>
      <c r="M1094">
        <v>0</v>
      </c>
      <c r="N1094">
        <v>1</v>
      </c>
      <c r="O1094" t="s">
        <v>23</v>
      </c>
      <c r="P1094">
        <v>1</v>
      </c>
      <c r="Q1094">
        <v>1</v>
      </c>
      <c r="R1094">
        <v>0</v>
      </c>
      <c r="S1094">
        <v>1</v>
      </c>
      <c r="T1094">
        <v>1</v>
      </c>
      <c r="U1094">
        <v>0</v>
      </c>
      <c r="V1094">
        <v>0</v>
      </c>
      <c r="W1094">
        <v>1</v>
      </c>
      <c r="X1094">
        <v>1</v>
      </c>
      <c r="Y1094">
        <v>1</v>
      </c>
      <c r="Z1094">
        <v>0</v>
      </c>
      <c r="AA1094" t="s">
        <v>2406</v>
      </c>
      <c r="AB1094" t="s">
        <v>831</v>
      </c>
      <c r="AC1094" t="s">
        <v>2406</v>
      </c>
      <c r="AD1094" t="e">
        <f>VLOOKUP(AB1094,#REF!,2,FALSE)</f>
        <v>#REF!</v>
      </c>
      <c r="AE1094" t="e">
        <f>RIGHT(#REF!,(FIND("Complex",#REF!,1)-8))</f>
        <v>#REF!</v>
      </c>
    </row>
    <row r="1095" spans="1:31" x14ac:dyDescent="0.25">
      <c r="A1095">
        <v>3784</v>
      </c>
      <c r="B1095" t="s">
        <v>46</v>
      </c>
      <c r="C1095">
        <v>27</v>
      </c>
      <c r="D1095">
        <v>1076</v>
      </c>
      <c r="E1095">
        <v>3784</v>
      </c>
      <c r="F1095">
        <v>10584001</v>
      </c>
      <c r="G1095">
        <v>10672200</v>
      </c>
      <c r="H1095">
        <f t="shared" si="34"/>
        <v>240.00002267573697</v>
      </c>
      <c r="I1095">
        <f t="shared" si="35"/>
        <v>242</v>
      </c>
      <c r="J1095" t="s">
        <v>22</v>
      </c>
      <c r="K1095">
        <v>7</v>
      </c>
      <c r="L1095" t="e">
        <f t="array" ref="L1095">VLOOKUP(J1095:$J$3871&amp;K1095:$K$3871,CHOOSE({1,2},#REF!&amp;#REF!,#REF!),2,0)</f>
        <v>#N/A</v>
      </c>
      <c r="M1095">
        <v>0</v>
      </c>
      <c r="N1095">
        <v>1</v>
      </c>
      <c r="O1095" t="s">
        <v>23</v>
      </c>
      <c r="P1095">
        <v>1</v>
      </c>
      <c r="Q1095">
        <v>1</v>
      </c>
      <c r="R1095">
        <v>0</v>
      </c>
      <c r="S1095">
        <v>1</v>
      </c>
      <c r="T1095">
        <v>1</v>
      </c>
      <c r="U1095">
        <v>0</v>
      </c>
      <c r="V1095">
        <v>0</v>
      </c>
      <c r="W1095">
        <v>1</v>
      </c>
      <c r="X1095">
        <v>1</v>
      </c>
      <c r="Y1095">
        <v>1</v>
      </c>
      <c r="Z1095">
        <v>0</v>
      </c>
      <c r="AA1095" t="s">
        <v>2413</v>
      </c>
      <c r="AB1095" t="s">
        <v>111</v>
      </c>
      <c r="AC1095" t="s">
        <v>2413</v>
      </c>
      <c r="AD1095" t="e">
        <f>VLOOKUP(AB1095,#REF!,2,FALSE)</f>
        <v>#REF!</v>
      </c>
      <c r="AE1095" t="e">
        <f>RIGHT(#REF!,(FIND("Complex",#REF!,1)-8))</f>
        <v>#REF!</v>
      </c>
    </row>
    <row r="1096" spans="1:31" x14ac:dyDescent="0.25">
      <c r="A1096">
        <v>3575</v>
      </c>
      <c r="B1096" t="s">
        <v>46</v>
      </c>
      <c r="C1096">
        <v>27</v>
      </c>
      <c r="D1096">
        <v>1034</v>
      </c>
      <c r="E1096">
        <v>3575</v>
      </c>
      <c r="F1096">
        <v>10495801</v>
      </c>
      <c r="G1096">
        <v>10584000</v>
      </c>
      <c r="H1096">
        <f t="shared" si="34"/>
        <v>238.00002267573697</v>
      </c>
      <c r="I1096">
        <f t="shared" si="35"/>
        <v>240</v>
      </c>
      <c r="J1096" t="s">
        <v>22</v>
      </c>
      <c r="K1096">
        <v>7</v>
      </c>
      <c r="L1096" t="e">
        <f t="array" ref="L1096">VLOOKUP(J1096:$J$3871&amp;K1096:$K$3871,CHOOSE({1,2},#REF!&amp;#REF!,#REF!),2,0)</f>
        <v>#N/A</v>
      </c>
      <c r="M1096">
        <v>0</v>
      </c>
      <c r="N1096">
        <v>1</v>
      </c>
      <c r="O1096" t="s">
        <v>23</v>
      </c>
      <c r="P1096">
        <v>1</v>
      </c>
      <c r="Q1096">
        <v>1</v>
      </c>
      <c r="R1096">
        <v>0</v>
      </c>
      <c r="S1096">
        <v>1</v>
      </c>
      <c r="T1096">
        <v>1</v>
      </c>
      <c r="U1096">
        <v>0</v>
      </c>
      <c r="V1096">
        <v>0</v>
      </c>
      <c r="W1096">
        <v>1</v>
      </c>
      <c r="X1096">
        <v>1</v>
      </c>
      <c r="Y1096">
        <v>1</v>
      </c>
      <c r="Z1096">
        <v>0</v>
      </c>
      <c r="AA1096" t="s">
        <v>2417</v>
      </c>
      <c r="AB1096" t="s">
        <v>832</v>
      </c>
      <c r="AC1096" t="s">
        <v>2417</v>
      </c>
      <c r="AD1096" t="e">
        <f>VLOOKUP(AB1096,#REF!,2,FALSE)</f>
        <v>#REF!</v>
      </c>
      <c r="AE1096" t="e">
        <f>RIGHT(#REF!,(FIND("Complex",#REF!,1)-8))</f>
        <v>#REF!</v>
      </c>
    </row>
    <row r="1097" spans="1:31" x14ac:dyDescent="0.25">
      <c r="A1097">
        <v>2938</v>
      </c>
      <c r="B1097" t="s">
        <v>46</v>
      </c>
      <c r="C1097">
        <v>27</v>
      </c>
      <c r="D1097">
        <v>953</v>
      </c>
      <c r="E1097">
        <v>2938</v>
      </c>
      <c r="F1097">
        <v>10407601</v>
      </c>
      <c r="G1097">
        <v>10495800</v>
      </c>
      <c r="H1097">
        <f t="shared" si="34"/>
        <v>236.00002267573697</v>
      </c>
      <c r="I1097">
        <f t="shared" si="35"/>
        <v>238</v>
      </c>
      <c r="J1097" t="s">
        <v>22</v>
      </c>
      <c r="K1097">
        <v>7</v>
      </c>
      <c r="L1097" t="e">
        <f t="array" ref="L1097">VLOOKUP(J1097:$J$3871&amp;K1097:$K$3871,CHOOSE({1,2},#REF!&amp;#REF!,#REF!),2,0)</f>
        <v>#N/A</v>
      </c>
      <c r="M1097">
        <v>0</v>
      </c>
      <c r="N1097">
        <v>1</v>
      </c>
      <c r="O1097" t="s">
        <v>23</v>
      </c>
      <c r="P1097">
        <v>1</v>
      </c>
      <c r="Q1097">
        <v>1</v>
      </c>
      <c r="R1097">
        <v>0</v>
      </c>
      <c r="S1097">
        <v>1</v>
      </c>
      <c r="T1097">
        <v>1</v>
      </c>
      <c r="U1097">
        <v>0</v>
      </c>
      <c r="V1097">
        <v>0</v>
      </c>
      <c r="W1097">
        <v>1</v>
      </c>
      <c r="X1097">
        <v>1</v>
      </c>
      <c r="Y1097">
        <v>1</v>
      </c>
      <c r="Z1097">
        <v>0</v>
      </c>
      <c r="AA1097" t="s">
        <v>2421</v>
      </c>
      <c r="AB1097" t="s">
        <v>833</v>
      </c>
      <c r="AC1097" t="s">
        <v>2421</v>
      </c>
      <c r="AD1097" t="e">
        <f>VLOOKUP(AB1097,#REF!,2,FALSE)</f>
        <v>#REF!</v>
      </c>
      <c r="AE1097" t="e">
        <f>RIGHT(#REF!,(FIND("Complex",#REF!,1)-7))</f>
        <v>#REF!</v>
      </c>
    </row>
    <row r="1098" spans="1:31" x14ac:dyDescent="0.25">
      <c r="A1098">
        <v>3447</v>
      </c>
      <c r="B1098" t="s">
        <v>46</v>
      </c>
      <c r="C1098">
        <v>27</v>
      </c>
      <c r="D1098">
        <v>1014</v>
      </c>
      <c r="E1098">
        <v>3447</v>
      </c>
      <c r="F1098">
        <v>10231201</v>
      </c>
      <c r="G1098">
        <v>10319400</v>
      </c>
      <c r="H1098">
        <f t="shared" si="34"/>
        <v>232.00002267573697</v>
      </c>
      <c r="I1098">
        <f t="shared" si="35"/>
        <v>234</v>
      </c>
      <c r="J1098" t="s">
        <v>22</v>
      </c>
      <c r="K1098">
        <v>7</v>
      </c>
      <c r="L1098" t="e">
        <f t="array" ref="L1098">VLOOKUP(J1098:$J$3871&amp;K1098:$K$3871,CHOOSE({1,2},#REF!&amp;#REF!,#REF!),2,0)</f>
        <v>#N/A</v>
      </c>
      <c r="M1098">
        <v>0</v>
      </c>
      <c r="N1098">
        <v>1</v>
      </c>
      <c r="O1098" t="s">
        <v>23</v>
      </c>
      <c r="P1098">
        <v>1</v>
      </c>
      <c r="Q1098">
        <v>1</v>
      </c>
      <c r="R1098">
        <v>0</v>
      </c>
      <c r="S1098">
        <v>1</v>
      </c>
      <c r="T1098">
        <v>1</v>
      </c>
      <c r="U1098">
        <v>0</v>
      </c>
      <c r="V1098">
        <v>0</v>
      </c>
      <c r="W1098">
        <v>1</v>
      </c>
      <c r="X1098">
        <v>1</v>
      </c>
      <c r="Y1098">
        <v>1</v>
      </c>
      <c r="Z1098">
        <v>0</v>
      </c>
      <c r="AA1098" t="s">
        <v>2430</v>
      </c>
      <c r="AB1098" t="s">
        <v>834</v>
      </c>
      <c r="AC1098" t="s">
        <v>2430</v>
      </c>
      <c r="AD1098" t="e">
        <f>VLOOKUP(AB1098,#REF!,2,FALSE)</f>
        <v>#REF!</v>
      </c>
      <c r="AE1098" t="e">
        <f>RIGHT(#REF!,(FIND("Complex",#REF!,1)-8))</f>
        <v>#REF!</v>
      </c>
    </row>
    <row r="1099" spans="1:31" x14ac:dyDescent="0.25">
      <c r="A1099">
        <v>3799</v>
      </c>
      <c r="B1099" t="s">
        <v>46</v>
      </c>
      <c r="C1099">
        <v>27</v>
      </c>
      <c r="D1099">
        <v>1081</v>
      </c>
      <c r="E1099">
        <v>3799</v>
      </c>
      <c r="F1099">
        <v>9966601</v>
      </c>
      <c r="G1099">
        <v>10054800</v>
      </c>
      <c r="H1099">
        <f t="shared" si="34"/>
        <v>226.00002267573697</v>
      </c>
      <c r="I1099">
        <f t="shared" si="35"/>
        <v>228</v>
      </c>
      <c r="J1099" t="s">
        <v>22</v>
      </c>
      <c r="K1099">
        <v>7</v>
      </c>
      <c r="L1099" t="e">
        <f t="array" ref="L1099">VLOOKUP(J1099:$J$3871&amp;K1099:$K$3871,CHOOSE({1,2},#REF!&amp;#REF!,#REF!),2,0)</f>
        <v>#N/A</v>
      </c>
      <c r="M1099">
        <v>0</v>
      </c>
      <c r="N1099">
        <v>1</v>
      </c>
      <c r="O1099" t="s">
        <v>23</v>
      </c>
      <c r="P1099">
        <v>1</v>
      </c>
      <c r="Q1099">
        <v>1</v>
      </c>
      <c r="R1099">
        <v>0</v>
      </c>
      <c r="S1099">
        <v>1</v>
      </c>
      <c r="T1099">
        <v>1</v>
      </c>
      <c r="U1099">
        <v>0</v>
      </c>
      <c r="V1099">
        <v>0</v>
      </c>
      <c r="W1099">
        <v>1</v>
      </c>
      <c r="X1099">
        <v>1</v>
      </c>
      <c r="Y1099">
        <v>1</v>
      </c>
      <c r="Z1099">
        <v>0</v>
      </c>
      <c r="AA1099" t="s">
        <v>2439</v>
      </c>
      <c r="AB1099" t="s">
        <v>835</v>
      </c>
      <c r="AC1099" t="s">
        <v>2439</v>
      </c>
      <c r="AD1099" t="e">
        <f>VLOOKUP(AB1099,#REF!,2,FALSE)</f>
        <v>#REF!</v>
      </c>
      <c r="AE1099" t="e">
        <f>RIGHT(#REF!,(FIND("Complex",#REF!,1)-8))</f>
        <v>#REF!</v>
      </c>
    </row>
    <row r="1100" spans="1:31" x14ac:dyDescent="0.25">
      <c r="A1100">
        <v>3813</v>
      </c>
      <c r="B1100" t="s">
        <v>46</v>
      </c>
      <c r="C1100">
        <v>27</v>
      </c>
      <c r="D1100">
        <v>1083</v>
      </c>
      <c r="E1100">
        <v>3813</v>
      </c>
      <c r="F1100">
        <v>9702001</v>
      </c>
      <c r="G1100">
        <v>9790200</v>
      </c>
      <c r="H1100">
        <f t="shared" si="34"/>
        <v>220.00002267573697</v>
      </c>
      <c r="I1100">
        <f t="shared" si="35"/>
        <v>222</v>
      </c>
      <c r="J1100" t="s">
        <v>22</v>
      </c>
      <c r="K1100">
        <v>7</v>
      </c>
      <c r="L1100" t="e">
        <f t="array" ref="L1100">VLOOKUP(J1100:$J$3871&amp;K1100:$K$3871,CHOOSE({1,2},#REF!&amp;#REF!,#REF!),2,0)</f>
        <v>#N/A</v>
      </c>
      <c r="M1100">
        <v>0</v>
      </c>
      <c r="N1100">
        <v>1</v>
      </c>
      <c r="O1100" t="s">
        <v>23</v>
      </c>
      <c r="P1100">
        <v>1</v>
      </c>
      <c r="Q1100">
        <v>1</v>
      </c>
      <c r="R1100">
        <v>0</v>
      </c>
      <c r="S1100">
        <v>1</v>
      </c>
      <c r="T1100">
        <v>1</v>
      </c>
      <c r="U1100">
        <v>0</v>
      </c>
      <c r="V1100">
        <v>0</v>
      </c>
      <c r="W1100">
        <v>1</v>
      </c>
      <c r="X1100">
        <v>1</v>
      </c>
      <c r="Y1100">
        <v>1</v>
      </c>
      <c r="Z1100">
        <v>0</v>
      </c>
      <c r="AA1100" t="s">
        <v>2450</v>
      </c>
      <c r="AB1100" t="s">
        <v>836</v>
      </c>
      <c r="AC1100" t="s">
        <v>2450</v>
      </c>
      <c r="AD1100" t="e">
        <f>VLOOKUP(AB1100,#REF!,2,FALSE)</f>
        <v>#REF!</v>
      </c>
      <c r="AE1100" t="e">
        <f>RIGHT(#REF!,(FIND("Complex",#REF!,1)-8))</f>
        <v>#REF!</v>
      </c>
    </row>
    <row r="1101" spans="1:31" x14ac:dyDescent="0.25">
      <c r="A1101">
        <v>2560</v>
      </c>
      <c r="B1101" t="s">
        <v>46</v>
      </c>
      <c r="C1101">
        <v>27</v>
      </c>
      <c r="D1101">
        <v>830</v>
      </c>
      <c r="E1101">
        <v>2560</v>
      </c>
      <c r="F1101">
        <v>9613801</v>
      </c>
      <c r="G1101">
        <v>9702000</v>
      </c>
      <c r="H1101">
        <f t="shared" si="34"/>
        <v>218.00002267573697</v>
      </c>
      <c r="I1101">
        <f t="shared" si="35"/>
        <v>220</v>
      </c>
      <c r="J1101" t="s">
        <v>22</v>
      </c>
      <c r="K1101">
        <v>7</v>
      </c>
      <c r="L1101" t="e">
        <f t="array" ref="L1101">VLOOKUP(J1101:$J$3871&amp;K1101:$K$3871,CHOOSE({1,2},#REF!&amp;#REF!,#REF!),2,0)</f>
        <v>#N/A</v>
      </c>
      <c r="M1101">
        <v>0</v>
      </c>
      <c r="N1101">
        <v>1</v>
      </c>
      <c r="O1101" t="s">
        <v>23</v>
      </c>
      <c r="P1101">
        <v>1</v>
      </c>
      <c r="Q1101">
        <v>1</v>
      </c>
      <c r="R1101">
        <v>0</v>
      </c>
      <c r="S1101">
        <v>1</v>
      </c>
      <c r="T1101">
        <v>1</v>
      </c>
      <c r="U1101">
        <v>0</v>
      </c>
      <c r="V1101">
        <v>0</v>
      </c>
      <c r="W1101">
        <v>1</v>
      </c>
      <c r="X1101">
        <v>1</v>
      </c>
      <c r="Y1101">
        <v>1</v>
      </c>
      <c r="Z1101">
        <v>0</v>
      </c>
      <c r="AA1101" t="s">
        <v>2452</v>
      </c>
      <c r="AB1101" t="s">
        <v>837</v>
      </c>
      <c r="AC1101" t="s">
        <v>2452</v>
      </c>
      <c r="AD1101" t="e">
        <f>VLOOKUP(AB1101,#REF!,2,FALSE)</f>
        <v>#REF!</v>
      </c>
      <c r="AE1101" t="e">
        <f>RIGHT(#REF!,(FIND("Complex",#REF!,1)-7))</f>
        <v>#REF!</v>
      </c>
    </row>
    <row r="1102" spans="1:31" x14ac:dyDescent="0.25">
      <c r="A1102">
        <v>1501</v>
      </c>
      <c r="B1102" t="s">
        <v>46</v>
      </c>
      <c r="C1102">
        <v>27</v>
      </c>
      <c r="D1102">
        <v>457</v>
      </c>
      <c r="E1102">
        <v>1501</v>
      </c>
      <c r="F1102">
        <v>9261001</v>
      </c>
      <c r="G1102">
        <v>9349200</v>
      </c>
      <c r="H1102">
        <f t="shared" si="34"/>
        <v>210.00002267573697</v>
      </c>
      <c r="I1102">
        <f t="shared" si="35"/>
        <v>212</v>
      </c>
      <c r="J1102" t="s">
        <v>22</v>
      </c>
      <c r="K1102">
        <v>7</v>
      </c>
      <c r="L1102" t="e">
        <f t="array" ref="L1102">VLOOKUP(J1102:$J$3871&amp;K1102:$K$3871,CHOOSE({1,2},#REF!&amp;#REF!,#REF!),2,0)</f>
        <v>#N/A</v>
      </c>
      <c r="M1102">
        <v>0</v>
      </c>
      <c r="N1102">
        <v>1</v>
      </c>
      <c r="O1102" t="s">
        <v>23</v>
      </c>
      <c r="P1102">
        <v>1</v>
      </c>
      <c r="Q1102">
        <v>1</v>
      </c>
      <c r="R1102">
        <v>0</v>
      </c>
      <c r="S1102">
        <v>1</v>
      </c>
      <c r="T1102">
        <v>1</v>
      </c>
      <c r="U1102">
        <v>0</v>
      </c>
      <c r="V1102">
        <v>0</v>
      </c>
      <c r="W1102">
        <v>1</v>
      </c>
      <c r="X1102">
        <v>1</v>
      </c>
      <c r="Y1102">
        <v>1</v>
      </c>
      <c r="Z1102">
        <v>0</v>
      </c>
      <c r="AA1102" t="s">
        <v>2468</v>
      </c>
      <c r="AB1102" t="s">
        <v>838</v>
      </c>
      <c r="AC1102" t="s">
        <v>2468</v>
      </c>
      <c r="AD1102" t="e">
        <f>VLOOKUP(AB1102,#REF!,2,FALSE)</f>
        <v>#REF!</v>
      </c>
      <c r="AE1102" t="e">
        <f>RIGHT(#REF!,(FIND("Complex",#REF!,1)-7))</f>
        <v>#REF!</v>
      </c>
    </row>
    <row r="1103" spans="1:31" x14ac:dyDescent="0.25">
      <c r="A1103">
        <v>3028</v>
      </c>
      <c r="B1103" t="s">
        <v>46</v>
      </c>
      <c r="C1103">
        <v>27</v>
      </c>
      <c r="D1103">
        <v>962</v>
      </c>
      <c r="E1103">
        <v>3028</v>
      </c>
      <c r="F1103">
        <v>8908201</v>
      </c>
      <c r="G1103">
        <v>8996400</v>
      </c>
      <c r="H1103">
        <f t="shared" si="34"/>
        <v>202.00002267573697</v>
      </c>
      <c r="I1103">
        <f t="shared" si="35"/>
        <v>204</v>
      </c>
      <c r="J1103" t="s">
        <v>22</v>
      </c>
      <c r="K1103">
        <v>7</v>
      </c>
      <c r="L1103" t="e">
        <f t="array" ref="L1103">VLOOKUP(J1103:$J$3871&amp;K1103:$K$3871,CHOOSE({1,2},#REF!&amp;#REF!,#REF!),2,0)</f>
        <v>#N/A</v>
      </c>
      <c r="M1103">
        <v>0</v>
      </c>
      <c r="N1103">
        <v>1</v>
      </c>
      <c r="O1103" t="s">
        <v>23</v>
      </c>
      <c r="P1103">
        <v>1</v>
      </c>
      <c r="Q1103">
        <v>1</v>
      </c>
      <c r="R1103">
        <v>0</v>
      </c>
      <c r="S1103">
        <v>1</v>
      </c>
      <c r="T1103">
        <v>1</v>
      </c>
      <c r="U1103">
        <v>0</v>
      </c>
      <c r="V1103">
        <v>0</v>
      </c>
      <c r="W1103">
        <v>1</v>
      </c>
      <c r="X1103">
        <v>1</v>
      </c>
      <c r="Y1103">
        <v>1</v>
      </c>
      <c r="Z1103">
        <v>0</v>
      </c>
      <c r="AA1103" t="s">
        <v>2477</v>
      </c>
      <c r="AB1103" t="s">
        <v>839</v>
      </c>
      <c r="AC1103" t="s">
        <v>2477</v>
      </c>
      <c r="AD1103" t="e">
        <f>VLOOKUP(AB1103,#REF!,2,FALSE)</f>
        <v>#REF!</v>
      </c>
      <c r="AE1103" t="e">
        <f>RIGHT(#REF!,(FIND("Complex",#REF!,1)-7))</f>
        <v>#REF!</v>
      </c>
    </row>
    <row r="1104" spans="1:31" x14ac:dyDescent="0.25">
      <c r="A1104">
        <v>3763</v>
      </c>
      <c r="B1104" t="s">
        <v>46</v>
      </c>
      <c r="C1104">
        <v>27</v>
      </c>
      <c r="D1104">
        <v>1074</v>
      </c>
      <c r="E1104">
        <v>3763</v>
      </c>
      <c r="F1104">
        <v>8731801</v>
      </c>
      <c r="G1104">
        <v>8820000</v>
      </c>
      <c r="H1104">
        <f t="shared" si="34"/>
        <v>198.00002267573697</v>
      </c>
      <c r="I1104">
        <f t="shared" si="35"/>
        <v>200</v>
      </c>
      <c r="J1104" t="s">
        <v>22</v>
      </c>
      <c r="K1104">
        <v>7</v>
      </c>
      <c r="L1104" t="e">
        <f t="array" ref="L1104">VLOOKUP(J1104:$J$3871&amp;K1104:$K$3871,CHOOSE({1,2},#REF!&amp;#REF!,#REF!),2,0)</f>
        <v>#N/A</v>
      </c>
      <c r="M1104">
        <v>0</v>
      </c>
      <c r="N1104">
        <v>1</v>
      </c>
      <c r="O1104" t="s">
        <v>23</v>
      </c>
      <c r="P1104">
        <v>1</v>
      </c>
      <c r="Q1104">
        <v>1</v>
      </c>
      <c r="R1104">
        <v>0</v>
      </c>
      <c r="S1104">
        <v>1</v>
      </c>
      <c r="T1104">
        <v>1</v>
      </c>
      <c r="U1104">
        <v>0</v>
      </c>
      <c r="V1104">
        <v>0</v>
      </c>
      <c r="W1104">
        <v>1</v>
      </c>
      <c r="X1104">
        <v>1</v>
      </c>
      <c r="Y1104">
        <v>1</v>
      </c>
      <c r="Z1104">
        <v>0</v>
      </c>
      <c r="AA1104" t="s">
        <v>2484</v>
      </c>
      <c r="AB1104" t="s">
        <v>840</v>
      </c>
      <c r="AC1104" t="s">
        <v>2484</v>
      </c>
      <c r="AD1104" t="e">
        <f>VLOOKUP(AB1104,#REF!,2,FALSE)</f>
        <v>#REF!</v>
      </c>
      <c r="AE1104" t="e">
        <f>RIGHT(#REF!,(FIND("Complex",#REF!,1)-8))</f>
        <v>#REF!</v>
      </c>
    </row>
    <row r="1105" spans="1:31" x14ac:dyDescent="0.25">
      <c r="A1105">
        <v>3259</v>
      </c>
      <c r="B1105" t="s">
        <v>46</v>
      </c>
      <c r="C1105">
        <v>27</v>
      </c>
      <c r="D1105">
        <v>989</v>
      </c>
      <c r="E1105">
        <v>3259</v>
      </c>
      <c r="F1105">
        <v>5468401</v>
      </c>
      <c r="G1105">
        <v>5556600</v>
      </c>
      <c r="H1105">
        <f t="shared" si="34"/>
        <v>124.00002267573696</v>
      </c>
      <c r="I1105">
        <f t="shared" si="35"/>
        <v>126</v>
      </c>
      <c r="J1105" t="s">
        <v>22</v>
      </c>
      <c r="K1105">
        <v>7</v>
      </c>
      <c r="L1105" t="e">
        <f t="array" ref="L1105">VLOOKUP(J1105:$J$3871&amp;K1105:$K$3871,CHOOSE({1,2},#REF!&amp;#REF!,#REF!),2,0)</f>
        <v>#N/A</v>
      </c>
      <c r="M1105">
        <v>0</v>
      </c>
      <c r="N1105">
        <v>1</v>
      </c>
      <c r="O1105" t="s">
        <v>23</v>
      </c>
      <c r="P1105">
        <v>1</v>
      </c>
      <c r="Q1105">
        <v>1</v>
      </c>
      <c r="R1105">
        <v>0</v>
      </c>
      <c r="S1105">
        <v>1</v>
      </c>
      <c r="T1105">
        <v>1</v>
      </c>
      <c r="U1105">
        <v>0</v>
      </c>
      <c r="V1105">
        <v>0</v>
      </c>
      <c r="W1105">
        <v>1</v>
      </c>
      <c r="X1105">
        <v>1</v>
      </c>
      <c r="Y1105">
        <v>1</v>
      </c>
      <c r="Z1105">
        <v>0</v>
      </c>
      <c r="AA1105" t="s">
        <v>2574</v>
      </c>
      <c r="AB1105" t="s">
        <v>841</v>
      </c>
      <c r="AC1105" t="s">
        <v>2574</v>
      </c>
      <c r="AD1105" t="e">
        <f>VLOOKUP(AB1105,#REF!,2,FALSE)</f>
        <v>#REF!</v>
      </c>
      <c r="AE1105" t="e">
        <f>RIGHT(#REF!,(FIND("Complex",#REF!,1)-7))</f>
        <v>#REF!</v>
      </c>
    </row>
    <row r="1106" spans="1:31" x14ac:dyDescent="0.25">
      <c r="A1106">
        <v>903</v>
      </c>
      <c r="B1106" t="s">
        <v>46</v>
      </c>
      <c r="C1106">
        <v>27</v>
      </c>
      <c r="D1106">
        <v>274</v>
      </c>
      <c r="E1106">
        <v>903</v>
      </c>
      <c r="F1106">
        <v>5115601</v>
      </c>
      <c r="G1106">
        <v>5203800</v>
      </c>
      <c r="H1106">
        <f t="shared" si="34"/>
        <v>116.00002267573696</v>
      </c>
      <c r="I1106">
        <f t="shared" si="35"/>
        <v>118</v>
      </c>
      <c r="J1106" t="s">
        <v>22</v>
      </c>
      <c r="K1106">
        <v>7</v>
      </c>
      <c r="L1106" t="e">
        <f t="array" ref="L1106">VLOOKUP(J1106:$J$3871&amp;K1106:$K$3871,CHOOSE({1,2},#REF!&amp;#REF!,#REF!),2,0)</f>
        <v>#N/A</v>
      </c>
      <c r="M1106">
        <v>0</v>
      </c>
      <c r="N1106">
        <v>1</v>
      </c>
      <c r="O1106" t="s">
        <v>23</v>
      </c>
      <c r="P1106">
        <v>1</v>
      </c>
      <c r="Q1106">
        <v>1</v>
      </c>
      <c r="R1106">
        <v>0</v>
      </c>
      <c r="S1106">
        <v>1</v>
      </c>
      <c r="T1106">
        <v>1</v>
      </c>
      <c r="U1106">
        <v>0</v>
      </c>
      <c r="V1106">
        <v>0</v>
      </c>
      <c r="W1106">
        <v>1</v>
      </c>
      <c r="X1106">
        <v>1</v>
      </c>
      <c r="Y1106">
        <v>1</v>
      </c>
      <c r="Z1106">
        <v>0</v>
      </c>
      <c r="AA1106" t="s">
        <v>2586</v>
      </c>
      <c r="AB1106" t="s">
        <v>842</v>
      </c>
      <c r="AC1106" t="s">
        <v>2586</v>
      </c>
      <c r="AD1106" t="e">
        <f>VLOOKUP(AB1106,#REF!,2,FALSE)</f>
        <v>#REF!</v>
      </c>
      <c r="AE1106" t="e">
        <f>RIGHT(#REF!,(FIND("Complex",#REF!,1)-6))</f>
        <v>#REF!</v>
      </c>
    </row>
    <row r="1107" spans="1:31" x14ac:dyDescent="0.25">
      <c r="A1107">
        <v>2071</v>
      </c>
      <c r="B1107" t="s">
        <v>46</v>
      </c>
      <c r="C1107">
        <v>27</v>
      </c>
      <c r="D1107">
        <v>629</v>
      </c>
      <c r="E1107">
        <v>2071</v>
      </c>
      <c r="F1107">
        <v>4939201</v>
      </c>
      <c r="G1107">
        <v>5027400</v>
      </c>
      <c r="H1107">
        <f t="shared" si="34"/>
        <v>112.00002267573696</v>
      </c>
      <c r="I1107">
        <f t="shared" si="35"/>
        <v>114</v>
      </c>
      <c r="J1107" t="s">
        <v>22</v>
      </c>
      <c r="K1107">
        <v>7</v>
      </c>
      <c r="L1107" t="e">
        <f t="array" ref="L1107">VLOOKUP(J1107:$J$3871&amp;K1107:$K$3871,CHOOSE({1,2},#REF!&amp;#REF!,#REF!),2,0)</f>
        <v>#N/A</v>
      </c>
      <c r="M1107">
        <v>0</v>
      </c>
      <c r="N1107">
        <v>1</v>
      </c>
      <c r="O1107" t="s">
        <v>23</v>
      </c>
      <c r="P1107">
        <v>1</v>
      </c>
      <c r="Q1107">
        <v>1</v>
      </c>
      <c r="R1107">
        <v>0</v>
      </c>
      <c r="S1107">
        <v>1</v>
      </c>
      <c r="T1107">
        <v>1</v>
      </c>
      <c r="U1107">
        <v>0</v>
      </c>
      <c r="V1107">
        <v>0</v>
      </c>
      <c r="W1107">
        <v>1</v>
      </c>
      <c r="X1107">
        <v>1</v>
      </c>
      <c r="Y1107">
        <v>1</v>
      </c>
      <c r="Z1107">
        <v>0</v>
      </c>
      <c r="AA1107" t="s">
        <v>2591</v>
      </c>
      <c r="AB1107" t="s">
        <v>843</v>
      </c>
      <c r="AC1107" t="s">
        <v>2591</v>
      </c>
      <c r="AD1107" t="e">
        <f>VLOOKUP(AB1107,#REF!,2,FALSE)</f>
        <v>#REF!</v>
      </c>
      <c r="AE1107" t="e">
        <f>RIGHT(#REF!,(FIND("Complex",#REF!,1)-7))</f>
        <v>#REF!</v>
      </c>
    </row>
    <row r="1108" spans="1:31" x14ac:dyDescent="0.25">
      <c r="A1108">
        <v>2273</v>
      </c>
      <c r="B1108" t="s">
        <v>46</v>
      </c>
      <c r="C1108">
        <v>27</v>
      </c>
      <c r="D1108">
        <v>709</v>
      </c>
      <c r="E1108">
        <v>2273</v>
      </c>
      <c r="F1108">
        <v>4851001</v>
      </c>
      <c r="G1108">
        <v>4939200</v>
      </c>
      <c r="H1108">
        <f t="shared" si="34"/>
        <v>110.00002267573696</v>
      </c>
      <c r="I1108">
        <f t="shared" si="35"/>
        <v>112</v>
      </c>
      <c r="J1108" t="s">
        <v>22</v>
      </c>
      <c r="K1108">
        <v>7</v>
      </c>
      <c r="L1108" t="e">
        <f t="array" ref="L1108">VLOOKUP(J1108:$J$3871&amp;K1108:$K$3871,CHOOSE({1,2},#REF!&amp;#REF!,#REF!),2,0)</f>
        <v>#N/A</v>
      </c>
      <c r="M1108">
        <v>0</v>
      </c>
      <c r="N1108">
        <v>1</v>
      </c>
      <c r="O1108" t="s">
        <v>23</v>
      </c>
      <c r="P1108">
        <v>1</v>
      </c>
      <c r="Q1108">
        <v>1</v>
      </c>
      <c r="R1108">
        <v>0</v>
      </c>
      <c r="S1108">
        <v>1</v>
      </c>
      <c r="T1108">
        <v>1</v>
      </c>
      <c r="U1108">
        <v>0</v>
      </c>
      <c r="V1108">
        <v>0</v>
      </c>
      <c r="W1108">
        <v>1</v>
      </c>
      <c r="X1108">
        <v>1</v>
      </c>
      <c r="Y1108">
        <v>1</v>
      </c>
      <c r="Z1108">
        <v>0</v>
      </c>
      <c r="AA1108" t="s">
        <v>2594</v>
      </c>
      <c r="AB1108" t="s">
        <v>844</v>
      </c>
      <c r="AC1108" t="s">
        <v>2594</v>
      </c>
      <c r="AD1108" t="e">
        <f>VLOOKUP(AB1108,#REF!,2,FALSE)</f>
        <v>#REF!</v>
      </c>
      <c r="AE1108" t="e">
        <f>RIGHT(#REF!,(FIND("Complex",#REF!,1)-7))</f>
        <v>#REF!</v>
      </c>
    </row>
    <row r="1109" spans="1:31" x14ac:dyDescent="0.25">
      <c r="A1109">
        <v>718</v>
      </c>
      <c r="B1109" t="s">
        <v>46</v>
      </c>
      <c r="C1109">
        <v>27</v>
      </c>
      <c r="D1109">
        <v>222</v>
      </c>
      <c r="E1109">
        <v>718</v>
      </c>
      <c r="F1109">
        <v>4762801</v>
      </c>
      <c r="G1109">
        <v>4851000</v>
      </c>
      <c r="H1109">
        <f t="shared" si="34"/>
        <v>108.00002267573696</v>
      </c>
      <c r="I1109">
        <f t="shared" si="35"/>
        <v>110</v>
      </c>
      <c r="J1109" t="s">
        <v>22</v>
      </c>
      <c r="K1109">
        <v>7</v>
      </c>
      <c r="L1109" t="e">
        <f t="array" ref="L1109">VLOOKUP(J1109:$J$3871&amp;K1109:$K$3871,CHOOSE({1,2},#REF!&amp;#REF!,#REF!),2,0)</f>
        <v>#N/A</v>
      </c>
      <c r="M1109">
        <v>0</v>
      </c>
      <c r="N1109">
        <v>1</v>
      </c>
      <c r="O1109" t="s">
        <v>23</v>
      </c>
      <c r="P1109">
        <v>1</v>
      </c>
      <c r="Q1109">
        <v>1</v>
      </c>
      <c r="R1109">
        <v>0</v>
      </c>
      <c r="S1109">
        <v>1</v>
      </c>
      <c r="T1109">
        <v>1</v>
      </c>
      <c r="U1109">
        <v>0</v>
      </c>
      <c r="V1109">
        <v>0</v>
      </c>
      <c r="W1109">
        <v>1</v>
      </c>
      <c r="X1109">
        <v>1</v>
      </c>
      <c r="Y1109">
        <v>1</v>
      </c>
      <c r="Z1109">
        <v>0</v>
      </c>
      <c r="AA1109" t="s">
        <v>2598</v>
      </c>
      <c r="AB1109" t="s">
        <v>845</v>
      </c>
      <c r="AC1109" t="s">
        <v>2598</v>
      </c>
      <c r="AD1109" t="e">
        <f>VLOOKUP(AB1109,#REF!,2,FALSE)</f>
        <v>#REF!</v>
      </c>
      <c r="AE1109" t="e">
        <f>RIGHT(#REF!,(FIND("Complex",#REF!,1)-6))</f>
        <v>#REF!</v>
      </c>
    </row>
    <row r="1110" spans="1:31" x14ac:dyDescent="0.25">
      <c r="A1110">
        <v>3185</v>
      </c>
      <c r="B1110" t="s">
        <v>46</v>
      </c>
      <c r="C1110">
        <v>27</v>
      </c>
      <c r="D1110">
        <v>982</v>
      </c>
      <c r="E1110">
        <v>3185</v>
      </c>
      <c r="F1110">
        <v>4586401</v>
      </c>
      <c r="G1110">
        <v>4674600</v>
      </c>
      <c r="H1110">
        <f t="shared" si="34"/>
        <v>104.00002267573696</v>
      </c>
      <c r="I1110">
        <f t="shared" si="35"/>
        <v>106</v>
      </c>
      <c r="J1110" t="s">
        <v>22</v>
      </c>
      <c r="K1110">
        <v>7</v>
      </c>
      <c r="L1110" t="e">
        <f t="array" ref="L1110">VLOOKUP(J1110:$J$3871&amp;K1110:$K$3871,CHOOSE({1,2},#REF!&amp;#REF!,#REF!),2,0)</f>
        <v>#N/A</v>
      </c>
      <c r="M1110">
        <v>0</v>
      </c>
      <c r="N1110">
        <v>1</v>
      </c>
      <c r="O1110" t="s">
        <v>23</v>
      </c>
      <c r="P1110">
        <v>1</v>
      </c>
      <c r="Q1110">
        <v>1</v>
      </c>
      <c r="R1110">
        <v>0</v>
      </c>
      <c r="S1110">
        <v>1</v>
      </c>
      <c r="T1110">
        <v>1</v>
      </c>
      <c r="U1110">
        <v>0</v>
      </c>
      <c r="V1110">
        <v>0</v>
      </c>
      <c r="W1110">
        <v>1</v>
      </c>
      <c r="X1110">
        <v>1</v>
      </c>
      <c r="Y1110">
        <v>1</v>
      </c>
      <c r="Z1110">
        <v>0</v>
      </c>
      <c r="AA1110" t="s">
        <v>2606</v>
      </c>
      <c r="AB1110" t="s">
        <v>846</v>
      </c>
      <c r="AC1110" t="s">
        <v>2606</v>
      </c>
      <c r="AD1110" t="e">
        <f>VLOOKUP(AB1110,#REF!,2,FALSE)</f>
        <v>#REF!</v>
      </c>
      <c r="AE1110" t="e">
        <f>RIGHT(#REF!,(FIND("Complex",#REF!,1)-7))</f>
        <v>#REF!</v>
      </c>
    </row>
    <row r="1111" spans="1:31" x14ac:dyDescent="0.25">
      <c r="A1111">
        <v>2132</v>
      </c>
      <c r="B1111" t="s">
        <v>46</v>
      </c>
      <c r="C1111">
        <v>27</v>
      </c>
      <c r="D1111">
        <v>651</v>
      </c>
      <c r="E1111">
        <v>2132</v>
      </c>
      <c r="F1111">
        <v>4498201</v>
      </c>
      <c r="G1111">
        <v>4586400</v>
      </c>
      <c r="H1111">
        <f t="shared" si="34"/>
        <v>102.00002267573696</v>
      </c>
      <c r="I1111">
        <f t="shared" si="35"/>
        <v>104</v>
      </c>
      <c r="J1111" t="s">
        <v>22</v>
      </c>
      <c r="K1111">
        <v>7</v>
      </c>
      <c r="L1111" t="e">
        <f t="array" ref="L1111">VLOOKUP(J1111:$J$3871&amp;K1111:$K$3871,CHOOSE({1,2},#REF!&amp;#REF!,#REF!),2,0)</f>
        <v>#N/A</v>
      </c>
      <c r="M1111">
        <v>0</v>
      </c>
      <c r="N1111">
        <v>1</v>
      </c>
      <c r="O1111" t="s">
        <v>23</v>
      </c>
      <c r="P1111">
        <v>1</v>
      </c>
      <c r="Q1111">
        <v>1</v>
      </c>
      <c r="R1111">
        <v>0</v>
      </c>
      <c r="S1111">
        <v>1</v>
      </c>
      <c r="T1111">
        <v>1</v>
      </c>
      <c r="U1111">
        <v>0</v>
      </c>
      <c r="V1111">
        <v>0</v>
      </c>
      <c r="W1111">
        <v>1</v>
      </c>
      <c r="X1111">
        <v>1</v>
      </c>
      <c r="Y1111">
        <v>1</v>
      </c>
      <c r="Z1111">
        <v>0</v>
      </c>
      <c r="AA1111" t="s">
        <v>2611</v>
      </c>
      <c r="AB1111" t="s">
        <v>847</v>
      </c>
      <c r="AC1111" t="s">
        <v>2611</v>
      </c>
      <c r="AD1111" t="e">
        <f>VLOOKUP(AB1111,#REF!,2,FALSE)</f>
        <v>#REF!</v>
      </c>
      <c r="AE1111" t="e">
        <f>RIGHT(#REF!,(FIND("Complex",#REF!,1)-7))</f>
        <v>#REF!</v>
      </c>
    </row>
    <row r="1112" spans="1:31" x14ac:dyDescent="0.25">
      <c r="A1112">
        <v>3227</v>
      </c>
      <c r="B1112" t="s">
        <v>54</v>
      </c>
      <c r="C1112">
        <v>31</v>
      </c>
      <c r="D1112">
        <v>986</v>
      </c>
      <c r="E1112">
        <v>3227</v>
      </c>
      <c r="F1112">
        <v>4321801</v>
      </c>
      <c r="G1112">
        <v>4410000</v>
      </c>
      <c r="H1112">
        <f t="shared" si="34"/>
        <v>98.000022675736957</v>
      </c>
      <c r="I1112">
        <f t="shared" si="35"/>
        <v>100</v>
      </c>
      <c r="J1112" t="s">
        <v>22</v>
      </c>
      <c r="K1112">
        <v>7</v>
      </c>
      <c r="L1112" t="e">
        <f t="array" ref="L1112">VLOOKUP(J1112:$J$3871&amp;K1112:$K$3871,CHOOSE({1,2},#REF!&amp;#REF!,#REF!),2,0)</f>
        <v>#N/A</v>
      </c>
      <c r="M1112">
        <v>0</v>
      </c>
      <c r="N1112">
        <v>1</v>
      </c>
      <c r="O1112" t="s">
        <v>23</v>
      </c>
      <c r="P1112">
        <v>0</v>
      </c>
      <c r="Q1112">
        <v>1</v>
      </c>
      <c r="R1112">
        <v>0</v>
      </c>
      <c r="S1112">
        <v>1</v>
      </c>
      <c r="T1112">
        <v>1</v>
      </c>
      <c r="U1112">
        <v>0</v>
      </c>
      <c r="V1112">
        <v>0</v>
      </c>
      <c r="W1112">
        <v>1</v>
      </c>
      <c r="X1112">
        <v>1</v>
      </c>
      <c r="Y1112">
        <v>1</v>
      </c>
      <c r="Z1112">
        <v>1</v>
      </c>
      <c r="AA1112" t="s">
        <v>2282</v>
      </c>
      <c r="AB1112" t="s">
        <v>922</v>
      </c>
      <c r="AC1112" t="s">
        <v>2282</v>
      </c>
      <c r="AD1112" t="e">
        <f>VLOOKUP(AB1112,#REF!,2,FALSE)</f>
        <v>#REF!</v>
      </c>
      <c r="AE1112" t="e">
        <f>RIGHT(#REF!,(FIND("Complex",#REF!,1)-8))</f>
        <v>#REF!</v>
      </c>
    </row>
    <row r="1113" spans="1:31" x14ac:dyDescent="0.25">
      <c r="A1113">
        <v>3685</v>
      </c>
      <c r="B1113" t="s">
        <v>54</v>
      </c>
      <c r="C1113">
        <v>31</v>
      </c>
      <c r="D1113">
        <v>1056</v>
      </c>
      <c r="E1113">
        <v>3685</v>
      </c>
      <c r="F1113">
        <v>4233601</v>
      </c>
      <c r="G1113">
        <v>4321800</v>
      </c>
      <c r="H1113">
        <f t="shared" si="34"/>
        <v>96.000022675736957</v>
      </c>
      <c r="I1113">
        <f t="shared" si="35"/>
        <v>98</v>
      </c>
      <c r="J1113" t="s">
        <v>22</v>
      </c>
      <c r="K1113">
        <v>7</v>
      </c>
      <c r="L1113" t="e">
        <f t="array" ref="L1113">VLOOKUP(J1113:$J$3871&amp;K1113:$K$3871,CHOOSE({1,2},#REF!&amp;#REF!,#REF!),2,0)</f>
        <v>#N/A</v>
      </c>
      <c r="M1113">
        <v>0</v>
      </c>
      <c r="N1113">
        <v>1</v>
      </c>
      <c r="O1113" t="s">
        <v>23</v>
      </c>
      <c r="P1113">
        <v>0</v>
      </c>
      <c r="Q1113">
        <v>1</v>
      </c>
      <c r="R1113">
        <v>0</v>
      </c>
      <c r="S1113">
        <v>1</v>
      </c>
      <c r="T1113">
        <v>1</v>
      </c>
      <c r="U1113">
        <v>0</v>
      </c>
      <c r="V1113">
        <v>0</v>
      </c>
      <c r="W1113">
        <v>1</v>
      </c>
      <c r="X1113">
        <v>1</v>
      </c>
      <c r="Y1113">
        <v>1</v>
      </c>
      <c r="Z1113">
        <v>1</v>
      </c>
      <c r="AA1113" t="s">
        <v>2284</v>
      </c>
      <c r="AB1113" t="s">
        <v>923</v>
      </c>
      <c r="AC1113" t="s">
        <v>2284</v>
      </c>
      <c r="AD1113" t="e">
        <f>VLOOKUP(AB1113,#REF!,2,FALSE)</f>
        <v>#REF!</v>
      </c>
      <c r="AE1113" t="e">
        <f>RIGHT(#REF!,(FIND("Complex",#REF!,1)-9))</f>
        <v>#REF!</v>
      </c>
    </row>
    <row r="1114" spans="1:31" x14ac:dyDescent="0.25">
      <c r="A1114">
        <v>1585</v>
      </c>
      <c r="B1114" t="s">
        <v>54</v>
      </c>
      <c r="C1114">
        <v>31</v>
      </c>
      <c r="D1114">
        <v>482</v>
      </c>
      <c r="E1114">
        <v>1585</v>
      </c>
      <c r="F1114">
        <v>4057201</v>
      </c>
      <c r="G1114">
        <v>4145400</v>
      </c>
      <c r="H1114">
        <f t="shared" si="34"/>
        <v>92.000022675736957</v>
      </c>
      <c r="I1114">
        <f t="shared" si="35"/>
        <v>94</v>
      </c>
      <c r="J1114" t="s">
        <v>22</v>
      </c>
      <c r="K1114">
        <v>7</v>
      </c>
      <c r="L1114" t="e">
        <f t="array" ref="L1114">VLOOKUP(J1114:$J$3871&amp;K1114:$K$3871,CHOOSE({1,2},#REF!&amp;#REF!,#REF!),2,0)</f>
        <v>#N/A</v>
      </c>
      <c r="M1114">
        <v>0</v>
      </c>
      <c r="N1114">
        <v>1</v>
      </c>
      <c r="O1114" t="s">
        <v>23</v>
      </c>
      <c r="P1114">
        <v>0</v>
      </c>
      <c r="Q1114">
        <v>1</v>
      </c>
      <c r="R1114">
        <v>0</v>
      </c>
      <c r="S1114">
        <v>1</v>
      </c>
      <c r="T1114">
        <v>1</v>
      </c>
      <c r="U1114">
        <v>0</v>
      </c>
      <c r="V1114">
        <v>0</v>
      </c>
      <c r="W1114">
        <v>1</v>
      </c>
      <c r="X1114">
        <v>1</v>
      </c>
      <c r="Y1114">
        <v>1</v>
      </c>
      <c r="Z1114">
        <v>1</v>
      </c>
      <c r="AA1114" t="s">
        <v>2289</v>
      </c>
      <c r="AB1114" t="s">
        <v>924</v>
      </c>
      <c r="AC1114" t="s">
        <v>2289</v>
      </c>
      <c r="AD1114" t="e">
        <f>VLOOKUP(AB1114,#REF!,2,FALSE)</f>
        <v>#REF!</v>
      </c>
      <c r="AE1114" t="e">
        <f>RIGHT(#REF!,(FIND("Complex",#REF!,1)-8))</f>
        <v>#REF!</v>
      </c>
    </row>
    <row r="1115" spans="1:31" x14ac:dyDescent="0.25">
      <c r="A1115">
        <v>3727</v>
      </c>
      <c r="B1115" t="s">
        <v>54</v>
      </c>
      <c r="C1115">
        <v>31</v>
      </c>
      <c r="D1115">
        <v>1065</v>
      </c>
      <c r="E1115">
        <v>3727</v>
      </c>
      <c r="F1115">
        <v>10231201</v>
      </c>
      <c r="G1115">
        <v>10319400</v>
      </c>
      <c r="H1115">
        <f t="shared" si="34"/>
        <v>232.00002267573697</v>
      </c>
      <c r="I1115">
        <f t="shared" si="35"/>
        <v>234</v>
      </c>
      <c r="J1115" t="s">
        <v>22</v>
      </c>
      <c r="K1115">
        <v>7</v>
      </c>
      <c r="L1115" t="e">
        <f t="array" ref="L1115">VLOOKUP(J1115:$J$3871&amp;K1115:$K$3871,CHOOSE({1,2},#REF!&amp;#REF!,#REF!),2,0)</f>
        <v>#N/A</v>
      </c>
      <c r="M1115">
        <v>0</v>
      </c>
      <c r="N1115">
        <v>1</v>
      </c>
      <c r="O1115" t="s">
        <v>23</v>
      </c>
      <c r="P1115">
        <v>0</v>
      </c>
      <c r="Q1115">
        <v>1</v>
      </c>
      <c r="R1115">
        <v>0</v>
      </c>
      <c r="S1115">
        <v>1</v>
      </c>
      <c r="T1115">
        <v>1</v>
      </c>
      <c r="U1115">
        <v>0</v>
      </c>
      <c r="V1115">
        <v>0</v>
      </c>
      <c r="W1115">
        <v>1</v>
      </c>
      <c r="X1115">
        <v>1</v>
      </c>
      <c r="Y1115">
        <v>1</v>
      </c>
      <c r="Z1115">
        <v>1</v>
      </c>
      <c r="AA1115" t="s">
        <v>2429</v>
      </c>
      <c r="AB1115" t="s">
        <v>925</v>
      </c>
      <c r="AC1115" t="s">
        <v>2429</v>
      </c>
      <c r="AD1115" t="e">
        <f>VLOOKUP(AB1115,#REF!,2,FALSE)</f>
        <v>#REF!</v>
      </c>
      <c r="AE1115" t="e">
        <f>RIGHT(#REF!,(FIND("Complex",#REF!,1)-8))</f>
        <v>#REF!</v>
      </c>
    </row>
    <row r="1116" spans="1:31" x14ac:dyDescent="0.25">
      <c r="A1116">
        <v>3580</v>
      </c>
      <c r="B1116" t="s">
        <v>54</v>
      </c>
      <c r="C1116">
        <v>31</v>
      </c>
      <c r="D1116">
        <v>1036</v>
      </c>
      <c r="E1116">
        <v>3580</v>
      </c>
      <c r="F1116">
        <v>9437401</v>
      </c>
      <c r="G1116">
        <v>9525600</v>
      </c>
      <c r="H1116">
        <f t="shared" si="34"/>
        <v>214.00002267573697</v>
      </c>
      <c r="I1116">
        <f t="shared" si="35"/>
        <v>216</v>
      </c>
      <c r="J1116" t="s">
        <v>22</v>
      </c>
      <c r="K1116">
        <v>7</v>
      </c>
      <c r="L1116" t="e">
        <f t="array" ref="L1116">VLOOKUP(J1116:$J$3871&amp;K1116:$K$3871,CHOOSE({1,2},#REF!&amp;#REF!,#REF!),2,0)</f>
        <v>#N/A</v>
      </c>
      <c r="M1116">
        <v>0</v>
      </c>
      <c r="N1116">
        <v>1</v>
      </c>
      <c r="O1116" t="s">
        <v>23</v>
      </c>
      <c r="P1116">
        <v>0</v>
      </c>
      <c r="Q1116">
        <v>1</v>
      </c>
      <c r="R1116">
        <v>0</v>
      </c>
      <c r="S1116">
        <v>1</v>
      </c>
      <c r="T1116">
        <v>1</v>
      </c>
      <c r="U1116">
        <v>0</v>
      </c>
      <c r="V1116">
        <v>0</v>
      </c>
      <c r="W1116">
        <v>1</v>
      </c>
      <c r="X1116">
        <v>1</v>
      </c>
      <c r="Y1116">
        <v>1</v>
      </c>
      <c r="Z1116">
        <v>1</v>
      </c>
      <c r="AA1116" t="s">
        <v>2458</v>
      </c>
      <c r="AB1116" t="s">
        <v>926</v>
      </c>
      <c r="AC1116" t="s">
        <v>2458</v>
      </c>
      <c r="AD1116" t="e">
        <f>VLOOKUP(AB1116,#REF!,2,FALSE)</f>
        <v>#REF!</v>
      </c>
      <c r="AE1116" t="e">
        <f>RIGHT(#REF!,(FIND("Complex",#REF!,1)-8))</f>
        <v>#REF!</v>
      </c>
    </row>
    <row r="1117" spans="1:31" x14ac:dyDescent="0.25">
      <c r="A1117">
        <v>3760</v>
      </c>
      <c r="B1117" t="s">
        <v>54</v>
      </c>
      <c r="C1117">
        <v>31</v>
      </c>
      <c r="D1117">
        <v>1072</v>
      </c>
      <c r="E1117">
        <v>3760</v>
      </c>
      <c r="F1117">
        <v>8643601</v>
      </c>
      <c r="G1117">
        <v>8731800</v>
      </c>
      <c r="H1117">
        <f t="shared" si="34"/>
        <v>196.00002267573697</v>
      </c>
      <c r="I1117">
        <f t="shared" si="35"/>
        <v>198</v>
      </c>
      <c r="J1117" t="s">
        <v>22</v>
      </c>
      <c r="K1117">
        <v>7</v>
      </c>
      <c r="L1117" t="e">
        <f t="array" ref="L1117">VLOOKUP(J1117:$J$3871&amp;K1117:$K$3871,CHOOSE({1,2},#REF!&amp;#REF!,#REF!),2,0)</f>
        <v>#N/A</v>
      </c>
      <c r="M1117">
        <v>0</v>
      </c>
      <c r="N1117">
        <v>1</v>
      </c>
      <c r="O1117" t="s">
        <v>23</v>
      </c>
      <c r="P1117">
        <v>0</v>
      </c>
      <c r="Q1117">
        <v>1</v>
      </c>
      <c r="R1117">
        <v>0</v>
      </c>
      <c r="S1117">
        <v>1</v>
      </c>
      <c r="T1117">
        <v>1</v>
      </c>
      <c r="U1117">
        <v>0</v>
      </c>
      <c r="V1117">
        <v>0</v>
      </c>
      <c r="W1117">
        <v>1</v>
      </c>
      <c r="X1117">
        <v>1</v>
      </c>
      <c r="Y1117">
        <v>1</v>
      </c>
      <c r="Z1117">
        <v>1</v>
      </c>
      <c r="AA1117" t="s">
        <v>2488</v>
      </c>
      <c r="AB1117" t="s">
        <v>927</v>
      </c>
      <c r="AC1117" t="s">
        <v>2488</v>
      </c>
      <c r="AD1117" t="e">
        <f>VLOOKUP(AB1117,#REF!,2,FALSE)</f>
        <v>#REF!</v>
      </c>
      <c r="AE1117" t="e">
        <f>RIGHT(#REF!,(FIND("Complex",#REF!,1)-8))</f>
        <v>#REF!</v>
      </c>
    </row>
    <row r="1118" spans="1:31" x14ac:dyDescent="0.25">
      <c r="A1118">
        <v>3832</v>
      </c>
      <c r="B1118" t="s">
        <v>54</v>
      </c>
      <c r="C1118">
        <v>31</v>
      </c>
      <c r="D1118">
        <v>1087</v>
      </c>
      <c r="E1118">
        <v>3832</v>
      </c>
      <c r="F1118">
        <v>8202601</v>
      </c>
      <c r="G1118">
        <v>8290800</v>
      </c>
      <c r="H1118">
        <f t="shared" si="34"/>
        <v>186.00002267573697</v>
      </c>
      <c r="I1118">
        <f t="shared" si="35"/>
        <v>188</v>
      </c>
      <c r="J1118" t="s">
        <v>22</v>
      </c>
      <c r="K1118">
        <v>7</v>
      </c>
      <c r="L1118" t="e">
        <f t="array" ref="L1118">VLOOKUP(J1118:$J$3871&amp;K1118:$K$3871,CHOOSE({1,2},#REF!&amp;#REF!,#REF!),2,0)</f>
        <v>#N/A</v>
      </c>
      <c r="M1118">
        <v>0</v>
      </c>
      <c r="N1118">
        <v>1</v>
      </c>
      <c r="O1118" t="s">
        <v>23</v>
      </c>
      <c r="P1118">
        <v>0</v>
      </c>
      <c r="Q1118">
        <v>1</v>
      </c>
      <c r="R1118">
        <v>0</v>
      </c>
      <c r="S1118">
        <v>1</v>
      </c>
      <c r="T1118">
        <v>1</v>
      </c>
      <c r="U1118">
        <v>0</v>
      </c>
      <c r="V1118">
        <v>0</v>
      </c>
      <c r="W1118">
        <v>1</v>
      </c>
      <c r="X1118">
        <v>1</v>
      </c>
      <c r="Y1118">
        <v>1</v>
      </c>
      <c r="Z1118">
        <v>1</v>
      </c>
      <c r="AA1118" t="s">
        <v>2504</v>
      </c>
      <c r="AB1118" t="s">
        <v>928</v>
      </c>
      <c r="AC1118" t="s">
        <v>2504</v>
      </c>
      <c r="AD1118" t="e">
        <f>VLOOKUP(AB1118,#REF!,2,FALSE)</f>
        <v>#REF!</v>
      </c>
      <c r="AE1118" t="e">
        <f>RIGHT(#REF!,(FIND("Complex",#REF!,1)-8))</f>
        <v>#REF!</v>
      </c>
    </row>
    <row r="1119" spans="1:31" x14ac:dyDescent="0.25">
      <c r="A1119">
        <v>3791</v>
      </c>
      <c r="B1119" t="s">
        <v>54</v>
      </c>
      <c r="C1119">
        <v>31</v>
      </c>
      <c r="D1119">
        <v>1078</v>
      </c>
      <c r="E1119">
        <v>3791</v>
      </c>
      <c r="F1119">
        <v>7320601</v>
      </c>
      <c r="G1119">
        <v>7408800</v>
      </c>
      <c r="H1119">
        <f t="shared" si="34"/>
        <v>166.00002267573697</v>
      </c>
      <c r="I1119">
        <f t="shared" si="35"/>
        <v>168</v>
      </c>
      <c r="J1119" t="s">
        <v>22</v>
      </c>
      <c r="K1119">
        <v>7</v>
      </c>
      <c r="L1119" t="e">
        <f t="array" ref="L1119">VLOOKUP(J1119:$J$3871&amp;K1119:$K$3871,CHOOSE({1,2},#REF!&amp;#REF!,#REF!),2,0)</f>
        <v>#N/A</v>
      </c>
      <c r="M1119">
        <v>0</v>
      </c>
      <c r="N1119">
        <v>1</v>
      </c>
      <c r="O1119" t="s">
        <v>23</v>
      </c>
      <c r="P1119">
        <v>1</v>
      </c>
      <c r="Q1119">
        <v>1</v>
      </c>
      <c r="R1119">
        <v>0</v>
      </c>
      <c r="S1119">
        <v>1</v>
      </c>
      <c r="T1119">
        <v>0</v>
      </c>
      <c r="U1119">
        <v>0</v>
      </c>
      <c r="V1119">
        <v>0</v>
      </c>
      <c r="W1119">
        <v>1</v>
      </c>
      <c r="X1119">
        <v>1</v>
      </c>
      <c r="Y1119">
        <v>1</v>
      </c>
      <c r="Z1119">
        <v>1</v>
      </c>
      <c r="AA1119" t="s">
        <v>2529</v>
      </c>
      <c r="AB1119" t="s">
        <v>129</v>
      </c>
      <c r="AC1119" t="s">
        <v>2529</v>
      </c>
      <c r="AD1119" t="e">
        <f>VLOOKUP(AB1119,#REF!,2,FALSE)</f>
        <v>#REF!</v>
      </c>
      <c r="AE1119" t="e">
        <f>RIGHT(#REF!,(FIND("Complex",#REF!,1)-8))</f>
        <v>#REF!</v>
      </c>
    </row>
    <row r="1120" spans="1:31" x14ac:dyDescent="0.25">
      <c r="A1120">
        <v>2623</v>
      </c>
      <c r="B1120" t="s">
        <v>54</v>
      </c>
      <c r="C1120">
        <v>31</v>
      </c>
      <c r="D1120">
        <v>865</v>
      </c>
      <c r="E1120">
        <v>2623</v>
      </c>
      <c r="F1120">
        <v>6085801</v>
      </c>
      <c r="G1120">
        <v>6174000</v>
      </c>
      <c r="H1120">
        <f t="shared" si="34"/>
        <v>138.00002267573697</v>
      </c>
      <c r="I1120">
        <f t="shared" si="35"/>
        <v>140</v>
      </c>
      <c r="J1120" t="s">
        <v>22</v>
      </c>
      <c r="K1120">
        <v>7</v>
      </c>
      <c r="L1120" t="e">
        <f t="array" ref="L1120">VLOOKUP(J1120:$J$3871&amp;K1120:$K$3871,CHOOSE({1,2},#REF!&amp;#REF!,#REF!),2,0)</f>
        <v>#N/A</v>
      </c>
      <c r="M1120">
        <v>0</v>
      </c>
      <c r="N1120">
        <v>1</v>
      </c>
      <c r="O1120" t="s">
        <v>23</v>
      </c>
      <c r="P1120">
        <v>1</v>
      </c>
      <c r="Q1120">
        <v>1</v>
      </c>
      <c r="R1120">
        <v>0</v>
      </c>
      <c r="S1120">
        <v>1</v>
      </c>
      <c r="T1120">
        <v>0</v>
      </c>
      <c r="U1120">
        <v>0</v>
      </c>
      <c r="V1120">
        <v>0</v>
      </c>
      <c r="W1120">
        <v>1</v>
      </c>
      <c r="X1120">
        <v>1</v>
      </c>
      <c r="Y1120">
        <v>1</v>
      </c>
      <c r="Z1120">
        <v>1</v>
      </c>
      <c r="AA1120" t="s">
        <v>2550</v>
      </c>
      <c r="AB1120" t="s">
        <v>929</v>
      </c>
      <c r="AC1120" t="s">
        <v>2550</v>
      </c>
      <c r="AD1120" t="e">
        <f>VLOOKUP(AB1120,#REF!,2,FALSE)</f>
        <v>#REF!</v>
      </c>
      <c r="AE1120" t="e">
        <f>RIGHT(#REF!,(FIND("Complex",#REF!,1)-7))</f>
        <v>#REF!</v>
      </c>
    </row>
    <row r="1121" spans="1:31" x14ac:dyDescent="0.25">
      <c r="A1121">
        <v>417</v>
      </c>
      <c r="B1121" t="s">
        <v>54</v>
      </c>
      <c r="C1121">
        <v>31</v>
      </c>
      <c r="D1121">
        <v>132</v>
      </c>
      <c r="E1121">
        <v>417</v>
      </c>
      <c r="F1121">
        <v>5821201</v>
      </c>
      <c r="G1121">
        <v>5909400</v>
      </c>
      <c r="H1121">
        <f t="shared" si="34"/>
        <v>132.00002267573697</v>
      </c>
      <c r="I1121">
        <f t="shared" si="35"/>
        <v>134</v>
      </c>
      <c r="J1121" t="s">
        <v>22</v>
      </c>
      <c r="K1121">
        <v>7</v>
      </c>
      <c r="L1121" t="e">
        <f t="array" ref="L1121">VLOOKUP(J1121:$J$3871&amp;K1121:$K$3871,CHOOSE({1,2},#REF!&amp;#REF!,#REF!),2,0)</f>
        <v>#N/A</v>
      </c>
      <c r="M1121">
        <v>0</v>
      </c>
      <c r="N1121">
        <v>1</v>
      </c>
      <c r="O1121" t="s">
        <v>23</v>
      </c>
      <c r="P1121">
        <v>0</v>
      </c>
      <c r="Q1121">
        <v>1</v>
      </c>
      <c r="R1121">
        <v>0</v>
      </c>
      <c r="S1121">
        <v>1</v>
      </c>
      <c r="T1121">
        <v>1</v>
      </c>
      <c r="U1121">
        <v>0</v>
      </c>
      <c r="V1121">
        <v>0</v>
      </c>
      <c r="W1121">
        <v>1</v>
      </c>
      <c r="X1121">
        <v>1</v>
      </c>
      <c r="Y1121">
        <v>1</v>
      </c>
      <c r="Z1121">
        <v>1</v>
      </c>
      <c r="AA1121" t="s">
        <v>2560</v>
      </c>
      <c r="AB1121" t="s">
        <v>930</v>
      </c>
      <c r="AC1121" t="s">
        <v>2560</v>
      </c>
      <c r="AD1121" t="e">
        <f>VLOOKUP(AB1121,#REF!,2,FALSE)</f>
        <v>#REF!</v>
      </c>
      <c r="AE1121" t="e">
        <f>RIGHT(#REF!,(FIND("Complex",#REF!,1)-6))</f>
        <v>#REF!</v>
      </c>
    </row>
    <row r="1122" spans="1:31" x14ac:dyDescent="0.25">
      <c r="A1122">
        <v>3655</v>
      </c>
      <c r="B1122" t="s">
        <v>54</v>
      </c>
      <c r="C1122">
        <v>31</v>
      </c>
      <c r="D1122">
        <v>1052</v>
      </c>
      <c r="E1122">
        <v>3655</v>
      </c>
      <c r="F1122">
        <v>5733001</v>
      </c>
      <c r="G1122">
        <v>5821200</v>
      </c>
      <c r="H1122">
        <f t="shared" si="34"/>
        <v>130.00002267573697</v>
      </c>
      <c r="I1122">
        <f t="shared" si="35"/>
        <v>132</v>
      </c>
      <c r="J1122" t="s">
        <v>22</v>
      </c>
      <c r="K1122">
        <v>7</v>
      </c>
      <c r="L1122" t="e">
        <f t="array" ref="L1122">VLOOKUP(J1122:$J$3871&amp;K1122:$K$3871,CHOOSE({1,2},#REF!&amp;#REF!,#REF!),2,0)</f>
        <v>#N/A</v>
      </c>
      <c r="M1122">
        <v>0</v>
      </c>
      <c r="N1122">
        <v>1</v>
      </c>
      <c r="O1122" t="s">
        <v>23</v>
      </c>
      <c r="P1122">
        <v>0</v>
      </c>
      <c r="Q1122">
        <v>1</v>
      </c>
      <c r="R1122">
        <v>0</v>
      </c>
      <c r="S1122">
        <v>1</v>
      </c>
      <c r="T1122">
        <v>1</v>
      </c>
      <c r="U1122">
        <v>0</v>
      </c>
      <c r="V1122">
        <v>0</v>
      </c>
      <c r="W1122">
        <v>1</v>
      </c>
      <c r="X1122">
        <v>1</v>
      </c>
      <c r="Y1122">
        <v>1</v>
      </c>
      <c r="Z1122">
        <v>1</v>
      </c>
      <c r="AA1122" t="s">
        <v>2564</v>
      </c>
      <c r="AB1122" t="s">
        <v>931</v>
      </c>
      <c r="AC1122" t="s">
        <v>2564</v>
      </c>
      <c r="AD1122" t="e">
        <f>VLOOKUP(AB1122,#REF!,2,FALSE)</f>
        <v>#REF!</v>
      </c>
      <c r="AE1122" t="e">
        <f>RIGHT(#REF!,(FIND("Complex",#REF!,1)-8))</f>
        <v>#REF!</v>
      </c>
    </row>
    <row r="1123" spans="1:31" x14ac:dyDescent="0.25">
      <c r="A1123">
        <v>3286</v>
      </c>
      <c r="B1123" t="s">
        <v>54</v>
      </c>
      <c r="C1123">
        <v>31</v>
      </c>
      <c r="D1123">
        <v>992</v>
      </c>
      <c r="E1123">
        <v>3286</v>
      </c>
      <c r="F1123">
        <v>5644801</v>
      </c>
      <c r="G1123">
        <v>5733000</v>
      </c>
      <c r="H1123">
        <f t="shared" si="34"/>
        <v>128.00002267573697</v>
      </c>
      <c r="I1123">
        <f t="shared" si="35"/>
        <v>130</v>
      </c>
      <c r="J1123" t="s">
        <v>22</v>
      </c>
      <c r="K1123">
        <v>7</v>
      </c>
      <c r="L1123" t="e">
        <f t="array" ref="L1123">VLOOKUP(J1123:$J$3871&amp;K1123:$K$3871,CHOOSE({1,2},#REF!&amp;#REF!,#REF!),2,0)</f>
        <v>#N/A</v>
      </c>
      <c r="M1123">
        <v>0</v>
      </c>
      <c r="N1123">
        <v>1</v>
      </c>
      <c r="O1123" t="s">
        <v>23</v>
      </c>
      <c r="P1123">
        <v>0</v>
      </c>
      <c r="Q1123">
        <v>1</v>
      </c>
      <c r="R1123">
        <v>0</v>
      </c>
      <c r="S1123">
        <v>1</v>
      </c>
      <c r="T1123">
        <v>1</v>
      </c>
      <c r="U1123">
        <v>0</v>
      </c>
      <c r="V1123">
        <v>0</v>
      </c>
      <c r="W1123">
        <v>1</v>
      </c>
      <c r="X1123">
        <v>1</v>
      </c>
      <c r="Y1123">
        <v>1</v>
      </c>
      <c r="Z1123">
        <v>1</v>
      </c>
      <c r="AA1123" t="s">
        <v>2567</v>
      </c>
      <c r="AB1123" t="s">
        <v>932</v>
      </c>
      <c r="AC1123" t="s">
        <v>2567</v>
      </c>
      <c r="AD1123" t="e">
        <f>VLOOKUP(AB1123,#REF!,2,FALSE)</f>
        <v>#REF!</v>
      </c>
      <c r="AE1123" t="e">
        <f>RIGHT(#REF!,(FIND("Complex",#REF!,1)-7))</f>
        <v>#REF!</v>
      </c>
    </row>
    <row r="1124" spans="1:31" x14ac:dyDescent="0.25">
      <c r="A1124">
        <v>3744</v>
      </c>
      <c r="B1124" t="s">
        <v>54</v>
      </c>
      <c r="C1124">
        <v>31</v>
      </c>
      <c r="D1124">
        <v>1068</v>
      </c>
      <c r="E1124">
        <v>3744</v>
      </c>
      <c r="F1124">
        <v>5556601</v>
      </c>
      <c r="G1124">
        <v>5644800</v>
      </c>
      <c r="H1124">
        <f t="shared" si="34"/>
        <v>126.00002267573696</v>
      </c>
      <c r="I1124">
        <f t="shared" si="35"/>
        <v>128</v>
      </c>
      <c r="J1124" t="s">
        <v>22</v>
      </c>
      <c r="K1124">
        <v>7</v>
      </c>
      <c r="L1124" t="e">
        <f t="array" ref="L1124">VLOOKUP(J1124:$J$3871&amp;K1124:$K$3871,CHOOSE({1,2},#REF!&amp;#REF!,#REF!),2,0)</f>
        <v>#N/A</v>
      </c>
      <c r="M1124">
        <v>0</v>
      </c>
      <c r="N1124">
        <v>1</v>
      </c>
      <c r="O1124" t="s">
        <v>23</v>
      </c>
      <c r="P1124">
        <v>0</v>
      </c>
      <c r="Q1124">
        <v>1</v>
      </c>
      <c r="R1124">
        <v>0</v>
      </c>
      <c r="S1124">
        <v>1</v>
      </c>
      <c r="T1124">
        <v>1</v>
      </c>
      <c r="U1124">
        <v>0</v>
      </c>
      <c r="V1124">
        <v>0</v>
      </c>
      <c r="W1124">
        <v>1</v>
      </c>
      <c r="X1124">
        <v>1</v>
      </c>
      <c r="Y1124">
        <v>1</v>
      </c>
      <c r="Z1124">
        <v>1</v>
      </c>
      <c r="AA1124" t="s">
        <v>2570</v>
      </c>
      <c r="AB1124" t="s">
        <v>933</v>
      </c>
      <c r="AC1124" t="s">
        <v>2570</v>
      </c>
      <c r="AD1124" t="e">
        <f>VLOOKUP(AB1124,#REF!,2,FALSE)</f>
        <v>#REF!</v>
      </c>
      <c r="AE1124" t="e">
        <f>RIGHT(#REF!,(FIND("Complex",#REF!,1)-8))</f>
        <v>#REF!</v>
      </c>
    </row>
    <row r="1125" spans="1:31" x14ac:dyDescent="0.25">
      <c r="A1125">
        <v>1252</v>
      </c>
      <c r="B1125" t="s">
        <v>54</v>
      </c>
      <c r="C1125">
        <v>31</v>
      </c>
      <c r="D1125">
        <v>378</v>
      </c>
      <c r="E1125">
        <v>1252</v>
      </c>
      <c r="F1125">
        <v>5468401</v>
      </c>
      <c r="G1125">
        <v>5556600</v>
      </c>
      <c r="H1125">
        <f t="shared" si="34"/>
        <v>124.00002267573696</v>
      </c>
      <c r="I1125">
        <f t="shared" si="35"/>
        <v>126</v>
      </c>
      <c r="J1125" t="s">
        <v>22</v>
      </c>
      <c r="K1125">
        <v>7</v>
      </c>
      <c r="L1125" t="e">
        <f t="array" ref="L1125">VLOOKUP(J1125:$J$3871&amp;K1125:$K$3871,CHOOSE({1,2},#REF!&amp;#REF!,#REF!),2,0)</f>
        <v>#N/A</v>
      </c>
      <c r="M1125">
        <v>0</v>
      </c>
      <c r="N1125">
        <v>1</v>
      </c>
      <c r="O1125" t="s">
        <v>23</v>
      </c>
      <c r="P1125">
        <v>0</v>
      </c>
      <c r="Q1125">
        <v>1</v>
      </c>
      <c r="R1125">
        <v>0</v>
      </c>
      <c r="S1125">
        <v>1</v>
      </c>
      <c r="T1125">
        <v>1</v>
      </c>
      <c r="U1125">
        <v>0</v>
      </c>
      <c r="V1125">
        <v>0</v>
      </c>
      <c r="W1125">
        <v>1</v>
      </c>
      <c r="X1125">
        <v>1</v>
      </c>
      <c r="Y1125">
        <v>1</v>
      </c>
      <c r="Z1125">
        <v>1</v>
      </c>
      <c r="AA1125" t="s">
        <v>2573</v>
      </c>
      <c r="AB1125" t="s">
        <v>934</v>
      </c>
      <c r="AC1125" t="s">
        <v>2573</v>
      </c>
      <c r="AD1125" t="e">
        <f>VLOOKUP(AB1125,#REF!,2,FALSE)</f>
        <v>#REF!</v>
      </c>
      <c r="AE1125" t="e">
        <f>RIGHT(#REF!,(FIND("Complex",#REF!,1)-7))</f>
        <v>#REF!</v>
      </c>
    </row>
    <row r="1126" spans="1:31" x14ac:dyDescent="0.25">
      <c r="A1126">
        <v>3812</v>
      </c>
      <c r="B1126" t="s">
        <v>54</v>
      </c>
      <c r="C1126">
        <v>31</v>
      </c>
      <c r="D1126">
        <v>1082</v>
      </c>
      <c r="E1126">
        <v>3812</v>
      </c>
      <c r="F1126">
        <v>5380201</v>
      </c>
      <c r="G1126">
        <v>5468400</v>
      </c>
      <c r="H1126">
        <f t="shared" si="34"/>
        <v>122.00002267573696</v>
      </c>
      <c r="I1126">
        <f t="shared" si="35"/>
        <v>124</v>
      </c>
      <c r="J1126" t="s">
        <v>22</v>
      </c>
      <c r="K1126">
        <v>7</v>
      </c>
      <c r="L1126" t="e">
        <f t="array" ref="L1126">VLOOKUP(J1126:$J$3871&amp;K1126:$K$3871,CHOOSE({1,2},#REF!&amp;#REF!,#REF!),2,0)</f>
        <v>#N/A</v>
      </c>
      <c r="M1126">
        <v>0</v>
      </c>
      <c r="N1126">
        <v>1</v>
      </c>
      <c r="O1126" t="s">
        <v>23</v>
      </c>
      <c r="P1126">
        <v>0</v>
      </c>
      <c r="Q1126">
        <v>1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1</v>
      </c>
      <c r="X1126">
        <v>1</v>
      </c>
      <c r="Y1126">
        <v>1</v>
      </c>
      <c r="Z1126">
        <v>1</v>
      </c>
      <c r="AA1126" t="s">
        <v>2576</v>
      </c>
      <c r="AB1126" t="s">
        <v>935</v>
      </c>
      <c r="AC1126" t="s">
        <v>2576</v>
      </c>
      <c r="AD1126" t="e">
        <f>VLOOKUP(AB1126,#REF!,2,FALSE)</f>
        <v>#REF!</v>
      </c>
      <c r="AE1126" t="e">
        <f>RIGHT(#REF!,(FIND("Complex",#REF!,1)-8))</f>
        <v>#REF!</v>
      </c>
    </row>
    <row r="1127" spans="1:31" x14ac:dyDescent="0.25">
      <c r="A1127">
        <v>3134</v>
      </c>
      <c r="B1127" t="s">
        <v>54</v>
      </c>
      <c r="C1127">
        <v>31</v>
      </c>
      <c r="D1127">
        <v>977</v>
      </c>
      <c r="E1127">
        <v>3134</v>
      </c>
      <c r="F1127">
        <v>5203801</v>
      </c>
      <c r="G1127">
        <v>5292000</v>
      </c>
      <c r="H1127">
        <f t="shared" si="34"/>
        <v>118.00002267573696</v>
      </c>
      <c r="I1127">
        <f t="shared" si="35"/>
        <v>120</v>
      </c>
      <c r="J1127" t="s">
        <v>22</v>
      </c>
      <c r="K1127">
        <v>7</v>
      </c>
      <c r="L1127" t="e">
        <f t="array" ref="L1127">VLOOKUP(J1127:$J$3871&amp;K1127:$K$3871,CHOOSE({1,2},#REF!&amp;#REF!,#REF!),2,0)</f>
        <v>#N/A</v>
      </c>
      <c r="M1127">
        <v>0</v>
      </c>
      <c r="N1127">
        <v>1</v>
      </c>
      <c r="O1127" t="s">
        <v>23</v>
      </c>
      <c r="P1127">
        <v>0</v>
      </c>
      <c r="Q1127">
        <v>1</v>
      </c>
      <c r="R1127">
        <v>0</v>
      </c>
      <c r="S1127">
        <v>1</v>
      </c>
      <c r="T1127">
        <v>1</v>
      </c>
      <c r="U1127">
        <v>0</v>
      </c>
      <c r="V1127">
        <v>0</v>
      </c>
      <c r="W1127">
        <v>1</v>
      </c>
      <c r="X1127">
        <v>1</v>
      </c>
      <c r="Y1127">
        <v>1</v>
      </c>
      <c r="Z1127">
        <v>1</v>
      </c>
      <c r="AA1127" t="s">
        <v>2582</v>
      </c>
      <c r="AB1127" t="s">
        <v>936</v>
      </c>
      <c r="AC1127" t="s">
        <v>2582</v>
      </c>
      <c r="AD1127" t="e">
        <f>VLOOKUP(AB1127,#REF!,2,FALSE)</f>
        <v>#REF!</v>
      </c>
      <c r="AE1127" t="e">
        <f>RIGHT(#REF!,(FIND("Complex",#REF!,1)-7))</f>
        <v>#REF!</v>
      </c>
    </row>
    <row r="1128" spans="1:31" x14ac:dyDescent="0.25">
      <c r="A1128">
        <v>2351</v>
      </c>
      <c r="B1128" t="s">
        <v>54</v>
      </c>
      <c r="C1128">
        <v>31</v>
      </c>
      <c r="D1128">
        <v>745</v>
      </c>
      <c r="E1128">
        <v>2351</v>
      </c>
      <c r="F1128">
        <v>4851001</v>
      </c>
      <c r="G1128">
        <v>4939200</v>
      </c>
      <c r="H1128">
        <f t="shared" si="34"/>
        <v>110.00002267573696</v>
      </c>
      <c r="I1128">
        <f t="shared" si="35"/>
        <v>112</v>
      </c>
      <c r="J1128" t="s">
        <v>22</v>
      </c>
      <c r="K1128">
        <v>7</v>
      </c>
      <c r="L1128" t="e">
        <f t="array" ref="L1128">VLOOKUP(J1128:$J$3871&amp;K1128:$K$3871,CHOOSE({1,2},#REF!&amp;#REF!,#REF!),2,0)</f>
        <v>#N/A</v>
      </c>
      <c r="M1128">
        <v>0</v>
      </c>
      <c r="N1128">
        <v>1</v>
      </c>
      <c r="O1128" t="s">
        <v>23</v>
      </c>
      <c r="P1128">
        <v>0</v>
      </c>
      <c r="Q1128">
        <v>1</v>
      </c>
      <c r="R1128">
        <v>0</v>
      </c>
      <c r="S1128">
        <v>1</v>
      </c>
      <c r="T1128">
        <v>1</v>
      </c>
      <c r="U1128">
        <v>0</v>
      </c>
      <c r="V1128">
        <v>0</v>
      </c>
      <c r="W1128">
        <v>1</v>
      </c>
      <c r="X1128">
        <v>1</v>
      </c>
      <c r="Y1128">
        <v>1</v>
      </c>
      <c r="Z1128">
        <v>1</v>
      </c>
      <c r="AA1128" t="s">
        <v>2593</v>
      </c>
      <c r="AB1128" t="s">
        <v>937</v>
      </c>
      <c r="AC1128" t="s">
        <v>2593</v>
      </c>
      <c r="AD1128" t="e">
        <f>VLOOKUP(AB1128,#REF!,2,FALSE)</f>
        <v>#REF!</v>
      </c>
      <c r="AE1128" t="e">
        <f>RIGHT(#REF!,(FIND("Complex",#REF!,1)-7))</f>
        <v>#REF!</v>
      </c>
    </row>
    <row r="1129" spans="1:31" x14ac:dyDescent="0.25">
      <c r="A1129">
        <v>3137</v>
      </c>
      <c r="B1129" t="s">
        <v>54</v>
      </c>
      <c r="C1129">
        <v>31</v>
      </c>
      <c r="D1129">
        <v>978</v>
      </c>
      <c r="E1129">
        <v>3137</v>
      </c>
      <c r="F1129">
        <v>4586401</v>
      </c>
      <c r="G1129">
        <v>4674600</v>
      </c>
      <c r="H1129">
        <f t="shared" si="34"/>
        <v>104.00002267573696</v>
      </c>
      <c r="I1129">
        <f t="shared" si="35"/>
        <v>106</v>
      </c>
      <c r="J1129" t="s">
        <v>22</v>
      </c>
      <c r="K1129">
        <v>7</v>
      </c>
      <c r="L1129" t="e">
        <f t="array" ref="L1129">VLOOKUP(J1129:$J$3871&amp;K1129:$K$3871,CHOOSE({1,2},#REF!&amp;#REF!,#REF!),2,0)</f>
        <v>#N/A</v>
      </c>
      <c r="M1129">
        <v>0</v>
      </c>
      <c r="N1129">
        <v>1</v>
      </c>
      <c r="O1129" t="s">
        <v>23</v>
      </c>
      <c r="P1129">
        <v>0</v>
      </c>
      <c r="Q1129">
        <v>1</v>
      </c>
      <c r="R1129">
        <v>0</v>
      </c>
      <c r="S1129">
        <v>1</v>
      </c>
      <c r="T1129">
        <v>1</v>
      </c>
      <c r="U1129">
        <v>0</v>
      </c>
      <c r="V1129">
        <v>0</v>
      </c>
      <c r="W1129">
        <v>1</v>
      </c>
      <c r="X1129">
        <v>1</v>
      </c>
      <c r="Y1129">
        <v>1</v>
      </c>
      <c r="Z1129">
        <v>1</v>
      </c>
      <c r="AA1129" t="s">
        <v>2605</v>
      </c>
      <c r="AB1129" t="s">
        <v>938</v>
      </c>
      <c r="AC1129" t="s">
        <v>2605</v>
      </c>
      <c r="AD1129" t="e">
        <f>VLOOKUP(AB1129,#REF!,2,FALSE)</f>
        <v>#REF!</v>
      </c>
      <c r="AE1129" t="e">
        <f>RIGHT(#REF!,(FIND("Complex",#REF!,1)-7))</f>
        <v>#REF!</v>
      </c>
    </row>
    <row r="1130" spans="1:31" x14ac:dyDescent="0.25">
      <c r="A1130">
        <v>2882</v>
      </c>
      <c r="B1130" t="s">
        <v>63</v>
      </c>
      <c r="C1130">
        <v>32</v>
      </c>
      <c r="D1130">
        <v>945</v>
      </c>
      <c r="E1130">
        <v>2882</v>
      </c>
      <c r="F1130">
        <v>5733001</v>
      </c>
      <c r="G1130">
        <v>5821200</v>
      </c>
      <c r="H1130">
        <f t="shared" si="34"/>
        <v>130.00002267573697</v>
      </c>
      <c r="I1130">
        <f t="shared" si="35"/>
        <v>132</v>
      </c>
      <c r="J1130" t="s">
        <v>22</v>
      </c>
      <c r="K1130">
        <v>7</v>
      </c>
      <c r="L1130" t="e">
        <f t="array" ref="L1130">VLOOKUP(J1130:$J$3871&amp;K1130:$K$3871,CHOOSE({1,2},#REF!&amp;#REF!,#REF!),2,0)</f>
        <v>#N/A</v>
      </c>
      <c r="M1130">
        <v>0</v>
      </c>
      <c r="N1130">
        <v>1</v>
      </c>
      <c r="O1130" t="s">
        <v>23</v>
      </c>
      <c r="P1130">
        <v>1</v>
      </c>
      <c r="Q1130">
        <v>1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1</v>
      </c>
      <c r="X1130">
        <v>1</v>
      </c>
      <c r="Y1130">
        <v>1</v>
      </c>
      <c r="Z1130">
        <v>1</v>
      </c>
      <c r="AA1130" t="s">
        <v>2563</v>
      </c>
      <c r="AB1130" t="s">
        <v>292</v>
      </c>
      <c r="AC1130" t="s">
        <v>2563</v>
      </c>
      <c r="AD1130" t="e">
        <f>VLOOKUP(AB1130,#REF!,2,FALSE)</f>
        <v>#REF!</v>
      </c>
      <c r="AE1130" t="e">
        <f>RIGHT(#REF!,(FIND("Complex",#REF!,1)-7))</f>
        <v>#REF!</v>
      </c>
    </row>
    <row r="1131" spans="1:31" x14ac:dyDescent="0.25">
      <c r="A1131">
        <v>49</v>
      </c>
      <c r="B1131" t="s">
        <v>63</v>
      </c>
      <c r="C1131">
        <v>32</v>
      </c>
      <c r="D1131">
        <v>14</v>
      </c>
      <c r="E1131">
        <v>49</v>
      </c>
      <c r="F1131">
        <v>5644801</v>
      </c>
      <c r="G1131">
        <v>5733000</v>
      </c>
      <c r="H1131">
        <f t="shared" si="34"/>
        <v>128.00002267573697</v>
      </c>
      <c r="I1131">
        <f t="shared" si="35"/>
        <v>130</v>
      </c>
      <c r="J1131" t="s">
        <v>22</v>
      </c>
      <c r="K1131">
        <v>7</v>
      </c>
      <c r="L1131" t="e">
        <f t="array" ref="L1131">VLOOKUP(J1131:$J$3871&amp;K1131:$K$3871,CHOOSE({1,2},#REF!&amp;#REF!,#REF!),2,0)</f>
        <v>#N/A</v>
      </c>
      <c r="M1131">
        <v>0</v>
      </c>
      <c r="N1131">
        <v>1</v>
      </c>
      <c r="O1131" t="s">
        <v>23</v>
      </c>
      <c r="P1131">
        <v>1</v>
      </c>
      <c r="Q1131">
        <v>1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1</v>
      </c>
      <c r="X1131">
        <v>1</v>
      </c>
      <c r="Y1131">
        <v>1</v>
      </c>
      <c r="Z1131">
        <v>1</v>
      </c>
      <c r="AA1131" t="s">
        <v>2566</v>
      </c>
      <c r="AB1131" t="s">
        <v>994</v>
      </c>
      <c r="AC1131" t="s">
        <v>2566</v>
      </c>
      <c r="AD1131" t="e">
        <f>VLOOKUP(AB1131,#REF!,2,FALSE)</f>
        <v>#REF!</v>
      </c>
      <c r="AE1131" t="e">
        <f>RIGHT(#REF!,(FIND("Complex",#REF!,1)-5))</f>
        <v>#REF!</v>
      </c>
    </row>
    <row r="1132" spans="1:31" x14ac:dyDescent="0.25">
      <c r="A1132">
        <v>3610</v>
      </c>
      <c r="B1132" t="s">
        <v>27</v>
      </c>
      <c r="C1132">
        <v>52</v>
      </c>
      <c r="D1132">
        <v>1044</v>
      </c>
      <c r="E1132">
        <v>3610</v>
      </c>
      <c r="F1132">
        <v>16934401</v>
      </c>
      <c r="G1132">
        <v>17022600</v>
      </c>
      <c r="H1132">
        <f t="shared" si="34"/>
        <v>384.00002267573694</v>
      </c>
      <c r="I1132">
        <f t="shared" si="35"/>
        <v>386</v>
      </c>
      <c r="J1132" t="s">
        <v>22</v>
      </c>
      <c r="K1132">
        <v>7</v>
      </c>
      <c r="L1132" t="e">
        <f t="array" ref="L1132">VLOOKUP(J1132:$J$3871&amp;K1132:$K$3871,CHOOSE({1,2},#REF!&amp;#REF!,#REF!),2,0)</f>
        <v>#N/A</v>
      </c>
      <c r="M1132">
        <v>0</v>
      </c>
      <c r="N1132">
        <v>1</v>
      </c>
      <c r="O1132" t="s">
        <v>23</v>
      </c>
      <c r="P1132">
        <v>0</v>
      </c>
      <c r="Q1132">
        <v>1</v>
      </c>
      <c r="R1132">
        <v>0</v>
      </c>
      <c r="S1132">
        <v>0</v>
      </c>
      <c r="T1132">
        <v>1</v>
      </c>
      <c r="U1132">
        <v>0</v>
      </c>
      <c r="V1132">
        <v>1</v>
      </c>
      <c r="W1132">
        <v>1</v>
      </c>
      <c r="X1132">
        <v>1</v>
      </c>
      <c r="Y1132">
        <v>1</v>
      </c>
      <c r="Z1132">
        <v>1</v>
      </c>
      <c r="AA1132" t="s">
        <v>2330</v>
      </c>
      <c r="AB1132" t="s">
        <v>1355</v>
      </c>
      <c r="AC1132" t="s">
        <v>2330</v>
      </c>
      <c r="AD1132" t="e">
        <f>VLOOKUP(AB1132,#REF!,2,FALSE)</f>
        <v>#REF!</v>
      </c>
      <c r="AE1132" t="e">
        <f>RIGHT(#REF!,(FIND("Complex",#REF!,1)-8))</f>
        <v>#REF!</v>
      </c>
    </row>
    <row r="1133" spans="1:31" x14ac:dyDescent="0.25">
      <c r="A1133">
        <v>2879</v>
      </c>
      <c r="B1133" t="s">
        <v>27</v>
      </c>
      <c r="C1133">
        <v>52</v>
      </c>
      <c r="D1133">
        <v>944</v>
      </c>
      <c r="E1133">
        <v>2879</v>
      </c>
      <c r="F1133">
        <v>14288401</v>
      </c>
      <c r="G1133">
        <v>14376600</v>
      </c>
      <c r="H1133">
        <f t="shared" si="34"/>
        <v>324.00002267573694</v>
      </c>
      <c r="I1133">
        <f t="shared" si="35"/>
        <v>326</v>
      </c>
      <c r="J1133" t="s">
        <v>22</v>
      </c>
      <c r="K1133">
        <v>7</v>
      </c>
      <c r="L1133" t="e">
        <f t="array" ref="L1133">VLOOKUP(J1133:$J$3871&amp;K1133:$K$3871,CHOOSE({1,2},#REF!&amp;#REF!,#REF!),2,0)</f>
        <v>#N/A</v>
      </c>
      <c r="M1133">
        <v>0</v>
      </c>
      <c r="N1133">
        <v>1</v>
      </c>
      <c r="O1133" t="s">
        <v>23</v>
      </c>
      <c r="P1133">
        <v>0</v>
      </c>
      <c r="Q1133">
        <v>1</v>
      </c>
      <c r="R1133">
        <v>0</v>
      </c>
      <c r="S1133">
        <v>0</v>
      </c>
      <c r="T1133">
        <v>1</v>
      </c>
      <c r="U1133">
        <v>0</v>
      </c>
      <c r="V1133">
        <v>1</v>
      </c>
      <c r="W1133">
        <v>1</v>
      </c>
      <c r="X1133">
        <v>1</v>
      </c>
      <c r="Y1133">
        <v>1</v>
      </c>
      <c r="Z1133">
        <v>1</v>
      </c>
      <c r="AA1133" t="s">
        <v>2339</v>
      </c>
      <c r="AB1133" t="s">
        <v>1356</v>
      </c>
      <c r="AC1133" t="s">
        <v>2339</v>
      </c>
      <c r="AD1133" t="e">
        <f>VLOOKUP(AB1133,#REF!,2,FALSE)</f>
        <v>#REF!</v>
      </c>
      <c r="AE1133" t="e">
        <f>RIGHT(#REF!,(FIND("Complex",#REF!,1)-7))</f>
        <v>#REF!</v>
      </c>
    </row>
    <row r="1134" spans="1:31" x14ac:dyDescent="0.25">
      <c r="A1134">
        <v>503</v>
      </c>
      <c r="B1134" t="s">
        <v>27</v>
      </c>
      <c r="C1134">
        <v>52</v>
      </c>
      <c r="D1134">
        <v>166</v>
      </c>
      <c r="E1134">
        <v>503</v>
      </c>
      <c r="F1134">
        <v>13759201</v>
      </c>
      <c r="G1134">
        <v>13847400</v>
      </c>
      <c r="H1134">
        <f t="shared" si="34"/>
        <v>312.00002267573694</v>
      </c>
      <c r="I1134">
        <f t="shared" si="35"/>
        <v>314</v>
      </c>
      <c r="J1134" t="s">
        <v>22</v>
      </c>
      <c r="K1134">
        <v>7</v>
      </c>
      <c r="L1134" t="e">
        <f t="array" ref="L1134">VLOOKUP(J1134:$J$3871&amp;K1134:$K$3871,CHOOSE({1,2},#REF!&amp;#REF!,#REF!),2,0)</f>
        <v>#N/A</v>
      </c>
      <c r="M1134">
        <v>0</v>
      </c>
      <c r="N1134">
        <v>1</v>
      </c>
      <c r="O1134" t="s">
        <v>23</v>
      </c>
      <c r="P1134">
        <v>0</v>
      </c>
      <c r="Q1134">
        <v>1</v>
      </c>
      <c r="R1134">
        <v>0</v>
      </c>
      <c r="S1134">
        <v>0</v>
      </c>
      <c r="T1134">
        <v>1</v>
      </c>
      <c r="U1134">
        <v>0</v>
      </c>
      <c r="V1134">
        <v>1</v>
      </c>
      <c r="W1134">
        <v>1</v>
      </c>
      <c r="X1134">
        <v>1</v>
      </c>
      <c r="Y1134">
        <v>1</v>
      </c>
      <c r="Z1134">
        <v>1</v>
      </c>
      <c r="AA1134" t="s">
        <v>2343</v>
      </c>
      <c r="AB1134" t="s">
        <v>103</v>
      </c>
      <c r="AC1134" t="s">
        <v>2343</v>
      </c>
      <c r="AD1134" t="e">
        <f>VLOOKUP(AB1134,#REF!,2,FALSE)</f>
        <v>#REF!</v>
      </c>
      <c r="AE1134" t="e">
        <f>RIGHT(#REF!,(FIND("Complex",#REF!,1)-6))</f>
        <v>#REF!</v>
      </c>
    </row>
    <row r="1135" spans="1:31" x14ac:dyDescent="0.25">
      <c r="A1135">
        <v>3715</v>
      </c>
      <c r="B1135" t="s">
        <v>83</v>
      </c>
      <c r="C1135">
        <v>97</v>
      </c>
      <c r="D1135">
        <v>1061</v>
      </c>
      <c r="E1135">
        <v>3715</v>
      </c>
      <c r="F1135">
        <v>11289601</v>
      </c>
      <c r="G1135">
        <v>11377800</v>
      </c>
      <c r="H1135">
        <f t="shared" si="34"/>
        <v>256.00002267573694</v>
      </c>
      <c r="I1135">
        <f t="shared" si="35"/>
        <v>258</v>
      </c>
      <c r="J1135" t="s">
        <v>22</v>
      </c>
      <c r="K1135">
        <v>7</v>
      </c>
      <c r="L1135" t="e">
        <f t="array" ref="L1135">VLOOKUP(J1135:$J$3871&amp;K1135:$K$3871,CHOOSE({1,2},#REF!&amp;#REF!,#REF!),2,0)</f>
        <v>#N/A</v>
      </c>
      <c r="M1135">
        <v>0</v>
      </c>
      <c r="N1135">
        <v>1</v>
      </c>
      <c r="O1135" t="s">
        <v>23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0</v>
      </c>
      <c r="V1135">
        <v>0</v>
      </c>
      <c r="W1135">
        <v>1</v>
      </c>
      <c r="X1135">
        <v>1</v>
      </c>
      <c r="Y1135">
        <v>0</v>
      </c>
      <c r="Z1135">
        <v>0</v>
      </c>
      <c r="AA1135" t="s">
        <v>2385</v>
      </c>
      <c r="AB1135" t="s">
        <v>1861</v>
      </c>
      <c r="AC1135" t="s">
        <v>2385</v>
      </c>
      <c r="AD1135" t="e">
        <f>VLOOKUP(AB1135,#REF!,2,FALSE)</f>
        <v>#REF!</v>
      </c>
      <c r="AE1135" t="e">
        <f>RIGHT(#REF!,(FIND("Complex",#REF!,1)-8))</f>
        <v>#REF!</v>
      </c>
    </row>
    <row r="1136" spans="1:31" x14ac:dyDescent="0.25">
      <c r="A1136">
        <v>2286</v>
      </c>
      <c r="B1136" t="s">
        <v>83</v>
      </c>
      <c r="C1136">
        <v>97</v>
      </c>
      <c r="D1136">
        <v>716</v>
      </c>
      <c r="E1136">
        <v>2286</v>
      </c>
      <c r="F1136">
        <v>11201401</v>
      </c>
      <c r="G1136">
        <v>11289600</v>
      </c>
      <c r="H1136">
        <f t="shared" si="34"/>
        <v>254.00002267573697</v>
      </c>
      <c r="I1136">
        <f t="shared" si="35"/>
        <v>256</v>
      </c>
      <c r="J1136" t="s">
        <v>22</v>
      </c>
      <c r="K1136">
        <v>7</v>
      </c>
      <c r="L1136" t="e">
        <f t="array" ref="L1136">VLOOKUP(J1136:$J$3871&amp;K1136:$K$3871,CHOOSE({1,2},#REF!&amp;#REF!,#REF!),2,0)</f>
        <v>#N/A</v>
      </c>
      <c r="M1136">
        <v>0</v>
      </c>
      <c r="N1136">
        <v>1</v>
      </c>
      <c r="O1136" t="s">
        <v>23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0</v>
      </c>
      <c r="V1136">
        <v>0</v>
      </c>
      <c r="W1136">
        <v>1</v>
      </c>
      <c r="X1136">
        <v>1</v>
      </c>
      <c r="Y1136">
        <v>0</v>
      </c>
      <c r="Z1136">
        <v>0</v>
      </c>
      <c r="AA1136" t="s">
        <v>2388</v>
      </c>
      <c r="AB1136" t="s">
        <v>1862</v>
      </c>
      <c r="AC1136" t="s">
        <v>2388</v>
      </c>
      <c r="AD1136" t="e">
        <f>VLOOKUP(AB1136,#REF!,2,FALSE)</f>
        <v>#REF!</v>
      </c>
      <c r="AE1136" t="e">
        <f>RIGHT(#REF!,(FIND("Complex",#REF!,1)-7))</f>
        <v>#REF!</v>
      </c>
    </row>
    <row r="1137" spans="1:31" x14ac:dyDescent="0.25">
      <c r="A1137">
        <v>1949</v>
      </c>
      <c r="B1137" t="s">
        <v>74</v>
      </c>
      <c r="C1137">
        <v>101</v>
      </c>
      <c r="D1137">
        <v>591</v>
      </c>
      <c r="E1137">
        <v>1949</v>
      </c>
      <c r="F1137">
        <v>8290801</v>
      </c>
      <c r="G1137">
        <v>8379000</v>
      </c>
      <c r="H1137">
        <f t="shared" si="34"/>
        <v>188.00002267573697</v>
      </c>
      <c r="I1137">
        <f t="shared" si="35"/>
        <v>190</v>
      </c>
      <c r="J1137" t="s">
        <v>22</v>
      </c>
      <c r="K1137">
        <v>7</v>
      </c>
      <c r="L1137" t="e">
        <f t="array" ref="L1137">VLOOKUP(J1137:$J$3871&amp;K1137:$K$3871,CHOOSE({1,2},#REF!&amp;#REF!,#REF!),2,0)</f>
        <v>#N/A</v>
      </c>
      <c r="M1137">
        <v>0</v>
      </c>
      <c r="N1137">
        <v>1</v>
      </c>
      <c r="O1137" t="s">
        <v>23</v>
      </c>
      <c r="P1137">
        <v>1</v>
      </c>
      <c r="Q1137">
        <v>1</v>
      </c>
      <c r="R1137">
        <v>0</v>
      </c>
      <c r="S1137">
        <v>1</v>
      </c>
      <c r="T1137">
        <v>1</v>
      </c>
      <c r="U1137">
        <v>0</v>
      </c>
      <c r="V1137">
        <v>0</v>
      </c>
      <c r="W1137">
        <v>1</v>
      </c>
      <c r="X1137">
        <v>1</v>
      </c>
      <c r="Y1137">
        <v>1</v>
      </c>
      <c r="Z1137">
        <v>0</v>
      </c>
      <c r="AA1137" t="s">
        <v>2502</v>
      </c>
      <c r="AB1137" t="s">
        <v>1929</v>
      </c>
      <c r="AC1137" t="s">
        <v>2502</v>
      </c>
      <c r="AD1137" t="e">
        <f>VLOOKUP(AB1137,#REF!,2,FALSE)</f>
        <v>#REF!</v>
      </c>
      <c r="AE1137" t="e">
        <f>RIGHT(#REF!,(FIND("Complex",#REF!,1)-6))</f>
        <v>#REF!</v>
      </c>
    </row>
    <row r="1138" spans="1:31" x14ac:dyDescent="0.25">
      <c r="A1138">
        <v>3263</v>
      </c>
      <c r="B1138" t="s">
        <v>72</v>
      </c>
      <c r="C1138">
        <v>104</v>
      </c>
      <c r="D1138">
        <v>990</v>
      </c>
      <c r="E1138">
        <v>3263</v>
      </c>
      <c r="F1138">
        <v>14994001</v>
      </c>
      <c r="G1138">
        <v>15082200</v>
      </c>
      <c r="H1138">
        <f t="shared" si="34"/>
        <v>340.00002267573694</v>
      </c>
      <c r="I1138">
        <f t="shared" si="35"/>
        <v>342</v>
      </c>
      <c r="J1138" t="s">
        <v>22</v>
      </c>
      <c r="K1138">
        <v>7</v>
      </c>
      <c r="L1138" t="e">
        <f t="array" ref="L1138">VLOOKUP(J1138:$J$3871&amp;K1138:$K$3871,CHOOSE({1,2},#REF!&amp;#REF!,#REF!),2,0)</f>
        <v>#N/A</v>
      </c>
      <c r="M1138">
        <v>0</v>
      </c>
      <c r="N1138">
        <v>1</v>
      </c>
      <c r="O1138" t="s">
        <v>23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0</v>
      </c>
      <c r="V1138">
        <v>0</v>
      </c>
      <c r="W1138">
        <v>1</v>
      </c>
      <c r="X1138">
        <v>1</v>
      </c>
      <c r="Y1138">
        <v>0</v>
      </c>
      <c r="Z1138">
        <v>0</v>
      </c>
      <c r="AA1138" t="s">
        <v>2337</v>
      </c>
      <c r="AB1138" t="s">
        <v>2082</v>
      </c>
      <c r="AC1138" t="s">
        <v>2337</v>
      </c>
      <c r="AD1138" t="e">
        <f>VLOOKUP(AB1138,#REF!,2,FALSE)</f>
        <v>#REF!</v>
      </c>
      <c r="AE1138" t="e">
        <f>RIGHT(#REF!,(FIND("Complex",#REF!,1)-6))</f>
        <v>#REF!</v>
      </c>
    </row>
    <row r="1139" spans="1:31" x14ac:dyDescent="0.25">
      <c r="A1139">
        <v>2928</v>
      </c>
      <c r="B1139" t="s">
        <v>72</v>
      </c>
      <c r="C1139">
        <v>104</v>
      </c>
      <c r="D1139">
        <v>952</v>
      </c>
      <c r="E1139">
        <v>2928</v>
      </c>
      <c r="F1139">
        <v>14729401</v>
      </c>
      <c r="G1139">
        <v>14817600</v>
      </c>
      <c r="H1139">
        <f t="shared" si="34"/>
        <v>334.00002267573694</v>
      </c>
      <c r="I1139">
        <f t="shared" si="35"/>
        <v>336</v>
      </c>
      <c r="J1139" t="s">
        <v>22</v>
      </c>
      <c r="K1139">
        <v>7</v>
      </c>
      <c r="L1139" t="e">
        <f t="array" ref="L1139">VLOOKUP(J1139:$J$3871&amp;K1139:$K$3871,CHOOSE({1,2},#REF!&amp;#REF!,#REF!),2,0)</f>
        <v>#N/A</v>
      </c>
      <c r="M1139">
        <v>0</v>
      </c>
      <c r="N1139">
        <v>1</v>
      </c>
      <c r="O1139" t="s">
        <v>23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0</v>
      </c>
      <c r="V1139">
        <v>0</v>
      </c>
      <c r="W1139">
        <v>1</v>
      </c>
      <c r="X1139">
        <v>1</v>
      </c>
      <c r="Y1139">
        <v>0</v>
      </c>
      <c r="Z1139">
        <v>0</v>
      </c>
      <c r="AA1139" t="s">
        <v>2338</v>
      </c>
      <c r="AB1139" t="s">
        <v>2083</v>
      </c>
      <c r="AC1139" t="s">
        <v>2338</v>
      </c>
      <c r="AD1139" t="e">
        <f>VLOOKUP(AB1139,#REF!,2,FALSE)</f>
        <v>#REF!</v>
      </c>
      <c r="AE1139" t="e">
        <f>RIGHT(#REF!,(FIND("Complex",#REF!,1)-6))</f>
        <v>#REF!</v>
      </c>
    </row>
    <row r="1140" spans="1:31" x14ac:dyDescent="0.25">
      <c r="A1140">
        <v>2147</v>
      </c>
      <c r="B1140" t="s">
        <v>72</v>
      </c>
      <c r="C1140">
        <v>104</v>
      </c>
      <c r="D1140">
        <v>656</v>
      </c>
      <c r="E1140">
        <v>2147</v>
      </c>
      <c r="F1140">
        <v>14023801</v>
      </c>
      <c r="G1140">
        <v>14112000</v>
      </c>
      <c r="H1140">
        <f t="shared" si="34"/>
        <v>318.00002267573694</v>
      </c>
      <c r="I1140">
        <f t="shared" si="35"/>
        <v>320</v>
      </c>
      <c r="J1140" t="s">
        <v>22</v>
      </c>
      <c r="K1140">
        <v>7</v>
      </c>
      <c r="L1140" t="e">
        <f t="array" ref="L1140">VLOOKUP(J1140:$J$3871&amp;K1140:$K$3871,CHOOSE({1,2},#REF!&amp;#REF!,#REF!),2,0)</f>
        <v>#N/A</v>
      </c>
      <c r="M1140">
        <v>0</v>
      </c>
      <c r="N1140">
        <v>1</v>
      </c>
      <c r="O1140" t="s">
        <v>23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0</v>
      </c>
      <c r="V1140">
        <v>0</v>
      </c>
      <c r="W1140">
        <v>1</v>
      </c>
      <c r="X1140">
        <v>1</v>
      </c>
      <c r="Y1140">
        <v>0</v>
      </c>
      <c r="Z1140">
        <v>0</v>
      </c>
      <c r="AA1140" t="s">
        <v>2342</v>
      </c>
      <c r="AB1140" t="s">
        <v>2084</v>
      </c>
      <c r="AC1140" t="s">
        <v>2342</v>
      </c>
      <c r="AD1140" t="e">
        <f>VLOOKUP(AB1140,#REF!,2,FALSE)</f>
        <v>#REF!</v>
      </c>
      <c r="AE1140" t="e">
        <f>RIGHT(#REF!,(FIND("Complex",#REF!,1)-6))</f>
        <v>#REF!</v>
      </c>
    </row>
    <row r="1141" spans="1:31" x14ac:dyDescent="0.25">
      <c r="A1141">
        <v>3841</v>
      </c>
      <c r="B1141" t="s">
        <v>72</v>
      </c>
      <c r="C1141">
        <v>104</v>
      </c>
      <c r="D1141">
        <v>1089</v>
      </c>
      <c r="E1141">
        <v>3841</v>
      </c>
      <c r="F1141">
        <v>13406401</v>
      </c>
      <c r="G1141">
        <v>13494600</v>
      </c>
      <c r="H1141">
        <f t="shared" si="34"/>
        <v>304.00002267573694</v>
      </c>
      <c r="I1141">
        <f t="shared" si="35"/>
        <v>306</v>
      </c>
      <c r="J1141" t="s">
        <v>22</v>
      </c>
      <c r="K1141">
        <v>7</v>
      </c>
      <c r="L1141" t="e">
        <f t="array" ref="L1141">VLOOKUP(J1141:$J$3871&amp;K1141:$K$3871,CHOOSE({1,2},#REF!&amp;#REF!,#REF!),2,0)</f>
        <v>#N/A</v>
      </c>
      <c r="M1141">
        <v>0</v>
      </c>
      <c r="N1141">
        <v>1</v>
      </c>
      <c r="O1141" t="s">
        <v>23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0</v>
      </c>
      <c r="V1141">
        <v>0</v>
      </c>
      <c r="W1141">
        <v>1</v>
      </c>
      <c r="X1141">
        <v>1</v>
      </c>
      <c r="Y1141">
        <v>0</v>
      </c>
      <c r="Z1141">
        <v>0</v>
      </c>
      <c r="AA1141" t="s">
        <v>2347</v>
      </c>
      <c r="AB1141" t="s">
        <v>2085</v>
      </c>
      <c r="AC1141" t="s">
        <v>2347</v>
      </c>
      <c r="AD1141" t="e">
        <f>VLOOKUP(AB1141,#REF!,2,FALSE)</f>
        <v>#REF!</v>
      </c>
      <c r="AE1141" t="e">
        <f>RIGHT(#REF!,(FIND("Complex",#REF!,1)-7))</f>
        <v>#REF!</v>
      </c>
    </row>
    <row r="1142" spans="1:31" x14ac:dyDescent="0.25">
      <c r="A1142">
        <v>3095</v>
      </c>
      <c r="B1142" t="s">
        <v>72</v>
      </c>
      <c r="C1142">
        <v>104</v>
      </c>
      <c r="D1142">
        <v>972</v>
      </c>
      <c r="E1142">
        <v>3095</v>
      </c>
      <c r="F1142">
        <v>12877201</v>
      </c>
      <c r="G1142">
        <v>12965400</v>
      </c>
      <c r="H1142">
        <f t="shared" si="34"/>
        <v>292.00002267573694</v>
      </c>
      <c r="I1142">
        <f t="shared" si="35"/>
        <v>294</v>
      </c>
      <c r="J1142" t="s">
        <v>22</v>
      </c>
      <c r="K1142">
        <v>7</v>
      </c>
      <c r="L1142" t="e">
        <f t="array" ref="L1142">VLOOKUP(J1142:$J$3871&amp;K1142:$K$3871,CHOOSE({1,2},#REF!&amp;#REF!,#REF!),2,0)</f>
        <v>#N/A</v>
      </c>
      <c r="M1142">
        <v>0</v>
      </c>
      <c r="N1142">
        <v>1</v>
      </c>
      <c r="O1142" t="s">
        <v>23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0</v>
      </c>
      <c r="V1142">
        <v>0</v>
      </c>
      <c r="W1142">
        <v>1</v>
      </c>
      <c r="X1142">
        <v>1</v>
      </c>
      <c r="Y1142">
        <v>0</v>
      </c>
      <c r="Z1142">
        <v>0</v>
      </c>
      <c r="AA1142" t="s">
        <v>2350</v>
      </c>
      <c r="AB1142" t="s">
        <v>2086</v>
      </c>
      <c r="AC1142" t="s">
        <v>2350</v>
      </c>
      <c r="AD1142" t="e">
        <f>VLOOKUP(AB1142,#REF!,2,FALSE)</f>
        <v>#REF!</v>
      </c>
      <c r="AE1142" t="e">
        <f>RIGHT(#REF!,(FIND("Complex",#REF!,1)-6))</f>
        <v>#REF!</v>
      </c>
    </row>
    <row r="1143" spans="1:31" x14ac:dyDescent="0.25">
      <c r="A1143">
        <v>2988</v>
      </c>
      <c r="B1143" t="s">
        <v>72</v>
      </c>
      <c r="C1143">
        <v>104</v>
      </c>
      <c r="D1143">
        <v>958</v>
      </c>
      <c r="E1143">
        <v>2988</v>
      </c>
      <c r="F1143">
        <v>12436201</v>
      </c>
      <c r="G1143">
        <v>12524400</v>
      </c>
      <c r="H1143">
        <f t="shared" si="34"/>
        <v>282.00002267573694</v>
      </c>
      <c r="I1143">
        <f t="shared" si="35"/>
        <v>284</v>
      </c>
      <c r="J1143" t="s">
        <v>22</v>
      </c>
      <c r="K1143">
        <v>7</v>
      </c>
      <c r="L1143" t="e">
        <f t="array" ref="L1143">VLOOKUP(J1143:$J$3871&amp;K1143:$K$3871,CHOOSE({1,2},#REF!&amp;#REF!,#REF!),2,0)</f>
        <v>#N/A</v>
      </c>
      <c r="M1143">
        <v>0</v>
      </c>
      <c r="N1143">
        <v>1</v>
      </c>
      <c r="O1143" t="s">
        <v>23</v>
      </c>
      <c r="P1143">
        <v>0</v>
      </c>
      <c r="Q1143">
        <v>1</v>
      </c>
      <c r="R1143">
        <v>1</v>
      </c>
      <c r="S1143">
        <v>1</v>
      </c>
      <c r="T1143">
        <v>1</v>
      </c>
      <c r="U1143">
        <v>0</v>
      </c>
      <c r="V1143">
        <v>0</v>
      </c>
      <c r="W1143">
        <v>1</v>
      </c>
      <c r="X1143">
        <v>1</v>
      </c>
      <c r="Y1143">
        <v>1</v>
      </c>
      <c r="Z1143">
        <v>0</v>
      </c>
      <c r="AA1143" t="s">
        <v>2353</v>
      </c>
      <c r="AB1143" t="s">
        <v>2087</v>
      </c>
      <c r="AC1143" t="s">
        <v>2353</v>
      </c>
      <c r="AD1143" t="e">
        <f>VLOOKUP(AB1143,#REF!,2,FALSE)</f>
        <v>#REF!</v>
      </c>
      <c r="AE1143" t="e">
        <f>RIGHT(#REF!,(FIND("Complex",#REF!,1)-6))</f>
        <v>#REF!</v>
      </c>
    </row>
    <row r="1144" spans="1:31" x14ac:dyDescent="0.25">
      <c r="A1144">
        <v>2202</v>
      </c>
      <c r="B1144" t="s">
        <v>86</v>
      </c>
      <c r="C1144">
        <v>1</v>
      </c>
      <c r="D1144">
        <v>680</v>
      </c>
      <c r="E1144">
        <v>2202</v>
      </c>
      <c r="F1144">
        <v>4145401</v>
      </c>
      <c r="G1144">
        <v>4233600</v>
      </c>
      <c r="H1144">
        <f t="shared" si="34"/>
        <v>94.000022675736957</v>
      </c>
      <c r="I1144">
        <f t="shared" si="35"/>
        <v>96</v>
      </c>
      <c r="J1144" t="s">
        <v>22</v>
      </c>
      <c r="K1144">
        <v>6</v>
      </c>
      <c r="L1144" t="e">
        <f t="array" ref="L1144">VLOOKUP(J1144:$J$3871&amp;K1144:$K$3871,CHOOSE({1,2},#REF!&amp;#REF!,#REF!),2,0)</f>
        <v>#N/A</v>
      </c>
      <c r="M1144">
        <v>-15</v>
      </c>
      <c r="N1144">
        <v>0</v>
      </c>
      <c r="O1144" t="s">
        <v>7</v>
      </c>
      <c r="P1144">
        <v>1</v>
      </c>
      <c r="Q1144">
        <v>1</v>
      </c>
      <c r="R1144">
        <v>0</v>
      </c>
      <c r="S1144">
        <v>1</v>
      </c>
      <c r="T1144">
        <v>1</v>
      </c>
      <c r="U1144">
        <v>0</v>
      </c>
      <c r="V1144">
        <v>0</v>
      </c>
      <c r="W1144">
        <v>1</v>
      </c>
      <c r="X1144">
        <v>1</v>
      </c>
      <c r="Y1144">
        <v>0</v>
      </c>
      <c r="Z1144">
        <v>0</v>
      </c>
      <c r="AA1144" t="s">
        <v>2642</v>
      </c>
      <c r="AB1144" t="s">
        <v>314</v>
      </c>
      <c r="AC1144" t="s">
        <v>2642</v>
      </c>
      <c r="AD1144" t="e">
        <f>VLOOKUP(AB1144,#REF!,2,FALSE)</f>
        <v>#REF!</v>
      </c>
      <c r="AE1144" t="e">
        <f>RIGHT(#REF!,(FIND("Complex",#REF!,1)-11))</f>
        <v>#REF!</v>
      </c>
    </row>
    <row r="1145" spans="1:31" x14ac:dyDescent="0.25">
      <c r="A1145">
        <v>3717</v>
      </c>
      <c r="B1145" t="s">
        <v>86</v>
      </c>
      <c r="C1145">
        <v>1</v>
      </c>
      <c r="D1145">
        <v>1062</v>
      </c>
      <c r="E1145">
        <v>3717</v>
      </c>
      <c r="F1145">
        <v>3969001</v>
      </c>
      <c r="G1145">
        <v>4057200</v>
      </c>
      <c r="H1145">
        <f t="shared" si="34"/>
        <v>90.000022675736957</v>
      </c>
      <c r="I1145">
        <f t="shared" si="35"/>
        <v>92</v>
      </c>
      <c r="J1145" t="s">
        <v>22</v>
      </c>
      <c r="K1145">
        <v>6</v>
      </c>
      <c r="L1145" t="e">
        <f t="array" ref="L1145">VLOOKUP(J1145:$J$3871&amp;K1145:$K$3871,CHOOSE({1,2},#REF!&amp;#REF!,#REF!),2,0)</f>
        <v>#N/A</v>
      </c>
      <c r="M1145">
        <v>-15</v>
      </c>
      <c r="N1145">
        <v>0</v>
      </c>
      <c r="O1145" t="s">
        <v>7</v>
      </c>
      <c r="P1145">
        <v>1</v>
      </c>
      <c r="Q1145">
        <v>1</v>
      </c>
      <c r="R1145">
        <v>0</v>
      </c>
      <c r="S1145">
        <v>1</v>
      </c>
      <c r="T1145">
        <v>1</v>
      </c>
      <c r="U1145">
        <v>0</v>
      </c>
      <c r="V1145">
        <v>0</v>
      </c>
      <c r="W1145">
        <v>1</v>
      </c>
      <c r="X1145">
        <v>1</v>
      </c>
      <c r="Y1145">
        <v>0</v>
      </c>
      <c r="Z1145">
        <v>0</v>
      </c>
      <c r="AA1145" t="s">
        <v>2659</v>
      </c>
      <c r="AB1145" t="s">
        <v>315</v>
      </c>
      <c r="AC1145" t="s">
        <v>2659</v>
      </c>
      <c r="AD1145" t="e">
        <f>VLOOKUP(AB1145,#REF!,2,FALSE)</f>
        <v>#REF!</v>
      </c>
      <c r="AE1145" t="e">
        <f>RIGHT(#REF!,(FIND("Complex",#REF!,1)-12))</f>
        <v>#REF!</v>
      </c>
    </row>
    <row r="1146" spans="1:31" x14ac:dyDescent="0.25">
      <c r="A1146">
        <v>3563</v>
      </c>
      <c r="B1146" t="s">
        <v>86</v>
      </c>
      <c r="C1146">
        <v>1</v>
      </c>
      <c r="D1146">
        <v>1032</v>
      </c>
      <c r="E1146">
        <v>3563</v>
      </c>
      <c r="F1146">
        <v>3880801</v>
      </c>
      <c r="G1146">
        <v>3969000</v>
      </c>
      <c r="H1146">
        <f t="shared" si="34"/>
        <v>88.000022675736957</v>
      </c>
      <c r="I1146">
        <f t="shared" si="35"/>
        <v>90</v>
      </c>
      <c r="J1146" t="s">
        <v>22</v>
      </c>
      <c r="K1146">
        <v>6</v>
      </c>
      <c r="L1146" t="e">
        <f t="array" ref="L1146">VLOOKUP(J1146:$J$3871&amp;K1146:$K$3871,CHOOSE({1,2},#REF!&amp;#REF!,#REF!),2,0)</f>
        <v>#N/A</v>
      </c>
      <c r="M1146">
        <v>-15</v>
      </c>
      <c r="N1146">
        <v>0</v>
      </c>
      <c r="O1146" t="s">
        <v>7</v>
      </c>
      <c r="P1146">
        <v>1</v>
      </c>
      <c r="Q1146">
        <v>1</v>
      </c>
      <c r="R1146">
        <v>0</v>
      </c>
      <c r="S1146">
        <v>1</v>
      </c>
      <c r="T1146">
        <v>1</v>
      </c>
      <c r="U1146">
        <v>0</v>
      </c>
      <c r="V1146">
        <v>0</v>
      </c>
      <c r="W1146">
        <v>1</v>
      </c>
      <c r="X1146">
        <v>1</v>
      </c>
      <c r="Y1146">
        <v>0</v>
      </c>
      <c r="Z1146">
        <v>0</v>
      </c>
      <c r="AA1146" t="s">
        <v>2667</v>
      </c>
      <c r="AB1146" t="s">
        <v>316</v>
      </c>
      <c r="AC1146" t="s">
        <v>2667</v>
      </c>
      <c r="AD1146" t="e">
        <f>VLOOKUP(AB1146,#REF!,2,FALSE)</f>
        <v>#REF!</v>
      </c>
      <c r="AE1146" t="e">
        <f>RIGHT(#REF!,(FIND("Complex",#REF!,1)-12))</f>
        <v>#REF!</v>
      </c>
    </row>
    <row r="1147" spans="1:31" x14ac:dyDescent="0.25">
      <c r="A1147">
        <v>989</v>
      </c>
      <c r="B1147" t="s">
        <v>86</v>
      </c>
      <c r="C1147">
        <v>1</v>
      </c>
      <c r="D1147">
        <v>298</v>
      </c>
      <c r="E1147">
        <v>989</v>
      </c>
      <c r="F1147">
        <v>3439801</v>
      </c>
      <c r="G1147">
        <v>3528000</v>
      </c>
      <c r="H1147">
        <f t="shared" si="34"/>
        <v>78.000022675736957</v>
      </c>
      <c r="I1147">
        <f t="shared" si="35"/>
        <v>80</v>
      </c>
      <c r="J1147" t="s">
        <v>22</v>
      </c>
      <c r="K1147">
        <v>6</v>
      </c>
      <c r="L1147" t="e">
        <f t="array" ref="L1147">VLOOKUP(J1147:$J$3871&amp;K1147:$K$3871,CHOOSE({1,2},#REF!&amp;#REF!,#REF!),2,0)</f>
        <v>#N/A</v>
      </c>
      <c r="M1147">
        <v>-15</v>
      </c>
      <c r="N1147">
        <v>0</v>
      </c>
      <c r="O1147" t="s">
        <v>7</v>
      </c>
      <c r="P1147">
        <v>1</v>
      </c>
      <c r="Q1147">
        <v>1</v>
      </c>
      <c r="R1147">
        <v>0</v>
      </c>
      <c r="S1147">
        <v>1</v>
      </c>
      <c r="T1147">
        <v>1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 t="s">
        <v>2714</v>
      </c>
      <c r="AB1147" t="s">
        <v>317</v>
      </c>
      <c r="AC1147" t="s">
        <v>2714</v>
      </c>
      <c r="AD1147" t="e">
        <f>VLOOKUP(AB1147,#REF!,2,FALSE)</f>
        <v>#REF!</v>
      </c>
      <c r="AE1147" t="e">
        <f>RIGHT(#REF!,(FIND("Complex",#REF!,1)-10))</f>
        <v>#REF!</v>
      </c>
    </row>
    <row r="1148" spans="1:31" x14ac:dyDescent="0.25">
      <c r="A1148">
        <v>2435</v>
      </c>
      <c r="B1148" t="s">
        <v>86</v>
      </c>
      <c r="C1148">
        <v>1</v>
      </c>
      <c r="D1148">
        <v>783</v>
      </c>
      <c r="E1148">
        <v>2435</v>
      </c>
      <c r="F1148">
        <v>2998801</v>
      </c>
      <c r="G1148">
        <v>3087000</v>
      </c>
      <c r="H1148">
        <f t="shared" si="34"/>
        <v>68.000022675736957</v>
      </c>
      <c r="I1148">
        <f t="shared" si="35"/>
        <v>70</v>
      </c>
      <c r="J1148" t="s">
        <v>22</v>
      </c>
      <c r="K1148">
        <v>6</v>
      </c>
      <c r="L1148" t="e">
        <f t="array" ref="L1148">VLOOKUP(J1148:$J$3871&amp;K1148:$K$3871,CHOOSE({1,2},#REF!&amp;#REF!,#REF!),2,0)</f>
        <v>#N/A</v>
      </c>
      <c r="M1148">
        <v>-15</v>
      </c>
      <c r="N1148">
        <v>0</v>
      </c>
      <c r="O1148" t="s">
        <v>7</v>
      </c>
      <c r="P1148">
        <v>1</v>
      </c>
      <c r="Q1148">
        <v>1</v>
      </c>
      <c r="R1148">
        <v>0</v>
      </c>
      <c r="S1148">
        <v>1</v>
      </c>
      <c r="T1148">
        <v>1</v>
      </c>
      <c r="U1148">
        <v>0</v>
      </c>
      <c r="V1148">
        <v>0</v>
      </c>
      <c r="W1148">
        <v>1</v>
      </c>
      <c r="X1148">
        <v>1</v>
      </c>
      <c r="Y1148">
        <v>0</v>
      </c>
      <c r="Z1148">
        <v>0</v>
      </c>
      <c r="AA1148" t="s">
        <v>2753</v>
      </c>
      <c r="AB1148" t="s">
        <v>318</v>
      </c>
      <c r="AC1148" t="s">
        <v>2753</v>
      </c>
      <c r="AD1148" t="e">
        <f>VLOOKUP(AB1148,#REF!,2,FALSE)</f>
        <v>#REF!</v>
      </c>
      <c r="AE1148" t="e">
        <f>RIGHT(#REF!,(FIND("Complex",#REF!,1)-11))</f>
        <v>#REF!</v>
      </c>
    </row>
    <row r="1149" spans="1:31" x14ac:dyDescent="0.25">
      <c r="A1149">
        <v>1857</v>
      </c>
      <c r="B1149" t="s">
        <v>86</v>
      </c>
      <c r="C1149">
        <v>1</v>
      </c>
      <c r="D1149">
        <v>559</v>
      </c>
      <c r="E1149">
        <v>1857</v>
      </c>
      <c r="F1149">
        <v>2381401</v>
      </c>
      <c r="G1149">
        <v>2469600</v>
      </c>
      <c r="H1149">
        <f t="shared" si="34"/>
        <v>54.000022675736965</v>
      </c>
      <c r="I1149">
        <f t="shared" si="35"/>
        <v>56</v>
      </c>
      <c r="J1149" t="s">
        <v>22</v>
      </c>
      <c r="K1149">
        <v>6</v>
      </c>
      <c r="L1149" t="e">
        <f t="array" ref="L1149">VLOOKUP(J1149:$J$3871&amp;K1149:$K$3871,CHOOSE({1,2},#REF!&amp;#REF!,#REF!),2,0)</f>
        <v>#N/A</v>
      </c>
      <c r="M1149">
        <v>-15</v>
      </c>
      <c r="N1149">
        <v>0</v>
      </c>
      <c r="O1149" t="s">
        <v>7</v>
      </c>
      <c r="P1149">
        <v>1</v>
      </c>
      <c r="Q1149">
        <v>1</v>
      </c>
      <c r="R1149">
        <v>0</v>
      </c>
      <c r="S1149">
        <v>1</v>
      </c>
      <c r="T1149">
        <v>1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0</v>
      </c>
      <c r="AA1149" t="s">
        <v>2798</v>
      </c>
      <c r="AB1149" t="s">
        <v>319</v>
      </c>
      <c r="AC1149" t="s">
        <v>2798</v>
      </c>
      <c r="AD1149" t="e">
        <f>VLOOKUP(AB1149,#REF!,2,FALSE)</f>
        <v>#REF!</v>
      </c>
      <c r="AE1149" t="e">
        <f>RIGHT(#REF!,(FIND("Complex",#REF!,1)-11))</f>
        <v>#REF!</v>
      </c>
    </row>
    <row r="1150" spans="1:31" x14ac:dyDescent="0.25">
      <c r="A1150">
        <v>3302</v>
      </c>
      <c r="B1150" t="s">
        <v>86</v>
      </c>
      <c r="C1150">
        <v>1</v>
      </c>
      <c r="D1150">
        <v>995</v>
      </c>
      <c r="E1150">
        <v>3302</v>
      </c>
      <c r="F1150">
        <v>1940401</v>
      </c>
      <c r="G1150">
        <v>2028600</v>
      </c>
      <c r="H1150">
        <f t="shared" si="34"/>
        <v>44.000022675736965</v>
      </c>
      <c r="I1150">
        <f t="shared" si="35"/>
        <v>46</v>
      </c>
      <c r="J1150" t="s">
        <v>22</v>
      </c>
      <c r="K1150">
        <v>6</v>
      </c>
      <c r="L1150" t="e">
        <f t="array" ref="L1150">VLOOKUP(J1150:$J$3871&amp;K1150:$K$3871,CHOOSE({1,2},#REF!&amp;#REF!,#REF!),2,0)</f>
        <v>#N/A</v>
      </c>
      <c r="M1150">
        <v>-15</v>
      </c>
      <c r="N1150">
        <v>0</v>
      </c>
      <c r="O1150" t="s">
        <v>7</v>
      </c>
      <c r="P1150">
        <v>1</v>
      </c>
      <c r="Q1150">
        <v>1</v>
      </c>
      <c r="R1150">
        <v>0</v>
      </c>
      <c r="S1150">
        <v>1</v>
      </c>
      <c r="T1150">
        <v>1</v>
      </c>
      <c r="U1150">
        <v>0</v>
      </c>
      <c r="V1150">
        <v>0</v>
      </c>
      <c r="W1150">
        <v>1</v>
      </c>
      <c r="X1150">
        <v>1</v>
      </c>
      <c r="Y1150">
        <v>0</v>
      </c>
      <c r="Z1150">
        <v>0</v>
      </c>
      <c r="AA1150" t="s">
        <v>2822</v>
      </c>
      <c r="AB1150" t="s">
        <v>320</v>
      </c>
      <c r="AC1150" t="s">
        <v>2822</v>
      </c>
      <c r="AD1150" t="e">
        <f>VLOOKUP(AB1150,#REF!,2,FALSE)</f>
        <v>#REF!</v>
      </c>
      <c r="AE1150" t="e">
        <f>RIGHT(#REF!,(FIND("Complex",#REF!,1)-11))</f>
        <v>#REF!</v>
      </c>
    </row>
    <row r="1151" spans="1:31" x14ac:dyDescent="0.25">
      <c r="A1151">
        <v>3532</v>
      </c>
      <c r="B1151" t="s">
        <v>86</v>
      </c>
      <c r="C1151">
        <v>1</v>
      </c>
      <c r="D1151">
        <v>1027</v>
      </c>
      <c r="E1151">
        <v>3532</v>
      </c>
      <c r="F1151">
        <v>1852201</v>
      </c>
      <c r="G1151">
        <v>1940400</v>
      </c>
      <c r="H1151">
        <f t="shared" si="34"/>
        <v>42.000022675736965</v>
      </c>
      <c r="I1151">
        <f t="shared" si="35"/>
        <v>44</v>
      </c>
      <c r="J1151" t="s">
        <v>22</v>
      </c>
      <c r="K1151">
        <v>6</v>
      </c>
      <c r="L1151" t="e">
        <f t="array" ref="L1151">VLOOKUP(J1151:$J$3871&amp;K1151:$K$3871,CHOOSE({1,2},#REF!&amp;#REF!,#REF!),2,0)</f>
        <v>#N/A</v>
      </c>
      <c r="M1151">
        <v>-15</v>
      </c>
      <c r="N1151">
        <v>0</v>
      </c>
      <c r="O1151" t="s">
        <v>7</v>
      </c>
      <c r="P1151">
        <v>1</v>
      </c>
      <c r="Q1151">
        <v>1</v>
      </c>
      <c r="R1151">
        <v>0</v>
      </c>
      <c r="S1151">
        <v>1</v>
      </c>
      <c r="T1151">
        <v>1</v>
      </c>
      <c r="U1151">
        <v>0</v>
      </c>
      <c r="V1151">
        <v>0</v>
      </c>
      <c r="W1151">
        <v>1</v>
      </c>
      <c r="X1151">
        <v>1</v>
      </c>
      <c r="Y1151">
        <v>0</v>
      </c>
      <c r="Z1151">
        <v>0</v>
      </c>
      <c r="AA1151" t="s">
        <v>2830</v>
      </c>
      <c r="AB1151" t="s">
        <v>321</v>
      </c>
      <c r="AC1151" t="s">
        <v>2830</v>
      </c>
      <c r="AD1151" t="e">
        <f>VLOOKUP(AB1151,#REF!,2,FALSE)</f>
        <v>#REF!</v>
      </c>
      <c r="AE1151" t="e">
        <f>RIGHT(#REF!,(FIND("Complex",#REF!,1)-12))</f>
        <v>#REF!</v>
      </c>
    </row>
    <row r="1152" spans="1:31" x14ac:dyDescent="0.25">
      <c r="A1152">
        <v>3626</v>
      </c>
      <c r="B1152" t="s">
        <v>86</v>
      </c>
      <c r="C1152">
        <v>1</v>
      </c>
      <c r="D1152">
        <v>1047</v>
      </c>
      <c r="E1152">
        <v>3626</v>
      </c>
      <c r="F1152">
        <v>1587601</v>
      </c>
      <c r="G1152">
        <v>1675800</v>
      </c>
      <c r="H1152">
        <f t="shared" si="34"/>
        <v>36.000022675736965</v>
      </c>
      <c r="I1152">
        <f t="shared" si="35"/>
        <v>38</v>
      </c>
      <c r="J1152" t="s">
        <v>22</v>
      </c>
      <c r="K1152">
        <v>6</v>
      </c>
      <c r="L1152" t="e">
        <f t="array" ref="L1152">VLOOKUP(J1152:$J$3871&amp;K1152:$K$3871,CHOOSE({1,2},#REF!&amp;#REF!,#REF!),2,0)</f>
        <v>#N/A</v>
      </c>
      <c r="M1152">
        <v>-15</v>
      </c>
      <c r="N1152">
        <v>0</v>
      </c>
      <c r="O1152" t="s">
        <v>7</v>
      </c>
      <c r="P1152">
        <v>1</v>
      </c>
      <c r="Q1152">
        <v>1</v>
      </c>
      <c r="R1152">
        <v>0</v>
      </c>
      <c r="S1152">
        <v>1</v>
      </c>
      <c r="T1152">
        <v>1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0</v>
      </c>
      <c r="AA1152" t="s">
        <v>2849</v>
      </c>
      <c r="AB1152" t="s">
        <v>152</v>
      </c>
      <c r="AC1152" t="s">
        <v>2849</v>
      </c>
      <c r="AD1152" t="e">
        <f>VLOOKUP(AB1152,#REF!,2,FALSE)</f>
        <v>#REF!</v>
      </c>
      <c r="AE1152" t="e">
        <f>RIGHT(#REF!,(FIND("Complex",#REF!,1)-12))</f>
        <v>#REF!</v>
      </c>
    </row>
    <row r="1153" spans="1:31" x14ac:dyDescent="0.25">
      <c r="A1153">
        <v>3686</v>
      </c>
      <c r="B1153" t="s">
        <v>86</v>
      </c>
      <c r="C1153">
        <v>1</v>
      </c>
      <c r="D1153">
        <v>1057</v>
      </c>
      <c r="E1153">
        <v>3686</v>
      </c>
      <c r="F1153">
        <v>1411201</v>
      </c>
      <c r="G1153">
        <v>1499400</v>
      </c>
      <c r="H1153">
        <f t="shared" si="34"/>
        <v>32.000022675736965</v>
      </c>
      <c r="I1153">
        <f t="shared" si="35"/>
        <v>34</v>
      </c>
      <c r="J1153" t="s">
        <v>22</v>
      </c>
      <c r="K1153">
        <v>6</v>
      </c>
      <c r="L1153" t="e">
        <f t="array" ref="L1153">VLOOKUP(J1153:$J$3871&amp;K1153:$K$3871,CHOOSE({1,2},#REF!&amp;#REF!,#REF!),2,0)</f>
        <v>#N/A</v>
      </c>
      <c r="M1153">
        <v>-15</v>
      </c>
      <c r="N1153">
        <v>0</v>
      </c>
      <c r="O1153" t="s">
        <v>7</v>
      </c>
      <c r="P1153">
        <v>1</v>
      </c>
      <c r="Q1153">
        <v>1</v>
      </c>
      <c r="R1153">
        <v>0</v>
      </c>
      <c r="S1153">
        <v>1</v>
      </c>
      <c r="T1153">
        <v>1</v>
      </c>
      <c r="U1153">
        <v>0</v>
      </c>
      <c r="V1153">
        <v>0</v>
      </c>
      <c r="W1153">
        <v>1</v>
      </c>
      <c r="X1153">
        <v>1</v>
      </c>
      <c r="Y1153">
        <v>0</v>
      </c>
      <c r="Z1153">
        <v>0</v>
      </c>
      <c r="AA1153" t="s">
        <v>2871</v>
      </c>
      <c r="AB1153" t="s">
        <v>322</v>
      </c>
      <c r="AC1153" t="s">
        <v>2871</v>
      </c>
      <c r="AD1153" t="e">
        <f>VLOOKUP(AB1153,#REF!,2,FALSE)</f>
        <v>#REF!</v>
      </c>
      <c r="AE1153" t="e">
        <f>RIGHT(#REF!,(FIND("Complex",#REF!,1)-12))</f>
        <v>#REF!</v>
      </c>
    </row>
    <row r="1154" spans="1:31" x14ac:dyDescent="0.25">
      <c r="A1154">
        <v>3413</v>
      </c>
      <c r="B1154" t="s">
        <v>86</v>
      </c>
      <c r="C1154">
        <v>1</v>
      </c>
      <c r="D1154">
        <v>1009</v>
      </c>
      <c r="E1154">
        <v>3413</v>
      </c>
      <c r="F1154">
        <v>7232401</v>
      </c>
      <c r="G1154">
        <v>7320600</v>
      </c>
      <c r="H1154">
        <f t="shared" ref="H1154:H1217" si="36">F1154/44100</f>
        <v>164.00002267573697</v>
      </c>
      <c r="I1154">
        <f t="shared" ref="I1154:I1217" si="37">G1154/44100</f>
        <v>166</v>
      </c>
      <c r="J1154" t="s">
        <v>22</v>
      </c>
      <c r="K1154">
        <v>6</v>
      </c>
      <c r="L1154" t="e">
        <f t="array" ref="L1154">VLOOKUP(J1154:$J$3871&amp;K1154:$K$3871,CHOOSE({1,2},#REF!&amp;#REF!,#REF!),2,0)</f>
        <v>#N/A</v>
      </c>
      <c r="M1154">
        <v>-15</v>
      </c>
      <c r="N1154">
        <v>0</v>
      </c>
      <c r="O1154" t="s">
        <v>7</v>
      </c>
      <c r="P1154">
        <v>1</v>
      </c>
      <c r="Q1154">
        <v>1</v>
      </c>
      <c r="R1154">
        <v>0</v>
      </c>
      <c r="S1154">
        <v>1</v>
      </c>
      <c r="T1154">
        <v>1</v>
      </c>
      <c r="U1154">
        <v>0</v>
      </c>
      <c r="V1154">
        <v>0</v>
      </c>
      <c r="W1154">
        <v>1</v>
      </c>
      <c r="X1154">
        <v>1</v>
      </c>
      <c r="Y1154">
        <v>0</v>
      </c>
      <c r="Z1154">
        <v>0</v>
      </c>
      <c r="AA1154" t="s">
        <v>3188</v>
      </c>
      <c r="AB1154" t="s">
        <v>323</v>
      </c>
      <c r="AC1154" t="s">
        <v>3188</v>
      </c>
      <c r="AD1154" t="e">
        <f>VLOOKUP(AB1154,#REF!,2,FALSE)</f>
        <v>#REF!</v>
      </c>
      <c r="AE1154" t="e">
        <f>RIGHT(#REF!,(FIND("Complex",#REF!,1)-11))</f>
        <v>#REF!</v>
      </c>
    </row>
    <row r="1155" spans="1:31" x14ac:dyDescent="0.25">
      <c r="A1155">
        <v>3643</v>
      </c>
      <c r="B1155" t="s">
        <v>86</v>
      </c>
      <c r="C1155">
        <v>1</v>
      </c>
      <c r="D1155">
        <v>1049</v>
      </c>
      <c r="E1155">
        <v>3643</v>
      </c>
      <c r="F1155">
        <v>7144201</v>
      </c>
      <c r="G1155">
        <v>7232400</v>
      </c>
      <c r="H1155">
        <f t="shared" si="36"/>
        <v>162.00002267573697</v>
      </c>
      <c r="I1155">
        <f t="shared" si="37"/>
        <v>164</v>
      </c>
      <c r="J1155" t="s">
        <v>22</v>
      </c>
      <c r="K1155">
        <v>6</v>
      </c>
      <c r="L1155" t="e">
        <f t="array" ref="L1155">VLOOKUP(J1155:$J$3871&amp;K1155:$K$3871,CHOOSE({1,2},#REF!&amp;#REF!,#REF!),2,0)</f>
        <v>#N/A</v>
      </c>
      <c r="M1155">
        <v>-15</v>
      </c>
      <c r="N1155">
        <v>0</v>
      </c>
      <c r="O1155" t="s">
        <v>7</v>
      </c>
      <c r="P1155">
        <v>1</v>
      </c>
      <c r="Q1155">
        <v>1</v>
      </c>
      <c r="R1155">
        <v>0</v>
      </c>
      <c r="S1155">
        <v>1</v>
      </c>
      <c r="T1155">
        <v>1</v>
      </c>
      <c r="U1155">
        <v>0</v>
      </c>
      <c r="V1155">
        <v>0</v>
      </c>
      <c r="W1155">
        <v>1</v>
      </c>
      <c r="X1155">
        <v>1</v>
      </c>
      <c r="Y1155">
        <v>0</v>
      </c>
      <c r="Z1155">
        <v>0</v>
      </c>
      <c r="AA1155" t="s">
        <v>3190</v>
      </c>
      <c r="AB1155" t="s">
        <v>324</v>
      </c>
      <c r="AC1155" t="s">
        <v>3190</v>
      </c>
      <c r="AD1155" t="e">
        <f>VLOOKUP(AB1155,#REF!,2,FALSE)</f>
        <v>#REF!</v>
      </c>
      <c r="AE1155" t="e">
        <f>RIGHT(#REF!,(FIND("Complex",#REF!,1)-11))</f>
        <v>#REF!</v>
      </c>
    </row>
    <row r="1156" spans="1:31" x14ac:dyDescent="0.25">
      <c r="A1156">
        <v>2724</v>
      </c>
      <c r="B1156" t="s">
        <v>86</v>
      </c>
      <c r="C1156">
        <v>1</v>
      </c>
      <c r="D1156">
        <v>901</v>
      </c>
      <c r="E1156">
        <v>2724</v>
      </c>
      <c r="F1156">
        <v>7056001</v>
      </c>
      <c r="G1156">
        <v>7144200</v>
      </c>
      <c r="H1156">
        <f t="shared" si="36"/>
        <v>160.00002267573697</v>
      </c>
      <c r="I1156">
        <f t="shared" si="37"/>
        <v>162</v>
      </c>
      <c r="J1156" t="s">
        <v>22</v>
      </c>
      <c r="K1156">
        <v>6</v>
      </c>
      <c r="L1156" t="e">
        <f t="array" ref="L1156">VLOOKUP(J1156:$J$3871&amp;K1156:$K$3871,CHOOSE({1,2},#REF!&amp;#REF!,#REF!),2,0)</f>
        <v>#N/A</v>
      </c>
      <c r="M1156">
        <v>-15</v>
      </c>
      <c r="N1156">
        <v>0</v>
      </c>
      <c r="O1156" t="s">
        <v>7</v>
      </c>
      <c r="P1156">
        <v>1</v>
      </c>
      <c r="Q1156">
        <v>1</v>
      </c>
      <c r="R1156">
        <v>0</v>
      </c>
      <c r="S1156">
        <v>1</v>
      </c>
      <c r="T1156">
        <v>1</v>
      </c>
      <c r="U1156">
        <v>0</v>
      </c>
      <c r="V1156">
        <v>0</v>
      </c>
      <c r="W1156">
        <v>1</v>
      </c>
      <c r="X1156">
        <v>1</v>
      </c>
      <c r="Y1156">
        <v>0</v>
      </c>
      <c r="Z1156">
        <v>0</v>
      </c>
      <c r="AA1156" t="s">
        <v>3197</v>
      </c>
      <c r="AB1156" t="s">
        <v>325</v>
      </c>
      <c r="AC1156" t="s">
        <v>3197</v>
      </c>
      <c r="AD1156" t="e">
        <f>VLOOKUP(AB1156,#REF!,2,FALSE)</f>
        <v>#REF!</v>
      </c>
      <c r="AE1156" t="e">
        <f>RIGHT(#REF!,(FIND("Complex",#REF!,1)-10))</f>
        <v>#REF!</v>
      </c>
    </row>
    <row r="1157" spans="1:31" x14ac:dyDescent="0.25">
      <c r="A1157">
        <v>2416</v>
      </c>
      <c r="B1157" t="s">
        <v>86</v>
      </c>
      <c r="C1157">
        <v>1</v>
      </c>
      <c r="D1157">
        <v>776</v>
      </c>
      <c r="E1157">
        <v>2416</v>
      </c>
      <c r="F1157">
        <v>6262201</v>
      </c>
      <c r="G1157">
        <v>6350400</v>
      </c>
      <c r="H1157">
        <f t="shared" si="36"/>
        <v>142.00002267573697</v>
      </c>
      <c r="I1157">
        <f t="shared" si="37"/>
        <v>144</v>
      </c>
      <c r="J1157" t="s">
        <v>22</v>
      </c>
      <c r="K1157">
        <v>6</v>
      </c>
      <c r="L1157" t="e">
        <f t="array" ref="L1157">VLOOKUP(J1157:$J$3871&amp;K1157:$K$3871,CHOOSE({1,2},#REF!&amp;#REF!,#REF!),2,0)</f>
        <v>#N/A</v>
      </c>
      <c r="M1157">
        <v>-15</v>
      </c>
      <c r="N1157">
        <v>0</v>
      </c>
      <c r="O1157" t="s">
        <v>7</v>
      </c>
      <c r="P1157">
        <v>1</v>
      </c>
      <c r="Q1157">
        <v>1</v>
      </c>
      <c r="R1157">
        <v>0</v>
      </c>
      <c r="S1157">
        <v>1</v>
      </c>
      <c r="T1157">
        <v>1</v>
      </c>
      <c r="U1157">
        <v>0</v>
      </c>
      <c r="V1157">
        <v>0</v>
      </c>
      <c r="W1157">
        <v>1</v>
      </c>
      <c r="X1157">
        <v>1</v>
      </c>
      <c r="Y1157">
        <v>0</v>
      </c>
      <c r="Z1157">
        <v>0</v>
      </c>
      <c r="AA1157" t="s">
        <v>3262</v>
      </c>
      <c r="AB1157" t="s">
        <v>326</v>
      </c>
      <c r="AC1157" t="s">
        <v>3262</v>
      </c>
      <c r="AD1157" t="e">
        <f>VLOOKUP(AB1157,#REF!,2,FALSE)</f>
        <v>#REF!</v>
      </c>
      <c r="AE1157" t="e">
        <f>RIGHT(#REF!,(FIND("Complex",#REF!,1)-10))</f>
        <v>#REF!</v>
      </c>
    </row>
    <row r="1158" spans="1:31" x14ac:dyDescent="0.25">
      <c r="A1158">
        <v>3736</v>
      </c>
      <c r="B1158" t="s">
        <v>86</v>
      </c>
      <c r="C1158">
        <v>1</v>
      </c>
      <c r="D1158">
        <v>1066</v>
      </c>
      <c r="E1158">
        <v>3736</v>
      </c>
      <c r="F1158">
        <v>5997601</v>
      </c>
      <c r="G1158">
        <v>6085800</v>
      </c>
      <c r="H1158">
        <f t="shared" si="36"/>
        <v>136.00002267573697</v>
      </c>
      <c r="I1158">
        <f t="shared" si="37"/>
        <v>138</v>
      </c>
      <c r="J1158" t="s">
        <v>22</v>
      </c>
      <c r="K1158">
        <v>6</v>
      </c>
      <c r="L1158" t="e">
        <f t="array" ref="L1158">VLOOKUP(J1158:$J$3871&amp;K1158:$K$3871,CHOOSE({1,2},#REF!&amp;#REF!,#REF!),2,0)</f>
        <v>#N/A</v>
      </c>
      <c r="M1158">
        <v>-15</v>
      </c>
      <c r="N1158">
        <v>0</v>
      </c>
      <c r="O1158" t="s">
        <v>7</v>
      </c>
      <c r="P1158">
        <v>1</v>
      </c>
      <c r="Q1158">
        <v>1</v>
      </c>
      <c r="R1158">
        <v>0</v>
      </c>
      <c r="S1158">
        <v>1</v>
      </c>
      <c r="T1158">
        <v>1</v>
      </c>
      <c r="U1158">
        <v>0</v>
      </c>
      <c r="V1158">
        <v>0</v>
      </c>
      <c r="W1158">
        <v>1</v>
      </c>
      <c r="X1158">
        <v>1</v>
      </c>
      <c r="Y1158">
        <v>0</v>
      </c>
      <c r="Z1158">
        <v>0</v>
      </c>
      <c r="AA1158" t="s">
        <v>3293</v>
      </c>
      <c r="AB1158" t="s">
        <v>327</v>
      </c>
      <c r="AC1158" t="s">
        <v>3293</v>
      </c>
      <c r="AD1158" t="e">
        <f>VLOOKUP(AB1158,#REF!,2,FALSE)</f>
        <v>#REF!</v>
      </c>
      <c r="AE1158" t="e">
        <f>RIGHT(#REF!,(FIND("Complex",#REF!,1)-11))</f>
        <v>#REF!</v>
      </c>
    </row>
    <row r="1159" spans="1:31" x14ac:dyDescent="0.25">
      <c r="A1159">
        <v>445</v>
      </c>
      <c r="B1159" t="s">
        <v>86</v>
      </c>
      <c r="C1159">
        <v>1</v>
      </c>
      <c r="D1159">
        <v>139</v>
      </c>
      <c r="E1159">
        <v>445</v>
      </c>
      <c r="F1159">
        <v>5909401</v>
      </c>
      <c r="G1159">
        <v>5997600</v>
      </c>
      <c r="H1159">
        <f t="shared" si="36"/>
        <v>134.00002267573697</v>
      </c>
      <c r="I1159">
        <f t="shared" si="37"/>
        <v>136</v>
      </c>
      <c r="J1159" t="s">
        <v>22</v>
      </c>
      <c r="K1159">
        <v>6</v>
      </c>
      <c r="L1159" t="e">
        <f t="array" ref="L1159">VLOOKUP(J1159:$J$3871&amp;K1159:$K$3871,CHOOSE({1,2},#REF!&amp;#REF!,#REF!),2,0)</f>
        <v>#N/A</v>
      </c>
      <c r="M1159">
        <v>-15</v>
      </c>
      <c r="N1159">
        <v>0</v>
      </c>
      <c r="O1159" t="s">
        <v>7</v>
      </c>
      <c r="P1159">
        <v>1</v>
      </c>
      <c r="Q1159">
        <v>1</v>
      </c>
      <c r="R1159">
        <v>0</v>
      </c>
      <c r="S1159">
        <v>1</v>
      </c>
      <c r="T1159">
        <v>1</v>
      </c>
      <c r="U1159">
        <v>0</v>
      </c>
      <c r="V1159">
        <v>0</v>
      </c>
      <c r="W1159">
        <v>1</v>
      </c>
      <c r="X1159">
        <v>1</v>
      </c>
      <c r="Y1159">
        <v>0</v>
      </c>
      <c r="Z1159">
        <v>0</v>
      </c>
      <c r="AA1159" t="s">
        <v>3305</v>
      </c>
      <c r="AB1159" t="s">
        <v>328</v>
      </c>
      <c r="AC1159" t="s">
        <v>3305</v>
      </c>
      <c r="AD1159" t="e">
        <f>VLOOKUP(AB1159,#REF!,2,FALSE)</f>
        <v>#REF!</v>
      </c>
      <c r="AE1159" t="e">
        <f>RIGHT(#REF!,(FIND("Complex",#REF!,1)-9))</f>
        <v>#REF!</v>
      </c>
    </row>
    <row r="1160" spans="1:31" x14ac:dyDescent="0.25">
      <c r="A1160">
        <v>3600</v>
      </c>
      <c r="B1160" t="s">
        <v>86</v>
      </c>
      <c r="C1160">
        <v>1</v>
      </c>
      <c r="D1160">
        <v>1042</v>
      </c>
      <c r="E1160">
        <v>3600</v>
      </c>
      <c r="F1160">
        <v>5821201</v>
      </c>
      <c r="G1160">
        <v>5909400</v>
      </c>
      <c r="H1160">
        <f t="shared" si="36"/>
        <v>132.00002267573697</v>
      </c>
      <c r="I1160">
        <f t="shared" si="37"/>
        <v>134</v>
      </c>
      <c r="J1160" t="s">
        <v>22</v>
      </c>
      <c r="K1160">
        <v>6</v>
      </c>
      <c r="L1160" t="e">
        <f t="array" ref="L1160">VLOOKUP(J1160:$J$3871&amp;K1160:$K$3871,CHOOSE({1,2},#REF!&amp;#REF!,#REF!),2,0)</f>
        <v>#N/A</v>
      </c>
      <c r="M1160">
        <v>-15</v>
      </c>
      <c r="N1160">
        <v>0</v>
      </c>
      <c r="O1160" t="s">
        <v>7</v>
      </c>
      <c r="P1160">
        <v>1</v>
      </c>
      <c r="Q1160">
        <v>1</v>
      </c>
      <c r="R1160">
        <v>0</v>
      </c>
      <c r="S1160">
        <v>1</v>
      </c>
      <c r="T1160">
        <v>1</v>
      </c>
      <c r="U1160">
        <v>0</v>
      </c>
      <c r="V1160">
        <v>0</v>
      </c>
      <c r="W1160">
        <v>1</v>
      </c>
      <c r="X1160">
        <v>1</v>
      </c>
      <c r="Y1160">
        <v>0</v>
      </c>
      <c r="Z1160">
        <v>0</v>
      </c>
      <c r="AA1160" t="s">
        <v>3318</v>
      </c>
      <c r="AB1160" t="s">
        <v>329</v>
      </c>
      <c r="AC1160" t="s">
        <v>3318</v>
      </c>
      <c r="AD1160" t="e">
        <f>VLOOKUP(AB1160,#REF!,2,FALSE)</f>
        <v>#REF!</v>
      </c>
      <c r="AE1160" t="e">
        <f>RIGHT(#REF!,(FIND("Complex",#REF!,1)-11))</f>
        <v>#REF!</v>
      </c>
    </row>
    <row r="1161" spans="1:31" x14ac:dyDescent="0.25">
      <c r="A1161">
        <v>3433</v>
      </c>
      <c r="B1161" t="s">
        <v>86</v>
      </c>
      <c r="C1161">
        <v>1</v>
      </c>
      <c r="D1161">
        <v>1011</v>
      </c>
      <c r="E1161">
        <v>3433</v>
      </c>
      <c r="F1161">
        <v>529201</v>
      </c>
      <c r="G1161">
        <v>617400</v>
      </c>
      <c r="H1161">
        <f t="shared" si="36"/>
        <v>12.000022675736961</v>
      </c>
      <c r="I1161">
        <f t="shared" si="37"/>
        <v>14</v>
      </c>
      <c r="J1161" t="s">
        <v>22</v>
      </c>
      <c r="K1161">
        <v>6</v>
      </c>
      <c r="L1161" t="e">
        <f t="array" ref="L1161">VLOOKUP(J1161:$J$3871&amp;K1161:$K$3871,CHOOSE({1,2},#REF!&amp;#REF!,#REF!),2,0)</f>
        <v>#N/A</v>
      </c>
      <c r="M1161">
        <v>-15</v>
      </c>
      <c r="N1161">
        <v>0</v>
      </c>
      <c r="O1161" t="s">
        <v>7</v>
      </c>
      <c r="P1161">
        <v>1</v>
      </c>
      <c r="Q1161">
        <v>1</v>
      </c>
      <c r="R1161">
        <v>0</v>
      </c>
      <c r="S1161">
        <v>1</v>
      </c>
      <c r="T1161">
        <v>1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 t="s">
        <v>3390</v>
      </c>
      <c r="AB1161" t="s">
        <v>330</v>
      </c>
      <c r="AC1161" t="s">
        <v>3390</v>
      </c>
      <c r="AD1161" t="e">
        <f>VLOOKUP(AB1161,#REF!,2,FALSE)</f>
        <v>#REF!</v>
      </c>
      <c r="AE1161" t="e">
        <f>RIGHT(#REF!,(FIND("Complex",#REF!,1)-12))</f>
        <v>#REF!</v>
      </c>
    </row>
    <row r="1162" spans="1:31" x14ac:dyDescent="0.25">
      <c r="A1162">
        <v>1974</v>
      </c>
      <c r="B1162" t="s">
        <v>48</v>
      </c>
      <c r="C1162">
        <v>2</v>
      </c>
      <c r="D1162">
        <v>596</v>
      </c>
      <c r="E1162">
        <v>1974</v>
      </c>
      <c r="F1162">
        <v>3969001</v>
      </c>
      <c r="G1162">
        <v>4057200</v>
      </c>
      <c r="H1162">
        <f t="shared" si="36"/>
        <v>90.000022675736957</v>
      </c>
      <c r="I1162">
        <f t="shared" si="37"/>
        <v>92</v>
      </c>
      <c r="J1162" t="s">
        <v>22</v>
      </c>
      <c r="K1162">
        <v>6</v>
      </c>
      <c r="L1162" t="e">
        <f t="array" ref="L1162">VLOOKUP(J1162:$J$3871&amp;K1162:$K$3871,CHOOSE({1,2},#REF!&amp;#REF!,#REF!),2,0)</f>
        <v>#N/A</v>
      </c>
      <c r="M1162">
        <v>-15</v>
      </c>
      <c r="N1162">
        <v>0</v>
      </c>
      <c r="O1162" t="s">
        <v>7</v>
      </c>
      <c r="P1162">
        <v>1</v>
      </c>
      <c r="Q1162">
        <v>1</v>
      </c>
      <c r="R1162">
        <v>1</v>
      </c>
      <c r="S1162">
        <v>0</v>
      </c>
      <c r="T1162">
        <v>1</v>
      </c>
      <c r="U1162">
        <v>0</v>
      </c>
      <c r="V1162">
        <v>0</v>
      </c>
      <c r="W1162">
        <v>1</v>
      </c>
      <c r="X1162">
        <v>1</v>
      </c>
      <c r="Y1162">
        <v>0</v>
      </c>
      <c r="Z1162">
        <v>0</v>
      </c>
      <c r="AA1162" t="s">
        <v>2658</v>
      </c>
      <c r="AB1162" t="s">
        <v>349</v>
      </c>
      <c r="AC1162" t="s">
        <v>2658</v>
      </c>
      <c r="AD1162" t="e">
        <f>VLOOKUP(AB1162,#REF!,2,FALSE)</f>
        <v>#REF!</v>
      </c>
      <c r="AE1162" t="e">
        <f>RIGHT(#REF!,(FIND("Complex",#REF!,1)-11))</f>
        <v>#REF!</v>
      </c>
    </row>
    <row r="1163" spans="1:31" x14ac:dyDescent="0.25">
      <c r="A1163">
        <v>3059</v>
      </c>
      <c r="B1163" t="s">
        <v>48</v>
      </c>
      <c r="C1163">
        <v>2</v>
      </c>
      <c r="D1163">
        <v>967</v>
      </c>
      <c r="E1163">
        <v>3059</v>
      </c>
      <c r="F1163">
        <v>3616201</v>
      </c>
      <c r="G1163">
        <v>3704400</v>
      </c>
      <c r="H1163">
        <f t="shared" si="36"/>
        <v>82.000022675736957</v>
      </c>
      <c r="I1163">
        <f t="shared" si="37"/>
        <v>84</v>
      </c>
      <c r="J1163" t="s">
        <v>22</v>
      </c>
      <c r="K1163">
        <v>6</v>
      </c>
      <c r="L1163" t="e">
        <f t="array" ref="L1163">VLOOKUP(J1163:$J$3871&amp;K1163:$K$3871,CHOOSE({1,2},#REF!&amp;#REF!,#REF!),2,0)</f>
        <v>#N/A</v>
      </c>
      <c r="M1163">
        <v>-15</v>
      </c>
      <c r="N1163">
        <v>0</v>
      </c>
      <c r="O1163" t="s">
        <v>7</v>
      </c>
      <c r="P1163">
        <v>1</v>
      </c>
      <c r="Q1163">
        <v>1</v>
      </c>
      <c r="R1163">
        <v>1</v>
      </c>
      <c r="S1163">
        <v>0</v>
      </c>
      <c r="T1163">
        <v>1</v>
      </c>
      <c r="U1163">
        <v>0</v>
      </c>
      <c r="V1163">
        <v>0</v>
      </c>
      <c r="W1163">
        <v>1</v>
      </c>
      <c r="X1163">
        <v>1</v>
      </c>
      <c r="Y1163">
        <v>0</v>
      </c>
      <c r="Z1163">
        <v>0</v>
      </c>
      <c r="AA1163" t="s">
        <v>2689</v>
      </c>
      <c r="AB1163" t="s">
        <v>350</v>
      </c>
      <c r="AC1163" t="s">
        <v>2689</v>
      </c>
      <c r="AD1163" t="e">
        <f>VLOOKUP(AB1163,#REF!,2,FALSE)</f>
        <v>#REF!</v>
      </c>
      <c r="AE1163" t="e">
        <f>RIGHT(#REF!,(FIND("Complex",#REF!,1)-11))</f>
        <v>#REF!</v>
      </c>
    </row>
    <row r="1164" spans="1:31" x14ac:dyDescent="0.25">
      <c r="A1164">
        <v>3466</v>
      </c>
      <c r="B1164" t="s">
        <v>96</v>
      </c>
      <c r="C1164">
        <v>3</v>
      </c>
      <c r="D1164">
        <v>1016</v>
      </c>
      <c r="E1164">
        <v>3466</v>
      </c>
      <c r="F1164">
        <v>6703201</v>
      </c>
      <c r="G1164">
        <v>6791400</v>
      </c>
      <c r="H1164">
        <f t="shared" si="36"/>
        <v>152.00002267573697</v>
      </c>
      <c r="I1164">
        <f t="shared" si="37"/>
        <v>154</v>
      </c>
      <c r="J1164" t="s">
        <v>22</v>
      </c>
      <c r="K1164">
        <v>6</v>
      </c>
      <c r="L1164" t="e">
        <f t="array" ref="L1164">VLOOKUP(J1164:$J$3871&amp;K1164:$K$3871,CHOOSE({1,2},#REF!&amp;#REF!,#REF!),2,0)</f>
        <v>#N/A</v>
      </c>
      <c r="M1164">
        <v>-15</v>
      </c>
      <c r="N1164">
        <v>0</v>
      </c>
      <c r="O1164" t="s">
        <v>7</v>
      </c>
      <c r="P1164">
        <v>0</v>
      </c>
      <c r="Q1164">
        <v>1</v>
      </c>
      <c r="R1164">
        <v>1</v>
      </c>
      <c r="S1164">
        <v>0</v>
      </c>
      <c r="T1164">
        <v>0</v>
      </c>
      <c r="U1164">
        <v>1</v>
      </c>
      <c r="V1164">
        <v>1</v>
      </c>
      <c r="W1164">
        <v>1</v>
      </c>
      <c r="X1164">
        <v>1</v>
      </c>
      <c r="Y1164">
        <v>0</v>
      </c>
      <c r="Z1164">
        <v>0</v>
      </c>
      <c r="AA1164" t="s">
        <v>3221</v>
      </c>
      <c r="AB1164" t="s">
        <v>365</v>
      </c>
      <c r="AC1164" t="s">
        <v>3221</v>
      </c>
      <c r="AD1164" t="e">
        <f>VLOOKUP(AB1164,#REF!,2,FALSE)</f>
        <v>#REF!</v>
      </c>
      <c r="AE1164" t="e">
        <f>RIGHT(#REF!,(FIND("Complex",#REF!,1)-11))</f>
        <v>#REF!</v>
      </c>
    </row>
    <row r="1165" spans="1:31" x14ac:dyDescent="0.25">
      <c r="A1165">
        <v>2085</v>
      </c>
      <c r="B1165" t="s">
        <v>96</v>
      </c>
      <c r="C1165">
        <v>3</v>
      </c>
      <c r="D1165">
        <v>634</v>
      </c>
      <c r="E1165">
        <v>2085</v>
      </c>
      <c r="F1165">
        <v>6615001</v>
      </c>
      <c r="G1165">
        <v>6703200</v>
      </c>
      <c r="H1165">
        <f t="shared" si="36"/>
        <v>150.00002267573697</v>
      </c>
      <c r="I1165">
        <f t="shared" si="37"/>
        <v>152</v>
      </c>
      <c r="J1165" t="s">
        <v>22</v>
      </c>
      <c r="K1165">
        <v>6</v>
      </c>
      <c r="L1165" t="e">
        <f t="array" ref="L1165">VLOOKUP(J1165:$J$3871&amp;K1165:$K$3871,CHOOSE({1,2},#REF!&amp;#REF!,#REF!),2,0)</f>
        <v>#N/A</v>
      </c>
      <c r="M1165">
        <v>-15</v>
      </c>
      <c r="N1165">
        <v>0</v>
      </c>
      <c r="O1165" t="s">
        <v>7</v>
      </c>
      <c r="P1165">
        <v>0</v>
      </c>
      <c r="Q1165">
        <v>1</v>
      </c>
      <c r="R1165">
        <v>1</v>
      </c>
      <c r="S1165">
        <v>0</v>
      </c>
      <c r="T1165">
        <v>0</v>
      </c>
      <c r="U1165">
        <v>1</v>
      </c>
      <c r="V1165">
        <v>1</v>
      </c>
      <c r="W1165">
        <v>1</v>
      </c>
      <c r="X1165">
        <v>1</v>
      </c>
      <c r="Y1165">
        <v>0</v>
      </c>
      <c r="Z1165">
        <v>0</v>
      </c>
      <c r="AA1165" t="s">
        <v>3226</v>
      </c>
      <c r="AB1165" t="s">
        <v>366</v>
      </c>
      <c r="AC1165" t="s">
        <v>3226</v>
      </c>
      <c r="AD1165" t="e">
        <f>VLOOKUP(AB1165,#REF!,2,FALSE)</f>
        <v>#REF!</v>
      </c>
      <c r="AE1165" t="e">
        <f>RIGHT(#REF!,(FIND("Complex",#REF!,1)-10))</f>
        <v>#REF!</v>
      </c>
    </row>
    <row r="1166" spans="1:31" x14ac:dyDescent="0.25">
      <c r="A1166">
        <v>739</v>
      </c>
      <c r="B1166" t="s">
        <v>96</v>
      </c>
      <c r="C1166">
        <v>3</v>
      </c>
      <c r="D1166">
        <v>228</v>
      </c>
      <c r="E1166">
        <v>739</v>
      </c>
      <c r="F1166">
        <v>6174001</v>
      </c>
      <c r="G1166">
        <v>6262200</v>
      </c>
      <c r="H1166">
        <f t="shared" si="36"/>
        <v>140.00002267573697</v>
      </c>
      <c r="I1166">
        <f t="shared" si="37"/>
        <v>142</v>
      </c>
      <c r="J1166" t="s">
        <v>22</v>
      </c>
      <c r="K1166">
        <v>6</v>
      </c>
      <c r="L1166" t="e">
        <f t="array" ref="L1166">VLOOKUP(J1166:$J$3871&amp;K1166:$K$3871,CHOOSE({1,2},#REF!&amp;#REF!,#REF!),2,0)</f>
        <v>#N/A</v>
      </c>
      <c r="M1166">
        <v>-15</v>
      </c>
      <c r="N1166">
        <v>0</v>
      </c>
      <c r="O1166" t="s">
        <v>7</v>
      </c>
      <c r="P1166">
        <v>0</v>
      </c>
      <c r="Q1166">
        <v>1</v>
      </c>
      <c r="R1166">
        <v>1</v>
      </c>
      <c r="S1166">
        <v>0</v>
      </c>
      <c r="T1166">
        <v>0</v>
      </c>
      <c r="U1166">
        <v>1</v>
      </c>
      <c r="V1166">
        <v>1</v>
      </c>
      <c r="W1166">
        <v>1</v>
      </c>
      <c r="X1166">
        <v>1</v>
      </c>
      <c r="Y1166">
        <v>0</v>
      </c>
      <c r="Z1166">
        <v>0</v>
      </c>
      <c r="AA1166" t="s">
        <v>3265</v>
      </c>
      <c r="AB1166" t="s">
        <v>166</v>
      </c>
      <c r="AC1166" t="s">
        <v>3265</v>
      </c>
      <c r="AD1166" t="e">
        <f>VLOOKUP(AB1166,#REF!,2,FALSE)</f>
        <v>#REF!</v>
      </c>
      <c r="AE1166" t="e">
        <f>RIGHT(#REF!,(FIND("Complex",#REF!,1)-9))</f>
        <v>#REF!</v>
      </c>
    </row>
    <row r="1167" spans="1:31" x14ac:dyDescent="0.25">
      <c r="A1167">
        <v>303</v>
      </c>
      <c r="B1167" t="s">
        <v>96</v>
      </c>
      <c r="C1167">
        <v>3</v>
      </c>
      <c r="D1167">
        <v>92</v>
      </c>
      <c r="E1167">
        <v>303</v>
      </c>
      <c r="F1167">
        <v>5821201</v>
      </c>
      <c r="G1167">
        <v>5909400</v>
      </c>
      <c r="H1167">
        <f t="shared" si="36"/>
        <v>132.00002267573697</v>
      </c>
      <c r="I1167">
        <f t="shared" si="37"/>
        <v>134</v>
      </c>
      <c r="J1167" t="s">
        <v>22</v>
      </c>
      <c r="K1167">
        <v>6</v>
      </c>
      <c r="L1167" t="e">
        <f t="array" ref="L1167">VLOOKUP(J1167:$J$3871&amp;K1167:$K$3871,CHOOSE({1,2},#REF!&amp;#REF!,#REF!),2,0)</f>
        <v>#N/A</v>
      </c>
      <c r="M1167">
        <v>-15</v>
      </c>
      <c r="N1167">
        <v>0</v>
      </c>
      <c r="O1167" t="s">
        <v>7</v>
      </c>
      <c r="P1167">
        <v>0</v>
      </c>
      <c r="Q1167">
        <v>1</v>
      </c>
      <c r="R1167">
        <v>1</v>
      </c>
      <c r="S1167">
        <v>0</v>
      </c>
      <c r="T1167">
        <v>0</v>
      </c>
      <c r="U1167">
        <v>1</v>
      </c>
      <c r="V1167">
        <v>1</v>
      </c>
      <c r="W1167">
        <v>1</v>
      </c>
      <c r="X1167">
        <v>1</v>
      </c>
      <c r="Y1167">
        <v>0</v>
      </c>
      <c r="Z1167">
        <v>0</v>
      </c>
      <c r="AA1167" t="s">
        <v>3311</v>
      </c>
      <c r="AB1167" t="s">
        <v>367</v>
      </c>
      <c r="AC1167" t="s">
        <v>3311</v>
      </c>
      <c r="AD1167" t="e">
        <f>VLOOKUP(AB1167,#REF!,2,FALSE)</f>
        <v>#REF!</v>
      </c>
      <c r="AE1167" t="e">
        <f>RIGHT(#REF!,(FIND("Complex",#REF!,1)-9))</f>
        <v>#REF!</v>
      </c>
    </row>
    <row r="1168" spans="1:31" x14ac:dyDescent="0.25">
      <c r="A1168">
        <v>3166</v>
      </c>
      <c r="B1168" t="s">
        <v>96</v>
      </c>
      <c r="C1168">
        <v>3</v>
      </c>
      <c r="D1168">
        <v>980</v>
      </c>
      <c r="E1168">
        <v>3166</v>
      </c>
      <c r="F1168">
        <v>5115601</v>
      </c>
      <c r="G1168">
        <v>5203800</v>
      </c>
      <c r="H1168">
        <f t="shared" si="36"/>
        <v>116.00002267573696</v>
      </c>
      <c r="I1168">
        <f t="shared" si="37"/>
        <v>118</v>
      </c>
      <c r="J1168" t="s">
        <v>22</v>
      </c>
      <c r="K1168">
        <v>6</v>
      </c>
      <c r="L1168" t="e">
        <f t="array" ref="L1168">VLOOKUP(J1168:$J$3871&amp;K1168:$K$3871,CHOOSE({1,2},#REF!&amp;#REF!,#REF!),2,0)</f>
        <v>#N/A</v>
      </c>
      <c r="M1168">
        <v>-15</v>
      </c>
      <c r="N1168">
        <v>0</v>
      </c>
      <c r="O1168" t="s">
        <v>7</v>
      </c>
      <c r="P1168">
        <v>0</v>
      </c>
      <c r="Q1168">
        <v>1</v>
      </c>
      <c r="R1168">
        <v>1</v>
      </c>
      <c r="S1168">
        <v>0</v>
      </c>
      <c r="T1168">
        <v>0</v>
      </c>
      <c r="U1168">
        <v>1</v>
      </c>
      <c r="V1168">
        <v>1</v>
      </c>
      <c r="W1168">
        <v>1</v>
      </c>
      <c r="X1168">
        <v>1</v>
      </c>
      <c r="Y1168">
        <v>0</v>
      </c>
      <c r="Z1168">
        <v>0</v>
      </c>
      <c r="AA1168" t="s">
        <v>3412</v>
      </c>
      <c r="AB1168" t="s">
        <v>368</v>
      </c>
      <c r="AC1168" t="s">
        <v>3412</v>
      </c>
      <c r="AD1168" t="e">
        <f>VLOOKUP(AB1168,#REF!,2,FALSE)</f>
        <v>#REF!</v>
      </c>
      <c r="AE1168" t="e">
        <f>RIGHT(#REF!,(FIND("Complex",#REF!,1)-10))</f>
        <v>#REF!</v>
      </c>
    </row>
    <row r="1169" spans="1:31" x14ac:dyDescent="0.25">
      <c r="A1169">
        <v>3387</v>
      </c>
      <c r="B1169" t="s">
        <v>96</v>
      </c>
      <c r="C1169">
        <v>3</v>
      </c>
      <c r="D1169">
        <v>1006</v>
      </c>
      <c r="E1169">
        <v>3387</v>
      </c>
      <c r="F1169">
        <v>4939201</v>
      </c>
      <c r="G1169">
        <v>5027400</v>
      </c>
      <c r="H1169">
        <f t="shared" si="36"/>
        <v>112.00002267573696</v>
      </c>
      <c r="I1169">
        <f t="shared" si="37"/>
        <v>114</v>
      </c>
      <c r="J1169" t="s">
        <v>22</v>
      </c>
      <c r="K1169">
        <v>6</v>
      </c>
      <c r="L1169" t="e">
        <f t="array" ref="L1169">VLOOKUP(J1169:$J$3871&amp;K1169:$K$3871,CHOOSE({1,2},#REF!&amp;#REF!,#REF!),2,0)</f>
        <v>#N/A</v>
      </c>
      <c r="M1169">
        <v>-15</v>
      </c>
      <c r="N1169">
        <v>0</v>
      </c>
      <c r="O1169" t="s">
        <v>7</v>
      </c>
      <c r="P1169">
        <v>0</v>
      </c>
      <c r="Q1169">
        <v>1</v>
      </c>
      <c r="R1169">
        <v>1</v>
      </c>
      <c r="S1169">
        <v>0</v>
      </c>
      <c r="T1169">
        <v>0</v>
      </c>
      <c r="U1169">
        <v>1</v>
      </c>
      <c r="V1169">
        <v>1</v>
      </c>
      <c r="W1169">
        <v>1</v>
      </c>
      <c r="X1169">
        <v>1</v>
      </c>
      <c r="Y1169">
        <v>0</v>
      </c>
      <c r="Z1169">
        <v>0</v>
      </c>
      <c r="AA1169" t="s">
        <v>3437</v>
      </c>
      <c r="AB1169" t="s">
        <v>369</v>
      </c>
      <c r="AC1169" t="s">
        <v>3437</v>
      </c>
      <c r="AD1169" t="e">
        <f>VLOOKUP(AB1169,#REF!,2,FALSE)</f>
        <v>#REF!</v>
      </c>
      <c r="AE1169" t="e">
        <f>RIGHT(#REF!,(FIND("Complex",#REF!,1)-11))</f>
        <v>#REF!</v>
      </c>
    </row>
    <row r="1170" spans="1:31" x14ac:dyDescent="0.25">
      <c r="A1170">
        <v>3283</v>
      </c>
      <c r="B1170" t="s">
        <v>96</v>
      </c>
      <c r="C1170">
        <v>3</v>
      </c>
      <c r="D1170">
        <v>991</v>
      </c>
      <c r="E1170">
        <v>3283</v>
      </c>
      <c r="F1170">
        <v>4498201</v>
      </c>
      <c r="G1170">
        <v>4586400</v>
      </c>
      <c r="H1170">
        <f t="shared" si="36"/>
        <v>102.00002267573696</v>
      </c>
      <c r="I1170">
        <f t="shared" si="37"/>
        <v>104</v>
      </c>
      <c r="J1170" t="s">
        <v>22</v>
      </c>
      <c r="K1170">
        <v>6</v>
      </c>
      <c r="L1170" t="e">
        <f t="array" ref="L1170">VLOOKUP(J1170:$J$3871&amp;K1170:$K$3871,CHOOSE({1,2},#REF!&amp;#REF!,#REF!),2,0)</f>
        <v>#N/A</v>
      </c>
      <c r="M1170">
        <v>-15</v>
      </c>
      <c r="N1170">
        <v>0</v>
      </c>
      <c r="O1170" t="s">
        <v>7</v>
      </c>
      <c r="P1170">
        <v>0</v>
      </c>
      <c r="Q1170">
        <v>1</v>
      </c>
      <c r="R1170">
        <v>1</v>
      </c>
      <c r="S1170">
        <v>0</v>
      </c>
      <c r="T1170">
        <v>0</v>
      </c>
      <c r="U1170">
        <v>1</v>
      </c>
      <c r="V1170">
        <v>1</v>
      </c>
      <c r="W1170">
        <v>1</v>
      </c>
      <c r="X1170">
        <v>1</v>
      </c>
      <c r="Y1170">
        <v>0</v>
      </c>
      <c r="Z1170">
        <v>0</v>
      </c>
      <c r="AA1170" t="s">
        <v>3482</v>
      </c>
      <c r="AB1170" t="s">
        <v>370</v>
      </c>
      <c r="AC1170" t="s">
        <v>3482</v>
      </c>
      <c r="AD1170" t="e">
        <f>VLOOKUP(AB1170,#REF!,2,FALSE)</f>
        <v>#REF!</v>
      </c>
      <c r="AE1170" t="e">
        <f>RIGHT(#REF!,(FIND("Complex",#REF!,1)-10))</f>
        <v>#REF!</v>
      </c>
    </row>
    <row r="1171" spans="1:31" x14ac:dyDescent="0.25">
      <c r="A1171">
        <v>2451</v>
      </c>
      <c r="B1171" t="s">
        <v>68</v>
      </c>
      <c r="C1171">
        <v>4</v>
      </c>
      <c r="D1171">
        <v>791</v>
      </c>
      <c r="E1171">
        <v>2451</v>
      </c>
      <c r="F1171">
        <v>3792601</v>
      </c>
      <c r="G1171">
        <v>3880800</v>
      </c>
      <c r="H1171">
        <f t="shared" si="36"/>
        <v>86.000022675736957</v>
      </c>
      <c r="I1171">
        <f t="shared" si="37"/>
        <v>88</v>
      </c>
      <c r="J1171" t="s">
        <v>22</v>
      </c>
      <c r="K1171">
        <v>6</v>
      </c>
      <c r="L1171" t="e">
        <f t="array" ref="L1171">VLOOKUP(J1171:$J$3871&amp;K1171:$K$3871,CHOOSE({1,2},#REF!&amp;#REF!,#REF!),2,0)</f>
        <v>#N/A</v>
      </c>
      <c r="M1171">
        <v>-15</v>
      </c>
      <c r="N1171">
        <v>0</v>
      </c>
      <c r="O1171" t="s">
        <v>7</v>
      </c>
      <c r="P1171">
        <v>1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1</v>
      </c>
      <c r="X1171">
        <v>1</v>
      </c>
      <c r="Y1171">
        <v>0</v>
      </c>
      <c r="Z1171">
        <v>0</v>
      </c>
      <c r="AA1171" t="s">
        <v>2670</v>
      </c>
      <c r="AB1171" t="s">
        <v>400</v>
      </c>
      <c r="AC1171" t="s">
        <v>2670</v>
      </c>
      <c r="AD1171" t="e">
        <f>VLOOKUP(AB1171,#REF!,2,FALSE)</f>
        <v>#REF!</v>
      </c>
      <c r="AE1171" t="e">
        <f>RIGHT(#REF!,(FIND("Complex",#REF!,1)-11))</f>
        <v>#REF!</v>
      </c>
    </row>
    <row r="1172" spans="1:31" x14ac:dyDescent="0.25">
      <c r="A1172">
        <v>3544</v>
      </c>
      <c r="B1172" t="s">
        <v>68</v>
      </c>
      <c r="C1172">
        <v>4</v>
      </c>
      <c r="D1172">
        <v>1029</v>
      </c>
      <c r="E1172">
        <v>3544</v>
      </c>
      <c r="F1172">
        <v>3528001</v>
      </c>
      <c r="G1172">
        <v>3616200</v>
      </c>
      <c r="H1172">
        <f t="shared" si="36"/>
        <v>80.000022675736957</v>
      </c>
      <c r="I1172">
        <f t="shared" si="37"/>
        <v>82</v>
      </c>
      <c r="J1172" t="s">
        <v>22</v>
      </c>
      <c r="K1172">
        <v>6</v>
      </c>
      <c r="L1172" t="e">
        <f t="array" ref="L1172">VLOOKUP(J1172:$J$3871&amp;K1172:$K$3871,CHOOSE({1,2},#REF!&amp;#REF!,#REF!),2,0)</f>
        <v>#N/A</v>
      </c>
      <c r="M1172">
        <v>-15</v>
      </c>
      <c r="N1172">
        <v>0</v>
      </c>
      <c r="O1172" t="s">
        <v>7</v>
      </c>
      <c r="P1172">
        <v>1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1</v>
      </c>
      <c r="X1172">
        <v>1</v>
      </c>
      <c r="Y1172">
        <v>0</v>
      </c>
      <c r="Z1172">
        <v>0</v>
      </c>
      <c r="AA1172" t="s">
        <v>2699</v>
      </c>
      <c r="AB1172" t="s">
        <v>6160</v>
      </c>
      <c r="AC1172" t="s">
        <v>2699</v>
      </c>
      <c r="AD1172" t="e">
        <f>VLOOKUP(AB1172,#REF!,2,FALSE)</f>
        <v>#REF!</v>
      </c>
      <c r="AE1172" t="e">
        <f>RIGHT(#REF!,(FIND("Complex",#REF!,1)-12))</f>
        <v>#REF!</v>
      </c>
    </row>
    <row r="1173" spans="1:31" x14ac:dyDescent="0.25">
      <c r="A1173">
        <v>2050</v>
      </c>
      <c r="B1173" t="s">
        <v>68</v>
      </c>
      <c r="C1173">
        <v>4</v>
      </c>
      <c r="D1173">
        <v>621</v>
      </c>
      <c r="E1173">
        <v>2050</v>
      </c>
      <c r="F1173">
        <v>11025001</v>
      </c>
      <c r="G1173">
        <v>11113200</v>
      </c>
      <c r="H1173">
        <f t="shared" si="36"/>
        <v>250.00002267573697</v>
      </c>
      <c r="I1173">
        <f t="shared" si="37"/>
        <v>252</v>
      </c>
      <c r="J1173" t="s">
        <v>22</v>
      </c>
      <c r="K1173">
        <v>6</v>
      </c>
      <c r="L1173" t="e">
        <f t="array" ref="L1173">VLOOKUP(J1173:$J$3871&amp;K1173:$K$3871,CHOOSE({1,2},#REF!&amp;#REF!,#REF!),2,0)</f>
        <v>#N/A</v>
      </c>
      <c r="M1173">
        <v>-15</v>
      </c>
      <c r="N1173">
        <v>0</v>
      </c>
      <c r="O1173" t="s">
        <v>7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1</v>
      </c>
      <c r="X1173">
        <v>1</v>
      </c>
      <c r="Y1173">
        <v>0</v>
      </c>
      <c r="Z1173">
        <v>1</v>
      </c>
      <c r="AA1173" t="s">
        <v>2935</v>
      </c>
      <c r="AB1173" t="s">
        <v>6228</v>
      </c>
      <c r="AC1173" t="s">
        <v>2935</v>
      </c>
      <c r="AD1173" t="e">
        <f>VLOOKUP(AB1173,#REF!,2,FALSE)</f>
        <v>#REF!</v>
      </c>
      <c r="AE1173" t="e">
        <f>RIGHT(#REF!,(FIND("Complex",#REF!,1)-10))</f>
        <v>#REF!</v>
      </c>
    </row>
    <row r="1174" spans="1:31" x14ac:dyDescent="0.25">
      <c r="A1174">
        <v>3102</v>
      </c>
      <c r="B1174" t="s">
        <v>68</v>
      </c>
      <c r="C1174">
        <v>4</v>
      </c>
      <c r="D1174">
        <v>973</v>
      </c>
      <c r="E1174">
        <v>3102</v>
      </c>
      <c r="F1174">
        <v>8290801</v>
      </c>
      <c r="G1174">
        <v>8379000</v>
      </c>
      <c r="H1174">
        <f t="shared" si="36"/>
        <v>188.00002267573697</v>
      </c>
      <c r="I1174">
        <f t="shared" si="37"/>
        <v>190</v>
      </c>
      <c r="J1174" t="s">
        <v>22</v>
      </c>
      <c r="K1174">
        <v>6</v>
      </c>
      <c r="L1174" t="e">
        <f t="array" ref="L1174">VLOOKUP(J1174:$J$3871&amp;K1174:$K$3871,CHOOSE({1,2},#REF!&amp;#REF!,#REF!),2,0)</f>
        <v>#N/A</v>
      </c>
      <c r="M1174">
        <v>-15</v>
      </c>
      <c r="N1174">
        <v>0</v>
      </c>
      <c r="O1174" t="s">
        <v>7</v>
      </c>
      <c r="P1174">
        <v>1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1</v>
      </c>
      <c r="X1174">
        <v>1</v>
      </c>
      <c r="Y1174">
        <v>0</v>
      </c>
      <c r="Z1174">
        <v>0</v>
      </c>
      <c r="AA1174" t="s">
        <v>3093</v>
      </c>
      <c r="AB1174" t="s">
        <v>6262</v>
      </c>
      <c r="AC1174" t="s">
        <v>3093</v>
      </c>
      <c r="AD1174" t="e">
        <f>VLOOKUP(AB1174,#REF!,2,FALSE)</f>
        <v>#REF!</v>
      </c>
      <c r="AE1174" t="e">
        <f>RIGHT(#REF!,(FIND("Complex",#REF!,1)-10))</f>
        <v>#REF!</v>
      </c>
    </row>
    <row r="1175" spans="1:31" x14ac:dyDescent="0.25">
      <c r="A1175">
        <v>3512</v>
      </c>
      <c r="B1175" t="s">
        <v>68</v>
      </c>
      <c r="C1175">
        <v>4</v>
      </c>
      <c r="D1175">
        <v>1024</v>
      </c>
      <c r="E1175">
        <v>3512</v>
      </c>
      <c r="F1175">
        <v>8114401</v>
      </c>
      <c r="G1175">
        <v>8202600</v>
      </c>
      <c r="H1175">
        <f t="shared" si="36"/>
        <v>184.00002267573697</v>
      </c>
      <c r="I1175">
        <f t="shared" si="37"/>
        <v>186</v>
      </c>
      <c r="J1175" t="s">
        <v>22</v>
      </c>
      <c r="K1175">
        <v>6</v>
      </c>
      <c r="L1175" t="e">
        <f t="array" ref="L1175">VLOOKUP(J1175:$J$3871&amp;K1175:$K$3871,CHOOSE({1,2},#REF!&amp;#REF!,#REF!),2,0)</f>
        <v>#N/A</v>
      </c>
      <c r="M1175">
        <v>-15</v>
      </c>
      <c r="N1175">
        <v>0</v>
      </c>
      <c r="O1175" t="s">
        <v>7</v>
      </c>
      <c r="P1175">
        <v>1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1</v>
      </c>
      <c r="X1175">
        <v>1</v>
      </c>
      <c r="Y1175">
        <v>0</v>
      </c>
      <c r="Z1175">
        <v>0</v>
      </c>
      <c r="AA1175" t="s">
        <v>3107</v>
      </c>
      <c r="AB1175" t="s">
        <v>6267</v>
      </c>
      <c r="AC1175" t="s">
        <v>3107</v>
      </c>
      <c r="AD1175" t="e">
        <f>VLOOKUP(AB1175,#REF!,2,FALSE)</f>
        <v>#REF!</v>
      </c>
      <c r="AE1175" t="e">
        <f>RIGHT(#REF!,(FIND("Complex",#REF!,1)-11))</f>
        <v>#REF!</v>
      </c>
    </row>
    <row r="1176" spans="1:31" x14ac:dyDescent="0.25">
      <c r="A1176">
        <v>3219</v>
      </c>
      <c r="B1176" t="s">
        <v>68</v>
      </c>
      <c r="C1176">
        <v>4</v>
      </c>
      <c r="D1176">
        <v>985</v>
      </c>
      <c r="E1176">
        <v>3219</v>
      </c>
      <c r="F1176">
        <v>7938001</v>
      </c>
      <c r="G1176">
        <v>8026200</v>
      </c>
      <c r="H1176">
        <f t="shared" si="36"/>
        <v>180.00002267573697</v>
      </c>
      <c r="I1176">
        <f t="shared" si="37"/>
        <v>182</v>
      </c>
      <c r="J1176" t="s">
        <v>22</v>
      </c>
      <c r="K1176">
        <v>6</v>
      </c>
      <c r="L1176" t="e">
        <f t="array" ref="L1176">VLOOKUP(J1176:$J$3871&amp;K1176:$K$3871,CHOOSE({1,2},#REF!&amp;#REF!,#REF!),2,0)</f>
        <v>#N/A</v>
      </c>
      <c r="M1176">
        <v>-15</v>
      </c>
      <c r="N1176">
        <v>0</v>
      </c>
      <c r="O1176" t="s">
        <v>7</v>
      </c>
      <c r="P1176">
        <v>1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1</v>
      </c>
      <c r="X1176">
        <v>1</v>
      </c>
      <c r="Y1176">
        <v>0</v>
      </c>
      <c r="Z1176">
        <v>0</v>
      </c>
      <c r="AA1176" t="s">
        <v>3128</v>
      </c>
      <c r="AB1176" t="s">
        <v>401</v>
      </c>
      <c r="AC1176" t="s">
        <v>3128</v>
      </c>
      <c r="AD1176" t="e">
        <f>VLOOKUP(AB1176,#REF!,2,FALSE)</f>
        <v>#REF!</v>
      </c>
      <c r="AE1176" t="e">
        <f>RIGHT(#REF!,(FIND("Complex",#REF!,1)-10))</f>
        <v>#REF!</v>
      </c>
    </row>
    <row r="1177" spans="1:31" x14ac:dyDescent="0.25">
      <c r="A1177">
        <v>2614</v>
      </c>
      <c r="B1177" t="s">
        <v>68</v>
      </c>
      <c r="C1177">
        <v>4</v>
      </c>
      <c r="D1177">
        <v>861</v>
      </c>
      <c r="E1177">
        <v>2614</v>
      </c>
      <c r="F1177">
        <v>7585201</v>
      </c>
      <c r="G1177">
        <v>7673400</v>
      </c>
      <c r="H1177">
        <f t="shared" si="36"/>
        <v>172.00002267573697</v>
      </c>
      <c r="I1177">
        <f t="shared" si="37"/>
        <v>174</v>
      </c>
      <c r="J1177" t="s">
        <v>22</v>
      </c>
      <c r="K1177">
        <v>6</v>
      </c>
      <c r="L1177" t="e">
        <f t="array" ref="L1177">VLOOKUP(J1177:$J$3871&amp;K1177:$K$3871,CHOOSE({1,2},#REF!&amp;#REF!,#REF!),2,0)</f>
        <v>#N/A</v>
      </c>
      <c r="M1177">
        <v>-15</v>
      </c>
      <c r="N1177">
        <v>0</v>
      </c>
      <c r="O1177" t="s">
        <v>7</v>
      </c>
      <c r="P1177">
        <v>1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1</v>
      </c>
      <c r="X1177">
        <v>1</v>
      </c>
      <c r="Y1177">
        <v>0</v>
      </c>
      <c r="Z1177">
        <v>0</v>
      </c>
      <c r="AA1177" t="s">
        <v>3163</v>
      </c>
      <c r="AB1177" t="s">
        <v>402</v>
      </c>
      <c r="AC1177" t="s">
        <v>3163</v>
      </c>
      <c r="AD1177" t="e">
        <f>VLOOKUP(AB1177,#REF!,2,FALSE)</f>
        <v>#REF!</v>
      </c>
      <c r="AE1177" t="e">
        <f>RIGHT(#REF!,(FIND("Complex",#REF!,1)-10))</f>
        <v>#REF!</v>
      </c>
    </row>
    <row r="1178" spans="1:31" x14ac:dyDescent="0.25">
      <c r="A1178">
        <v>3866</v>
      </c>
      <c r="B1178" t="s">
        <v>68</v>
      </c>
      <c r="C1178">
        <v>4</v>
      </c>
      <c r="D1178">
        <v>1096</v>
      </c>
      <c r="E1178">
        <v>3866</v>
      </c>
      <c r="F1178">
        <v>7056001</v>
      </c>
      <c r="G1178">
        <v>7144200</v>
      </c>
      <c r="H1178">
        <f t="shared" si="36"/>
        <v>160.00002267573697</v>
      </c>
      <c r="I1178">
        <f t="shared" si="37"/>
        <v>162</v>
      </c>
      <c r="J1178" t="s">
        <v>22</v>
      </c>
      <c r="K1178">
        <v>6</v>
      </c>
      <c r="L1178" t="e">
        <f t="array" ref="L1178">VLOOKUP(J1178:$J$3871&amp;K1178:$K$3871,CHOOSE({1,2},#REF!&amp;#REF!,#REF!),2,0)</f>
        <v>#N/A</v>
      </c>
      <c r="M1178">
        <v>-15</v>
      </c>
      <c r="N1178">
        <v>0</v>
      </c>
      <c r="O1178" t="s">
        <v>7</v>
      </c>
      <c r="P1178">
        <v>1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1</v>
      </c>
      <c r="X1178">
        <v>1</v>
      </c>
      <c r="Y1178">
        <v>0</v>
      </c>
      <c r="Z1178">
        <v>0</v>
      </c>
      <c r="AA1178" t="s">
        <v>3193</v>
      </c>
      <c r="AB1178" t="s">
        <v>6282</v>
      </c>
      <c r="AC1178" t="s">
        <v>3193</v>
      </c>
      <c r="AD1178" t="e">
        <f>VLOOKUP(AB1178,#REF!,2,FALSE)</f>
        <v>#REF!</v>
      </c>
      <c r="AE1178" t="e">
        <f>RIGHT(#REF!,(FIND("Complex",#REF!,1)-11))</f>
        <v>#REF!</v>
      </c>
    </row>
    <row r="1179" spans="1:31" x14ac:dyDescent="0.25">
      <c r="A1179">
        <v>3434</v>
      </c>
      <c r="B1179" t="s">
        <v>81</v>
      </c>
      <c r="C1179">
        <v>5</v>
      </c>
      <c r="D1179">
        <v>1012</v>
      </c>
      <c r="E1179">
        <v>3434</v>
      </c>
      <c r="F1179">
        <v>19139401</v>
      </c>
      <c r="G1179">
        <v>19227600</v>
      </c>
      <c r="H1179">
        <f t="shared" si="36"/>
        <v>434.00002267573694</v>
      </c>
      <c r="I1179">
        <f t="shared" si="37"/>
        <v>436</v>
      </c>
      <c r="J1179" t="s">
        <v>22</v>
      </c>
      <c r="K1179">
        <v>6</v>
      </c>
      <c r="L1179" t="e">
        <f t="array" ref="L1179">VLOOKUP(J1179:$J$3871&amp;K1179:$K$3871,CHOOSE({1,2},#REF!&amp;#REF!,#REF!),2,0)</f>
        <v>#N/A</v>
      </c>
      <c r="M1179">
        <v>-15</v>
      </c>
      <c r="N1179">
        <v>0</v>
      </c>
      <c r="O1179" t="s">
        <v>7</v>
      </c>
      <c r="P1179">
        <v>0</v>
      </c>
      <c r="Q1179">
        <v>1</v>
      </c>
      <c r="R1179">
        <v>0</v>
      </c>
      <c r="S1179">
        <v>0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0</v>
      </c>
      <c r="Z1179">
        <v>0</v>
      </c>
      <c r="AA1179" t="s">
        <v>2823</v>
      </c>
      <c r="AB1179" t="s">
        <v>433</v>
      </c>
      <c r="AC1179" t="s">
        <v>2823</v>
      </c>
      <c r="AD1179" t="e">
        <f>VLOOKUP(AB1179,#REF!,2,FALSE)</f>
        <v>#REF!</v>
      </c>
      <c r="AE1179" t="e">
        <f>RIGHT(#REF!,(FIND("Complex",#REF!,1)-11))</f>
        <v>#REF!</v>
      </c>
    </row>
    <row r="1180" spans="1:31" x14ac:dyDescent="0.25">
      <c r="A1180">
        <v>2892</v>
      </c>
      <c r="B1180" t="s">
        <v>81</v>
      </c>
      <c r="C1180">
        <v>5</v>
      </c>
      <c r="D1180">
        <v>947</v>
      </c>
      <c r="E1180">
        <v>2892</v>
      </c>
      <c r="F1180">
        <v>18345601</v>
      </c>
      <c r="G1180">
        <v>18433800</v>
      </c>
      <c r="H1180">
        <f t="shared" si="36"/>
        <v>416.00002267573694</v>
      </c>
      <c r="I1180">
        <f t="shared" si="37"/>
        <v>418</v>
      </c>
      <c r="J1180" t="s">
        <v>22</v>
      </c>
      <c r="K1180">
        <v>6</v>
      </c>
      <c r="L1180" t="e">
        <f t="array" ref="L1180">VLOOKUP(J1180:$J$3871&amp;K1180:$K$3871,CHOOSE({1,2},#REF!&amp;#REF!,#REF!),2,0)</f>
        <v>#N/A</v>
      </c>
      <c r="M1180">
        <v>-15</v>
      </c>
      <c r="N1180">
        <v>0</v>
      </c>
      <c r="O1180" t="s">
        <v>7</v>
      </c>
      <c r="P1180">
        <v>1</v>
      </c>
      <c r="Q1180">
        <v>1</v>
      </c>
      <c r="R1180">
        <v>0</v>
      </c>
      <c r="S1180">
        <v>0</v>
      </c>
      <c r="T1180">
        <v>1</v>
      </c>
      <c r="U1180">
        <v>0</v>
      </c>
      <c r="V1180">
        <v>1</v>
      </c>
      <c r="W1180">
        <v>1</v>
      </c>
      <c r="X1180">
        <v>1</v>
      </c>
      <c r="Y1180">
        <v>0</v>
      </c>
      <c r="Z1180">
        <v>0</v>
      </c>
      <c r="AA1180" t="s">
        <v>2832</v>
      </c>
      <c r="AB1180" t="s">
        <v>434</v>
      </c>
      <c r="AC1180" t="s">
        <v>2832</v>
      </c>
      <c r="AD1180" t="e">
        <f>VLOOKUP(AB1180,#REF!,2,FALSE)</f>
        <v>#REF!</v>
      </c>
      <c r="AE1180" t="e">
        <f>RIGHT(#REF!,(FIND("Complex",#REF!,1)-10))</f>
        <v>#REF!</v>
      </c>
    </row>
    <row r="1181" spans="1:31" x14ac:dyDescent="0.25">
      <c r="A1181">
        <v>3712</v>
      </c>
      <c r="B1181" t="s">
        <v>81</v>
      </c>
      <c r="C1181">
        <v>5</v>
      </c>
      <c r="D1181">
        <v>1060</v>
      </c>
      <c r="E1181">
        <v>3712</v>
      </c>
      <c r="F1181">
        <v>18257401</v>
      </c>
      <c r="G1181">
        <v>18345600</v>
      </c>
      <c r="H1181">
        <f t="shared" si="36"/>
        <v>414.00002267573694</v>
      </c>
      <c r="I1181">
        <f t="shared" si="37"/>
        <v>416</v>
      </c>
      <c r="J1181" t="s">
        <v>22</v>
      </c>
      <c r="K1181">
        <v>6</v>
      </c>
      <c r="L1181" t="e">
        <f t="array" ref="L1181">VLOOKUP(J1181:$J$3871&amp;K1181:$K$3871,CHOOSE({1,2},#REF!&amp;#REF!,#REF!),2,0)</f>
        <v>#N/A</v>
      </c>
      <c r="M1181">
        <v>-15</v>
      </c>
      <c r="N1181">
        <v>0</v>
      </c>
      <c r="O1181" t="s">
        <v>7</v>
      </c>
      <c r="P1181">
        <v>1</v>
      </c>
      <c r="Q1181">
        <v>1</v>
      </c>
      <c r="R1181">
        <v>0</v>
      </c>
      <c r="S1181">
        <v>0</v>
      </c>
      <c r="T1181">
        <v>1</v>
      </c>
      <c r="U1181">
        <v>0</v>
      </c>
      <c r="V1181">
        <v>1</v>
      </c>
      <c r="W1181">
        <v>1</v>
      </c>
      <c r="X1181">
        <v>1</v>
      </c>
      <c r="Y1181">
        <v>0</v>
      </c>
      <c r="Z1181">
        <v>0</v>
      </c>
      <c r="AA1181" t="s">
        <v>2833</v>
      </c>
      <c r="AB1181" t="s">
        <v>435</v>
      </c>
      <c r="AC1181" t="s">
        <v>2833</v>
      </c>
      <c r="AD1181" t="e">
        <f>VLOOKUP(AB1181,#REF!,2,FALSE)</f>
        <v>#REF!</v>
      </c>
      <c r="AE1181" t="e">
        <f>RIGHT(#REF!,(FIND("Complex",#REF!,1)-11))</f>
        <v>#REF!</v>
      </c>
    </row>
    <row r="1182" spans="1:31" x14ac:dyDescent="0.25">
      <c r="A1182">
        <v>774</v>
      </c>
      <c r="B1182" t="s">
        <v>81</v>
      </c>
      <c r="C1182">
        <v>5</v>
      </c>
      <c r="D1182">
        <v>238</v>
      </c>
      <c r="E1182">
        <v>774</v>
      </c>
      <c r="F1182">
        <v>13935601</v>
      </c>
      <c r="G1182">
        <v>14023800</v>
      </c>
      <c r="H1182">
        <f t="shared" si="36"/>
        <v>316.00002267573694</v>
      </c>
      <c r="I1182">
        <f t="shared" si="37"/>
        <v>318</v>
      </c>
      <c r="J1182" t="s">
        <v>22</v>
      </c>
      <c r="K1182">
        <v>6</v>
      </c>
      <c r="L1182" t="e">
        <f t="array" ref="L1182">VLOOKUP(J1182:$J$3871&amp;K1182:$K$3871,CHOOSE({1,2},#REF!&amp;#REF!,#REF!),2,0)</f>
        <v>#N/A</v>
      </c>
      <c r="M1182">
        <v>-15</v>
      </c>
      <c r="N1182">
        <v>0</v>
      </c>
      <c r="O1182" t="s">
        <v>7</v>
      </c>
      <c r="P1182">
        <v>1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1</v>
      </c>
      <c r="X1182">
        <v>1</v>
      </c>
      <c r="Y1182">
        <v>0</v>
      </c>
      <c r="Z1182">
        <v>0</v>
      </c>
      <c r="AA1182" t="s">
        <v>2873</v>
      </c>
      <c r="AB1182" t="s">
        <v>436</v>
      </c>
      <c r="AC1182" t="s">
        <v>2873</v>
      </c>
      <c r="AD1182" t="e">
        <f>VLOOKUP(AB1182,#REF!,2,FALSE)</f>
        <v>#REF!</v>
      </c>
      <c r="AE1182" t="e">
        <f>RIGHT(#REF!,(FIND("Complex",#REF!,1)-9))</f>
        <v>#REF!</v>
      </c>
    </row>
    <row r="1183" spans="1:31" x14ac:dyDescent="0.25">
      <c r="A1183">
        <v>1469</v>
      </c>
      <c r="B1183" t="s">
        <v>81</v>
      </c>
      <c r="C1183">
        <v>5</v>
      </c>
      <c r="D1183">
        <v>446</v>
      </c>
      <c r="E1183">
        <v>1469</v>
      </c>
      <c r="F1183">
        <v>12965401</v>
      </c>
      <c r="G1183">
        <v>13053600</v>
      </c>
      <c r="H1183">
        <f t="shared" si="36"/>
        <v>294.00002267573694</v>
      </c>
      <c r="I1183">
        <f t="shared" si="37"/>
        <v>296</v>
      </c>
      <c r="J1183" t="s">
        <v>22</v>
      </c>
      <c r="K1183">
        <v>6</v>
      </c>
      <c r="L1183" t="e">
        <f t="array" ref="L1183">VLOOKUP(J1183:$J$3871&amp;K1183:$K$3871,CHOOSE({1,2},#REF!&amp;#REF!,#REF!),2,0)</f>
        <v>#N/A</v>
      </c>
      <c r="M1183">
        <v>-15</v>
      </c>
      <c r="N1183">
        <v>0</v>
      </c>
      <c r="O1183" t="s">
        <v>7</v>
      </c>
      <c r="P1183">
        <v>1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1</v>
      </c>
      <c r="X1183">
        <v>1</v>
      </c>
      <c r="Y1183">
        <v>0</v>
      </c>
      <c r="Z1183">
        <v>0</v>
      </c>
      <c r="AA1183" t="s">
        <v>2889</v>
      </c>
      <c r="AB1183" t="s">
        <v>437</v>
      </c>
      <c r="AC1183" t="s">
        <v>2889</v>
      </c>
      <c r="AD1183" t="e">
        <f>VLOOKUP(AB1183,#REF!,2,FALSE)</f>
        <v>#REF!</v>
      </c>
      <c r="AE1183" t="e">
        <f>RIGHT(#REF!,(FIND("Complex",#REF!,1)-10))</f>
        <v>#REF!</v>
      </c>
    </row>
    <row r="1184" spans="1:31" x14ac:dyDescent="0.25">
      <c r="A1184">
        <v>2905</v>
      </c>
      <c r="B1184" t="s">
        <v>81</v>
      </c>
      <c r="C1184">
        <v>5</v>
      </c>
      <c r="D1184">
        <v>948</v>
      </c>
      <c r="E1184">
        <v>2905</v>
      </c>
      <c r="F1184">
        <v>12877201</v>
      </c>
      <c r="G1184">
        <v>12965400</v>
      </c>
      <c r="H1184">
        <f t="shared" si="36"/>
        <v>292.00002267573694</v>
      </c>
      <c r="I1184">
        <f t="shared" si="37"/>
        <v>294</v>
      </c>
      <c r="J1184" t="s">
        <v>22</v>
      </c>
      <c r="K1184">
        <v>6</v>
      </c>
      <c r="L1184" t="e">
        <f t="array" ref="L1184">VLOOKUP(J1184:$J$3871&amp;K1184:$K$3871,CHOOSE({1,2},#REF!&amp;#REF!,#REF!),2,0)</f>
        <v>#N/A</v>
      </c>
      <c r="M1184">
        <v>-15</v>
      </c>
      <c r="N1184">
        <v>0</v>
      </c>
      <c r="O1184" t="s">
        <v>7</v>
      </c>
      <c r="P1184">
        <v>1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1</v>
      </c>
      <c r="X1184">
        <v>1</v>
      </c>
      <c r="Y1184">
        <v>0</v>
      </c>
      <c r="Z1184">
        <v>0</v>
      </c>
      <c r="AA1184" t="s">
        <v>2891</v>
      </c>
      <c r="AB1184" t="s">
        <v>438</v>
      </c>
      <c r="AC1184" t="s">
        <v>2891</v>
      </c>
      <c r="AD1184" t="e">
        <f>VLOOKUP(AB1184,#REF!,2,FALSE)</f>
        <v>#REF!</v>
      </c>
      <c r="AE1184" t="e">
        <f>RIGHT(#REF!,(FIND("Complex",#REF!,1)-10))</f>
        <v>#REF!</v>
      </c>
    </row>
    <row r="1185" spans="1:31" x14ac:dyDescent="0.25">
      <c r="A1185">
        <v>1303</v>
      </c>
      <c r="B1185" t="s">
        <v>94</v>
      </c>
      <c r="C1185">
        <v>7</v>
      </c>
      <c r="D1185">
        <v>399</v>
      </c>
      <c r="E1185">
        <v>1303</v>
      </c>
      <c r="F1185">
        <v>2734201</v>
      </c>
      <c r="G1185">
        <v>2822400</v>
      </c>
      <c r="H1185">
        <f t="shared" si="36"/>
        <v>62.000022675736965</v>
      </c>
      <c r="I1185">
        <f t="shared" si="37"/>
        <v>64</v>
      </c>
      <c r="J1185" t="s">
        <v>22</v>
      </c>
      <c r="K1185">
        <v>6</v>
      </c>
      <c r="L1185" t="e">
        <f t="array" ref="L1185">VLOOKUP(J1185:$J$3871&amp;K1185:$K$3871,CHOOSE({1,2},#REF!&amp;#REF!,#REF!),2,0)</f>
        <v>#N/A</v>
      </c>
      <c r="M1185">
        <v>-15</v>
      </c>
      <c r="N1185">
        <v>0</v>
      </c>
      <c r="O1185" t="s">
        <v>7</v>
      </c>
      <c r="P1185">
        <v>1</v>
      </c>
      <c r="Q1185">
        <v>1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1</v>
      </c>
      <c r="X1185">
        <v>1</v>
      </c>
      <c r="Y1185">
        <v>0</v>
      </c>
      <c r="Z1185">
        <v>1</v>
      </c>
      <c r="AA1185" t="s">
        <v>2774</v>
      </c>
      <c r="AB1185" t="s">
        <v>462</v>
      </c>
      <c r="AC1185" t="s">
        <v>2774</v>
      </c>
      <c r="AD1185" t="e">
        <f>VLOOKUP(AB1185,#REF!,2,FALSE)</f>
        <v>#REF!</v>
      </c>
      <c r="AE1185" t="e">
        <f>RIGHT(#REF!,(FIND("Complex",#REF!,1)-11))</f>
        <v>#REF!</v>
      </c>
    </row>
    <row r="1186" spans="1:31" x14ac:dyDescent="0.25">
      <c r="A1186">
        <v>2313</v>
      </c>
      <c r="B1186" t="s">
        <v>94</v>
      </c>
      <c r="C1186">
        <v>7</v>
      </c>
      <c r="D1186">
        <v>727</v>
      </c>
      <c r="E1186">
        <v>2313</v>
      </c>
      <c r="F1186">
        <v>1499401</v>
      </c>
      <c r="G1186">
        <v>1587600</v>
      </c>
      <c r="H1186">
        <f t="shared" si="36"/>
        <v>34.000022675736965</v>
      </c>
      <c r="I1186">
        <f t="shared" si="37"/>
        <v>36</v>
      </c>
      <c r="J1186" t="s">
        <v>22</v>
      </c>
      <c r="K1186">
        <v>6</v>
      </c>
      <c r="L1186" t="e">
        <f t="array" ref="L1186">VLOOKUP(J1186:$J$3871&amp;K1186:$K$3871,CHOOSE({1,2},#REF!&amp;#REF!,#REF!),2,0)</f>
        <v>#N/A</v>
      </c>
      <c r="M1186">
        <v>-15</v>
      </c>
      <c r="N1186">
        <v>0</v>
      </c>
      <c r="O1186" t="s">
        <v>7</v>
      </c>
      <c r="P1186">
        <v>1</v>
      </c>
      <c r="Q1186">
        <v>1</v>
      </c>
      <c r="R1186">
        <v>0</v>
      </c>
      <c r="S1186">
        <v>0</v>
      </c>
      <c r="T1186">
        <v>1</v>
      </c>
      <c r="U1186">
        <v>0</v>
      </c>
      <c r="V1186">
        <v>1</v>
      </c>
      <c r="W1186">
        <v>1</v>
      </c>
      <c r="X1186">
        <v>1</v>
      </c>
      <c r="Y1186">
        <v>0</v>
      </c>
      <c r="Z1186">
        <v>0</v>
      </c>
      <c r="AA1186" t="s">
        <v>2853</v>
      </c>
      <c r="AB1186" t="s">
        <v>463</v>
      </c>
      <c r="AC1186" t="s">
        <v>2853</v>
      </c>
      <c r="AD1186" t="e">
        <f>VLOOKUP(AB1186,#REF!,2,FALSE)</f>
        <v>#REF!</v>
      </c>
      <c r="AE1186" t="e">
        <f>RIGHT(#REF!,(FIND("Complex",#REF!,1)-11))</f>
        <v>#REF!</v>
      </c>
    </row>
    <row r="1187" spans="1:31" x14ac:dyDescent="0.25">
      <c r="A1187">
        <v>3591</v>
      </c>
      <c r="B1187" t="s">
        <v>89</v>
      </c>
      <c r="C1187">
        <v>8</v>
      </c>
      <c r="D1187">
        <v>1039</v>
      </c>
      <c r="E1187">
        <v>3591</v>
      </c>
      <c r="F1187">
        <v>4321801</v>
      </c>
      <c r="G1187">
        <v>4410000</v>
      </c>
      <c r="H1187">
        <f t="shared" si="36"/>
        <v>98.000022675736957</v>
      </c>
      <c r="I1187">
        <f t="shared" si="37"/>
        <v>100</v>
      </c>
      <c r="J1187" t="s">
        <v>22</v>
      </c>
      <c r="K1187">
        <v>6</v>
      </c>
      <c r="L1187" t="e">
        <f t="array" ref="L1187">VLOOKUP(J1187:$J$3871&amp;K1187:$K$3871,CHOOSE({1,2},#REF!&amp;#REF!,#REF!),2,0)</f>
        <v>#N/A</v>
      </c>
      <c r="M1187">
        <v>-15</v>
      </c>
      <c r="N1187">
        <v>0</v>
      </c>
      <c r="O1187" t="s">
        <v>7</v>
      </c>
      <c r="P1187">
        <v>1</v>
      </c>
      <c r="Q1187">
        <v>1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1</v>
      </c>
      <c r="X1187">
        <v>1</v>
      </c>
      <c r="Y1187">
        <v>0</v>
      </c>
      <c r="Z1187">
        <v>1</v>
      </c>
      <c r="AA1187" t="s">
        <v>2616</v>
      </c>
      <c r="AB1187" t="s">
        <v>501</v>
      </c>
      <c r="AC1187" t="s">
        <v>2616</v>
      </c>
      <c r="AD1187" t="e">
        <f>VLOOKUP(AB1187,#REF!,2,FALSE)</f>
        <v>#REF!</v>
      </c>
      <c r="AE1187" t="e">
        <f>RIGHT(#REF!,(FIND("Complex",#REF!,1)-12))</f>
        <v>#REF!</v>
      </c>
    </row>
    <row r="1188" spans="1:31" x14ac:dyDescent="0.25">
      <c r="A1188">
        <v>902</v>
      </c>
      <c r="B1188" t="s">
        <v>89</v>
      </c>
      <c r="C1188">
        <v>8</v>
      </c>
      <c r="D1188">
        <v>273</v>
      </c>
      <c r="E1188">
        <v>902</v>
      </c>
      <c r="F1188">
        <v>4233601</v>
      </c>
      <c r="G1188">
        <v>4321800</v>
      </c>
      <c r="H1188">
        <f t="shared" si="36"/>
        <v>96.000022675736957</v>
      </c>
      <c r="I1188">
        <f t="shared" si="37"/>
        <v>98</v>
      </c>
      <c r="J1188" t="s">
        <v>22</v>
      </c>
      <c r="K1188">
        <v>6</v>
      </c>
      <c r="L1188" t="e">
        <f t="array" ref="L1188">VLOOKUP(J1188:$J$3871&amp;K1188:$K$3871,CHOOSE({1,2},#REF!&amp;#REF!,#REF!),2,0)</f>
        <v>#N/A</v>
      </c>
      <c r="M1188">
        <v>-15</v>
      </c>
      <c r="N1188">
        <v>0</v>
      </c>
      <c r="O1188" t="s">
        <v>7</v>
      </c>
      <c r="P1188">
        <v>1</v>
      </c>
      <c r="Q1188">
        <v>1</v>
      </c>
      <c r="R1188">
        <v>0</v>
      </c>
      <c r="S1188">
        <v>0</v>
      </c>
      <c r="T1188">
        <v>1</v>
      </c>
      <c r="U1188">
        <v>0</v>
      </c>
      <c r="V1188">
        <v>0</v>
      </c>
      <c r="W1188">
        <v>1</v>
      </c>
      <c r="X1188">
        <v>1</v>
      </c>
      <c r="Y1188">
        <v>0</v>
      </c>
      <c r="Z1188">
        <v>1</v>
      </c>
      <c r="AA1188" t="s">
        <v>2625</v>
      </c>
      <c r="AB1188" t="s">
        <v>502</v>
      </c>
      <c r="AC1188" t="s">
        <v>2625</v>
      </c>
      <c r="AD1188" t="e">
        <f>VLOOKUP(AB1188,#REF!,2,FALSE)</f>
        <v>#REF!</v>
      </c>
      <c r="AE1188" t="e">
        <f>RIGHT(#REF!,(FIND("Complex",#REF!,1)-10))</f>
        <v>#REF!</v>
      </c>
    </row>
    <row r="1189" spans="1:31" x14ac:dyDescent="0.25">
      <c r="A1189">
        <v>824</v>
      </c>
      <c r="B1189" t="s">
        <v>89</v>
      </c>
      <c r="C1189">
        <v>8</v>
      </c>
      <c r="D1189">
        <v>250</v>
      </c>
      <c r="E1189">
        <v>824</v>
      </c>
      <c r="F1189">
        <v>3704401</v>
      </c>
      <c r="G1189">
        <v>3792600</v>
      </c>
      <c r="H1189">
        <f t="shared" si="36"/>
        <v>84.000022675736957</v>
      </c>
      <c r="I1189">
        <f t="shared" si="37"/>
        <v>86</v>
      </c>
      <c r="J1189" t="s">
        <v>22</v>
      </c>
      <c r="K1189">
        <v>6</v>
      </c>
      <c r="L1189" t="e">
        <f t="array" ref="L1189">VLOOKUP(J1189:$J$3871&amp;K1189:$K$3871,CHOOSE({1,2},#REF!&amp;#REF!,#REF!),2,0)</f>
        <v>#N/A</v>
      </c>
      <c r="M1189">
        <v>-15</v>
      </c>
      <c r="N1189">
        <v>0</v>
      </c>
      <c r="O1189" t="s">
        <v>7</v>
      </c>
      <c r="P1189">
        <v>1</v>
      </c>
      <c r="Q1189">
        <v>1</v>
      </c>
      <c r="R1189">
        <v>0</v>
      </c>
      <c r="S1189">
        <v>1</v>
      </c>
      <c r="T1189">
        <v>1</v>
      </c>
      <c r="U1189">
        <v>0</v>
      </c>
      <c r="V1189">
        <v>0</v>
      </c>
      <c r="W1189">
        <v>1</v>
      </c>
      <c r="X1189">
        <v>1</v>
      </c>
      <c r="Y1189">
        <v>0</v>
      </c>
      <c r="Z1189">
        <v>0</v>
      </c>
      <c r="AA1189" t="s">
        <v>2677</v>
      </c>
      <c r="AB1189" t="s">
        <v>503</v>
      </c>
      <c r="AC1189" t="s">
        <v>2677</v>
      </c>
      <c r="AD1189" t="e">
        <f>VLOOKUP(AB1189,#REF!,2,FALSE)</f>
        <v>#REF!</v>
      </c>
      <c r="AE1189" t="e">
        <f>RIGHT(#REF!,(FIND("Complex",#REF!,1)-10))</f>
        <v>#REF!</v>
      </c>
    </row>
    <row r="1190" spans="1:31" x14ac:dyDescent="0.25">
      <c r="A1190">
        <v>2576</v>
      </c>
      <c r="B1190" t="s">
        <v>89</v>
      </c>
      <c r="C1190">
        <v>8</v>
      </c>
      <c r="D1190">
        <v>838</v>
      </c>
      <c r="E1190">
        <v>2576</v>
      </c>
      <c r="F1190">
        <v>3616201</v>
      </c>
      <c r="G1190">
        <v>3704400</v>
      </c>
      <c r="H1190">
        <f t="shared" si="36"/>
        <v>82.000022675736957</v>
      </c>
      <c r="I1190">
        <f t="shared" si="37"/>
        <v>84</v>
      </c>
      <c r="J1190" t="s">
        <v>22</v>
      </c>
      <c r="K1190">
        <v>6</v>
      </c>
      <c r="L1190" t="e">
        <f t="array" ref="L1190">VLOOKUP(J1190:$J$3871&amp;K1190:$K$3871,CHOOSE({1,2},#REF!&amp;#REF!,#REF!),2,0)</f>
        <v>#N/A</v>
      </c>
      <c r="M1190">
        <v>-15</v>
      </c>
      <c r="N1190">
        <v>0</v>
      </c>
      <c r="O1190" t="s">
        <v>7</v>
      </c>
      <c r="P1190">
        <v>1</v>
      </c>
      <c r="Q1190">
        <v>1</v>
      </c>
      <c r="R1190">
        <v>0</v>
      </c>
      <c r="S1190">
        <v>1</v>
      </c>
      <c r="T1190">
        <v>1</v>
      </c>
      <c r="U1190">
        <v>0</v>
      </c>
      <c r="V1190">
        <v>0</v>
      </c>
      <c r="W1190">
        <v>1</v>
      </c>
      <c r="X1190">
        <v>1</v>
      </c>
      <c r="Y1190">
        <v>0</v>
      </c>
      <c r="Z1190">
        <v>0</v>
      </c>
      <c r="AA1190" t="s">
        <v>2687</v>
      </c>
      <c r="AB1190" t="s">
        <v>504</v>
      </c>
      <c r="AC1190" t="s">
        <v>2687</v>
      </c>
      <c r="AD1190" t="e">
        <f>VLOOKUP(AB1190,#REF!,2,FALSE)</f>
        <v>#REF!</v>
      </c>
      <c r="AE1190" t="e">
        <f>RIGHT(#REF!,(FIND("Complex",#REF!,1)-11))</f>
        <v>#REF!</v>
      </c>
    </row>
    <row r="1191" spans="1:31" x14ac:dyDescent="0.25">
      <c r="A1191">
        <v>973</v>
      </c>
      <c r="B1191" t="s">
        <v>89</v>
      </c>
      <c r="C1191">
        <v>8</v>
      </c>
      <c r="D1191">
        <v>294</v>
      </c>
      <c r="E1191">
        <v>973</v>
      </c>
      <c r="F1191">
        <v>7497001</v>
      </c>
      <c r="G1191">
        <v>7585200</v>
      </c>
      <c r="H1191">
        <f t="shared" si="36"/>
        <v>170.00002267573697</v>
      </c>
      <c r="I1191">
        <f t="shared" si="37"/>
        <v>172</v>
      </c>
      <c r="J1191" t="s">
        <v>22</v>
      </c>
      <c r="K1191">
        <v>6</v>
      </c>
      <c r="L1191" t="e">
        <f t="array" ref="L1191">VLOOKUP(J1191:$J$3871&amp;K1191:$K$3871,CHOOSE({1,2},#REF!&amp;#REF!,#REF!),2,0)</f>
        <v>#N/A</v>
      </c>
      <c r="M1191">
        <v>-15</v>
      </c>
      <c r="N1191">
        <v>0</v>
      </c>
      <c r="O1191" t="s">
        <v>7</v>
      </c>
      <c r="P1191">
        <v>1</v>
      </c>
      <c r="Q1191">
        <v>1</v>
      </c>
      <c r="R1191">
        <v>0</v>
      </c>
      <c r="S1191">
        <v>1</v>
      </c>
      <c r="T1191">
        <v>1</v>
      </c>
      <c r="U1191">
        <v>0</v>
      </c>
      <c r="V1191">
        <v>0</v>
      </c>
      <c r="W1191">
        <v>1</v>
      </c>
      <c r="X1191">
        <v>1</v>
      </c>
      <c r="Y1191">
        <v>0</v>
      </c>
      <c r="Z1191">
        <v>0</v>
      </c>
      <c r="AA1191" t="s">
        <v>3170</v>
      </c>
      <c r="AB1191" t="s">
        <v>505</v>
      </c>
      <c r="AC1191" t="s">
        <v>3170</v>
      </c>
      <c r="AD1191" t="e">
        <f>VLOOKUP(AB1191,#REF!,2,FALSE)</f>
        <v>#REF!</v>
      </c>
      <c r="AE1191" t="e">
        <f>RIGHT(#REF!,(FIND("Complex",#REF!,1)-9))</f>
        <v>#REF!</v>
      </c>
    </row>
    <row r="1192" spans="1:31" x14ac:dyDescent="0.25">
      <c r="A1192">
        <v>3608</v>
      </c>
      <c r="B1192" t="s">
        <v>89</v>
      </c>
      <c r="C1192">
        <v>8</v>
      </c>
      <c r="D1192">
        <v>1043</v>
      </c>
      <c r="E1192">
        <v>3608</v>
      </c>
      <c r="F1192">
        <v>5115601</v>
      </c>
      <c r="G1192">
        <v>5203800</v>
      </c>
      <c r="H1192">
        <f t="shared" si="36"/>
        <v>116.00002267573696</v>
      </c>
      <c r="I1192">
        <f t="shared" si="37"/>
        <v>118</v>
      </c>
      <c r="J1192" t="s">
        <v>22</v>
      </c>
      <c r="K1192">
        <v>6</v>
      </c>
      <c r="L1192" t="e">
        <f t="array" ref="L1192">VLOOKUP(J1192:$J$3871&amp;K1192:$K$3871,CHOOSE({1,2},#REF!&amp;#REF!,#REF!),2,0)</f>
        <v>#N/A</v>
      </c>
      <c r="M1192">
        <v>-15</v>
      </c>
      <c r="N1192">
        <v>0</v>
      </c>
      <c r="O1192" t="s">
        <v>7</v>
      </c>
      <c r="P1192">
        <v>1</v>
      </c>
      <c r="Q1192">
        <v>1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1</v>
      </c>
      <c r="X1192">
        <v>1</v>
      </c>
      <c r="Y1192">
        <v>0</v>
      </c>
      <c r="Z1192">
        <v>1</v>
      </c>
      <c r="AA1192" t="s">
        <v>3407</v>
      </c>
      <c r="AB1192" t="s">
        <v>506</v>
      </c>
      <c r="AC1192" t="s">
        <v>3407</v>
      </c>
      <c r="AD1192" t="e">
        <f>VLOOKUP(AB1192,#REF!,2,FALSE)</f>
        <v>#REF!</v>
      </c>
      <c r="AE1192" t="e">
        <f>RIGHT(#REF!,(FIND("Complex",#REF!,1)-11))</f>
        <v>#REF!</v>
      </c>
    </row>
    <row r="1193" spans="1:31" x14ac:dyDescent="0.25">
      <c r="A1193">
        <v>1554</v>
      </c>
      <c r="B1193" t="s">
        <v>89</v>
      </c>
      <c r="C1193">
        <v>8</v>
      </c>
      <c r="D1193">
        <v>475</v>
      </c>
      <c r="E1193">
        <v>1554</v>
      </c>
      <c r="F1193">
        <v>4410001</v>
      </c>
      <c r="G1193">
        <v>4498200</v>
      </c>
      <c r="H1193">
        <f t="shared" si="36"/>
        <v>100.00002267573696</v>
      </c>
      <c r="I1193">
        <f t="shared" si="37"/>
        <v>102</v>
      </c>
      <c r="J1193" t="s">
        <v>22</v>
      </c>
      <c r="K1193">
        <v>6</v>
      </c>
      <c r="L1193" t="e">
        <f t="array" ref="L1193">VLOOKUP(J1193:$J$3871&amp;K1193:$K$3871,CHOOSE({1,2},#REF!&amp;#REF!,#REF!),2,0)</f>
        <v>#N/A</v>
      </c>
      <c r="M1193">
        <v>-15</v>
      </c>
      <c r="N1193">
        <v>0</v>
      </c>
      <c r="O1193" t="s">
        <v>7</v>
      </c>
      <c r="P1193">
        <v>1</v>
      </c>
      <c r="Q1193">
        <v>1</v>
      </c>
      <c r="R1193">
        <v>0</v>
      </c>
      <c r="S1193">
        <v>0</v>
      </c>
      <c r="T1193">
        <v>1</v>
      </c>
      <c r="U1193">
        <v>0</v>
      </c>
      <c r="V1193">
        <v>0</v>
      </c>
      <c r="W1193">
        <v>1</v>
      </c>
      <c r="X1193">
        <v>1</v>
      </c>
      <c r="Y1193">
        <v>0</v>
      </c>
      <c r="Z1193">
        <v>1</v>
      </c>
      <c r="AA1193" t="s">
        <v>3490</v>
      </c>
      <c r="AB1193" t="s">
        <v>507</v>
      </c>
      <c r="AC1193" t="s">
        <v>3490</v>
      </c>
      <c r="AD1193" t="e">
        <f>VLOOKUP(AB1193,#REF!,2,FALSE)</f>
        <v>#REF!</v>
      </c>
      <c r="AE1193" t="e">
        <f>RIGHT(#REF!,(FIND("Complex",#REF!,1)-10))</f>
        <v>#REF!</v>
      </c>
    </row>
    <row r="1194" spans="1:31" x14ac:dyDescent="0.25">
      <c r="A1194">
        <v>2320</v>
      </c>
      <c r="B1194" t="s">
        <v>79</v>
      </c>
      <c r="C1194">
        <v>13</v>
      </c>
      <c r="D1194">
        <v>732</v>
      </c>
      <c r="E1194">
        <v>2320</v>
      </c>
      <c r="F1194">
        <v>4057201</v>
      </c>
      <c r="G1194">
        <v>4145400</v>
      </c>
      <c r="H1194">
        <f t="shared" si="36"/>
        <v>92.000022675736957</v>
      </c>
      <c r="I1194">
        <f t="shared" si="37"/>
        <v>94</v>
      </c>
      <c r="J1194" t="s">
        <v>22</v>
      </c>
      <c r="K1194">
        <v>6</v>
      </c>
      <c r="L1194" t="e">
        <f t="array" ref="L1194">VLOOKUP(J1194:$J$3871&amp;K1194:$K$3871,CHOOSE({1,2},#REF!&amp;#REF!,#REF!),2,0)</f>
        <v>#N/A</v>
      </c>
      <c r="M1194">
        <v>-15</v>
      </c>
      <c r="N1194">
        <v>0</v>
      </c>
      <c r="O1194" t="s">
        <v>7</v>
      </c>
      <c r="P1194">
        <v>1</v>
      </c>
      <c r="Q1194">
        <v>1</v>
      </c>
      <c r="R1194">
        <v>1</v>
      </c>
      <c r="S1194">
        <v>0</v>
      </c>
      <c r="T1194">
        <v>0</v>
      </c>
      <c r="U1194">
        <v>0</v>
      </c>
      <c r="V1194">
        <v>1</v>
      </c>
      <c r="W1194">
        <v>1</v>
      </c>
      <c r="X1194">
        <v>0</v>
      </c>
      <c r="Y1194">
        <v>1</v>
      </c>
      <c r="Z1194">
        <v>0</v>
      </c>
      <c r="AA1194" t="s">
        <v>2651</v>
      </c>
      <c r="AB1194" t="s">
        <v>542</v>
      </c>
      <c r="AC1194" t="s">
        <v>2651</v>
      </c>
      <c r="AD1194" t="e">
        <f>VLOOKUP(AB1194,#REF!,2,FALSE)</f>
        <v>#REF!</v>
      </c>
      <c r="AE1194" t="e">
        <f>RIGHT(#REF!,(FIND("Complex",#REF!,1)-10))</f>
        <v>#REF!</v>
      </c>
    </row>
    <row r="1195" spans="1:31" x14ac:dyDescent="0.25">
      <c r="A1195">
        <v>1152</v>
      </c>
      <c r="B1195" t="s">
        <v>79</v>
      </c>
      <c r="C1195">
        <v>13</v>
      </c>
      <c r="D1195">
        <v>344</v>
      </c>
      <c r="E1195">
        <v>1152</v>
      </c>
      <c r="F1195">
        <v>9261001</v>
      </c>
      <c r="G1195">
        <v>9349200</v>
      </c>
      <c r="H1195">
        <f t="shared" si="36"/>
        <v>210.00002267573697</v>
      </c>
      <c r="I1195">
        <f t="shared" si="37"/>
        <v>212</v>
      </c>
      <c r="J1195" t="s">
        <v>22</v>
      </c>
      <c r="K1195">
        <v>6</v>
      </c>
      <c r="L1195" t="e">
        <f t="array" ref="L1195">VLOOKUP(J1195:$J$3871&amp;K1195:$K$3871,CHOOSE({1,2},#REF!&amp;#REF!,#REF!),2,0)</f>
        <v>#N/A</v>
      </c>
      <c r="M1195">
        <v>-15</v>
      </c>
      <c r="N1195">
        <v>0</v>
      </c>
      <c r="O1195" t="s">
        <v>7</v>
      </c>
      <c r="P1195">
        <v>1</v>
      </c>
      <c r="Q1195">
        <v>1</v>
      </c>
      <c r="R1195">
        <v>1</v>
      </c>
      <c r="S1195">
        <v>0</v>
      </c>
      <c r="T1195">
        <v>0</v>
      </c>
      <c r="U1195">
        <v>1</v>
      </c>
      <c r="V1195">
        <v>0</v>
      </c>
      <c r="W1195">
        <v>1</v>
      </c>
      <c r="X1195">
        <v>0</v>
      </c>
      <c r="Y1195">
        <v>1</v>
      </c>
      <c r="Z1195">
        <v>0</v>
      </c>
      <c r="AA1195" t="s">
        <v>3029</v>
      </c>
      <c r="AB1195" t="s">
        <v>543</v>
      </c>
      <c r="AC1195" t="s">
        <v>3029</v>
      </c>
      <c r="AD1195" t="e">
        <f>VLOOKUP(AB1195,#REF!,2,FALSE)</f>
        <v>#REF!</v>
      </c>
      <c r="AE1195" t="e">
        <f>RIGHT(#REF!,(FIND("Complex",#REF!,1)-9))</f>
        <v>#REF!</v>
      </c>
    </row>
    <row r="1196" spans="1:31" x14ac:dyDescent="0.25">
      <c r="A1196">
        <v>3560</v>
      </c>
      <c r="B1196" t="s">
        <v>79</v>
      </c>
      <c r="C1196">
        <v>13</v>
      </c>
      <c r="D1196">
        <v>1031</v>
      </c>
      <c r="E1196">
        <v>3560</v>
      </c>
      <c r="F1196">
        <v>8026201</v>
      </c>
      <c r="G1196">
        <v>8114400</v>
      </c>
      <c r="H1196">
        <f t="shared" si="36"/>
        <v>182.00002267573697</v>
      </c>
      <c r="I1196">
        <f t="shared" si="37"/>
        <v>184</v>
      </c>
      <c r="J1196" t="s">
        <v>22</v>
      </c>
      <c r="K1196">
        <v>6</v>
      </c>
      <c r="L1196" t="e">
        <f t="array" ref="L1196">VLOOKUP(J1196:$J$3871&amp;K1196:$K$3871,CHOOSE({1,2},#REF!&amp;#REF!,#REF!),2,0)</f>
        <v>#N/A</v>
      </c>
      <c r="M1196">
        <v>-15</v>
      </c>
      <c r="N1196">
        <v>0</v>
      </c>
      <c r="O1196" t="s">
        <v>7</v>
      </c>
      <c r="P1196">
        <v>1</v>
      </c>
      <c r="Q1196">
        <v>1</v>
      </c>
      <c r="R1196">
        <v>1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0</v>
      </c>
      <c r="Y1196">
        <v>1</v>
      </c>
      <c r="Z1196">
        <v>0</v>
      </c>
      <c r="AA1196" t="s">
        <v>3122</v>
      </c>
      <c r="AB1196" t="s">
        <v>544</v>
      </c>
      <c r="AC1196" t="s">
        <v>3122</v>
      </c>
      <c r="AD1196" t="e">
        <f>VLOOKUP(AB1196,#REF!,2,FALSE)</f>
        <v>#REF!</v>
      </c>
      <c r="AE1196" t="e">
        <f>RIGHT(#REF!,(FIND("Complex",#REF!,1)-10))</f>
        <v>#REF!</v>
      </c>
    </row>
    <row r="1197" spans="1:31" x14ac:dyDescent="0.25">
      <c r="A1197">
        <v>2734</v>
      </c>
      <c r="B1197" t="s">
        <v>79</v>
      </c>
      <c r="C1197">
        <v>13</v>
      </c>
      <c r="D1197">
        <v>904</v>
      </c>
      <c r="E1197">
        <v>2734</v>
      </c>
      <c r="F1197">
        <v>7056001</v>
      </c>
      <c r="G1197">
        <v>7144200</v>
      </c>
      <c r="H1197">
        <f t="shared" si="36"/>
        <v>160.00002267573697</v>
      </c>
      <c r="I1197">
        <f t="shared" si="37"/>
        <v>162</v>
      </c>
      <c r="J1197" t="s">
        <v>22</v>
      </c>
      <c r="K1197">
        <v>6</v>
      </c>
      <c r="L1197" t="e">
        <f t="array" ref="L1197">VLOOKUP(J1197:$J$3871&amp;K1197:$K$3871,CHOOSE({1,2},#REF!&amp;#REF!,#REF!),2,0)</f>
        <v>#N/A</v>
      </c>
      <c r="M1197">
        <v>-15</v>
      </c>
      <c r="N1197">
        <v>0</v>
      </c>
      <c r="O1197" t="s">
        <v>7</v>
      </c>
      <c r="P1197">
        <v>1</v>
      </c>
      <c r="Q1197">
        <v>1</v>
      </c>
      <c r="R1197">
        <v>1</v>
      </c>
      <c r="S1197">
        <v>0</v>
      </c>
      <c r="T1197">
        <v>0</v>
      </c>
      <c r="U1197">
        <v>0</v>
      </c>
      <c r="V1197">
        <v>1</v>
      </c>
      <c r="W1197">
        <v>1</v>
      </c>
      <c r="X1197">
        <v>0</v>
      </c>
      <c r="Y1197">
        <v>1</v>
      </c>
      <c r="Z1197">
        <v>0</v>
      </c>
      <c r="AA1197" t="s">
        <v>3196</v>
      </c>
      <c r="AB1197" t="s">
        <v>545</v>
      </c>
      <c r="AC1197" t="s">
        <v>3196</v>
      </c>
      <c r="AD1197" t="e">
        <f>VLOOKUP(AB1197,#REF!,2,FALSE)</f>
        <v>#REF!</v>
      </c>
      <c r="AE1197" t="e">
        <f>RIGHT(#REF!,(FIND("Complex",#REF!,1)-9))</f>
        <v>#REF!</v>
      </c>
    </row>
    <row r="1198" spans="1:31" x14ac:dyDescent="0.25">
      <c r="A1198">
        <v>1989</v>
      </c>
      <c r="B1198" t="s">
        <v>79</v>
      </c>
      <c r="C1198">
        <v>13</v>
      </c>
      <c r="D1198">
        <v>601</v>
      </c>
      <c r="E1198">
        <v>1989</v>
      </c>
      <c r="F1198">
        <v>6791401</v>
      </c>
      <c r="G1198">
        <v>6879600</v>
      </c>
      <c r="H1198">
        <f t="shared" si="36"/>
        <v>154.00002267573697</v>
      </c>
      <c r="I1198">
        <f t="shared" si="37"/>
        <v>156</v>
      </c>
      <c r="J1198" t="s">
        <v>22</v>
      </c>
      <c r="K1198">
        <v>6</v>
      </c>
      <c r="L1198" t="e">
        <f t="array" ref="L1198">VLOOKUP(J1198:$J$3871&amp;K1198:$K$3871,CHOOSE({1,2},#REF!&amp;#REF!,#REF!),2,0)</f>
        <v>#N/A</v>
      </c>
      <c r="M1198">
        <v>-15</v>
      </c>
      <c r="N1198">
        <v>0</v>
      </c>
      <c r="O1198" t="s">
        <v>7</v>
      </c>
      <c r="P1198">
        <v>0</v>
      </c>
      <c r="Q1198">
        <v>1</v>
      </c>
      <c r="R1198">
        <v>1</v>
      </c>
      <c r="S1198">
        <v>0</v>
      </c>
      <c r="T1198">
        <v>0</v>
      </c>
      <c r="U1198">
        <v>1</v>
      </c>
      <c r="V1198">
        <v>1</v>
      </c>
      <c r="W1198">
        <v>1</v>
      </c>
      <c r="X1198">
        <v>0</v>
      </c>
      <c r="Y1198">
        <v>1</v>
      </c>
      <c r="Z1198">
        <v>0</v>
      </c>
      <c r="AA1198" t="s">
        <v>3215</v>
      </c>
      <c r="AB1198" t="s">
        <v>546</v>
      </c>
      <c r="AC1198" t="s">
        <v>3215</v>
      </c>
      <c r="AD1198" t="e">
        <f>VLOOKUP(AB1198,#REF!,2,FALSE)</f>
        <v>#REF!</v>
      </c>
      <c r="AE1198" t="e">
        <f>RIGHT(#REF!,(FIND("Complex",#REF!,1)-9))</f>
        <v>#REF!</v>
      </c>
    </row>
    <row r="1199" spans="1:31" x14ac:dyDescent="0.25">
      <c r="A1199">
        <v>3545</v>
      </c>
      <c r="B1199" t="s">
        <v>79</v>
      </c>
      <c r="C1199">
        <v>13</v>
      </c>
      <c r="D1199">
        <v>1030</v>
      </c>
      <c r="E1199">
        <v>3545</v>
      </c>
      <c r="F1199">
        <v>4939201</v>
      </c>
      <c r="G1199">
        <v>5027400</v>
      </c>
      <c r="H1199">
        <f t="shared" si="36"/>
        <v>112.00002267573696</v>
      </c>
      <c r="I1199">
        <f t="shared" si="37"/>
        <v>114</v>
      </c>
      <c r="J1199" t="s">
        <v>22</v>
      </c>
      <c r="K1199">
        <v>6</v>
      </c>
      <c r="L1199" t="e">
        <f t="array" ref="L1199">VLOOKUP(J1199:$J$3871&amp;K1199:$K$3871,CHOOSE({1,2},#REF!&amp;#REF!,#REF!),2,0)</f>
        <v>#N/A</v>
      </c>
      <c r="M1199">
        <v>-15</v>
      </c>
      <c r="N1199">
        <v>0</v>
      </c>
      <c r="O1199" t="s">
        <v>7</v>
      </c>
      <c r="P1199">
        <v>0</v>
      </c>
      <c r="Q1199">
        <v>1</v>
      </c>
      <c r="R1199">
        <v>1</v>
      </c>
      <c r="S1199">
        <v>0</v>
      </c>
      <c r="T1199">
        <v>0</v>
      </c>
      <c r="U1199">
        <v>1</v>
      </c>
      <c r="V1199">
        <v>1</v>
      </c>
      <c r="W1199">
        <v>1</v>
      </c>
      <c r="X1199">
        <v>0</v>
      </c>
      <c r="Y1199">
        <v>1</v>
      </c>
      <c r="Z1199">
        <v>0</v>
      </c>
      <c r="AA1199" t="s">
        <v>3441</v>
      </c>
      <c r="AB1199" t="s">
        <v>547</v>
      </c>
      <c r="AC1199" t="s">
        <v>3441</v>
      </c>
      <c r="AD1199" t="e">
        <f>VLOOKUP(AB1199,#REF!,2,FALSE)</f>
        <v>#REF!</v>
      </c>
      <c r="AE1199" t="e">
        <f>RIGHT(#REF!,(FIND("Complex",#REF!,1)-10))</f>
        <v>#REF!</v>
      </c>
    </row>
    <row r="1200" spans="1:31" x14ac:dyDescent="0.25">
      <c r="A1200">
        <v>2887</v>
      </c>
      <c r="B1200" t="s">
        <v>28</v>
      </c>
      <c r="C1200">
        <v>14</v>
      </c>
      <c r="D1200">
        <v>946</v>
      </c>
      <c r="E1200">
        <v>2887</v>
      </c>
      <c r="F1200">
        <v>13671001</v>
      </c>
      <c r="G1200">
        <v>13759200</v>
      </c>
      <c r="H1200">
        <f t="shared" si="36"/>
        <v>310.00002267573694</v>
      </c>
      <c r="I1200">
        <f t="shared" si="37"/>
        <v>312</v>
      </c>
      <c r="J1200" t="s">
        <v>22</v>
      </c>
      <c r="K1200">
        <v>6</v>
      </c>
      <c r="L1200" t="e">
        <f t="array" ref="L1200">VLOOKUP(J1200:$J$3871&amp;K1200:$K$3871,CHOOSE({1,2},#REF!&amp;#REF!,#REF!),2,0)</f>
        <v>#N/A</v>
      </c>
      <c r="M1200">
        <v>-15</v>
      </c>
      <c r="N1200">
        <v>0</v>
      </c>
      <c r="O1200" t="s">
        <v>7</v>
      </c>
      <c r="P1200">
        <v>0</v>
      </c>
      <c r="Q1200">
        <v>1</v>
      </c>
      <c r="R1200">
        <v>0</v>
      </c>
      <c r="S1200">
        <v>1</v>
      </c>
      <c r="T1200">
        <v>1</v>
      </c>
      <c r="U1200">
        <v>0</v>
      </c>
      <c r="V1200">
        <v>0</v>
      </c>
      <c r="W1200">
        <v>1</v>
      </c>
      <c r="X1200">
        <v>1</v>
      </c>
      <c r="Y1200">
        <v>0</v>
      </c>
      <c r="Z1200">
        <v>1</v>
      </c>
      <c r="AA1200" t="s">
        <v>2879</v>
      </c>
      <c r="AB1200" t="s">
        <v>596</v>
      </c>
      <c r="AC1200" t="s">
        <v>2879</v>
      </c>
      <c r="AD1200" t="e">
        <f>VLOOKUP(AB1200,#REF!,2,FALSE)</f>
        <v>#REF!</v>
      </c>
      <c r="AE1200" t="e">
        <f>RIGHT(#REF!,(FIND("Complex",#REF!,1)-9))</f>
        <v>#REF!</v>
      </c>
    </row>
    <row r="1201" spans="1:31" x14ac:dyDescent="0.25">
      <c r="A1201">
        <v>3362</v>
      </c>
      <c r="B1201" t="s">
        <v>28</v>
      </c>
      <c r="C1201">
        <v>14</v>
      </c>
      <c r="D1201">
        <v>1004</v>
      </c>
      <c r="E1201">
        <v>3362</v>
      </c>
      <c r="F1201">
        <v>13582801</v>
      </c>
      <c r="G1201">
        <v>13671000</v>
      </c>
      <c r="H1201">
        <f t="shared" si="36"/>
        <v>308.00002267573694</v>
      </c>
      <c r="I1201">
        <f t="shared" si="37"/>
        <v>310</v>
      </c>
      <c r="J1201" t="s">
        <v>22</v>
      </c>
      <c r="K1201">
        <v>6</v>
      </c>
      <c r="L1201" t="e">
        <f t="array" ref="L1201">VLOOKUP(J1201:$J$3871&amp;K1201:$K$3871,CHOOSE({1,2},#REF!&amp;#REF!,#REF!),2,0)</f>
        <v>#N/A</v>
      </c>
      <c r="M1201">
        <v>-15</v>
      </c>
      <c r="N1201">
        <v>0</v>
      </c>
      <c r="O1201" t="s">
        <v>7</v>
      </c>
      <c r="P1201">
        <v>0</v>
      </c>
      <c r="Q1201">
        <v>1</v>
      </c>
      <c r="R1201">
        <v>0</v>
      </c>
      <c r="S1201">
        <v>1</v>
      </c>
      <c r="T1201">
        <v>1</v>
      </c>
      <c r="U1201">
        <v>0</v>
      </c>
      <c r="V1201">
        <v>0</v>
      </c>
      <c r="W1201">
        <v>1</v>
      </c>
      <c r="X1201">
        <v>1</v>
      </c>
      <c r="Y1201">
        <v>0</v>
      </c>
      <c r="Z1201">
        <v>1</v>
      </c>
      <c r="AA1201" t="s">
        <v>2880</v>
      </c>
      <c r="AB1201" t="s">
        <v>597</v>
      </c>
      <c r="AC1201" t="s">
        <v>2880</v>
      </c>
      <c r="AD1201" t="e">
        <f>VLOOKUP(AB1201,#REF!,2,FALSE)</f>
        <v>#REF!</v>
      </c>
      <c r="AE1201" t="e">
        <f>RIGHT(#REF!,(FIND("Complex",#REF!,1)-10))</f>
        <v>#REF!</v>
      </c>
    </row>
    <row r="1202" spans="1:31" x14ac:dyDescent="0.25">
      <c r="A1202">
        <v>3762</v>
      </c>
      <c r="B1202" t="s">
        <v>28</v>
      </c>
      <c r="C1202">
        <v>14</v>
      </c>
      <c r="D1202">
        <v>1073</v>
      </c>
      <c r="E1202">
        <v>3762</v>
      </c>
      <c r="F1202">
        <v>13053601</v>
      </c>
      <c r="G1202">
        <v>13141800</v>
      </c>
      <c r="H1202">
        <f t="shared" si="36"/>
        <v>296.00002267573694</v>
      </c>
      <c r="I1202">
        <f t="shared" si="37"/>
        <v>298</v>
      </c>
      <c r="J1202" t="s">
        <v>22</v>
      </c>
      <c r="K1202">
        <v>6</v>
      </c>
      <c r="L1202" t="e">
        <f t="array" ref="L1202">VLOOKUP(J1202:$J$3871&amp;K1202:$K$3871,CHOOSE({1,2},#REF!&amp;#REF!,#REF!),2,0)</f>
        <v>#N/A</v>
      </c>
      <c r="M1202">
        <v>-15</v>
      </c>
      <c r="N1202">
        <v>0</v>
      </c>
      <c r="O1202" t="s">
        <v>7</v>
      </c>
      <c r="P1202">
        <v>0</v>
      </c>
      <c r="Q1202">
        <v>1</v>
      </c>
      <c r="R1202">
        <v>0</v>
      </c>
      <c r="S1202">
        <v>1</v>
      </c>
      <c r="T1202">
        <v>1</v>
      </c>
      <c r="U1202">
        <v>0</v>
      </c>
      <c r="V1202">
        <v>0</v>
      </c>
      <c r="W1202">
        <v>1</v>
      </c>
      <c r="X1202">
        <v>1</v>
      </c>
      <c r="Y1202">
        <v>0</v>
      </c>
      <c r="Z1202">
        <v>1</v>
      </c>
      <c r="AA1202" t="s">
        <v>2888</v>
      </c>
      <c r="AB1202" t="s">
        <v>598</v>
      </c>
      <c r="AC1202" t="s">
        <v>2888</v>
      </c>
      <c r="AD1202" t="e">
        <f>VLOOKUP(AB1202,#REF!,2,FALSE)</f>
        <v>#REF!</v>
      </c>
      <c r="AE1202" t="e">
        <f>RIGHT(#REF!,(FIND("Complex",#REF!,1)-10))</f>
        <v>#REF!</v>
      </c>
    </row>
    <row r="1203" spans="1:31" x14ac:dyDescent="0.25">
      <c r="A1203">
        <v>325</v>
      </c>
      <c r="B1203" t="s">
        <v>28</v>
      </c>
      <c r="C1203">
        <v>14</v>
      </c>
      <c r="D1203">
        <v>102</v>
      </c>
      <c r="E1203">
        <v>325</v>
      </c>
      <c r="F1203">
        <v>12789001</v>
      </c>
      <c r="G1203">
        <v>12877200</v>
      </c>
      <c r="H1203">
        <f t="shared" si="36"/>
        <v>290.00002267573694</v>
      </c>
      <c r="I1203">
        <f t="shared" si="37"/>
        <v>292</v>
      </c>
      <c r="J1203" t="s">
        <v>22</v>
      </c>
      <c r="K1203">
        <v>6</v>
      </c>
      <c r="L1203" t="e">
        <f t="array" ref="L1203">VLOOKUP(J1203:$J$3871&amp;K1203:$K$3871,CHOOSE({1,2},#REF!&amp;#REF!,#REF!),2,0)</f>
        <v>#N/A</v>
      </c>
      <c r="M1203">
        <v>-15</v>
      </c>
      <c r="N1203">
        <v>0</v>
      </c>
      <c r="O1203" t="s">
        <v>7</v>
      </c>
      <c r="P1203">
        <v>0</v>
      </c>
      <c r="Q1203">
        <v>1</v>
      </c>
      <c r="R1203">
        <v>0</v>
      </c>
      <c r="S1203">
        <v>1</v>
      </c>
      <c r="T1203">
        <v>1</v>
      </c>
      <c r="U1203">
        <v>0</v>
      </c>
      <c r="V1203">
        <v>0</v>
      </c>
      <c r="W1203">
        <v>1</v>
      </c>
      <c r="X1203">
        <v>1</v>
      </c>
      <c r="Y1203">
        <v>0</v>
      </c>
      <c r="Z1203">
        <v>1</v>
      </c>
      <c r="AA1203" t="s">
        <v>2893</v>
      </c>
      <c r="AB1203" t="s">
        <v>599</v>
      </c>
      <c r="AC1203" t="s">
        <v>2893</v>
      </c>
      <c r="AD1203" t="e">
        <f>VLOOKUP(AB1203,#REF!,2,FALSE)</f>
        <v>#REF!</v>
      </c>
      <c r="AE1203" t="e">
        <f>RIGHT(#REF!,(FIND("Complex",#REF!,1)-8))</f>
        <v>#REF!</v>
      </c>
    </row>
    <row r="1204" spans="1:31" x14ac:dyDescent="0.25">
      <c r="A1204">
        <v>3858</v>
      </c>
      <c r="B1204" t="s">
        <v>28</v>
      </c>
      <c r="C1204">
        <v>14</v>
      </c>
      <c r="D1204">
        <v>1093</v>
      </c>
      <c r="E1204">
        <v>3858</v>
      </c>
      <c r="F1204">
        <v>12700801</v>
      </c>
      <c r="G1204">
        <v>12789000</v>
      </c>
      <c r="H1204">
        <f t="shared" si="36"/>
        <v>288.00002267573694</v>
      </c>
      <c r="I1204">
        <f t="shared" si="37"/>
        <v>290</v>
      </c>
      <c r="J1204" t="s">
        <v>22</v>
      </c>
      <c r="K1204">
        <v>6</v>
      </c>
      <c r="L1204" t="e">
        <f t="array" ref="L1204">VLOOKUP(J1204:$J$3871&amp;K1204:$K$3871,CHOOSE({1,2},#REF!&amp;#REF!,#REF!),2,0)</f>
        <v>#N/A</v>
      </c>
      <c r="M1204">
        <v>-15</v>
      </c>
      <c r="N1204">
        <v>0</v>
      </c>
      <c r="O1204" t="s">
        <v>7</v>
      </c>
      <c r="P1204">
        <v>1</v>
      </c>
      <c r="Q1204">
        <v>1</v>
      </c>
      <c r="R1204">
        <v>0</v>
      </c>
      <c r="S1204">
        <v>1</v>
      </c>
      <c r="T1204">
        <v>1</v>
      </c>
      <c r="U1204">
        <v>0</v>
      </c>
      <c r="V1204">
        <v>0</v>
      </c>
      <c r="W1204">
        <v>1</v>
      </c>
      <c r="X1204">
        <v>1</v>
      </c>
      <c r="Y1204">
        <v>0</v>
      </c>
      <c r="Z1204">
        <v>0</v>
      </c>
      <c r="AA1204" t="s">
        <v>2896</v>
      </c>
      <c r="AB1204" t="s">
        <v>600</v>
      </c>
      <c r="AC1204" t="s">
        <v>2896</v>
      </c>
      <c r="AD1204" t="e">
        <f>VLOOKUP(AB1204,#REF!,2,FALSE)</f>
        <v>#REF!</v>
      </c>
      <c r="AE1204" t="e">
        <f>RIGHT(#REF!,(FIND("Complex",#REF!,1)-10))</f>
        <v>#REF!</v>
      </c>
    </row>
    <row r="1205" spans="1:31" x14ac:dyDescent="0.25">
      <c r="A1205">
        <v>3798</v>
      </c>
      <c r="B1205" t="s">
        <v>28</v>
      </c>
      <c r="C1205">
        <v>14</v>
      </c>
      <c r="D1205">
        <v>1080</v>
      </c>
      <c r="E1205">
        <v>3798</v>
      </c>
      <c r="F1205">
        <v>12436201</v>
      </c>
      <c r="G1205">
        <v>12524400</v>
      </c>
      <c r="H1205">
        <f t="shared" si="36"/>
        <v>282.00002267573694</v>
      </c>
      <c r="I1205">
        <f t="shared" si="37"/>
        <v>284</v>
      </c>
      <c r="J1205" t="s">
        <v>22</v>
      </c>
      <c r="K1205">
        <v>6</v>
      </c>
      <c r="L1205" t="e">
        <f t="array" ref="L1205">VLOOKUP(J1205:$J$3871&amp;K1205:$K$3871,CHOOSE({1,2},#REF!&amp;#REF!,#REF!),2,0)</f>
        <v>#N/A</v>
      </c>
      <c r="M1205">
        <v>-15</v>
      </c>
      <c r="N1205">
        <v>0</v>
      </c>
      <c r="O1205" t="s">
        <v>7</v>
      </c>
      <c r="P1205">
        <v>1</v>
      </c>
      <c r="Q1205">
        <v>1</v>
      </c>
      <c r="R1205">
        <v>0</v>
      </c>
      <c r="S1205">
        <v>1</v>
      </c>
      <c r="T1205">
        <v>1</v>
      </c>
      <c r="U1205">
        <v>0</v>
      </c>
      <c r="V1205">
        <v>0</v>
      </c>
      <c r="W1205">
        <v>1</v>
      </c>
      <c r="X1205">
        <v>1</v>
      </c>
      <c r="Y1205">
        <v>0</v>
      </c>
      <c r="Z1205">
        <v>0</v>
      </c>
      <c r="AA1205" t="s">
        <v>2899</v>
      </c>
      <c r="AB1205" t="s">
        <v>6219</v>
      </c>
      <c r="AC1205" t="s">
        <v>2899</v>
      </c>
      <c r="AD1205" t="e">
        <f>VLOOKUP(AB1205,#REF!,2,FALSE)</f>
        <v>#REF!</v>
      </c>
      <c r="AE1205" t="e">
        <f>RIGHT(#REF!,(FIND("Complex",#REF!,1)-10))</f>
        <v>#REF!</v>
      </c>
    </row>
    <row r="1206" spans="1:31" x14ac:dyDescent="0.25">
      <c r="A1206">
        <v>3620</v>
      </c>
      <c r="B1206" t="s">
        <v>28</v>
      </c>
      <c r="C1206">
        <v>14</v>
      </c>
      <c r="D1206">
        <v>1046</v>
      </c>
      <c r="E1206">
        <v>3620</v>
      </c>
      <c r="F1206">
        <v>11642401</v>
      </c>
      <c r="G1206">
        <v>11730600</v>
      </c>
      <c r="H1206">
        <f t="shared" si="36"/>
        <v>264.00002267573694</v>
      </c>
      <c r="I1206">
        <f t="shared" si="37"/>
        <v>266</v>
      </c>
      <c r="J1206" t="s">
        <v>22</v>
      </c>
      <c r="K1206">
        <v>6</v>
      </c>
      <c r="L1206" t="e">
        <f t="array" ref="L1206">VLOOKUP(J1206:$J$3871&amp;K1206:$K$3871,CHOOSE({1,2},#REF!&amp;#REF!,#REF!),2,0)</f>
        <v>#N/A</v>
      </c>
      <c r="M1206">
        <v>-15</v>
      </c>
      <c r="N1206">
        <v>0</v>
      </c>
      <c r="O1206" t="s">
        <v>7</v>
      </c>
      <c r="P1206">
        <v>1</v>
      </c>
      <c r="Q1206">
        <v>1</v>
      </c>
      <c r="R1206">
        <v>0</v>
      </c>
      <c r="S1206">
        <v>1</v>
      </c>
      <c r="T1206">
        <v>1</v>
      </c>
      <c r="U1206">
        <v>0</v>
      </c>
      <c r="V1206">
        <v>0</v>
      </c>
      <c r="W1206">
        <v>1</v>
      </c>
      <c r="X1206">
        <v>1</v>
      </c>
      <c r="Y1206">
        <v>0</v>
      </c>
      <c r="Z1206">
        <v>0</v>
      </c>
      <c r="AA1206" t="s">
        <v>2919</v>
      </c>
      <c r="AB1206" t="s">
        <v>601</v>
      </c>
      <c r="AC1206" t="s">
        <v>2919</v>
      </c>
      <c r="AD1206" t="e">
        <f>VLOOKUP(AB1206,#REF!,2,FALSE)</f>
        <v>#REF!</v>
      </c>
      <c r="AE1206" t="e">
        <f>RIGHT(#REF!,(FIND("Complex",#REF!,1)-10))</f>
        <v>#REF!</v>
      </c>
    </row>
    <row r="1207" spans="1:31" x14ac:dyDescent="0.25">
      <c r="A1207">
        <v>3859</v>
      </c>
      <c r="B1207" t="s">
        <v>28</v>
      </c>
      <c r="C1207">
        <v>14</v>
      </c>
      <c r="D1207">
        <v>1094</v>
      </c>
      <c r="E1207">
        <v>3859</v>
      </c>
      <c r="F1207">
        <v>11025001</v>
      </c>
      <c r="G1207">
        <v>11113200</v>
      </c>
      <c r="H1207">
        <f t="shared" si="36"/>
        <v>250.00002267573697</v>
      </c>
      <c r="I1207">
        <f t="shared" si="37"/>
        <v>252</v>
      </c>
      <c r="J1207" t="s">
        <v>22</v>
      </c>
      <c r="K1207">
        <v>6</v>
      </c>
      <c r="L1207" t="e">
        <f t="array" ref="L1207">VLOOKUP(J1207:$J$3871&amp;K1207:$K$3871,CHOOSE({1,2},#REF!&amp;#REF!,#REF!),2,0)</f>
        <v>#N/A</v>
      </c>
      <c r="M1207">
        <v>-15</v>
      </c>
      <c r="N1207">
        <v>0</v>
      </c>
      <c r="O1207" t="s">
        <v>7</v>
      </c>
      <c r="P1207">
        <v>0</v>
      </c>
      <c r="Q1207">
        <v>1</v>
      </c>
      <c r="R1207">
        <v>0</v>
      </c>
      <c r="S1207">
        <v>1</v>
      </c>
      <c r="T1207">
        <v>1</v>
      </c>
      <c r="U1207">
        <v>0</v>
      </c>
      <c r="V1207">
        <v>0</v>
      </c>
      <c r="W1207">
        <v>1</v>
      </c>
      <c r="X1207">
        <v>1</v>
      </c>
      <c r="Y1207">
        <v>0</v>
      </c>
      <c r="Z1207">
        <v>1</v>
      </c>
      <c r="AA1207" t="s">
        <v>2938</v>
      </c>
      <c r="AB1207" t="s">
        <v>602</v>
      </c>
      <c r="AC1207" t="s">
        <v>2938</v>
      </c>
      <c r="AD1207" t="e">
        <f>VLOOKUP(AB1207,#REF!,2,FALSE)</f>
        <v>#REF!</v>
      </c>
      <c r="AE1207" t="e">
        <f>RIGHT(#REF!,(FIND("Complex",#REF!,1)-10))</f>
        <v>#REF!</v>
      </c>
    </row>
    <row r="1208" spans="1:31" x14ac:dyDescent="0.25">
      <c r="A1208">
        <v>542</v>
      </c>
      <c r="B1208" t="s">
        <v>28</v>
      </c>
      <c r="C1208">
        <v>14</v>
      </c>
      <c r="D1208">
        <v>176</v>
      </c>
      <c r="E1208">
        <v>542</v>
      </c>
      <c r="F1208">
        <v>10495801</v>
      </c>
      <c r="G1208">
        <v>10584000</v>
      </c>
      <c r="H1208">
        <f t="shared" si="36"/>
        <v>238.00002267573697</v>
      </c>
      <c r="I1208">
        <f t="shared" si="37"/>
        <v>240</v>
      </c>
      <c r="J1208" t="s">
        <v>22</v>
      </c>
      <c r="K1208">
        <v>6</v>
      </c>
      <c r="L1208" t="e">
        <f t="array" ref="L1208">VLOOKUP(J1208:$J$3871&amp;K1208:$K$3871,CHOOSE({1,2},#REF!&amp;#REF!,#REF!),2,0)</f>
        <v>#N/A</v>
      </c>
      <c r="M1208">
        <v>-15</v>
      </c>
      <c r="N1208">
        <v>0</v>
      </c>
      <c r="O1208" t="s">
        <v>7</v>
      </c>
      <c r="P1208">
        <v>0</v>
      </c>
      <c r="Q1208">
        <v>1</v>
      </c>
      <c r="R1208">
        <v>0</v>
      </c>
      <c r="S1208">
        <v>1</v>
      </c>
      <c r="T1208">
        <v>1</v>
      </c>
      <c r="U1208">
        <v>0</v>
      </c>
      <c r="V1208">
        <v>0</v>
      </c>
      <c r="W1208">
        <v>1</v>
      </c>
      <c r="X1208">
        <v>1</v>
      </c>
      <c r="Y1208">
        <v>0</v>
      </c>
      <c r="Z1208">
        <v>1</v>
      </c>
      <c r="AA1208" t="s">
        <v>2965</v>
      </c>
      <c r="AB1208" t="s">
        <v>6235</v>
      </c>
      <c r="AC1208" t="s">
        <v>2965</v>
      </c>
      <c r="AD1208" t="e">
        <f>VLOOKUP(AB1208,#REF!,2,FALSE)</f>
        <v>#REF!</v>
      </c>
      <c r="AE1208" t="e">
        <f>RIGHT(#REF!,(FIND("Complex",#REF!,1)-8))</f>
        <v>#REF!</v>
      </c>
    </row>
    <row r="1209" spans="1:31" x14ac:dyDescent="0.25">
      <c r="A1209">
        <v>3849</v>
      </c>
      <c r="B1209" t="s">
        <v>28</v>
      </c>
      <c r="C1209">
        <v>14</v>
      </c>
      <c r="D1209">
        <v>1091</v>
      </c>
      <c r="E1209">
        <v>3849</v>
      </c>
      <c r="F1209">
        <v>10054801</v>
      </c>
      <c r="G1209">
        <v>10143000</v>
      </c>
      <c r="H1209">
        <f t="shared" si="36"/>
        <v>228.00002267573697</v>
      </c>
      <c r="I1209">
        <f t="shared" si="37"/>
        <v>230</v>
      </c>
      <c r="J1209" t="s">
        <v>22</v>
      </c>
      <c r="K1209">
        <v>6</v>
      </c>
      <c r="L1209" t="e">
        <f t="array" ref="L1209">VLOOKUP(J1209:$J$3871&amp;K1209:$K$3871,CHOOSE({1,2},#REF!&amp;#REF!,#REF!),2,0)</f>
        <v>#N/A</v>
      </c>
      <c r="M1209">
        <v>-15</v>
      </c>
      <c r="N1209">
        <v>0</v>
      </c>
      <c r="O1209" t="s">
        <v>7</v>
      </c>
      <c r="P1209">
        <v>1</v>
      </c>
      <c r="Q1209">
        <v>1</v>
      </c>
      <c r="R1209">
        <v>0</v>
      </c>
      <c r="S1209">
        <v>1</v>
      </c>
      <c r="T1209">
        <v>1</v>
      </c>
      <c r="U1209">
        <v>0</v>
      </c>
      <c r="V1209">
        <v>0</v>
      </c>
      <c r="W1209">
        <v>1</v>
      </c>
      <c r="X1209">
        <v>1</v>
      </c>
      <c r="Y1209">
        <v>0</v>
      </c>
      <c r="Z1209">
        <v>0</v>
      </c>
      <c r="AA1209" t="s">
        <v>2987</v>
      </c>
      <c r="AB1209" t="s">
        <v>603</v>
      </c>
      <c r="AC1209" t="s">
        <v>2987</v>
      </c>
      <c r="AD1209" t="e">
        <f>VLOOKUP(AB1209,#REF!,2,FALSE)</f>
        <v>#REF!</v>
      </c>
      <c r="AE1209" t="e">
        <f>RIGHT(#REF!,(FIND("Complex",#REF!,1)-10))</f>
        <v>#REF!</v>
      </c>
    </row>
    <row r="1210" spans="1:31" x14ac:dyDescent="0.25">
      <c r="A1210">
        <v>3852</v>
      </c>
      <c r="B1210" t="s">
        <v>28</v>
      </c>
      <c r="C1210">
        <v>14</v>
      </c>
      <c r="D1210">
        <v>1092</v>
      </c>
      <c r="E1210">
        <v>3852</v>
      </c>
      <c r="F1210">
        <v>9966601</v>
      </c>
      <c r="G1210">
        <v>10054800</v>
      </c>
      <c r="H1210">
        <f t="shared" si="36"/>
        <v>226.00002267573697</v>
      </c>
      <c r="I1210">
        <f t="shared" si="37"/>
        <v>228</v>
      </c>
      <c r="J1210" t="s">
        <v>22</v>
      </c>
      <c r="K1210">
        <v>6</v>
      </c>
      <c r="L1210" t="e">
        <f t="array" ref="L1210">VLOOKUP(J1210:$J$3871&amp;K1210:$K$3871,CHOOSE({1,2},#REF!&amp;#REF!,#REF!),2,0)</f>
        <v>#N/A</v>
      </c>
      <c r="M1210">
        <v>-15</v>
      </c>
      <c r="N1210">
        <v>0</v>
      </c>
      <c r="O1210" t="s">
        <v>7</v>
      </c>
      <c r="P1210">
        <v>1</v>
      </c>
      <c r="Q1210">
        <v>1</v>
      </c>
      <c r="R1210">
        <v>0</v>
      </c>
      <c r="S1210">
        <v>1</v>
      </c>
      <c r="T1210">
        <v>1</v>
      </c>
      <c r="U1210">
        <v>0</v>
      </c>
      <c r="V1210">
        <v>0</v>
      </c>
      <c r="W1210">
        <v>1</v>
      </c>
      <c r="X1210">
        <v>1</v>
      </c>
      <c r="Y1210">
        <v>0</v>
      </c>
      <c r="Z1210">
        <v>0</v>
      </c>
      <c r="AA1210" t="s">
        <v>2992</v>
      </c>
      <c r="AB1210" t="s">
        <v>604</v>
      </c>
      <c r="AC1210" t="s">
        <v>2992</v>
      </c>
      <c r="AD1210" t="e">
        <f>VLOOKUP(AB1210,#REF!,2,FALSE)</f>
        <v>#REF!</v>
      </c>
      <c r="AE1210" t="e">
        <f>RIGHT(#REF!,(FIND("Complex",#REF!,1)-10))</f>
        <v>#REF!</v>
      </c>
    </row>
    <row r="1211" spans="1:31" x14ac:dyDescent="0.25">
      <c r="A1211">
        <v>3743</v>
      </c>
      <c r="B1211" t="s">
        <v>28</v>
      </c>
      <c r="C1211">
        <v>14</v>
      </c>
      <c r="D1211">
        <v>1067</v>
      </c>
      <c r="E1211">
        <v>3743</v>
      </c>
      <c r="F1211">
        <v>9613801</v>
      </c>
      <c r="G1211">
        <v>9702000</v>
      </c>
      <c r="H1211">
        <f t="shared" si="36"/>
        <v>218.00002267573697</v>
      </c>
      <c r="I1211">
        <f t="shared" si="37"/>
        <v>220</v>
      </c>
      <c r="J1211" t="s">
        <v>22</v>
      </c>
      <c r="K1211">
        <v>6</v>
      </c>
      <c r="L1211" t="e">
        <f t="array" ref="L1211">VLOOKUP(J1211:$J$3871&amp;K1211:$K$3871,CHOOSE({1,2},#REF!&amp;#REF!,#REF!),2,0)</f>
        <v>#N/A</v>
      </c>
      <c r="M1211">
        <v>-15</v>
      </c>
      <c r="N1211">
        <v>0</v>
      </c>
      <c r="O1211" t="s">
        <v>7</v>
      </c>
      <c r="P1211">
        <v>1</v>
      </c>
      <c r="Q1211">
        <v>1</v>
      </c>
      <c r="R1211">
        <v>0</v>
      </c>
      <c r="S1211">
        <v>1</v>
      </c>
      <c r="T1211">
        <v>1</v>
      </c>
      <c r="U1211">
        <v>0</v>
      </c>
      <c r="V1211">
        <v>0</v>
      </c>
      <c r="W1211">
        <v>1</v>
      </c>
      <c r="X1211">
        <v>1</v>
      </c>
      <c r="Y1211">
        <v>0</v>
      </c>
      <c r="Z1211">
        <v>0</v>
      </c>
      <c r="AA1211" t="s">
        <v>3010</v>
      </c>
      <c r="AB1211" t="s">
        <v>605</v>
      </c>
      <c r="AC1211" t="s">
        <v>3010</v>
      </c>
      <c r="AD1211" t="e">
        <f>VLOOKUP(AB1211,#REF!,2,FALSE)</f>
        <v>#REF!</v>
      </c>
      <c r="AE1211" t="e">
        <f>RIGHT(#REF!,(FIND("Complex",#REF!,1)-10))</f>
        <v>#REF!</v>
      </c>
    </row>
    <row r="1212" spans="1:31" x14ac:dyDescent="0.25">
      <c r="A1212">
        <v>3489</v>
      </c>
      <c r="B1212" t="s">
        <v>28</v>
      </c>
      <c r="C1212">
        <v>14</v>
      </c>
      <c r="D1212">
        <v>1019</v>
      </c>
      <c r="E1212">
        <v>3489</v>
      </c>
      <c r="F1212">
        <v>9437401</v>
      </c>
      <c r="G1212">
        <v>9525600</v>
      </c>
      <c r="H1212">
        <f t="shared" si="36"/>
        <v>214.00002267573697</v>
      </c>
      <c r="I1212">
        <f t="shared" si="37"/>
        <v>216</v>
      </c>
      <c r="J1212" t="s">
        <v>22</v>
      </c>
      <c r="K1212">
        <v>6</v>
      </c>
      <c r="L1212" t="e">
        <f t="array" ref="L1212">VLOOKUP(J1212:$J$3871&amp;K1212:$K$3871,CHOOSE({1,2},#REF!&amp;#REF!,#REF!),2,0)</f>
        <v>#N/A</v>
      </c>
      <c r="M1212">
        <v>-15</v>
      </c>
      <c r="N1212">
        <v>0</v>
      </c>
      <c r="O1212" t="s">
        <v>7</v>
      </c>
      <c r="P1212">
        <v>1</v>
      </c>
      <c r="Q1212">
        <v>1</v>
      </c>
      <c r="R1212">
        <v>0</v>
      </c>
      <c r="S1212">
        <v>1</v>
      </c>
      <c r="T1212">
        <v>1</v>
      </c>
      <c r="U1212">
        <v>0</v>
      </c>
      <c r="V1212">
        <v>0</v>
      </c>
      <c r="W1212">
        <v>1</v>
      </c>
      <c r="X1212">
        <v>1</v>
      </c>
      <c r="Y1212">
        <v>0</v>
      </c>
      <c r="Z1212">
        <v>0</v>
      </c>
      <c r="AA1212" t="s">
        <v>3019</v>
      </c>
      <c r="AB1212" t="s">
        <v>606</v>
      </c>
      <c r="AC1212" t="s">
        <v>3019</v>
      </c>
      <c r="AD1212" t="e">
        <f>VLOOKUP(AB1212,#REF!,2,FALSE)</f>
        <v>#REF!</v>
      </c>
      <c r="AE1212" t="e">
        <f>RIGHT(#REF!,(FIND("Complex",#REF!,1)-10))</f>
        <v>#REF!</v>
      </c>
    </row>
    <row r="1213" spans="1:31" x14ac:dyDescent="0.25">
      <c r="A1213">
        <v>2994</v>
      </c>
      <c r="B1213" t="s">
        <v>28</v>
      </c>
      <c r="C1213">
        <v>14</v>
      </c>
      <c r="D1213">
        <v>959</v>
      </c>
      <c r="E1213">
        <v>2994</v>
      </c>
      <c r="F1213">
        <v>9349201</v>
      </c>
      <c r="G1213">
        <v>9437400</v>
      </c>
      <c r="H1213">
        <f t="shared" si="36"/>
        <v>212.00002267573697</v>
      </c>
      <c r="I1213">
        <f t="shared" si="37"/>
        <v>214</v>
      </c>
      <c r="J1213" t="s">
        <v>22</v>
      </c>
      <c r="K1213">
        <v>6</v>
      </c>
      <c r="L1213" t="e">
        <f t="array" ref="L1213">VLOOKUP(J1213:$J$3871&amp;K1213:$K$3871,CHOOSE({1,2},#REF!&amp;#REF!,#REF!),2,0)</f>
        <v>#N/A</v>
      </c>
      <c r="M1213">
        <v>-15</v>
      </c>
      <c r="N1213">
        <v>0</v>
      </c>
      <c r="O1213" t="s">
        <v>7</v>
      </c>
      <c r="P1213">
        <v>1</v>
      </c>
      <c r="Q1213">
        <v>1</v>
      </c>
      <c r="R1213">
        <v>0</v>
      </c>
      <c r="S1213">
        <v>1</v>
      </c>
      <c r="T1213">
        <v>1</v>
      </c>
      <c r="U1213">
        <v>0</v>
      </c>
      <c r="V1213">
        <v>0</v>
      </c>
      <c r="W1213">
        <v>1</v>
      </c>
      <c r="X1213">
        <v>1</v>
      </c>
      <c r="Y1213">
        <v>0</v>
      </c>
      <c r="Z1213">
        <v>0</v>
      </c>
      <c r="AA1213" t="s">
        <v>3024</v>
      </c>
      <c r="AB1213" t="s">
        <v>607</v>
      </c>
      <c r="AC1213" t="s">
        <v>3024</v>
      </c>
      <c r="AD1213" t="e">
        <f>VLOOKUP(AB1213,#REF!,2,FALSE)</f>
        <v>#REF!</v>
      </c>
      <c r="AE1213" t="e">
        <f>RIGHT(#REF!,(FIND("Complex",#REF!,1)-9))</f>
        <v>#REF!</v>
      </c>
    </row>
    <row r="1214" spans="1:31" x14ac:dyDescent="0.25">
      <c r="A1214">
        <v>3830</v>
      </c>
      <c r="B1214" t="s">
        <v>28</v>
      </c>
      <c r="C1214">
        <v>14</v>
      </c>
      <c r="D1214">
        <v>1086</v>
      </c>
      <c r="E1214">
        <v>3830</v>
      </c>
      <c r="F1214">
        <v>9261001</v>
      </c>
      <c r="G1214">
        <v>9349200</v>
      </c>
      <c r="H1214">
        <f t="shared" si="36"/>
        <v>210.00002267573697</v>
      </c>
      <c r="I1214">
        <f t="shared" si="37"/>
        <v>212</v>
      </c>
      <c r="J1214" t="s">
        <v>22</v>
      </c>
      <c r="K1214">
        <v>6</v>
      </c>
      <c r="L1214" t="e">
        <f t="array" ref="L1214">VLOOKUP(J1214:$J$3871&amp;K1214:$K$3871,CHOOSE({1,2},#REF!&amp;#REF!,#REF!),2,0)</f>
        <v>#N/A</v>
      </c>
      <c r="M1214">
        <v>-15</v>
      </c>
      <c r="N1214">
        <v>0</v>
      </c>
      <c r="O1214" t="s">
        <v>7</v>
      </c>
      <c r="P1214">
        <v>1</v>
      </c>
      <c r="Q1214">
        <v>1</v>
      </c>
      <c r="R1214">
        <v>0</v>
      </c>
      <c r="S1214">
        <v>1</v>
      </c>
      <c r="T1214">
        <v>1</v>
      </c>
      <c r="U1214">
        <v>0</v>
      </c>
      <c r="V1214">
        <v>0</v>
      </c>
      <c r="W1214">
        <v>1</v>
      </c>
      <c r="X1214">
        <v>1</v>
      </c>
      <c r="Y1214">
        <v>0</v>
      </c>
      <c r="Z1214">
        <v>0</v>
      </c>
      <c r="AA1214" t="s">
        <v>3028</v>
      </c>
      <c r="AB1214" t="s">
        <v>608</v>
      </c>
      <c r="AC1214" t="s">
        <v>3028</v>
      </c>
      <c r="AD1214" t="e">
        <f>VLOOKUP(AB1214,#REF!,2,FALSE)</f>
        <v>#REF!</v>
      </c>
      <c r="AE1214" t="e">
        <f>RIGHT(#REF!,(FIND("Complex",#REF!,1)-10))</f>
        <v>#REF!</v>
      </c>
    </row>
    <row r="1215" spans="1:31" x14ac:dyDescent="0.25">
      <c r="A1215">
        <v>1156</v>
      </c>
      <c r="B1215" t="s">
        <v>28</v>
      </c>
      <c r="C1215">
        <v>14</v>
      </c>
      <c r="D1215">
        <v>346</v>
      </c>
      <c r="E1215">
        <v>1156</v>
      </c>
      <c r="F1215">
        <v>8643601</v>
      </c>
      <c r="G1215">
        <v>8731800</v>
      </c>
      <c r="H1215">
        <f t="shared" si="36"/>
        <v>196.00002267573697</v>
      </c>
      <c r="I1215">
        <f t="shared" si="37"/>
        <v>198</v>
      </c>
      <c r="J1215" t="s">
        <v>22</v>
      </c>
      <c r="K1215">
        <v>6</v>
      </c>
      <c r="L1215" t="e">
        <f t="array" ref="L1215">VLOOKUP(J1215:$J$3871&amp;K1215:$K$3871,CHOOSE({1,2},#REF!&amp;#REF!,#REF!),2,0)</f>
        <v>#N/A</v>
      </c>
      <c r="M1215">
        <v>-15</v>
      </c>
      <c r="N1215">
        <v>0</v>
      </c>
      <c r="O1215" t="s">
        <v>7</v>
      </c>
      <c r="P1215">
        <v>1</v>
      </c>
      <c r="Q1215">
        <v>1</v>
      </c>
      <c r="R1215">
        <v>0</v>
      </c>
      <c r="S1215">
        <v>1</v>
      </c>
      <c r="T1215">
        <v>1</v>
      </c>
      <c r="U1215">
        <v>0</v>
      </c>
      <c r="V1215">
        <v>0</v>
      </c>
      <c r="W1215">
        <v>1</v>
      </c>
      <c r="X1215">
        <v>1</v>
      </c>
      <c r="Y1215">
        <v>0</v>
      </c>
      <c r="Z1215">
        <v>0</v>
      </c>
      <c r="AA1215" t="s">
        <v>3066</v>
      </c>
      <c r="AB1215" t="s">
        <v>609</v>
      </c>
      <c r="AC1215" t="s">
        <v>3066</v>
      </c>
      <c r="AD1215" t="e">
        <f>VLOOKUP(AB1215,#REF!,2,FALSE)</f>
        <v>#REF!</v>
      </c>
      <c r="AE1215" t="e">
        <f>RIGHT(#REF!,(FIND("Complex",#REF!,1)-9))</f>
        <v>#REF!</v>
      </c>
    </row>
    <row r="1216" spans="1:31" x14ac:dyDescent="0.25">
      <c r="A1216">
        <v>3839</v>
      </c>
      <c r="B1216" t="s">
        <v>28</v>
      </c>
      <c r="C1216">
        <v>14</v>
      </c>
      <c r="D1216">
        <v>1088</v>
      </c>
      <c r="E1216">
        <v>3839</v>
      </c>
      <c r="F1216">
        <v>8379001</v>
      </c>
      <c r="G1216">
        <v>8467200</v>
      </c>
      <c r="H1216">
        <f t="shared" si="36"/>
        <v>190.00002267573697</v>
      </c>
      <c r="I1216">
        <f t="shared" si="37"/>
        <v>192</v>
      </c>
      <c r="J1216" t="s">
        <v>22</v>
      </c>
      <c r="K1216">
        <v>6</v>
      </c>
      <c r="L1216" t="e">
        <f t="array" ref="L1216">VLOOKUP(J1216:$J$3871&amp;K1216:$K$3871,CHOOSE({1,2},#REF!&amp;#REF!,#REF!),2,0)</f>
        <v>#N/A</v>
      </c>
      <c r="M1216">
        <v>-15</v>
      </c>
      <c r="N1216">
        <v>0</v>
      </c>
      <c r="O1216" t="s">
        <v>7</v>
      </c>
      <c r="P1216">
        <v>1</v>
      </c>
      <c r="Q1216">
        <v>1</v>
      </c>
      <c r="R1216">
        <v>0</v>
      </c>
      <c r="S1216">
        <v>1</v>
      </c>
      <c r="T1216">
        <v>1</v>
      </c>
      <c r="U1216">
        <v>0</v>
      </c>
      <c r="V1216">
        <v>0</v>
      </c>
      <c r="W1216">
        <v>1</v>
      </c>
      <c r="X1216">
        <v>1</v>
      </c>
      <c r="Y1216">
        <v>0</v>
      </c>
      <c r="Z1216">
        <v>0</v>
      </c>
      <c r="AA1216" t="s">
        <v>3089</v>
      </c>
      <c r="AB1216" t="s">
        <v>610</v>
      </c>
      <c r="AC1216" t="s">
        <v>3089</v>
      </c>
      <c r="AD1216" t="e">
        <f>VLOOKUP(AB1216,#REF!,2,FALSE)</f>
        <v>#REF!</v>
      </c>
      <c r="AE1216" t="e">
        <f>RIGHT(#REF!,(FIND("Complex",#REF!,1)-10))</f>
        <v>#REF!</v>
      </c>
    </row>
    <row r="1217" spans="1:31" x14ac:dyDescent="0.25">
      <c r="A1217">
        <v>2632</v>
      </c>
      <c r="B1217" t="s">
        <v>28</v>
      </c>
      <c r="C1217">
        <v>14</v>
      </c>
      <c r="D1217">
        <v>869</v>
      </c>
      <c r="E1217">
        <v>2632</v>
      </c>
      <c r="F1217">
        <v>6791401</v>
      </c>
      <c r="G1217">
        <v>6879600</v>
      </c>
      <c r="H1217">
        <f t="shared" si="36"/>
        <v>154.00002267573697</v>
      </c>
      <c r="I1217">
        <f t="shared" si="37"/>
        <v>156</v>
      </c>
      <c r="J1217" t="s">
        <v>22</v>
      </c>
      <c r="K1217">
        <v>6</v>
      </c>
      <c r="L1217" t="e">
        <f t="array" ref="L1217">VLOOKUP(J1217:$J$3871&amp;K1217:$K$3871,CHOOSE({1,2},#REF!&amp;#REF!,#REF!),2,0)</f>
        <v>#N/A</v>
      </c>
      <c r="M1217">
        <v>-15</v>
      </c>
      <c r="N1217">
        <v>0</v>
      </c>
      <c r="O1217" t="s">
        <v>7</v>
      </c>
      <c r="P1217">
        <v>1</v>
      </c>
      <c r="Q1217">
        <v>1</v>
      </c>
      <c r="R1217">
        <v>0</v>
      </c>
      <c r="S1217">
        <v>1</v>
      </c>
      <c r="T1217">
        <v>1</v>
      </c>
      <c r="U1217">
        <v>0</v>
      </c>
      <c r="V1217">
        <v>0</v>
      </c>
      <c r="W1217">
        <v>1</v>
      </c>
      <c r="X1217">
        <v>1</v>
      </c>
      <c r="Y1217">
        <v>0</v>
      </c>
      <c r="Z1217">
        <v>0</v>
      </c>
      <c r="AA1217" t="s">
        <v>3214</v>
      </c>
      <c r="AB1217" t="s">
        <v>611</v>
      </c>
      <c r="AC1217" t="s">
        <v>3214</v>
      </c>
      <c r="AD1217" t="e">
        <f>VLOOKUP(AB1217,#REF!,2,FALSE)</f>
        <v>#REF!</v>
      </c>
      <c r="AE1217" t="e">
        <f>RIGHT(#REF!,(FIND("Complex",#REF!,1)-9))</f>
        <v>#REF!</v>
      </c>
    </row>
    <row r="1218" spans="1:31" x14ac:dyDescent="0.25">
      <c r="A1218">
        <v>3523</v>
      </c>
      <c r="B1218" t="s">
        <v>28</v>
      </c>
      <c r="C1218">
        <v>14</v>
      </c>
      <c r="D1218">
        <v>1026</v>
      </c>
      <c r="E1218">
        <v>3523</v>
      </c>
      <c r="F1218">
        <v>6703201</v>
      </c>
      <c r="G1218">
        <v>6791400</v>
      </c>
      <c r="H1218">
        <f t="shared" ref="H1218:H1281" si="38">F1218/44100</f>
        <v>152.00002267573697</v>
      </c>
      <c r="I1218">
        <f t="shared" ref="I1218:I1281" si="39">G1218/44100</f>
        <v>154</v>
      </c>
      <c r="J1218" t="s">
        <v>22</v>
      </c>
      <c r="K1218">
        <v>6</v>
      </c>
      <c r="L1218" t="e">
        <f t="array" ref="L1218">VLOOKUP(J1218:$J$3871&amp;K1218:$K$3871,CHOOSE({1,2},#REF!&amp;#REF!,#REF!),2,0)</f>
        <v>#N/A</v>
      </c>
      <c r="M1218">
        <v>-15</v>
      </c>
      <c r="N1218">
        <v>0</v>
      </c>
      <c r="O1218" t="s">
        <v>7</v>
      </c>
      <c r="P1218">
        <v>1</v>
      </c>
      <c r="Q1218">
        <v>1</v>
      </c>
      <c r="R1218">
        <v>0</v>
      </c>
      <c r="S1218">
        <v>1</v>
      </c>
      <c r="T1218">
        <v>1</v>
      </c>
      <c r="U1218">
        <v>0</v>
      </c>
      <c r="V1218">
        <v>0</v>
      </c>
      <c r="W1218">
        <v>1</v>
      </c>
      <c r="X1218">
        <v>1</v>
      </c>
      <c r="Y1218">
        <v>0</v>
      </c>
      <c r="Z1218">
        <v>0</v>
      </c>
      <c r="AA1218" t="s">
        <v>3222</v>
      </c>
      <c r="AB1218" t="s">
        <v>612</v>
      </c>
      <c r="AC1218" t="s">
        <v>3222</v>
      </c>
      <c r="AD1218" t="e">
        <f>VLOOKUP(AB1218,#REF!,2,FALSE)</f>
        <v>#REF!</v>
      </c>
      <c r="AE1218" t="e">
        <f>RIGHT(#REF!,(FIND("Complex",#REF!,1)-10))</f>
        <v>#REF!</v>
      </c>
    </row>
    <row r="1219" spans="1:31" x14ac:dyDescent="0.25">
      <c r="A1219">
        <v>3111</v>
      </c>
      <c r="B1219" t="s">
        <v>28</v>
      </c>
      <c r="C1219">
        <v>14</v>
      </c>
      <c r="D1219">
        <v>975</v>
      </c>
      <c r="E1219">
        <v>3111</v>
      </c>
      <c r="F1219">
        <v>6350401</v>
      </c>
      <c r="G1219">
        <v>6438600</v>
      </c>
      <c r="H1219">
        <f t="shared" si="38"/>
        <v>144.00002267573697</v>
      </c>
      <c r="I1219">
        <f t="shared" si="39"/>
        <v>146</v>
      </c>
      <c r="J1219" t="s">
        <v>22</v>
      </c>
      <c r="K1219">
        <v>6</v>
      </c>
      <c r="L1219" t="e">
        <f t="array" ref="L1219">VLOOKUP(J1219:$J$3871&amp;K1219:$K$3871,CHOOSE({1,2},#REF!&amp;#REF!,#REF!),2,0)</f>
        <v>#N/A</v>
      </c>
      <c r="M1219">
        <v>-15</v>
      </c>
      <c r="N1219">
        <v>0</v>
      </c>
      <c r="O1219" t="s">
        <v>7</v>
      </c>
      <c r="P1219">
        <v>1</v>
      </c>
      <c r="Q1219">
        <v>1</v>
      </c>
      <c r="R1219">
        <v>0</v>
      </c>
      <c r="S1219">
        <v>1</v>
      </c>
      <c r="T1219">
        <v>1</v>
      </c>
      <c r="U1219">
        <v>0</v>
      </c>
      <c r="V1219">
        <v>0</v>
      </c>
      <c r="W1219">
        <v>1</v>
      </c>
      <c r="X1219">
        <v>1</v>
      </c>
      <c r="Y1219">
        <v>0</v>
      </c>
      <c r="Z1219">
        <v>0</v>
      </c>
      <c r="AA1219" t="s">
        <v>3250</v>
      </c>
      <c r="AB1219" t="s">
        <v>6291</v>
      </c>
      <c r="AC1219" t="s">
        <v>3250</v>
      </c>
      <c r="AD1219" t="e">
        <f>VLOOKUP(AB1219,#REF!,2,FALSE)</f>
        <v>#REF!</v>
      </c>
      <c r="AE1219" t="e">
        <f>RIGHT(#REF!,(FIND("Complex",#REF!,1)-9))</f>
        <v>#REF!</v>
      </c>
    </row>
    <row r="1220" spans="1:31" x14ac:dyDescent="0.25">
      <c r="A1220">
        <v>920</v>
      </c>
      <c r="B1220" t="s">
        <v>28</v>
      </c>
      <c r="C1220">
        <v>14</v>
      </c>
      <c r="D1220">
        <v>281</v>
      </c>
      <c r="E1220">
        <v>920</v>
      </c>
      <c r="F1220">
        <v>6174001</v>
      </c>
      <c r="G1220">
        <v>6262200</v>
      </c>
      <c r="H1220">
        <f t="shared" si="38"/>
        <v>140.00002267573697</v>
      </c>
      <c r="I1220">
        <f t="shared" si="39"/>
        <v>142</v>
      </c>
      <c r="J1220" t="s">
        <v>22</v>
      </c>
      <c r="K1220">
        <v>6</v>
      </c>
      <c r="L1220" t="e">
        <f t="array" ref="L1220">VLOOKUP(J1220:$J$3871&amp;K1220:$K$3871,CHOOSE({1,2},#REF!&amp;#REF!,#REF!),2,0)</f>
        <v>#N/A</v>
      </c>
      <c r="M1220">
        <v>-15</v>
      </c>
      <c r="N1220">
        <v>0</v>
      </c>
      <c r="O1220" t="s">
        <v>7</v>
      </c>
      <c r="P1220">
        <v>1</v>
      </c>
      <c r="Q1220">
        <v>1</v>
      </c>
      <c r="R1220">
        <v>0</v>
      </c>
      <c r="S1220">
        <v>1</v>
      </c>
      <c r="T1220">
        <v>1</v>
      </c>
      <c r="U1220">
        <v>0</v>
      </c>
      <c r="V1220">
        <v>0</v>
      </c>
      <c r="W1220">
        <v>1</v>
      </c>
      <c r="X1220">
        <v>1</v>
      </c>
      <c r="Y1220">
        <v>0</v>
      </c>
      <c r="Z1220">
        <v>0</v>
      </c>
      <c r="AA1220" t="s">
        <v>3267</v>
      </c>
      <c r="AB1220" t="s">
        <v>6292</v>
      </c>
      <c r="AC1220" t="s">
        <v>3267</v>
      </c>
      <c r="AD1220" t="e">
        <f>VLOOKUP(AB1220,#REF!,2,FALSE)</f>
        <v>#REF!</v>
      </c>
      <c r="AE1220" t="e">
        <f>RIGHT(#REF!,(FIND("Complex",#REF!,1)-8))</f>
        <v>#REF!</v>
      </c>
    </row>
    <row r="1221" spans="1:31" x14ac:dyDescent="0.25">
      <c r="A1221">
        <v>2027</v>
      </c>
      <c r="B1221" t="s">
        <v>28</v>
      </c>
      <c r="C1221">
        <v>14</v>
      </c>
      <c r="D1221">
        <v>617</v>
      </c>
      <c r="E1221">
        <v>2027</v>
      </c>
      <c r="F1221">
        <v>5909401</v>
      </c>
      <c r="G1221">
        <v>5997600</v>
      </c>
      <c r="H1221">
        <f t="shared" si="38"/>
        <v>134.00002267573697</v>
      </c>
      <c r="I1221">
        <f t="shared" si="39"/>
        <v>136</v>
      </c>
      <c r="J1221" t="s">
        <v>22</v>
      </c>
      <c r="K1221">
        <v>6</v>
      </c>
      <c r="L1221" t="e">
        <f t="array" ref="L1221">VLOOKUP(J1221:$J$3871&amp;K1221:$K$3871,CHOOSE({1,2},#REF!&amp;#REF!,#REF!),2,0)</f>
        <v>#N/A</v>
      </c>
      <c r="M1221">
        <v>-15</v>
      </c>
      <c r="N1221">
        <v>0</v>
      </c>
      <c r="O1221" t="s">
        <v>7</v>
      </c>
      <c r="P1221">
        <v>1</v>
      </c>
      <c r="Q1221">
        <v>1</v>
      </c>
      <c r="R1221">
        <v>0</v>
      </c>
      <c r="S1221">
        <v>1</v>
      </c>
      <c r="T1221">
        <v>1</v>
      </c>
      <c r="U1221">
        <v>0</v>
      </c>
      <c r="V1221">
        <v>0</v>
      </c>
      <c r="W1221">
        <v>1</v>
      </c>
      <c r="X1221">
        <v>1</v>
      </c>
      <c r="Y1221">
        <v>0</v>
      </c>
      <c r="Z1221">
        <v>0</v>
      </c>
      <c r="AA1221" t="s">
        <v>3301</v>
      </c>
      <c r="AB1221" t="s">
        <v>613</v>
      </c>
      <c r="AC1221" t="s">
        <v>3301</v>
      </c>
      <c r="AD1221" t="e">
        <f>VLOOKUP(AB1221,#REF!,2,FALSE)</f>
        <v>#REF!</v>
      </c>
      <c r="AE1221" t="e">
        <f>RIGHT(#REF!,(FIND("Complex",#REF!,1)-9))</f>
        <v>#REF!</v>
      </c>
    </row>
    <row r="1222" spans="1:31" x14ac:dyDescent="0.25">
      <c r="A1222">
        <v>3169</v>
      </c>
      <c r="B1222" t="s">
        <v>28</v>
      </c>
      <c r="C1222">
        <v>14</v>
      </c>
      <c r="D1222">
        <v>981</v>
      </c>
      <c r="E1222">
        <v>3169</v>
      </c>
      <c r="F1222">
        <v>5468401</v>
      </c>
      <c r="G1222">
        <v>5556600</v>
      </c>
      <c r="H1222">
        <f t="shared" si="38"/>
        <v>124.00002267573696</v>
      </c>
      <c r="I1222">
        <f t="shared" si="39"/>
        <v>126</v>
      </c>
      <c r="J1222" t="s">
        <v>22</v>
      </c>
      <c r="K1222">
        <v>6</v>
      </c>
      <c r="L1222" t="e">
        <f t="array" ref="L1222">VLOOKUP(J1222:$J$3871&amp;K1222:$K$3871,CHOOSE({1,2},#REF!&amp;#REF!,#REF!),2,0)</f>
        <v>#N/A</v>
      </c>
      <c r="M1222">
        <v>-15</v>
      </c>
      <c r="N1222">
        <v>0</v>
      </c>
      <c r="O1222" t="s">
        <v>7</v>
      </c>
      <c r="P1222">
        <v>1</v>
      </c>
      <c r="Q1222">
        <v>1</v>
      </c>
      <c r="R1222">
        <v>0</v>
      </c>
      <c r="S1222">
        <v>1</v>
      </c>
      <c r="T1222">
        <v>1</v>
      </c>
      <c r="U1222">
        <v>0</v>
      </c>
      <c r="V1222">
        <v>0</v>
      </c>
      <c r="W1222">
        <v>1</v>
      </c>
      <c r="X1222">
        <v>1</v>
      </c>
      <c r="Y1222">
        <v>0</v>
      </c>
      <c r="Z1222">
        <v>0</v>
      </c>
      <c r="AA1222" t="s">
        <v>3362</v>
      </c>
      <c r="AB1222" t="s">
        <v>614</v>
      </c>
      <c r="AC1222" t="s">
        <v>3362</v>
      </c>
      <c r="AD1222" t="e">
        <f>VLOOKUP(AB1222,#REF!,2,FALSE)</f>
        <v>#REF!</v>
      </c>
      <c r="AE1222" t="e">
        <f>RIGHT(#REF!,(FIND("Complex",#REF!,1)-9))</f>
        <v>#REF!</v>
      </c>
    </row>
    <row r="1223" spans="1:31" x14ac:dyDescent="0.25">
      <c r="A1223">
        <v>2235</v>
      </c>
      <c r="B1223" t="s">
        <v>28</v>
      </c>
      <c r="C1223">
        <v>14</v>
      </c>
      <c r="D1223">
        <v>692</v>
      </c>
      <c r="E1223">
        <v>2235</v>
      </c>
      <c r="F1223">
        <v>5380201</v>
      </c>
      <c r="G1223">
        <v>5468400</v>
      </c>
      <c r="H1223">
        <f t="shared" si="38"/>
        <v>122.00002267573696</v>
      </c>
      <c r="I1223">
        <f t="shared" si="39"/>
        <v>124</v>
      </c>
      <c r="J1223" t="s">
        <v>22</v>
      </c>
      <c r="K1223">
        <v>6</v>
      </c>
      <c r="L1223" t="e">
        <f t="array" ref="L1223">VLOOKUP(J1223:$J$3871&amp;K1223:$K$3871,CHOOSE({1,2},#REF!&amp;#REF!,#REF!),2,0)</f>
        <v>#N/A</v>
      </c>
      <c r="M1223">
        <v>-15</v>
      </c>
      <c r="N1223">
        <v>0</v>
      </c>
      <c r="O1223" t="s">
        <v>7</v>
      </c>
      <c r="P1223">
        <v>1</v>
      </c>
      <c r="Q1223">
        <v>1</v>
      </c>
      <c r="R1223">
        <v>0</v>
      </c>
      <c r="S1223">
        <v>1</v>
      </c>
      <c r="T1223">
        <v>1</v>
      </c>
      <c r="U1223">
        <v>0</v>
      </c>
      <c r="V1223">
        <v>0</v>
      </c>
      <c r="W1223">
        <v>1</v>
      </c>
      <c r="X1223">
        <v>1</v>
      </c>
      <c r="Y1223">
        <v>0</v>
      </c>
      <c r="Z1223">
        <v>0</v>
      </c>
      <c r="AA1223" t="s">
        <v>3374</v>
      </c>
      <c r="AB1223" t="s">
        <v>615</v>
      </c>
      <c r="AC1223" t="s">
        <v>3374</v>
      </c>
      <c r="AD1223" t="e">
        <f>VLOOKUP(AB1223,#REF!,2,FALSE)</f>
        <v>#REF!</v>
      </c>
      <c r="AE1223" t="e">
        <f>RIGHT(#REF!,(FIND("Complex",#REF!,1)-9))</f>
        <v>#REF!</v>
      </c>
    </row>
    <row r="1224" spans="1:31" x14ac:dyDescent="0.25">
      <c r="A1224">
        <v>1901</v>
      </c>
      <c r="B1224" t="s">
        <v>43</v>
      </c>
      <c r="C1224">
        <v>19</v>
      </c>
      <c r="D1224">
        <v>576</v>
      </c>
      <c r="E1224">
        <v>1901</v>
      </c>
      <c r="F1224">
        <v>6526801</v>
      </c>
      <c r="G1224">
        <v>6615000</v>
      </c>
      <c r="H1224">
        <f t="shared" si="38"/>
        <v>148.00002267573697</v>
      </c>
      <c r="I1224">
        <f t="shared" si="39"/>
        <v>150</v>
      </c>
      <c r="J1224" t="s">
        <v>22</v>
      </c>
      <c r="K1224">
        <v>6</v>
      </c>
      <c r="L1224" t="e">
        <f t="array" ref="L1224">VLOOKUP(J1224:$J$3871&amp;K1224:$K$3871,CHOOSE({1,2},#REF!&amp;#REF!,#REF!),2,0)</f>
        <v>#N/A</v>
      </c>
      <c r="M1224">
        <v>-15</v>
      </c>
      <c r="N1224">
        <v>0</v>
      </c>
      <c r="O1224" t="s">
        <v>7</v>
      </c>
      <c r="P1224">
        <v>1</v>
      </c>
      <c r="Q1224">
        <v>1</v>
      </c>
      <c r="R1224">
        <v>1</v>
      </c>
      <c r="S1224">
        <v>0</v>
      </c>
      <c r="T1224">
        <v>1</v>
      </c>
      <c r="U1224">
        <v>0</v>
      </c>
      <c r="V1224">
        <v>0</v>
      </c>
      <c r="W1224">
        <v>1</v>
      </c>
      <c r="X1224">
        <v>1</v>
      </c>
      <c r="Y1224">
        <v>0</v>
      </c>
      <c r="Z1224">
        <v>0</v>
      </c>
      <c r="AA1224" t="s">
        <v>3234</v>
      </c>
      <c r="AB1224" t="s">
        <v>658</v>
      </c>
      <c r="AC1224" t="s">
        <v>3234</v>
      </c>
      <c r="AD1224" t="e">
        <f>VLOOKUP(AB1224,#REF!,2,FALSE)</f>
        <v>#REF!</v>
      </c>
      <c r="AE1224" t="e">
        <f>RIGHT(#REF!,(FIND("Complex",#REF!,1)-9))</f>
        <v>#REF!</v>
      </c>
    </row>
    <row r="1225" spans="1:31" x14ac:dyDescent="0.25">
      <c r="A1225">
        <v>2789</v>
      </c>
      <c r="B1225" t="s">
        <v>43</v>
      </c>
      <c r="C1225">
        <v>19</v>
      </c>
      <c r="D1225">
        <v>919</v>
      </c>
      <c r="E1225">
        <v>2789</v>
      </c>
      <c r="F1225">
        <v>6438601</v>
      </c>
      <c r="G1225">
        <v>6526800</v>
      </c>
      <c r="H1225">
        <f t="shared" si="38"/>
        <v>146.00002267573697</v>
      </c>
      <c r="I1225">
        <f t="shared" si="39"/>
        <v>148</v>
      </c>
      <c r="J1225" t="s">
        <v>22</v>
      </c>
      <c r="K1225">
        <v>6</v>
      </c>
      <c r="L1225" t="e">
        <f t="array" ref="L1225">VLOOKUP(J1225:$J$3871&amp;K1225:$K$3871,CHOOSE({1,2},#REF!&amp;#REF!,#REF!),2,0)</f>
        <v>#N/A</v>
      </c>
      <c r="M1225">
        <v>-15</v>
      </c>
      <c r="N1225">
        <v>0</v>
      </c>
      <c r="O1225" t="s">
        <v>7</v>
      </c>
      <c r="P1225">
        <v>1</v>
      </c>
      <c r="Q1225">
        <v>1</v>
      </c>
      <c r="R1225">
        <v>1</v>
      </c>
      <c r="S1225">
        <v>0</v>
      </c>
      <c r="T1225">
        <v>1</v>
      </c>
      <c r="U1225">
        <v>0</v>
      </c>
      <c r="V1225">
        <v>0</v>
      </c>
      <c r="W1225">
        <v>1</v>
      </c>
      <c r="X1225">
        <v>1</v>
      </c>
      <c r="Y1225">
        <v>0</v>
      </c>
      <c r="Z1225">
        <v>0</v>
      </c>
      <c r="AA1225" t="s">
        <v>3242</v>
      </c>
      <c r="AB1225" t="s">
        <v>659</v>
      </c>
      <c r="AC1225" t="s">
        <v>3242</v>
      </c>
      <c r="AD1225" t="e">
        <f>VLOOKUP(AB1225,#REF!,2,FALSE)</f>
        <v>#REF!</v>
      </c>
      <c r="AE1225" t="e">
        <f>RIGHT(#REF!,(FIND("Complex",#REF!,1)-9))</f>
        <v>#REF!</v>
      </c>
    </row>
    <row r="1226" spans="1:31" x14ac:dyDescent="0.25">
      <c r="A1226">
        <v>1312</v>
      </c>
      <c r="B1226" t="s">
        <v>43</v>
      </c>
      <c r="C1226">
        <v>19</v>
      </c>
      <c r="D1226">
        <v>401</v>
      </c>
      <c r="E1226">
        <v>1312</v>
      </c>
      <c r="F1226">
        <v>5380201</v>
      </c>
      <c r="G1226">
        <v>5468400</v>
      </c>
      <c r="H1226">
        <f t="shared" si="38"/>
        <v>122.00002267573696</v>
      </c>
      <c r="I1226">
        <f t="shared" si="39"/>
        <v>124</v>
      </c>
      <c r="J1226" t="s">
        <v>22</v>
      </c>
      <c r="K1226">
        <v>6</v>
      </c>
      <c r="L1226" t="e">
        <f t="array" ref="L1226">VLOOKUP(J1226:$J$3871&amp;K1226:$K$3871,CHOOSE({1,2},#REF!&amp;#REF!,#REF!),2,0)</f>
        <v>#N/A</v>
      </c>
      <c r="M1226">
        <v>-15</v>
      </c>
      <c r="N1226">
        <v>0</v>
      </c>
      <c r="O1226" t="s">
        <v>7</v>
      </c>
      <c r="P1226">
        <v>1</v>
      </c>
      <c r="Q1226">
        <v>1</v>
      </c>
      <c r="R1226">
        <v>1</v>
      </c>
      <c r="S1226">
        <v>0</v>
      </c>
      <c r="T1226">
        <v>1</v>
      </c>
      <c r="U1226">
        <v>0</v>
      </c>
      <c r="V1226">
        <v>0</v>
      </c>
      <c r="W1226">
        <v>1</v>
      </c>
      <c r="X1226">
        <v>1</v>
      </c>
      <c r="Y1226">
        <v>0</v>
      </c>
      <c r="Z1226">
        <v>0</v>
      </c>
      <c r="AA1226" t="s">
        <v>3373</v>
      </c>
      <c r="AB1226" t="s">
        <v>660</v>
      </c>
      <c r="AC1226" t="s">
        <v>3373</v>
      </c>
      <c r="AD1226" t="e">
        <f>VLOOKUP(AB1226,#REF!,2,FALSE)</f>
        <v>#REF!</v>
      </c>
      <c r="AE1226" t="e">
        <f>RIGHT(#REF!,(FIND("Complex",#REF!,1)-9))</f>
        <v>#REF!</v>
      </c>
    </row>
    <row r="1227" spans="1:31" x14ac:dyDescent="0.25">
      <c r="A1227">
        <v>174</v>
      </c>
      <c r="B1227" t="s">
        <v>43</v>
      </c>
      <c r="C1227">
        <v>19</v>
      </c>
      <c r="D1227">
        <v>55</v>
      </c>
      <c r="E1227">
        <v>174</v>
      </c>
      <c r="F1227">
        <v>5203801</v>
      </c>
      <c r="G1227">
        <v>5292000</v>
      </c>
      <c r="H1227">
        <f t="shared" si="38"/>
        <v>118.00002267573696</v>
      </c>
      <c r="I1227">
        <f t="shared" si="39"/>
        <v>120</v>
      </c>
      <c r="J1227" t="s">
        <v>22</v>
      </c>
      <c r="K1227">
        <v>6</v>
      </c>
      <c r="L1227" t="e">
        <f t="array" ref="L1227">VLOOKUP(J1227:$J$3871&amp;K1227:$K$3871,CHOOSE({1,2},#REF!&amp;#REF!,#REF!),2,0)</f>
        <v>#N/A</v>
      </c>
      <c r="M1227">
        <v>-15</v>
      </c>
      <c r="N1227">
        <v>0</v>
      </c>
      <c r="O1227" t="s">
        <v>7</v>
      </c>
      <c r="P1227">
        <v>1</v>
      </c>
      <c r="Q1227">
        <v>1</v>
      </c>
      <c r="R1227">
        <v>1</v>
      </c>
      <c r="S1227">
        <v>0</v>
      </c>
      <c r="T1227">
        <v>1</v>
      </c>
      <c r="U1227">
        <v>0</v>
      </c>
      <c r="V1227">
        <v>0</v>
      </c>
      <c r="W1227">
        <v>1</v>
      </c>
      <c r="X1227">
        <v>1</v>
      </c>
      <c r="Y1227">
        <v>0</v>
      </c>
      <c r="Z1227">
        <v>0</v>
      </c>
      <c r="AA1227" t="s">
        <v>3399</v>
      </c>
      <c r="AB1227" t="s">
        <v>661</v>
      </c>
      <c r="AC1227" t="s">
        <v>3399</v>
      </c>
      <c r="AD1227" t="e">
        <f>VLOOKUP(AB1227,#REF!,2,FALSE)</f>
        <v>#REF!</v>
      </c>
      <c r="AE1227" t="e">
        <f>RIGHT(#REF!,(FIND("Complex",#REF!,1)-8))</f>
        <v>#REF!</v>
      </c>
    </row>
    <row r="1228" spans="1:31" x14ac:dyDescent="0.25">
      <c r="A1228">
        <v>2480</v>
      </c>
      <c r="B1228" t="s">
        <v>43</v>
      </c>
      <c r="C1228">
        <v>19</v>
      </c>
      <c r="D1228">
        <v>804</v>
      </c>
      <c r="E1228">
        <v>2480</v>
      </c>
      <c r="F1228">
        <v>4851001</v>
      </c>
      <c r="G1228">
        <v>4939200</v>
      </c>
      <c r="H1228">
        <f t="shared" si="38"/>
        <v>110.00002267573696</v>
      </c>
      <c r="I1228">
        <f t="shared" si="39"/>
        <v>112</v>
      </c>
      <c r="J1228" t="s">
        <v>22</v>
      </c>
      <c r="K1228">
        <v>6</v>
      </c>
      <c r="L1228" t="e">
        <f t="array" ref="L1228">VLOOKUP(J1228:$J$3871&amp;K1228:$K$3871,CHOOSE({1,2},#REF!&amp;#REF!,#REF!),2,0)</f>
        <v>#N/A</v>
      </c>
      <c r="M1228">
        <v>-15</v>
      </c>
      <c r="N1228">
        <v>0</v>
      </c>
      <c r="O1228" t="s">
        <v>7</v>
      </c>
      <c r="P1228">
        <v>1</v>
      </c>
      <c r="Q1228">
        <v>1</v>
      </c>
      <c r="R1228">
        <v>1</v>
      </c>
      <c r="S1228">
        <v>0</v>
      </c>
      <c r="T1228">
        <v>1</v>
      </c>
      <c r="U1228">
        <v>0</v>
      </c>
      <c r="V1228">
        <v>0</v>
      </c>
      <c r="W1228">
        <v>1</v>
      </c>
      <c r="X1228">
        <v>1</v>
      </c>
      <c r="Y1228">
        <v>0</v>
      </c>
      <c r="Z1228">
        <v>0</v>
      </c>
      <c r="AA1228" t="s">
        <v>3451</v>
      </c>
      <c r="AB1228" t="s">
        <v>662</v>
      </c>
      <c r="AC1228" t="s">
        <v>3451</v>
      </c>
      <c r="AD1228" t="e">
        <f>VLOOKUP(AB1228,#REF!,2,FALSE)</f>
        <v>#REF!</v>
      </c>
      <c r="AE1228" t="e">
        <f>RIGHT(#REF!,(FIND("Complex",#REF!,1)-9))</f>
        <v>#REF!</v>
      </c>
    </row>
    <row r="1229" spans="1:31" x14ac:dyDescent="0.25">
      <c r="A1229">
        <v>1467</v>
      </c>
      <c r="B1229" t="s">
        <v>43</v>
      </c>
      <c r="C1229">
        <v>19</v>
      </c>
      <c r="D1229">
        <v>445</v>
      </c>
      <c r="E1229">
        <v>1467</v>
      </c>
      <c r="F1229">
        <v>4762801</v>
      </c>
      <c r="G1229">
        <v>4851000</v>
      </c>
      <c r="H1229">
        <f t="shared" si="38"/>
        <v>108.00002267573696</v>
      </c>
      <c r="I1229">
        <f t="shared" si="39"/>
        <v>110</v>
      </c>
      <c r="J1229" t="s">
        <v>22</v>
      </c>
      <c r="K1229">
        <v>6</v>
      </c>
      <c r="L1229" t="e">
        <f t="array" ref="L1229">VLOOKUP(J1229:$J$3871&amp;K1229:$K$3871,CHOOSE({1,2},#REF!&amp;#REF!,#REF!),2,0)</f>
        <v>#N/A</v>
      </c>
      <c r="M1229">
        <v>-15</v>
      </c>
      <c r="N1229">
        <v>0</v>
      </c>
      <c r="O1229" t="s">
        <v>7</v>
      </c>
      <c r="P1229">
        <v>1</v>
      </c>
      <c r="Q1229">
        <v>1</v>
      </c>
      <c r="R1229">
        <v>1</v>
      </c>
      <c r="S1229">
        <v>0</v>
      </c>
      <c r="T1229">
        <v>1</v>
      </c>
      <c r="U1229">
        <v>0</v>
      </c>
      <c r="V1229">
        <v>0</v>
      </c>
      <c r="W1229">
        <v>1</v>
      </c>
      <c r="X1229">
        <v>1</v>
      </c>
      <c r="Y1229">
        <v>0</v>
      </c>
      <c r="Z1229">
        <v>0</v>
      </c>
      <c r="AA1229" t="s">
        <v>3460</v>
      </c>
      <c r="AB1229" t="s">
        <v>663</v>
      </c>
      <c r="AC1229" t="s">
        <v>3460</v>
      </c>
      <c r="AD1229" t="e">
        <f>VLOOKUP(AB1229,#REF!,2,FALSE)</f>
        <v>#REF!</v>
      </c>
      <c r="AE1229" t="e">
        <f>RIGHT(#REF!,(FIND("Complex",#REF!,1)-9))</f>
        <v>#REF!</v>
      </c>
    </row>
    <row r="1230" spans="1:31" x14ac:dyDescent="0.25">
      <c r="A1230">
        <v>467</v>
      </c>
      <c r="B1230" t="s">
        <v>43</v>
      </c>
      <c r="C1230">
        <v>19</v>
      </c>
      <c r="D1230">
        <v>148</v>
      </c>
      <c r="E1230">
        <v>467</v>
      </c>
      <c r="F1230">
        <v>4498201</v>
      </c>
      <c r="G1230">
        <v>4586400</v>
      </c>
      <c r="H1230">
        <f t="shared" si="38"/>
        <v>102.00002267573696</v>
      </c>
      <c r="I1230">
        <f t="shared" si="39"/>
        <v>104</v>
      </c>
      <c r="J1230" t="s">
        <v>22</v>
      </c>
      <c r="K1230">
        <v>6</v>
      </c>
      <c r="L1230" t="e">
        <f t="array" ref="L1230">VLOOKUP(J1230:$J$3871&amp;K1230:$K$3871,CHOOSE({1,2},#REF!&amp;#REF!,#REF!),2,0)</f>
        <v>#N/A</v>
      </c>
      <c r="M1230">
        <v>-15</v>
      </c>
      <c r="N1230">
        <v>0</v>
      </c>
      <c r="O1230" t="s">
        <v>7</v>
      </c>
      <c r="P1230">
        <v>1</v>
      </c>
      <c r="Q1230">
        <v>1</v>
      </c>
      <c r="R1230">
        <v>1</v>
      </c>
      <c r="S1230">
        <v>0</v>
      </c>
      <c r="T1230">
        <v>1</v>
      </c>
      <c r="U1230">
        <v>0</v>
      </c>
      <c r="V1230">
        <v>0</v>
      </c>
      <c r="W1230">
        <v>1</v>
      </c>
      <c r="X1230">
        <v>1</v>
      </c>
      <c r="Y1230">
        <v>0</v>
      </c>
      <c r="Z1230">
        <v>0</v>
      </c>
      <c r="AA1230" t="s">
        <v>3485</v>
      </c>
      <c r="AB1230" t="s">
        <v>664</v>
      </c>
      <c r="AC1230" t="s">
        <v>3485</v>
      </c>
      <c r="AD1230" t="e">
        <f>VLOOKUP(AB1230,#REF!,2,FALSE)</f>
        <v>#REF!</v>
      </c>
      <c r="AE1230" t="e">
        <f>RIGHT(#REF!,(FIND("Complex",#REF!,1)-8))</f>
        <v>#REF!</v>
      </c>
    </row>
    <row r="1231" spans="1:31" x14ac:dyDescent="0.25">
      <c r="A1231">
        <v>2656</v>
      </c>
      <c r="B1231" t="s">
        <v>62</v>
      </c>
      <c r="C1231">
        <v>26</v>
      </c>
      <c r="D1231">
        <v>880</v>
      </c>
      <c r="E1231">
        <v>2656</v>
      </c>
      <c r="F1231">
        <v>6174001</v>
      </c>
      <c r="G1231">
        <v>6262200</v>
      </c>
      <c r="H1231">
        <f t="shared" si="38"/>
        <v>140.00002267573697</v>
      </c>
      <c r="I1231">
        <f t="shared" si="39"/>
        <v>142</v>
      </c>
      <c r="J1231" t="s">
        <v>22</v>
      </c>
      <c r="K1231">
        <v>6</v>
      </c>
      <c r="L1231" t="e">
        <f t="array" ref="L1231">VLOOKUP(J1231:$J$3871&amp;K1231:$K$3871,CHOOSE({1,2},#REF!&amp;#REF!,#REF!),2,0)</f>
        <v>#N/A</v>
      </c>
      <c r="M1231">
        <v>-15</v>
      </c>
      <c r="N1231">
        <v>0</v>
      </c>
      <c r="O1231" t="s">
        <v>7</v>
      </c>
      <c r="P1231">
        <v>0</v>
      </c>
      <c r="Q1231">
        <v>1</v>
      </c>
      <c r="R1231">
        <v>0</v>
      </c>
      <c r="S1231">
        <v>1</v>
      </c>
      <c r="T1231">
        <v>1</v>
      </c>
      <c r="U1231">
        <v>0</v>
      </c>
      <c r="V1231">
        <v>0</v>
      </c>
      <c r="W1231">
        <v>1</v>
      </c>
      <c r="X1231">
        <v>1</v>
      </c>
      <c r="Y1231">
        <v>1</v>
      </c>
      <c r="Z1231">
        <v>0</v>
      </c>
      <c r="AA1231" t="s">
        <v>3266</v>
      </c>
      <c r="AB1231" t="s">
        <v>800</v>
      </c>
      <c r="AC1231" t="s">
        <v>3266</v>
      </c>
      <c r="AD1231" t="e">
        <f>VLOOKUP(AB1231,#REF!,2,FALSE)</f>
        <v>#REF!</v>
      </c>
      <c r="AE1231" t="e">
        <f>RIGHT(#REF!,(FIND("Complex",#REF!,1)-9))</f>
        <v>#REF!</v>
      </c>
    </row>
    <row r="1232" spans="1:31" x14ac:dyDescent="0.25">
      <c r="A1232">
        <v>2423</v>
      </c>
      <c r="B1232" t="s">
        <v>46</v>
      </c>
      <c r="C1232">
        <v>27</v>
      </c>
      <c r="D1232">
        <v>780</v>
      </c>
      <c r="E1232">
        <v>2423</v>
      </c>
      <c r="F1232">
        <v>4145401</v>
      </c>
      <c r="G1232">
        <v>4233600</v>
      </c>
      <c r="H1232">
        <f t="shared" si="38"/>
        <v>94.000022675736957</v>
      </c>
      <c r="I1232">
        <f t="shared" si="39"/>
        <v>96</v>
      </c>
      <c r="J1232" t="s">
        <v>22</v>
      </c>
      <c r="K1232">
        <v>6</v>
      </c>
      <c r="L1232" t="e">
        <f t="array" ref="L1232">VLOOKUP(J1232:$J$3871&amp;K1232:$K$3871,CHOOSE({1,2},#REF!&amp;#REF!,#REF!),2,0)</f>
        <v>#N/A</v>
      </c>
      <c r="M1232">
        <v>-15</v>
      </c>
      <c r="N1232">
        <v>0</v>
      </c>
      <c r="O1232" t="s">
        <v>7</v>
      </c>
      <c r="P1232">
        <v>1</v>
      </c>
      <c r="Q1232">
        <v>1</v>
      </c>
      <c r="R1232">
        <v>0</v>
      </c>
      <c r="S1232">
        <v>1</v>
      </c>
      <c r="T1232">
        <v>1</v>
      </c>
      <c r="U1232">
        <v>0</v>
      </c>
      <c r="V1232">
        <v>0</v>
      </c>
      <c r="W1232">
        <v>1</v>
      </c>
      <c r="X1232">
        <v>1</v>
      </c>
      <c r="Y1232">
        <v>0</v>
      </c>
      <c r="Z1232">
        <v>0</v>
      </c>
      <c r="AA1232" t="s">
        <v>2639</v>
      </c>
      <c r="AB1232" t="s">
        <v>848</v>
      </c>
      <c r="AC1232" t="s">
        <v>2639</v>
      </c>
      <c r="AD1232" t="e">
        <f>VLOOKUP(AB1232,#REF!,2,FALSE)</f>
        <v>#REF!</v>
      </c>
      <c r="AE1232" t="e">
        <f>RIGHT(#REF!,(FIND("Complex",#REF!,1)-10))</f>
        <v>#REF!</v>
      </c>
    </row>
    <row r="1233" spans="1:31" x14ac:dyDescent="0.25">
      <c r="A1233">
        <v>3818</v>
      </c>
      <c r="B1233" t="s">
        <v>46</v>
      </c>
      <c r="C1233">
        <v>27</v>
      </c>
      <c r="D1233">
        <v>1085</v>
      </c>
      <c r="E1233">
        <v>3818</v>
      </c>
      <c r="F1233">
        <v>3704401</v>
      </c>
      <c r="G1233">
        <v>3792600</v>
      </c>
      <c r="H1233">
        <f t="shared" si="38"/>
        <v>84.000022675736957</v>
      </c>
      <c r="I1233">
        <f t="shared" si="39"/>
        <v>86</v>
      </c>
      <c r="J1233" t="s">
        <v>22</v>
      </c>
      <c r="K1233">
        <v>6</v>
      </c>
      <c r="L1233" t="e">
        <f t="array" ref="L1233">VLOOKUP(J1233:$J$3871&amp;K1233:$K$3871,CHOOSE({1,2},#REF!&amp;#REF!,#REF!),2,0)</f>
        <v>#N/A</v>
      </c>
      <c r="M1233">
        <v>-15</v>
      </c>
      <c r="N1233">
        <v>0</v>
      </c>
      <c r="O1233" t="s">
        <v>7</v>
      </c>
      <c r="P1233">
        <v>1</v>
      </c>
      <c r="Q1233">
        <v>1</v>
      </c>
      <c r="R1233">
        <v>0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1</v>
      </c>
      <c r="Y1233">
        <v>0</v>
      </c>
      <c r="Z1233">
        <v>1</v>
      </c>
      <c r="AA1233" t="s">
        <v>2680</v>
      </c>
      <c r="AB1233" t="s">
        <v>6156</v>
      </c>
      <c r="AC1233" t="s">
        <v>2680</v>
      </c>
      <c r="AD1233" t="e">
        <f>VLOOKUP(AB1233,#REF!,2,FALSE)</f>
        <v>#REF!</v>
      </c>
      <c r="AE1233" t="e">
        <f>RIGHT(#REF!,(FIND("Complex",#REF!,1)-11))</f>
        <v>#REF!</v>
      </c>
    </row>
    <row r="1234" spans="1:31" x14ac:dyDescent="0.25">
      <c r="A1234">
        <v>2645</v>
      </c>
      <c r="B1234" t="s">
        <v>46</v>
      </c>
      <c r="C1234">
        <v>27</v>
      </c>
      <c r="D1234">
        <v>875</v>
      </c>
      <c r="E1234">
        <v>2645</v>
      </c>
      <c r="F1234">
        <v>5644801</v>
      </c>
      <c r="G1234">
        <v>5733000</v>
      </c>
      <c r="H1234">
        <f t="shared" si="38"/>
        <v>128.00002267573697</v>
      </c>
      <c r="I1234">
        <f t="shared" si="39"/>
        <v>130</v>
      </c>
      <c r="J1234" t="s">
        <v>22</v>
      </c>
      <c r="K1234">
        <v>6</v>
      </c>
      <c r="L1234" t="e">
        <f t="array" ref="L1234">VLOOKUP(J1234:$J$3871&amp;K1234:$K$3871,CHOOSE({1,2},#REF!&amp;#REF!,#REF!),2,0)</f>
        <v>#N/A</v>
      </c>
      <c r="M1234">
        <v>-15</v>
      </c>
      <c r="N1234">
        <v>0</v>
      </c>
      <c r="O1234" t="s">
        <v>7</v>
      </c>
      <c r="P1234">
        <v>1</v>
      </c>
      <c r="Q1234">
        <v>1</v>
      </c>
      <c r="R1234">
        <v>0</v>
      </c>
      <c r="S1234">
        <v>1</v>
      </c>
      <c r="T1234">
        <v>0</v>
      </c>
      <c r="U1234">
        <v>0</v>
      </c>
      <c r="V1234">
        <v>0</v>
      </c>
      <c r="W1234">
        <v>1</v>
      </c>
      <c r="X1234">
        <v>1</v>
      </c>
      <c r="Y1234">
        <v>1</v>
      </c>
      <c r="Z1234">
        <v>0</v>
      </c>
      <c r="AA1234" t="s">
        <v>3338</v>
      </c>
      <c r="AB1234" t="s">
        <v>849</v>
      </c>
      <c r="AC1234" t="s">
        <v>3338</v>
      </c>
      <c r="AD1234" t="e">
        <f>VLOOKUP(AB1234,#REF!,2,FALSE)</f>
        <v>#REF!</v>
      </c>
      <c r="AE1234" t="e">
        <f>RIGHT(#REF!,(FIND("Complex",#REF!,1)-9))</f>
        <v>#REF!</v>
      </c>
    </row>
    <row r="1235" spans="1:31" x14ac:dyDescent="0.25">
      <c r="A1235">
        <v>3675</v>
      </c>
      <c r="B1235" t="s">
        <v>54</v>
      </c>
      <c r="C1235">
        <v>31</v>
      </c>
      <c r="D1235">
        <v>1054</v>
      </c>
      <c r="E1235">
        <v>3675</v>
      </c>
      <c r="F1235">
        <v>4145401</v>
      </c>
      <c r="G1235">
        <v>4233600</v>
      </c>
      <c r="H1235">
        <f t="shared" si="38"/>
        <v>94.000022675736957</v>
      </c>
      <c r="I1235">
        <f t="shared" si="39"/>
        <v>96</v>
      </c>
      <c r="J1235" t="s">
        <v>22</v>
      </c>
      <c r="K1235">
        <v>6</v>
      </c>
      <c r="L1235" t="e">
        <f t="array" ref="L1235">VLOOKUP(J1235:$J$3871&amp;K1235:$K$3871,CHOOSE({1,2},#REF!&amp;#REF!,#REF!),2,0)</f>
        <v>#N/A</v>
      </c>
      <c r="M1235">
        <v>-15</v>
      </c>
      <c r="N1235">
        <v>0</v>
      </c>
      <c r="O1235" t="s">
        <v>7</v>
      </c>
      <c r="P1235">
        <v>0</v>
      </c>
      <c r="Q1235">
        <v>1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1</v>
      </c>
      <c r="X1235">
        <v>1</v>
      </c>
      <c r="Y1235">
        <v>1</v>
      </c>
      <c r="Z1235">
        <v>1</v>
      </c>
      <c r="AA1235" t="s">
        <v>2638</v>
      </c>
      <c r="AB1235" t="s">
        <v>939</v>
      </c>
      <c r="AC1235" t="s">
        <v>2638</v>
      </c>
      <c r="AD1235" t="e">
        <f>VLOOKUP(AB1235,#REF!,2,FALSE)</f>
        <v>#REF!</v>
      </c>
      <c r="AE1235" t="e">
        <f>RIGHT(#REF!,(FIND("Complex",#REF!,1)-11))</f>
        <v>#REF!</v>
      </c>
    </row>
    <row r="1236" spans="1:31" x14ac:dyDescent="0.25">
      <c r="A1236">
        <v>1447</v>
      </c>
      <c r="B1236" t="s">
        <v>54</v>
      </c>
      <c r="C1236">
        <v>31</v>
      </c>
      <c r="D1236">
        <v>439</v>
      </c>
      <c r="E1236">
        <v>1447</v>
      </c>
      <c r="F1236">
        <v>11201401</v>
      </c>
      <c r="G1236">
        <v>11289600</v>
      </c>
      <c r="H1236">
        <f t="shared" si="38"/>
        <v>254.00002267573697</v>
      </c>
      <c r="I1236">
        <f t="shared" si="39"/>
        <v>256</v>
      </c>
      <c r="J1236" t="s">
        <v>22</v>
      </c>
      <c r="K1236">
        <v>6</v>
      </c>
      <c r="L1236" t="e">
        <f t="array" ref="L1236">VLOOKUP(J1236:$J$3871&amp;K1236:$K$3871,CHOOSE({1,2},#REF!&amp;#REF!,#REF!),2,0)</f>
        <v>#N/A</v>
      </c>
      <c r="M1236">
        <v>-15</v>
      </c>
      <c r="N1236">
        <v>0</v>
      </c>
      <c r="O1236" t="s">
        <v>7</v>
      </c>
      <c r="P1236">
        <v>0</v>
      </c>
      <c r="Q1236">
        <v>1</v>
      </c>
      <c r="R1236">
        <v>0</v>
      </c>
      <c r="S1236">
        <v>1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1</v>
      </c>
      <c r="Z1236">
        <v>1</v>
      </c>
      <c r="AA1236" t="s">
        <v>2929</v>
      </c>
      <c r="AB1236" t="s">
        <v>940</v>
      </c>
      <c r="AC1236" t="s">
        <v>2929</v>
      </c>
      <c r="AD1236" t="e">
        <f>VLOOKUP(AB1236,#REF!,2,FALSE)</f>
        <v>#REF!</v>
      </c>
      <c r="AE1236" t="e">
        <f>RIGHT(#REF!,(FIND("Complex",#REF!,1)-9))</f>
        <v>#REF!</v>
      </c>
    </row>
    <row r="1237" spans="1:31" x14ac:dyDescent="0.25">
      <c r="A1237">
        <v>3770</v>
      </c>
      <c r="B1237" t="s">
        <v>54</v>
      </c>
      <c r="C1237">
        <v>31</v>
      </c>
      <c r="D1237">
        <v>1075</v>
      </c>
      <c r="E1237">
        <v>3770</v>
      </c>
      <c r="F1237">
        <v>11113201</v>
      </c>
      <c r="G1237">
        <v>11201400</v>
      </c>
      <c r="H1237">
        <f t="shared" si="38"/>
        <v>252.00002267573697</v>
      </c>
      <c r="I1237">
        <f t="shared" si="39"/>
        <v>254</v>
      </c>
      <c r="J1237" t="s">
        <v>22</v>
      </c>
      <c r="K1237">
        <v>6</v>
      </c>
      <c r="L1237" t="e">
        <f t="array" ref="L1237">VLOOKUP(J1237:$J$3871&amp;K1237:$K$3871,CHOOSE({1,2},#REF!&amp;#REF!,#REF!),2,0)</f>
        <v>#N/A</v>
      </c>
      <c r="M1237">
        <v>-15</v>
      </c>
      <c r="N1237">
        <v>0</v>
      </c>
      <c r="O1237" t="s">
        <v>7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1</v>
      </c>
      <c r="X1237">
        <v>1</v>
      </c>
      <c r="Y1237">
        <v>1</v>
      </c>
      <c r="Z1237">
        <v>1</v>
      </c>
      <c r="AA1237" t="s">
        <v>2932</v>
      </c>
      <c r="AB1237" t="s">
        <v>941</v>
      </c>
      <c r="AC1237" t="s">
        <v>2932</v>
      </c>
      <c r="AD1237" t="e">
        <f>VLOOKUP(AB1237,#REF!,2,FALSE)</f>
        <v>#REF!</v>
      </c>
      <c r="AE1237" t="e">
        <f>RIGHT(#REF!,(FIND("Complex",#REF!,1)-10))</f>
        <v>#REF!</v>
      </c>
    </row>
    <row r="1238" spans="1:31" x14ac:dyDescent="0.25">
      <c r="A1238">
        <v>2961</v>
      </c>
      <c r="B1238" t="s">
        <v>54</v>
      </c>
      <c r="C1238">
        <v>31</v>
      </c>
      <c r="D1238">
        <v>955</v>
      </c>
      <c r="E1238">
        <v>2961</v>
      </c>
      <c r="F1238">
        <v>10936801</v>
      </c>
      <c r="G1238">
        <v>11025000</v>
      </c>
      <c r="H1238">
        <f t="shared" si="38"/>
        <v>248.00002267573697</v>
      </c>
      <c r="I1238">
        <f t="shared" si="39"/>
        <v>250</v>
      </c>
      <c r="J1238" t="s">
        <v>22</v>
      </c>
      <c r="K1238">
        <v>6</v>
      </c>
      <c r="L1238" t="e">
        <f t="array" ref="L1238">VLOOKUP(J1238:$J$3871&amp;K1238:$K$3871,CHOOSE({1,2},#REF!&amp;#REF!,#REF!),2,0)</f>
        <v>#N/A</v>
      </c>
      <c r="M1238">
        <v>-15</v>
      </c>
      <c r="N1238">
        <v>0</v>
      </c>
      <c r="O1238" t="s">
        <v>7</v>
      </c>
      <c r="P1238">
        <v>0</v>
      </c>
      <c r="Q1238">
        <v>1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1</v>
      </c>
      <c r="X1238">
        <v>1</v>
      </c>
      <c r="Y1238">
        <v>1</v>
      </c>
      <c r="Z1238">
        <v>1</v>
      </c>
      <c r="AA1238" t="s">
        <v>2942</v>
      </c>
      <c r="AB1238" t="s">
        <v>6231</v>
      </c>
      <c r="AC1238" t="s">
        <v>2942</v>
      </c>
      <c r="AD1238" t="e">
        <f>VLOOKUP(AB1238,#REF!,2,FALSE)</f>
        <v>#REF!</v>
      </c>
      <c r="AE1238" t="e">
        <f>RIGHT(#REF!,(FIND("Complex",#REF!,1)-9))</f>
        <v>#REF!</v>
      </c>
    </row>
    <row r="1239" spans="1:31" x14ac:dyDescent="0.25">
      <c r="A1239">
        <v>3066</v>
      </c>
      <c r="B1239" t="s">
        <v>54</v>
      </c>
      <c r="C1239">
        <v>31</v>
      </c>
      <c r="D1239">
        <v>969</v>
      </c>
      <c r="E1239">
        <v>3066</v>
      </c>
      <c r="F1239">
        <v>10848601</v>
      </c>
      <c r="G1239">
        <v>10936800</v>
      </c>
      <c r="H1239">
        <f t="shared" si="38"/>
        <v>246.00002267573697</v>
      </c>
      <c r="I1239">
        <f t="shared" si="39"/>
        <v>248</v>
      </c>
      <c r="J1239" t="s">
        <v>22</v>
      </c>
      <c r="K1239">
        <v>6</v>
      </c>
      <c r="L1239" t="e">
        <f t="array" ref="L1239">VLOOKUP(J1239:$J$3871&amp;K1239:$K$3871,CHOOSE({1,2},#REF!&amp;#REF!,#REF!),2,0)</f>
        <v>#N/A</v>
      </c>
      <c r="M1239">
        <v>-15</v>
      </c>
      <c r="N1239">
        <v>0</v>
      </c>
      <c r="O1239" t="s">
        <v>7</v>
      </c>
      <c r="P1239">
        <v>0</v>
      </c>
      <c r="Q1239">
        <v>1</v>
      </c>
      <c r="R1239">
        <v>0</v>
      </c>
      <c r="S1239">
        <v>1</v>
      </c>
      <c r="T1239">
        <v>0</v>
      </c>
      <c r="U1239">
        <v>0</v>
      </c>
      <c r="V1239">
        <v>0</v>
      </c>
      <c r="W1239">
        <v>1</v>
      </c>
      <c r="X1239">
        <v>1</v>
      </c>
      <c r="Y1239">
        <v>1</v>
      </c>
      <c r="Z1239">
        <v>1</v>
      </c>
      <c r="AA1239" t="s">
        <v>2947</v>
      </c>
      <c r="AB1239" t="s">
        <v>942</v>
      </c>
      <c r="AC1239" t="s">
        <v>2947</v>
      </c>
      <c r="AD1239" t="e">
        <f>VLOOKUP(AB1239,#REF!,2,FALSE)</f>
        <v>#REF!</v>
      </c>
      <c r="AE1239" t="e">
        <f>RIGHT(#REF!,(FIND("Complex",#REF!,1)-9))</f>
        <v>#REF!</v>
      </c>
    </row>
    <row r="1240" spans="1:31" x14ac:dyDescent="0.25">
      <c r="A1240">
        <v>3050</v>
      </c>
      <c r="B1240" t="s">
        <v>54</v>
      </c>
      <c r="C1240">
        <v>31</v>
      </c>
      <c r="D1240">
        <v>965</v>
      </c>
      <c r="E1240">
        <v>3050</v>
      </c>
      <c r="F1240">
        <v>10672201</v>
      </c>
      <c r="G1240">
        <v>10760400</v>
      </c>
      <c r="H1240">
        <f t="shared" si="38"/>
        <v>242.00002267573697</v>
      </c>
      <c r="I1240">
        <f t="shared" si="39"/>
        <v>244</v>
      </c>
      <c r="J1240" t="s">
        <v>22</v>
      </c>
      <c r="K1240">
        <v>6</v>
      </c>
      <c r="L1240" t="e">
        <f t="array" ref="L1240">VLOOKUP(J1240:$J$3871&amp;K1240:$K$3871,CHOOSE({1,2},#REF!&amp;#REF!,#REF!),2,0)</f>
        <v>#N/A</v>
      </c>
      <c r="M1240">
        <v>-15</v>
      </c>
      <c r="N1240">
        <v>0</v>
      </c>
      <c r="O1240" t="s">
        <v>7</v>
      </c>
      <c r="P1240">
        <v>0</v>
      </c>
      <c r="Q1240">
        <v>1</v>
      </c>
      <c r="R1240">
        <v>0</v>
      </c>
      <c r="S1240">
        <v>1</v>
      </c>
      <c r="T1240">
        <v>0</v>
      </c>
      <c r="U1240">
        <v>0</v>
      </c>
      <c r="V1240">
        <v>0</v>
      </c>
      <c r="W1240">
        <v>1</v>
      </c>
      <c r="X1240">
        <v>1</v>
      </c>
      <c r="Y1240">
        <v>1</v>
      </c>
      <c r="Z1240">
        <v>1</v>
      </c>
      <c r="AA1240" t="s">
        <v>2953</v>
      </c>
      <c r="AB1240" t="s">
        <v>943</v>
      </c>
      <c r="AC1240" t="s">
        <v>2953</v>
      </c>
      <c r="AD1240" t="e">
        <f>VLOOKUP(AB1240,#REF!,2,FALSE)</f>
        <v>#REF!</v>
      </c>
      <c r="AE1240" t="e">
        <f>RIGHT(#REF!,(FIND("Complex",#REF!,1)-9))</f>
        <v>#REF!</v>
      </c>
    </row>
    <row r="1241" spans="1:31" x14ac:dyDescent="0.25">
      <c r="A1241">
        <v>3089</v>
      </c>
      <c r="B1241" t="s">
        <v>54</v>
      </c>
      <c r="C1241">
        <v>31</v>
      </c>
      <c r="D1241">
        <v>971</v>
      </c>
      <c r="E1241">
        <v>3089</v>
      </c>
      <c r="F1241">
        <v>10584001</v>
      </c>
      <c r="G1241">
        <v>10672200</v>
      </c>
      <c r="H1241">
        <f t="shared" si="38"/>
        <v>240.00002267573697</v>
      </c>
      <c r="I1241">
        <f t="shared" si="39"/>
        <v>242</v>
      </c>
      <c r="J1241" t="s">
        <v>22</v>
      </c>
      <c r="K1241">
        <v>6</v>
      </c>
      <c r="L1241" t="e">
        <f t="array" ref="L1241">VLOOKUP(J1241:$J$3871&amp;K1241:$K$3871,CHOOSE({1,2},#REF!&amp;#REF!,#REF!),2,0)</f>
        <v>#N/A</v>
      </c>
      <c r="M1241">
        <v>-15</v>
      </c>
      <c r="N1241">
        <v>0</v>
      </c>
      <c r="O1241" t="s">
        <v>7</v>
      </c>
      <c r="P1241">
        <v>0</v>
      </c>
      <c r="Q1241">
        <v>1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1</v>
      </c>
      <c r="X1241">
        <v>1</v>
      </c>
      <c r="Y1241">
        <v>1</v>
      </c>
      <c r="Z1241">
        <v>1</v>
      </c>
      <c r="AA1241" t="s">
        <v>2958</v>
      </c>
      <c r="AB1241" t="s">
        <v>944</v>
      </c>
      <c r="AC1241" t="s">
        <v>2958</v>
      </c>
      <c r="AD1241" t="e">
        <f>VLOOKUP(AB1241,#REF!,2,FALSE)</f>
        <v>#REF!</v>
      </c>
      <c r="AE1241" t="e">
        <f>RIGHT(#REF!,(FIND("Complex",#REF!,1)-9))</f>
        <v>#REF!</v>
      </c>
    </row>
    <row r="1242" spans="1:31" x14ac:dyDescent="0.25">
      <c r="A1242">
        <v>1432</v>
      </c>
      <c r="B1242" t="s">
        <v>54</v>
      </c>
      <c r="C1242">
        <v>31</v>
      </c>
      <c r="D1242">
        <v>433</v>
      </c>
      <c r="E1242">
        <v>1432</v>
      </c>
      <c r="F1242">
        <v>9878401</v>
      </c>
      <c r="G1242">
        <v>9966600</v>
      </c>
      <c r="H1242">
        <f t="shared" si="38"/>
        <v>224.00002267573697</v>
      </c>
      <c r="I1242">
        <f t="shared" si="39"/>
        <v>226</v>
      </c>
      <c r="J1242" t="s">
        <v>22</v>
      </c>
      <c r="K1242">
        <v>6</v>
      </c>
      <c r="L1242" t="e">
        <f t="array" ref="L1242">VLOOKUP(J1242:$J$3871&amp;K1242:$K$3871,CHOOSE({1,2},#REF!&amp;#REF!,#REF!),2,0)</f>
        <v>#N/A</v>
      </c>
      <c r="M1242">
        <v>-15</v>
      </c>
      <c r="N1242">
        <v>0</v>
      </c>
      <c r="O1242" t="s">
        <v>7</v>
      </c>
      <c r="P1242">
        <v>0</v>
      </c>
      <c r="Q1242">
        <v>1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1</v>
      </c>
      <c r="X1242">
        <v>1</v>
      </c>
      <c r="Y1242">
        <v>1</v>
      </c>
      <c r="Z1242">
        <v>1</v>
      </c>
      <c r="AA1242" t="s">
        <v>2996</v>
      </c>
      <c r="AB1242" t="s">
        <v>945</v>
      </c>
      <c r="AC1242" t="s">
        <v>2996</v>
      </c>
      <c r="AD1242" t="e">
        <f>VLOOKUP(AB1242,#REF!,2,FALSE)</f>
        <v>#REF!</v>
      </c>
      <c r="AE1242" t="e">
        <f>RIGHT(#REF!,(FIND("Complex",#REF!,1)-9))</f>
        <v>#REF!</v>
      </c>
    </row>
    <row r="1243" spans="1:31" x14ac:dyDescent="0.25">
      <c r="A1243">
        <v>3407</v>
      </c>
      <c r="B1243" t="s">
        <v>54</v>
      </c>
      <c r="C1243">
        <v>31</v>
      </c>
      <c r="D1243">
        <v>1008</v>
      </c>
      <c r="E1243">
        <v>3407</v>
      </c>
      <c r="F1243">
        <v>9525601</v>
      </c>
      <c r="G1243">
        <v>9613800</v>
      </c>
      <c r="H1243">
        <f t="shared" si="38"/>
        <v>216.00002267573697</v>
      </c>
      <c r="I1243">
        <f t="shared" si="39"/>
        <v>218</v>
      </c>
      <c r="J1243" t="s">
        <v>22</v>
      </c>
      <c r="K1243">
        <v>6</v>
      </c>
      <c r="L1243" t="e">
        <f t="array" ref="L1243">VLOOKUP(J1243:$J$3871&amp;K1243:$K$3871,CHOOSE({1,2},#REF!&amp;#REF!,#REF!),2,0)</f>
        <v>#N/A</v>
      </c>
      <c r="M1243">
        <v>-15</v>
      </c>
      <c r="N1243">
        <v>0</v>
      </c>
      <c r="O1243" t="s">
        <v>7</v>
      </c>
      <c r="P1243">
        <v>0</v>
      </c>
      <c r="Q1243">
        <v>1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1</v>
      </c>
      <c r="X1243">
        <v>1</v>
      </c>
      <c r="Y1243">
        <v>1</v>
      </c>
      <c r="Z1243">
        <v>1</v>
      </c>
      <c r="AA1243" t="s">
        <v>3014</v>
      </c>
      <c r="AB1243" t="s">
        <v>946</v>
      </c>
      <c r="AC1243" t="s">
        <v>3014</v>
      </c>
      <c r="AD1243" t="e">
        <f>VLOOKUP(AB1243,#REF!,2,FALSE)</f>
        <v>#REF!</v>
      </c>
      <c r="AE1243" t="e">
        <f>RIGHT(#REF!,(FIND("Complex",#REF!,1)-10))</f>
        <v>#REF!</v>
      </c>
    </row>
    <row r="1244" spans="1:31" x14ac:dyDescent="0.25">
      <c r="A1244">
        <v>2814</v>
      </c>
      <c r="B1244" t="s">
        <v>54</v>
      </c>
      <c r="C1244">
        <v>31</v>
      </c>
      <c r="D1244">
        <v>925</v>
      </c>
      <c r="E1244">
        <v>2814</v>
      </c>
      <c r="F1244">
        <v>9349201</v>
      </c>
      <c r="G1244">
        <v>9437400</v>
      </c>
      <c r="H1244">
        <f t="shared" si="38"/>
        <v>212.00002267573697</v>
      </c>
      <c r="I1244">
        <f t="shared" si="39"/>
        <v>214</v>
      </c>
      <c r="J1244" t="s">
        <v>22</v>
      </c>
      <c r="K1244">
        <v>6</v>
      </c>
      <c r="L1244" t="e">
        <f t="array" ref="L1244">VLOOKUP(J1244:$J$3871&amp;K1244:$K$3871,CHOOSE({1,2},#REF!&amp;#REF!,#REF!),2,0)</f>
        <v>#N/A</v>
      </c>
      <c r="M1244">
        <v>-15</v>
      </c>
      <c r="N1244">
        <v>0</v>
      </c>
      <c r="O1244" t="s">
        <v>7</v>
      </c>
      <c r="P1244">
        <v>0</v>
      </c>
      <c r="Q1244">
        <v>1</v>
      </c>
      <c r="R1244">
        <v>0</v>
      </c>
      <c r="S1244">
        <v>1</v>
      </c>
      <c r="T1244">
        <v>0</v>
      </c>
      <c r="U1244">
        <v>0</v>
      </c>
      <c r="V1244">
        <v>0</v>
      </c>
      <c r="W1244">
        <v>1</v>
      </c>
      <c r="X1244">
        <v>1</v>
      </c>
      <c r="Y1244">
        <v>1</v>
      </c>
      <c r="Z1244">
        <v>1</v>
      </c>
      <c r="AA1244" t="s">
        <v>3022</v>
      </c>
      <c r="AB1244" t="s">
        <v>947</v>
      </c>
      <c r="AC1244" t="s">
        <v>3022</v>
      </c>
      <c r="AD1244" t="e">
        <f>VLOOKUP(AB1244,#REF!,2,FALSE)</f>
        <v>#REF!</v>
      </c>
      <c r="AE1244" t="e">
        <f>RIGHT(#REF!,(FIND("Complex",#REF!,1)-9))</f>
        <v>#REF!</v>
      </c>
    </row>
    <row r="1245" spans="1:31" x14ac:dyDescent="0.25">
      <c r="A1245">
        <v>3435</v>
      </c>
      <c r="B1245" t="s">
        <v>54</v>
      </c>
      <c r="C1245">
        <v>31</v>
      </c>
      <c r="D1245">
        <v>1013</v>
      </c>
      <c r="E1245">
        <v>3435</v>
      </c>
      <c r="F1245">
        <v>8996401</v>
      </c>
      <c r="G1245">
        <v>9084600</v>
      </c>
      <c r="H1245">
        <f t="shared" si="38"/>
        <v>204.00002267573697</v>
      </c>
      <c r="I1245">
        <f t="shared" si="39"/>
        <v>206</v>
      </c>
      <c r="J1245" t="s">
        <v>22</v>
      </c>
      <c r="K1245">
        <v>6</v>
      </c>
      <c r="L1245" t="e">
        <f t="array" ref="L1245">VLOOKUP(J1245:$J$3871&amp;K1245:$K$3871,CHOOSE({1,2},#REF!&amp;#REF!,#REF!),2,0)</f>
        <v>#N/A</v>
      </c>
      <c r="M1245">
        <v>-15</v>
      </c>
      <c r="N1245">
        <v>0</v>
      </c>
      <c r="O1245" t="s">
        <v>7</v>
      </c>
      <c r="P1245">
        <v>0</v>
      </c>
      <c r="Q1245">
        <v>1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1</v>
      </c>
      <c r="X1245">
        <v>1</v>
      </c>
      <c r="Y1245">
        <v>1</v>
      </c>
      <c r="Z1245">
        <v>1</v>
      </c>
      <c r="AA1245" t="s">
        <v>3043</v>
      </c>
      <c r="AB1245" t="s">
        <v>948</v>
      </c>
      <c r="AC1245" t="s">
        <v>3043</v>
      </c>
      <c r="AD1245" t="e">
        <f>VLOOKUP(AB1245,#REF!,2,FALSE)</f>
        <v>#REF!</v>
      </c>
      <c r="AE1245" t="e">
        <f>RIGHT(#REF!,(FIND("Complex",#REF!,1)-10))</f>
        <v>#REF!</v>
      </c>
    </row>
    <row r="1246" spans="1:31" x14ac:dyDescent="0.25">
      <c r="A1246">
        <v>3817</v>
      </c>
      <c r="B1246" t="s">
        <v>54</v>
      </c>
      <c r="C1246">
        <v>31</v>
      </c>
      <c r="D1246">
        <v>1084</v>
      </c>
      <c r="E1246">
        <v>3817</v>
      </c>
      <c r="F1246">
        <v>8908201</v>
      </c>
      <c r="G1246">
        <v>8996400</v>
      </c>
      <c r="H1246">
        <f t="shared" si="38"/>
        <v>202.00002267573697</v>
      </c>
      <c r="I1246">
        <f t="shared" si="39"/>
        <v>204</v>
      </c>
      <c r="J1246" t="s">
        <v>22</v>
      </c>
      <c r="K1246">
        <v>6</v>
      </c>
      <c r="L1246" t="e">
        <f t="array" ref="L1246">VLOOKUP(J1246:$J$3871&amp;K1246:$K$3871,CHOOSE({1,2},#REF!&amp;#REF!,#REF!),2,0)</f>
        <v>#N/A</v>
      </c>
      <c r="M1246">
        <v>-15</v>
      </c>
      <c r="N1246">
        <v>0</v>
      </c>
      <c r="O1246" t="s">
        <v>7</v>
      </c>
      <c r="P1246">
        <v>0</v>
      </c>
      <c r="Q1246">
        <v>1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1</v>
      </c>
      <c r="X1246">
        <v>1</v>
      </c>
      <c r="Y1246">
        <v>1</v>
      </c>
      <c r="Z1246">
        <v>1</v>
      </c>
      <c r="AA1246" t="s">
        <v>3048</v>
      </c>
      <c r="AB1246" t="s">
        <v>949</v>
      </c>
      <c r="AC1246" t="s">
        <v>3048</v>
      </c>
      <c r="AD1246" t="e">
        <f>VLOOKUP(AB1246,#REF!,2,FALSE)</f>
        <v>#REF!</v>
      </c>
      <c r="AE1246" t="e">
        <f>RIGHT(#REF!,(FIND("Complex",#REF!,1)-10))</f>
        <v>#REF!</v>
      </c>
    </row>
    <row r="1247" spans="1:31" x14ac:dyDescent="0.25">
      <c r="A1247">
        <v>3785</v>
      </c>
      <c r="B1247" t="s">
        <v>54</v>
      </c>
      <c r="C1247">
        <v>31</v>
      </c>
      <c r="D1247">
        <v>1077</v>
      </c>
      <c r="E1247">
        <v>3785</v>
      </c>
      <c r="F1247">
        <v>5027401</v>
      </c>
      <c r="G1247">
        <v>5115600</v>
      </c>
      <c r="H1247">
        <f t="shared" si="38"/>
        <v>114.00002267573696</v>
      </c>
      <c r="I1247">
        <f t="shared" si="39"/>
        <v>116</v>
      </c>
      <c r="J1247" t="s">
        <v>22</v>
      </c>
      <c r="K1247">
        <v>6</v>
      </c>
      <c r="L1247" t="e">
        <f t="array" ref="L1247">VLOOKUP(J1247:$J$3871&amp;K1247:$K$3871,CHOOSE({1,2},#REF!&amp;#REF!,#REF!),2,0)</f>
        <v>#N/A</v>
      </c>
      <c r="M1247">
        <v>-15</v>
      </c>
      <c r="N1247">
        <v>0</v>
      </c>
      <c r="O1247" t="s">
        <v>7</v>
      </c>
      <c r="P1247">
        <v>0</v>
      </c>
      <c r="Q1247">
        <v>1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1</v>
      </c>
      <c r="Z1247">
        <v>1</v>
      </c>
      <c r="AA1247" t="s">
        <v>3423</v>
      </c>
      <c r="AB1247" t="s">
        <v>950</v>
      </c>
      <c r="AC1247" t="s">
        <v>3423</v>
      </c>
      <c r="AD1247" t="e">
        <f>VLOOKUP(AB1247,#REF!,2,FALSE)</f>
        <v>#REF!</v>
      </c>
      <c r="AE1247" t="e">
        <f>RIGHT(#REF!,(FIND("Complex",#REF!,1)-10))</f>
        <v>#REF!</v>
      </c>
    </row>
    <row r="1248" spans="1:31" x14ac:dyDescent="0.25">
      <c r="A1248">
        <v>1611</v>
      </c>
      <c r="B1248" t="s">
        <v>63</v>
      </c>
      <c r="C1248">
        <v>32</v>
      </c>
      <c r="D1248">
        <v>489</v>
      </c>
      <c r="E1248">
        <v>1611</v>
      </c>
      <c r="F1248">
        <v>7497001</v>
      </c>
      <c r="G1248">
        <v>7585200</v>
      </c>
      <c r="H1248">
        <f t="shared" si="38"/>
        <v>170.00002267573697</v>
      </c>
      <c r="I1248">
        <f t="shared" si="39"/>
        <v>172</v>
      </c>
      <c r="J1248" t="s">
        <v>22</v>
      </c>
      <c r="K1248">
        <v>6</v>
      </c>
      <c r="L1248" t="e">
        <f t="array" ref="L1248">VLOOKUP(J1248:$J$3871&amp;K1248:$K$3871,CHOOSE({1,2},#REF!&amp;#REF!,#REF!),2,0)</f>
        <v>#N/A</v>
      </c>
      <c r="M1248">
        <v>-15</v>
      </c>
      <c r="N1248">
        <v>0</v>
      </c>
      <c r="O1248" t="s">
        <v>7</v>
      </c>
      <c r="P1248">
        <v>0</v>
      </c>
      <c r="Q1248">
        <v>1</v>
      </c>
      <c r="R1248">
        <v>0</v>
      </c>
      <c r="S1248">
        <v>0</v>
      </c>
      <c r="T1248">
        <v>1</v>
      </c>
      <c r="U1248">
        <v>0</v>
      </c>
      <c r="V1248">
        <v>0</v>
      </c>
      <c r="W1248">
        <v>1</v>
      </c>
      <c r="X1248">
        <v>1</v>
      </c>
      <c r="Y1248">
        <v>1</v>
      </c>
      <c r="Z1248">
        <v>1</v>
      </c>
      <c r="AA1248" t="s">
        <v>3173</v>
      </c>
      <c r="AB1248" t="s">
        <v>996</v>
      </c>
      <c r="AC1248" t="s">
        <v>3173</v>
      </c>
      <c r="AD1248" t="e">
        <f>VLOOKUP(AB1248,#REF!,2,FALSE)</f>
        <v>#REF!</v>
      </c>
      <c r="AE1248" t="e">
        <f>RIGHT(#REF!,(FIND("Complex",#REF!,1)-9))</f>
        <v>#REF!</v>
      </c>
    </row>
    <row r="1249" spans="1:31" x14ac:dyDescent="0.25">
      <c r="A1249">
        <v>2951</v>
      </c>
      <c r="B1249" t="s">
        <v>63</v>
      </c>
      <c r="C1249">
        <v>32</v>
      </c>
      <c r="D1249">
        <v>954</v>
      </c>
      <c r="E1249">
        <v>2951</v>
      </c>
      <c r="F1249">
        <v>7408801</v>
      </c>
      <c r="G1249">
        <v>7497000</v>
      </c>
      <c r="H1249">
        <f t="shared" si="38"/>
        <v>168.00002267573697</v>
      </c>
      <c r="I1249">
        <f t="shared" si="39"/>
        <v>170</v>
      </c>
      <c r="J1249" t="s">
        <v>22</v>
      </c>
      <c r="K1249">
        <v>6</v>
      </c>
      <c r="L1249" t="e">
        <f t="array" ref="L1249">VLOOKUP(J1249:$J$3871&amp;K1249:$K$3871,CHOOSE({1,2},#REF!&amp;#REF!,#REF!),2,0)</f>
        <v>#N/A</v>
      </c>
      <c r="M1249">
        <v>-15</v>
      </c>
      <c r="N1249">
        <v>0</v>
      </c>
      <c r="O1249" t="s">
        <v>7</v>
      </c>
      <c r="P1249">
        <v>0</v>
      </c>
      <c r="Q1249">
        <v>1</v>
      </c>
      <c r="R1249">
        <v>0</v>
      </c>
      <c r="S1249">
        <v>0</v>
      </c>
      <c r="T1249">
        <v>1</v>
      </c>
      <c r="U1249">
        <v>0</v>
      </c>
      <c r="V1249">
        <v>0</v>
      </c>
      <c r="W1249">
        <v>1</v>
      </c>
      <c r="X1249">
        <v>1</v>
      </c>
      <c r="Y1249">
        <v>1</v>
      </c>
      <c r="Z1249">
        <v>1</v>
      </c>
      <c r="AA1249" t="s">
        <v>3179</v>
      </c>
      <c r="AB1249" t="s">
        <v>997</v>
      </c>
      <c r="AC1249" t="s">
        <v>3179</v>
      </c>
      <c r="AD1249" t="e">
        <f>VLOOKUP(AB1249,#REF!,2,FALSE)</f>
        <v>#REF!</v>
      </c>
      <c r="AE1249" t="e">
        <f>RIGHT(#REF!,(FIND("Complex",#REF!,1)-9))</f>
        <v>#REF!</v>
      </c>
    </row>
    <row r="1250" spans="1:31" x14ac:dyDescent="0.25">
      <c r="A1250">
        <v>2230</v>
      </c>
      <c r="B1250" t="s">
        <v>63</v>
      </c>
      <c r="C1250">
        <v>32</v>
      </c>
      <c r="D1250">
        <v>690</v>
      </c>
      <c r="E1250">
        <v>2230</v>
      </c>
      <c r="F1250">
        <v>7320601</v>
      </c>
      <c r="G1250">
        <v>7408800</v>
      </c>
      <c r="H1250">
        <f t="shared" si="38"/>
        <v>166.00002267573697</v>
      </c>
      <c r="I1250">
        <f t="shared" si="39"/>
        <v>168</v>
      </c>
      <c r="J1250" t="s">
        <v>22</v>
      </c>
      <c r="K1250">
        <v>6</v>
      </c>
      <c r="L1250" t="e">
        <f t="array" ref="L1250">VLOOKUP(J1250:$J$3871&amp;K1250:$K$3871,CHOOSE({1,2},#REF!&amp;#REF!,#REF!),2,0)</f>
        <v>#N/A</v>
      </c>
      <c r="M1250">
        <v>-15</v>
      </c>
      <c r="N1250">
        <v>0</v>
      </c>
      <c r="O1250" t="s">
        <v>7</v>
      </c>
      <c r="P1250">
        <v>0</v>
      </c>
      <c r="Q1250">
        <v>1</v>
      </c>
      <c r="R1250">
        <v>0</v>
      </c>
      <c r="S1250">
        <v>0</v>
      </c>
      <c r="T1250">
        <v>1</v>
      </c>
      <c r="U1250">
        <v>0</v>
      </c>
      <c r="V1250">
        <v>0</v>
      </c>
      <c r="W1250">
        <v>1</v>
      </c>
      <c r="X1250">
        <v>1</v>
      </c>
      <c r="Y1250">
        <v>1</v>
      </c>
      <c r="Z1250">
        <v>1</v>
      </c>
      <c r="AA1250" t="s">
        <v>3182</v>
      </c>
      <c r="AB1250" t="s">
        <v>998</v>
      </c>
      <c r="AC1250" t="s">
        <v>3182</v>
      </c>
      <c r="AD1250" t="e">
        <f>VLOOKUP(AB1250,#REF!,2,FALSE)</f>
        <v>#REF!</v>
      </c>
      <c r="AE1250" t="e">
        <f>RIGHT(#REF!,(FIND("Complex",#REF!,1)-9))</f>
        <v>#REF!</v>
      </c>
    </row>
    <row r="1251" spans="1:31" x14ac:dyDescent="0.25">
      <c r="A1251">
        <v>2625</v>
      </c>
      <c r="B1251" t="s">
        <v>63</v>
      </c>
      <c r="C1251">
        <v>32</v>
      </c>
      <c r="D1251">
        <v>866</v>
      </c>
      <c r="E1251">
        <v>2625</v>
      </c>
      <c r="F1251">
        <v>7232401</v>
      </c>
      <c r="G1251">
        <v>7320600</v>
      </c>
      <c r="H1251">
        <f t="shared" si="38"/>
        <v>164.00002267573697</v>
      </c>
      <c r="I1251">
        <f t="shared" si="39"/>
        <v>166</v>
      </c>
      <c r="J1251" t="s">
        <v>22</v>
      </c>
      <c r="K1251">
        <v>6</v>
      </c>
      <c r="L1251" t="e">
        <f t="array" ref="L1251">VLOOKUP(J1251:$J$3871&amp;K1251:$K$3871,CHOOSE({1,2},#REF!&amp;#REF!,#REF!),2,0)</f>
        <v>#N/A</v>
      </c>
      <c r="M1251">
        <v>-15</v>
      </c>
      <c r="N1251">
        <v>0</v>
      </c>
      <c r="O1251" t="s">
        <v>7</v>
      </c>
      <c r="P1251">
        <v>0</v>
      </c>
      <c r="Q1251">
        <v>1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1</v>
      </c>
      <c r="X1251">
        <v>1</v>
      </c>
      <c r="Y1251">
        <v>1</v>
      </c>
      <c r="Z1251">
        <v>1</v>
      </c>
      <c r="AA1251" t="s">
        <v>3186</v>
      </c>
      <c r="AB1251" t="s">
        <v>999</v>
      </c>
      <c r="AC1251" t="s">
        <v>3186</v>
      </c>
      <c r="AD1251" t="e">
        <f>VLOOKUP(AB1251,#REF!,2,FALSE)</f>
        <v>#REF!</v>
      </c>
      <c r="AE1251" t="e">
        <f>RIGHT(#REF!,(FIND("Complex",#REF!,1)-9))</f>
        <v>#REF!</v>
      </c>
    </row>
    <row r="1252" spans="1:31" x14ac:dyDescent="0.25">
      <c r="A1252">
        <v>3468</v>
      </c>
      <c r="B1252" t="s">
        <v>63</v>
      </c>
      <c r="C1252">
        <v>32</v>
      </c>
      <c r="D1252">
        <v>1017</v>
      </c>
      <c r="E1252">
        <v>3468</v>
      </c>
      <c r="F1252">
        <v>6879601</v>
      </c>
      <c r="G1252">
        <v>6967800</v>
      </c>
      <c r="H1252">
        <f t="shared" si="38"/>
        <v>156.00002267573697</v>
      </c>
      <c r="I1252">
        <f t="shared" si="39"/>
        <v>158</v>
      </c>
      <c r="J1252" t="s">
        <v>22</v>
      </c>
      <c r="K1252">
        <v>6</v>
      </c>
      <c r="L1252" t="e">
        <f t="array" ref="L1252">VLOOKUP(J1252:$J$3871&amp;K1252:$K$3871,CHOOSE({1,2},#REF!&amp;#REF!,#REF!),2,0)</f>
        <v>#N/A</v>
      </c>
      <c r="M1252">
        <v>-15</v>
      </c>
      <c r="N1252">
        <v>0</v>
      </c>
      <c r="O1252" t="s">
        <v>7</v>
      </c>
      <c r="P1252">
        <v>0</v>
      </c>
      <c r="Q1252">
        <v>1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1</v>
      </c>
      <c r="X1252">
        <v>1</v>
      </c>
      <c r="Y1252">
        <v>1</v>
      </c>
      <c r="Z1252">
        <v>1</v>
      </c>
      <c r="AA1252" t="s">
        <v>3206</v>
      </c>
      <c r="AB1252" t="s">
        <v>1000</v>
      </c>
      <c r="AC1252" t="s">
        <v>3206</v>
      </c>
      <c r="AD1252" t="e">
        <f>VLOOKUP(AB1252,#REF!,2,FALSE)</f>
        <v>#REF!</v>
      </c>
      <c r="AE1252" t="e">
        <f>RIGHT(#REF!,(FIND("Complex",#REF!,1)-10))</f>
        <v>#REF!</v>
      </c>
    </row>
    <row r="1253" spans="1:31" x14ac:dyDescent="0.25">
      <c r="A1253">
        <v>595</v>
      </c>
      <c r="B1253" t="s">
        <v>63</v>
      </c>
      <c r="C1253">
        <v>32</v>
      </c>
      <c r="D1253">
        <v>191</v>
      </c>
      <c r="E1253">
        <v>595</v>
      </c>
      <c r="F1253">
        <v>6791401</v>
      </c>
      <c r="G1253">
        <v>6879600</v>
      </c>
      <c r="H1253">
        <f t="shared" si="38"/>
        <v>154.00002267573697</v>
      </c>
      <c r="I1253">
        <f t="shared" si="39"/>
        <v>156</v>
      </c>
      <c r="J1253" t="s">
        <v>22</v>
      </c>
      <c r="K1253">
        <v>6</v>
      </c>
      <c r="L1253" t="e">
        <f t="array" ref="L1253">VLOOKUP(J1253:$J$3871&amp;K1253:$K$3871,CHOOSE({1,2},#REF!&amp;#REF!,#REF!),2,0)</f>
        <v>#N/A</v>
      </c>
      <c r="M1253">
        <v>-15</v>
      </c>
      <c r="N1253">
        <v>0</v>
      </c>
      <c r="O1253" t="s">
        <v>7</v>
      </c>
      <c r="P1253">
        <v>0</v>
      </c>
      <c r="Q1253">
        <v>1</v>
      </c>
      <c r="R1253">
        <v>0</v>
      </c>
      <c r="S1253">
        <v>0</v>
      </c>
      <c r="T1253">
        <v>1</v>
      </c>
      <c r="U1253">
        <v>0</v>
      </c>
      <c r="V1253">
        <v>0</v>
      </c>
      <c r="W1253">
        <v>1</v>
      </c>
      <c r="X1253">
        <v>1</v>
      </c>
      <c r="Y1253">
        <v>1</v>
      </c>
      <c r="Z1253">
        <v>1</v>
      </c>
      <c r="AA1253" t="s">
        <v>3212</v>
      </c>
      <c r="AB1253" t="s">
        <v>1001</v>
      </c>
      <c r="AC1253" t="s">
        <v>3212</v>
      </c>
      <c r="AD1253" t="e">
        <f>VLOOKUP(AB1253,#REF!,2,FALSE)</f>
        <v>#REF!</v>
      </c>
      <c r="AE1253" t="e">
        <f>RIGHT(#REF!,(FIND("Complex",#REF!,1)-8))</f>
        <v>#REF!</v>
      </c>
    </row>
    <row r="1254" spans="1:31" x14ac:dyDescent="0.25">
      <c r="A1254">
        <v>1988</v>
      </c>
      <c r="B1254" t="s">
        <v>63</v>
      </c>
      <c r="C1254">
        <v>32</v>
      </c>
      <c r="D1254">
        <v>600</v>
      </c>
      <c r="E1254">
        <v>1988</v>
      </c>
      <c r="F1254">
        <v>5556601</v>
      </c>
      <c r="G1254">
        <v>5644800</v>
      </c>
      <c r="H1254">
        <f t="shared" si="38"/>
        <v>126.00002267573696</v>
      </c>
      <c r="I1254">
        <f t="shared" si="39"/>
        <v>128</v>
      </c>
      <c r="J1254" t="s">
        <v>22</v>
      </c>
      <c r="K1254">
        <v>6</v>
      </c>
      <c r="L1254" t="e">
        <f t="array" ref="L1254">VLOOKUP(J1254:$J$3871&amp;K1254:$K$3871,CHOOSE({1,2},#REF!&amp;#REF!,#REF!),2,0)</f>
        <v>#N/A</v>
      </c>
      <c r="M1254">
        <v>-15</v>
      </c>
      <c r="N1254">
        <v>0</v>
      </c>
      <c r="O1254" t="s">
        <v>7</v>
      </c>
      <c r="P1254">
        <v>1</v>
      </c>
      <c r="Q1254">
        <v>1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1</v>
      </c>
      <c r="Y1254">
        <v>1</v>
      </c>
      <c r="Z1254">
        <v>1</v>
      </c>
      <c r="AA1254" t="s">
        <v>3349</v>
      </c>
      <c r="AB1254" t="s">
        <v>995</v>
      </c>
      <c r="AC1254" t="s">
        <v>3349</v>
      </c>
      <c r="AD1254" t="e">
        <f>VLOOKUP(AB1254,#REF!,2,FALSE)</f>
        <v>#REF!</v>
      </c>
      <c r="AE1254" t="e">
        <f>RIGHT(#REF!,(FIND("Complex",#REF!,1)-9))</f>
        <v>#REF!</v>
      </c>
    </row>
    <row r="1255" spans="1:31" x14ac:dyDescent="0.25">
      <c r="A1255">
        <v>1194</v>
      </c>
      <c r="B1255" t="s">
        <v>63</v>
      </c>
      <c r="C1255">
        <v>32</v>
      </c>
      <c r="D1255">
        <v>362</v>
      </c>
      <c r="E1255">
        <v>1194</v>
      </c>
      <c r="F1255">
        <v>4498201</v>
      </c>
      <c r="G1255">
        <v>4586400</v>
      </c>
      <c r="H1255">
        <f t="shared" si="38"/>
        <v>102.00002267573696</v>
      </c>
      <c r="I1255">
        <f t="shared" si="39"/>
        <v>104</v>
      </c>
      <c r="J1255" t="s">
        <v>22</v>
      </c>
      <c r="K1255">
        <v>6</v>
      </c>
      <c r="L1255" t="e">
        <f t="array" ref="L1255">VLOOKUP(J1255:$J$3871&amp;K1255:$K$3871,CHOOSE({1,2},#REF!&amp;#REF!,#REF!),2,0)</f>
        <v>#N/A</v>
      </c>
      <c r="M1255">
        <v>-15</v>
      </c>
      <c r="N1255">
        <v>0</v>
      </c>
      <c r="O1255" t="s">
        <v>7</v>
      </c>
      <c r="P1255">
        <v>1</v>
      </c>
      <c r="Q1255">
        <v>1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1</v>
      </c>
      <c r="Z1255">
        <v>1</v>
      </c>
      <c r="AA1255" t="s">
        <v>3481</v>
      </c>
      <c r="AB1255" t="s">
        <v>1002</v>
      </c>
      <c r="AC1255" t="s">
        <v>3481</v>
      </c>
      <c r="AD1255" t="e">
        <f>VLOOKUP(AB1255,#REF!,2,FALSE)</f>
        <v>#REF!</v>
      </c>
      <c r="AE1255" t="e">
        <f>RIGHT(#REF!,(FIND("Complex",#REF!,1)-9))</f>
        <v>#REF!</v>
      </c>
    </row>
    <row r="1256" spans="1:31" x14ac:dyDescent="0.25">
      <c r="A1256">
        <v>3476</v>
      </c>
      <c r="B1256" t="s">
        <v>64</v>
      </c>
      <c r="C1256">
        <v>33</v>
      </c>
      <c r="D1256">
        <v>1018</v>
      </c>
      <c r="E1256">
        <v>3476</v>
      </c>
      <c r="F1256">
        <v>8202601</v>
      </c>
      <c r="G1256">
        <v>8290800</v>
      </c>
      <c r="H1256">
        <f t="shared" si="38"/>
        <v>186.00002267573697</v>
      </c>
      <c r="I1256">
        <f t="shared" si="39"/>
        <v>188</v>
      </c>
      <c r="J1256" t="s">
        <v>22</v>
      </c>
      <c r="K1256">
        <v>6</v>
      </c>
      <c r="L1256" t="e">
        <f t="array" ref="L1256">VLOOKUP(J1256:$J$3871&amp;K1256:$K$3871,CHOOSE({1,2},#REF!&amp;#REF!,#REF!),2,0)</f>
        <v>#N/A</v>
      </c>
      <c r="M1256">
        <v>-15</v>
      </c>
      <c r="N1256">
        <v>0</v>
      </c>
      <c r="O1256" t="s">
        <v>7</v>
      </c>
      <c r="P1256">
        <v>1</v>
      </c>
      <c r="Q1256">
        <v>1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1</v>
      </c>
      <c r="X1256">
        <v>1</v>
      </c>
      <c r="Y1256">
        <v>1</v>
      </c>
      <c r="Z1256">
        <v>0</v>
      </c>
      <c r="AA1256" t="s">
        <v>3101</v>
      </c>
      <c r="AB1256" t="s">
        <v>1017</v>
      </c>
      <c r="AC1256" t="s">
        <v>3101</v>
      </c>
      <c r="AD1256" t="e">
        <f>VLOOKUP(AB1256,#REF!,2,FALSE)</f>
        <v>#REF!</v>
      </c>
      <c r="AE1256" t="e">
        <f>RIGHT(#REF!,(FIND("Complex",#REF!,1)-10))</f>
        <v>#REF!</v>
      </c>
    </row>
    <row r="1257" spans="1:31" x14ac:dyDescent="0.25">
      <c r="A1257">
        <v>3428</v>
      </c>
      <c r="B1257" t="s">
        <v>64</v>
      </c>
      <c r="C1257">
        <v>33</v>
      </c>
      <c r="D1257">
        <v>1010</v>
      </c>
      <c r="E1257">
        <v>3428</v>
      </c>
      <c r="F1257">
        <v>8114401</v>
      </c>
      <c r="G1257">
        <v>8202600</v>
      </c>
      <c r="H1257">
        <f t="shared" si="38"/>
        <v>184.00002267573697</v>
      </c>
      <c r="I1257">
        <f t="shared" si="39"/>
        <v>186</v>
      </c>
      <c r="J1257" t="s">
        <v>22</v>
      </c>
      <c r="K1257">
        <v>6</v>
      </c>
      <c r="L1257" t="e">
        <f t="array" ref="L1257">VLOOKUP(J1257:$J$3871&amp;K1257:$K$3871,CHOOSE({1,2},#REF!&amp;#REF!,#REF!),2,0)</f>
        <v>#N/A</v>
      </c>
      <c r="M1257">
        <v>-15</v>
      </c>
      <c r="N1257">
        <v>0</v>
      </c>
      <c r="O1257" t="s">
        <v>7</v>
      </c>
      <c r="P1257">
        <v>1</v>
      </c>
      <c r="Q1257">
        <v>1</v>
      </c>
      <c r="R1257">
        <v>0</v>
      </c>
      <c r="S1257">
        <v>0</v>
      </c>
      <c r="T1257">
        <v>1</v>
      </c>
      <c r="U1257">
        <v>0</v>
      </c>
      <c r="V1257">
        <v>0</v>
      </c>
      <c r="W1257">
        <v>1</v>
      </c>
      <c r="X1257">
        <v>1</v>
      </c>
      <c r="Y1257">
        <v>1</v>
      </c>
      <c r="Z1257">
        <v>0</v>
      </c>
      <c r="AA1257" t="s">
        <v>3111</v>
      </c>
      <c r="AB1257" t="s">
        <v>1018</v>
      </c>
      <c r="AC1257" t="s">
        <v>3111</v>
      </c>
      <c r="AD1257" t="e">
        <f>VLOOKUP(AB1257,#REF!,2,FALSE)</f>
        <v>#REF!</v>
      </c>
      <c r="AE1257" t="e">
        <f>RIGHT(#REF!,(FIND("Complex",#REF!,1)-10))</f>
        <v>#REF!</v>
      </c>
    </row>
    <row r="1258" spans="1:31" x14ac:dyDescent="0.25">
      <c r="A1258">
        <v>3587</v>
      </c>
      <c r="B1258" t="s">
        <v>64</v>
      </c>
      <c r="C1258">
        <v>33</v>
      </c>
      <c r="D1258">
        <v>1037</v>
      </c>
      <c r="E1258">
        <v>3587</v>
      </c>
      <c r="F1258">
        <v>8026201</v>
      </c>
      <c r="G1258">
        <v>8114400</v>
      </c>
      <c r="H1258">
        <f t="shared" si="38"/>
        <v>182.00002267573697</v>
      </c>
      <c r="I1258">
        <f t="shared" si="39"/>
        <v>184</v>
      </c>
      <c r="J1258" t="s">
        <v>22</v>
      </c>
      <c r="K1258">
        <v>6</v>
      </c>
      <c r="L1258" t="e">
        <f t="array" ref="L1258">VLOOKUP(J1258:$J$3871&amp;K1258:$K$3871,CHOOSE({1,2},#REF!&amp;#REF!,#REF!),2,0)</f>
        <v>#N/A</v>
      </c>
      <c r="M1258">
        <v>-15</v>
      </c>
      <c r="N1258">
        <v>0</v>
      </c>
      <c r="O1258" t="s">
        <v>7</v>
      </c>
      <c r="P1258">
        <v>1</v>
      </c>
      <c r="Q1258">
        <v>1</v>
      </c>
      <c r="R1258">
        <v>0</v>
      </c>
      <c r="S1258">
        <v>0</v>
      </c>
      <c r="T1258">
        <v>1</v>
      </c>
      <c r="U1258">
        <v>0</v>
      </c>
      <c r="V1258">
        <v>0</v>
      </c>
      <c r="W1258">
        <v>1</v>
      </c>
      <c r="X1258">
        <v>1</v>
      </c>
      <c r="Y1258">
        <v>1</v>
      </c>
      <c r="Z1258">
        <v>0</v>
      </c>
      <c r="AA1258" t="s">
        <v>3121</v>
      </c>
      <c r="AB1258" t="s">
        <v>1019</v>
      </c>
      <c r="AC1258" t="s">
        <v>3121</v>
      </c>
      <c r="AD1258" t="e">
        <f>VLOOKUP(AB1258,#REF!,2,FALSE)</f>
        <v>#REF!</v>
      </c>
      <c r="AE1258" t="e">
        <f>RIGHT(#REF!,(FIND("Complex",#REF!,1)-10))</f>
        <v>#REF!</v>
      </c>
    </row>
    <row r="1259" spans="1:31" x14ac:dyDescent="0.25">
      <c r="A1259">
        <v>3056</v>
      </c>
      <c r="B1259" t="s">
        <v>64</v>
      </c>
      <c r="C1259">
        <v>33</v>
      </c>
      <c r="D1259">
        <v>966</v>
      </c>
      <c r="E1259">
        <v>3056</v>
      </c>
      <c r="F1259">
        <v>7320601</v>
      </c>
      <c r="G1259">
        <v>7408800</v>
      </c>
      <c r="H1259">
        <f t="shared" si="38"/>
        <v>166.00002267573697</v>
      </c>
      <c r="I1259">
        <f t="shared" si="39"/>
        <v>168</v>
      </c>
      <c r="J1259" t="s">
        <v>22</v>
      </c>
      <c r="K1259">
        <v>6</v>
      </c>
      <c r="L1259" t="e">
        <f t="array" ref="L1259">VLOOKUP(J1259:$J$3871&amp;K1259:$K$3871,CHOOSE({1,2},#REF!&amp;#REF!,#REF!),2,0)</f>
        <v>#N/A</v>
      </c>
      <c r="M1259">
        <v>-15</v>
      </c>
      <c r="N1259">
        <v>0</v>
      </c>
      <c r="O1259" t="s">
        <v>7</v>
      </c>
      <c r="P1259">
        <v>1</v>
      </c>
      <c r="Q1259">
        <v>1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1</v>
      </c>
      <c r="X1259">
        <v>1</v>
      </c>
      <c r="Y1259">
        <v>1</v>
      </c>
      <c r="Z1259">
        <v>0</v>
      </c>
      <c r="AA1259" t="s">
        <v>3181</v>
      </c>
      <c r="AB1259" t="s">
        <v>1020</v>
      </c>
      <c r="AC1259" t="s">
        <v>3181</v>
      </c>
      <c r="AD1259" t="e">
        <f>VLOOKUP(AB1259,#REF!,2,FALSE)</f>
        <v>#REF!</v>
      </c>
      <c r="AE1259" t="e">
        <f>RIGHT(#REF!,(FIND("Complex",#REF!,1)-9))</f>
        <v>#REF!</v>
      </c>
    </row>
    <row r="1260" spans="1:31" x14ac:dyDescent="0.25">
      <c r="A1260">
        <v>2876</v>
      </c>
      <c r="B1260" t="s">
        <v>64</v>
      </c>
      <c r="C1260">
        <v>33</v>
      </c>
      <c r="D1260">
        <v>943</v>
      </c>
      <c r="E1260">
        <v>2876</v>
      </c>
      <c r="F1260">
        <v>6085801</v>
      </c>
      <c r="G1260">
        <v>6174000</v>
      </c>
      <c r="H1260">
        <f t="shared" si="38"/>
        <v>138.00002267573697</v>
      </c>
      <c r="I1260">
        <f t="shared" si="39"/>
        <v>140</v>
      </c>
      <c r="J1260" t="s">
        <v>22</v>
      </c>
      <c r="K1260">
        <v>6</v>
      </c>
      <c r="L1260" t="e">
        <f t="array" ref="L1260">VLOOKUP(J1260:$J$3871&amp;K1260:$K$3871,CHOOSE({1,2},#REF!&amp;#REF!,#REF!),2,0)</f>
        <v>#N/A</v>
      </c>
      <c r="M1260">
        <v>-15</v>
      </c>
      <c r="N1260">
        <v>0</v>
      </c>
      <c r="O1260" t="s">
        <v>7</v>
      </c>
      <c r="P1260">
        <v>1</v>
      </c>
      <c r="Q1260">
        <v>1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1</v>
      </c>
      <c r="X1260">
        <v>1</v>
      </c>
      <c r="Y1260">
        <v>1</v>
      </c>
      <c r="Z1260">
        <v>0</v>
      </c>
      <c r="AA1260" t="s">
        <v>3274</v>
      </c>
      <c r="AB1260" t="s">
        <v>168</v>
      </c>
      <c r="AC1260" t="s">
        <v>3274</v>
      </c>
      <c r="AD1260" t="e">
        <f>VLOOKUP(AB1260,#REF!,2,FALSE)</f>
        <v>#REF!</v>
      </c>
      <c r="AE1260" t="e">
        <f>RIGHT(#REF!,(FIND("Complex",#REF!,1)-9))</f>
        <v>#REF!</v>
      </c>
    </row>
    <row r="1261" spans="1:31" x14ac:dyDescent="0.25">
      <c r="A1261">
        <v>1820</v>
      </c>
      <c r="B1261" t="s">
        <v>64</v>
      </c>
      <c r="C1261">
        <v>33</v>
      </c>
      <c r="D1261">
        <v>549</v>
      </c>
      <c r="E1261">
        <v>1820</v>
      </c>
      <c r="F1261">
        <v>5468401</v>
      </c>
      <c r="G1261">
        <v>5556600</v>
      </c>
      <c r="H1261">
        <f t="shared" si="38"/>
        <v>124.00002267573696</v>
      </c>
      <c r="I1261">
        <f t="shared" si="39"/>
        <v>126</v>
      </c>
      <c r="J1261" t="s">
        <v>22</v>
      </c>
      <c r="K1261">
        <v>6</v>
      </c>
      <c r="L1261" t="e">
        <f t="array" ref="L1261">VLOOKUP(J1261:$J$3871&amp;K1261:$K$3871,CHOOSE({1,2},#REF!&amp;#REF!,#REF!),2,0)</f>
        <v>#N/A</v>
      </c>
      <c r="M1261">
        <v>-15</v>
      </c>
      <c r="N1261">
        <v>0</v>
      </c>
      <c r="O1261" t="s">
        <v>7</v>
      </c>
      <c r="P1261">
        <v>1</v>
      </c>
      <c r="Q1261">
        <v>1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1</v>
      </c>
      <c r="X1261">
        <v>1</v>
      </c>
      <c r="Y1261">
        <v>1</v>
      </c>
      <c r="Z1261">
        <v>0</v>
      </c>
      <c r="AA1261" t="s">
        <v>3359</v>
      </c>
      <c r="AB1261" t="s">
        <v>1021</v>
      </c>
      <c r="AC1261" t="s">
        <v>3359</v>
      </c>
      <c r="AD1261" t="e">
        <f>VLOOKUP(AB1261,#REF!,2,FALSE)</f>
        <v>#REF!</v>
      </c>
      <c r="AE1261" t="e">
        <f>RIGHT(#REF!,(FIND("Complex",#REF!,1)-9))</f>
        <v>#REF!</v>
      </c>
    </row>
    <row r="1262" spans="1:31" x14ac:dyDescent="0.25">
      <c r="A1262">
        <v>3612</v>
      </c>
      <c r="B1262" t="s">
        <v>64</v>
      </c>
      <c r="C1262">
        <v>33</v>
      </c>
      <c r="D1262">
        <v>1045</v>
      </c>
      <c r="E1262">
        <v>3612</v>
      </c>
      <c r="F1262">
        <v>4762801</v>
      </c>
      <c r="G1262">
        <v>4851000</v>
      </c>
      <c r="H1262">
        <f t="shared" si="38"/>
        <v>108.00002267573696</v>
      </c>
      <c r="I1262">
        <f t="shared" si="39"/>
        <v>110</v>
      </c>
      <c r="J1262" t="s">
        <v>22</v>
      </c>
      <c r="K1262">
        <v>6</v>
      </c>
      <c r="L1262" t="e">
        <f t="array" ref="L1262">VLOOKUP(J1262:$J$3871&amp;K1262:$K$3871,CHOOSE({1,2},#REF!&amp;#REF!,#REF!),2,0)</f>
        <v>#N/A</v>
      </c>
      <c r="M1262">
        <v>-15</v>
      </c>
      <c r="N1262">
        <v>0</v>
      </c>
      <c r="O1262" t="s">
        <v>7</v>
      </c>
      <c r="P1262">
        <v>1</v>
      </c>
      <c r="Q1262">
        <v>1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1</v>
      </c>
      <c r="X1262">
        <v>1</v>
      </c>
      <c r="Y1262">
        <v>1</v>
      </c>
      <c r="Z1262">
        <v>0</v>
      </c>
      <c r="AA1262" t="s">
        <v>3457</v>
      </c>
      <c r="AB1262" t="s">
        <v>1022</v>
      </c>
      <c r="AC1262" t="s">
        <v>3457</v>
      </c>
      <c r="AD1262" t="e">
        <f>VLOOKUP(AB1262,#REF!,2,FALSE)</f>
        <v>#REF!</v>
      </c>
      <c r="AE1262" t="e">
        <f>RIGHT(#REF!,(FIND("Complex",#REF!,1)-10))</f>
        <v>#REF!</v>
      </c>
    </row>
    <row r="1263" spans="1:31" x14ac:dyDescent="0.25">
      <c r="A1263">
        <v>3646</v>
      </c>
      <c r="B1263" t="s">
        <v>92</v>
      </c>
      <c r="C1263">
        <v>34</v>
      </c>
      <c r="D1263">
        <v>1050</v>
      </c>
      <c r="E1263">
        <v>3646</v>
      </c>
      <c r="F1263">
        <v>10848601</v>
      </c>
      <c r="G1263">
        <v>10936800</v>
      </c>
      <c r="H1263">
        <f t="shared" si="38"/>
        <v>246.00002267573697</v>
      </c>
      <c r="I1263">
        <f t="shared" si="39"/>
        <v>248</v>
      </c>
      <c r="J1263" t="s">
        <v>22</v>
      </c>
      <c r="K1263">
        <v>6</v>
      </c>
      <c r="L1263" t="e">
        <f t="array" ref="L1263">VLOOKUP(J1263:$J$3871&amp;K1263:$K$3871,CHOOSE({1,2},#REF!&amp;#REF!,#REF!),2,0)</f>
        <v>#N/A</v>
      </c>
      <c r="M1263">
        <v>-15</v>
      </c>
      <c r="N1263">
        <v>0</v>
      </c>
      <c r="O1263" t="s">
        <v>7</v>
      </c>
      <c r="P1263">
        <v>1</v>
      </c>
      <c r="Q1263">
        <v>1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1</v>
      </c>
      <c r="X1263">
        <v>1</v>
      </c>
      <c r="Y1263">
        <v>1</v>
      </c>
      <c r="Z1263">
        <v>0</v>
      </c>
      <c r="AA1263" t="s">
        <v>2946</v>
      </c>
      <c r="AB1263" t="s">
        <v>1043</v>
      </c>
      <c r="AC1263" t="s">
        <v>2946</v>
      </c>
      <c r="AD1263" t="e">
        <f>VLOOKUP(AB1263,#REF!,2,FALSE)</f>
        <v>#REF!</v>
      </c>
      <c r="AE1263" t="e">
        <f>RIGHT(#REF!,(FIND("Complex",#REF!,1)-10))</f>
        <v>#REF!</v>
      </c>
    </row>
    <row r="1264" spans="1:31" x14ac:dyDescent="0.25">
      <c r="A1264">
        <v>3492</v>
      </c>
      <c r="B1264" t="s">
        <v>92</v>
      </c>
      <c r="C1264">
        <v>34</v>
      </c>
      <c r="D1264">
        <v>1020</v>
      </c>
      <c r="E1264">
        <v>3492</v>
      </c>
      <c r="F1264">
        <v>10672201</v>
      </c>
      <c r="G1264">
        <v>10760400</v>
      </c>
      <c r="H1264">
        <f t="shared" si="38"/>
        <v>242.00002267573697</v>
      </c>
      <c r="I1264">
        <f t="shared" si="39"/>
        <v>244</v>
      </c>
      <c r="J1264" t="s">
        <v>22</v>
      </c>
      <c r="K1264">
        <v>6</v>
      </c>
      <c r="L1264" t="e">
        <f t="array" ref="L1264">VLOOKUP(J1264:$J$3871&amp;K1264:$K$3871,CHOOSE({1,2},#REF!&amp;#REF!,#REF!),2,0)</f>
        <v>#N/A</v>
      </c>
      <c r="M1264">
        <v>-15</v>
      </c>
      <c r="N1264">
        <v>0</v>
      </c>
      <c r="O1264" t="s">
        <v>7</v>
      </c>
      <c r="P1264">
        <v>1</v>
      </c>
      <c r="Q1264">
        <v>1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1</v>
      </c>
      <c r="X1264">
        <v>1</v>
      </c>
      <c r="Y1264">
        <v>1</v>
      </c>
      <c r="Z1264">
        <v>0</v>
      </c>
      <c r="AA1264" t="s">
        <v>2952</v>
      </c>
      <c r="AB1264" t="s">
        <v>1044</v>
      </c>
      <c r="AC1264" t="s">
        <v>2952</v>
      </c>
      <c r="AD1264" t="e">
        <f>VLOOKUP(AB1264,#REF!,2,FALSE)</f>
        <v>#REF!</v>
      </c>
      <c r="AE1264" t="e">
        <f>RIGHT(#REF!,(FIND("Complex",#REF!,1)-10))</f>
        <v>#REF!</v>
      </c>
    </row>
    <row r="1265" spans="1:31" x14ac:dyDescent="0.25">
      <c r="A1265">
        <v>3250</v>
      </c>
      <c r="B1265" t="s">
        <v>92</v>
      </c>
      <c r="C1265">
        <v>34</v>
      </c>
      <c r="D1265">
        <v>988</v>
      </c>
      <c r="E1265">
        <v>3250</v>
      </c>
      <c r="F1265">
        <v>10231201</v>
      </c>
      <c r="G1265">
        <v>10319400</v>
      </c>
      <c r="H1265">
        <f t="shared" si="38"/>
        <v>232.00002267573697</v>
      </c>
      <c r="I1265">
        <f t="shared" si="39"/>
        <v>234</v>
      </c>
      <c r="J1265" t="s">
        <v>22</v>
      </c>
      <c r="K1265">
        <v>6</v>
      </c>
      <c r="L1265" t="e">
        <f t="array" ref="L1265">VLOOKUP(J1265:$J$3871&amp;K1265:$K$3871,CHOOSE({1,2},#REF!&amp;#REF!,#REF!),2,0)</f>
        <v>#N/A</v>
      </c>
      <c r="M1265">
        <v>-15</v>
      </c>
      <c r="N1265">
        <v>0</v>
      </c>
      <c r="O1265" t="s">
        <v>7</v>
      </c>
      <c r="P1265">
        <v>1</v>
      </c>
      <c r="Q1265">
        <v>1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1</v>
      </c>
      <c r="X1265">
        <v>1</v>
      </c>
      <c r="Y1265">
        <v>1</v>
      </c>
      <c r="Z1265">
        <v>0</v>
      </c>
      <c r="AA1265" t="s">
        <v>2974</v>
      </c>
      <c r="AB1265" t="s">
        <v>154</v>
      </c>
      <c r="AC1265" t="s">
        <v>2974</v>
      </c>
      <c r="AD1265" t="e">
        <f>VLOOKUP(AB1265,#REF!,2,FALSE)</f>
        <v>#REF!</v>
      </c>
      <c r="AE1265" t="e">
        <f>RIGHT(#REF!,(FIND("Complex",#REF!,1)-9))</f>
        <v>#REF!</v>
      </c>
    </row>
    <row r="1266" spans="1:31" x14ac:dyDescent="0.25">
      <c r="A1266">
        <v>3537</v>
      </c>
      <c r="B1266" t="s">
        <v>92</v>
      </c>
      <c r="C1266">
        <v>34</v>
      </c>
      <c r="D1266">
        <v>1028</v>
      </c>
      <c r="E1266">
        <v>3537</v>
      </c>
      <c r="F1266">
        <v>9966601</v>
      </c>
      <c r="G1266">
        <v>10054800</v>
      </c>
      <c r="H1266">
        <f t="shared" si="38"/>
        <v>226.00002267573697</v>
      </c>
      <c r="I1266">
        <f t="shared" si="39"/>
        <v>228</v>
      </c>
      <c r="J1266" t="s">
        <v>22</v>
      </c>
      <c r="K1266">
        <v>6</v>
      </c>
      <c r="L1266" t="e">
        <f t="array" ref="L1266">VLOOKUP(J1266:$J$3871&amp;K1266:$K$3871,CHOOSE({1,2},#REF!&amp;#REF!,#REF!),2,0)</f>
        <v>#N/A</v>
      </c>
      <c r="M1266">
        <v>-15</v>
      </c>
      <c r="N1266">
        <v>0</v>
      </c>
      <c r="O1266" t="s">
        <v>7</v>
      </c>
      <c r="P1266">
        <v>1</v>
      </c>
      <c r="Q1266">
        <v>1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1</v>
      </c>
      <c r="X1266">
        <v>1</v>
      </c>
      <c r="Y1266">
        <v>1</v>
      </c>
      <c r="Z1266">
        <v>0</v>
      </c>
      <c r="AA1266" t="s">
        <v>2990</v>
      </c>
      <c r="AB1266" t="s">
        <v>1045</v>
      </c>
      <c r="AC1266" t="s">
        <v>2990</v>
      </c>
      <c r="AD1266" t="e">
        <f>VLOOKUP(AB1266,#REF!,2,FALSE)</f>
        <v>#REF!</v>
      </c>
      <c r="AE1266" t="e">
        <f>RIGHT(#REF!,(FIND("Complex",#REF!,1)-10))</f>
        <v>#REF!</v>
      </c>
    </row>
    <row r="1267" spans="1:31" x14ac:dyDescent="0.25">
      <c r="A1267">
        <v>1718</v>
      </c>
      <c r="B1267" t="s">
        <v>92</v>
      </c>
      <c r="C1267">
        <v>34</v>
      </c>
      <c r="D1267">
        <v>521</v>
      </c>
      <c r="E1267">
        <v>1718</v>
      </c>
      <c r="F1267">
        <v>5909401</v>
      </c>
      <c r="G1267">
        <v>5997600</v>
      </c>
      <c r="H1267">
        <f t="shared" si="38"/>
        <v>134.00002267573697</v>
      </c>
      <c r="I1267">
        <f t="shared" si="39"/>
        <v>136</v>
      </c>
      <c r="J1267" t="s">
        <v>22</v>
      </c>
      <c r="K1267">
        <v>6</v>
      </c>
      <c r="L1267" t="e">
        <f t="array" ref="L1267">VLOOKUP(J1267:$J$3871&amp;K1267:$K$3871,CHOOSE({1,2},#REF!&amp;#REF!,#REF!),2,0)</f>
        <v>#N/A</v>
      </c>
      <c r="M1267">
        <v>-15</v>
      </c>
      <c r="N1267">
        <v>0</v>
      </c>
      <c r="O1267" t="s">
        <v>7</v>
      </c>
      <c r="P1267">
        <v>1</v>
      </c>
      <c r="Q1267">
        <v>1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1</v>
      </c>
      <c r="X1267">
        <v>1</v>
      </c>
      <c r="Y1267">
        <v>1</v>
      </c>
      <c r="Z1267">
        <v>0</v>
      </c>
      <c r="AA1267" t="s">
        <v>3296</v>
      </c>
      <c r="AB1267" t="s">
        <v>1046</v>
      </c>
      <c r="AC1267" t="s">
        <v>3296</v>
      </c>
      <c r="AD1267" t="e">
        <f>VLOOKUP(AB1267,#REF!,2,FALSE)</f>
        <v>#REF!</v>
      </c>
      <c r="AE1267" t="e">
        <f>RIGHT(#REF!,(FIND("Complex",#REF!,1)-9))</f>
        <v>#REF!</v>
      </c>
    </row>
    <row r="1268" spans="1:31" x14ac:dyDescent="0.25">
      <c r="A1268">
        <v>3568</v>
      </c>
      <c r="B1268" t="s">
        <v>92</v>
      </c>
      <c r="C1268">
        <v>34</v>
      </c>
      <c r="D1268">
        <v>1033</v>
      </c>
      <c r="E1268">
        <v>3568</v>
      </c>
      <c r="F1268">
        <v>5821201</v>
      </c>
      <c r="G1268">
        <v>5909400</v>
      </c>
      <c r="H1268">
        <f t="shared" si="38"/>
        <v>132.00002267573697</v>
      </c>
      <c r="I1268">
        <f t="shared" si="39"/>
        <v>134</v>
      </c>
      <c r="J1268" t="s">
        <v>22</v>
      </c>
      <c r="K1268">
        <v>6</v>
      </c>
      <c r="L1268" t="e">
        <f t="array" ref="L1268">VLOOKUP(J1268:$J$3871&amp;K1268:$K$3871,CHOOSE({1,2},#REF!&amp;#REF!,#REF!),2,0)</f>
        <v>#N/A</v>
      </c>
      <c r="M1268">
        <v>-15</v>
      </c>
      <c r="N1268">
        <v>0</v>
      </c>
      <c r="O1268" t="s">
        <v>7</v>
      </c>
      <c r="P1268">
        <v>1</v>
      </c>
      <c r="Q1268">
        <v>1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1</v>
      </c>
      <c r="X1268">
        <v>1</v>
      </c>
      <c r="Y1268">
        <v>1</v>
      </c>
      <c r="Z1268">
        <v>0</v>
      </c>
      <c r="AA1268" t="s">
        <v>3309</v>
      </c>
      <c r="AB1268" t="s">
        <v>1047</v>
      </c>
      <c r="AC1268" t="s">
        <v>3309</v>
      </c>
      <c r="AD1268" t="e">
        <f>VLOOKUP(AB1268,#REF!,2,FALSE)</f>
        <v>#REF!</v>
      </c>
      <c r="AE1268" t="e">
        <f>RIGHT(#REF!,(FIND("Complex",#REF!,1)-10))</f>
        <v>#REF!</v>
      </c>
    </row>
    <row r="1269" spans="1:31" x14ac:dyDescent="0.25">
      <c r="A1269">
        <v>3390</v>
      </c>
      <c r="B1269" t="s">
        <v>92</v>
      </c>
      <c r="C1269">
        <v>34</v>
      </c>
      <c r="D1269">
        <v>1007</v>
      </c>
      <c r="E1269">
        <v>3390</v>
      </c>
      <c r="F1269">
        <v>5733001</v>
      </c>
      <c r="G1269">
        <v>5821200</v>
      </c>
      <c r="H1269">
        <f t="shared" si="38"/>
        <v>130.00002267573697</v>
      </c>
      <c r="I1269">
        <f t="shared" si="39"/>
        <v>132</v>
      </c>
      <c r="J1269" t="s">
        <v>22</v>
      </c>
      <c r="K1269">
        <v>6</v>
      </c>
      <c r="L1269" t="e">
        <f t="array" ref="L1269">VLOOKUP(J1269:$J$3871&amp;K1269:$K$3871,CHOOSE({1,2},#REF!&amp;#REF!,#REF!),2,0)</f>
        <v>#N/A</v>
      </c>
      <c r="M1269">
        <v>-15</v>
      </c>
      <c r="N1269">
        <v>0</v>
      </c>
      <c r="O1269" t="s">
        <v>7</v>
      </c>
      <c r="P1269">
        <v>1</v>
      </c>
      <c r="Q1269">
        <v>1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1</v>
      </c>
      <c r="X1269">
        <v>1</v>
      </c>
      <c r="Y1269">
        <v>1</v>
      </c>
      <c r="Z1269">
        <v>0</v>
      </c>
      <c r="AA1269" t="s">
        <v>3322</v>
      </c>
      <c r="AB1269" t="s">
        <v>1048</v>
      </c>
      <c r="AC1269" t="s">
        <v>3322</v>
      </c>
      <c r="AD1269" t="e">
        <f>VLOOKUP(AB1269,#REF!,2,FALSE)</f>
        <v>#REF!</v>
      </c>
      <c r="AE1269" t="e">
        <f>RIGHT(#REF!,(FIND("Complex",#REF!,1)-10))</f>
        <v>#REF!</v>
      </c>
    </row>
    <row r="1270" spans="1:31" x14ac:dyDescent="0.25">
      <c r="A1270">
        <v>3310</v>
      </c>
      <c r="B1270" t="s">
        <v>92</v>
      </c>
      <c r="C1270">
        <v>34</v>
      </c>
      <c r="D1270">
        <v>996</v>
      </c>
      <c r="E1270">
        <v>3310</v>
      </c>
      <c r="F1270">
        <v>5556601</v>
      </c>
      <c r="G1270">
        <v>5644800</v>
      </c>
      <c r="H1270">
        <f t="shared" si="38"/>
        <v>126.00002267573696</v>
      </c>
      <c r="I1270">
        <f t="shared" si="39"/>
        <v>128</v>
      </c>
      <c r="J1270" t="s">
        <v>22</v>
      </c>
      <c r="K1270">
        <v>6</v>
      </c>
      <c r="L1270" t="e">
        <f t="array" ref="L1270">VLOOKUP(J1270:$J$3871&amp;K1270:$K$3871,CHOOSE({1,2},#REF!&amp;#REF!,#REF!),2,0)</f>
        <v>#N/A</v>
      </c>
      <c r="M1270">
        <v>-15</v>
      </c>
      <c r="N1270">
        <v>0</v>
      </c>
      <c r="O1270" t="s">
        <v>7</v>
      </c>
      <c r="P1270">
        <v>1</v>
      </c>
      <c r="Q1270">
        <v>1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1</v>
      </c>
      <c r="X1270">
        <v>1</v>
      </c>
      <c r="Y1270">
        <v>1</v>
      </c>
      <c r="Z1270">
        <v>0</v>
      </c>
      <c r="AA1270" t="s">
        <v>3347</v>
      </c>
      <c r="AB1270" t="s">
        <v>1049</v>
      </c>
      <c r="AC1270" t="s">
        <v>3347</v>
      </c>
      <c r="AD1270" t="e">
        <f>VLOOKUP(AB1270,#REF!,2,FALSE)</f>
        <v>#REF!</v>
      </c>
      <c r="AE1270" t="e">
        <f>RIGHT(#REF!,(FIND("Complex",#REF!,1)-9))</f>
        <v>#REF!</v>
      </c>
    </row>
    <row r="1271" spans="1:31" x14ac:dyDescent="0.25">
      <c r="A1271">
        <v>3029</v>
      </c>
      <c r="B1271" t="s">
        <v>92</v>
      </c>
      <c r="C1271">
        <v>34</v>
      </c>
      <c r="D1271">
        <v>963</v>
      </c>
      <c r="E1271">
        <v>3029</v>
      </c>
      <c r="F1271">
        <v>5468401</v>
      </c>
      <c r="G1271">
        <v>5556600</v>
      </c>
      <c r="H1271">
        <f t="shared" si="38"/>
        <v>124.00002267573696</v>
      </c>
      <c r="I1271">
        <f t="shared" si="39"/>
        <v>126</v>
      </c>
      <c r="J1271" t="s">
        <v>22</v>
      </c>
      <c r="K1271">
        <v>6</v>
      </c>
      <c r="L1271" t="e">
        <f t="array" ref="L1271">VLOOKUP(J1271:$J$3871&amp;K1271:$K$3871,CHOOSE({1,2},#REF!&amp;#REF!,#REF!),2,0)</f>
        <v>#N/A</v>
      </c>
      <c r="M1271">
        <v>-15</v>
      </c>
      <c r="N1271">
        <v>0</v>
      </c>
      <c r="O1271" t="s">
        <v>7</v>
      </c>
      <c r="P1271">
        <v>1</v>
      </c>
      <c r="Q1271">
        <v>1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1</v>
      </c>
      <c r="X1271">
        <v>1</v>
      </c>
      <c r="Y1271">
        <v>1</v>
      </c>
      <c r="Z1271">
        <v>0</v>
      </c>
      <c r="AA1271" t="s">
        <v>3358</v>
      </c>
      <c r="AB1271" t="s">
        <v>1050</v>
      </c>
      <c r="AC1271" t="s">
        <v>3358</v>
      </c>
      <c r="AD1271" t="e">
        <f>VLOOKUP(AB1271,#REF!,2,FALSE)</f>
        <v>#REF!</v>
      </c>
      <c r="AE1271" t="e">
        <f>RIGHT(#REF!,(FIND("Complex",#REF!,1)-9))</f>
        <v>#REF!</v>
      </c>
    </row>
    <row r="1272" spans="1:31" x14ac:dyDescent="0.25">
      <c r="A1272">
        <v>2274</v>
      </c>
      <c r="B1272" t="s">
        <v>92</v>
      </c>
      <c r="C1272">
        <v>34</v>
      </c>
      <c r="D1272">
        <v>710</v>
      </c>
      <c r="E1272">
        <v>2274</v>
      </c>
      <c r="F1272">
        <v>5380201</v>
      </c>
      <c r="G1272">
        <v>5468400</v>
      </c>
      <c r="H1272">
        <f t="shared" si="38"/>
        <v>122.00002267573696</v>
      </c>
      <c r="I1272">
        <f t="shared" si="39"/>
        <v>124</v>
      </c>
      <c r="J1272" t="s">
        <v>22</v>
      </c>
      <c r="K1272">
        <v>6</v>
      </c>
      <c r="L1272" t="e">
        <f t="array" ref="L1272">VLOOKUP(J1272:$J$3871&amp;K1272:$K$3871,CHOOSE({1,2},#REF!&amp;#REF!,#REF!),2,0)</f>
        <v>#N/A</v>
      </c>
      <c r="M1272">
        <v>-15</v>
      </c>
      <c r="N1272">
        <v>0</v>
      </c>
      <c r="O1272" t="s">
        <v>7</v>
      </c>
      <c r="P1272">
        <v>1</v>
      </c>
      <c r="Q1272">
        <v>1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1</v>
      </c>
      <c r="X1272">
        <v>1</v>
      </c>
      <c r="Y1272">
        <v>1</v>
      </c>
      <c r="Z1272">
        <v>0</v>
      </c>
      <c r="AA1272" t="s">
        <v>3369</v>
      </c>
      <c r="AB1272" t="s">
        <v>1051</v>
      </c>
      <c r="AC1272" t="s">
        <v>3369</v>
      </c>
      <c r="AD1272" t="e">
        <f>VLOOKUP(AB1272,#REF!,2,FALSE)</f>
        <v>#REF!</v>
      </c>
      <c r="AE1272" t="e">
        <f>RIGHT(#REF!,(FIND("Complex",#REF!,1)-9))</f>
        <v>#REF!</v>
      </c>
    </row>
    <row r="1273" spans="1:31" x14ac:dyDescent="0.25">
      <c r="A1273">
        <v>473</v>
      </c>
      <c r="B1273" t="s">
        <v>92</v>
      </c>
      <c r="C1273">
        <v>34</v>
      </c>
      <c r="D1273">
        <v>150</v>
      </c>
      <c r="E1273">
        <v>473</v>
      </c>
      <c r="F1273">
        <v>5115601</v>
      </c>
      <c r="G1273">
        <v>5203800</v>
      </c>
      <c r="H1273">
        <f t="shared" si="38"/>
        <v>116.00002267573696</v>
      </c>
      <c r="I1273">
        <f t="shared" si="39"/>
        <v>118</v>
      </c>
      <c r="J1273" t="s">
        <v>22</v>
      </c>
      <c r="K1273">
        <v>6</v>
      </c>
      <c r="L1273" t="e">
        <f t="array" ref="L1273">VLOOKUP(J1273:$J$3871&amp;K1273:$K$3871,CHOOSE({1,2},#REF!&amp;#REF!,#REF!),2,0)</f>
        <v>#N/A</v>
      </c>
      <c r="M1273">
        <v>-15</v>
      </c>
      <c r="N1273">
        <v>0</v>
      </c>
      <c r="O1273" t="s">
        <v>7</v>
      </c>
      <c r="P1273">
        <v>1</v>
      </c>
      <c r="Q1273">
        <v>1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1</v>
      </c>
      <c r="X1273">
        <v>1</v>
      </c>
      <c r="Y1273">
        <v>1</v>
      </c>
      <c r="Z1273">
        <v>0</v>
      </c>
      <c r="AA1273" t="s">
        <v>3409</v>
      </c>
      <c r="AB1273" t="s">
        <v>1052</v>
      </c>
      <c r="AC1273" t="s">
        <v>3409</v>
      </c>
      <c r="AD1273" t="e">
        <f>VLOOKUP(AB1273,#REF!,2,FALSE)</f>
        <v>#REF!</v>
      </c>
      <c r="AE1273" t="e">
        <f>RIGHT(#REF!,(FIND("Complex",#REF!,1)-8))</f>
        <v>#REF!</v>
      </c>
    </row>
    <row r="1274" spans="1:31" x14ac:dyDescent="0.25">
      <c r="A1274">
        <v>3579</v>
      </c>
      <c r="B1274" t="s">
        <v>92</v>
      </c>
      <c r="C1274">
        <v>34</v>
      </c>
      <c r="D1274">
        <v>1035</v>
      </c>
      <c r="E1274">
        <v>3579</v>
      </c>
      <c r="F1274">
        <v>5027401</v>
      </c>
      <c r="G1274">
        <v>5115600</v>
      </c>
      <c r="H1274">
        <f t="shared" si="38"/>
        <v>114.00002267573696</v>
      </c>
      <c r="I1274">
        <f t="shared" si="39"/>
        <v>116</v>
      </c>
      <c r="J1274" t="s">
        <v>22</v>
      </c>
      <c r="K1274">
        <v>6</v>
      </c>
      <c r="L1274" t="e">
        <f t="array" ref="L1274">VLOOKUP(J1274:$J$3871&amp;K1274:$K$3871,CHOOSE({1,2},#REF!&amp;#REF!,#REF!),2,0)</f>
        <v>#N/A</v>
      </c>
      <c r="M1274">
        <v>-15</v>
      </c>
      <c r="N1274">
        <v>0</v>
      </c>
      <c r="O1274" t="s">
        <v>7</v>
      </c>
      <c r="P1274">
        <v>1</v>
      </c>
      <c r="Q1274">
        <v>1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1</v>
      </c>
      <c r="X1274">
        <v>1</v>
      </c>
      <c r="Y1274">
        <v>1</v>
      </c>
      <c r="Z1274">
        <v>0</v>
      </c>
      <c r="AA1274" t="s">
        <v>3421</v>
      </c>
      <c r="AB1274" t="s">
        <v>1053</v>
      </c>
      <c r="AC1274" t="s">
        <v>3421</v>
      </c>
      <c r="AD1274" t="e">
        <f>VLOOKUP(AB1274,#REF!,2,FALSE)</f>
        <v>#REF!</v>
      </c>
      <c r="AE1274" t="e">
        <f>RIGHT(#REF!,(FIND("Complex",#REF!,1)-10))</f>
        <v>#REF!</v>
      </c>
    </row>
    <row r="1275" spans="1:31" x14ac:dyDescent="0.25">
      <c r="A1275">
        <v>3505</v>
      </c>
      <c r="B1275" t="s">
        <v>38</v>
      </c>
      <c r="C1275">
        <v>37</v>
      </c>
      <c r="D1275">
        <v>1022</v>
      </c>
      <c r="E1275">
        <v>3505</v>
      </c>
      <c r="F1275">
        <v>3880801</v>
      </c>
      <c r="G1275">
        <v>3969000</v>
      </c>
      <c r="H1275">
        <f t="shared" si="38"/>
        <v>88.000022675736957</v>
      </c>
      <c r="I1275">
        <f t="shared" si="39"/>
        <v>90</v>
      </c>
      <c r="J1275" t="s">
        <v>22</v>
      </c>
      <c r="K1275">
        <v>6</v>
      </c>
      <c r="L1275" t="e">
        <f t="array" ref="L1275">VLOOKUP(J1275:$J$3871&amp;K1275:$K$3871,CHOOSE({1,2},#REF!&amp;#REF!,#REF!),2,0)</f>
        <v>#N/A</v>
      </c>
      <c r="M1275">
        <v>-15</v>
      </c>
      <c r="N1275">
        <v>0</v>
      </c>
      <c r="O1275" t="s">
        <v>7</v>
      </c>
      <c r="P1275">
        <v>0</v>
      </c>
      <c r="Q1275">
        <v>1</v>
      </c>
      <c r="R1275">
        <v>0</v>
      </c>
      <c r="S1275">
        <v>0</v>
      </c>
      <c r="T1275">
        <v>1</v>
      </c>
      <c r="U1275">
        <v>1</v>
      </c>
      <c r="V1275">
        <v>0</v>
      </c>
      <c r="W1275">
        <v>1</v>
      </c>
      <c r="X1275">
        <v>1</v>
      </c>
      <c r="Y1275">
        <v>0</v>
      </c>
      <c r="Z1275">
        <v>1</v>
      </c>
      <c r="AA1275" t="s">
        <v>2663</v>
      </c>
      <c r="AB1275" t="s">
        <v>1124</v>
      </c>
      <c r="AC1275" t="s">
        <v>2663</v>
      </c>
      <c r="AD1275" t="e">
        <f>VLOOKUP(AB1275,#REF!,2,FALSE)</f>
        <v>#REF!</v>
      </c>
      <c r="AE1275" t="e">
        <f>RIGHT(#REF!,(FIND("Complex",#REF!,1)-11))</f>
        <v>#REF!</v>
      </c>
    </row>
    <row r="1276" spans="1:31" x14ac:dyDescent="0.25">
      <c r="A1276">
        <v>2471</v>
      </c>
      <c r="B1276" t="s">
        <v>38</v>
      </c>
      <c r="C1276">
        <v>37</v>
      </c>
      <c r="D1276">
        <v>801</v>
      </c>
      <c r="E1276">
        <v>2471</v>
      </c>
      <c r="F1276">
        <v>2734201</v>
      </c>
      <c r="G1276">
        <v>2822400</v>
      </c>
      <c r="H1276">
        <f t="shared" si="38"/>
        <v>62.000022675736965</v>
      </c>
      <c r="I1276">
        <f t="shared" si="39"/>
        <v>64</v>
      </c>
      <c r="J1276" t="s">
        <v>22</v>
      </c>
      <c r="K1276">
        <v>6</v>
      </c>
      <c r="L1276" t="e">
        <f t="array" ref="L1276">VLOOKUP(J1276:$J$3871&amp;K1276:$K$3871,CHOOSE({1,2},#REF!&amp;#REF!,#REF!),2,0)</f>
        <v>#N/A</v>
      </c>
      <c r="M1276">
        <v>-15</v>
      </c>
      <c r="N1276">
        <v>0</v>
      </c>
      <c r="O1276" t="s">
        <v>7</v>
      </c>
      <c r="P1276">
        <v>1</v>
      </c>
      <c r="Q1276">
        <v>1</v>
      </c>
      <c r="R1276">
        <v>0</v>
      </c>
      <c r="S1276">
        <v>0</v>
      </c>
      <c r="T1276">
        <v>1</v>
      </c>
      <c r="U1276">
        <v>1</v>
      </c>
      <c r="V1276">
        <v>0</v>
      </c>
      <c r="W1276">
        <v>1</v>
      </c>
      <c r="X1276">
        <v>1</v>
      </c>
      <c r="Y1276">
        <v>0</v>
      </c>
      <c r="Z1276">
        <v>0</v>
      </c>
      <c r="AA1276" t="s">
        <v>2775</v>
      </c>
      <c r="AB1276" t="s">
        <v>1125</v>
      </c>
      <c r="AC1276" t="s">
        <v>2775</v>
      </c>
      <c r="AD1276" t="e">
        <f>VLOOKUP(AB1276,#REF!,2,FALSE)</f>
        <v>#REF!</v>
      </c>
      <c r="AE1276" t="e">
        <f>RIGHT(#REF!,(FIND("Complex",#REF!,1)-10))</f>
        <v>#REF!</v>
      </c>
    </row>
    <row r="1277" spans="1:31" x14ac:dyDescent="0.25">
      <c r="A1277">
        <v>2537</v>
      </c>
      <c r="B1277" t="s">
        <v>38</v>
      </c>
      <c r="C1277">
        <v>37</v>
      </c>
      <c r="D1277">
        <v>824</v>
      </c>
      <c r="E1277">
        <v>2537</v>
      </c>
      <c r="F1277">
        <v>1499401</v>
      </c>
      <c r="G1277">
        <v>1587600</v>
      </c>
      <c r="H1277">
        <f t="shared" si="38"/>
        <v>34.000022675736965</v>
      </c>
      <c r="I1277">
        <f t="shared" si="39"/>
        <v>36</v>
      </c>
      <c r="J1277" t="s">
        <v>22</v>
      </c>
      <c r="K1277">
        <v>6</v>
      </c>
      <c r="L1277" t="e">
        <f t="array" ref="L1277">VLOOKUP(J1277:$J$3871&amp;K1277:$K$3871,CHOOSE({1,2},#REF!&amp;#REF!,#REF!),2,0)</f>
        <v>#N/A</v>
      </c>
      <c r="M1277">
        <v>-15</v>
      </c>
      <c r="N1277">
        <v>0</v>
      </c>
      <c r="O1277" t="s">
        <v>7</v>
      </c>
      <c r="P1277">
        <v>1</v>
      </c>
      <c r="Q1277">
        <v>1</v>
      </c>
      <c r="R1277">
        <v>0</v>
      </c>
      <c r="S1277">
        <v>0</v>
      </c>
      <c r="T1277">
        <v>1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0</v>
      </c>
      <c r="AA1277" t="s">
        <v>2854</v>
      </c>
      <c r="AB1277" t="s">
        <v>1126</v>
      </c>
      <c r="AC1277" t="s">
        <v>2854</v>
      </c>
      <c r="AD1277" t="e">
        <f>VLOOKUP(AB1277,#REF!,2,FALSE)</f>
        <v>#REF!</v>
      </c>
      <c r="AE1277" t="e">
        <f>RIGHT(#REF!,(FIND("Complex",#REF!,1)-10))</f>
        <v>#REF!</v>
      </c>
    </row>
    <row r="1278" spans="1:31" x14ac:dyDescent="0.25">
      <c r="A1278">
        <v>2915</v>
      </c>
      <c r="B1278" t="s">
        <v>38</v>
      </c>
      <c r="C1278">
        <v>37</v>
      </c>
      <c r="D1278">
        <v>950</v>
      </c>
      <c r="E1278">
        <v>2915</v>
      </c>
      <c r="F1278">
        <v>1411201</v>
      </c>
      <c r="G1278">
        <v>1499400</v>
      </c>
      <c r="H1278">
        <f t="shared" si="38"/>
        <v>32.000022675736965</v>
      </c>
      <c r="I1278">
        <f t="shared" si="39"/>
        <v>34</v>
      </c>
      <c r="J1278" t="s">
        <v>22</v>
      </c>
      <c r="K1278">
        <v>6</v>
      </c>
      <c r="L1278" t="e">
        <f t="array" ref="L1278">VLOOKUP(J1278:$J$3871&amp;K1278:$K$3871,CHOOSE({1,2},#REF!&amp;#REF!,#REF!),2,0)</f>
        <v>#N/A</v>
      </c>
      <c r="M1278">
        <v>-15</v>
      </c>
      <c r="N1278">
        <v>0</v>
      </c>
      <c r="O1278" t="s">
        <v>7</v>
      </c>
      <c r="P1278">
        <v>1</v>
      </c>
      <c r="Q1278">
        <v>1</v>
      </c>
      <c r="R1278">
        <v>0</v>
      </c>
      <c r="S1278">
        <v>0</v>
      </c>
      <c r="T1278">
        <v>1</v>
      </c>
      <c r="U1278">
        <v>1</v>
      </c>
      <c r="V1278">
        <v>0</v>
      </c>
      <c r="W1278">
        <v>1</v>
      </c>
      <c r="X1278">
        <v>1</v>
      </c>
      <c r="Y1278">
        <v>0</v>
      </c>
      <c r="Z1278">
        <v>0</v>
      </c>
      <c r="AA1278" t="s">
        <v>2869</v>
      </c>
      <c r="AB1278" t="s">
        <v>1127</v>
      </c>
      <c r="AC1278" t="s">
        <v>2869</v>
      </c>
      <c r="AD1278" t="e">
        <f>VLOOKUP(AB1278,#REF!,2,FALSE)</f>
        <v>#REF!</v>
      </c>
      <c r="AE1278" t="e">
        <f>RIGHT(#REF!,(FIND("Complex",#REF!,1)-10))</f>
        <v>#REF!</v>
      </c>
    </row>
    <row r="1279" spans="1:31" x14ac:dyDescent="0.25">
      <c r="A1279">
        <v>882</v>
      </c>
      <c r="B1279" t="s">
        <v>38</v>
      </c>
      <c r="C1279">
        <v>37</v>
      </c>
      <c r="D1279">
        <v>267</v>
      </c>
      <c r="E1279">
        <v>882</v>
      </c>
      <c r="F1279">
        <v>10143001</v>
      </c>
      <c r="G1279">
        <v>10231200</v>
      </c>
      <c r="H1279">
        <f t="shared" si="38"/>
        <v>230.00002267573697</v>
      </c>
      <c r="I1279">
        <f t="shared" si="39"/>
        <v>232</v>
      </c>
      <c r="J1279" t="s">
        <v>22</v>
      </c>
      <c r="K1279">
        <v>6</v>
      </c>
      <c r="L1279" t="e">
        <f t="array" ref="L1279">VLOOKUP(J1279:$J$3871&amp;K1279:$K$3871,CHOOSE({1,2},#REF!&amp;#REF!,#REF!),2,0)</f>
        <v>#N/A</v>
      </c>
      <c r="M1279">
        <v>-15</v>
      </c>
      <c r="N1279">
        <v>0</v>
      </c>
      <c r="O1279" t="s">
        <v>7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1</v>
      </c>
      <c r="X1279">
        <v>1</v>
      </c>
      <c r="Y1279">
        <v>1</v>
      </c>
      <c r="Z1279">
        <v>1</v>
      </c>
      <c r="AA1279" t="s">
        <v>2978</v>
      </c>
      <c r="AB1279" t="s">
        <v>156</v>
      </c>
      <c r="AC1279" t="s">
        <v>2978</v>
      </c>
      <c r="AD1279" t="e">
        <f>VLOOKUP(AB1279,#REF!,2,FALSE)</f>
        <v>#REF!</v>
      </c>
      <c r="AE1279" t="e">
        <f>RIGHT(#REF!,(FIND("Complex",#REF!,1)-8))</f>
        <v>#REF!</v>
      </c>
    </row>
    <row r="1280" spans="1:31" x14ac:dyDescent="0.25">
      <c r="A1280">
        <v>3326</v>
      </c>
      <c r="B1280" t="s">
        <v>38</v>
      </c>
      <c r="C1280">
        <v>37</v>
      </c>
      <c r="D1280">
        <v>1001</v>
      </c>
      <c r="E1280">
        <v>3326</v>
      </c>
      <c r="F1280">
        <v>8290801</v>
      </c>
      <c r="G1280">
        <v>8379000</v>
      </c>
      <c r="H1280">
        <f t="shared" si="38"/>
        <v>188.00002267573697</v>
      </c>
      <c r="I1280">
        <f t="shared" si="39"/>
        <v>190</v>
      </c>
      <c r="J1280" t="s">
        <v>22</v>
      </c>
      <c r="K1280">
        <v>6</v>
      </c>
      <c r="L1280" t="e">
        <f t="array" ref="L1280">VLOOKUP(J1280:$J$3871&amp;K1280:$K$3871,CHOOSE({1,2},#REF!&amp;#REF!,#REF!),2,0)</f>
        <v>#N/A</v>
      </c>
      <c r="M1280">
        <v>-15</v>
      </c>
      <c r="N1280">
        <v>0</v>
      </c>
      <c r="O1280" t="s">
        <v>7</v>
      </c>
      <c r="P1280">
        <v>1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1</v>
      </c>
      <c r="Y1280">
        <v>1</v>
      </c>
      <c r="Z1280">
        <v>1</v>
      </c>
      <c r="AA1280" t="s">
        <v>3095</v>
      </c>
      <c r="AB1280" t="s">
        <v>1128</v>
      </c>
      <c r="AC1280" t="s">
        <v>3095</v>
      </c>
      <c r="AD1280" t="e">
        <f>VLOOKUP(AB1280,#REF!,2,FALSE)</f>
        <v>#REF!</v>
      </c>
      <c r="AE1280" t="e">
        <f>RIGHT(#REF!,(FIND("Complex",#REF!,1)-10))</f>
        <v>#REF!</v>
      </c>
    </row>
    <row r="1281" spans="1:31" x14ac:dyDescent="0.25">
      <c r="A1281">
        <v>313</v>
      </c>
      <c r="B1281" t="s">
        <v>38</v>
      </c>
      <c r="C1281">
        <v>37</v>
      </c>
      <c r="D1281">
        <v>96</v>
      </c>
      <c r="E1281">
        <v>313</v>
      </c>
      <c r="F1281">
        <v>8114401</v>
      </c>
      <c r="G1281">
        <v>8202600</v>
      </c>
      <c r="H1281">
        <f t="shared" si="38"/>
        <v>184.00002267573697</v>
      </c>
      <c r="I1281">
        <f t="shared" si="39"/>
        <v>186</v>
      </c>
      <c r="J1281" t="s">
        <v>22</v>
      </c>
      <c r="K1281">
        <v>6</v>
      </c>
      <c r="L1281" t="e">
        <f t="array" ref="L1281">VLOOKUP(J1281:$J$3871&amp;K1281:$K$3871,CHOOSE({1,2},#REF!&amp;#REF!,#REF!),2,0)</f>
        <v>#N/A</v>
      </c>
      <c r="M1281">
        <v>-15</v>
      </c>
      <c r="N1281">
        <v>0</v>
      </c>
      <c r="O1281" t="s">
        <v>7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1</v>
      </c>
      <c r="Y1281">
        <v>1</v>
      </c>
      <c r="Z1281">
        <v>1</v>
      </c>
      <c r="AA1281" t="s">
        <v>3110</v>
      </c>
      <c r="AB1281" t="s">
        <v>1129</v>
      </c>
      <c r="AC1281" t="s">
        <v>3110</v>
      </c>
      <c r="AD1281" t="e">
        <f>VLOOKUP(AB1281,#REF!,2,FALSE)</f>
        <v>#REF!</v>
      </c>
      <c r="AE1281" t="e">
        <f>RIGHT(#REF!,(FIND("Complex",#REF!,1)-8))</f>
        <v>#REF!</v>
      </c>
    </row>
    <row r="1282" spans="1:31" x14ac:dyDescent="0.25">
      <c r="A1282">
        <v>752</v>
      </c>
      <c r="B1282" t="s">
        <v>38</v>
      </c>
      <c r="C1282">
        <v>37</v>
      </c>
      <c r="D1282">
        <v>232</v>
      </c>
      <c r="E1282">
        <v>752</v>
      </c>
      <c r="F1282">
        <v>7849801</v>
      </c>
      <c r="G1282">
        <v>7938000</v>
      </c>
      <c r="H1282">
        <f t="shared" ref="H1282:H1345" si="40">F1282/44100</f>
        <v>178.00002267573697</v>
      </c>
      <c r="I1282">
        <f t="shared" ref="I1282:I1345" si="41">G1282/44100</f>
        <v>180</v>
      </c>
      <c r="J1282" t="s">
        <v>22</v>
      </c>
      <c r="K1282">
        <v>6</v>
      </c>
      <c r="L1282" t="e">
        <f t="array" ref="L1282">VLOOKUP(J1282:$J$3871&amp;K1282:$K$3871,CHOOSE({1,2},#REF!&amp;#REF!,#REF!),2,0)</f>
        <v>#N/A</v>
      </c>
      <c r="M1282">
        <v>-15</v>
      </c>
      <c r="N1282">
        <v>0</v>
      </c>
      <c r="O1282" t="s">
        <v>7</v>
      </c>
      <c r="P1282">
        <v>1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1</v>
      </c>
      <c r="Y1282">
        <v>1</v>
      </c>
      <c r="Z1282">
        <v>1</v>
      </c>
      <c r="AA1282" t="s">
        <v>3139</v>
      </c>
      <c r="AB1282" t="s">
        <v>1130</v>
      </c>
      <c r="AC1282" t="s">
        <v>3139</v>
      </c>
      <c r="AD1282" t="e">
        <f>VLOOKUP(AB1282,#REF!,2,FALSE)</f>
        <v>#REF!</v>
      </c>
      <c r="AE1282" t="e">
        <f>RIGHT(#REF!,(FIND("Complex",#REF!,1)-8))</f>
        <v>#REF!</v>
      </c>
    </row>
    <row r="1283" spans="1:31" x14ac:dyDescent="0.25">
      <c r="A1283">
        <v>3367</v>
      </c>
      <c r="B1283" t="s">
        <v>38</v>
      </c>
      <c r="C1283">
        <v>37</v>
      </c>
      <c r="D1283">
        <v>1005</v>
      </c>
      <c r="E1283">
        <v>3367</v>
      </c>
      <c r="F1283">
        <v>7585201</v>
      </c>
      <c r="G1283">
        <v>7673400</v>
      </c>
      <c r="H1283">
        <f t="shared" si="40"/>
        <v>172.00002267573697</v>
      </c>
      <c r="I1283">
        <f t="shared" si="41"/>
        <v>174</v>
      </c>
      <c r="J1283" t="s">
        <v>22</v>
      </c>
      <c r="K1283">
        <v>6</v>
      </c>
      <c r="L1283" t="e">
        <f t="array" ref="L1283">VLOOKUP(J1283:$J$3871&amp;K1283:$K$3871,CHOOSE({1,2},#REF!&amp;#REF!,#REF!),2,0)</f>
        <v>#N/A</v>
      </c>
      <c r="M1283">
        <v>-15</v>
      </c>
      <c r="N1283">
        <v>0</v>
      </c>
      <c r="O1283" t="s">
        <v>7</v>
      </c>
      <c r="P1283">
        <v>1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1</v>
      </c>
      <c r="Y1283">
        <v>1</v>
      </c>
      <c r="Z1283">
        <v>1</v>
      </c>
      <c r="AA1283" t="s">
        <v>3165</v>
      </c>
      <c r="AB1283" t="s">
        <v>1131</v>
      </c>
      <c r="AC1283" t="s">
        <v>3165</v>
      </c>
      <c r="AD1283" t="e">
        <f>VLOOKUP(AB1283,#REF!,2,FALSE)</f>
        <v>#REF!</v>
      </c>
      <c r="AE1283" t="e">
        <f>RIGHT(#REF!,(FIND("Complex",#REF!,1)-10))</f>
        <v>#REF!</v>
      </c>
    </row>
    <row r="1284" spans="1:31" x14ac:dyDescent="0.25">
      <c r="A1284">
        <v>2590</v>
      </c>
      <c r="B1284" t="s">
        <v>50</v>
      </c>
      <c r="C1284">
        <v>38</v>
      </c>
      <c r="D1284">
        <v>845</v>
      </c>
      <c r="E1284">
        <v>2590</v>
      </c>
      <c r="F1284">
        <v>4321801</v>
      </c>
      <c r="G1284">
        <v>4410000</v>
      </c>
      <c r="H1284">
        <f t="shared" si="40"/>
        <v>98.000022675736957</v>
      </c>
      <c r="I1284">
        <f t="shared" si="41"/>
        <v>100</v>
      </c>
      <c r="J1284" t="s">
        <v>22</v>
      </c>
      <c r="K1284">
        <v>6</v>
      </c>
      <c r="L1284" t="e">
        <f t="array" ref="L1284">VLOOKUP(J1284:$J$3871&amp;K1284:$K$3871,CHOOSE({1,2},#REF!&amp;#REF!,#REF!),2,0)</f>
        <v>#N/A</v>
      </c>
      <c r="M1284">
        <v>-15</v>
      </c>
      <c r="N1284">
        <v>0</v>
      </c>
      <c r="O1284" t="s">
        <v>7</v>
      </c>
      <c r="P1284">
        <v>1</v>
      </c>
      <c r="Q1284">
        <v>1</v>
      </c>
      <c r="R1284">
        <v>0</v>
      </c>
      <c r="S1284">
        <v>1</v>
      </c>
      <c r="T1284">
        <v>1</v>
      </c>
      <c r="U1284">
        <v>0</v>
      </c>
      <c r="V1284">
        <v>0</v>
      </c>
      <c r="W1284">
        <v>1</v>
      </c>
      <c r="X1284">
        <v>1</v>
      </c>
      <c r="Y1284">
        <v>0</v>
      </c>
      <c r="Z1284">
        <v>0</v>
      </c>
      <c r="AA1284" t="s">
        <v>2619</v>
      </c>
      <c r="AB1284" t="s">
        <v>1141</v>
      </c>
      <c r="AC1284" t="s">
        <v>2619</v>
      </c>
      <c r="AD1284" t="e">
        <f>VLOOKUP(AB1284,#REF!,2,FALSE)</f>
        <v>#REF!</v>
      </c>
      <c r="AE1284" t="e">
        <f>RIGHT(#REF!,(FIND("Complex",#REF!,1)-10))</f>
        <v>#REF!</v>
      </c>
    </row>
    <row r="1285" spans="1:31" x14ac:dyDescent="0.25">
      <c r="A1285">
        <v>3317</v>
      </c>
      <c r="B1285" t="s">
        <v>50</v>
      </c>
      <c r="C1285">
        <v>38</v>
      </c>
      <c r="D1285">
        <v>999</v>
      </c>
      <c r="E1285">
        <v>3317</v>
      </c>
      <c r="F1285">
        <v>2998801</v>
      </c>
      <c r="G1285">
        <v>3087000</v>
      </c>
      <c r="H1285">
        <f t="shared" si="40"/>
        <v>68.000022675736957</v>
      </c>
      <c r="I1285">
        <f t="shared" si="41"/>
        <v>70</v>
      </c>
      <c r="J1285" t="s">
        <v>22</v>
      </c>
      <c r="K1285">
        <v>6</v>
      </c>
      <c r="L1285" t="e">
        <f t="array" ref="L1285">VLOOKUP(J1285:$J$3871&amp;K1285:$K$3871,CHOOSE({1,2},#REF!&amp;#REF!,#REF!),2,0)</f>
        <v>#N/A</v>
      </c>
      <c r="M1285">
        <v>-15</v>
      </c>
      <c r="N1285">
        <v>0</v>
      </c>
      <c r="O1285" t="s">
        <v>7</v>
      </c>
      <c r="P1285">
        <v>1</v>
      </c>
      <c r="Q1285">
        <v>1</v>
      </c>
      <c r="R1285">
        <v>0</v>
      </c>
      <c r="S1285">
        <v>1</v>
      </c>
      <c r="T1285">
        <v>1</v>
      </c>
      <c r="U1285">
        <v>0</v>
      </c>
      <c r="V1285">
        <v>0</v>
      </c>
      <c r="W1285">
        <v>1</v>
      </c>
      <c r="X1285">
        <v>1</v>
      </c>
      <c r="Y1285">
        <v>0</v>
      </c>
      <c r="Z1285">
        <v>0</v>
      </c>
      <c r="AA1285" t="s">
        <v>2748</v>
      </c>
      <c r="AB1285" t="s">
        <v>1142</v>
      </c>
      <c r="AC1285" t="s">
        <v>2748</v>
      </c>
      <c r="AD1285" t="e">
        <f>VLOOKUP(AB1285,#REF!,2,FALSE)</f>
        <v>#REF!</v>
      </c>
      <c r="AE1285" t="e">
        <f>RIGHT(#REF!,(FIND("Complex",#REF!,1)-10))</f>
        <v>#REF!</v>
      </c>
    </row>
    <row r="1286" spans="1:31" x14ac:dyDescent="0.25">
      <c r="A1286">
        <v>3724</v>
      </c>
      <c r="B1286" t="s">
        <v>50</v>
      </c>
      <c r="C1286">
        <v>38</v>
      </c>
      <c r="D1286">
        <v>1064</v>
      </c>
      <c r="E1286">
        <v>3724</v>
      </c>
      <c r="F1286">
        <v>8555401</v>
      </c>
      <c r="G1286">
        <v>8643600</v>
      </c>
      <c r="H1286">
        <f t="shared" si="40"/>
        <v>194.00002267573697</v>
      </c>
      <c r="I1286">
        <f t="shared" si="41"/>
        <v>196</v>
      </c>
      <c r="J1286" t="s">
        <v>22</v>
      </c>
      <c r="K1286">
        <v>6</v>
      </c>
      <c r="L1286" t="e">
        <f t="array" ref="L1286">VLOOKUP(J1286:$J$3871&amp;K1286:$K$3871,CHOOSE({1,2},#REF!&amp;#REF!,#REF!),2,0)</f>
        <v>#N/A</v>
      </c>
      <c r="M1286">
        <v>-15</v>
      </c>
      <c r="N1286">
        <v>0</v>
      </c>
      <c r="O1286" t="s">
        <v>7</v>
      </c>
      <c r="P1286">
        <v>1</v>
      </c>
      <c r="Q1286">
        <v>1</v>
      </c>
      <c r="R1286">
        <v>0</v>
      </c>
      <c r="S1286">
        <v>1</v>
      </c>
      <c r="T1286">
        <v>1</v>
      </c>
      <c r="U1286">
        <v>0</v>
      </c>
      <c r="V1286">
        <v>0</v>
      </c>
      <c r="W1286">
        <v>1</v>
      </c>
      <c r="X1286">
        <v>1</v>
      </c>
      <c r="Y1286">
        <v>0</v>
      </c>
      <c r="Z1286">
        <v>0</v>
      </c>
      <c r="AA1286" t="s">
        <v>3071</v>
      </c>
      <c r="AB1286" t="s">
        <v>157</v>
      </c>
      <c r="AC1286" t="s">
        <v>3071</v>
      </c>
      <c r="AD1286" t="e">
        <f>VLOOKUP(AB1286,#REF!,2,FALSE)</f>
        <v>#REF!</v>
      </c>
      <c r="AE1286" t="e">
        <f>RIGHT(#REF!,(FIND("Complex",#REF!,1)-10))</f>
        <v>#REF!</v>
      </c>
    </row>
    <row r="1287" spans="1:31" x14ac:dyDescent="0.25">
      <c r="A1287">
        <v>3110</v>
      </c>
      <c r="B1287" t="s">
        <v>88</v>
      </c>
      <c r="C1287">
        <v>39</v>
      </c>
      <c r="D1287">
        <v>974</v>
      </c>
      <c r="E1287">
        <v>3110</v>
      </c>
      <c r="F1287">
        <v>4057201</v>
      </c>
      <c r="G1287">
        <v>4145400</v>
      </c>
      <c r="H1287">
        <f t="shared" si="40"/>
        <v>92.000022675736957</v>
      </c>
      <c r="I1287">
        <f t="shared" si="41"/>
        <v>94</v>
      </c>
      <c r="J1287" t="s">
        <v>22</v>
      </c>
      <c r="K1287">
        <v>6</v>
      </c>
      <c r="L1287" t="e">
        <f t="array" ref="L1287">VLOOKUP(J1287:$J$3871&amp;K1287:$K$3871,CHOOSE({1,2},#REF!&amp;#REF!,#REF!),2,0)</f>
        <v>#N/A</v>
      </c>
      <c r="M1287">
        <v>-15</v>
      </c>
      <c r="N1287">
        <v>0</v>
      </c>
      <c r="O1287" t="s">
        <v>7</v>
      </c>
      <c r="P1287">
        <v>0</v>
      </c>
      <c r="Q1287">
        <v>1</v>
      </c>
      <c r="R1287">
        <v>1</v>
      </c>
      <c r="S1287">
        <v>0</v>
      </c>
      <c r="T1287">
        <v>0</v>
      </c>
      <c r="U1287">
        <v>0</v>
      </c>
      <c r="V1287">
        <v>1</v>
      </c>
      <c r="W1287">
        <v>1</v>
      </c>
      <c r="X1287">
        <v>1</v>
      </c>
      <c r="Y1287">
        <v>1</v>
      </c>
      <c r="Z1287">
        <v>0</v>
      </c>
      <c r="AA1287" t="s">
        <v>2647</v>
      </c>
      <c r="AB1287" t="s">
        <v>1162</v>
      </c>
      <c r="AC1287" t="s">
        <v>2647</v>
      </c>
      <c r="AD1287" t="e">
        <f>VLOOKUP(AB1287,#REF!,2,FALSE)</f>
        <v>#REF!</v>
      </c>
      <c r="AE1287" t="e">
        <f>RIGHT(#REF!,(FIND("Complex",#REF!,1)-10))</f>
        <v>#REF!</v>
      </c>
    </row>
    <row r="1288" spans="1:31" x14ac:dyDescent="0.25">
      <c r="A1288">
        <v>3637</v>
      </c>
      <c r="B1288" t="s">
        <v>88</v>
      </c>
      <c r="C1288">
        <v>39</v>
      </c>
      <c r="D1288">
        <v>1048</v>
      </c>
      <c r="E1288">
        <v>3637</v>
      </c>
      <c r="F1288">
        <v>8731801</v>
      </c>
      <c r="G1288">
        <v>8820000</v>
      </c>
      <c r="H1288">
        <f t="shared" si="40"/>
        <v>198.00002267573697</v>
      </c>
      <c r="I1288">
        <f t="shared" si="41"/>
        <v>200</v>
      </c>
      <c r="J1288" t="s">
        <v>22</v>
      </c>
      <c r="K1288">
        <v>6</v>
      </c>
      <c r="L1288" t="e">
        <f t="array" ref="L1288">VLOOKUP(J1288:$J$3871&amp;K1288:$K$3871,CHOOSE({1,2},#REF!&amp;#REF!,#REF!),2,0)</f>
        <v>#N/A</v>
      </c>
      <c r="M1288">
        <v>-15</v>
      </c>
      <c r="N1288">
        <v>0</v>
      </c>
      <c r="O1288" t="s">
        <v>7</v>
      </c>
      <c r="P1288">
        <v>1</v>
      </c>
      <c r="Q1288">
        <v>1</v>
      </c>
      <c r="R1288">
        <v>0</v>
      </c>
      <c r="S1288">
        <v>0</v>
      </c>
      <c r="T1288">
        <v>1</v>
      </c>
      <c r="U1288">
        <v>0</v>
      </c>
      <c r="V1288">
        <v>0</v>
      </c>
      <c r="W1288">
        <v>1</v>
      </c>
      <c r="X1288">
        <v>1</v>
      </c>
      <c r="Y1288">
        <v>1</v>
      </c>
      <c r="Z1288">
        <v>0</v>
      </c>
      <c r="AA1288" t="s">
        <v>3059</v>
      </c>
      <c r="AB1288" t="s">
        <v>1163</v>
      </c>
      <c r="AC1288" t="s">
        <v>3059</v>
      </c>
      <c r="AD1288" t="e">
        <f>VLOOKUP(AB1288,#REF!,2,FALSE)</f>
        <v>#REF!</v>
      </c>
      <c r="AE1288" t="e">
        <f>RIGHT(#REF!,(FIND("Complex",#REF!,1)-10))</f>
        <v>#REF!</v>
      </c>
    </row>
    <row r="1289" spans="1:31" x14ac:dyDescent="0.25">
      <c r="A1289">
        <v>3230</v>
      </c>
      <c r="B1289" t="s">
        <v>88</v>
      </c>
      <c r="C1289">
        <v>39</v>
      </c>
      <c r="D1289">
        <v>987</v>
      </c>
      <c r="E1289">
        <v>3230</v>
      </c>
      <c r="F1289">
        <v>5733001</v>
      </c>
      <c r="G1289">
        <v>5821200</v>
      </c>
      <c r="H1289">
        <f t="shared" si="40"/>
        <v>130.00002267573697</v>
      </c>
      <c r="I1289">
        <f t="shared" si="41"/>
        <v>132</v>
      </c>
      <c r="J1289" t="s">
        <v>22</v>
      </c>
      <c r="K1289">
        <v>6</v>
      </c>
      <c r="L1289" t="e">
        <f t="array" ref="L1289">VLOOKUP(J1289:$J$3871&amp;K1289:$K$3871,CHOOSE({1,2},#REF!&amp;#REF!,#REF!),2,0)</f>
        <v>#N/A</v>
      </c>
      <c r="M1289">
        <v>-15</v>
      </c>
      <c r="N1289">
        <v>0</v>
      </c>
      <c r="O1289" t="s">
        <v>7</v>
      </c>
      <c r="P1289">
        <v>1</v>
      </c>
      <c r="Q1289">
        <v>1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1</v>
      </c>
      <c r="X1289">
        <v>1</v>
      </c>
      <c r="Y1289">
        <v>1</v>
      </c>
      <c r="Z1289">
        <v>0</v>
      </c>
      <c r="AA1289" t="s">
        <v>3321</v>
      </c>
      <c r="AB1289" t="s">
        <v>171</v>
      </c>
      <c r="AC1289" t="s">
        <v>3321</v>
      </c>
      <c r="AD1289" t="e">
        <f>VLOOKUP(AB1289,#REF!,2,FALSE)</f>
        <v>#REF!</v>
      </c>
      <c r="AE1289" t="e">
        <f>RIGHT(#REF!,(FIND("Complex",#REF!,1)-9))</f>
        <v>#REF!</v>
      </c>
    </row>
    <row r="1290" spans="1:31" x14ac:dyDescent="0.25">
      <c r="A1290">
        <v>495</v>
      </c>
      <c r="B1290" t="s">
        <v>88</v>
      </c>
      <c r="C1290">
        <v>39</v>
      </c>
      <c r="D1290">
        <v>161</v>
      </c>
      <c r="E1290">
        <v>495</v>
      </c>
      <c r="F1290">
        <v>5468401</v>
      </c>
      <c r="G1290">
        <v>5556600</v>
      </c>
      <c r="H1290">
        <f t="shared" si="40"/>
        <v>124.00002267573696</v>
      </c>
      <c r="I1290">
        <f t="shared" si="41"/>
        <v>126</v>
      </c>
      <c r="J1290" t="s">
        <v>22</v>
      </c>
      <c r="K1290">
        <v>6</v>
      </c>
      <c r="L1290" t="e">
        <f t="array" ref="L1290">VLOOKUP(J1290:$J$3871&amp;K1290:$K$3871,CHOOSE({1,2},#REF!&amp;#REF!,#REF!),2,0)</f>
        <v>#N/A</v>
      </c>
      <c r="M1290">
        <v>-15</v>
      </c>
      <c r="N1290">
        <v>0</v>
      </c>
      <c r="O1290" t="s">
        <v>7</v>
      </c>
      <c r="P1290">
        <v>1</v>
      </c>
      <c r="Q1290">
        <v>1</v>
      </c>
      <c r="R1290">
        <v>0</v>
      </c>
      <c r="S1290">
        <v>0</v>
      </c>
      <c r="T1290">
        <v>1</v>
      </c>
      <c r="U1290">
        <v>0</v>
      </c>
      <c r="V1290">
        <v>0</v>
      </c>
      <c r="W1290">
        <v>1</v>
      </c>
      <c r="X1290">
        <v>1</v>
      </c>
      <c r="Y1290">
        <v>1</v>
      </c>
      <c r="Z1290">
        <v>0</v>
      </c>
      <c r="AA1290" t="s">
        <v>3357</v>
      </c>
      <c r="AB1290" t="s">
        <v>1164</v>
      </c>
      <c r="AC1290" t="s">
        <v>3357</v>
      </c>
      <c r="AD1290" t="e">
        <f>VLOOKUP(AB1290,#REF!,2,FALSE)</f>
        <v>#REF!</v>
      </c>
      <c r="AE1290" t="e">
        <f>RIGHT(#REF!,(FIND("Complex",#REF!,1)-8))</f>
        <v>#REF!</v>
      </c>
    </row>
    <row r="1291" spans="1:31" x14ac:dyDescent="0.25">
      <c r="A1291">
        <v>2908</v>
      </c>
      <c r="B1291" t="s">
        <v>88</v>
      </c>
      <c r="C1291">
        <v>39</v>
      </c>
      <c r="D1291">
        <v>949</v>
      </c>
      <c r="E1291">
        <v>2908</v>
      </c>
      <c r="F1291">
        <v>4762801</v>
      </c>
      <c r="G1291">
        <v>4851000</v>
      </c>
      <c r="H1291">
        <f t="shared" si="40"/>
        <v>108.00002267573696</v>
      </c>
      <c r="I1291">
        <f t="shared" si="41"/>
        <v>110</v>
      </c>
      <c r="J1291" t="s">
        <v>22</v>
      </c>
      <c r="K1291">
        <v>6</v>
      </c>
      <c r="L1291" t="e">
        <f t="array" ref="L1291">VLOOKUP(J1291:$J$3871&amp;K1291:$K$3871,CHOOSE({1,2},#REF!&amp;#REF!,#REF!),2,0)</f>
        <v>#N/A</v>
      </c>
      <c r="M1291">
        <v>-15</v>
      </c>
      <c r="N1291">
        <v>0</v>
      </c>
      <c r="O1291" t="s">
        <v>7</v>
      </c>
      <c r="P1291">
        <v>0</v>
      </c>
      <c r="Q1291">
        <v>1</v>
      </c>
      <c r="R1291">
        <v>1</v>
      </c>
      <c r="S1291">
        <v>0</v>
      </c>
      <c r="T1291">
        <v>0</v>
      </c>
      <c r="U1291">
        <v>0</v>
      </c>
      <c r="V1291">
        <v>1</v>
      </c>
      <c r="W1291">
        <v>1</v>
      </c>
      <c r="X1291">
        <v>1</v>
      </c>
      <c r="Y1291">
        <v>1</v>
      </c>
      <c r="Z1291">
        <v>0</v>
      </c>
      <c r="AA1291" t="s">
        <v>3456</v>
      </c>
      <c r="AB1291" t="s">
        <v>1165</v>
      </c>
      <c r="AC1291" t="s">
        <v>3456</v>
      </c>
      <c r="AD1291" t="e">
        <f>VLOOKUP(AB1291,#REF!,2,FALSE)</f>
        <v>#REF!</v>
      </c>
      <c r="AE1291" t="e">
        <f>RIGHT(#REF!,(FIND("Complex",#REF!,1)-9))</f>
        <v>#REF!</v>
      </c>
    </row>
    <row r="1292" spans="1:31" x14ac:dyDescent="0.25">
      <c r="A1292">
        <v>3514</v>
      </c>
      <c r="B1292" t="s">
        <v>88</v>
      </c>
      <c r="C1292">
        <v>39</v>
      </c>
      <c r="D1292">
        <v>1025</v>
      </c>
      <c r="E1292">
        <v>3514</v>
      </c>
      <c r="F1292">
        <v>4410001</v>
      </c>
      <c r="G1292">
        <v>4498200</v>
      </c>
      <c r="H1292">
        <f t="shared" si="40"/>
        <v>100.00002267573696</v>
      </c>
      <c r="I1292">
        <f t="shared" si="41"/>
        <v>102</v>
      </c>
      <c r="J1292" t="s">
        <v>22</v>
      </c>
      <c r="K1292">
        <v>6</v>
      </c>
      <c r="L1292" t="e">
        <f t="array" ref="L1292">VLOOKUP(J1292:$J$3871&amp;K1292:$K$3871,CHOOSE({1,2},#REF!&amp;#REF!,#REF!),2,0)</f>
        <v>#N/A</v>
      </c>
      <c r="M1292">
        <v>-15</v>
      </c>
      <c r="N1292">
        <v>0</v>
      </c>
      <c r="O1292" t="s">
        <v>7</v>
      </c>
      <c r="P1292">
        <v>0</v>
      </c>
      <c r="Q1292">
        <v>1</v>
      </c>
      <c r="R1292">
        <v>1</v>
      </c>
      <c r="S1292">
        <v>0</v>
      </c>
      <c r="T1292">
        <v>0</v>
      </c>
      <c r="U1292">
        <v>0</v>
      </c>
      <c r="V1292">
        <v>1</v>
      </c>
      <c r="W1292">
        <v>1</v>
      </c>
      <c r="X1292">
        <v>1</v>
      </c>
      <c r="Y1292">
        <v>1</v>
      </c>
      <c r="Z1292">
        <v>0</v>
      </c>
      <c r="AA1292" t="s">
        <v>3493</v>
      </c>
      <c r="AB1292" t="s">
        <v>1166</v>
      </c>
      <c r="AC1292" t="s">
        <v>3493</v>
      </c>
      <c r="AD1292" t="e">
        <f>VLOOKUP(AB1292,#REF!,2,FALSE)</f>
        <v>#REF!</v>
      </c>
      <c r="AE1292" t="e">
        <f>RIGHT(#REF!,(FIND("Complex",#REF!,1)-10))</f>
        <v>#REF!</v>
      </c>
    </row>
    <row r="1293" spans="1:31" x14ac:dyDescent="0.25">
      <c r="A1293">
        <v>3796</v>
      </c>
      <c r="B1293" t="s">
        <v>252</v>
      </c>
      <c r="C1293">
        <v>48</v>
      </c>
      <c r="D1293">
        <v>1079</v>
      </c>
      <c r="E1293">
        <v>3796</v>
      </c>
      <c r="F1293">
        <v>6526801</v>
      </c>
      <c r="G1293">
        <v>6615000</v>
      </c>
      <c r="H1293">
        <f t="shared" si="40"/>
        <v>148.00002267573697</v>
      </c>
      <c r="I1293">
        <f t="shared" si="41"/>
        <v>150</v>
      </c>
      <c r="J1293" t="s">
        <v>22</v>
      </c>
      <c r="K1293">
        <v>6</v>
      </c>
      <c r="L1293" t="e">
        <f t="array" ref="L1293">VLOOKUP(J1293:$J$3871&amp;K1293:$K$3871,CHOOSE({1,2},#REF!&amp;#REF!,#REF!),2,0)</f>
        <v>#N/A</v>
      </c>
      <c r="M1293">
        <v>-15</v>
      </c>
      <c r="N1293">
        <v>0</v>
      </c>
      <c r="O1293" t="s">
        <v>7</v>
      </c>
      <c r="P1293">
        <v>1</v>
      </c>
      <c r="Q1293">
        <v>1</v>
      </c>
      <c r="R1293">
        <v>0</v>
      </c>
      <c r="S1293">
        <v>1</v>
      </c>
      <c r="T1293">
        <v>1</v>
      </c>
      <c r="U1293">
        <v>1</v>
      </c>
      <c r="V1293">
        <v>0</v>
      </c>
      <c r="W1293">
        <v>0</v>
      </c>
      <c r="X1293">
        <v>1</v>
      </c>
      <c r="Y1293">
        <v>0</v>
      </c>
      <c r="Z1293">
        <v>0</v>
      </c>
      <c r="AA1293" t="s">
        <v>3232</v>
      </c>
      <c r="AB1293" t="s">
        <v>1278</v>
      </c>
      <c r="AC1293" t="s">
        <v>3232</v>
      </c>
      <c r="AD1293" t="e">
        <f>VLOOKUP(AB1293,#REF!,2,FALSE)</f>
        <v>#REF!</v>
      </c>
      <c r="AE1293" t="e">
        <f>RIGHT(#REF!,(FIND("Complex",#REF!,1)-10))</f>
        <v>#REF!</v>
      </c>
    </row>
    <row r="1294" spans="1:31" x14ac:dyDescent="0.25">
      <c r="A1294">
        <v>2670</v>
      </c>
      <c r="B1294" t="s">
        <v>252</v>
      </c>
      <c r="C1294">
        <v>48</v>
      </c>
      <c r="D1294">
        <v>888</v>
      </c>
      <c r="E1294">
        <v>2670</v>
      </c>
      <c r="F1294">
        <v>5997601</v>
      </c>
      <c r="G1294">
        <v>6085800</v>
      </c>
      <c r="H1294">
        <f t="shared" si="40"/>
        <v>136.00002267573697</v>
      </c>
      <c r="I1294">
        <f t="shared" si="41"/>
        <v>138</v>
      </c>
      <c r="J1294" t="s">
        <v>22</v>
      </c>
      <c r="K1294">
        <v>6</v>
      </c>
      <c r="L1294" t="e">
        <f t="array" ref="L1294">VLOOKUP(J1294:$J$3871&amp;K1294:$K$3871,CHOOSE({1,2},#REF!&amp;#REF!,#REF!),2,0)</f>
        <v>#N/A</v>
      </c>
      <c r="M1294">
        <v>-15</v>
      </c>
      <c r="N1294">
        <v>0</v>
      </c>
      <c r="O1294" t="s">
        <v>7</v>
      </c>
      <c r="P1294">
        <v>1</v>
      </c>
      <c r="Q1294">
        <v>1</v>
      </c>
      <c r="R1294">
        <v>0</v>
      </c>
      <c r="S1294">
        <v>1</v>
      </c>
      <c r="T1294">
        <v>1</v>
      </c>
      <c r="U1294">
        <v>1</v>
      </c>
      <c r="V1294">
        <v>0</v>
      </c>
      <c r="W1294">
        <v>0</v>
      </c>
      <c r="X1294">
        <v>1</v>
      </c>
      <c r="Y1294">
        <v>0</v>
      </c>
      <c r="Z1294">
        <v>0</v>
      </c>
      <c r="AA1294" t="s">
        <v>3283</v>
      </c>
      <c r="AB1294" t="s">
        <v>1279</v>
      </c>
      <c r="AC1294" t="s">
        <v>3283</v>
      </c>
      <c r="AD1294" t="e">
        <f>VLOOKUP(AB1294,#REF!,2,FALSE)</f>
        <v>#REF!</v>
      </c>
      <c r="AE1294" t="e">
        <f>RIGHT(#REF!,(FIND("Complex",#REF!,1)-9))</f>
        <v>#REF!</v>
      </c>
    </row>
    <row r="1295" spans="1:31" x14ac:dyDescent="0.25">
      <c r="A1295">
        <v>3004</v>
      </c>
      <c r="B1295" t="s">
        <v>252</v>
      </c>
      <c r="C1295">
        <v>48</v>
      </c>
      <c r="D1295">
        <v>961</v>
      </c>
      <c r="E1295">
        <v>3004</v>
      </c>
      <c r="F1295">
        <v>5821201</v>
      </c>
      <c r="G1295">
        <v>5909400</v>
      </c>
      <c r="H1295">
        <f t="shared" si="40"/>
        <v>132.00002267573697</v>
      </c>
      <c r="I1295">
        <f t="shared" si="41"/>
        <v>134</v>
      </c>
      <c r="J1295" t="s">
        <v>22</v>
      </c>
      <c r="K1295">
        <v>6</v>
      </c>
      <c r="L1295" t="e">
        <f t="array" ref="L1295">VLOOKUP(J1295:$J$3871&amp;K1295:$K$3871,CHOOSE({1,2},#REF!&amp;#REF!,#REF!),2,0)</f>
        <v>#N/A</v>
      </c>
      <c r="M1295">
        <v>-15</v>
      </c>
      <c r="N1295">
        <v>0</v>
      </c>
      <c r="O1295" t="s">
        <v>7</v>
      </c>
      <c r="P1295">
        <v>1</v>
      </c>
      <c r="Q1295">
        <v>1</v>
      </c>
      <c r="R1295">
        <v>0</v>
      </c>
      <c r="S1295">
        <v>1</v>
      </c>
      <c r="T1295">
        <v>1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0</v>
      </c>
      <c r="AA1295" t="s">
        <v>3307</v>
      </c>
      <c r="AB1295" t="s">
        <v>1280</v>
      </c>
      <c r="AC1295" t="s">
        <v>3307</v>
      </c>
      <c r="AD1295" t="e">
        <f>VLOOKUP(AB1295,#REF!,2,FALSE)</f>
        <v>#REF!</v>
      </c>
      <c r="AE1295" t="e">
        <f>RIGHT(#REF!,(FIND("Complex",#REF!,1)-9))</f>
        <v>#REF!</v>
      </c>
    </row>
    <row r="1296" spans="1:31" x14ac:dyDescent="0.25">
      <c r="A1296">
        <v>3681</v>
      </c>
      <c r="B1296" t="s">
        <v>252</v>
      </c>
      <c r="C1296">
        <v>48</v>
      </c>
      <c r="D1296">
        <v>1055</v>
      </c>
      <c r="E1296">
        <v>3681</v>
      </c>
      <c r="F1296">
        <v>5644801</v>
      </c>
      <c r="G1296">
        <v>5733000</v>
      </c>
      <c r="H1296">
        <f t="shared" si="40"/>
        <v>128.00002267573697</v>
      </c>
      <c r="I1296">
        <f t="shared" si="41"/>
        <v>130</v>
      </c>
      <c r="J1296" t="s">
        <v>22</v>
      </c>
      <c r="K1296">
        <v>6</v>
      </c>
      <c r="L1296" t="e">
        <f t="array" ref="L1296">VLOOKUP(J1296:$J$3871&amp;K1296:$K$3871,CHOOSE({1,2},#REF!&amp;#REF!,#REF!),2,0)</f>
        <v>#N/A</v>
      </c>
      <c r="M1296">
        <v>-15</v>
      </c>
      <c r="N1296">
        <v>0</v>
      </c>
      <c r="O1296" t="s">
        <v>7</v>
      </c>
      <c r="P1296">
        <v>1</v>
      </c>
      <c r="Q1296">
        <v>1</v>
      </c>
      <c r="R1296">
        <v>0</v>
      </c>
      <c r="S1296">
        <v>1</v>
      </c>
      <c r="T1296">
        <v>1</v>
      </c>
      <c r="U1296">
        <v>1</v>
      </c>
      <c r="V1296">
        <v>0</v>
      </c>
      <c r="W1296">
        <v>0</v>
      </c>
      <c r="X1296">
        <v>1</v>
      </c>
      <c r="Y1296">
        <v>0</v>
      </c>
      <c r="Z1296">
        <v>0</v>
      </c>
      <c r="AA1296" t="s">
        <v>3335</v>
      </c>
      <c r="AB1296" t="s">
        <v>1281</v>
      </c>
      <c r="AC1296" t="s">
        <v>3335</v>
      </c>
      <c r="AD1296" t="e">
        <f>VLOOKUP(AB1296,#REF!,2,FALSE)</f>
        <v>#REF!</v>
      </c>
      <c r="AE1296" t="e">
        <f>RIGHT(#REF!,(FIND("Complex",#REF!,1)-10))</f>
        <v>#REF!</v>
      </c>
    </row>
    <row r="1297" spans="1:31" x14ac:dyDescent="0.25">
      <c r="A1297">
        <v>2407</v>
      </c>
      <c r="B1297" t="s">
        <v>24</v>
      </c>
      <c r="C1297">
        <v>49</v>
      </c>
      <c r="D1297">
        <v>770</v>
      </c>
      <c r="E1297">
        <v>2407</v>
      </c>
      <c r="F1297">
        <v>4057201</v>
      </c>
      <c r="G1297">
        <v>4145400</v>
      </c>
      <c r="H1297">
        <f t="shared" si="40"/>
        <v>92.000022675736957</v>
      </c>
      <c r="I1297">
        <f t="shared" si="41"/>
        <v>94</v>
      </c>
      <c r="J1297" t="s">
        <v>22</v>
      </c>
      <c r="K1297">
        <v>6</v>
      </c>
      <c r="L1297" t="e">
        <f t="array" ref="L1297">VLOOKUP(J1297:$J$3871&amp;K1297:$K$3871,CHOOSE({1,2},#REF!&amp;#REF!,#REF!),2,0)</f>
        <v>#N/A</v>
      </c>
      <c r="M1297">
        <v>-15</v>
      </c>
      <c r="N1297">
        <v>0</v>
      </c>
      <c r="O1297" t="s">
        <v>7</v>
      </c>
      <c r="P1297">
        <v>1</v>
      </c>
      <c r="Q1297">
        <v>1</v>
      </c>
      <c r="R1297">
        <v>0</v>
      </c>
      <c r="S1297">
        <v>1</v>
      </c>
      <c r="T1297">
        <v>0</v>
      </c>
      <c r="U1297">
        <v>1</v>
      </c>
      <c r="V1297">
        <v>0</v>
      </c>
      <c r="W1297">
        <v>1</v>
      </c>
      <c r="X1297">
        <v>1</v>
      </c>
      <c r="Y1297">
        <v>0</v>
      </c>
      <c r="Z1297">
        <v>0</v>
      </c>
      <c r="AA1297" t="s">
        <v>2646</v>
      </c>
      <c r="AB1297" t="s">
        <v>1292</v>
      </c>
      <c r="AC1297" t="s">
        <v>2646</v>
      </c>
      <c r="AD1297" t="e">
        <f>VLOOKUP(AB1297,#REF!,2,FALSE)</f>
        <v>#REF!</v>
      </c>
      <c r="AE1297" t="e">
        <f>RIGHT(#REF!,(FIND("Complex",#REF!,1)-10))</f>
        <v>#REF!</v>
      </c>
    </row>
    <row r="1298" spans="1:31" x14ac:dyDescent="0.25">
      <c r="A1298">
        <v>886</v>
      </c>
      <c r="B1298" t="s">
        <v>24</v>
      </c>
      <c r="C1298">
        <v>49</v>
      </c>
      <c r="D1298">
        <v>269</v>
      </c>
      <c r="E1298">
        <v>886</v>
      </c>
      <c r="F1298">
        <v>2998801</v>
      </c>
      <c r="G1298">
        <v>3087000</v>
      </c>
      <c r="H1298">
        <f t="shared" si="40"/>
        <v>68.000022675736957</v>
      </c>
      <c r="I1298">
        <f t="shared" si="41"/>
        <v>70</v>
      </c>
      <c r="J1298" t="s">
        <v>22</v>
      </c>
      <c r="K1298">
        <v>6</v>
      </c>
      <c r="L1298" t="e">
        <f t="array" ref="L1298">VLOOKUP(J1298:$J$3871&amp;K1298:$K$3871,CHOOSE({1,2},#REF!&amp;#REF!,#REF!),2,0)</f>
        <v>#N/A</v>
      </c>
      <c r="M1298">
        <v>-15</v>
      </c>
      <c r="N1298">
        <v>0</v>
      </c>
      <c r="O1298" t="s">
        <v>7</v>
      </c>
      <c r="P1298">
        <v>1</v>
      </c>
      <c r="Q1298">
        <v>1</v>
      </c>
      <c r="R1298">
        <v>0</v>
      </c>
      <c r="S1298">
        <v>1</v>
      </c>
      <c r="T1298">
        <v>0</v>
      </c>
      <c r="U1298">
        <v>1</v>
      </c>
      <c r="V1298">
        <v>0</v>
      </c>
      <c r="W1298">
        <v>1</v>
      </c>
      <c r="X1298">
        <v>1</v>
      </c>
      <c r="Y1298">
        <v>0</v>
      </c>
      <c r="Z1298">
        <v>0</v>
      </c>
      <c r="AA1298" t="s">
        <v>2746</v>
      </c>
      <c r="AB1298" t="s">
        <v>1293</v>
      </c>
      <c r="AC1298" t="s">
        <v>2746</v>
      </c>
      <c r="AD1298" t="e">
        <f>VLOOKUP(AB1298,#REF!,2,FALSE)</f>
        <v>#REF!</v>
      </c>
      <c r="AE1298" t="e">
        <f>RIGHT(#REF!,(FIND("Complex",#REF!,1)-9))</f>
        <v>#REF!</v>
      </c>
    </row>
    <row r="1299" spans="1:31" x14ac:dyDescent="0.25">
      <c r="A1299">
        <v>1707</v>
      </c>
      <c r="B1299" t="s">
        <v>24</v>
      </c>
      <c r="C1299">
        <v>49</v>
      </c>
      <c r="D1299">
        <v>516</v>
      </c>
      <c r="E1299">
        <v>1707</v>
      </c>
      <c r="F1299">
        <v>2646001</v>
      </c>
      <c r="G1299">
        <v>2734200</v>
      </c>
      <c r="H1299">
        <f t="shared" si="40"/>
        <v>60.000022675736965</v>
      </c>
      <c r="I1299">
        <f t="shared" si="41"/>
        <v>62</v>
      </c>
      <c r="J1299" t="s">
        <v>22</v>
      </c>
      <c r="K1299">
        <v>6</v>
      </c>
      <c r="L1299" t="e">
        <f t="array" ref="L1299">VLOOKUP(J1299:$J$3871&amp;K1299:$K$3871,CHOOSE({1,2},#REF!&amp;#REF!,#REF!),2,0)</f>
        <v>#N/A</v>
      </c>
      <c r="M1299">
        <v>-15</v>
      </c>
      <c r="N1299">
        <v>0</v>
      </c>
      <c r="O1299" t="s">
        <v>7</v>
      </c>
      <c r="P1299">
        <v>1</v>
      </c>
      <c r="Q1299">
        <v>1</v>
      </c>
      <c r="R1299">
        <v>0</v>
      </c>
      <c r="S1299">
        <v>1</v>
      </c>
      <c r="T1299">
        <v>0</v>
      </c>
      <c r="U1299">
        <v>1</v>
      </c>
      <c r="V1299">
        <v>0</v>
      </c>
      <c r="W1299">
        <v>1</v>
      </c>
      <c r="X1299">
        <v>1</v>
      </c>
      <c r="Y1299">
        <v>0</v>
      </c>
      <c r="Z1299">
        <v>0</v>
      </c>
      <c r="AA1299" t="s">
        <v>2781</v>
      </c>
      <c r="AB1299" t="s">
        <v>1294</v>
      </c>
      <c r="AC1299" t="s">
        <v>2781</v>
      </c>
      <c r="AD1299" t="e">
        <f>VLOOKUP(AB1299,#REF!,2,FALSE)</f>
        <v>#REF!</v>
      </c>
      <c r="AE1299" t="e">
        <f>RIGHT(#REF!,(FIND("Complex",#REF!,1)-10))</f>
        <v>#REF!</v>
      </c>
    </row>
    <row r="1300" spans="1:31" x14ac:dyDescent="0.25">
      <c r="A1300">
        <v>2157</v>
      </c>
      <c r="B1300" t="s">
        <v>24</v>
      </c>
      <c r="C1300">
        <v>49</v>
      </c>
      <c r="D1300">
        <v>660</v>
      </c>
      <c r="E1300">
        <v>2157</v>
      </c>
      <c r="F1300">
        <v>6879601</v>
      </c>
      <c r="G1300">
        <v>6967800</v>
      </c>
      <c r="H1300">
        <f t="shared" si="40"/>
        <v>156.00002267573697</v>
      </c>
      <c r="I1300">
        <f t="shared" si="41"/>
        <v>158</v>
      </c>
      <c r="J1300" t="s">
        <v>22</v>
      </c>
      <c r="K1300">
        <v>6</v>
      </c>
      <c r="L1300" t="e">
        <f t="array" ref="L1300">VLOOKUP(J1300:$J$3871&amp;K1300:$K$3871,CHOOSE({1,2},#REF!&amp;#REF!,#REF!),2,0)</f>
        <v>#N/A</v>
      </c>
      <c r="M1300">
        <v>-15</v>
      </c>
      <c r="N1300">
        <v>0</v>
      </c>
      <c r="O1300" t="s">
        <v>7</v>
      </c>
      <c r="P1300">
        <v>1</v>
      </c>
      <c r="Q1300">
        <v>1</v>
      </c>
      <c r="R1300">
        <v>0</v>
      </c>
      <c r="S1300">
        <v>1</v>
      </c>
      <c r="T1300">
        <v>0</v>
      </c>
      <c r="U1300">
        <v>1</v>
      </c>
      <c r="V1300">
        <v>0</v>
      </c>
      <c r="W1300">
        <v>1</v>
      </c>
      <c r="X1300">
        <v>1</v>
      </c>
      <c r="Y1300">
        <v>0</v>
      </c>
      <c r="Z1300">
        <v>0</v>
      </c>
      <c r="AA1300" t="s">
        <v>3205</v>
      </c>
      <c r="AB1300" t="s">
        <v>1295</v>
      </c>
      <c r="AC1300" t="s">
        <v>3205</v>
      </c>
      <c r="AD1300" t="e">
        <f>VLOOKUP(AB1300,#REF!,2,FALSE)</f>
        <v>#REF!</v>
      </c>
      <c r="AE1300" t="e">
        <f>RIGHT(#REF!,(FIND("Complex",#REF!,1)-9))</f>
        <v>#REF!</v>
      </c>
    </row>
    <row r="1301" spans="1:31" x14ac:dyDescent="0.25">
      <c r="A1301">
        <v>2257</v>
      </c>
      <c r="B1301" t="s">
        <v>24</v>
      </c>
      <c r="C1301">
        <v>49</v>
      </c>
      <c r="D1301">
        <v>701</v>
      </c>
      <c r="E1301">
        <v>2257</v>
      </c>
      <c r="F1301">
        <v>6703201</v>
      </c>
      <c r="G1301">
        <v>6791400</v>
      </c>
      <c r="H1301">
        <f t="shared" si="40"/>
        <v>152.00002267573697</v>
      </c>
      <c r="I1301">
        <f t="shared" si="41"/>
        <v>154</v>
      </c>
      <c r="J1301" t="s">
        <v>22</v>
      </c>
      <c r="K1301">
        <v>6</v>
      </c>
      <c r="L1301" t="e">
        <f t="array" ref="L1301">VLOOKUP(J1301:$J$3871&amp;K1301:$K$3871,CHOOSE({1,2},#REF!&amp;#REF!,#REF!),2,0)</f>
        <v>#N/A</v>
      </c>
      <c r="M1301">
        <v>-15</v>
      </c>
      <c r="N1301">
        <v>0</v>
      </c>
      <c r="O1301" t="s">
        <v>7</v>
      </c>
      <c r="P1301">
        <v>1</v>
      </c>
      <c r="Q1301">
        <v>1</v>
      </c>
      <c r="R1301">
        <v>0</v>
      </c>
      <c r="S1301">
        <v>1</v>
      </c>
      <c r="T1301">
        <v>0</v>
      </c>
      <c r="U1301">
        <v>1</v>
      </c>
      <c r="V1301">
        <v>0</v>
      </c>
      <c r="W1301">
        <v>1</v>
      </c>
      <c r="X1301">
        <v>1</v>
      </c>
      <c r="Y1301">
        <v>0</v>
      </c>
      <c r="Z1301">
        <v>0</v>
      </c>
      <c r="AA1301" t="s">
        <v>3219</v>
      </c>
      <c r="AB1301" t="s">
        <v>1296</v>
      </c>
      <c r="AC1301" t="s">
        <v>3219</v>
      </c>
      <c r="AD1301" t="e">
        <f>VLOOKUP(AB1301,#REF!,2,FALSE)</f>
        <v>#REF!</v>
      </c>
      <c r="AE1301" t="e">
        <f>RIGHT(#REF!,(FIND("Complex",#REF!,1)-9))</f>
        <v>#REF!</v>
      </c>
    </row>
    <row r="1302" spans="1:31" x14ac:dyDescent="0.25">
      <c r="A1302">
        <v>588</v>
      </c>
      <c r="B1302" t="s">
        <v>24</v>
      </c>
      <c r="C1302">
        <v>49</v>
      </c>
      <c r="D1302">
        <v>189</v>
      </c>
      <c r="E1302">
        <v>588</v>
      </c>
      <c r="F1302">
        <v>6438601</v>
      </c>
      <c r="G1302">
        <v>6526800</v>
      </c>
      <c r="H1302">
        <f t="shared" si="40"/>
        <v>146.00002267573697</v>
      </c>
      <c r="I1302">
        <f t="shared" si="41"/>
        <v>148</v>
      </c>
      <c r="J1302" t="s">
        <v>22</v>
      </c>
      <c r="K1302">
        <v>6</v>
      </c>
      <c r="L1302" t="e">
        <f t="array" ref="L1302">VLOOKUP(J1302:$J$3871&amp;K1302:$K$3871,CHOOSE({1,2},#REF!&amp;#REF!,#REF!),2,0)</f>
        <v>#N/A</v>
      </c>
      <c r="M1302">
        <v>-15</v>
      </c>
      <c r="N1302">
        <v>0</v>
      </c>
      <c r="O1302" t="s">
        <v>7</v>
      </c>
      <c r="P1302">
        <v>1</v>
      </c>
      <c r="Q1302">
        <v>1</v>
      </c>
      <c r="R1302">
        <v>0</v>
      </c>
      <c r="S1302">
        <v>1</v>
      </c>
      <c r="T1302">
        <v>0</v>
      </c>
      <c r="U1302">
        <v>1</v>
      </c>
      <c r="V1302">
        <v>0</v>
      </c>
      <c r="W1302">
        <v>1</v>
      </c>
      <c r="X1302">
        <v>1</v>
      </c>
      <c r="Y1302">
        <v>0</v>
      </c>
      <c r="Z1302">
        <v>0</v>
      </c>
      <c r="AA1302" t="s">
        <v>3239</v>
      </c>
      <c r="AB1302" t="s">
        <v>1297</v>
      </c>
      <c r="AC1302" t="s">
        <v>3239</v>
      </c>
      <c r="AD1302" t="e">
        <f>VLOOKUP(AB1302,#REF!,2,FALSE)</f>
        <v>#REF!</v>
      </c>
      <c r="AE1302" t="e">
        <f>RIGHT(#REF!,(FIND("Complex",#REF!,1)-8))</f>
        <v>#REF!</v>
      </c>
    </row>
    <row r="1303" spans="1:31" x14ac:dyDescent="0.25">
      <c r="A1303">
        <v>1400</v>
      </c>
      <c r="B1303" t="s">
        <v>24</v>
      </c>
      <c r="C1303">
        <v>49</v>
      </c>
      <c r="D1303">
        <v>425</v>
      </c>
      <c r="E1303">
        <v>1400</v>
      </c>
      <c r="F1303">
        <v>5997601</v>
      </c>
      <c r="G1303">
        <v>6085800</v>
      </c>
      <c r="H1303">
        <f t="shared" si="40"/>
        <v>136.00002267573697</v>
      </c>
      <c r="I1303">
        <f t="shared" si="41"/>
        <v>138</v>
      </c>
      <c r="J1303" t="s">
        <v>22</v>
      </c>
      <c r="K1303">
        <v>6</v>
      </c>
      <c r="L1303" t="e">
        <f t="array" ref="L1303">VLOOKUP(J1303:$J$3871&amp;K1303:$K$3871,CHOOSE({1,2},#REF!&amp;#REF!,#REF!),2,0)</f>
        <v>#N/A</v>
      </c>
      <c r="M1303">
        <v>-15</v>
      </c>
      <c r="N1303">
        <v>0</v>
      </c>
      <c r="O1303" t="s">
        <v>7</v>
      </c>
      <c r="P1303">
        <v>0</v>
      </c>
      <c r="Q1303">
        <v>1</v>
      </c>
      <c r="R1303">
        <v>0</v>
      </c>
      <c r="S1303">
        <v>1</v>
      </c>
      <c r="T1303">
        <v>1</v>
      </c>
      <c r="U1303">
        <v>1</v>
      </c>
      <c r="V1303">
        <v>0</v>
      </c>
      <c r="W1303">
        <v>1</v>
      </c>
      <c r="X1303">
        <v>1</v>
      </c>
      <c r="Y1303">
        <v>0</v>
      </c>
      <c r="Z1303">
        <v>0</v>
      </c>
      <c r="AA1303" t="s">
        <v>3282</v>
      </c>
      <c r="AB1303" t="s">
        <v>1298</v>
      </c>
      <c r="AC1303" t="s">
        <v>3282</v>
      </c>
      <c r="AD1303" t="e">
        <f>VLOOKUP(AB1303,#REF!,2,FALSE)</f>
        <v>#REF!</v>
      </c>
      <c r="AE1303" t="e">
        <f>RIGHT(#REF!,(FIND("Complex",#REF!,1)-9))</f>
        <v>#REF!</v>
      </c>
    </row>
    <row r="1304" spans="1:31" x14ac:dyDescent="0.25">
      <c r="A1304">
        <v>3290</v>
      </c>
      <c r="B1304" t="s">
        <v>24</v>
      </c>
      <c r="C1304">
        <v>49</v>
      </c>
      <c r="D1304">
        <v>993</v>
      </c>
      <c r="E1304">
        <v>3290</v>
      </c>
      <c r="F1304">
        <v>5821201</v>
      </c>
      <c r="G1304">
        <v>5909400</v>
      </c>
      <c r="H1304">
        <f t="shared" si="40"/>
        <v>132.00002267573697</v>
      </c>
      <c r="I1304">
        <f t="shared" si="41"/>
        <v>134</v>
      </c>
      <c r="J1304" t="s">
        <v>22</v>
      </c>
      <c r="K1304">
        <v>6</v>
      </c>
      <c r="L1304" t="e">
        <f t="array" ref="L1304">VLOOKUP(J1304:$J$3871&amp;K1304:$K$3871,CHOOSE({1,2},#REF!&amp;#REF!,#REF!),2,0)</f>
        <v>#N/A</v>
      </c>
      <c r="M1304">
        <v>-15</v>
      </c>
      <c r="N1304">
        <v>0</v>
      </c>
      <c r="O1304" t="s">
        <v>7</v>
      </c>
      <c r="P1304">
        <v>0</v>
      </c>
      <c r="Q1304">
        <v>1</v>
      </c>
      <c r="R1304">
        <v>0</v>
      </c>
      <c r="S1304">
        <v>1</v>
      </c>
      <c r="T1304">
        <v>1</v>
      </c>
      <c r="U1304">
        <v>1</v>
      </c>
      <c r="V1304">
        <v>0</v>
      </c>
      <c r="W1304">
        <v>1</v>
      </c>
      <c r="X1304">
        <v>1</v>
      </c>
      <c r="Y1304">
        <v>0</v>
      </c>
      <c r="Z1304">
        <v>0</v>
      </c>
      <c r="AA1304" t="s">
        <v>3306</v>
      </c>
      <c r="AB1304" t="s">
        <v>1299</v>
      </c>
      <c r="AC1304" t="s">
        <v>3306</v>
      </c>
      <c r="AD1304" t="e">
        <f>VLOOKUP(AB1304,#REF!,2,FALSE)</f>
        <v>#REF!</v>
      </c>
      <c r="AE1304" t="e">
        <f>RIGHT(#REF!,(FIND("Complex",#REF!,1)-9))</f>
        <v>#REF!</v>
      </c>
    </row>
    <row r="1305" spans="1:31" x14ac:dyDescent="0.25">
      <c r="A1305">
        <v>1216</v>
      </c>
      <c r="B1305" t="s">
        <v>24</v>
      </c>
      <c r="C1305">
        <v>49</v>
      </c>
      <c r="D1305">
        <v>366</v>
      </c>
      <c r="E1305">
        <v>1216</v>
      </c>
      <c r="F1305">
        <v>5644801</v>
      </c>
      <c r="G1305">
        <v>5733000</v>
      </c>
      <c r="H1305">
        <f t="shared" si="40"/>
        <v>128.00002267573697</v>
      </c>
      <c r="I1305">
        <f t="shared" si="41"/>
        <v>130</v>
      </c>
      <c r="J1305" t="s">
        <v>22</v>
      </c>
      <c r="K1305">
        <v>6</v>
      </c>
      <c r="L1305" t="e">
        <f t="array" ref="L1305">VLOOKUP(J1305:$J$3871&amp;K1305:$K$3871,CHOOSE({1,2},#REF!&amp;#REF!,#REF!),2,0)</f>
        <v>#N/A</v>
      </c>
      <c r="M1305">
        <v>-15</v>
      </c>
      <c r="N1305">
        <v>0</v>
      </c>
      <c r="O1305" t="s">
        <v>7</v>
      </c>
      <c r="P1305">
        <v>0</v>
      </c>
      <c r="Q1305">
        <v>1</v>
      </c>
      <c r="R1305">
        <v>0</v>
      </c>
      <c r="S1305">
        <v>1</v>
      </c>
      <c r="T1305">
        <v>1</v>
      </c>
      <c r="U1305">
        <v>1</v>
      </c>
      <c r="V1305">
        <v>0</v>
      </c>
      <c r="W1305">
        <v>1</v>
      </c>
      <c r="X1305">
        <v>1</v>
      </c>
      <c r="Y1305">
        <v>0</v>
      </c>
      <c r="Z1305">
        <v>0</v>
      </c>
      <c r="AA1305" t="s">
        <v>3334</v>
      </c>
      <c r="AB1305" t="s">
        <v>1300</v>
      </c>
      <c r="AC1305" t="s">
        <v>3334</v>
      </c>
      <c r="AD1305" t="e">
        <f>VLOOKUP(AB1305,#REF!,2,FALSE)</f>
        <v>#REF!</v>
      </c>
      <c r="AE1305" t="e">
        <f>RIGHT(#REF!,(FIND("Complex",#REF!,1)-9))</f>
        <v>#REF!</v>
      </c>
    </row>
    <row r="1306" spans="1:31" x14ac:dyDescent="0.25">
      <c r="A1306">
        <v>785</v>
      </c>
      <c r="B1306" t="s">
        <v>24</v>
      </c>
      <c r="C1306">
        <v>49</v>
      </c>
      <c r="D1306">
        <v>241</v>
      </c>
      <c r="E1306">
        <v>785</v>
      </c>
      <c r="F1306">
        <v>5556601</v>
      </c>
      <c r="G1306">
        <v>5644800</v>
      </c>
      <c r="H1306">
        <f t="shared" si="40"/>
        <v>126.00002267573696</v>
      </c>
      <c r="I1306">
        <f t="shared" si="41"/>
        <v>128</v>
      </c>
      <c r="J1306" t="s">
        <v>22</v>
      </c>
      <c r="K1306">
        <v>6</v>
      </c>
      <c r="L1306" t="e">
        <f t="array" ref="L1306">VLOOKUP(J1306:$J$3871&amp;K1306:$K$3871,CHOOSE({1,2},#REF!&amp;#REF!,#REF!),2,0)</f>
        <v>#N/A</v>
      </c>
      <c r="M1306">
        <v>-15</v>
      </c>
      <c r="N1306">
        <v>0</v>
      </c>
      <c r="O1306" t="s">
        <v>7</v>
      </c>
      <c r="P1306">
        <v>0</v>
      </c>
      <c r="Q1306">
        <v>1</v>
      </c>
      <c r="R1306">
        <v>0</v>
      </c>
      <c r="S1306">
        <v>1</v>
      </c>
      <c r="T1306">
        <v>1</v>
      </c>
      <c r="U1306">
        <v>1</v>
      </c>
      <c r="V1306">
        <v>0</v>
      </c>
      <c r="W1306">
        <v>1</v>
      </c>
      <c r="X1306">
        <v>1</v>
      </c>
      <c r="Y1306">
        <v>0</v>
      </c>
      <c r="Z1306">
        <v>0</v>
      </c>
      <c r="AA1306" t="s">
        <v>3345</v>
      </c>
      <c r="AB1306" t="s">
        <v>1301</v>
      </c>
      <c r="AC1306" t="s">
        <v>3345</v>
      </c>
      <c r="AD1306" t="e">
        <f>VLOOKUP(AB1306,#REF!,2,FALSE)</f>
        <v>#REF!</v>
      </c>
      <c r="AE1306" t="e">
        <f>RIGHT(#REF!,(FIND("Complex",#REF!,1)-8))</f>
        <v>#REF!</v>
      </c>
    </row>
    <row r="1307" spans="1:31" x14ac:dyDescent="0.25">
      <c r="A1307">
        <v>1331</v>
      </c>
      <c r="B1307" t="s">
        <v>24</v>
      </c>
      <c r="C1307">
        <v>49</v>
      </c>
      <c r="D1307">
        <v>405</v>
      </c>
      <c r="E1307">
        <v>1331</v>
      </c>
      <c r="F1307">
        <v>5380201</v>
      </c>
      <c r="G1307">
        <v>5468400</v>
      </c>
      <c r="H1307">
        <f t="shared" si="40"/>
        <v>122.00002267573696</v>
      </c>
      <c r="I1307">
        <f t="shared" si="41"/>
        <v>124</v>
      </c>
      <c r="J1307" t="s">
        <v>22</v>
      </c>
      <c r="K1307">
        <v>6</v>
      </c>
      <c r="L1307" t="e">
        <f t="array" ref="L1307">VLOOKUP(J1307:$J$3871&amp;K1307:$K$3871,CHOOSE({1,2},#REF!&amp;#REF!,#REF!),2,0)</f>
        <v>#N/A</v>
      </c>
      <c r="M1307">
        <v>-15</v>
      </c>
      <c r="N1307">
        <v>0</v>
      </c>
      <c r="O1307" t="s">
        <v>7</v>
      </c>
      <c r="P1307">
        <v>0</v>
      </c>
      <c r="Q1307">
        <v>1</v>
      </c>
      <c r="R1307">
        <v>0</v>
      </c>
      <c r="S1307">
        <v>1</v>
      </c>
      <c r="T1307">
        <v>1</v>
      </c>
      <c r="U1307">
        <v>1</v>
      </c>
      <c r="V1307">
        <v>0</v>
      </c>
      <c r="W1307">
        <v>1</v>
      </c>
      <c r="X1307">
        <v>1</v>
      </c>
      <c r="Y1307">
        <v>0</v>
      </c>
      <c r="Z1307">
        <v>0</v>
      </c>
      <c r="AA1307" t="s">
        <v>3367</v>
      </c>
      <c r="AB1307" t="s">
        <v>1302</v>
      </c>
      <c r="AC1307" t="s">
        <v>3367</v>
      </c>
      <c r="AD1307" t="e">
        <f>VLOOKUP(AB1307,#REF!,2,FALSE)</f>
        <v>#REF!</v>
      </c>
      <c r="AE1307" t="e">
        <f>RIGHT(#REF!,(FIND("Complex",#REF!,1)-9))</f>
        <v>#REF!</v>
      </c>
    </row>
    <row r="1308" spans="1:31" x14ac:dyDescent="0.25">
      <c r="A1308">
        <v>1558</v>
      </c>
      <c r="B1308" t="s">
        <v>24</v>
      </c>
      <c r="C1308">
        <v>49</v>
      </c>
      <c r="D1308">
        <v>477</v>
      </c>
      <c r="E1308">
        <v>1558</v>
      </c>
      <c r="F1308">
        <v>5115601</v>
      </c>
      <c r="G1308">
        <v>5203800</v>
      </c>
      <c r="H1308">
        <f t="shared" si="40"/>
        <v>116.00002267573696</v>
      </c>
      <c r="I1308">
        <f t="shared" si="41"/>
        <v>118</v>
      </c>
      <c r="J1308" t="s">
        <v>22</v>
      </c>
      <c r="K1308">
        <v>6</v>
      </c>
      <c r="L1308" t="e">
        <f t="array" ref="L1308">VLOOKUP(J1308:$J$3871&amp;K1308:$K$3871,CHOOSE({1,2},#REF!&amp;#REF!,#REF!),2,0)</f>
        <v>#N/A</v>
      </c>
      <c r="M1308">
        <v>-15</v>
      </c>
      <c r="N1308">
        <v>0</v>
      </c>
      <c r="O1308" t="s">
        <v>7</v>
      </c>
      <c r="P1308">
        <v>0</v>
      </c>
      <c r="Q1308">
        <v>1</v>
      </c>
      <c r="R1308">
        <v>0</v>
      </c>
      <c r="S1308">
        <v>1</v>
      </c>
      <c r="T1308">
        <v>1</v>
      </c>
      <c r="U1308">
        <v>1</v>
      </c>
      <c r="V1308">
        <v>0</v>
      </c>
      <c r="W1308">
        <v>1</v>
      </c>
      <c r="X1308">
        <v>1</v>
      </c>
      <c r="Y1308">
        <v>0</v>
      </c>
      <c r="Z1308">
        <v>0</v>
      </c>
      <c r="AA1308" t="s">
        <v>3408</v>
      </c>
      <c r="AB1308" t="s">
        <v>1303</v>
      </c>
      <c r="AC1308" t="s">
        <v>3408</v>
      </c>
      <c r="AD1308" t="e">
        <f>VLOOKUP(AB1308,#REF!,2,FALSE)</f>
        <v>#REF!</v>
      </c>
      <c r="AE1308" t="e">
        <f>RIGHT(#REF!,(FIND("Complex",#REF!,1)-9))</f>
        <v>#REF!</v>
      </c>
    </row>
    <row r="1309" spans="1:31" x14ac:dyDescent="0.25">
      <c r="A1309">
        <v>2562</v>
      </c>
      <c r="B1309" t="s">
        <v>24</v>
      </c>
      <c r="C1309">
        <v>49</v>
      </c>
      <c r="D1309">
        <v>831</v>
      </c>
      <c r="E1309">
        <v>2562</v>
      </c>
      <c r="F1309">
        <v>5027401</v>
      </c>
      <c r="G1309">
        <v>5115600</v>
      </c>
      <c r="H1309">
        <f t="shared" si="40"/>
        <v>114.00002267573696</v>
      </c>
      <c r="I1309">
        <f t="shared" si="41"/>
        <v>116</v>
      </c>
      <c r="J1309" t="s">
        <v>22</v>
      </c>
      <c r="K1309">
        <v>6</v>
      </c>
      <c r="L1309" t="e">
        <f t="array" ref="L1309">VLOOKUP(J1309:$J$3871&amp;K1309:$K$3871,CHOOSE({1,2},#REF!&amp;#REF!,#REF!),2,0)</f>
        <v>#N/A</v>
      </c>
      <c r="M1309">
        <v>-15</v>
      </c>
      <c r="N1309">
        <v>0</v>
      </c>
      <c r="O1309" t="s">
        <v>7</v>
      </c>
      <c r="P1309">
        <v>0</v>
      </c>
      <c r="Q1309">
        <v>1</v>
      </c>
      <c r="R1309">
        <v>0</v>
      </c>
      <c r="S1309">
        <v>1</v>
      </c>
      <c r="T1309">
        <v>1</v>
      </c>
      <c r="U1309">
        <v>1</v>
      </c>
      <c r="V1309">
        <v>0</v>
      </c>
      <c r="W1309">
        <v>1</v>
      </c>
      <c r="X1309">
        <v>1</v>
      </c>
      <c r="Y1309">
        <v>0</v>
      </c>
      <c r="Z1309">
        <v>0</v>
      </c>
      <c r="AA1309" t="s">
        <v>3420</v>
      </c>
      <c r="AB1309" t="s">
        <v>1304</v>
      </c>
      <c r="AC1309" t="s">
        <v>3420</v>
      </c>
      <c r="AD1309" t="e">
        <f>VLOOKUP(AB1309,#REF!,2,FALSE)</f>
        <v>#REF!</v>
      </c>
      <c r="AE1309" t="e">
        <f>RIGHT(#REF!,(FIND("Complex",#REF!,1)-9))</f>
        <v>#REF!</v>
      </c>
    </row>
    <row r="1310" spans="1:31" x14ac:dyDescent="0.25">
      <c r="A1310">
        <v>2737</v>
      </c>
      <c r="B1310" t="s">
        <v>27</v>
      </c>
      <c r="C1310">
        <v>52</v>
      </c>
      <c r="D1310">
        <v>905</v>
      </c>
      <c r="E1310">
        <v>2737</v>
      </c>
      <c r="F1310">
        <v>14994001</v>
      </c>
      <c r="G1310">
        <v>15082200</v>
      </c>
      <c r="H1310">
        <f t="shared" si="40"/>
        <v>340.00002267573694</v>
      </c>
      <c r="I1310">
        <f t="shared" si="41"/>
        <v>342</v>
      </c>
      <c r="J1310" t="s">
        <v>22</v>
      </c>
      <c r="K1310">
        <v>6</v>
      </c>
      <c r="L1310" t="e">
        <f t="array" ref="L1310">VLOOKUP(J1310:$J$3871&amp;K1310:$K$3871,CHOOSE({1,2},#REF!&amp;#REF!,#REF!),2,0)</f>
        <v>#N/A</v>
      </c>
      <c r="M1310">
        <v>-15</v>
      </c>
      <c r="N1310">
        <v>0</v>
      </c>
      <c r="O1310" t="s">
        <v>7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1</v>
      </c>
      <c r="X1310">
        <v>1</v>
      </c>
      <c r="Y1310">
        <v>1</v>
      </c>
      <c r="Z1310">
        <v>1</v>
      </c>
      <c r="AA1310" t="s">
        <v>2851</v>
      </c>
      <c r="AB1310" t="s">
        <v>1357</v>
      </c>
      <c r="AC1310" t="s">
        <v>2851</v>
      </c>
      <c r="AD1310" t="e">
        <f>VLOOKUP(AB1310,#REF!,2,FALSE)</f>
        <v>#REF!</v>
      </c>
      <c r="AE1310" t="e">
        <f>RIGHT(#REF!,(FIND("Complex",#REF!,1)-9))</f>
        <v>#REF!</v>
      </c>
    </row>
    <row r="1311" spans="1:31" x14ac:dyDescent="0.25">
      <c r="A1311">
        <v>3495</v>
      </c>
      <c r="B1311" t="s">
        <v>27</v>
      </c>
      <c r="C1311">
        <v>52</v>
      </c>
      <c r="D1311">
        <v>1021</v>
      </c>
      <c r="E1311">
        <v>3495</v>
      </c>
      <c r="F1311">
        <v>13935601</v>
      </c>
      <c r="G1311">
        <v>14023800</v>
      </c>
      <c r="H1311">
        <f t="shared" si="40"/>
        <v>316.00002267573694</v>
      </c>
      <c r="I1311">
        <f t="shared" si="41"/>
        <v>318</v>
      </c>
      <c r="J1311" t="s">
        <v>22</v>
      </c>
      <c r="K1311">
        <v>6</v>
      </c>
      <c r="L1311" t="e">
        <f t="array" ref="L1311">VLOOKUP(J1311:$J$3871&amp;K1311:$K$3871,CHOOSE({1,2},#REF!&amp;#REF!,#REF!),2,0)</f>
        <v>#N/A</v>
      </c>
      <c r="M1311">
        <v>-15</v>
      </c>
      <c r="N1311">
        <v>0</v>
      </c>
      <c r="O1311" t="s">
        <v>7</v>
      </c>
      <c r="P1311">
        <v>0</v>
      </c>
      <c r="Q1311">
        <v>1</v>
      </c>
      <c r="R1311">
        <v>0</v>
      </c>
      <c r="S1311">
        <v>0</v>
      </c>
      <c r="T1311">
        <v>1</v>
      </c>
      <c r="U1311">
        <v>0</v>
      </c>
      <c r="V1311">
        <v>1</v>
      </c>
      <c r="W1311">
        <v>1</v>
      </c>
      <c r="X1311">
        <v>1</v>
      </c>
      <c r="Y1311">
        <v>1</v>
      </c>
      <c r="Z1311">
        <v>0</v>
      </c>
      <c r="AA1311" t="s">
        <v>2872</v>
      </c>
      <c r="AB1311" t="s">
        <v>1358</v>
      </c>
      <c r="AC1311" t="s">
        <v>2872</v>
      </c>
      <c r="AD1311" t="e">
        <f>VLOOKUP(AB1311,#REF!,2,FALSE)</f>
        <v>#REF!</v>
      </c>
      <c r="AE1311" t="e">
        <f>RIGHT(#REF!,(FIND("Complex",#REF!,1)-10))</f>
        <v>#REF!</v>
      </c>
    </row>
    <row r="1312" spans="1:31" x14ac:dyDescent="0.25">
      <c r="A1312">
        <v>3361</v>
      </c>
      <c r="B1312" t="s">
        <v>27</v>
      </c>
      <c r="C1312">
        <v>52</v>
      </c>
      <c r="D1312">
        <v>1003</v>
      </c>
      <c r="E1312">
        <v>3361</v>
      </c>
      <c r="F1312">
        <v>13671001</v>
      </c>
      <c r="G1312">
        <v>13759200</v>
      </c>
      <c r="H1312">
        <f t="shared" si="40"/>
        <v>310.00002267573694</v>
      </c>
      <c r="I1312">
        <f t="shared" si="41"/>
        <v>312</v>
      </c>
      <c r="J1312" t="s">
        <v>22</v>
      </c>
      <c r="K1312">
        <v>6</v>
      </c>
      <c r="L1312" t="e">
        <f t="array" ref="L1312">VLOOKUP(J1312:$J$3871&amp;K1312:$K$3871,CHOOSE({1,2},#REF!&amp;#REF!,#REF!),2,0)</f>
        <v>#N/A</v>
      </c>
      <c r="M1312">
        <v>-15</v>
      </c>
      <c r="N1312">
        <v>0</v>
      </c>
      <c r="O1312" t="s">
        <v>7</v>
      </c>
      <c r="P1312">
        <v>0</v>
      </c>
      <c r="Q1312">
        <v>1</v>
      </c>
      <c r="R1312">
        <v>0</v>
      </c>
      <c r="S1312">
        <v>0</v>
      </c>
      <c r="T1312">
        <v>1</v>
      </c>
      <c r="U1312">
        <v>0</v>
      </c>
      <c r="V1312">
        <v>1</v>
      </c>
      <c r="W1312">
        <v>1</v>
      </c>
      <c r="X1312">
        <v>1</v>
      </c>
      <c r="Y1312">
        <v>1</v>
      </c>
      <c r="Z1312">
        <v>0</v>
      </c>
      <c r="AA1312" t="s">
        <v>2877</v>
      </c>
      <c r="AB1312" t="s">
        <v>1359</v>
      </c>
      <c r="AC1312" t="s">
        <v>2877</v>
      </c>
      <c r="AD1312" t="e">
        <f>VLOOKUP(AB1312,#REF!,2,FALSE)</f>
        <v>#REF!</v>
      </c>
      <c r="AE1312" t="e">
        <f>RIGHT(#REF!,(FIND("Complex",#REF!,1)-10))</f>
        <v>#REF!</v>
      </c>
    </row>
    <row r="1313" spans="1:31" x14ac:dyDescent="0.25">
      <c r="A1313">
        <v>631</v>
      </c>
      <c r="B1313" t="s">
        <v>27</v>
      </c>
      <c r="C1313">
        <v>52</v>
      </c>
      <c r="D1313">
        <v>199</v>
      </c>
      <c r="E1313">
        <v>631</v>
      </c>
      <c r="F1313">
        <v>11730601</v>
      </c>
      <c r="G1313">
        <v>11818800</v>
      </c>
      <c r="H1313">
        <f t="shared" si="40"/>
        <v>266.00002267573694</v>
      </c>
      <c r="I1313">
        <f t="shared" si="41"/>
        <v>268</v>
      </c>
      <c r="J1313" t="s">
        <v>22</v>
      </c>
      <c r="K1313">
        <v>6</v>
      </c>
      <c r="L1313" t="e">
        <f t="array" ref="L1313">VLOOKUP(J1313:$J$3871&amp;K1313:$K$3871,CHOOSE({1,2},#REF!&amp;#REF!,#REF!),2,0)</f>
        <v>#N/A</v>
      </c>
      <c r="M1313">
        <v>-15</v>
      </c>
      <c r="N1313">
        <v>0</v>
      </c>
      <c r="O1313" t="s">
        <v>7</v>
      </c>
      <c r="P1313">
        <v>0</v>
      </c>
      <c r="Q1313">
        <v>1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1</v>
      </c>
      <c r="X1313">
        <v>1</v>
      </c>
      <c r="Y1313">
        <v>1</v>
      </c>
      <c r="Z1313">
        <v>1</v>
      </c>
      <c r="AA1313" t="s">
        <v>2916</v>
      </c>
      <c r="AB1313" t="s">
        <v>1360</v>
      </c>
      <c r="AC1313" t="s">
        <v>2916</v>
      </c>
      <c r="AD1313" t="e">
        <f>VLOOKUP(AB1313,#REF!,2,FALSE)</f>
        <v>#REF!</v>
      </c>
      <c r="AE1313" t="e">
        <f>RIGHT(#REF!,(FIND("Complex",#REF!,1)-8))</f>
        <v>#REF!</v>
      </c>
    </row>
    <row r="1314" spans="1:31" x14ac:dyDescent="0.25">
      <c r="A1314">
        <v>2858</v>
      </c>
      <c r="B1314" t="s">
        <v>31</v>
      </c>
      <c r="C1314">
        <v>83</v>
      </c>
      <c r="D1314">
        <v>939</v>
      </c>
      <c r="E1314">
        <v>2858</v>
      </c>
      <c r="F1314">
        <v>2822401</v>
      </c>
      <c r="G1314">
        <v>2910600</v>
      </c>
      <c r="H1314">
        <f t="shared" si="40"/>
        <v>64.000022675736957</v>
      </c>
      <c r="I1314">
        <f t="shared" si="41"/>
        <v>66</v>
      </c>
      <c r="J1314" t="s">
        <v>22</v>
      </c>
      <c r="K1314">
        <v>6</v>
      </c>
      <c r="L1314" t="e">
        <f t="array" ref="L1314">VLOOKUP(J1314:$J$3871&amp;K1314:$K$3871,CHOOSE({1,2},#REF!&amp;#REF!,#REF!),2,0)</f>
        <v>#N/A</v>
      </c>
      <c r="M1314">
        <v>-15</v>
      </c>
      <c r="N1314">
        <v>0</v>
      </c>
      <c r="O1314" t="s">
        <v>7</v>
      </c>
      <c r="P1314">
        <v>1</v>
      </c>
      <c r="Q1314">
        <v>1</v>
      </c>
      <c r="R1314">
        <v>1</v>
      </c>
      <c r="S1314">
        <v>0</v>
      </c>
      <c r="T1314">
        <v>1</v>
      </c>
      <c r="U1314">
        <v>0</v>
      </c>
      <c r="V1314">
        <v>0</v>
      </c>
      <c r="W1314">
        <v>1</v>
      </c>
      <c r="X1314">
        <v>1</v>
      </c>
      <c r="Y1314">
        <v>0</v>
      </c>
      <c r="Z1314">
        <v>0</v>
      </c>
      <c r="AA1314" t="s">
        <v>2763</v>
      </c>
      <c r="AB1314" t="s">
        <v>1675</v>
      </c>
      <c r="AC1314" t="s">
        <v>2763</v>
      </c>
      <c r="AD1314" t="e">
        <f>VLOOKUP(AB1314,#REF!,2,FALSE)</f>
        <v>#REF!</v>
      </c>
      <c r="AE1314" t="e">
        <f>RIGHT(#REF!,(FIND("Complex",#REF!,1)-10))</f>
        <v>#REF!</v>
      </c>
    </row>
    <row r="1315" spans="1:31" x14ac:dyDescent="0.25">
      <c r="A1315">
        <v>2964</v>
      </c>
      <c r="B1315" t="s">
        <v>31</v>
      </c>
      <c r="C1315">
        <v>83</v>
      </c>
      <c r="D1315">
        <v>956</v>
      </c>
      <c r="E1315">
        <v>2964</v>
      </c>
      <c r="F1315">
        <v>6791401</v>
      </c>
      <c r="G1315">
        <v>6879600</v>
      </c>
      <c r="H1315">
        <f t="shared" si="40"/>
        <v>154.00002267573697</v>
      </c>
      <c r="I1315">
        <f t="shared" si="41"/>
        <v>156</v>
      </c>
      <c r="J1315" t="s">
        <v>22</v>
      </c>
      <c r="K1315">
        <v>6</v>
      </c>
      <c r="L1315" t="e">
        <f t="array" ref="L1315">VLOOKUP(J1315:$J$3871&amp;K1315:$K$3871,CHOOSE({1,2},#REF!&amp;#REF!,#REF!),2,0)</f>
        <v>#N/A</v>
      </c>
      <c r="M1315">
        <v>-15</v>
      </c>
      <c r="N1315">
        <v>0</v>
      </c>
      <c r="O1315" t="s">
        <v>7</v>
      </c>
      <c r="P1315">
        <v>0</v>
      </c>
      <c r="Q1315">
        <v>1</v>
      </c>
      <c r="R1315">
        <v>1</v>
      </c>
      <c r="S1315">
        <v>0</v>
      </c>
      <c r="T1315">
        <v>1</v>
      </c>
      <c r="U1315">
        <v>1</v>
      </c>
      <c r="V1315">
        <v>0</v>
      </c>
      <c r="W1315">
        <v>1</v>
      </c>
      <c r="X1315">
        <v>1</v>
      </c>
      <c r="Y1315">
        <v>0</v>
      </c>
      <c r="Z1315">
        <v>0</v>
      </c>
      <c r="AA1315" t="s">
        <v>3210</v>
      </c>
      <c r="AB1315" t="s">
        <v>1676</v>
      </c>
      <c r="AC1315" t="s">
        <v>3210</v>
      </c>
      <c r="AD1315" t="e">
        <f>VLOOKUP(AB1315,#REF!,2,FALSE)</f>
        <v>#REF!</v>
      </c>
      <c r="AE1315" t="e">
        <f>RIGHT(#REF!,(FIND("Complex",#REF!,1)-9))</f>
        <v>#REF!</v>
      </c>
    </row>
    <row r="1316" spans="1:31" x14ac:dyDescent="0.25">
      <c r="A1316">
        <v>2570</v>
      </c>
      <c r="B1316" t="s">
        <v>31</v>
      </c>
      <c r="C1316">
        <v>83</v>
      </c>
      <c r="D1316">
        <v>836</v>
      </c>
      <c r="E1316">
        <v>2570</v>
      </c>
      <c r="F1316">
        <v>4410001</v>
      </c>
      <c r="G1316">
        <v>4498200</v>
      </c>
      <c r="H1316">
        <f t="shared" si="40"/>
        <v>100.00002267573696</v>
      </c>
      <c r="I1316">
        <f t="shared" si="41"/>
        <v>102</v>
      </c>
      <c r="J1316" t="s">
        <v>22</v>
      </c>
      <c r="K1316">
        <v>6</v>
      </c>
      <c r="L1316" t="e">
        <f t="array" ref="L1316">VLOOKUP(J1316:$J$3871&amp;K1316:$K$3871,CHOOSE({1,2},#REF!&amp;#REF!,#REF!),2,0)</f>
        <v>#N/A</v>
      </c>
      <c r="M1316">
        <v>-15</v>
      </c>
      <c r="N1316">
        <v>0</v>
      </c>
      <c r="O1316" t="s">
        <v>7</v>
      </c>
      <c r="P1316">
        <v>1</v>
      </c>
      <c r="Q1316">
        <v>1</v>
      </c>
      <c r="R1316">
        <v>1</v>
      </c>
      <c r="S1316">
        <v>0</v>
      </c>
      <c r="T1316">
        <v>0</v>
      </c>
      <c r="U1316">
        <v>1</v>
      </c>
      <c r="V1316">
        <v>0</v>
      </c>
      <c r="W1316">
        <v>1</v>
      </c>
      <c r="X1316">
        <v>1</v>
      </c>
      <c r="Y1316">
        <v>0</v>
      </c>
      <c r="Z1316">
        <v>0</v>
      </c>
      <c r="AA1316" t="s">
        <v>3489</v>
      </c>
      <c r="AB1316" t="s">
        <v>1677</v>
      </c>
      <c r="AC1316" t="s">
        <v>3489</v>
      </c>
      <c r="AD1316" t="e">
        <f>VLOOKUP(AB1316,#REF!,2,FALSE)</f>
        <v>#REF!</v>
      </c>
      <c r="AE1316" t="e">
        <f>RIGHT(#REF!,(FIND("Complex",#REF!,1)-9))</f>
        <v>#REF!</v>
      </c>
    </row>
    <row r="1317" spans="1:31" x14ac:dyDescent="0.25">
      <c r="A1317">
        <v>879</v>
      </c>
      <c r="B1317" t="s">
        <v>77</v>
      </c>
      <c r="C1317">
        <v>87</v>
      </c>
      <c r="D1317">
        <v>266</v>
      </c>
      <c r="E1317">
        <v>879</v>
      </c>
      <c r="F1317">
        <v>12348001</v>
      </c>
      <c r="G1317">
        <v>12436200</v>
      </c>
      <c r="H1317">
        <f t="shared" si="40"/>
        <v>280.00002267573694</v>
      </c>
      <c r="I1317">
        <f t="shared" si="41"/>
        <v>282</v>
      </c>
      <c r="J1317" t="s">
        <v>22</v>
      </c>
      <c r="K1317">
        <v>6</v>
      </c>
      <c r="L1317" t="e">
        <f t="array" ref="L1317">VLOOKUP(J1317:$J$3871&amp;K1317:$K$3871,CHOOSE({1,2},#REF!&amp;#REF!,#REF!),2,0)</f>
        <v>#N/A</v>
      </c>
      <c r="M1317">
        <v>-15</v>
      </c>
      <c r="N1317">
        <v>0</v>
      </c>
      <c r="O1317" t="s">
        <v>7</v>
      </c>
      <c r="P1317">
        <v>1</v>
      </c>
      <c r="Q1317">
        <v>1</v>
      </c>
      <c r="R1317">
        <v>0</v>
      </c>
      <c r="S1317">
        <v>1</v>
      </c>
      <c r="T1317">
        <v>1</v>
      </c>
      <c r="U1317">
        <v>0</v>
      </c>
      <c r="V1317">
        <v>0</v>
      </c>
      <c r="W1317">
        <v>1</v>
      </c>
      <c r="X1317">
        <v>0</v>
      </c>
      <c r="Y1317">
        <v>1</v>
      </c>
      <c r="Z1317">
        <v>0</v>
      </c>
      <c r="AA1317" t="s">
        <v>2900</v>
      </c>
      <c r="AB1317" t="s">
        <v>1782</v>
      </c>
      <c r="AC1317" t="s">
        <v>2900</v>
      </c>
      <c r="AD1317" t="e">
        <f>VLOOKUP(AB1317,#REF!,2,FALSE)</f>
        <v>#REF!</v>
      </c>
      <c r="AE1317" t="e">
        <f>RIGHT(#REF!,(FIND("Complex",#REF!,1)-8))</f>
        <v>#REF!</v>
      </c>
    </row>
    <row r="1318" spans="1:31" x14ac:dyDescent="0.25">
      <c r="A1318">
        <v>3593</v>
      </c>
      <c r="B1318" t="s">
        <v>77</v>
      </c>
      <c r="C1318">
        <v>87</v>
      </c>
      <c r="D1318">
        <v>1040</v>
      </c>
      <c r="E1318">
        <v>3593</v>
      </c>
      <c r="F1318">
        <v>11995201</v>
      </c>
      <c r="G1318">
        <v>12083400</v>
      </c>
      <c r="H1318">
        <f t="shared" si="40"/>
        <v>272.00002267573694</v>
      </c>
      <c r="I1318">
        <f t="shared" si="41"/>
        <v>274</v>
      </c>
      <c r="J1318" t="s">
        <v>22</v>
      </c>
      <c r="K1318">
        <v>6</v>
      </c>
      <c r="L1318" t="e">
        <f t="array" ref="L1318">VLOOKUP(J1318:$J$3871&amp;K1318:$K$3871,CHOOSE({1,2},#REF!&amp;#REF!,#REF!),2,0)</f>
        <v>#N/A</v>
      </c>
      <c r="M1318">
        <v>-15</v>
      </c>
      <c r="N1318">
        <v>0</v>
      </c>
      <c r="O1318" t="s">
        <v>7</v>
      </c>
      <c r="P1318">
        <v>1</v>
      </c>
      <c r="Q1318">
        <v>1</v>
      </c>
      <c r="R1318">
        <v>0</v>
      </c>
      <c r="S1318">
        <v>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1</v>
      </c>
      <c r="Z1318">
        <v>0</v>
      </c>
      <c r="AA1318" t="s">
        <v>2908</v>
      </c>
      <c r="AB1318" t="s">
        <v>1781</v>
      </c>
      <c r="AC1318" t="s">
        <v>2908</v>
      </c>
      <c r="AD1318" t="e">
        <f>VLOOKUP(AB1318,#REF!,2,FALSE)</f>
        <v>#REF!</v>
      </c>
      <c r="AE1318" t="e">
        <f>RIGHT(#REF!,(FIND("Complex",#REF!,1)-10))</f>
        <v>#REF!</v>
      </c>
    </row>
    <row r="1319" spans="1:31" x14ac:dyDescent="0.25">
      <c r="A1319">
        <v>1782</v>
      </c>
      <c r="B1319" t="s">
        <v>77</v>
      </c>
      <c r="C1319">
        <v>87</v>
      </c>
      <c r="D1319">
        <v>536</v>
      </c>
      <c r="E1319">
        <v>1782</v>
      </c>
      <c r="F1319">
        <v>11818801</v>
      </c>
      <c r="G1319">
        <v>11907000</v>
      </c>
      <c r="H1319">
        <f t="shared" si="40"/>
        <v>268.00002267573694</v>
      </c>
      <c r="I1319">
        <f t="shared" si="41"/>
        <v>270</v>
      </c>
      <c r="J1319" t="s">
        <v>22</v>
      </c>
      <c r="K1319">
        <v>6</v>
      </c>
      <c r="L1319" t="e">
        <f t="array" ref="L1319">VLOOKUP(J1319:$J$3871&amp;K1319:$K$3871,CHOOSE({1,2},#REF!&amp;#REF!,#REF!),2,0)</f>
        <v>#N/A</v>
      </c>
      <c r="M1319">
        <v>-15</v>
      </c>
      <c r="N1319">
        <v>0</v>
      </c>
      <c r="O1319" t="s">
        <v>7</v>
      </c>
      <c r="P1319">
        <v>1</v>
      </c>
      <c r="Q1319">
        <v>1</v>
      </c>
      <c r="R1319">
        <v>0</v>
      </c>
      <c r="S1319">
        <v>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1</v>
      </c>
      <c r="Z1319">
        <v>0</v>
      </c>
      <c r="AA1319" t="s">
        <v>2912</v>
      </c>
      <c r="AB1319" t="s">
        <v>1783</v>
      </c>
      <c r="AC1319" t="s">
        <v>2912</v>
      </c>
      <c r="AD1319" t="e">
        <f>VLOOKUP(AB1319,#REF!,2,FALSE)</f>
        <v>#REF!</v>
      </c>
      <c r="AE1319" t="e">
        <f>RIGHT(#REF!,(FIND("Complex",#REF!,1)-9))</f>
        <v>#REF!</v>
      </c>
    </row>
    <row r="1320" spans="1:31" x14ac:dyDescent="0.25">
      <c r="A1320">
        <v>2785</v>
      </c>
      <c r="B1320" t="s">
        <v>77</v>
      </c>
      <c r="C1320">
        <v>87</v>
      </c>
      <c r="D1320">
        <v>917</v>
      </c>
      <c r="E1320">
        <v>2785</v>
      </c>
      <c r="F1320">
        <v>11730601</v>
      </c>
      <c r="G1320">
        <v>11818800</v>
      </c>
      <c r="H1320">
        <f t="shared" si="40"/>
        <v>266.00002267573694</v>
      </c>
      <c r="I1320">
        <f t="shared" si="41"/>
        <v>268</v>
      </c>
      <c r="J1320" t="s">
        <v>22</v>
      </c>
      <c r="K1320">
        <v>6</v>
      </c>
      <c r="L1320" t="e">
        <f t="array" ref="L1320">VLOOKUP(J1320:$J$3871&amp;K1320:$K$3871,CHOOSE({1,2},#REF!&amp;#REF!,#REF!),2,0)</f>
        <v>#N/A</v>
      </c>
      <c r="M1320">
        <v>-15</v>
      </c>
      <c r="N1320">
        <v>0</v>
      </c>
      <c r="O1320" t="s">
        <v>7</v>
      </c>
      <c r="P1320">
        <v>1</v>
      </c>
      <c r="Q1320">
        <v>1</v>
      </c>
      <c r="R1320">
        <v>0</v>
      </c>
      <c r="S1320">
        <v>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1</v>
      </c>
      <c r="Z1320">
        <v>0</v>
      </c>
      <c r="AA1320" t="s">
        <v>2915</v>
      </c>
      <c r="AB1320" t="s">
        <v>1784</v>
      </c>
      <c r="AC1320" t="s">
        <v>2915</v>
      </c>
      <c r="AD1320" t="e">
        <f>VLOOKUP(AB1320,#REF!,2,FALSE)</f>
        <v>#REF!</v>
      </c>
      <c r="AE1320" t="e">
        <f>RIGHT(#REF!,(FIND("Complex",#REF!,1)-9))</f>
        <v>#REF!</v>
      </c>
    </row>
    <row r="1321" spans="1:31" x14ac:dyDescent="0.25">
      <c r="A1321">
        <v>1379</v>
      </c>
      <c r="B1321" t="s">
        <v>77</v>
      </c>
      <c r="C1321">
        <v>87</v>
      </c>
      <c r="D1321">
        <v>420</v>
      </c>
      <c r="E1321">
        <v>1379</v>
      </c>
      <c r="F1321">
        <v>11642401</v>
      </c>
      <c r="G1321">
        <v>11730600</v>
      </c>
      <c r="H1321">
        <f t="shared" si="40"/>
        <v>264.00002267573694</v>
      </c>
      <c r="I1321">
        <f t="shared" si="41"/>
        <v>266</v>
      </c>
      <c r="J1321" t="s">
        <v>22</v>
      </c>
      <c r="K1321">
        <v>6</v>
      </c>
      <c r="L1321" t="e">
        <f t="array" ref="L1321">VLOOKUP(J1321:$J$3871&amp;K1321:$K$3871,CHOOSE({1,2},#REF!&amp;#REF!,#REF!),2,0)</f>
        <v>#N/A</v>
      </c>
      <c r="M1321">
        <v>-15</v>
      </c>
      <c r="N1321">
        <v>0</v>
      </c>
      <c r="O1321" t="s">
        <v>7</v>
      </c>
      <c r="P1321">
        <v>1</v>
      </c>
      <c r="Q1321">
        <v>1</v>
      </c>
      <c r="R1321">
        <v>0</v>
      </c>
      <c r="S1321">
        <v>1</v>
      </c>
      <c r="T1321">
        <v>1</v>
      </c>
      <c r="U1321">
        <v>0</v>
      </c>
      <c r="V1321">
        <v>0</v>
      </c>
      <c r="W1321">
        <v>1</v>
      </c>
      <c r="X1321">
        <v>0</v>
      </c>
      <c r="Y1321">
        <v>1</v>
      </c>
      <c r="Z1321">
        <v>0</v>
      </c>
      <c r="AA1321" t="s">
        <v>2918</v>
      </c>
      <c r="AB1321" t="s">
        <v>1785</v>
      </c>
      <c r="AC1321" t="s">
        <v>2918</v>
      </c>
      <c r="AD1321" t="e">
        <f>VLOOKUP(AB1321,#REF!,2,FALSE)</f>
        <v>#REF!</v>
      </c>
      <c r="AE1321" t="e">
        <f>RIGHT(#REF!,(FIND("Complex",#REF!,1)-9))</f>
        <v>#REF!</v>
      </c>
    </row>
    <row r="1322" spans="1:31" x14ac:dyDescent="0.25">
      <c r="A1322">
        <v>2199</v>
      </c>
      <c r="B1322" t="s">
        <v>77</v>
      </c>
      <c r="C1322">
        <v>87</v>
      </c>
      <c r="D1322">
        <v>679</v>
      </c>
      <c r="E1322">
        <v>2199</v>
      </c>
      <c r="F1322">
        <v>10936801</v>
      </c>
      <c r="G1322">
        <v>11025000</v>
      </c>
      <c r="H1322">
        <f t="shared" si="40"/>
        <v>248.00002267573697</v>
      </c>
      <c r="I1322">
        <f t="shared" si="41"/>
        <v>250</v>
      </c>
      <c r="J1322" t="s">
        <v>22</v>
      </c>
      <c r="K1322">
        <v>6</v>
      </c>
      <c r="L1322" t="e">
        <f t="array" ref="L1322">VLOOKUP(J1322:$J$3871&amp;K1322:$K$3871,CHOOSE({1,2},#REF!&amp;#REF!,#REF!),2,0)</f>
        <v>#N/A</v>
      </c>
      <c r="M1322">
        <v>-15</v>
      </c>
      <c r="N1322">
        <v>0</v>
      </c>
      <c r="O1322" t="s">
        <v>7</v>
      </c>
      <c r="P1322">
        <v>1</v>
      </c>
      <c r="Q1322">
        <v>1</v>
      </c>
      <c r="R1322">
        <v>0</v>
      </c>
      <c r="S1322">
        <v>1</v>
      </c>
      <c r="T1322">
        <v>1</v>
      </c>
      <c r="U1322">
        <v>0</v>
      </c>
      <c r="V1322">
        <v>0</v>
      </c>
      <c r="W1322">
        <v>1</v>
      </c>
      <c r="X1322">
        <v>0</v>
      </c>
      <c r="Y1322">
        <v>1</v>
      </c>
      <c r="Z1322">
        <v>0</v>
      </c>
      <c r="AA1322" t="s">
        <v>2940</v>
      </c>
      <c r="AB1322" t="s">
        <v>1786</v>
      </c>
      <c r="AC1322" t="s">
        <v>2940</v>
      </c>
      <c r="AD1322" t="e">
        <f>VLOOKUP(AB1322,#REF!,2,FALSE)</f>
        <v>#REF!</v>
      </c>
      <c r="AE1322" t="e">
        <f>RIGHT(#REF!,(FIND("Complex",#REF!,1)-9))</f>
        <v>#REF!</v>
      </c>
    </row>
    <row r="1323" spans="1:31" x14ac:dyDescent="0.25">
      <c r="A1323">
        <v>3082</v>
      </c>
      <c r="B1323" t="s">
        <v>77</v>
      </c>
      <c r="C1323">
        <v>87</v>
      </c>
      <c r="D1323">
        <v>970</v>
      </c>
      <c r="E1323">
        <v>3082</v>
      </c>
      <c r="F1323">
        <v>10584001</v>
      </c>
      <c r="G1323">
        <v>10672200</v>
      </c>
      <c r="H1323">
        <f t="shared" si="40"/>
        <v>240.00002267573697</v>
      </c>
      <c r="I1323">
        <f t="shared" si="41"/>
        <v>242</v>
      </c>
      <c r="J1323" t="s">
        <v>22</v>
      </c>
      <c r="K1323">
        <v>6</v>
      </c>
      <c r="L1323" t="e">
        <f t="array" ref="L1323">VLOOKUP(J1323:$J$3871&amp;K1323:$K$3871,CHOOSE({1,2},#REF!&amp;#REF!,#REF!),2,0)</f>
        <v>#N/A</v>
      </c>
      <c r="M1323">
        <v>-15</v>
      </c>
      <c r="N1323">
        <v>0</v>
      </c>
      <c r="O1323" t="s">
        <v>7</v>
      </c>
      <c r="P1323">
        <v>1</v>
      </c>
      <c r="Q1323">
        <v>1</v>
      </c>
      <c r="R1323">
        <v>0</v>
      </c>
      <c r="S1323">
        <v>1</v>
      </c>
      <c r="T1323">
        <v>1</v>
      </c>
      <c r="U1323">
        <v>0</v>
      </c>
      <c r="V1323">
        <v>0</v>
      </c>
      <c r="W1323">
        <v>1</v>
      </c>
      <c r="X1323">
        <v>0</v>
      </c>
      <c r="Y1323">
        <v>1</v>
      </c>
      <c r="Z1323">
        <v>0</v>
      </c>
      <c r="AA1323" t="s">
        <v>2956</v>
      </c>
      <c r="AB1323" t="s">
        <v>1787</v>
      </c>
      <c r="AC1323" t="s">
        <v>2956</v>
      </c>
      <c r="AD1323" t="e">
        <f>VLOOKUP(AB1323,#REF!,2,FALSE)</f>
        <v>#REF!</v>
      </c>
      <c r="AE1323" t="e">
        <f>RIGHT(#REF!,(FIND("Complex",#REF!,1)-9))</f>
        <v>#REF!</v>
      </c>
    </row>
    <row r="1324" spans="1:31" x14ac:dyDescent="0.25">
      <c r="A1324">
        <v>1128</v>
      </c>
      <c r="B1324" t="s">
        <v>77</v>
      </c>
      <c r="C1324">
        <v>87</v>
      </c>
      <c r="D1324">
        <v>337</v>
      </c>
      <c r="E1324">
        <v>1128</v>
      </c>
      <c r="F1324">
        <v>9084601</v>
      </c>
      <c r="G1324">
        <v>9172800</v>
      </c>
      <c r="H1324">
        <f t="shared" si="40"/>
        <v>206.00002267573697</v>
      </c>
      <c r="I1324">
        <f t="shared" si="41"/>
        <v>208</v>
      </c>
      <c r="J1324" t="s">
        <v>22</v>
      </c>
      <c r="K1324">
        <v>6</v>
      </c>
      <c r="L1324" t="e">
        <f t="array" ref="L1324">VLOOKUP(J1324:$J$3871&amp;K1324:$K$3871,CHOOSE({1,2},#REF!&amp;#REF!,#REF!),2,0)</f>
        <v>#N/A</v>
      </c>
      <c r="M1324">
        <v>-15</v>
      </c>
      <c r="N1324">
        <v>0</v>
      </c>
      <c r="O1324" t="s">
        <v>7</v>
      </c>
      <c r="P1324">
        <v>1</v>
      </c>
      <c r="Q1324">
        <v>1</v>
      </c>
      <c r="R1324">
        <v>0</v>
      </c>
      <c r="S1324">
        <v>1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1</v>
      </c>
      <c r="Z1324">
        <v>0</v>
      </c>
      <c r="AA1324" t="s">
        <v>3035</v>
      </c>
      <c r="AB1324" t="s">
        <v>1788</v>
      </c>
      <c r="AC1324" t="s">
        <v>3035</v>
      </c>
      <c r="AD1324" t="e">
        <f>VLOOKUP(AB1324,#REF!,2,FALSE)</f>
        <v>#REF!</v>
      </c>
      <c r="AE1324" t="e">
        <f>RIGHT(#REF!,(FIND("Complex",#REF!,1)-9))</f>
        <v>#REF!</v>
      </c>
    </row>
    <row r="1325" spans="1:31" x14ac:dyDescent="0.25">
      <c r="A1325">
        <v>1927</v>
      </c>
      <c r="B1325" t="s">
        <v>77</v>
      </c>
      <c r="C1325">
        <v>87</v>
      </c>
      <c r="D1325">
        <v>585</v>
      </c>
      <c r="E1325">
        <v>1927</v>
      </c>
      <c r="F1325">
        <v>6967801</v>
      </c>
      <c r="G1325">
        <v>7056000</v>
      </c>
      <c r="H1325">
        <f t="shared" si="40"/>
        <v>158.00002267573697</v>
      </c>
      <c r="I1325">
        <f t="shared" si="41"/>
        <v>160</v>
      </c>
      <c r="J1325" t="s">
        <v>22</v>
      </c>
      <c r="K1325">
        <v>6</v>
      </c>
      <c r="L1325" t="e">
        <f t="array" ref="L1325">VLOOKUP(J1325:$J$3871&amp;K1325:$K$3871,CHOOSE({1,2},#REF!&amp;#REF!,#REF!),2,0)</f>
        <v>#N/A</v>
      </c>
      <c r="M1325">
        <v>-15</v>
      </c>
      <c r="N1325">
        <v>0</v>
      </c>
      <c r="O1325" t="s">
        <v>7</v>
      </c>
      <c r="P1325">
        <v>1</v>
      </c>
      <c r="Q1325">
        <v>1</v>
      </c>
      <c r="R1325">
        <v>0</v>
      </c>
      <c r="S1325">
        <v>1</v>
      </c>
      <c r="T1325">
        <v>1</v>
      </c>
      <c r="U1325">
        <v>0</v>
      </c>
      <c r="V1325">
        <v>0</v>
      </c>
      <c r="W1325">
        <v>1</v>
      </c>
      <c r="X1325">
        <v>0</v>
      </c>
      <c r="Y1325">
        <v>1</v>
      </c>
      <c r="Z1325">
        <v>0</v>
      </c>
      <c r="AA1325" t="s">
        <v>3199</v>
      </c>
      <c r="AB1325" t="s">
        <v>289</v>
      </c>
      <c r="AC1325" t="s">
        <v>3199</v>
      </c>
      <c r="AD1325" t="e">
        <f>VLOOKUP(AB1325,#REF!,2,FALSE)</f>
        <v>#REF!</v>
      </c>
      <c r="AE1325" t="e">
        <f>RIGHT(#REF!,(FIND("Complex",#REF!,1)-9))</f>
        <v>#REF!</v>
      </c>
    </row>
    <row r="1326" spans="1:31" x14ac:dyDescent="0.25">
      <c r="A1326">
        <v>3699</v>
      </c>
      <c r="B1326" t="s">
        <v>83</v>
      </c>
      <c r="C1326">
        <v>97</v>
      </c>
      <c r="D1326">
        <v>1059</v>
      </c>
      <c r="E1326">
        <v>3699</v>
      </c>
      <c r="F1326">
        <v>1940401</v>
      </c>
      <c r="G1326">
        <v>2028600</v>
      </c>
      <c r="H1326">
        <f t="shared" si="40"/>
        <v>44.000022675736965</v>
      </c>
      <c r="I1326">
        <f t="shared" si="41"/>
        <v>46</v>
      </c>
      <c r="J1326" t="s">
        <v>22</v>
      </c>
      <c r="K1326">
        <v>6</v>
      </c>
      <c r="L1326" t="e">
        <f t="array" ref="L1326">VLOOKUP(J1326:$J$3871&amp;K1326:$K$3871,CHOOSE({1,2},#REF!&amp;#REF!,#REF!),2,0)</f>
        <v>#N/A</v>
      </c>
      <c r="M1326">
        <v>-15</v>
      </c>
      <c r="N1326">
        <v>0</v>
      </c>
      <c r="O1326" t="s">
        <v>7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</v>
      </c>
      <c r="V1326">
        <v>0</v>
      </c>
      <c r="W1326">
        <v>1</v>
      </c>
      <c r="X1326">
        <v>1</v>
      </c>
      <c r="Y1326">
        <v>0</v>
      </c>
      <c r="Z1326">
        <v>0</v>
      </c>
      <c r="AA1326" t="s">
        <v>2818</v>
      </c>
      <c r="AB1326" t="s">
        <v>1863</v>
      </c>
      <c r="AC1326" t="s">
        <v>2818</v>
      </c>
      <c r="AD1326" t="e">
        <f>VLOOKUP(AB1326,#REF!,2,FALSE)</f>
        <v>#REF!</v>
      </c>
      <c r="AE1326" t="e">
        <f>RIGHT(#REF!,(FIND("Complex",#REF!,1)-11))</f>
        <v>#REF!</v>
      </c>
    </row>
    <row r="1327" spans="1:31" x14ac:dyDescent="0.25">
      <c r="A1327">
        <v>72</v>
      </c>
      <c r="B1327" t="s">
        <v>83</v>
      </c>
      <c r="C1327">
        <v>97</v>
      </c>
      <c r="D1327">
        <v>22</v>
      </c>
      <c r="E1327">
        <v>72</v>
      </c>
      <c r="F1327">
        <v>7408801</v>
      </c>
      <c r="G1327">
        <v>7497000</v>
      </c>
      <c r="H1327">
        <f t="shared" si="40"/>
        <v>168.00002267573697</v>
      </c>
      <c r="I1327">
        <f t="shared" si="41"/>
        <v>170</v>
      </c>
      <c r="J1327" t="s">
        <v>22</v>
      </c>
      <c r="K1327">
        <v>6</v>
      </c>
      <c r="L1327" t="e">
        <f t="array" ref="L1327">VLOOKUP(J1327:$J$3871&amp;K1327:$K$3871,CHOOSE({1,2},#REF!&amp;#REF!,#REF!),2,0)</f>
        <v>#N/A</v>
      </c>
      <c r="M1327">
        <v>-15</v>
      </c>
      <c r="N1327">
        <v>0</v>
      </c>
      <c r="O1327" t="s">
        <v>7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</v>
      </c>
      <c r="V1327">
        <v>0</v>
      </c>
      <c r="W1327">
        <v>1</v>
      </c>
      <c r="X1327">
        <v>1</v>
      </c>
      <c r="Y1327">
        <v>0</v>
      </c>
      <c r="Z1327">
        <v>0</v>
      </c>
      <c r="AA1327" t="s">
        <v>3177</v>
      </c>
      <c r="AB1327" t="s">
        <v>1864</v>
      </c>
      <c r="AC1327" t="s">
        <v>3177</v>
      </c>
      <c r="AD1327" t="e">
        <f>VLOOKUP(AB1327,#REF!,2,FALSE)</f>
        <v>#REF!</v>
      </c>
      <c r="AE1327" t="e">
        <f>RIGHT(#REF!,(FIND("Complex",#REF!,1)-7))</f>
        <v>#REF!</v>
      </c>
    </row>
    <row r="1328" spans="1:31" x14ac:dyDescent="0.25">
      <c r="A1328">
        <v>2642</v>
      </c>
      <c r="B1328" t="s">
        <v>83</v>
      </c>
      <c r="C1328">
        <v>97</v>
      </c>
      <c r="D1328">
        <v>874</v>
      </c>
      <c r="E1328">
        <v>2642</v>
      </c>
      <c r="F1328">
        <v>7320601</v>
      </c>
      <c r="G1328">
        <v>7408800</v>
      </c>
      <c r="H1328">
        <f t="shared" si="40"/>
        <v>166.00002267573697</v>
      </c>
      <c r="I1328">
        <f t="shared" si="41"/>
        <v>168</v>
      </c>
      <c r="J1328" t="s">
        <v>22</v>
      </c>
      <c r="K1328">
        <v>6</v>
      </c>
      <c r="L1328" t="e">
        <f t="array" ref="L1328">VLOOKUP(J1328:$J$3871&amp;K1328:$K$3871,CHOOSE({1,2},#REF!&amp;#REF!,#REF!),2,0)</f>
        <v>#N/A</v>
      </c>
      <c r="M1328">
        <v>-15</v>
      </c>
      <c r="N1328">
        <v>0</v>
      </c>
      <c r="O1328" t="s">
        <v>7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</v>
      </c>
      <c r="V1328">
        <v>0</v>
      </c>
      <c r="W1328">
        <v>1</v>
      </c>
      <c r="X1328">
        <v>1</v>
      </c>
      <c r="Y1328">
        <v>0</v>
      </c>
      <c r="Z1328">
        <v>0</v>
      </c>
      <c r="AA1328" t="s">
        <v>3180</v>
      </c>
      <c r="AB1328" t="s">
        <v>1865</v>
      </c>
      <c r="AC1328" t="s">
        <v>3180</v>
      </c>
      <c r="AD1328" t="e">
        <f>VLOOKUP(AB1328,#REF!,2,FALSE)</f>
        <v>#REF!</v>
      </c>
      <c r="AE1328" t="e">
        <f>RIGHT(#REF!,(FIND("Complex",#REF!,1)-9))</f>
        <v>#REF!</v>
      </c>
    </row>
    <row r="1329" spans="1:31" x14ac:dyDescent="0.25">
      <c r="A1329">
        <v>3190</v>
      </c>
      <c r="B1329" t="s">
        <v>83</v>
      </c>
      <c r="C1329">
        <v>97</v>
      </c>
      <c r="D1329">
        <v>984</v>
      </c>
      <c r="E1329">
        <v>3190</v>
      </c>
      <c r="F1329">
        <v>6791401</v>
      </c>
      <c r="G1329">
        <v>6879600</v>
      </c>
      <c r="H1329">
        <f t="shared" si="40"/>
        <v>154.00002267573697</v>
      </c>
      <c r="I1329">
        <f t="shared" si="41"/>
        <v>156</v>
      </c>
      <c r="J1329" t="s">
        <v>22</v>
      </c>
      <c r="K1329">
        <v>6</v>
      </c>
      <c r="L1329" t="e">
        <f t="array" ref="L1329">VLOOKUP(J1329:$J$3871&amp;K1329:$K$3871,CHOOSE({1,2},#REF!&amp;#REF!,#REF!),2,0)</f>
        <v>#N/A</v>
      </c>
      <c r="M1329">
        <v>-15</v>
      </c>
      <c r="N1329">
        <v>0</v>
      </c>
      <c r="O1329" t="s">
        <v>7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</v>
      </c>
      <c r="V1329">
        <v>0</v>
      </c>
      <c r="W1329">
        <v>1</v>
      </c>
      <c r="X1329">
        <v>1</v>
      </c>
      <c r="Y1329">
        <v>0</v>
      </c>
      <c r="Z1329">
        <v>0</v>
      </c>
      <c r="AA1329" t="s">
        <v>3209</v>
      </c>
      <c r="AB1329" t="s">
        <v>1866</v>
      </c>
      <c r="AC1329" t="s">
        <v>3209</v>
      </c>
      <c r="AD1329" t="e">
        <f>VLOOKUP(AB1329,#REF!,2,FALSE)</f>
        <v>#REF!</v>
      </c>
      <c r="AE1329" t="e">
        <f>RIGHT(#REF!,(FIND("Complex",#REF!,1)-9))</f>
        <v>#REF!</v>
      </c>
    </row>
    <row r="1330" spans="1:31" x14ac:dyDescent="0.25">
      <c r="A1330">
        <v>789</v>
      </c>
      <c r="B1330" t="s">
        <v>74</v>
      </c>
      <c r="C1330">
        <v>101</v>
      </c>
      <c r="D1330">
        <v>242</v>
      </c>
      <c r="E1330">
        <v>789</v>
      </c>
      <c r="F1330">
        <v>10672201</v>
      </c>
      <c r="G1330">
        <v>10760400</v>
      </c>
      <c r="H1330">
        <f t="shared" si="40"/>
        <v>242.00002267573697</v>
      </c>
      <c r="I1330">
        <f t="shared" si="41"/>
        <v>244</v>
      </c>
      <c r="J1330" t="s">
        <v>22</v>
      </c>
      <c r="K1330">
        <v>6</v>
      </c>
      <c r="L1330" t="e">
        <f t="array" ref="L1330">VLOOKUP(J1330:$J$3871&amp;K1330:$K$3871,CHOOSE({1,2},#REF!&amp;#REF!,#REF!),2,0)</f>
        <v>#N/A</v>
      </c>
      <c r="M1330">
        <v>-15</v>
      </c>
      <c r="N1330">
        <v>0</v>
      </c>
      <c r="O1330" t="s">
        <v>7</v>
      </c>
      <c r="P1330">
        <v>1</v>
      </c>
      <c r="Q1330">
        <v>1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1</v>
      </c>
      <c r="X1330">
        <v>1</v>
      </c>
      <c r="Y1330">
        <v>1</v>
      </c>
      <c r="Z1330">
        <v>0</v>
      </c>
      <c r="AA1330" t="s">
        <v>2955</v>
      </c>
      <c r="AB1330" t="s">
        <v>1930</v>
      </c>
      <c r="AC1330" t="s">
        <v>2955</v>
      </c>
      <c r="AD1330" t="e">
        <f>VLOOKUP(AB1330,#REF!,2,FALSE)</f>
        <v>#REF!</v>
      </c>
      <c r="AE1330" t="e">
        <f>RIGHT(#REF!,(FIND("Complex",#REF!,1)-7))</f>
        <v>#REF!</v>
      </c>
    </row>
    <row r="1331" spans="1:31" x14ac:dyDescent="0.25">
      <c r="A1331">
        <v>2842</v>
      </c>
      <c r="B1331" t="s">
        <v>74</v>
      </c>
      <c r="C1331">
        <v>101</v>
      </c>
      <c r="D1331">
        <v>933</v>
      </c>
      <c r="E1331">
        <v>2842</v>
      </c>
      <c r="F1331">
        <v>10495801</v>
      </c>
      <c r="G1331">
        <v>10584000</v>
      </c>
      <c r="H1331">
        <f t="shared" si="40"/>
        <v>238.00002267573697</v>
      </c>
      <c r="I1331">
        <f t="shared" si="41"/>
        <v>240</v>
      </c>
      <c r="J1331" t="s">
        <v>22</v>
      </c>
      <c r="K1331">
        <v>6</v>
      </c>
      <c r="L1331" t="e">
        <f t="array" ref="L1331">VLOOKUP(J1331:$J$3871&amp;K1331:$K$3871,CHOOSE({1,2},#REF!&amp;#REF!,#REF!),2,0)</f>
        <v>#N/A</v>
      </c>
      <c r="M1331">
        <v>-15</v>
      </c>
      <c r="N1331">
        <v>0</v>
      </c>
      <c r="O1331" t="s">
        <v>7</v>
      </c>
      <c r="P1331">
        <v>1</v>
      </c>
      <c r="Q1331">
        <v>1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1</v>
      </c>
      <c r="X1331">
        <v>1</v>
      </c>
      <c r="Y1331">
        <v>1</v>
      </c>
      <c r="Z1331">
        <v>0</v>
      </c>
      <c r="AA1331" t="s">
        <v>2967</v>
      </c>
      <c r="AB1331" t="s">
        <v>1931</v>
      </c>
      <c r="AC1331" t="s">
        <v>2967</v>
      </c>
      <c r="AD1331" t="e">
        <f>VLOOKUP(AB1331,#REF!,2,FALSE)</f>
        <v>#REF!</v>
      </c>
      <c r="AE1331" t="e">
        <f>RIGHT(#REF!,(FIND("Complex",#REF!,1)-8))</f>
        <v>#REF!</v>
      </c>
    </row>
    <row r="1332" spans="1:31" x14ac:dyDescent="0.25">
      <c r="A1332">
        <v>1670</v>
      </c>
      <c r="B1332" t="s">
        <v>74</v>
      </c>
      <c r="C1332">
        <v>101</v>
      </c>
      <c r="D1332">
        <v>504</v>
      </c>
      <c r="E1332">
        <v>1670</v>
      </c>
      <c r="F1332">
        <v>10143001</v>
      </c>
      <c r="G1332">
        <v>10231200</v>
      </c>
      <c r="H1332">
        <f t="shared" si="40"/>
        <v>230.00002267573697</v>
      </c>
      <c r="I1332">
        <f t="shared" si="41"/>
        <v>232</v>
      </c>
      <c r="J1332" t="s">
        <v>22</v>
      </c>
      <c r="K1332">
        <v>6</v>
      </c>
      <c r="L1332" t="e">
        <f t="array" ref="L1332">VLOOKUP(J1332:$J$3871&amp;K1332:$K$3871,CHOOSE({1,2},#REF!&amp;#REF!,#REF!),2,0)</f>
        <v>#N/A</v>
      </c>
      <c r="M1332">
        <v>-15</v>
      </c>
      <c r="N1332">
        <v>0</v>
      </c>
      <c r="O1332" t="s">
        <v>7</v>
      </c>
      <c r="P1332">
        <v>1</v>
      </c>
      <c r="Q1332">
        <v>1</v>
      </c>
      <c r="R1332">
        <v>0</v>
      </c>
      <c r="S1332">
        <v>1</v>
      </c>
      <c r="T1332">
        <v>0</v>
      </c>
      <c r="U1332">
        <v>0</v>
      </c>
      <c r="V1332">
        <v>0</v>
      </c>
      <c r="W1332">
        <v>1</v>
      </c>
      <c r="X1332">
        <v>1</v>
      </c>
      <c r="Y1332">
        <v>1</v>
      </c>
      <c r="Z1332">
        <v>0</v>
      </c>
      <c r="AA1332" t="s">
        <v>2983</v>
      </c>
      <c r="AB1332" t="s">
        <v>1932</v>
      </c>
      <c r="AC1332" t="s">
        <v>2983</v>
      </c>
      <c r="AD1332" t="e">
        <f>VLOOKUP(AB1332,#REF!,2,FALSE)</f>
        <v>#REF!</v>
      </c>
      <c r="AE1332" t="e">
        <f>RIGHT(#REF!,(FIND("Complex",#REF!,1)-8))</f>
        <v>#REF!</v>
      </c>
    </row>
    <row r="1333" spans="1:31" x14ac:dyDescent="0.25">
      <c r="A1333">
        <v>1466</v>
      </c>
      <c r="B1333" t="s">
        <v>74</v>
      </c>
      <c r="C1333">
        <v>101</v>
      </c>
      <c r="D1333">
        <v>444</v>
      </c>
      <c r="E1333">
        <v>1466</v>
      </c>
      <c r="F1333">
        <v>10054801</v>
      </c>
      <c r="G1333">
        <v>10143000</v>
      </c>
      <c r="H1333">
        <f t="shared" si="40"/>
        <v>228.00002267573697</v>
      </c>
      <c r="I1333">
        <f t="shared" si="41"/>
        <v>230</v>
      </c>
      <c r="J1333" t="s">
        <v>22</v>
      </c>
      <c r="K1333">
        <v>6</v>
      </c>
      <c r="L1333" t="e">
        <f t="array" ref="L1333">VLOOKUP(J1333:$J$3871&amp;K1333:$K$3871,CHOOSE({1,2},#REF!&amp;#REF!,#REF!),2,0)</f>
        <v>#N/A</v>
      </c>
      <c r="M1333">
        <v>-15</v>
      </c>
      <c r="N1333">
        <v>0</v>
      </c>
      <c r="O1333" t="s">
        <v>7</v>
      </c>
      <c r="P1333">
        <v>1</v>
      </c>
      <c r="Q1333">
        <v>1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1</v>
      </c>
      <c r="Y1333">
        <v>1</v>
      </c>
      <c r="Z1333">
        <v>0</v>
      </c>
      <c r="AA1333" t="s">
        <v>2988</v>
      </c>
      <c r="AB1333" t="s">
        <v>1933</v>
      </c>
      <c r="AC1333" t="s">
        <v>2988</v>
      </c>
      <c r="AD1333" t="e">
        <f>VLOOKUP(AB1333,#REF!,2,FALSE)</f>
        <v>#REF!</v>
      </c>
      <c r="AE1333" t="e">
        <f>RIGHT(#REF!,(FIND("Complex",#REF!,1)-8))</f>
        <v>#REF!</v>
      </c>
    </row>
    <row r="1334" spans="1:31" x14ac:dyDescent="0.25">
      <c r="A1334">
        <v>3131</v>
      </c>
      <c r="B1334" t="s">
        <v>74</v>
      </c>
      <c r="C1334">
        <v>101</v>
      </c>
      <c r="D1334">
        <v>976</v>
      </c>
      <c r="E1334">
        <v>3131</v>
      </c>
      <c r="F1334">
        <v>9966601</v>
      </c>
      <c r="G1334">
        <v>10054800</v>
      </c>
      <c r="H1334">
        <f t="shared" si="40"/>
        <v>226.00002267573697</v>
      </c>
      <c r="I1334">
        <f t="shared" si="41"/>
        <v>228</v>
      </c>
      <c r="J1334" t="s">
        <v>22</v>
      </c>
      <c r="K1334">
        <v>6</v>
      </c>
      <c r="L1334" t="e">
        <f t="array" ref="L1334">VLOOKUP(J1334:$J$3871&amp;K1334:$K$3871,CHOOSE({1,2},#REF!&amp;#REF!,#REF!),2,0)</f>
        <v>#N/A</v>
      </c>
      <c r="M1334">
        <v>-15</v>
      </c>
      <c r="N1334">
        <v>0</v>
      </c>
      <c r="O1334" t="s">
        <v>7</v>
      </c>
      <c r="P1334">
        <v>1</v>
      </c>
      <c r="Q1334">
        <v>1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1</v>
      </c>
      <c r="X1334">
        <v>1</v>
      </c>
      <c r="Y1334">
        <v>1</v>
      </c>
      <c r="Z1334">
        <v>0</v>
      </c>
      <c r="AA1334" t="s">
        <v>2994</v>
      </c>
      <c r="AB1334" t="s">
        <v>291</v>
      </c>
      <c r="AC1334" t="s">
        <v>2994</v>
      </c>
      <c r="AD1334" t="e">
        <f>VLOOKUP(AB1334,#REF!,2,FALSE)</f>
        <v>#REF!</v>
      </c>
      <c r="AE1334" t="e">
        <f>RIGHT(#REF!,(FIND("Complex",#REF!,1)-8))</f>
        <v>#REF!</v>
      </c>
    </row>
    <row r="1335" spans="1:31" x14ac:dyDescent="0.25">
      <c r="A1335">
        <v>3064</v>
      </c>
      <c r="B1335" t="s">
        <v>74</v>
      </c>
      <c r="C1335">
        <v>101</v>
      </c>
      <c r="D1335">
        <v>968</v>
      </c>
      <c r="E1335">
        <v>3064</v>
      </c>
      <c r="F1335">
        <v>9878401</v>
      </c>
      <c r="G1335">
        <v>9966600</v>
      </c>
      <c r="H1335">
        <f t="shared" si="40"/>
        <v>224.00002267573697</v>
      </c>
      <c r="I1335">
        <f t="shared" si="41"/>
        <v>226</v>
      </c>
      <c r="J1335" t="s">
        <v>22</v>
      </c>
      <c r="K1335">
        <v>6</v>
      </c>
      <c r="L1335" t="e">
        <f t="array" ref="L1335">VLOOKUP(J1335:$J$3871&amp;K1335:$K$3871,CHOOSE({1,2},#REF!&amp;#REF!,#REF!),2,0)</f>
        <v>#N/A</v>
      </c>
      <c r="M1335">
        <v>-15</v>
      </c>
      <c r="N1335">
        <v>0</v>
      </c>
      <c r="O1335" t="s">
        <v>7</v>
      </c>
      <c r="P1335">
        <v>1</v>
      </c>
      <c r="Q1335">
        <v>1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1</v>
      </c>
      <c r="X1335">
        <v>1</v>
      </c>
      <c r="Y1335">
        <v>1</v>
      </c>
      <c r="Z1335">
        <v>0</v>
      </c>
      <c r="AA1335" t="s">
        <v>2998</v>
      </c>
      <c r="AB1335" t="s">
        <v>1934</v>
      </c>
      <c r="AC1335" t="s">
        <v>2998</v>
      </c>
      <c r="AD1335" t="e">
        <f>VLOOKUP(AB1335,#REF!,2,FALSE)</f>
        <v>#REF!</v>
      </c>
      <c r="AE1335" t="e">
        <f>RIGHT(#REF!,(FIND("Complex",#REF!,1)-8))</f>
        <v>#REF!</v>
      </c>
    </row>
    <row r="1336" spans="1:31" x14ac:dyDescent="0.25">
      <c r="A1336">
        <v>3187</v>
      </c>
      <c r="B1336" t="s">
        <v>74</v>
      </c>
      <c r="C1336">
        <v>101</v>
      </c>
      <c r="D1336">
        <v>983</v>
      </c>
      <c r="E1336">
        <v>3187</v>
      </c>
      <c r="F1336">
        <v>8820001</v>
      </c>
      <c r="G1336">
        <v>8908200</v>
      </c>
      <c r="H1336">
        <f t="shared" si="40"/>
        <v>200.00002267573697</v>
      </c>
      <c r="I1336">
        <f t="shared" si="41"/>
        <v>202</v>
      </c>
      <c r="J1336" t="s">
        <v>22</v>
      </c>
      <c r="K1336">
        <v>6</v>
      </c>
      <c r="L1336" t="e">
        <f t="array" ref="L1336">VLOOKUP(J1336:$J$3871&amp;K1336:$K$3871,CHOOSE({1,2},#REF!&amp;#REF!,#REF!),2,0)</f>
        <v>#N/A</v>
      </c>
      <c r="M1336">
        <v>-15</v>
      </c>
      <c r="N1336">
        <v>0</v>
      </c>
      <c r="O1336" t="s">
        <v>7</v>
      </c>
      <c r="P1336">
        <v>0</v>
      </c>
      <c r="Q1336">
        <v>1</v>
      </c>
      <c r="R1336">
        <v>0</v>
      </c>
      <c r="S1336">
        <v>1</v>
      </c>
      <c r="T1336">
        <v>1</v>
      </c>
      <c r="U1336">
        <v>0</v>
      </c>
      <c r="V1336">
        <v>0</v>
      </c>
      <c r="W1336">
        <v>1</v>
      </c>
      <c r="X1336">
        <v>1</v>
      </c>
      <c r="Y1336">
        <v>1</v>
      </c>
      <c r="Z1336">
        <v>0</v>
      </c>
      <c r="AA1336" t="s">
        <v>3055</v>
      </c>
      <c r="AB1336" t="s">
        <v>1935</v>
      </c>
      <c r="AC1336" t="s">
        <v>3055</v>
      </c>
      <c r="AD1336" t="e">
        <f>VLOOKUP(AB1336,#REF!,2,FALSE)</f>
        <v>#REF!</v>
      </c>
      <c r="AE1336" t="e">
        <f>RIGHT(#REF!,(FIND("Complex",#REF!,1)-8))</f>
        <v>#REF!</v>
      </c>
    </row>
    <row r="1337" spans="1:31" x14ac:dyDescent="0.25">
      <c r="A1337">
        <v>1808</v>
      </c>
      <c r="B1337" t="s">
        <v>74</v>
      </c>
      <c r="C1337">
        <v>101</v>
      </c>
      <c r="D1337">
        <v>547</v>
      </c>
      <c r="E1337">
        <v>1808</v>
      </c>
      <c r="F1337">
        <v>8202601</v>
      </c>
      <c r="G1337">
        <v>8290800</v>
      </c>
      <c r="H1337">
        <f t="shared" si="40"/>
        <v>186.00002267573697</v>
      </c>
      <c r="I1337">
        <f t="shared" si="41"/>
        <v>188</v>
      </c>
      <c r="J1337" t="s">
        <v>22</v>
      </c>
      <c r="K1337">
        <v>6</v>
      </c>
      <c r="L1337" t="e">
        <f t="array" ref="L1337">VLOOKUP(J1337:$J$3871&amp;K1337:$K$3871,CHOOSE({1,2},#REF!&amp;#REF!,#REF!),2,0)</f>
        <v>#N/A</v>
      </c>
      <c r="M1337">
        <v>-15</v>
      </c>
      <c r="N1337">
        <v>0</v>
      </c>
      <c r="O1337" t="s">
        <v>7</v>
      </c>
      <c r="P1337">
        <v>1</v>
      </c>
      <c r="Q1337">
        <v>1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1</v>
      </c>
      <c r="X1337">
        <v>1</v>
      </c>
      <c r="Y1337">
        <v>1</v>
      </c>
      <c r="Z1337">
        <v>0</v>
      </c>
      <c r="AA1337" t="s">
        <v>3105</v>
      </c>
      <c r="AB1337" t="s">
        <v>1936</v>
      </c>
      <c r="AC1337" t="s">
        <v>3105</v>
      </c>
      <c r="AD1337" t="e">
        <f>VLOOKUP(AB1337,#REF!,2,FALSE)</f>
        <v>#REF!</v>
      </c>
      <c r="AE1337" t="e">
        <f>RIGHT(#REF!,(FIND("Complex",#REF!,1)-8))</f>
        <v>#REF!</v>
      </c>
    </row>
    <row r="1338" spans="1:31" x14ac:dyDescent="0.25">
      <c r="A1338">
        <v>2796</v>
      </c>
      <c r="B1338" t="s">
        <v>74</v>
      </c>
      <c r="C1338">
        <v>101</v>
      </c>
      <c r="D1338">
        <v>921</v>
      </c>
      <c r="E1338">
        <v>2796</v>
      </c>
      <c r="F1338">
        <v>6085801</v>
      </c>
      <c r="G1338">
        <v>6174000</v>
      </c>
      <c r="H1338">
        <f t="shared" si="40"/>
        <v>138.00002267573697</v>
      </c>
      <c r="I1338">
        <f t="shared" si="41"/>
        <v>140</v>
      </c>
      <c r="J1338" t="s">
        <v>22</v>
      </c>
      <c r="K1338">
        <v>6</v>
      </c>
      <c r="L1338" t="e">
        <f t="array" ref="L1338">VLOOKUP(J1338:$J$3871&amp;K1338:$K$3871,CHOOSE({1,2},#REF!&amp;#REF!,#REF!),2,0)</f>
        <v>#N/A</v>
      </c>
      <c r="M1338">
        <v>-15</v>
      </c>
      <c r="N1338">
        <v>0</v>
      </c>
      <c r="O1338" t="s">
        <v>7</v>
      </c>
      <c r="P1338">
        <v>1</v>
      </c>
      <c r="Q1338">
        <v>1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1</v>
      </c>
      <c r="X1338">
        <v>1</v>
      </c>
      <c r="Y1338">
        <v>1</v>
      </c>
      <c r="Z1338">
        <v>0</v>
      </c>
      <c r="AA1338" t="s">
        <v>3280</v>
      </c>
      <c r="AB1338" t="s">
        <v>1937</v>
      </c>
      <c r="AC1338" t="s">
        <v>3280</v>
      </c>
      <c r="AD1338" t="e">
        <f>VLOOKUP(AB1338,#REF!,2,FALSE)</f>
        <v>#REF!</v>
      </c>
      <c r="AE1338" t="e">
        <f>RIGHT(#REF!,(FIND("Complex",#REF!,1)-8))</f>
        <v>#REF!</v>
      </c>
    </row>
    <row r="1339" spans="1:31" x14ac:dyDescent="0.25">
      <c r="A1339">
        <v>494</v>
      </c>
      <c r="B1339" t="s">
        <v>74</v>
      </c>
      <c r="C1339">
        <v>101</v>
      </c>
      <c r="D1339">
        <v>160</v>
      </c>
      <c r="E1339">
        <v>494</v>
      </c>
      <c r="F1339">
        <v>5997601</v>
      </c>
      <c r="G1339">
        <v>6085800</v>
      </c>
      <c r="H1339">
        <f t="shared" si="40"/>
        <v>136.00002267573697</v>
      </c>
      <c r="I1339">
        <f t="shared" si="41"/>
        <v>138</v>
      </c>
      <c r="J1339" t="s">
        <v>22</v>
      </c>
      <c r="K1339">
        <v>6</v>
      </c>
      <c r="L1339" t="e">
        <f t="array" ref="L1339">VLOOKUP(J1339:$J$3871&amp;K1339:$K$3871,CHOOSE({1,2},#REF!&amp;#REF!,#REF!),2,0)</f>
        <v>#N/A</v>
      </c>
      <c r="M1339">
        <v>-15</v>
      </c>
      <c r="N1339">
        <v>0</v>
      </c>
      <c r="O1339" t="s">
        <v>7</v>
      </c>
      <c r="P1339">
        <v>1</v>
      </c>
      <c r="Q1339">
        <v>1</v>
      </c>
      <c r="R1339">
        <v>0</v>
      </c>
      <c r="S1339">
        <v>1</v>
      </c>
      <c r="T1339">
        <v>0</v>
      </c>
      <c r="U1339">
        <v>0</v>
      </c>
      <c r="V1339">
        <v>0</v>
      </c>
      <c r="W1339">
        <v>1</v>
      </c>
      <c r="X1339">
        <v>1</v>
      </c>
      <c r="Y1339">
        <v>1</v>
      </c>
      <c r="Z1339">
        <v>0</v>
      </c>
      <c r="AA1339" t="s">
        <v>3292</v>
      </c>
      <c r="AB1339" t="s">
        <v>1938</v>
      </c>
      <c r="AC1339" t="s">
        <v>3292</v>
      </c>
      <c r="AD1339" t="e">
        <f>VLOOKUP(AB1339,#REF!,2,FALSE)</f>
        <v>#REF!</v>
      </c>
      <c r="AE1339" t="e">
        <f>RIGHT(#REF!,(FIND("Complex",#REF!,1)-7))</f>
        <v>#REF!</v>
      </c>
    </row>
    <row r="1340" spans="1:31" x14ac:dyDescent="0.25">
      <c r="A1340">
        <v>1266</v>
      </c>
      <c r="B1340" t="s">
        <v>74</v>
      </c>
      <c r="C1340">
        <v>101</v>
      </c>
      <c r="D1340">
        <v>383</v>
      </c>
      <c r="E1340">
        <v>1266</v>
      </c>
      <c r="F1340">
        <v>5468401</v>
      </c>
      <c r="G1340">
        <v>5556600</v>
      </c>
      <c r="H1340">
        <f t="shared" si="40"/>
        <v>124.00002267573696</v>
      </c>
      <c r="I1340">
        <f t="shared" si="41"/>
        <v>126</v>
      </c>
      <c r="J1340" t="s">
        <v>22</v>
      </c>
      <c r="K1340">
        <v>6</v>
      </c>
      <c r="L1340" t="e">
        <f t="array" ref="L1340">VLOOKUP(J1340:$J$3871&amp;K1340:$K$3871,CHOOSE({1,2},#REF!&amp;#REF!,#REF!),2,0)</f>
        <v>#N/A</v>
      </c>
      <c r="M1340">
        <v>-15</v>
      </c>
      <c r="N1340">
        <v>0</v>
      </c>
      <c r="O1340" t="s">
        <v>7</v>
      </c>
      <c r="P1340">
        <v>1</v>
      </c>
      <c r="Q1340">
        <v>1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1</v>
      </c>
      <c r="X1340">
        <v>1</v>
      </c>
      <c r="Y1340">
        <v>1</v>
      </c>
      <c r="Z1340">
        <v>0</v>
      </c>
      <c r="AA1340" t="s">
        <v>3366</v>
      </c>
      <c r="AB1340" t="s">
        <v>1939</v>
      </c>
      <c r="AC1340" t="s">
        <v>3366</v>
      </c>
      <c r="AD1340" t="e">
        <f>VLOOKUP(AB1340,#REF!,2,FALSE)</f>
        <v>#REF!</v>
      </c>
      <c r="AE1340" t="e">
        <f>RIGHT(#REF!,(FIND("Complex",#REF!,1)-8))</f>
        <v>#REF!</v>
      </c>
    </row>
    <row r="1341" spans="1:31" x14ac:dyDescent="0.25">
      <c r="A1341">
        <v>3294</v>
      </c>
      <c r="B1341" t="s">
        <v>74</v>
      </c>
      <c r="C1341">
        <v>101</v>
      </c>
      <c r="D1341">
        <v>994</v>
      </c>
      <c r="E1341">
        <v>3294</v>
      </c>
      <c r="F1341">
        <v>5027401</v>
      </c>
      <c r="G1341">
        <v>5115600</v>
      </c>
      <c r="H1341">
        <f t="shared" si="40"/>
        <v>114.00002267573696</v>
      </c>
      <c r="I1341">
        <f t="shared" si="41"/>
        <v>116</v>
      </c>
      <c r="J1341" t="s">
        <v>22</v>
      </c>
      <c r="K1341">
        <v>6</v>
      </c>
      <c r="L1341" t="e">
        <f t="array" ref="L1341">VLOOKUP(J1341:$J$3871&amp;K1341:$K$3871,CHOOSE({1,2},#REF!&amp;#REF!,#REF!),2,0)</f>
        <v>#N/A</v>
      </c>
      <c r="M1341">
        <v>-15</v>
      </c>
      <c r="N1341">
        <v>0</v>
      </c>
      <c r="O1341" t="s">
        <v>7</v>
      </c>
      <c r="P1341">
        <v>1</v>
      </c>
      <c r="Q1341">
        <v>1</v>
      </c>
      <c r="R1341">
        <v>0</v>
      </c>
      <c r="S1341">
        <v>1</v>
      </c>
      <c r="T1341">
        <v>0</v>
      </c>
      <c r="U1341">
        <v>0</v>
      </c>
      <c r="V1341">
        <v>0</v>
      </c>
      <c r="W1341">
        <v>1</v>
      </c>
      <c r="X1341">
        <v>1</v>
      </c>
      <c r="Y1341">
        <v>1</v>
      </c>
      <c r="Z1341">
        <v>0</v>
      </c>
      <c r="AA1341" t="s">
        <v>3430</v>
      </c>
      <c r="AB1341" t="s">
        <v>1940</v>
      </c>
      <c r="AC1341" t="s">
        <v>3430</v>
      </c>
      <c r="AD1341" t="e">
        <f>VLOOKUP(AB1341,#REF!,2,FALSE)</f>
        <v>#REF!</v>
      </c>
      <c r="AE1341" t="e">
        <f>RIGHT(#REF!,(FIND("Complex",#REF!,1)-8))</f>
        <v>#REF!</v>
      </c>
    </row>
    <row r="1342" spans="1:31" x14ac:dyDescent="0.25">
      <c r="A1342">
        <v>2076</v>
      </c>
      <c r="B1342" t="s">
        <v>72</v>
      </c>
      <c r="C1342">
        <v>104</v>
      </c>
      <c r="D1342">
        <v>632</v>
      </c>
      <c r="E1342">
        <v>2076</v>
      </c>
      <c r="F1342">
        <v>8731801</v>
      </c>
      <c r="G1342">
        <v>8820000</v>
      </c>
      <c r="H1342">
        <f t="shared" si="40"/>
        <v>198.00002267573697</v>
      </c>
      <c r="I1342">
        <f t="shared" si="41"/>
        <v>200</v>
      </c>
      <c r="J1342" t="s">
        <v>22</v>
      </c>
      <c r="K1342">
        <v>6</v>
      </c>
      <c r="L1342" t="e">
        <f t="array" ref="L1342">VLOOKUP(J1342:$J$3871&amp;K1342:$K$3871,CHOOSE({1,2},#REF!&amp;#REF!,#REF!),2,0)</f>
        <v>#N/A</v>
      </c>
      <c r="M1342">
        <v>-15</v>
      </c>
      <c r="N1342">
        <v>0</v>
      </c>
      <c r="O1342" t="s">
        <v>7</v>
      </c>
      <c r="P1342">
        <v>1</v>
      </c>
      <c r="Q1342">
        <v>1</v>
      </c>
      <c r="R1342">
        <v>1</v>
      </c>
      <c r="S1342">
        <v>0</v>
      </c>
      <c r="T1342">
        <v>1</v>
      </c>
      <c r="U1342">
        <v>0</v>
      </c>
      <c r="V1342">
        <v>0</v>
      </c>
      <c r="W1342">
        <v>1</v>
      </c>
      <c r="X1342">
        <v>1</v>
      </c>
      <c r="Y1342">
        <v>0</v>
      </c>
      <c r="Z1342">
        <v>0</v>
      </c>
      <c r="AA1342" t="s">
        <v>3062</v>
      </c>
      <c r="AB1342" t="s">
        <v>2088</v>
      </c>
      <c r="AC1342" t="s">
        <v>3062</v>
      </c>
      <c r="AD1342" t="e">
        <f>VLOOKUP(AB1342,#REF!,2,FALSE)</f>
        <v>#REF!</v>
      </c>
      <c r="AE1342" t="e">
        <f>RIGHT(#REF!,(FIND("Complex",#REF!,1)-8))</f>
        <v>#REF!</v>
      </c>
    </row>
    <row r="1343" spans="1:31" x14ac:dyDescent="0.25">
      <c r="A1343">
        <v>2263</v>
      </c>
      <c r="B1343" t="s">
        <v>72</v>
      </c>
      <c r="C1343">
        <v>104</v>
      </c>
      <c r="D1343">
        <v>704</v>
      </c>
      <c r="E1343">
        <v>2263</v>
      </c>
      <c r="F1343">
        <v>8467201</v>
      </c>
      <c r="G1343">
        <v>8555400</v>
      </c>
      <c r="H1343">
        <f t="shared" si="40"/>
        <v>192.00002267573697</v>
      </c>
      <c r="I1343">
        <f t="shared" si="41"/>
        <v>194</v>
      </c>
      <c r="J1343" t="s">
        <v>22</v>
      </c>
      <c r="K1343">
        <v>6</v>
      </c>
      <c r="L1343" t="e">
        <f t="array" ref="L1343">VLOOKUP(J1343:$J$3871&amp;K1343:$K$3871,CHOOSE({1,2},#REF!&amp;#REF!,#REF!),2,0)</f>
        <v>#N/A</v>
      </c>
      <c r="M1343">
        <v>-15</v>
      </c>
      <c r="N1343">
        <v>0</v>
      </c>
      <c r="O1343" t="s">
        <v>7</v>
      </c>
      <c r="P1343">
        <v>1</v>
      </c>
      <c r="Q1343">
        <v>1</v>
      </c>
      <c r="R1343">
        <v>1</v>
      </c>
      <c r="S1343">
        <v>0</v>
      </c>
      <c r="T1343">
        <v>1</v>
      </c>
      <c r="U1343">
        <v>0</v>
      </c>
      <c r="V1343">
        <v>0</v>
      </c>
      <c r="W1343">
        <v>1</v>
      </c>
      <c r="X1343">
        <v>1</v>
      </c>
      <c r="Y1343">
        <v>0</v>
      </c>
      <c r="Z1343">
        <v>0</v>
      </c>
      <c r="AA1343" t="s">
        <v>3082</v>
      </c>
      <c r="AB1343" t="s">
        <v>2089</v>
      </c>
      <c r="AC1343" t="s">
        <v>3082</v>
      </c>
      <c r="AD1343" t="e">
        <f>VLOOKUP(AB1343,#REF!,2,FALSE)</f>
        <v>#REF!</v>
      </c>
      <c r="AE1343" t="e">
        <f>RIGHT(#REF!,(FIND("Complex",#REF!,1)-8))</f>
        <v>#REF!</v>
      </c>
    </row>
    <row r="1344" spans="1:31" x14ac:dyDescent="0.25">
      <c r="A1344">
        <v>3759</v>
      </c>
      <c r="B1344" t="s">
        <v>72</v>
      </c>
      <c r="C1344">
        <v>104</v>
      </c>
      <c r="D1344">
        <v>1071</v>
      </c>
      <c r="E1344">
        <v>3759</v>
      </c>
      <c r="F1344">
        <v>7849801</v>
      </c>
      <c r="G1344">
        <v>7938000</v>
      </c>
      <c r="H1344">
        <f t="shared" si="40"/>
        <v>178.00002267573697</v>
      </c>
      <c r="I1344">
        <f t="shared" si="41"/>
        <v>180</v>
      </c>
      <c r="J1344" t="s">
        <v>22</v>
      </c>
      <c r="K1344">
        <v>6</v>
      </c>
      <c r="L1344" t="e">
        <f t="array" ref="L1344">VLOOKUP(J1344:$J$3871&amp;K1344:$K$3871,CHOOSE({1,2},#REF!&amp;#REF!,#REF!),2,0)</f>
        <v>#N/A</v>
      </c>
      <c r="M1344">
        <v>-15</v>
      </c>
      <c r="N1344">
        <v>0</v>
      </c>
      <c r="O1344" t="s">
        <v>7</v>
      </c>
      <c r="P1344">
        <v>1</v>
      </c>
      <c r="Q1344">
        <v>1</v>
      </c>
      <c r="R1344">
        <v>1</v>
      </c>
      <c r="S1344">
        <v>0</v>
      </c>
      <c r="T1344">
        <v>1</v>
      </c>
      <c r="U1344">
        <v>0</v>
      </c>
      <c r="V1344">
        <v>0</v>
      </c>
      <c r="W1344">
        <v>1</v>
      </c>
      <c r="X1344">
        <v>1</v>
      </c>
      <c r="Y1344">
        <v>0</v>
      </c>
      <c r="Z1344">
        <v>0</v>
      </c>
      <c r="AA1344" t="s">
        <v>3143</v>
      </c>
      <c r="AB1344" t="s">
        <v>2090</v>
      </c>
      <c r="AC1344" t="s">
        <v>3143</v>
      </c>
      <c r="AD1344" t="e">
        <f>VLOOKUP(AB1344,#REF!,2,FALSE)</f>
        <v>#REF!</v>
      </c>
      <c r="AE1344" t="e">
        <f>RIGHT(#REF!,(FIND("Complex",#REF!,1)-9))</f>
        <v>#REF!</v>
      </c>
    </row>
    <row r="1345" spans="1:31" x14ac:dyDescent="0.25">
      <c r="A1345">
        <v>1359</v>
      </c>
      <c r="B1345" t="s">
        <v>67</v>
      </c>
      <c r="C1345">
        <v>110</v>
      </c>
      <c r="D1345">
        <v>413</v>
      </c>
      <c r="E1345">
        <v>1359</v>
      </c>
      <c r="F1345">
        <v>5733001</v>
      </c>
      <c r="G1345">
        <v>5821200</v>
      </c>
      <c r="H1345">
        <f t="shared" si="40"/>
        <v>130.00002267573697</v>
      </c>
      <c r="I1345">
        <f t="shared" si="41"/>
        <v>132</v>
      </c>
      <c r="J1345" t="s">
        <v>22</v>
      </c>
      <c r="K1345">
        <v>6</v>
      </c>
      <c r="L1345" t="e">
        <f t="array" ref="L1345">VLOOKUP(J1345:$J$3871&amp;K1345:$K$3871,CHOOSE({1,2},#REF!&amp;#REF!,#REF!),2,0)</f>
        <v>#N/A</v>
      </c>
      <c r="M1345">
        <v>-15</v>
      </c>
      <c r="N1345">
        <v>0</v>
      </c>
      <c r="O1345" t="s">
        <v>7</v>
      </c>
      <c r="P1345">
        <v>1</v>
      </c>
      <c r="Q1345">
        <v>1</v>
      </c>
      <c r="R1345">
        <v>0</v>
      </c>
      <c r="S1345">
        <v>1</v>
      </c>
      <c r="T1345">
        <v>1</v>
      </c>
      <c r="U1345">
        <v>0</v>
      </c>
      <c r="V1345">
        <v>0</v>
      </c>
      <c r="W1345">
        <v>1</v>
      </c>
      <c r="X1345">
        <v>1</v>
      </c>
      <c r="Y1345">
        <v>0</v>
      </c>
      <c r="Z1345">
        <v>0</v>
      </c>
      <c r="AA1345" t="s">
        <v>3331</v>
      </c>
      <c r="AB1345" t="s">
        <v>2173</v>
      </c>
      <c r="AC1345" t="s">
        <v>3331</v>
      </c>
      <c r="AD1345" t="e">
        <f>VLOOKUP(AB1345,#REF!,2,FALSE)</f>
        <v>#REF!</v>
      </c>
      <c r="AE1345" t="e">
        <f>RIGHT(#REF!,(FIND("Complex",#REF!,1)-8))</f>
        <v>#REF!</v>
      </c>
    </row>
    <row r="1346" spans="1:31" x14ac:dyDescent="0.25">
      <c r="A1346">
        <v>71</v>
      </c>
      <c r="B1346" t="s">
        <v>67</v>
      </c>
      <c r="C1346">
        <v>110</v>
      </c>
      <c r="D1346">
        <v>21</v>
      </c>
      <c r="E1346">
        <v>71</v>
      </c>
      <c r="F1346">
        <v>5380201</v>
      </c>
      <c r="G1346">
        <v>5468400</v>
      </c>
      <c r="H1346">
        <f t="shared" ref="H1346:H1409" si="42">F1346/44100</f>
        <v>122.00002267573696</v>
      </c>
      <c r="I1346">
        <f t="shared" ref="I1346:I1409" si="43">G1346/44100</f>
        <v>124</v>
      </c>
      <c r="J1346" t="s">
        <v>22</v>
      </c>
      <c r="K1346">
        <v>6</v>
      </c>
      <c r="L1346" t="e">
        <f t="array" ref="L1346">VLOOKUP(J1346:$J$3871&amp;K1346:$K$3871,CHOOSE({1,2},#REF!&amp;#REF!,#REF!),2,0)</f>
        <v>#N/A</v>
      </c>
      <c r="M1346">
        <v>-15</v>
      </c>
      <c r="N1346">
        <v>0</v>
      </c>
      <c r="O1346" t="s">
        <v>7</v>
      </c>
      <c r="P1346">
        <v>1</v>
      </c>
      <c r="Q1346">
        <v>1</v>
      </c>
      <c r="R1346">
        <v>0</v>
      </c>
      <c r="S1346">
        <v>1</v>
      </c>
      <c r="T1346">
        <v>1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 t="s">
        <v>3376</v>
      </c>
      <c r="AB1346" t="s">
        <v>173</v>
      </c>
      <c r="AC1346" t="s">
        <v>3376</v>
      </c>
      <c r="AD1346" t="e">
        <f>VLOOKUP(AB1346,#REF!,2,FALSE)</f>
        <v>#REF!</v>
      </c>
      <c r="AE1346" t="e">
        <f>RIGHT(#REF!,(FIND("Complex",#REF!,1)-6))</f>
        <v>#REF!</v>
      </c>
    </row>
    <row r="1347" spans="1:31" x14ac:dyDescent="0.25">
      <c r="A1347">
        <v>3312</v>
      </c>
      <c r="B1347" t="s">
        <v>90</v>
      </c>
      <c r="C1347">
        <v>111</v>
      </c>
      <c r="D1347">
        <v>998</v>
      </c>
      <c r="E1347">
        <v>3312</v>
      </c>
      <c r="F1347">
        <v>3880801</v>
      </c>
      <c r="G1347">
        <v>3969000</v>
      </c>
      <c r="H1347">
        <f t="shared" si="42"/>
        <v>88.000022675736957</v>
      </c>
      <c r="I1347">
        <f t="shared" si="43"/>
        <v>90</v>
      </c>
      <c r="J1347" t="s">
        <v>22</v>
      </c>
      <c r="K1347">
        <v>6</v>
      </c>
      <c r="L1347" t="e">
        <f t="array" ref="L1347">VLOOKUP(J1347:$J$3871&amp;K1347:$K$3871,CHOOSE({1,2},#REF!&amp;#REF!,#REF!),2,0)</f>
        <v>#N/A</v>
      </c>
      <c r="M1347">
        <v>-15</v>
      </c>
      <c r="N1347">
        <v>0</v>
      </c>
      <c r="O1347" t="s">
        <v>7</v>
      </c>
      <c r="P1347">
        <v>1</v>
      </c>
      <c r="Q1347">
        <v>1</v>
      </c>
      <c r="R1347">
        <v>1</v>
      </c>
      <c r="S1347">
        <v>0</v>
      </c>
      <c r="T1347">
        <v>0</v>
      </c>
      <c r="U1347">
        <v>1</v>
      </c>
      <c r="V1347">
        <v>0</v>
      </c>
      <c r="W1347">
        <v>1</v>
      </c>
      <c r="X1347">
        <v>1</v>
      </c>
      <c r="Y1347">
        <v>0</v>
      </c>
      <c r="Z1347">
        <v>0</v>
      </c>
      <c r="AA1347" t="s">
        <v>2666</v>
      </c>
      <c r="AB1347" t="s">
        <v>2188</v>
      </c>
      <c r="AC1347" t="s">
        <v>2666</v>
      </c>
      <c r="AD1347" t="e">
        <f>VLOOKUP(AB1347,#REF!,2,FALSE)</f>
        <v>#REF!</v>
      </c>
      <c r="AE1347" t="e">
        <f>RIGHT(#REF!,(FIND("Complex",#REF!,1)-9))</f>
        <v>#REF!</v>
      </c>
    </row>
    <row r="1348" spans="1:31" x14ac:dyDescent="0.25">
      <c r="A1348">
        <v>2870</v>
      </c>
      <c r="B1348" t="s">
        <v>90</v>
      </c>
      <c r="C1348">
        <v>111</v>
      </c>
      <c r="D1348">
        <v>942</v>
      </c>
      <c r="E1348">
        <v>2870</v>
      </c>
      <c r="F1348">
        <v>3439801</v>
      </c>
      <c r="G1348">
        <v>3528000</v>
      </c>
      <c r="H1348">
        <f t="shared" si="42"/>
        <v>78.000022675736957</v>
      </c>
      <c r="I1348">
        <f t="shared" si="43"/>
        <v>80</v>
      </c>
      <c r="J1348" t="s">
        <v>22</v>
      </c>
      <c r="K1348">
        <v>6</v>
      </c>
      <c r="L1348" t="e">
        <f t="array" ref="L1348">VLOOKUP(J1348:$J$3871&amp;K1348:$K$3871,CHOOSE({1,2},#REF!&amp;#REF!,#REF!),2,0)</f>
        <v>#N/A</v>
      </c>
      <c r="M1348">
        <v>-15</v>
      </c>
      <c r="N1348">
        <v>0</v>
      </c>
      <c r="O1348" t="s">
        <v>7</v>
      </c>
      <c r="P1348">
        <v>1</v>
      </c>
      <c r="Q1348">
        <v>1</v>
      </c>
      <c r="R1348">
        <v>1</v>
      </c>
      <c r="S1348">
        <v>0</v>
      </c>
      <c r="T1348">
        <v>0</v>
      </c>
      <c r="U1348">
        <v>1</v>
      </c>
      <c r="V1348">
        <v>0</v>
      </c>
      <c r="W1348">
        <v>1</v>
      </c>
      <c r="X1348">
        <v>1</v>
      </c>
      <c r="Y1348">
        <v>0</v>
      </c>
      <c r="Z1348">
        <v>0</v>
      </c>
      <c r="AA1348" t="s">
        <v>2711</v>
      </c>
      <c r="AB1348" t="s">
        <v>2189</v>
      </c>
      <c r="AC1348" t="s">
        <v>2711</v>
      </c>
      <c r="AD1348" t="e">
        <f>VLOOKUP(AB1348,#REF!,2,FALSE)</f>
        <v>#REF!</v>
      </c>
      <c r="AE1348" t="e">
        <f>RIGHT(#REF!,(FIND("Complex",#REF!,1)-9))</f>
        <v>#REF!</v>
      </c>
    </row>
    <row r="1349" spans="1:31" x14ac:dyDescent="0.25">
      <c r="A1349">
        <v>580</v>
      </c>
      <c r="B1349" t="s">
        <v>90</v>
      </c>
      <c r="C1349">
        <v>111</v>
      </c>
      <c r="D1349">
        <v>187</v>
      </c>
      <c r="E1349">
        <v>580</v>
      </c>
      <c r="F1349">
        <v>2998801</v>
      </c>
      <c r="G1349">
        <v>3087000</v>
      </c>
      <c r="H1349">
        <f t="shared" si="42"/>
        <v>68.000022675736957</v>
      </c>
      <c r="I1349">
        <f t="shared" si="43"/>
        <v>70</v>
      </c>
      <c r="J1349" t="s">
        <v>22</v>
      </c>
      <c r="K1349">
        <v>6</v>
      </c>
      <c r="L1349" t="e">
        <f t="array" ref="L1349">VLOOKUP(J1349:$J$3871&amp;K1349:$K$3871,CHOOSE({1,2},#REF!&amp;#REF!,#REF!),2,0)</f>
        <v>#N/A</v>
      </c>
      <c r="M1349">
        <v>-15</v>
      </c>
      <c r="N1349">
        <v>0</v>
      </c>
      <c r="O1349" t="s">
        <v>7</v>
      </c>
      <c r="P1349">
        <v>1</v>
      </c>
      <c r="Q1349">
        <v>1</v>
      </c>
      <c r="R1349">
        <v>1</v>
      </c>
      <c r="S1349">
        <v>0</v>
      </c>
      <c r="T1349">
        <v>0</v>
      </c>
      <c r="U1349">
        <v>1</v>
      </c>
      <c r="V1349">
        <v>0</v>
      </c>
      <c r="W1349">
        <v>1</v>
      </c>
      <c r="X1349">
        <v>1</v>
      </c>
      <c r="Y1349">
        <v>0</v>
      </c>
      <c r="Z1349">
        <v>0</v>
      </c>
      <c r="AA1349" t="s">
        <v>2751</v>
      </c>
      <c r="AB1349" t="s">
        <v>148</v>
      </c>
      <c r="AC1349" t="s">
        <v>2751</v>
      </c>
      <c r="AD1349" t="e">
        <f>VLOOKUP(AB1349,#REF!,2,FALSE)</f>
        <v>#REF!</v>
      </c>
      <c r="AE1349" t="e">
        <f>RIGHT(#REF!,(FIND("Complex",#REF!,1)-8))</f>
        <v>#REF!</v>
      </c>
    </row>
    <row r="1350" spans="1:31" x14ac:dyDescent="0.25">
      <c r="A1350">
        <v>3039</v>
      </c>
      <c r="B1350" t="s">
        <v>90</v>
      </c>
      <c r="C1350">
        <v>111</v>
      </c>
      <c r="D1350">
        <v>964</v>
      </c>
      <c r="E1350">
        <v>3039</v>
      </c>
      <c r="F1350">
        <v>7849801</v>
      </c>
      <c r="G1350">
        <v>7938000</v>
      </c>
      <c r="H1350">
        <f t="shared" si="42"/>
        <v>178.00002267573697</v>
      </c>
      <c r="I1350">
        <f t="shared" si="43"/>
        <v>180</v>
      </c>
      <c r="J1350" t="s">
        <v>22</v>
      </c>
      <c r="K1350">
        <v>6</v>
      </c>
      <c r="L1350" t="e">
        <f t="array" ref="L1350">VLOOKUP(J1350:$J$3871&amp;K1350:$K$3871,CHOOSE({1,2},#REF!&amp;#REF!,#REF!),2,0)</f>
        <v>#N/A</v>
      </c>
      <c r="M1350">
        <v>-15</v>
      </c>
      <c r="N1350">
        <v>0</v>
      </c>
      <c r="O1350" t="s">
        <v>7</v>
      </c>
      <c r="P1350">
        <v>1</v>
      </c>
      <c r="Q1350">
        <v>1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1</v>
      </c>
      <c r="X1350">
        <v>1</v>
      </c>
      <c r="Y1350">
        <v>0</v>
      </c>
      <c r="Z1350">
        <v>0</v>
      </c>
      <c r="AA1350" t="s">
        <v>3142</v>
      </c>
      <c r="AB1350" t="s">
        <v>2190</v>
      </c>
      <c r="AC1350" t="s">
        <v>3142</v>
      </c>
      <c r="AD1350" t="e">
        <f>VLOOKUP(AB1350,#REF!,2,FALSE)</f>
        <v>#REF!</v>
      </c>
      <c r="AE1350" t="e">
        <f>RIGHT(#REF!,(FIND("Complex",#REF!,1)-8))</f>
        <v>#REF!</v>
      </c>
    </row>
    <row r="1351" spans="1:31" x14ac:dyDescent="0.25">
      <c r="A1351">
        <v>1284</v>
      </c>
      <c r="B1351" t="s">
        <v>90</v>
      </c>
      <c r="C1351">
        <v>111</v>
      </c>
      <c r="D1351">
        <v>389</v>
      </c>
      <c r="E1351">
        <v>1284</v>
      </c>
      <c r="F1351">
        <v>6615001</v>
      </c>
      <c r="G1351">
        <v>6703200</v>
      </c>
      <c r="H1351">
        <f t="shared" si="42"/>
        <v>150.00002267573697</v>
      </c>
      <c r="I1351">
        <f t="shared" si="43"/>
        <v>152</v>
      </c>
      <c r="J1351" t="s">
        <v>22</v>
      </c>
      <c r="K1351">
        <v>6</v>
      </c>
      <c r="L1351" t="e">
        <f t="array" ref="L1351">VLOOKUP(J1351:$J$3871&amp;K1351:$K$3871,CHOOSE({1,2},#REF!&amp;#REF!,#REF!),2,0)</f>
        <v>#N/A</v>
      </c>
      <c r="M1351">
        <v>-15</v>
      </c>
      <c r="N1351">
        <v>0</v>
      </c>
      <c r="O1351" t="s">
        <v>7</v>
      </c>
      <c r="P1351">
        <v>1</v>
      </c>
      <c r="Q1351">
        <v>1</v>
      </c>
      <c r="R1351">
        <v>1</v>
      </c>
      <c r="S1351">
        <v>0</v>
      </c>
      <c r="T1351">
        <v>0</v>
      </c>
      <c r="U1351">
        <v>1</v>
      </c>
      <c r="V1351">
        <v>0</v>
      </c>
      <c r="W1351">
        <v>1</v>
      </c>
      <c r="X1351">
        <v>1</v>
      </c>
      <c r="Y1351">
        <v>0</v>
      </c>
      <c r="Z1351">
        <v>0</v>
      </c>
      <c r="AA1351" t="s">
        <v>3228</v>
      </c>
      <c r="AB1351" t="s">
        <v>2191</v>
      </c>
      <c r="AC1351" t="s">
        <v>3228</v>
      </c>
      <c r="AD1351" t="e">
        <f>VLOOKUP(AB1351,#REF!,2,FALSE)</f>
        <v>#REF!</v>
      </c>
      <c r="AE1351" t="e">
        <f>RIGHT(#REF!,(FIND("Complex",#REF!,1)-8))</f>
        <v>#REF!</v>
      </c>
    </row>
    <row r="1352" spans="1:31" x14ac:dyDescent="0.25">
      <c r="A1352">
        <v>425</v>
      </c>
      <c r="B1352" t="s">
        <v>90</v>
      </c>
      <c r="C1352">
        <v>111</v>
      </c>
      <c r="D1352">
        <v>135</v>
      </c>
      <c r="E1352">
        <v>425</v>
      </c>
      <c r="F1352">
        <v>6438601</v>
      </c>
      <c r="G1352">
        <v>6526800</v>
      </c>
      <c r="H1352">
        <f t="shared" si="42"/>
        <v>146.00002267573697</v>
      </c>
      <c r="I1352">
        <f t="shared" si="43"/>
        <v>148</v>
      </c>
      <c r="J1352" t="s">
        <v>22</v>
      </c>
      <c r="K1352">
        <v>6</v>
      </c>
      <c r="L1352" t="e">
        <f t="array" ref="L1352">VLOOKUP(J1352:$J$3871&amp;K1352:$K$3871,CHOOSE({1,2},#REF!&amp;#REF!,#REF!),2,0)</f>
        <v>#N/A</v>
      </c>
      <c r="M1352">
        <v>-15</v>
      </c>
      <c r="N1352">
        <v>0</v>
      </c>
      <c r="O1352" t="s">
        <v>7</v>
      </c>
      <c r="P1352">
        <v>1</v>
      </c>
      <c r="Q1352">
        <v>1</v>
      </c>
      <c r="R1352">
        <v>1</v>
      </c>
      <c r="S1352">
        <v>0</v>
      </c>
      <c r="T1352">
        <v>0</v>
      </c>
      <c r="U1352">
        <v>1</v>
      </c>
      <c r="V1352">
        <v>0</v>
      </c>
      <c r="W1352">
        <v>1</v>
      </c>
      <c r="X1352">
        <v>1</v>
      </c>
      <c r="Y1352">
        <v>0</v>
      </c>
      <c r="Z1352">
        <v>0</v>
      </c>
      <c r="AA1352" t="s">
        <v>3244</v>
      </c>
      <c r="AB1352" t="s">
        <v>2192</v>
      </c>
      <c r="AC1352" t="s">
        <v>3244</v>
      </c>
      <c r="AD1352" t="e">
        <f>VLOOKUP(AB1352,#REF!,2,FALSE)</f>
        <v>#REF!</v>
      </c>
      <c r="AE1352" t="e">
        <f>RIGHT(#REF!,(FIND("Complex",#REF!,1)-7))</f>
        <v>#REF!</v>
      </c>
    </row>
    <row r="1353" spans="1:31" x14ac:dyDescent="0.25">
      <c r="A1353">
        <v>11</v>
      </c>
      <c r="B1353" t="s">
        <v>90</v>
      </c>
      <c r="C1353">
        <v>111</v>
      </c>
      <c r="D1353">
        <v>4</v>
      </c>
      <c r="E1353">
        <v>11</v>
      </c>
      <c r="F1353">
        <v>6262201</v>
      </c>
      <c r="G1353">
        <v>6350400</v>
      </c>
      <c r="H1353">
        <f t="shared" si="42"/>
        <v>142.00002267573697</v>
      </c>
      <c r="I1353">
        <f t="shared" si="43"/>
        <v>144</v>
      </c>
      <c r="J1353" t="s">
        <v>22</v>
      </c>
      <c r="K1353">
        <v>6</v>
      </c>
      <c r="L1353" t="e">
        <f t="array" ref="L1353">VLOOKUP(J1353:$J$3871&amp;K1353:$K$3871,CHOOSE({1,2},#REF!&amp;#REF!,#REF!),2,0)</f>
        <v>#N/A</v>
      </c>
      <c r="M1353">
        <v>-15</v>
      </c>
      <c r="N1353">
        <v>0</v>
      </c>
      <c r="O1353" t="s">
        <v>7</v>
      </c>
      <c r="P1353">
        <v>1</v>
      </c>
      <c r="Q1353">
        <v>1</v>
      </c>
      <c r="R1353">
        <v>1</v>
      </c>
      <c r="S1353">
        <v>0</v>
      </c>
      <c r="T1353">
        <v>0</v>
      </c>
      <c r="U1353">
        <v>1</v>
      </c>
      <c r="V1353">
        <v>0</v>
      </c>
      <c r="W1353">
        <v>1</v>
      </c>
      <c r="X1353">
        <v>1</v>
      </c>
      <c r="Y1353">
        <v>0</v>
      </c>
      <c r="Z1353">
        <v>0</v>
      </c>
      <c r="AA1353" t="s">
        <v>3260</v>
      </c>
      <c r="AB1353" t="s">
        <v>2193</v>
      </c>
      <c r="AC1353" t="s">
        <v>3260</v>
      </c>
      <c r="AD1353" t="e">
        <f>VLOOKUP(AB1353,#REF!,2,FALSE)</f>
        <v>#REF!</v>
      </c>
      <c r="AE1353" t="e">
        <f>RIGHT(#REF!,(FIND("Complex",#REF!,1)-6))</f>
        <v>#REF!</v>
      </c>
    </row>
    <row r="1354" spans="1:31" x14ac:dyDescent="0.25">
      <c r="A1354">
        <v>3508</v>
      </c>
      <c r="B1354" t="s">
        <v>90</v>
      </c>
      <c r="C1354">
        <v>111</v>
      </c>
      <c r="D1354">
        <v>1023</v>
      </c>
      <c r="E1354">
        <v>3508</v>
      </c>
      <c r="F1354">
        <v>6085801</v>
      </c>
      <c r="G1354">
        <v>6174000</v>
      </c>
      <c r="H1354">
        <f t="shared" si="42"/>
        <v>138.00002267573697</v>
      </c>
      <c r="I1354">
        <f t="shared" si="43"/>
        <v>140</v>
      </c>
      <c r="J1354" t="s">
        <v>22</v>
      </c>
      <c r="K1354">
        <v>6</v>
      </c>
      <c r="L1354" t="e">
        <f t="array" ref="L1354">VLOOKUP(J1354:$J$3871&amp;K1354:$K$3871,CHOOSE({1,2},#REF!&amp;#REF!,#REF!),2,0)</f>
        <v>#N/A</v>
      </c>
      <c r="M1354">
        <v>-15</v>
      </c>
      <c r="N1354">
        <v>0</v>
      </c>
      <c r="O1354" t="s">
        <v>7</v>
      </c>
      <c r="P1354">
        <v>1</v>
      </c>
      <c r="Q1354">
        <v>1</v>
      </c>
      <c r="R1354">
        <v>1</v>
      </c>
      <c r="S1354">
        <v>0</v>
      </c>
      <c r="T1354">
        <v>0</v>
      </c>
      <c r="U1354">
        <v>1</v>
      </c>
      <c r="V1354">
        <v>0</v>
      </c>
      <c r="W1354">
        <v>1</v>
      </c>
      <c r="X1354">
        <v>1</v>
      </c>
      <c r="Y1354">
        <v>0</v>
      </c>
      <c r="Z1354">
        <v>0</v>
      </c>
      <c r="AA1354" t="s">
        <v>3278</v>
      </c>
      <c r="AB1354" t="s">
        <v>2194</v>
      </c>
      <c r="AC1354" t="s">
        <v>3278</v>
      </c>
      <c r="AD1354" t="e">
        <f>VLOOKUP(AB1354,#REF!,2,FALSE)</f>
        <v>#REF!</v>
      </c>
      <c r="AE1354" t="e">
        <f>RIGHT(#REF!,(FIND("Complex",#REF!,1)-9))</f>
        <v>#REF!</v>
      </c>
    </row>
    <row r="1355" spans="1:31" x14ac:dyDescent="0.25">
      <c r="A1355">
        <v>1138</v>
      </c>
      <c r="B1355" t="s">
        <v>86</v>
      </c>
      <c r="C1355">
        <v>1</v>
      </c>
      <c r="D1355">
        <v>341</v>
      </c>
      <c r="E1355">
        <v>1138</v>
      </c>
      <c r="F1355">
        <v>352801</v>
      </c>
      <c r="G1355">
        <v>441000</v>
      </c>
      <c r="H1355">
        <f t="shared" si="42"/>
        <v>8.000022675736961</v>
      </c>
      <c r="I1355">
        <f t="shared" si="43"/>
        <v>10</v>
      </c>
      <c r="J1355" t="s">
        <v>22</v>
      </c>
      <c r="K1355">
        <v>4</v>
      </c>
      <c r="L1355" t="e">
        <f t="array" ref="L1355">VLOOKUP(J1355:$J$3871&amp;K1355:$K$3871,CHOOSE({1,2},#REF!&amp;#REF!,#REF!),2,0)</f>
        <v>#N/A</v>
      </c>
      <c r="M1355">
        <v>0</v>
      </c>
      <c r="N1355">
        <v>1</v>
      </c>
      <c r="O1355" t="s">
        <v>23</v>
      </c>
      <c r="P1355">
        <v>0</v>
      </c>
      <c r="Q1355">
        <v>1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1</v>
      </c>
      <c r="X1355">
        <v>1</v>
      </c>
      <c r="Y1355">
        <v>0</v>
      </c>
      <c r="Z1355">
        <v>0</v>
      </c>
      <c r="AA1355" t="s">
        <v>3648</v>
      </c>
      <c r="AB1355" t="s">
        <v>6393</v>
      </c>
      <c r="AC1355" t="s">
        <v>3648</v>
      </c>
      <c r="AD1355" t="e">
        <f>VLOOKUP(AB1355,#REF!,2,FALSE)</f>
        <v>#REF!</v>
      </c>
      <c r="AE1355" t="e">
        <f>RIGHT(#REF!,(FIND("Complex",#REF!,1)-10))</f>
        <v>#REF!</v>
      </c>
    </row>
    <row r="1356" spans="1:31" x14ac:dyDescent="0.25">
      <c r="A1356">
        <v>1250</v>
      </c>
      <c r="B1356" t="s">
        <v>86</v>
      </c>
      <c r="C1356">
        <v>1</v>
      </c>
      <c r="D1356">
        <v>377</v>
      </c>
      <c r="E1356">
        <v>1250</v>
      </c>
      <c r="F1356">
        <v>1764001</v>
      </c>
      <c r="G1356">
        <v>1852200</v>
      </c>
      <c r="H1356">
        <f t="shared" si="42"/>
        <v>40.000022675736965</v>
      </c>
      <c r="I1356">
        <f t="shared" si="43"/>
        <v>42</v>
      </c>
      <c r="J1356" t="s">
        <v>22</v>
      </c>
      <c r="K1356">
        <v>4</v>
      </c>
      <c r="L1356" t="e">
        <f t="array" ref="L1356">VLOOKUP(J1356:$J$3871&amp;K1356:$K$3871,CHOOSE({1,2},#REF!&amp;#REF!,#REF!),2,0)</f>
        <v>#N/A</v>
      </c>
      <c r="M1356">
        <v>0</v>
      </c>
      <c r="N1356">
        <v>1</v>
      </c>
      <c r="O1356" t="s">
        <v>23</v>
      </c>
      <c r="P1356">
        <v>0</v>
      </c>
      <c r="Q1356">
        <v>1</v>
      </c>
      <c r="R1356">
        <v>0</v>
      </c>
      <c r="S1356">
        <v>1</v>
      </c>
      <c r="T1356">
        <v>0</v>
      </c>
      <c r="U1356">
        <v>0</v>
      </c>
      <c r="V1356">
        <v>0</v>
      </c>
      <c r="W1356">
        <v>1</v>
      </c>
      <c r="X1356">
        <v>1</v>
      </c>
      <c r="Y1356">
        <v>0</v>
      </c>
      <c r="Z1356">
        <v>0</v>
      </c>
      <c r="AA1356" t="s">
        <v>3955</v>
      </c>
      <c r="AB1356" t="s">
        <v>6573</v>
      </c>
      <c r="AC1356" t="s">
        <v>3955</v>
      </c>
      <c r="AD1356" t="e">
        <f>VLOOKUP(AB1356,#REF!,2,FALSE)</f>
        <v>#REF!</v>
      </c>
      <c r="AE1356" t="e">
        <f>RIGHT(#REF!,(FIND("Complex",#REF!,1)-9))</f>
        <v>#REF!</v>
      </c>
    </row>
    <row r="1357" spans="1:31" x14ac:dyDescent="0.25">
      <c r="A1357">
        <v>2081</v>
      </c>
      <c r="B1357" t="s">
        <v>86</v>
      </c>
      <c r="C1357">
        <v>1</v>
      </c>
      <c r="D1357">
        <v>633</v>
      </c>
      <c r="E1357">
        <v>2081</v>
      </c>
      <c r="F1357">
        <v>5644801</v>
      </c>
      <c r="G1357">
        <v>5733000</v>
      </c>
      <c r="H1357">
        <f t="shared" si="42"/>
        <v>128.00002267573697</v>
      </c>
      <c r="I1357">
        <f t="shared" si="43"/>
        <v>130</v>
      </c>
      <c r="J1357" t="s">
        <v>22</v>
      </c>
      <c r="K1357">
        <v>4</v>
      </c>
      <c r="L1357" t="e">
        <f t="array" ref="L1357">VLOOKUP(J1357:$J$3871&amp;K1357:$K$3871,CHOOSE({1,2},#REF!&amp;#REF!,#REF!),2,0)</f>
        <v>#N/A</v>
      </c>
      <c r="M1357">
        <v>0</v>
      </c>
      <c r="N1357">
        <v>1</v>
      </c>
      <c r="O1357" t="s">
        <v>23</v>
      </c>
      <c r="P1357">
        <v>0</v>
      </c>
      <c r="Q1357">
        <v>1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1</v>
      </c>
      <c r="X1357">
        <v>1</v>
      </c>
      <c r="Y1357">
        <v>0</v>
      </c>
      <c r="Z1357">
        <v>0</v>
      </c>
      <c r="AA1357" t="s">
        <v>4688</v>
      </c>
      <c r="AB1357" t="s">
        <v>7046</v>
      </c>
      <c r="AC1357" t="s">
        <v>4688</v>
      </c>
      <c r="AD1357" t="e">
        <f>VLOOKUP(AB1357,#REF!,2,FALSE)</f>
        <v>#REF!</v>
      </c>
      <c r="AE1357" t="e">
        <f>RIGHT(#REF!,(FIND("Complex",#REF!,1)-8))</f>
        <v>#REF!</v>
      </c>
    </row>
    <row r="1358" spans="1:31" x14ac:dyDescent="0.25">
      <c r="A1358">
        <v>353</v>
      </c>
      <c r="B1358" t="s">
        <v>86</v>
      </c>
      <c r="C1358">
        <v>1</v>
      </c>
      <c r="D1358">
        <v>111</v>
      </c>
      <c r="E1358">
        <v>353</v>
      </c>
      <c r="F1358">
        <v>5292001</v>
      </c>
      <c r="G1358">
        <v>5380200</v>
      </c>
      <c r="H1358">
        <f t="shared" si="42"/>
        <v>120.00002267573696</v>
      </c>
      <c r="I1358">
        <f t="shared" si="43"/>
        <v>122</v>
      </c>
      <c r="J1358" t="s">
        <v>22</v>
      </c>
      <c r="K1358">
        <v>4</v>
      </c>
      <c r="L1358" t="e">
        <f t="array" ref="L1358">VLOOKUP(J1358:$J$3871&amp;K1358:$K$3871,CHOOSE({1,2},#REF!&amp;#REF!,#REF!),2,0)</f>
        <v>#N/A</v>
      </c>
      <c r="M1358">
        <v>0</v>
      </c>
      <c r="N1358">
        <v>1</v>
      </c>
      <c r="O1358" t="s">
        <v>23</v>
      </c>
      <c r="P1358">
        <v>0</v>
      </c>
      <c r="Q1358">
        <v>1</v>
      </c>
      <c r="R1358">
        <v>0</v>
      </c>
      <c r="S1358">
        <v>1</v>
      </c>
      <c r="T1358">
        <v>0</v>
      </c>
      <c r="U1358">
        <v>0</v>
      </c>
      <c r="V1358">
        <v>0</v>
      </c>
      <c r="W1358">
        <v>1</v>
      </c>
      <c r="X1358">
        <v>1</v>
      </c>
      <c r="Y1358">
        <v>0</v>
      </c>
      <c r="Z1358">
        <v>0</v>
      </c>
      <c r="AA1358" t="s">
        <v>4721</v>
      </c>
      <c r="AB1358" t="s">
        <v>7069</v>
      </c>
      <c r="AC1358" t="s">
        <v>4721</v>
      </c>
      <c r="AD1358" t="e">
        <f>VLOOKUP(AB1358,#REF!,2,FALSE)</f>
        <v>#REF!</v>
      </c>
      <c r="AE1358" t="e">
        <f>RIGHT(#REF!,(FIND("Complex",#REF!,1)-7))</f>
        <v>#REF!</v>
      </c>
    </row>
    <row r="1359" spans="1:31" x14ac:dyDescent="0.25">
      <c r="A1359">
        <v>1487</v>
      </c>
      <c r="B1359" t="s">
        <v>86</v>
      </c>
      <c r="C1359">
        <v>1</v>
      </c>
      <c r="D1359">
        <v>451</v>
      </c>
      <c r="E1359">
        <v>1487</v>
      </c>
      <c r="F1359">
        <v>5203801</v>
      </c>
      <c r="G1359">
        <v>5292000</v>
      </c>
      <c r="H1359">
        <f t="shared" si="42"/>
        <v>118.00002267573696</v>
      </c>
      <c r="I1359">
        <f t="shared" si="43"/>
        <v>120</v>
      </c>
      <c r="J1359" t="s">
        <v>22</v>
      </c>
      <c r="K1359">
        <v>4</v>
      </c>
      <c r="L1359" t="e">
        <f t="array" ref="L1359">VLOOKUP(J1359:$J$3871&amp;K1359:$K$3871,CHOOSE({1,2},#REF!&amp;#REF!,#REF!),2,0)</f>
        <v>#N/A</v>
      </c>
      <c r="M1359">
        <v>0</v>
      </c>
      <c r="N1359">
        <v>1</v>
      </c>
      <c r="O1359" t="s">
        <v>23</v>
      </c>
      <c r="P1359">
        <v>0</v>
      </c>
      <c r="Q1359">
        <v>1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1</v>
      </c>
      <c r="X1359">
        <v>1</v>
      </c>
      <c r="Y1359">
        <v>0</v>
      </c>
      <c r="Z1359">
        <v>0</v>
      </c>
      <c r="AA1359" t="s">
        <v>4751</v>
      </c>
      <c r="AB1359" t="s">
        <v>7082</v>
      </c>
      <c r="AC1359" t="s">
        <v>4751</v>
      </c>
      <c r="AD1359" t="e">
        <f>VLOOKUP(AB1359,#REF!,2,FALSE)</f>
        <v>#REF!</v>
      </c>
      <c r="AE1359" t="e">
        <f>RIGHT(#REF!,(FIND("Complex",#REF!,1)-8))</f>
        <v>#REF!</v>
      </c>
    </row>
    <row r="1360" spans="1:31" x14ac:dyDescent="0.25">
      <c r="A1360">
        <v>2278</v>
      </c>
      <c r="B1360" t="s">
        <v>86</v>
      </c>
      <c r="C1360">
        <v>1</v>
      </c>
      <c r="D1360">
        <v>713</v>
      </c>
      <c r="E1360">
        <v>2278</v>
      </c>
      <c r="F1360">
        <v>4851001</v>
      </c>
      <c r="G1360">
        <v>4939200</v>
      </c>
      <c r="H1360">
        <f t="shared" si="42"/>
        <v>110.00002267573696</v>
      </c>
      <c r="I1360">
        <f t="shared" si="43"/>
        <v>112</v>
      </c>
      <c r="J1360" t="s">
        <v>22</v>
      </c>
      <c r="K1360">
        <v>4</v>
      </c>
      <c r="L1360" t="e">
        <f t="array" ref="L1360">VLOOKUP(J1360:$J$3871&amp;K1360:$K$3871,CHOOSE({1,2},#REF!&amp;#REF!,#REF!),2,0)</f>
        <v>#N/A</v>
      </c>
      <c r="M1360">
        <v>0</v>
      </c>
      <c r="N1360">
        <v>1</v>
      </c>
      <c r="O1360" t="s">
        <v>23</v>
      </c>
      <c r="P1360">
        <v>0</v>
      </c>
      <c r="Q1360">
        <v>1</v>
      </c>
      <c r="R1360">
        <v>0</v>
      </c>
      <c r="S1360">
        <v>1</v>
      </c>
      <c r="T1360">
        <v>0</v>
      </c>
      <c r="U1360">
        <v>0</v>
      </c>
      <c r="V1360">
        <v>0</v>
      </c>
      <c r="W1360">
        <v>1</v>
      </c>
      <c r="X1360">
        <v>1</v>
      </c>
      <c r="Y1360">
        <v>0</v>
      </c>
      <c r="Z1360">
        <v>0</v>
      </c>
      <c r="AA1360" t="s">
        <v>4790</v>
      </c>
      <c r="AB1360" t="s">
        <v>331</v>
      </c>
      <c r="AC1360" t="s">
        <v>4790</v>
      </c>
      <c r="AD1360" t="e">
        <f>VLOOKUP(AB1360,#REF!,2,FALSE)</f>
        <v>#REF!</v>
      </c>
      <c r="AE1360" t="e">
        <f>RIGHT(#REF!,(FIND("Complex",#REF!,1)-8))</f>
        <v>#REF!</v>
      </c>
    </row>
    <row r="1361" spans="1:31" x14ac:dyDescent="0.25">
      <c r="A1361">
        <v>1290</v>
      </c>
      <c r="B1361" t="s">
        <v>86</v>
      </c>
      <c r="C1361">
        <v>1</v>
      </c>
      <c r="D1361">
        <v>393</v>
      </c>
      <c r="E1361">
        <v>1290</v>
      </c>
      <c r="F1361">
        <v>4762801</v>
      </c>
      <c r="G1361">
        <v>4851000</v>
      </c>
      <c r="H1361">
        <f t="shared" si="42"/>
        <v>108.00002267573696</v>
      </c>
      <c r="I1361">
        <f t="shared" si="43"/>
        <v>110</v>
      </c>
      <c r="J1361" t="s">
        <v>22</v>
      </c>
      <c r="K1361">
        <v>4</v>
      </c>
      <c r="L1361" t="e">
        <f t="array" ref="L1361">VLOOKUP(J1361:$J$3871&amp;K1361:$K$3871,CHOOSE({1,2},#REF!&amp;#REF!,#REF!),2,0)</f>
        <v>#N/A</v>
      </c>
      <c r="M1361">
        <v>0</v>
      </c>
      <c r="N1361">
        <v>1</v>
      </c>
      <c r="O1361" t="s">
        <v>23</v>
      </c>
      <c r="P1361">
        <v>0</v>
      </c>
      <c r="Q1361">
        <v>1</v>
      </c>
      <c r="R1361">
        <v>0</v>
      </c>
      <c r="S1361">
        <v>1</v>
      </c>
      <c r="T1361">
        <v>0</v>
      </c>
      <c r="U1361">
        <v>0</v>
      </c>
      <c r="V1361">
        <v>0</v>
      </c>
      <c r="W1361">
        <v>1</v>
      </c>
      <c r="X1361">
        <v>1</v>
      </c>
      <c r="Y1361">
        <v>0</v>
      </c>
      <c r="Z1361">
        <v>0</v>
      </c>
      <c r="AA1361" t="s">
        <v>4799</v>
      </c>
      <c r="AB1361" t="s">
        <v>7106</v>
      </c>
      <c r="AC1361" t="s">
        <v>4799</v>
      </c>
      <c r="AD1361" t="e">
        <f>VLOOKUP(AB1361,#REF!,2,FALSE)</f>
        <v>#REF!</v>
      </c>
      <c r="AE1361" t="e">
        <f>RIGHT(#REF!,(FIND("Complex",#REF!,1)-8))</f>
        <v>#REF!</v>
      </c>
    </row>
    <row r="1362" spans="1:31" x14ac:dyDescent="0.25">
      <c r="A1362">
        <v>254</v>
      </c>
      <c r="B1362" t="s">
        <v>86</v>
      </c>
      <c r="C1362">
        <v>1</v>
      </c>
      <c r="D1362">
        <v>74</v>
      </c>
      <c r="E1362">
        <v>254</v>
      </c>
      <c r="F1362">
        <v>4498201</v>
      </c>
      <c r="G1362">
        <v>4586400</v>
      </c>
      <c r="H1362">
        <f t="shared" si="42"/>
        <v>102.00002267573696</v>
      </c>
      <c r="I1362">
        <f t="shared" si="43"/>
        <v>104</v>
      </c>
      <c r="J1362" t="s">
        <v>22</v>
      </c>
      <c r="K1362">
        <v>4</v>
      </c>
      <c r="L1362" t="e">
        <f t="array" ref="L1362">VLOOKUP(J1362:$J$3871&amp;K1362:$K$3871,CHOOSE({1,2},#REF!&amp;#REF!,#REF!),2,0)</f>
        <v>#N/A</v>
      </c>
      <c r="M1362">
        <v>0</v>
      </c>
      <c r="N1362">
        <v>1</v>
      </c>
      <c r="O1362" t="s">
        <v>23</v>
      </c>
      <c r="P1362">
        <v>0</v>
      </c>
      <c r="Q1362">
        <v>1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1</v>
      </c>
      <c r="X1362">
        <v>1</v>
      </c>
      <c r="Y1362">
        <v>0</v>
      </c>
      <c r="Z1362">
        <v>0</v>
      </c>
      <c r="AA1362" t="s">
        <v>4833</v>
      </c>
      <c r="AB1362" t="s">
        <v>7129</v>
      </c>
      <c r="AC1362" t="s">
        <v>4833</v>
      </c>
      <c r="AD1362" t="e">
        <f>VLOOKUP(AB1362,#REF!,2,FALSE)</f>
        <v>#REF!</v>
      </c>
      <c r="AE1362" t="e">
        <f>RIGHT(#REF!,(FIND("Complex",#REF!,1)-7))</f>
        <v>#REF!</v>
      </c>
    </row>
    <row r="1363" spans="1:31" x14ac:dyDescent="0.25">
      <c r="A1363">
        <v>2508</v>
      </c>
      <c r="B1363" t="s">
        <v>86</v>
      </c>
      <c r="C1363">
        <v>1</v>
      </c>
      <c r="D1363">
        <v>814</v>
      </c>
      <c r="E1363">
        <v>2508</v>
      </c>
      <c r="F1363">
        <v>4410001</v>
      </c>
      <c r="G1363">
        <v>4498200</v>
      </c>
      <c r="H1363">
        <f t="shared" si="42"/>
        <v>100.00002267573696</v>
      </c>
      <c r="I1363">
        <f t="shared" si="43"/>
        <v>102</v>
      </c>
      <c r="J1363" t="s">
        <v>22</v>
      </c>
      <c r="K1363">
        <v>4</v>
      </c>
      <c r="L1363" t="e">
        <f t="array" ref="L1363">VLOOKUP(J1363:$J$3871&amp;K1363:$K$3871,CHOOSE({1,2},#REF!&amp;#REF!,#REF!),2,0)</f>
        <v>#N/A</v>
      </c>
      <c r="M1363">
        <v>0</v>
      </c>
      <c r="N1363">
        <v>1</v>
      </c>
      <c r="O1363" t="s">
        <v>23</v>
      </c>
      <c r="P1363">
        <v>0</v>
      </c>
      <c r="Q1363">
        <v>1</v>
      </c>
      <c r="R1363">
        <v>0</v>
      </c>
      <c r="S1363">
        <v>1</v>
      </c>
      <c r="T1363">
        <v>0</v>
      </c>
      <c r="U1363">
        <v>0</v>
      </c>
      <c r="V1363">
        <v>0</v>
      </c>
      <c r="W1363">
        <v>1</v>
      </c>
      <c r="X1363">
        <v>1</v>
      </c>
      <c r="Y1363">
        <v>0</v>
      </c>
      <c r="Z1363">
        <v>0</v>
      </c>
      <c r="AA1363" t="s">
        <v>4850</v>
      </c>
      <c r="AB1363" t="s">
        <v>7139</v>
      </c>
      <c r="AC1363" t="s">
        <v>4850</v>
      </c>
      <c r="AD1363" t="e">
        <f>VLOOKUP(AB1363,#REF!,2,FALSE)</f>
        <v>#REF!</v>
      </c>
      <c r="AE1363" t="e">
        <f>RIGHT(#REF!,(FIND("Complex",#REF!,1)-8))</f>
        <v>#REF!</v>
      </c>
    </row>
    <row r="1364" spans="1:31" x14ac:dyDescent="0.25">
      <c r="A1364">
        <v>1479</v>
      </c>
      <c r="B1364" t="s">
        <v>48</v>
      </c>
      <c r="C1364">
        <v>2</v>
      </c>
      <c r="D1364">
        <v>449</v>
      </c>
      <c r="E1364">
        <v>1479</v>
      </c>
      <c r="F1364">
        <v>2998801</v>
      </c>
      <c r="G1364">
        <v>3087000</v>
      </c>
      <c r="H1364">
        <f t="shared" si="42"/>
        <v>68.000022675736957</v>
      </c>
      <c r="I1364">
        <f t="shared" si="43"/>
        <v>70</v>
      </c>
      <c r="J1364" t="s">
        <v>22</v>
      </c>
      <c r="K1364">
        <v>4</v>
      </c>
      <c r="L1364" t="e">
        <f t="array" ref="L1364">VLOOKUP(J1364:$J$3871&amp;K1364:$K$3871,CHOOSE({1,2},#REF!&amp;#REF!,#REF!),2,0)</f>
        <v>#N/A</v>
      </c>
      <c r="M1364">
        <v>0</v>
      </c>
      <c r="N1364">
        <v>1</v>
      </c>
      <c r="O1364" t="s">
        <v>23</v>
      </c>
      <c r="P1364">
        <v>1</v>
      </c>
      <c r="Q1364">
        <v>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1</v>
      </c>
      <c r="Y1364">
        <v>0</v>
      </c>
      <c r="Z1364">
        <v>0</v>
      </c>
      <c r="AA1364" t="s">
        <v>3730</v>
      </c>
      <c r="AB1364" t="s">
        <v>351</v>
      </c>
      <c r="AC1364" t="s">
        <v>3730</v>
      </c>
      <c r="AD1364" t="e">
        <f>VLOOKUP(AB1364,#REF!,2,FALSE)</f>
        <v>#REF!</v>
      </c>
      <c r="AE1364" t="e">
        <f>RIGHT(#REF!,(FIND("Complex",#REF!,1)-9))</f>
        <v>#REF!</v>
      </c>
    </row>
    <row r="1365" spans="1:31" x14ac:dyDescent="0.25">
      <c r="A1365">
        <v>77</v>
      </c>
      <c r="B1365" t="s">
        <v>48</v>
      </c>
      <c r="C1365">
        <v>2</v>
      </c>
      <c r="D1365">
        <v>23</v>
      </c>
      <c r="E1365">
        <v>77</v>
      </c>
      <c r="F1365">
        <v>2910601</v>
      </c>
      <c r="G1365">
        <v>2998800</v>
      </c>
      <c r="H1365">
        <f t="shared" si="42"/>
        <v>66.000022675736957</v>
      </c>
      <c r="I1365">
        <f t="shared" si="43"/>
        <v>68</v>
      </c>
      <c r="J1365" t="s">
        <v>22</v>
      </c>
      <c r="K1365">
        <v>4</v>
      </c>
      <c r="L1365" t="e">
        <f t="array" ref="L1365">VLOOKUP(J1365:$J$3871&amp;K1365:$K$3871,CHOOSE({1,2},#REF!&amp;#REF!,#REF!),2,0)</f>
        <v>#N/A</v>
      </c>
      <c r="M1365">
        <v>0</v>
      </c>
      <c r="N1365">
        <v>1</v>
      </c>
      <c r="O1365" t="s">
        <v>23</v>
      </c>
      <c r="P1365">
        <v>1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1</v>
      </c>
      <c r="Y1365">
        <v>0</v>
      </c>
      <c r="Z1365">
        <v>0</v>
      </c>
      <c r="AA1365" t="s">
        <v>3742</v>
      </c>
      <c r="AB1365" t="s">
        <v>352</v>
      </c>
      <c r="AC1365" t="s">
        <v>3742</v>
      </c>
      <c r="AD1365" t="e">
        <f>VLOOKUP(AB1365,#REF!,2,FALSE)</f>
        <v>#REF!</v>
      </c>
      <c r="AE1365" t="e">
        <f>RIGHT(#REF!,(FIND("Complex",#REF!,1)-7))</f>
        <v>#REF!</v>
      </c>
    </row>
    <row r="1366" spans="1:31" x14ac:dyDescent="0.25">
      <c r="A1366">
        <v>2609</v>
      </c>
      <c r="B1366" t="s">
        <v>48</v>
      </c>
      <c r="C1366">
        <v>2</v>
      </c>
      <c r="D1366">
        <v>857</v>
      </c>
      <c r="E1366">
        <v>2609</v>
      </c>
      <c r="F1366">
        <v>1587601</v>
      </c>
      <c r="G1366">
        <v>1675800</v>
      </c>
      <c r="H1366">
        <f t="shared" si="42"/>
        <v>36.000022675736965</v>
      </c>
      <c r="I1366">
        <f t="shared" si="43"/>
        <v>38</v>
      </c>
      <c r="J1366" t="s">
        <v>22</v>
      </c>
      <c r="K1366">
        <v>4</v>
      </c>
      <c r="L1366" t="e">
        <f t="array" ref="L1366">VLOOKUP(J1366:$J$3871&amp;K1366:$K$3871,CHOOSE({1,2},#REF!&amp;#REF!,#REF!),2,0)</f>
        <v>#N/A</v>
      </c>
      <c r="M1366">
        <v>0</v>
      </c>
      <c r="N1366">
        <v>1</v>
      </c>
      <c r="O1366" t="s">
        <v>23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 t="s">
        <v>4010</v>
      </c>
      <c r="AB1366" t="s">
        <v>6602</v>
      </c>
      <c r="AC1366" t="s">
        <v>4010</v>
      </c>
      <c r="AD1366" t="e">
        <f>VLOOKUP(AB1366,#REF!,2,FALSE)</f>
        <v>#REF!</v>
      </c>
      <c r="AE1366" t="e">
        <f>RIGHT(#REF!,(FIND("Complex",#REF!,1)-9))</f>
        <v>#REF!</v>
      </c>
    </row>
    <row r="1367" spans="1:31" x14ac:dyDescent="0.25">
      <c r="A1367">
        <v>651</v>
      </c>
      <c r="B1367" t="s">
        <v>48</v>
      </c>
      <c r="C1367">
        <v>2</v>
      </c>
      <c r="D1367">
        <v>204</v>
      </c>
      <c r="E1367">
        <v>651</v>
      </c>
      <c r="F1367">
        <v>6615001</v>
      </c>
      <c r="G1367">
        <v>6703200</v>
      </c>
      <c r="H1367">
        <f t="shared" si="42"/>
        <v>150.00002267573697</v>
      </c>
      <c r="I1367">
        <f t="shared" si="43"/>
        <v>152</v>
      </c>
      <c r="J1367" t="s">
        <v>22</v>
      </c>
      <c r="K1367">
        <v>4</v>
      </c>
      <c r="L1367" t="e">
        <f t="array" ref="L1367">VLOOKUP(J1367:$J$3871&amp;K1367:$K$3871,CHOOSE({1,2},#REF!&amp;#REF!,#REF!),2,0)</f>
        <v>#N/A</v>
      </c>
      <c r="M1367">
        <v>0</v>
      </c>
      <c r="N1367">
        <v>1</v>
      </c>
      <c r="O1367" t="s">
        <v>23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1</v>
      </c>
      <c r="Y1367">
        <v>0</v>
      </c>
      <c r="Z1367">
        <v>0</v>
      </c>
      <c r="AA1367" t="s">
        <v>4555</v>
      </c>
      <c r="AB1367" t="s">
        <v>6964</v>
      </c>
      <c r="AC1367" t="s">
        <v>4555</v>
      </c>
      <c r="AD1367" t="e">
        <f>VLOOKUP(AB1367,#REF!,2,FALSE)</f>
        <v>#REF!</v>
      </c>
      <c r="AE1367" t="e">
        <f>RIGHT(#REF!,(FIND("Complex",#REF!,1)-7))</f>
        <v>#REF!</v>
      </c>
    </row>
    <row r="1368" spans="1:31" x14ac:dyDescent="0.25">
      <c r="A1368">
        <v>279</v>
      </c>
      <c r="B1368" t="s">
        <v>48</v>
      </c>
      <c r="C1368">
        <v>2</v>
      </c>
      <c r="D1368">
        <v>85</v>
      </c>
      <c r="E1368">
        <v>279</v>
      </c>
      <c r="F1368">
        <v>6438601</v>
      </c>
      <c r="G1368">
        <v>6526800</v>
      </c>
      <c r="H1368">
        <f t="shared" si="42"/>
        <v>146.00002267573697</v>
      </c>
      <c r="I1368">
        <f t="shared" si="43"/>
        <v>148</v>
      </c>
      <c r="J1368" t="s">
        <v>22</v>
      </c>
      <c r="K1368">
        <v>4</v>
      </c>
      <c r="L1368" t="e">
        <f t="array" ref="L1368">VLOOKUP(J1368:$J$3871&amp;K1368:$K$3871,CHOOSE({1,2},#REF!&amp;#REF!,#REF!),2,0)</f>
        <v>#N/A</v>
      </c>
      <c r="M1368">
        <v>0</v>
      </c>
      <c r="N1368">
        <v>1</v>
      </c>
      <c r="O1368" t="s">
        <v>23</v>
      </c>
      <c r="P1368">
        <v>0</v>
      </c>
      <c r="Q1368">
        <v>1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1</v>
      </c>
      <c r="Y1368">
        <v>0</v>
      </c>
      <c r="Z1368">
        <v>0</v>
      </c>
      <c r="AA1368" t="s">
        <v>4573</v>
      </c>
      <c r="AB1368" t="s">
        <v>6975</v>
      </c>
      <c r="AC1368" t="s">
        <v>4573</v>
      </c>
      <c r="AD1368" t="e">
        <f>VLOOKUP(AB1368,#REF!,2,FALSE)</f>
        <v>#REF!</v>
      </c>
      <c r="AE1368" t="e">
        <f>RIGHT(#REF!,(FIND("Complex",#REF!,1)-7))</f>
        <v>#REF!</v>
      </c>
    </row>
    <row r="1369" spans="1:31" x14ac:dyDescent="0.25">
      <c r="A1369">
        <v>1702</v>
      </c>
      <c r="B1369" t="s">
        <v>48</v>
      </c>
      <c r="C1369">
        <v>2</v>
      </c>
      <c r="D1369">
        <v>515</v>
      </c>
      <c r="E1369">
        <v>1702</v>
      </c>
      <c r="F1369">
        <v>5997601</v>
      </c>
      <c r="G1369">
        <v>6085800</v>
      </c>
      <c r="H1369">
        <f t="shared" si="42"/>
        <v>136.00002267573697</v>
      </c>
      <c r="I1369">
        <f t="shared" si="43"/>
        <v>138</v>
      </c>
      <c r="J1369" t="s">
        <v>22</v>
      </c>
      <c r="K1369">
        <v>4</v>
      </c>
      <c r="L1369" t="e">
        <f t="array" ref="L1369">VLOOKUP(J1369:$J$3871&amp;K1369:$K$3871,CHOOSE({1,2},#REF!&amp;#REF!,#REF!),2,0)</f>
        <v>#N/A</v>
      </c>
      <c r="M1369">
        <v>0</v>
      </c>
      <c r="N1369">
        <v>1</v>
      </c>
      <c r="O1369" t="s">
        <v>23</v>
      </c>
      <c r="P1369">
        <v>0</v>
      </c>
      <c r="Q1369">
        <v>1</v>
      </c>
      <c r="R1369">
        <v>1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1</v>
      </c>
      <c r="Y1369">
        <v>0</v>
      </c>
      <c r="Z1369">
        <v>0</v>
      </c>
      <c r="AA1369" t="s">
        <v>4648</v>
      </c>
      <c r="AB1369" t="s">
        <v>7023</v>
      </c>
      <c r="AC1369" t="s">
        <v>4648</v>
      </c>
      <c r="AD1369" t="e">
        <f>VLOOKUP(AB1369,#REF!,2,FALSE)</f>
        <v>#REF!</v>
      </c>
      <c r="AE1369" t="e">
        <f>RIGHT(#REF!,(FIND("Complex",#REF!,1)-8))</f>
        <v>#REF!</v>
      </c>
    </row>
    <row r="1370" spans="1:31" x14ac:dyDescent="0.25">
      <c r="A1370">
        <v>924</v>
      </c>
      <c r="B1370" t="s">
        <v>68</v>
      </c>
      <c r="C1370">
        <v>4</v>
      </c>
      <c r="D1370">
        <v>283</v>
      </c>
      <c r="E1370">
        <v>924</v>
      </c>
      <c r="F1370">
        <v>1234801</v>
      </c>
      <c r="G1370">
        <v>1323000</v>
      </c>
      <c r="H1370">
        <f t="shared" si="42"/>
        <v>28.000022675736961</v>
      </c>
      <c r="I1370">
        <f t="shared" si="43"/>
        <v>30</v>
      </c>
      <c r="J1370" t="s">
        <v>22</v>
      </c>
      <c r="K1370">
        <v>4</v>
      </c>
      <c r="L1370" t="e">
        <f t="array" ref="L1370">VLOOKUP(J1370:$J$3871&amp;K1370:$K$3871,CHOOSE({1,2},#REF!&amp;#REF!,#REF!),2,0)</f>
        <v>#N/A</v>
      </c>
      <c r="M1370">
        <v>0</v>
      </c>
      <c r="N1370">
        <v>1</v>
      </c>
      <c r="O1370" t="s">
        <v>23</v>
      </c>
      <c r="P1370">
        <v>1</v>
      </c>
      <c r="Q1370">
        <v>1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1</v>
      </c>
      <c r="Y1370">
        <v>0</v>
      </c>
      <c r="Z1370">
        <v>0</v>
      </c>
      <c r="AA1370" t="s">
        <v>4108</v>
      </c>
      <c r="AB1370" t="s">
        <v>6670</v>
      </c>
      <c r="AC1370" t="s">
        <v>4108</v>
      </c>
      <c r="AD1370" t="e">
        <f>VLOOKUP(AB1370,#REF!,2,FALSE)</f>
        <v>#REF!</v>
      </c>
      <c r="AE1370" t="e">
        <f>RIGHT(#REF!,(FIND("Complex",#REF!,1)-8))</f>
        <v>#REF!</v>
      </c>
    </row>
    <row r="1371" spans="1:31" x14ac:dyDescent="0.25">
      <c r="A1371">
        <v>194</v>
      </c>
      <c r="B1371" t="s">
        <v>68</v>
      </c>
      <c r="C1371">
        <v>4</v>
      </c>
      <c r="D1371">
        <v>60</v>
      </c>
      <c r="E1371">
        <v>194</v>
      </c>
      <c r="F1371">
        <v>6615001</v>
      </c>
      <c r="G1371">
        <v>6703200</v>
      </c>
      <c r="H1371">
        <f t="shared" si="42"/>
        <v>150.00002267573697</v>
      </c>
      <c r="I1371">
        <f t="shared" si="43"/>
        <v>152</v>
      </c>
      <c r="J1371" t="s">
        <v>22</v>
      </c>
      <c r="K1371">
        <v>4</v>
      </c>
      <c r="L1371" t="e">
        <f t="array" ref="L1371">VLOOKUP(J1371:$J$3871&amp;K1371:$K$3871,CHOOSE({1,2},#REF!&amp;#REF!,#REF!),2,0)</f>
        <v>#N/A</v>
      </c>
      <c r="M1371">
        <v>0</v>
      </c>
      <c r="N1371">
        <v>1</v>
      </c>
      <c r="O1371" t="s">
        <v>23</v>
      </c>
      <c r="P1371">
        <v>1</v>
      </c>
      <c r="Q1371">
        <v>1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1</v>
      </c>
      <c r="Y1371">
        <v>0</v>
      </c>
      <c r="Z1371">
        <v>0</v>
      </c>
      <c r="AA1371" t="s">
        <v>4549</v>
      </c>
      <c r="AB1371" t="s">
        <v>6961</v>
      </c>
      <c r="AC1371" t="s">
        <v>4549</v>
      </c>
      <c r="AD1371" t="e">
        <f>VLOOKUP(AB1371,#REF!,2,FALSE)</f>
        <v>#REF!</v>
      </c>
      <c r="AE1371" t="e">
        <f>RIGHT(#REF!,(FIND("Complex",#REF!,1)-7))</f>
        <v>#REF!</v>
      </c>
    </row>
    <row r="1372" spans="1:31" x14ac:dyDescent="0.25">
      <c r="A1372">
        <v>292</v>
      </c>
      <c r="B1372" t="s">
        <v>68</v>
      </c>
      <c r="C1372">
        <v>4</v>
      </c>
      <c r="D1372">
        <v>90</v>
      </c>
      <c r="E1372">
        <v>292</v>
      </c>
      <c r="F1372">
        <v>5556601</v>
      </c>
      <c r="G1372">
        <v>5644800</v>
      </c>
      <c r="H1372">
        <f t="shared" si="42"/>
        <v>126.00002267573696</v>
      </c>
      <c r="I1372">
        <f t="shared" si="43"/>
        <v>128</v>
      </c>
      <c r="J1372" t="s">
        <v>22</v>
      </c>
      <c r="K1372">
        <v>4</v>
      </c>
      <c r="L1372" t="e">
        <f t="array" ref="L1372">VLOOKUP(J1372:$J$3871&amp;K1372:$K$3871,CHOOSE({1,2},#REF!&amp;#REF!,#REF!),2,0)</f>
        <v>#N/A</v>
      </c>
      <c r="M1372">
        <v>0</v>
      </c>
      <c r="N1372">
        <v>1</v>
      </c>
      <c r="O1372" t="s">
        <v>23</v>
      </c>
      <c r="P1372">
        <v>1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1</v>
      </c>
      <c r="Y1372">
        <v>0</v>
      </c>
      <c r="Z1372">
        <v>0</v>
      </c>
      <c r="AA1372" t="s">
        <v>4693</v>
      </c>
      <c r="AB1372" t="s">
        <v>7049</v>
      </c>
      <c r="AC1372" t="s">
        <v>4693</v>
      </c>
      <c r="AD1372" t="e">
        <f>VLOOKUP(AB1372,#REF!,2,FALSE)</f>
        <v>#REF!</v>
      </c>
      <c r="AE1372" t="e">
        <f>RIGHT(#REF!,(FIND("Complex",#REF!,1)-7))</f>
        <v>#REF!</v>
      </c>
    </row>
    <row r="1373" spans="1:31" x14ac:dyDescent="0.25">
      <c r="A1373">
        <v>81</v>
      </c>
      <c r="B1373" t="s">
        <v>68</v>
      </c>
      <c r="C1373">
        <v>4</v>
      </c>
      <c r="D1373">
        <v>25</v>
      </c>
      <c r="E1373">
        <v>81</v>
      </c>
      <c r="F1373">
        <v>4498201</v>
      </c>
      <c r="G1373">
        <v>4586400</v>
      </c>
      <c r="H1373">
        <f t="shared" si="42"/>
        <v>102.00002267573696</v>
      </c>
      <c r="I1373">
        <f t="shared" si="43"/>
        <v>104</v>
      </c>
      <c r="J1373" t="s">
        <v>22</v>
      </c>
      <c r="K1373">
        <v>4</v>
      </c>
      <c r="L1373" t="e">
        <f t="array" ref="L1373">VLOOKUP(J1373:$J$3871&amp;K1373:$K$3871,CHOOSE({1,2},#REF!&amp;#REF!,#REF!),2,0)</f>
        <v>#N/A</v>
      </c>
      <c r="M1373">
        <v>0</v>
      </c>
      <c r="N1373">
        <v>1</v>
      </c>
      <c r="O1373" t="s">
        <v>23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1</v>
      </c>
      <c r="Y1373">
        <v>0</v>
      </c>
      <c r="Z1373">
        <v>1</v>
      </c>
      <c r="AA1373" t="s">
        <v>4830</v>
      </c>
      <c r="AB1373" t="s">
        <v>7126</v>
      </c>
      <c r="AC1373" t="s">
        <v>4830</v>
      </c>
      <c r="AD1373" t="e">
        <f>VLOOKUP(AB1373,#REF!,2,FALSE)</f>
        <v>#REF!</v>
      </c>
      <c r="AE1373" t="e">
        <f>RIGHT(#REF!,(FIND("Complex",#REF!,1)-6))</f>
        <v>#REF!</v>
      </c>
    </row>
    <row r="1374" spans="1:31" x14ac:dyDescent="0.25">
      <c r="A1374">
        <v>1664</v>
      </c>
      <c r="B1374" t="s">
        <v>81</v>
      </c>
      <c r="C1374">
        <v>5</v>
      </c>
      <c r="D1374">
        <v>501</v>
      </c>
      <c r="E1374">
        <v>1664</v>
      </c>
      <c r="F1374">
        <v>21520801</v>
      </c>
      <c r="G1374">
        <v>21609000</v>
      </c>
      <c r="H1374">
        <f t="shared" si="42"/>
        <v>488.00002267573694</v>
      </c>
      <c r="I1374">
        <f t="shared" si="43"/>
        <v>490</v>
      </c>
      <c r="J1374" t="s">
        <v>22</v>
      </c>
      <c r="K1374">
        <v>4</v>
      </c>
      <c r="L1374" t="e">
        <f t="array" ref="L1374">VLOOKUP(J1374:$J$3871&amp;K1374:$K$3871,CHOOSE({1,2},#REF!&amp;#REF!,#REF!),2,0)</f>
        <v>#N/A</v>
      </c>
      <c r="M1374">
        <v>0</v>
      </c>
      <c r="N1374">
        <v>1</v>
      </c>
      <c r="O1374" t="s">
        <v>23</v>
      </c>
      <c r="P1374">
        <v>0</v>
      </c>
      <c r="Q1374">
        <v>1</v>
      </c>
      <c r="R1374">
        <v>0</v>
      </c>
      <c r="S1374">
        <v>0</v>
      </c>
      <c r="T1374">
        <v>1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 t="s">
        <v>3882</v>
      </c>
      <c r="AB1374" t="s">
        <v>6529</v>
      </c>
      <c r="AC1374" t="s">
        <v>3882</v>
      </c>
      <c r="AD1374" t="e">
        <f>VLOOKUP(AB1374,#REF!,2,FALSE)</f>
        <v>#REF!</v>
      </c>
      <c r="AE1374" t="e">
        <f>RIGHT(#REF!,(FIND("Complex",#REF!,1)-8))</f>
        <v>#REF!</v>
      </c>
    </row>
    <row r="1375" spans="1:31" x14ac:dyDescent="0.25">
      <c r="A1375">
        <v>260</v>
      </c>
      <c r="B1375" t="s">
        <v>81</v>
      </c>
      <c r="C1375">
        <v>5</v>
      </c>
      <c r="D1375">
        <v>77</v>
      </c>
      <c r="E1375">
        <v>260</v>
      </c>
      <c r="F1375">
        <v>16140601</v>
      </c>
      <c r="G1375">
        <v>16228800</v>
      </c>
      <c r="H1375">
        <f t="shared" si="42"/>
        <v>366.00002267573694</v>
      </c>
      <c r="I1375">
        <f t="shared" si="43"/>
        <v>368</v>
      </c>
      <c r="J1375" t="s">
        <v>22</v>
      </c>
      <c r="K1375">
        <v>4</v>
      </c>
      <c r="L1375" t="e">
        <f t="array" ref="L1375">VLOOKUP(J1375:$J$3871&amp;K1375:$K$3871,CHOOSE({1,2},#REF!&amp;#REF!,#REF!),2,0)</f>
        <v>#N/A</v>
      </c>
      <c r="M1375">
        <v>0</v>
      </c>
      <c r="N1375">
        <v>1</v>
      </c>
      <c r="O1375" t="s">
        <v>23</v>
      </c>
      <c r="P1375">
        <v>1</v>
      </c>
      <c r="Q1375">
        <v>1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1</v>
      </c>
      <c r="Y1375">
        <v>0</v>
      </c>
      <c r="Z1375">
        <v>0</v>
      </c>
      <c r="AA1375" t="s">
        <v>3994</v>
      </c>
      <c r="AB1375" t="s">
        <v>6591</v>
      </c>
      <c r="AC1375" t="s">
        <v>3994</v>
      </c>
      <c r="AD1375" t="e">
        <f>VLOOKUP(AB1375,#REF!,2,FALSE)</f>
        <v>#REF!</v>
      </c>
      <c r="AE1375" t="e">
        <f>RIGHT(#REF!,(FIND("Complex",#REF!,1)-7))</f>
        <v>#REF!</v>
      </c>
    </row>
    <row r="1376" spans="1:31" x14ac:dyDescent="0.25">
      <c r="A1376">
        <v>2145</v>
      </c>
      <c r="B1376" t="s">
        <v>94</v>
      </c>
      <c r="C1376">
        <v>7</v>
      </c>
      <c r="D1376">
        <v>655</v>
      </c>
      <c r="E1376">
        <v>2145</v>
      </c>
      <c r="F1376">
        <v>2205001</v>
      </c>
      <c r="G1376">
        <v>2293200</v>
      </c>
      <c r="H1376">
        <f t="shared" si="42"/>
        <v>50.000022675736965</v>
      </c>
      <c r="I1376">
        <f t="shared" si="43"/>
        <v>52</v>
      </c>
      <c r="J1376" t="s">
        <v>22</v>
      </c>
      <c r="K1376">
        <v>4</v>
      </c>
      <c r="L1376" t="e">
        <f t="array" ref="L1376">VLOOKUP(J1376:$J$3871&amp;K1376:$K$3871,CHOOSE({1,2},#REF!&amp;#REF!,#REF!),2,0)</f>
        <v>#N/A</v>
      </c>
      <c r="M1376">
        <v>0</v>
      </c>
      <c r="N1376">
        <v>1</v>
      </c>
      <c r="O1376" t="s">
        <v>23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1</v>
      </c>
      <c r="X1376">
        <v>1</v>
      </c>
      <c r="Y1376">
        <v>0</v>
      </c>
      <c r="Z1376">
        <v>0</v>
      </c>
      <c r="AA1376" t="s">
        <v>3869</v>
      </c>
      <c r="AB1376" t="s">
        <v>6523</v>
      </c>
      <c r="AC1376" t="s">
        <v>3869</v>
      </c>
      <c r="AD1376" t="e">
        <f>VLOOKUP(AB1376,#REF!,2,FALSE)</f>
        <v>#REF!</v>
      </c>
      <c r="AE1376" t="e">
        <f>RIGHT(#REF!,(FIND("Complex",#REF!,1)-9))</f>
        <v>#REF!</v>
      </c>
    </row>
    <row r="1377" spans="1:31" x14ac:dyDescent="0.25">
      <c r="A1377">
        <v>2401</v>
      </c>
      <c r="B1377" t="s">
        <v>94</v>
      </c>
      <c r="C1377">
        <v>7</v>
      </c>
      <c r="D1377">
        <v>766</v>
      </c>
      <c r="E1377">
        <v>2401</v>
      </c>
      <c r="F1377">
        <v>2028601</v>
      </c>
      <c r="G1377">
        <v>2116800</v>
      </c>
      <c r="H1377">
        <f t="shared" si="42"/>
        <v>46.000022675736965</v>
      </c>
      <c r="I1377">
        <f t="shared" si="43"/>
        <v>48</v>
      </c>
      <c r="J1377" t="s">
        <v>22</v>
      </c>
      <c r="K1377">
        <v>4</v>
      </c>
      <c r="L1377" t="e">
        <f t="array" ref="L1377">VLOOKUP(J1377:$J$3871&amp;K1377:$K$3871,CHOOSE({1,2},#REF!&amp;#REF!,#REF!),2,0)</f>
        <v>#N/A</v>
      </c>
      <c r="M1377">
        <v>0</v>
      </c>
      <c r="N1377">
        <v>1</v>
      </c>
      <c r="O1377" t="s">
        <v>23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0</v>
      </c>
      <c r="V1377">
        <v>1</v>
      </c>
      <c r="W1377">
        <v>1</v>
      </c>
      <c r="X1377">
        <v>1</v>
      </c>
      <c r="Y1377">
        <v>0</v>
      </c>
      <c r="Z1377">
        <v>0</v>
      </c>
      <c r="AA1377" t="s">
        <v>3900</v>
      </c>
      <c r="AB1377" t="s">
        <v>464</v>
      </c>
      <c r="AC1377" t="s">
        <v>3900</v>
      </c>
      <c r="AD1377" t="e">
        <f>VLOOKUP(AB1377,#REF!,2,FALSE)</f>
        <v>#REF!</v>
      </c>
      <c r="AE1377" t="e">
        <f>RIGHT(#REF!,(FIND("Complex",#REF!,1)-9))</f>
        <v>#REF!</v>
      </c>
    </row>
    <row r="1378" spans="1:31" x14ac:dyDescent="0.25">
      <c r="A1378">
        <v>2465</v>
      </c>
      <c r="B1378" t="s">
        <v>94</v>
      </c>
      <c r="C1378">
        <v>7</v>
      </c>
      <c r="D1378">
        <v>799</v>
      </c>
      <c r="E1378">
        <v>2465</v>
      </c>
      <c r="F1378">
        <v>1940401</v>
      </c>
      <c r="G1378">
        <v>2028600</v>
      </c>
      <c r="H1378">
        <f t="shared" si="42"/>
        <v>44.000022675736965</v>
      </c>
      <c r="I1378">
        <f t="shared" si="43"/>
        <v>46</v>
      </c>
      <c r="J1378" t="s">
        <v>22</v>
      </c>
      <c r="K1378">
        <v>4</v>
      </c>
      <c r="L1378" t="e">
        <f t="array" ref="L1378">VLOOKUP(J1378:$J$3871&amp;K1378:$K$3871,CHOOSE({1,2},#REF!&amp;#REF!,#REF!),2,0)</f>
        <v>#N/A</v>
      </c>
      <c r="M1378">
        <v>0</v>
      </c>
      <c r="N1378">
        <v>1</v>
      </c>
      <c r="O1378" t="s">
        <v>23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0</v>
      </c>
      <c r="V1378">
        <v>1</v>
      </c>
      <c r="W1378">
        <v>1</v>
      </c>
      <c r="X1378">
        <v>1</v>
      </c>
      <c r="Y1378">
        <v>0</v>
      </c>
      <c r="Z1378">
        <v>0</v>
      </c>
      <c r="AA1378" t="s">
        <v>3910</v>
      </c>
      <c r="AB1378" t="s">
        <v>465</v>
      </c>
      <c r="AC1378" t="s">
        <v>3910</v>
      </c>
      <c r="AD1378" t="e">
        <f>VLOOKUP(AB1378,#REF!,2,FALSE)</f>
        <v>#REF!</v>
      </c>
      <c r="AE1378" t="e">
        <f>RIGHT(#REF!,(FIND("Complex",#REF!,1)-9))</f>
        <v>#REF!</v>
      </c>
    </row>
    <row r="1379" spans="1:31" x14ac:dyDescent="0.25">
      <c r="A1379">
        <v>1938</v>
      </c>
      <c r="B1379" t="s">
        <v>89</v>
      </c>
      <c r="C1379">
        <v>8</v>
      </c>
      <c r="D1379">
        <v>588</v>
      </c>
      <c r="E1379">
        <v>1938</v>
      </c>
      <c r="F1379">
        <v>2028601</v>
      </c>
      <c r="G1379">
        <v>2116800</v>
      </c>
      <c r="H1379">
        <f t="shared" si="42"/>
        <v>46.000022675736965</v>
      </c>
      <c r="I1379">
        <f t="shared" si="43"/>
        <v>48</v>
      </c>
      <c r="J1379" t="s">
        <v>22</v>
      </c>
      <c r="K1379">
        <v>4</v>
      </c>
      <c r="L1379" t="e">
        <f t="array" ref="L1379">VLOOKUP(J1379:$J$3871&amp;K1379:$K$3871,CHOOSE({1,2},#REF!&amp;#REF!,#REF!),2,0)</f>
        <v>#N/A</v>
      </c>
      <c r="M1379">
        <v>0</v>
      </c>
      <c r="N1379">
        <v>1</v>
      </c>
      <c r="O1379" t="s">
        <v>23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1</v>
      </c>
      <c r="Y1379">
        <v>0</v>
      </c>
      <c r="Z1379">
        <v>1</v>
      </c>
      <c r="AA1379" t="s">
        <v>3898</v>
      </c>
      <c r="AB1379" t="s">
        <v>6538</v>
      </c>
      <c r="AC1379" t="s">
        <v>3898</v>
      </c>
      <c r="AD1379" t="e">
        <f>VLOOKUP(AB1379,#REF!,2,FALSE)</f>
        <v>#REF!</v>
      </c>
      <c r="AE1379" t="e">
        <f>RIGHT(#REF!,(FIND("Complex",#REF!,1)-9))</f>
        <v>#REF!</v>
      </c>
    </row>
    <row r="1380" spans="1:31" x14ac:dyDescent="0.25">
      <c r="A1380">
        <v>1661</v>
      </c>
      <c r="B1380" t="s">
        <v>89</v>
      </c>
      <c r="C1380">
        <v>8</v>
      </c>
      <c r="D1380">
        <v>500</v>
      </c>
      <c r="E1380">
        <v>1661</v>
      </c>
      <c r="F1380">
        <v>1852201</v>
      </c>
      <c r="G1380">
        <v>1940400</v>
      </c>
      <c r="H1380">
        <f t="shared" si="42"/>
        <v>42.000022675736965</v>
      </c>
      <c r="I1380">
        <f t="shared" si="43"/>
        <v>44</v>
      </c>
      <c r="J1380" t="s">
        <v>22</v>
      </c>
      <c r="K1380">
        <v>4</v>
      </c>
      <c r="L1380" t="e">
        <f t="array" ref="L1380">VLOOKUP(J1380:$J$3871&amp;K1380:$K$3871,CHOOSE({1,2},#REF!&amp;#REF!,#REF!),2,0)</f>
        <v>#N/A</v>
      </c>
      <c r="M1380">
        <v>0</v>
      </c>
      <c r="N1380">
        <v>1</v>
      </c>
      <c r="O1380" t="s">
        <v>23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1</v>
      </c>
      <c r="Y1380">
        <v>0</v>
      </c>
      <c r="Z1380">
        <v>1</v>
      </c>
      <c r="AA1380" t="s">
        <v>3924</v>
      </c>
      <c r="AB1380" t="s">
        <v>6554</v>
      </c>
      <c r="AC1380" t="s">
        <v>3924</v>
      </c>
      <c r="AD1380" t="e">
        <f>VLOOKUP(AB1380,#REF!,2,FALSE)</f>
        <v>#REF!</v>
      </c>
      <c r="AE1380" t="e">
        <f>RIGHT(#REF!,(FIND("Complex",#REF!,1)-9))</f>
        <v>#REF!</v>
      </c>
    </row>
    <row r="1381" spans="1:31" x14ac:dyDescent="0.25">
      <c r="A1381">
        <v>2262</v>
      </c>
      <c r="B1381" t="s">
        <v>89</v>
      </c>
      <c r="C1381">
        <v>8</v>
      </c>
      <c r="D1381">
        <v>703</v>
      </c>
      <c r="E1381">
        <v>2262</v>
      </c>
      <c r="F1381">
        <v>970201</v>
      </c>
      <c r="G1381">
        <v>1058400</v>
      </c>
      <c r="H1381">
        <f t="shared" si="42"/>
        <v>22.000022675736961</v>
      </c>
      <c r="I1381">
        <f t="shared" si="43"/>
        <v>24</v>
      </c>
      <c r="J1381" t="s">
        <v>22</v>
      </c>
      <c r="K1381">
        <v>4</v>
      </c>
      <c r="L1381" t="e">
        <f t="array" ref="L1381">VLOOKUP(J1381:$J$3871&amp;K1381:$K$3871,CHOOSE({1,2},#REF!&amp;#REF!,#REF!),2,0)</f>
        <v>#N/A</v>
      </c>
      <c r="M1381">
        <v>0</v>
      </c>
      <c r="N1381">
        <v>1</v>
      </c>
      <c r="O1381" t="s">
        <v>23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1</v>
      </c>
      <c r="Y1381">
        <v>0</v>
      </c>
      <c r="Z1381">
        <v>1</v>
      </c>
      <c r="AA1381" t="s">
        <v>4238</v>
      </c>
      <c r="AB1381" t="s">
        <v>6766</v>
      </c>
      <c r="AC1381" t="s">
        <v>4238</v>
      </c>
      <c r="AD1381" t="e">
        <f>VLOOKUP(AB1381,#REF!,2,FALSE)</f>
        <v>#REF!</v>
      </c>
      <c r="AE1381" t="e">
        <f>RIGHT(#REF!,(FIND("Complex",#REF!,1)-9))</f>
        <v>#REF!</v>
      </c>
    </row>
    <row r="1382" spans="1:31" x14ac:dyDescent="0.25">
      <c r="A1382">
        <v>1212</v>
      </c>
      <c r="B1382" t="s">
        <v>89</v>
      </c>
      <c r="C1382">
        <v>8</v>
      </c>
      <c r="D1382">
        <v>364</v>
      </c>
      <c r="E1382">
        <v>1212</v>
      </c>
      <c r="F1382">
        <v>882001</v>
      </c>
      <c r="G1382">
        <v>970200</v>
      </c>
      <c r="H1382">
        <f t="shared" si="42"/>
        <v>20.000022675736961</v>
      </c>
      <c r="I1382">
        <f t="shared" si="43"/>
        <v>22</v>
      </c>
      <c r="J1382" t="s">
        <v>22</v>
      </c>
      <c r="K1382">
        <v>4</v>
      </c>
      <c r="L1382" t="e">
        <f t="array" ref="L1382">VLOOKUP(J1382:$J$3871&amp;K1382:$K$3871,CHOOSE({1,2},#REF!&amp;#REF!,#REF!),2,0)</f>
        <v>#N/A</v>
      </c>
      <c r="M1382">
        <v>0</v>
      </c>
      <c r="N1382">
        <v>1</v>
      </c>
      <c r="O1382" t="s">
        <v>23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1</v>
      </c>
      <c r="Y1382">
        <v>0</v>
      </c>
      <c r="Z1382">
        <v>1</v>
      </c>
      <c r="AA1382" t="s">
        <v>4303</v>
      </c>
      <c r="AB1382" t="s">
        <v>6803</v>
      </c>
      <c r="AC1382" t="s">
        <v>4303</v>
      </c>
      <c r="AD1382" t="e">
        <f>VLOOKUP(AB1382,#REF!,2,FALSE)</f>
        <v>#REF!</v>
      </c>
      <c r="AE1382" t="e">
        <f>RIGHT(#REF!,(FIND("Complex",#REF!,1)-9))</f>
        <v>#REF!</v>
      </c>
    </row>
    <row r="1383" spans="1:31" x14ac:dyDescent="0.25">
      <c r="A1383">
        <v>2340</v>
      </c>
      <c r="B1383" t="s">
        <v>89</v>
      </c>
      <c r="C1383">
        <v>8</v>
      </c>
      <c r="D1383">
        <v>741</v>
      </c>
      <c r="E1383">
        <v>2340</v>
      </c>
      <c r="F1383">
        <v>88201</v>
      </c>
      <c r="G1383">
        <v>176400</v>
      </c>
      <c r="H1383">
        <f t="shared" si="42"/>
        <v>2.0000226757369615</v>
      </c>
      <c r="I1383">
        <f t="shared" si="43"/>
        <v>4</v>
      </c>
      <c r="J1383" t="s">
        <v>22</v>
      </c>
      <c r="K1383">
        <v>4</v>
      </c>
      <c r="L1383" t="e">
        <f t="array" ref="L1383">VLOOKUP(J1383:$J$3871&amp;K1383:$K$3871,CHOOSE({1,2},#REF!&amp;#REF!,#REF!),2,0)</f>
        <v>#N/A</v>
      </c>
      <c r="M1383">
        <v>0</v>
      </c>
      <c r="N1383">
        <v>1</v>
      </c>
      <c r="O1383" t="s">
        <v>23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1</v>
      </c>
      <c r="Y1383">
        <v>0</v>
      </c>
      <c r="Z1383">
        <v>1</v>
      </c>
      <c r="AA1383" t="s">
        <v>4321</v>
      </c>
      <c r="AB1383" t="s">
        <v>6812</v>
      </c>
      <c r="AC1383" t="s">
        <v>4321</v>
      </c>
      <c r="AD1383" t="e">
        <f>VLOOKUP(AB1383,#REF!,2,FALSE)</f>
        <v>#REF!</v>
      </c>
      <c r="AE1383" t="e">
        <f>RIGHT(#REF!,(FIND("Complex",#REF!,1)-10))</f>
        <v>#REF!</v>
      </c>
    </row>
    <row r="1384" spans="1:31" x14ac:dyDescent="0.25">
      <c r="A1384">
        <v>1941</v>
      </c>
      <c r="B1384" t="s">
        <v>234</v>
      </c>
      <c r="C1384">
        <v>10</v>
      </c>
      <c r="D1384">
        <v>589</v>
      </c>
      <c r="E1384">
        <v>1941</v>
      </c>
      <c r="F1384">
        <v>1940401</v>
      </c>
      <c r="G1384">
        <v>2028600</v>
      </c>
      <c r="H1384">
        <f t="shared" si="42"/>
        <v>44.000022675736965</v>
      </c>
      <c r="I1384">
        <f t="shared" si="43"/>
        <v>46</v>
      </c>
      <c r="J1384" t="s">
        <v>22</v>
      </c>
      <c r="K1384">
        <v>4</v>
      </c>
      <c r="L1384" t="e">
        <f t="array" ref="L1384">VLOOKUP(J1384:$J$3871&amp;K1384:$K$3871,CHOOSE({1,2},#REF!&amp;#REF!,#REF!),2,0)</f>
        <v>#N/A</v>
      </c>
      <c r="M1384">
        <v>0</v>
      </c>
      <c r="N1384">
        <v>1</v>
      </c>
      <c r="O1384" t="s">
        <v>23</v>
      </c>
      <c r="P1384">
        <v>1</v>
      </c>
      <c r="Q1384">
        <v>1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1</v>
      </c>
      <c r="Y1384">
        <v>0</v>
      </c>
      <c r="Z1384">
        <v>0</v>
      </c>
      <c r="AA1384" t="s">
        <v>3922</v>
      </c>
      <c r="AB1384" t="s">
        <v>6553</v>
      </c>
      <c r="AC1384" t="s">
        <v>3922</v>
      </c>
      <c r="AD1384" t="e">
        <f>VLOOKUP(AB1384,#REF!,2,FALSE)</f>
        <v>#REF!</v>
      </c>
      <c r="AE1384" t="e">
        <f>RIGHT(#REF!,(FIND("Complex",#REF!,1)-8))</f>
        <v>#REF!</v>
      </c>
    </row>
    <row r="1385" spans="1:31" x14ac:dyDescent="0.25">
      <c r="A1385">
        <v>1844</v>
      </c>
      <c r="B1385" t="s">
        <v>234</v>
      </c>
      <c r="C1385">
        <v>10</v>
      </c>
      <c r="D1385">
        <v>557</v>
      </c>
      <c r="E1385">
        <v>1844</v>
      </c>
      <c r="F1385">
        <v>1764001</v>
      </c>
      <c r="G1385">
        <v>1852200</v>
      </c>
      <c r="H1385">
        <f t="shared" si="42"/>
        <v>40.000022675736965</v>
      </c>
      <c r="I1385">
        <f t="shared" si="43"/>
        <v>42</v>
      </c>
      <c r="J1385" t="s">
        <v>22</v>
      </c>
      <c r="K1385">
        <v>4</v>
      </c>
      <c r="L1385" t="e">
        <f t="array" ref="L1385">VLOOKUP(J1385:$J$3871&amp;K1385:$K$3871,CHOOSE({1,2},#REF!&amp;#REF!,#REF!),2,0)</f>
        <v>#N/A</v>
      </c>
      <c r="M1385">
        <v>0</v>
      </c>
      <c r="N1385">
        <v>1</v>
      </c>
      <c r="O1385" t="s">
        <v>23</v>
      </c>
      <c r="P1385">
        <v>1</v>
      </c>
      <c r="Q1385">
        <v>1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1</v>
      </c>
      <c r="Y1385">
        <v>0</v>
      </c>
      <c r="Z1385">
        <v>0</v>
      </c>
      <c r="AA1385" t="s">
        <v>3954</v>
      </c>
      <c r="AB1385" t="s">
        <v>6572</v>
      </c>
      <c r="AC1385" t="s">
        <v>3954</v>
      </c>
      <c r="AD1385" t="e">
        <f>VLOOKUP(AB1385,#REF!,2,FALSE)</f>
        <v>#REF!</v>
      </c>
      <c r="AE1385" t="e">
        <f>RIGHT(#REF!,(FIND("Complex",#REF!,1)-8))</f>
        <v>#REF!</v>
      </c>
    </row>
    <row r="1386" spans="1:31" x14ac:dyDescent="0.25">
      <c r="A1386">
        <v>387</v>
      </c>
      <c r="B1386" t="s">
        <v>234</v>
      </c>
      <c r="C1386">
        <v>10</v>
      </c>
      <c r="D1386">
        <v>123</v>
      </c>
      <c r="E1386">
        <v>387</v>
      </c>
      <c r="F1386">
        <v>1675801</v>
      </c>
      <c r="G1386">
        <v>1764000</v>
      </c>
      <c r="H1386">
        <f t="shared" si="42"/>
        <v>38.000022675736965</v>
      </c>
      <c r="I1386">
        <f t="shared" si="43"/>
        <v>40</v>
      </c>
      <c r="J1386" t="s">
        <v>22</v>
      </c>
      <c r="K1386">
        <v>4</v>
      </c>
      <c r="L1386" t="e">
        <f t="array" ref="L1386">VLOOKUP(J1386:$J$3871&amp;K1386:$K$3871,CHOOSE({1,2},#REF!&amp;#REF!,#REF!),2,0)</f>
        <v>#N/A</v>
      </c>
      <c r="M1386">
        <v>0</v>
      </c>
      <c r="N1386">
        <v>1</v>
      </c>
      <c r="O1386" t="s">
        <v>23</v>
      </c>
      <c r="P1386">
        <v>1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1</v>
      </c>
      <c r="Y1386">
        <v>0</v>
      </c>
      <c r="Z1386">
        <v>0</v>
      </c>
      <c r="AA1386" t="s">
        <v>3990</v>
      </c>
      <c r="AB1386" t="s">
        <v>6588</v>
      </c>
      <c r="AC1386" t="s">
        <v>3990</v>
      </c>
      <c r="AD1386" t="e">
        <f>VLOOKUP(AB1386,#REF!,2,FALSE)</f>
        <v>#REF!</v>
      </c>
      <c r="AE1386" t="e">
        <f>RIGHT(#REF!,(FIND("Complex",#REF!,1)-7))</f>
        <v>#REF!</v>
      </c>
    </row>
    <row r="1387" spans="1:31" x14ac:dyDescent="0.25">
      <c r="A1387">
        <v>2454</v>
      </c>
      <c r="B1387" t="s">
        <v>234</v>
      </c>
      <c r="C1387">
        <v>10</v>
      </c>
      <c r="D1387">
        <v>793</v>
      </c>
      <c r="E1387">
        <v>2454</v>
      </c>
      <c r="F1387">
        <v>1587601</v>
      </c>
      <c r="G1387">
        <v>1675800</v>
      </c>
      <c r="H1387">
        <f t="shared" si="42"/>
        <v>36.000022675736965</v>
      </c>
      <c r="I1387">
        <f t="shared" si="43"/>
        <v>38</v>
      </c>
      <c r="J1387" t="s">
        <v>22</v>
      </c>
      <c r="K1387">
        <v>4</v>
      </c>
      <c r="L1387" t="e">
        <f t="array" ref="L1387">VLOOKUP(J1387:$J$3871&amp;K1387:$K$3871,CHOOSE({1,2},#REF!&amp;#REF!,#REF!),2,0)</f>
        <v>#N/A</v>
      </c>
      <c r="M1387">
        <v>0</v>
      </c>
      <c r="N1387">
        <v>1</v>
      </c>
      <c r="O1387" t="s">
        <v>23</v>
      </c>
      <c r="P1387">
        <v>1</v>
      </c>
      <c r="Q1387">
        <v>1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1</v>
      </c>
      <c r="Y1387">
        <v>0</v>
      </c>
      <c r="Z1387">
        <v>0</v>
      </c>
      <c r="AA1387" t="s">
        <v>4012</v>
      </c>
      <c r="AB1387" t="s">
        <v>6604</v>
      </c>
      <c r="AC1387" t="s">
        <v>4012</v>
      </c>
      <c r="AD1387" t="e">
        <f>VLOOKUP(AB1387,#REF!,2,FALSE)</f>
        <v>#REF!</v>
      </c>
      <c r="AE1387" t="e">
        <f>RIGHT(#REF!,(FIND("Complex",#REF!,1)-8))</f>
        <v>#REF!</v>
      </c>
    </row>
    <row r="1388" spans="1:31" x14ac:dyDescent="0.25">
      <c r="A1388">
        <v>1301</v>
      </c>
      <c r="B1388" t="s">
        <v>234</v>
      </c>
      <c r="C1388">
        <v>10</v>
      </c>
      <c r="D1388">
        <v>398</v>
      </c>
      <c r="E1388">
        <v>1301</v>
      </c>
      <c r="F1388">
        <v>441001</v>
      </c>
      <c r="G1388">
        <v>529200</v>
      </c>
      <c r="H1388">
        <f t="shared" si="42"/>
        <v>10.000022675736961</v>
      </c>
      <c r="I1388">
        <f t="shared" si="43"/>
        <v>12</v>
      </c>
      <c r="J1388" t="s">
        <v>22</v>
      </c>
      <c r="K1388">
        <v>4</v>
      </c>
      <c r="L1388" t="e">
        <f t="array" ref="L1388">VLOOKUP(J1388:$J$3871&amp;K1388:$K$3871,CHOOSE({1,2},#REF!&amp;#REF!,#REF!),2,0)</f>
        <v>#N/A</v>
      </c>
      <c r="M1388">
        <v>0</v>
      </c>
      <c r="N1388">
        <v>1</v>
      </c>
      <c r="O1388" t="s">
        <v>23</v>
      </c>
      <c r="P1388">
        <v>1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1</v>
      </c>
      <c r="Y1388">
        <v>0</v>
      </c>
      <c r="Z1388">
        <v>0</v>
      </c>
      <c r="AA1388" t="s">
        <v>4867</v>
      </c>
      <c r="AB1388" t="s">
        <v>7145</v>
      </c>
      <c r="AC1388" t="s">
        <v>4867</v>
      </c>
      <c r="AD1388" t="e">
        <f>VLOOKUP(AB1388,#REF!,2,FALSE)</f>
        <v>#REF!</v>
      </c>
      <c r="AE1388" t="e">
        <f>RIGHT(#REF!,(FIND("Complex",#REF!,1)-8))</f>
        <v>#REF!</v>
      </c>
    </row>
    <row r="1389" spans="1:31" x14ac:dyDescent="0.25">
      <c r="A1389">
        <v>324</v>
      </c>
      <c r="B1389" t="s">
        <v>28</v>
      </c>
      <c r="C1389">
        <v>14</v>
      </c>
      <c r="D1389">
        <v>101</v>
      </c>
      <c r="E1389">
        <v>324</v>
      </c>
      <c r="F1389">
        <v>2557801</v>
      </c>
      <c r="G1389">
        <v>2646000</v>
      </c>
      <c r="H1389">
        <f t="shared" si="42"/>
        <v>58.000022675736965</v>
      </c>
      <c r="I1389">
        <f t="shared" si="43"/>
        <v>60</v>
      </c>
      <c r="J1389" t="s">
        <v>22</v>
      </c>
      <c r="K1389">
        <v>4</v>
      </c>
      <c r="L1389" t="e">
        <f t="array" ref="L1389">VLOOKUP(J1389:$J$3871&amp;K1389:$K$3871,CHOOSE({1,2},#REF!&amp;#REF!,#REF!),2,0)</f>
        <v>#N/A</v>
      </c>
      <c r="M1389">
        <v>0</v>
      </c>
      <c r="N1389">
        <v>1</v>
      </c>
      <c r="O1389" t="s">
        <v>23</v>
      </c>
      <c r="P1389">
        <v>0</v>
      </c>
      <c r="Q1389">
        <v>1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1</v>
      </c>
      <c r="X1389">
        <v>1</v>
      </c>
      <c r="Y1389">
        <v>0</v>
      </c>
      <c r="Z1389">
        <v>0</v>
      </c>
      <c r="AA1389" t="s">
        <v>3826</v>
      </c>
      <c r="AB1389" t="s">
        <v>6496</v>
      </c>
      <c r="AC1389" t="s">
        <v>3826</v>
      </c>
      <c r="AD1389" t="e">
        <f>VLOOKUP(AB1389,#REF!,2,FALSE)</f>
        <v>#REF!</v>
      </c>
      <c r="AE1389" t="e">
        <f>RIGHT(#REF!,(FIND("Complex",#REF!,1)-7))</f>
        <v>#REF!</v>
      </c>
    </row>
    <row r="1390" spans="1:31" x14ac:dyDescent="0.25">
      <c r="A1390">
        <v>1683</v>
      </c>
      <c r="B1390" t="s">
        <v>236</v>
      </c>
      <c r="C1390">
        <v>15</v>
      </c>
      <c r="D1390">
        <v>508</v>
      </c>
      <c r="E1390">
        <v>1683</v>
      </c>
      <c r="F1390">
        <v>3528001</v>
      </c>
      <c r="G1390">
        <v>3616200</v>
      </c>
      <c r="H1390">
        <f t="shared" si="42"/>
        <v>80.000022675736957</v>
      </c>
      <c r="I1390">
        <f t="shared" si="43"/>
        <v>82</v>
      </c>
      <c r="J1390" t="s">
        <v>22</v>
      </c>
      <c r="K1390">
        <v>4</v>
      </c>
      <c r="L1390" t="e">
        <f t="array" ref="L1390">VLOOKUP(J1390:$J$3871&amp;K1390:$K$3871,CHOOSE({1,2},#REF!&amp;#REF!,#REF!),2,0)</f>
        <v>#N/A</v>
      </c>
      <c r="M1390">
        <v>0</v>
      </c>
      <c r="N1390">
        <v>1</v>
      </c>
      <c r="O1390" t="s">
        <v>23</v>
      </c>
      <c r="P1390">
        <v>1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1</v>
      </c>
      <c r="Y1390">
        <v>0</v>
      </c>
      <c r="Z1390">
        <v>0</v>
      </c>
      <c r="AA1390" t="s">
        <v>3632</v>
      </c>
      <c r="AB1390" t="s">
        <v>632</v>
      </c>
      <c r="AC1390" t="s">
        <v>3632</v>
      </c>
      <c r="AD1390" t="e">
        <f>VLOOKUP(AB1390,#REF!,2,FALSE)</f>
        <v>#REF!</v>
      </c>
      <c r="AE1390" t="e">
        <f>RIGHT(#REF!,(FIND("Complex",#REF!,1)-8))</f>
        <v>#REF!</v>
      </c>
    </row>
    <row r="1391" spans="1:31" x14ac:dyDescent="0.25">
      <c r="A1391">
        <v>2197</v>
      </c>
      <c r="B1391" t="s">
        <v>236</v>
      </c>
      <c r="C1391">
        <v>15</v>
      </c>
      <c r="D1391">
        <v>678</v>
      </c>
      <c r="E1391">
        <v>2197</v>
      </c>
      <c r="F1391">
        <v>970201</v>
      </c>
      <c r="G1391">
        <v>1058400</v>
      </c>
      <c r="H1391">
        <f t="shared" si="42"/>
        <v>22.000022675736961</v>
      </c>
      <c r="I1391">
        <f t="shared" si="43"/>
        <v>24</v>
      </c>
      <c r="J1391" t="s">
        <v>22</v>
      </c>
      <c r="K1391">
        <v>4</v>
      </c>
      <c r="L1391" t="e">
        <f t="array" ref="L1391">VLOOKUP(J1391:$J$3871&amp;K1391:$K$3871,CHOOSE({1,2},#REF!&amp;#REF!,#REF!),2,0)</f>
        <v>#N/A</v>
      </c>
      <c r="M1391">
        <v>0</v>
      </c>
      <c r="N1391">
        <v>1</v>
      </c>
      <c r="O1391" t="s">
        <v>23</v>
      </c>
      <c r="P1391">
        <v>1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1</v>
      </c>
      <c r="Y1391">
        <v>0</v>
      </c>
      <c r="Z1391">
        <v>0</v>
      </c>
      <c r="AA1391" t="s">
        <v>4252</v>
      </c>
      <c r="AB1391" t="s">
        <v>6770</v>
      </c>
      <c r="AC1391" t="s">
        <v>4252</v>
      </c>
      <c r="AD1391" t="e">
        <f>VLOOKUP(AB1391,#REF!,2,FALSE)</f>
        <v>#REF!</v>
      </c>
      <c r="AE1391" t="e">
        <f>RIGHT(#REF!,(FIND("Complex",#REF!,1)-8))</f>
        <v>#REF!</v>
      </c>
    </row>
    <row r="1392" spans="1:31" x14ac:dyDescent="0.25">
      <c r="A1392">
        <v>1526</v>
      </c>
      <c r="B1392" t="s">
        <v>236</v>
      </c>
      <c r="C1392">
        <v>15</v>
      </c>
      <c r="D1392">
        <v>466</v>
      </c>
      <c r="E1392">
        <v>1526</v>
      </c>
      <c r="F1392">
        <v>8820001</v>
      </c>
      <c r="G1392">
        <v>8908200</v>
      </c>
      <c r="H1392">
        <f t="shared" si="42"/>
        <v>200.00002267573697</v>
      </c>
      <c r="I1392">
        <f t="shared" si="43"/>
        <v>202</v>
      </c>
      <c r="J1392" t="s">
        <v>22</v>
      </c>
      <c r="K1392">
        <v>4</v>
      </c>
      <c r="L1392" t="e">
        <f t="array" ref="L1392">VLOOKUP(J1392:$J$3871&amp;K1392:$K$3871,CHOOSE({1,2},#REF!&amp;#REF!,#REF!),2,0)</f>
        <v>#N/A</v>
      </c>
      <c r="M1392">
        <v>0</v>
      </c>
      <c r="N1392">
        <v>1</v>
      </c>
      <c r="O1392" t="s">
        <v>23</v>
      </c>
      <c r="P1392">
        <v>1</v>
      </c>
      <c r="Q1392">
        <v>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1</v>
      </c>
      <c r="Y1392">
        <v>0</v>
      </c>
      <c r="Z1392">
        <v>0</v>
      </c>
      <c r="AA1392" t="s">
        <v>4298</v>
      </c>
      <c r="AB1392" t="s">
        <v>633</v>
      </c>
      <c r="AC1392" t="s">
        <v>4298</v>
      </c>
      <c r="AD1392" t="e">
        <f>VLOOKUP(AB1392,#REF!,2,FALSE)</f>
        <v>#REF!</v>
      </c>
      <c r="AE1392" t="e">
        <f>RIGHT(#REF!,(FIND("Complex",#REF!,1)-7))</f>
        <v>#REF!</v>
      </c>
    </row>
    <row r="1393" spans="1:31" x14ac:dyDescent="0.25">
      <c r="A1393">
        <v>249</v>
      </c>
      <c r="B1393" t="s">
        <v>236</v>
      </c>
      <c r="C1393">
        <v>15</v>
      </c>
      <c r="D1393">
        <v>71</v>
      </c>
      <c r="E1393">
        <v>249</v>
      </c>
      <c r="F1393">
        <v>6967801</v>
      </c>
      <c r="G1393">
        <v>7056000</v>
      </c>
      <c r="H1393">
        <f t="shared" si="42"/>
        <v>158.00002267573697</v>
      </c>
      <c r="I1393">
        <f t="shared" si="43"/>
        <v>160</v>
      </c>
      <c r="J1393" t="s">
        <v>22</v>
      </c>
      <c r="K1393">
        <v>4</v>
      </c>
      <c r="L1393" t="e">
        <f t="array" ref="L1393">VLOOKUP(J1393:$J$3871&amp;K1393:$K$3871,CHOOSE({1,2},#REF!&amp;#REF!,#REF!),2,0)</f>
        <v>#N/A</v>
      </c>
      <c r="M1393">
        <v>0</v>
      </c>
      <c r="N1393">
        <v>1</v>
      </c>
      <c r="O1393" t="s">
        <v>23</v>
      </c>
      <c r="P1393">
        <v>1</v>
      </c>
      <c r="Q1393">
        <v>1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1</v>
      </c>
      <c r="Y1393">
        <v>0</v>
      </c>
      <c r="Z1393">
        <v>0</v>
      </c>
      <c r="AA1393" t="s">
        <v>4514</v>
      </c>
      <c r="AB1393" t="s">
        <v>6933</v>
      </c>
      <c r="AC1393" t="s">
        <v>4514</v>
      </c>
      <c r="AD1393" t="e">
        <f>VLOOKUP(AB1393,#REF!,2,FALSE)</f>
        <v>#REF!</v>
      </c>
      <c r="AE1393" t="e">
        <f>RIGHT(#REF!,(FIND("Complex",#REF!,1)-6))</f>
        <v>#REF!</v>
      </c>
    </row>
    <row r="1394" spans="1:31" x14ac:dyDescent="0.25">
      <c r="A1394">
        <v>1785</v>
      </c>
      <c r="B1394" t="s">
        <v>236</v>
      </c>
      <c r="C1394">
        <v>15</v>
      </c>
      <c r="D1394">
        <v>539</v>
      </c>
      <c r="E1394">
        <v>1785</v>
      </c>
      <c r="F1394">
        <v>529201</v>
      </c>
      <c r="G1394">
        <v>617400</v>
      </c>
      <c r="H1394">
        <f t="shared" si="42"/>
        <v>12.000022675736961</v>
      </c>
      <c r="I1394">
        <f t="shared" si="43"/>
        <v>14</v>
      </c>
      <c r="J1394" t="s">
        <v>22</v>
      </c>
      <c r="K1394">
        <v>4</v>
      </c>
      <c r="L1394" t="e">
        <f t="array" ref="L1394">VLOOKUP(J1394:$J$3871&amp;K1394:$K$3871,CHOOSE({1,2},#REF!&amp;#REF!,#REF!),2,0)</f>
        <v>#N/A</v>
      </c>
      <c r="M1394">
        <v>0</v>
      </c>
      <c r="N1394">
        <v>1</v>
      </c>
      <c r="O1394" t="s">
        <v>23</v>
      </c>
      <c r="P1394">
        <v>1</v>
      </c>
      <c r="Q1394">
        <v>1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1</v>
      </c>
      <c r="Y1394">
        <v>0</v>
      </c>
      <c r="Z1394">
        <v>0</v>
      </c>
      <c r="AA1394" t="s">
        <v>4741</v>
      </c>
      <c r="AB1394" t="s">
        <v>634</v>
      </c>
      <c r="AC1394" t="s">
        <v>4741</v>
      </c>
      <c r="AD1394" t="e">
        <f>VLOOKUP(AB1394,#REF!,2,FALSE)</f>
        <v>#REF!</v>
      </c>
      <c r="AE1394" t="e">
        <f>RIGHT(#REF!,(FIND("Complex",#REF!,1)-8))</f>
        <v>#REF!</v>
      </c>
    </row>
    <row r="1395" spans="1:31" x14ac:dyDescent="0.25">
      <c r="A1395">
        <v>745</v>
      </c>
      <c r="B1395" t="s">
        <v>236</v>
      </c>
      <c r="C1395">
        <v>15</v>
      </c>
      <c r="D1395">
        <v>230</v>
      </c>
      <c r="E1395">
        <v>745</v>
      </c>
      <c r="F1395">
        <v>4939201</v>
      </c>
      <c r="G1395">
        <v>5027400</v>
      </c>
      <c r="H1395">
        <f t="shared" si="42"/>
        <v>112.00002267573696</v>
      </c>
      <c r="I1395">
        <f t="shared" si="43"/>
        <v>114</v>
      </c>
      <c r="J1395" t="s">
        <v>22</v>
      </c>
      <c r="K1395">
        <v>4</v>
      </c>
      <c r="L1395" t="e">
        <f t="array" ref="L1395">VLOOKUP(J1395:$J$3871&amp;K1395:$K$3871,CHOOSE({1,2},#REF!&amp;#REF!,#REF!),2,0)</f>
        <v>#N/A</v>
      </c>
      <c r="M1395">
        <v>0</v>
      </c>
      <c r="N1395">
        <v>1</v>
      </c>
      <c r="O1395" t="s">
        <v>23</v>
      </c>
      <c r="P1395">
        <v>1</v>
      </c>
      <c r="Q1395">
        <v>1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1</v>
      </c>
      <c r="Y1395">
        <v>0</v>
      </c>
      <c r="Z1395">
        <v>0</v>
      </c>
      <c r="AA1395" t="s">
        <v>4775</v>
      </c>
      <c r="AB1395" t="s">
        <v>7096</v>
      </c>
      <c r="AC1395" t="s">
        <v>4775</v>
      </c>
      <c r="AD1395" t="e">
        <f>VLOOKUP(AB1395,#REF!,2,FALSE)</f>
        <v>#REF!</v>
      </c>
      <c r="AE1395" t="e">
        <f>RIGHT(#REF!,(FIND("Complex",#REF!,1)-6))</f>
        <v>#REF!</v>
      </c>
    </row>
    <row r="1396" spans="1:31" x14ac:dyDescent="0.25">
      <c r="A1396">
        <v>2599</v>
      </c>
      <c r="B1396" t="s">
        <v>236</v>
      </c>
      <c r="C1396">
        <v>15</v>
      </c>
      <c r="D1396">
        <v>852</v>
      </c>
      <c r="E1396">
        <v>2599</v>
      </c>
      <c r="F1396">
        <v>4674601</v>
      </c>
      <c r="G1396">
        <v>4762800</v>
      </c>
      <c r="H1396">
        <f t="shared" si="42"/>
        <v>106.00002267573696</v>
      </c>
      <c r="I1396">
        <f t="shared" si="43"/>
        <v>108</v>
      </c>
      <c r="J1396" t="s">
        <v>22</v>
      </c>
      <c r="K1396">
        <v>4</v>
      </c>
      <c r="L1396" t="e">
        <f t="array" ref="L1396">VLOOKUP(J1396:$J$3871&amp;K1396:$K$3871,CHOOSE({1,2},#REF!&amp;#REF!,#REF!),2,0)</f>
        <v>#N/A</v>
      </c>
      <c r="M1396">
        <v>0</v>
      </c>
      <c r="N1396">
        <v>1</v>
      </c>
      <c r="O1396" t="s">
        <v>23</v>
      </c>
      <c r="P1396">
        <v>1</v>
      </c>
      <c r="Q1396">
        <v>1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1</v>
      </c>
      <c r="Y1396">
        <v>0</v>
      </c>
      <c r="Z1396">
        <v>0</v>
      </c>
      <c r="AA1396" t="s">
        <v>4807</v>
      </c>
      <c r="AB1396" t="s">
        <v>7112</v>
      </c>
      <c r="AC1396" t="s">
        <v>4807</v>
      </c>
      <c r="AD1396" t="e">
        <f>VLOOKUP(AB1396,#REF!,2,FALSE)</f>
        <v>#REF!</v>
      </c>
      <c r="AE1396" t="e">
        <f>RIGHT(#REF!,(FIND("Complex",#REF!,1)-7))</f>
        <v>#REF!</v>
      </c>
    </row>
    <row r="1397" spans="1:31" x14ac:dyDescent="0.25">
      <c r="A1397">
        <v>19</v>
      </c>
      <c r="B1397" t="s">
        <v>236</v>
      </c>
      <c r="C1397">
        <v>15</v>
      </c>
      <c r="D1397">
        <v>6</v>
      </c>
      <c r="E1397">
        <v>19</v>
      </c>
      <c r="F1397">
        <v>4586401</v>
      </c>
      <c r="G1397">
        <v>4674600</v>
      </c>
      <c r="H1397">
        <f t="shared" si="42"/>
        <v>104.00002267573696</v>
      </c>
      <c r="I1397">
        <f t="shared" si="43"/>
        <v>106</v>
      </c>
      <c r="J1397" t="s">
        <v>22</v>
      </c>
      <c r="K1397">
        <v>4</v>
      </c>
      <c r="L1397" t="e">
        <f t="array" ref="L1397">VLOOKUP(J1397:$J$3871&amp;K1397:$K$3871,CHOOSE({1,2},#REF!&amp;#REF!,#REF!),2,0)</f>
        <v>#N/A</v>
      </c>
      <c r="M1397">
        <v>0</v>
      </c>
      <c r="N1397">
        <v>1</v>
      </c>
      <c r="O1397" t="s">
        <v>23</v>
      </c>
      <c r="P1397">
        <v>1</v>
      </c>
      <c r="Q1397">
        <v>1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1</v>
      </c>
      <c r="Y1397">
        <v>0</v>
      </c>
      <c r="Z1397">
        <v>0</v>
      </c>
      <c r="AA1397" t="s">
        <v>4821</v>
      </c>
      <c r="AB1397" t="s">
        <v>635</v>
      </c>
      <c r="AC1397" t="s">
        <v>4821</v>
      </c>
      <c r="AD1397" t="e">
        <f>VLOOKUP(AB1397,#REF!,2,FALSE)</f>
        <v>#REF!</v>
      </c>
      <c r="AE1397" t="e">
        <f>RIGHT(#REF!,(FIND("Complex",#REF!,1)-5))</f>
        <v>#REF!</v>
      </c>
    </row>
    <row r="1398" spans="1:31" x14ac:dyDescent="0.25">
      <c r="A1398">
        <v>2357</v>
      </c>
      <c r="B1398" t="s">
        <v>236</v>
      </c>
      <c r="C1398">
        <v>15</v>
      </c>
      <c r="D1398">
        <v>749</v>
      </c>
      <c r="E1398">
        <v>2357</v>
      </c>
      <c r="F1398">
        <v>4410001</v>
      </c>
      <c r="G1398">
        <v>4498200</v>
      </c>
      <c r="H1398">
        <f t="shared" si="42"/>
        <v>100.00002267573696</v>
      </c>
      <c r="I1398">
        <f t="shared" si="43"/>
        <v>102</v>
      </c>
      <c r="J1398" t="s">
        <v>22</v>
      </c>
      <c r="K1398">
        <v>4</v>
      </c>
      <c r="L1398" t="e">
        <f t="array" ref="L1398">VLOOKUP(J1398:$J$3871&amp;K1398:$K$3871,CHOOSE({1,2},#REF!&amp;#REF!,#REF!),2,0)</f>
        <v>#N/A</v>
      </c>
      <c r="M1398">
        <v>0</v>
      </c>
      <c r="N1398">
        <v>1</v>
      </c>
      <c r="O1398" t="s">
        <v>23</v>
      </c>
      <c r="P1398">
        <v>1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1</v>
      </c>
      <c r="Y1398">
        <v>0</v>
      </c>
      <c r="Z1398">
        <v>0</v>
      </c>
      <c r="AA1398" t="s">
        <v>4846</v>
      </c>
      <c r="AB1398" t="s">
        <v>7136</v>
      </c>
      <c r="AC1398" t="s">
        <v>4846</v>
      </c>
      <c r="AD1398" t="e">
        <f>VLOOKUP(AB1398,#REF!,2,FALSE)</f>
        <v>#REF!</v>
      </c>
      <c r="AE1398" t="e">
        <f>RIGHT(#REF!,(FIND("Complex",#REF!,1)-7))</f>
        <v>#REF!</v>
      </c>
    </row>
    <row r="1399" spans="1:31" x14ac:dyDescent="0.25">
      <c r="A1399">
        <v>2219</v>
      </c>
      <c r="B1399" t="s">
        <v>237</v>
      </c>
      <c r="C1399">
        <v>16</v>
      </c>
      <c r="D1399">
        <v>685</v>
      </c>
      <c r="E1399">
        <v>2219</v>
      </c>
      <c r="F1399">
        <v>1234801</v>
      </c>
      <c r="G1399">
        <v>1323000</v>
      </c>
      <c r="H1399">
        <f t="shared" si="42"/>
        <v>28.000022675736961</v>
      </c>
      <c r="I1399">
        <f t="shared" si="43"/>
        <v>30</v>
      </c>
      <c r="J1399" t="s">
        <v>22</v>
      </c>
      <c r="K1399">
        <v>4</v>
      </c>
      <c r="L1399" t="e">
        <f t="array" ref="L1399">VLOOKUP(J1399:$J$3871&amp;K1399:$K$3871,CHOOSE({1,2},#REF!&amp;#REF!,#REF!),2,0)</f>
        <v>#N/A</v>
      </c>
      <c r="M1399">
        <v>0</v>
      </c>
      <c r="N1399">
        <v>1</v>
      </c>
      <c r="O1399" t="s">
        <v>23</v>
      </c>
      <c r="P1399">
        <v>1</v>
      </c>
      <c r="Q1399">
        <v>1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1</v>
      </c>
      <c r="Y1399">
        <v>0</v>
      </c>
      <c r="Z1399">
        <v>0</v>
      </c>
      <c r="AA1399" t="s">
        <v>4111</v>
      </c>
      <c r="AB1399" t="s">
        <v>6673</v>
      </c>
      <c r="AC1399" t="s">
        <v>4111</v>
      </c>
      <c r="AD1399" t="e">
        <f>VLOOKUP(AB1399,#REF!,2,FALSE)</f>
        <v>#REF!</v>
      </c>
      <c r="AE1399" t="e">
        <f>RIGHT(#REF!,(FIND("Complex",#REF!,1)-8))</f>
        <v>#REF!</v>
      </c>
    </row>
    <row r="1400" spans="1:31" x14ac:dyDescent="0.25">
      <c r="A1400">
        <v>1712</v>
      </c>
      <c r="B1400" t="s">
        <v>237</v>
      </c>
      <c r="C1400">
        <v>16</v>
      </c>
      <c r="D1400">
        <v>518</v>
      </c>
      <c r="E1400">
        <v>1712</v>
      </c>
      <c r="F1400">
        <v>4410001</v>
      </c>
      <c r="G1400">
        <v>4498200</v>
      </c>
      <c r="H1400">
        <f t="shared" si="42"/>
        <v>100.00002267573696</v>
      </c>
      <c r="I1400">
        <f t="shared" si="43"/>
        <v>102</v>
      </c>
      <c r="J1400" t="s">
        <v>22</v>
      </c>
      <c r="K1400">
        <v>4</v>
      </c>
      <c r="L1400" t="e">
        <f t="array" ref="L1400">VLOOKUP(J1400:$J$3871&amp;K1400:$K$3871,CHOOSE({1,2},#REF!&amp;#REF!,#REF!),2,0)</f>
        <v>#N/A</v>
      </c>
      <c r="M1400">
        <v>0</v>
      </c>
      <c r="N1400">
        <v>1</v>
      </c>
      <c r="O1400" t="s">
        <v>23</v>
      </c>
      <c r="P1400">
        <v>0</v>
      </c>
      <c r="Q1400">
        <v>1</v>
      </c>
      <c r="R1400">
        <v>0</v>
      </c>
      <c r="S1400">
        <v>0</v>
      </c>
      <c r="T1400">
        <v>1</v>
      </c>
      <c r="U1400">
        <v>0</v>
      </c>
      <c r="V1400">
        <v>0</v>
      </c>
      <c r="W1400">
        <v>1</v>
      </c>
      <c r="X1400">
        <v>1</v>
      </c>
      <c r="Y1400">
        <v>0</v>
      </c>
      <c r="Z1400">
        <v>0</v>
      </c>
      <c r="AA1400" t="s">
        <v>4845</v>
      </c>
      <c r="AB1400" t="s">
        <v>7135</v>
      </c>
      <c r="AC1400" t="s">
        <v>4845</v>
      </c>
      <c r="AD1400" t="e">
        <f>VLOOKUP(AB1400,#REF!,2,FALSE)</f>
        <v>#REF!</v>
      </c>
      <c r="AE1400" t="e">
        <f>RIGHT(#REF!,(FIND("Complex",#REF!,1)-7))</f>
        <v>#REF!</v>
      </c>
    </row>
    <row r="1401" spans="1:31" x14ac:dyDescent="0.25">
      <c r="A1401">
        <v>2669</v>
      </c>
      <c r="B1401" t="s">
        <v>43</v>
      </c>
      <c r="C1401">
        <v>19</v>
      </c>
      <c r="D1401">
        <v>887</v>
      </c>
      <c r="E1401">
        <v>2669</v>
      </c>
      <c r="F1401">
        <v>4233601</v>
      </c>
      <c r="G1401">
        <v>4321800</v>
      </c>
      <c r="H1401">
        <f t="shared" si="42"/>
        <v>96.000022675736957</v>
      </c>
      <c r="I1401">
        <f t="shared" si="43"/>
        <v>98</v>
      </c>
      <c r="J1401" t="s">
        <v>22</v>
      </c>
      <c r="K1401">
        <v>4</v>
      </c>
      <c r="L1401" t="e">
        <f t="array" ref="L1401">VLOOKUP(J1401:$J$3871&amp;K1401:$K$3871,CHOOSE({1,2},#REF!&amp;#REF!,#REF!),2,0)</f>
        <v>#N/A</v>
      </c>
      <c r="M1401">
        <v>0</v>
      </c>
      <c r="N1401">
        <v>1</v>
      </c>
      <c r="O1401" t="s">
        <v>23</v>
      </c>
      <c r="P1401">
        <v>0</v>
      </c>
      <c r="Q1401">
        <v>1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1</v>
      </c>
      <c r="Y1401">
        <v>0</v>
      </c>
      <c r="Z1401">
        <v>0</v>
      </c>
      <c r="AA1401" t="s">
        <v>3522</v>
      </c>
      <c r="AB1401" t="s">
        <v>665</v>
      </c>
      <c r="AC1401" t="s">
        <v>3522</v>
      </c>
      <c r="AD1401" t="e">
        <f>VLOOKUP(AB1401,#REF!,2,FALSE)</f>
        <v>#REF!</v>
      </c>
      <c r="AE1401" t="e">
        <f>RIGHT(#REF!,(FIND("Complex",#REF!,1)-8))</f>
        <v>#REF!</v>
      </c>
    </row>
    <row r="1402" spans="1:31" x14ac:dyDescent="0.25">
      <c r="A1402">
        <v>1593</v>
      </c>
      <c r="B1402" t="s">
        <v>43</v>
      </c>
      <c r="C1402">
        <v>19</v>
      </c>
      <c r="D1402">
        <v>485</v>
      </c>
      <c r="E1402">
        <v>1593</v>
      </c>
      <c r="F1402">
        <v>3351601</v>
      </c>
      <c r="G1402">
        <v>3439800</v>
      </c>
      <c r="H1402">
        <f t="shared" si="42"/>
        <v>76.000022675736957</v>
      </c>
      <c r="I1402">
        <f t="shared" si="43"/>
        <v>78</v>
      </c>
      <c r="J1402" t="s">
        <v>22</v>
      </c>
      <c r="K1402">
        <v>4</v>
      </c>
      <c r="L1402" t="e">
        <f t="array" ref="L1402">VLOOKUP(J1402:$J$3871&amp;K1402:$K$3871,CHOOSE({1,2},#REF!&amp;#REF!,#REF!),2,0)</f>
        <v>#N/A</v>
      </c>
      <c r="M1402">
        <v>0</v>
      </c>
      <c r="N1402">
        <v>1</v>
      </c>
      <c r="O1402" t="s">
        <v>23</v>
      </c>
      <c r="P1402">
        <v>0</v>
      </c>
      <c r="Q1402">
        <v>1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1</v>
      </c>
      <c r="Y1402">
        <v>0</v>
      </c>
      <c r="Z1402">
        <v>0</v>
      </c>
      <c r="AA1402" t="s">
        <v>3675</v>
      </c>
      <c r="AB1402" t="s">
        <v>6406</v>
      </c>
      <c r="AC1402" t="s">
        <v>3675</v>
      </c>
      <c r="AD1402" t="e">
        <f>VLOOKUP(AB1402,#REF!,2,FALSE)</f>
        <v>#REF!</v>
      </c>
      <c r="AE1402" t="e">
        <f>RIGHT(#REF!,(FIND("Complex",#REF!,1)-8))</f>
        <v>#REF!</v>
      </c>
    </row>
    <row r="1403" spans="1:31" x14ac:dyDescent="0.25">
      <c r="A1403">
        <v>369</v>
      </c>
      <c r="B1403" t="s">
        <v>43</v>
      </c>
      <c r="C1403">
        <v>19</v>
      </c>
      <c r="D1403">
        <v>118</v>
      </c>
      <c r="E1403">
        <v>369</v>
      </c>
      <c r="F1403">
        <v>2557801</v>
      </c>
      <c r="G1403">
        <v>2646000</v>
      </c>
      <c r="H1403">
        <f t="shared" si="42"/>
        <v>58.000022675736965</v>
      </c>
      <c r="I1403">
        <f t="shared" si="43"/>
        <v>60</v>
      </c>
      <c r="J1403" t="s">
        <v>22</v>
      </c>
      <c r="K1403">
        <v>4</v>
      </c>
      <c r="L1403" t="e">
        <f t="array" ref="L1403">VLOOKUP(J1403:$J$3871&amp;K1403:$K$3871,CHOOSE({1,2},#REF!&amp;#REF!,#REF!),2,0)</f>
        <v>#N/A</v>
      </c>
      <c r="M1403">
        <v>0</v>
      </c>
      <c r="N1403">
        <v>1</v>
      </c>
      <c r="O1403" t="s">
        <v>23</v>
      </c>
      <c r="P1403">
        <v>0</v>
      </c>
      <c r="Q1403">
        <v>1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1</v>
      </c>
      <c r="Y1403">
        <v>0</v>
      </c>
      <c r="Z1403">
        <v>0</v>
      </c>
      <c r="AA1403" t="s">
        <v>3823</v>
      </c>
      <c r="AB1403" t="s">
        <v>6493</v>
      </c>
      <c r="AC1403" t="s">
        <v>3823</v>
      </c>
      <c r="AD1403" t="e">
        <f>VLOOKUP(AB1403,#REF!,2,FALSE)</f>
        <v>#REF!</v>
      </c>
      <c r="AE1403" t="e">
        <f>RIGHT(#REF!,(FIND("Complex",#REF!,1)-7))</f>
        <v>#REF!</v>
      </c>
    </row>
    <row r="1404" spans="1:31" x14ac:dyDescent="0.25">
      <c r="A1404">
        <v>1268</v>
      </c>
      <c r="B1404" t="s">
        <v>240</v>
      </c>
      <c r="C1404">
        <v>24</v>
      </c>
      <c r="D1404">
        <v>384</v>
      </c>
      <c r="E1404">
        <v>1268</v>
      </c>
      <c r="F1404">
        <v>3263401</v>
      </c>
      <c r="G1404">
        <v>3351600</v>
      </c>
      <c r="H1404">
        <f t="shared" si="42"/>
        <v>74.000022675736957</v>
      </c>
      <c r="I1404">
        <f t="shared" si="43"/>
        <v>76</v>
      </c>
      <c r="J1404" t="s">
        <v>22</v>
      </c>
      <c r="K1404">
        <v>4</v>
      </c>
      <c r="L1404" t="e">
        <f t="array" ref="L1404">VLOOKUP(J1404:$J$3871&amp;K1404:$K$3871,CHOOSE({1,2},#REF!&amp;#REF!,#REF!),2,0)</f>
        <v>#N/A</v>
      </c>
      <c r="M1404">
        <v>0</v>
      </c>
      <c r="N1404">
        <v>1</v>
      </c>
      <c r="O1404" t="s">
        <v>23</v>
      </c>
      <c r="P1404">
        <v>0</v>
      </c>
      <c r="Q1404">
        <v>1</v>
      </c>
      <c r="R1404">
        <v>0</v>
      </c>
      <c r="S1404">
        <v>0</v>
      </c>
      <c r="T1404">
        <v>1</v>
      </c>
      <c r="U1404">
        <v>0</v>
      </c>
      <c r="V1404">
        <v>0</v>
      </c>
      <c r="W1404">
        <v>0</v>
      </c>
      <c r="X1404">
        <v>1</v>
      </c>
      <c r="Y1404">
        <v>1</v>
      </c>
      <c r="Z1404">
        <v>0</v>
      </c>
      <c r="AA1404" t="s">
        <v>3683</v>
      </c>
      <c r="AB1404" t="s">
        <v>241</v>
      </c>
      <c r="AC1404" t="s">
        <v>3683</v>
      </c>
      <c r="AD1404" t="e">
        <f>VLOOKUP(AB1404,#REF!,2,FALSE)</f>
        <v>#REF!</v>
      </c>
      <c r="AE1404" t="e">
        <f>RIGHT(#REF!,(FIND("Complex",#REF!,1)-8))</f>
        <v>#REF!</v>
      </c>
    </row>
    <row r="1405" spans="1:31" x14ac:dyDescent="0.25">
      <c r="A1405">
        <v>625</v>
      </c>
      <c r="B1405" t="s">
        <v>240</v>
      </c>
      <c r="C1405">
        <v>24</v>
      </c>
      <c r="D1405">
        <v>197</v>
      </c>
      <c r="E1405">
        <v>625</v>
      </c>
      <c r="F1405">
        <v>3087001</v>
      </c>
      <c r="G1405">
        <v>3175200</v>
      </c>
      <c r="H1405">
        <f t="shared" si="42"/>
        <v>70.000022675736957</v>
      </c>
      <c r="I1405">
        <f t="shared" si="43"/>
        <v>72</v>
      </c>
      <c r="J1405" t="s">
        <v>22</v>
      </c>
      <c r="K1405">
        <v>4</v>
      </c>
      <c r="L1405" t="e">
        <f t="array" ref="L1405">VLOOKUP(J1405:$J$3871&amp;K1405:$K$3871,CHOOSE({1,2},#REF!&amp;#REF!,#REF!),2,0)</f>
        <v>#N/A</v>
      </c>
      <c r="M1405">
        <v>0</v>
      </c>
      <c r="N1405">
        <v>1</v>
      </c>
      <c r="O1405" t="s">
        <v>23</v>
      </c>
      <c r="P1405">
        <v>0</v>
      </c>
      <c r="Q1405">
        <v>1</v>
      </c>
      <c r="R1405">
        <v>0</v>
      </c>
      <c r="S1405">
        <v>0</v>
      </c>
      <c r="T1405">
        <v>1</v>
      </c>
      <c r="U1405">
        <v>0</v>
      </c>
      <c r="V1405">
        <v>0</v>
      </c>
      <c r="W1405">
        <v>0</v>
      </c>
      <c r="X1405">
        <v>1</v>
      </c>
      <c r="Y1405">
        <v>1</v>
      </c>
      <c r="Z1405">
        <v>0</v>
      </c>
      <c r="AA1405" t="s">
        <v>3711</v>
      </c>
      <c r="AB1405" t="s">
        <v>777</v>
      </c>
      <c r="AC1405" t="s">
        <v>3711</v>
      </c>
      <c r="AD1405" t="e">
        <f>VLOOKUP(AB1405,#REF!,2,FALSE)</f>
        <v>#REF!</v>
      </c>
      <c r="AE1405" t="e">
        <f>RIGHT(#REF!,(FIND("Complex",#REF!,1)-7))</f>
        <v>#REF!</v>
      </c>
    </row>
    <row r="1406" spans="1:31" x14ac:dyDescent="0.25">
      <c r="A1406">
        <v>796</v>
      </c>
      <c r="B1406" t="s">
        <v>240</v>
      </c>
      <c r="C1406">
        <v>24</v>
      </c>
      <c r="D1406">
        <v>244</v>
      </c>
      <c r="E1406">
        <v>796</v>
      </c>
      <c r="F1406">
        <v>12083401</v>
      </c>
      <c r="G1406">
        <v>12171600</v>
      </c>
      <c r="H1406">
        <f t="shared" si="42"/>
        <v>274.00002267573694</v>
      </c>
      <c r="I1406">
        <f t="shared" si="43"/>
        <v>276</v>
      </c>
      <c r="J1406" t="s">
        <v>22</v>
      </c>
      <c r="K1406">
        <v>4</v>
      </c>
      <c r="L1406" t="e">
        <f t="array" ref="L1406">VLOOKUP(J1406:$J$3871&amp;K1406:$K$3871,CHOOSE({1,2},#REF!&amp;#REF!,#REF!),2,0)</f>
        <v>#N/A</v>
      </c>
      <c r="M1406">
        <v>0</v>
      </c>
      <c r="N1406">
        <v>1</v>
      </c>
      <c r="O1406" t="s">
        <v>23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1</v>
      </c>
      <c r="Z1406">
        <v>1</v>
      </c>
      <c r="AA1406" t="s">
        <v>4123</v>
      </c>
      <c r="AB1406" t="s">
        <v>6683</v>
      </c>
      <c r="AC1406" t="s">
        <v>4123</v>
      </c>
      <c r="AD1406" t="e">
        <f>VLOOKUP(AB1406,#REF!,2,FALSE)</f>
        <v>#REF!</v>
      </c>
      <c r="AE1406" t="e">
        <f>RIGHT(#REF!,(FIND("Complex",#REF!,1)-6))</f>
        <v>#REF!</v>
      </c>
    </row>
    <row r="1407" spans="1:31" x14ac:dyDescent="0.25">
      <c r="A1407">
        <v>402</v>
      </c>
      <c r="B1407" t="s">
        <v>240</v>
      </c>
      <c r="C1407">
        <v>24</v>
      </c>
      <c r="D1407">
        <v>126</v>
      </c>
      <c r="E1407">
        <v>402</v>
      </c>
      <c r="F1407">
        <v>11995201</v>
      </c>
      <c r="G1407">
        <v>12083400</v>
      </c>
      <c r="H1407">
        <f t="shared" si="42"/>
        <v>272.00002267573694</v>
      </c>
      <c r="I1407">
        <f t="shared" si="43"/>
        <v>274</v>
      </c>
      <c r="J1407" t="s">
        <v>22</v>
      </c>
      <c r="K1407">
        <v>4</v>
      </c>
      <c r="L1407" t="e">
        <f t="array" ref="L1407">VLOOKUP(J1407:$J$3871&amp;K1407:$K$3871,CHOOSE({1,2},#REF!&amp;#REF!,#REF!),2,0)</f>
        <v>#N/A</v>
      </c>
      <c r="M1407">
        <v>0</v>
      </c>
      <c r="N1407">
        <v>1</v>
      </c>
      <c r="O1407" t="s">
        <v>23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1</v>
      </c>
      <c r="Y1407">
        <v>1</v>
      </c>
      <c r="Z1407">
        <v>1</v>
      </c>
      <c r="AA1407" t="s">
        <v>4125</v>
      </c>
      <c r="AB1407" t="s">
        <v>6685</v>
      </c>
      <c r="AC1407" t="s">
        <v>4125</v>
      </c>
      <c r="AD1407" t="e">
        <f>VLOOKUP(AB1407,#REF!,2,FALSE)</f>
        <v>#REF!</v>
      </c>
      <c r="AE1407" t="e">
        <f>RIGHT(#REF!,(FIND("Complex",#REF!,1)-6))</f>
        <v>#REF!</v>
      </c>
    </row>
    <row r="1408" spans="1:31" x14ac:dyDescent="0.25">
      <c r="A1408">
        <v>2365</v>
      </c>
      <c r="B1408" t="s">
        <v>240</v>
      </c>
      <c r="C1408">
        <v>24</v>
      </c>
      <c r="D1408">
        <v>753</v>
      </c>
      <c r="E1408">
        <v>2365</v>
      </c>
      <c r="F1408">
        <v>11907001</v>
      </c>
      <c r="G1408">
        <v>11995200</v>
      </c>
      <c r="H1408">
        <f t="shared" si="42"/>
        <v>270.00002267573694</v>
      </c>
      <c r="I1408">
        <f t="shared" si="43"/>
        <v>272</v>
      </c>
      <c r="J1408" t="s">
        <v>22</v>
      </c>
      <c r="K1408">
        <v>4</v>
      </c>
      <c r="L1408" t="e">
        <f t="array" ref="L1408">VLOOKUP(J1408:$J$3871&amp;K1408:$K$3871,CHOOSE({1,2},#REF!&amp;#REF!,#REF!),2,0)</f>
        <v>#N/A</v>
      </c>
      <c r="M1408">
        <v>0</v>
      </c>
      <c r="N1408">
        <v>1</v>
      </c>
      <c r="O1408" t="s">
        <v>23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1</v>
      </c>
      <c r="Y1408">
        <v>1</v>
      </c>
      <c r="Z1408">
        <v>1</v>
      </c>
      <c r="AA1408" t="s">
        <v>4129</v>
      </c>
      <c r="AB1408" t="s">
        <v>778</v>
      </c>
      <c r="AC1408" t="s">
        <v>4129</v>
      </c>
      <c r="AD1408" t="e">
        <f>VLOOKUP(AB1408,#REF!,2,FALSE)</f>
        <v>#REF!</v>
      </c>
      <c r="AE1408" t="e">
        <f>RIGHT(#REF!,(FIND("Complex",#REF!,1)-7))</f>
        <v>#REF!</v>
      </c>
    </row>
    <row r="1409" spans="1:31" x14ac:dyDescent="0.25">
      <c r="A1409">
        <v>322</v>
      </c>
      <c r="B1409" t="s">
        <v>240</v>
      </c>
      <c r="C1409">
        <v>24</v>
      </c>
      <c r="D1409">
        <v>100</v>
      </c>
      <c r="E1409">
        <v>322</v>
      </c>
      <c r="F1409">
        <v>11730601</v>
      </c>
      <c r="G1409">
        <v>11818800</v>
      </c>
      <c r="H1409">
        <f t="shared" si="42"/>
        <v>266.00002267573694</v>
      </c>
      <c r="I1409">
        <f t="shared" si="43"/>
        <v>268</v>
      </c>
      <c r="J1409" t="s">
        <v>22</v>
      </c>
      <c r="K1409">
        <v>4</v>
      </c>
      <c r="L1409" t="e">
        <f t="array" ref="L1409">VLOOKUP(J1409:$J$3871&amp;K1409:$K$3871,CHOOSE({1,2},#REF!&amp;#REF!,#REF!),2,0)</f>
        <v>#N/A</v>
      </c>
      <c r="M1409">
        <v>0</v>
      </c>
      <c r="N1409">
        <v>1</v>
      </c>
      <c r="O1409" t="s">
        <v>23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1</v>
      </c>
      <c r="Z1409">
        <v>1</v>
      </c>
      <c r="AA1409" t="s">
        <v>4131</v>
      </c>
      <c r="AB1409" t="s">
        <v>779</v>
      </c>
      <c r="AC1409" t="s">
        <v>4131</v>
      </c>
      <c r="AD1409" t="e">
        <f>VLOOKUP(AB1409,#REF!,2,FALSE)</f>
        <v>#REF!</v>
      </c>
      <c r="AE1409" t="e">
        <f>RIGHT(#REF!,(FIND("Complex",#REF!,1)-6))</f>
        <v>#REF!</v>
      </c>
    </row>
    <row r="1410" spans="1:31" x14ac:dyDescent="0.25">
      <c r="A1410">
        <v>1489</v>
      </c>
      <c r="B1410" t="s">
        <v>240</v>
      </c>
      <c r="C1410">
        <v>24</v>
      </c>
      <c r="D1410">
        <v>452</v>
      </c>
      <c r="E1410">
        <v>1489</v>
      </c>
      <c r="F1410">
        <v>9261001</v>
      </c>
      <c r="G1410">
        <v>9349200</v>
      </c>
      <c r="H1410">
        <f t="shared" ref="H1410:H1473" si="44">F1410/44100</f>
        <v>210.00002267573697</v>
      </c>
      <c r="I1410">
        <f t="shared" ref="I1410:I1473" si="45">G1410/44100</f>
        <v>212</v>
      </c>
      <c r="J1410" t="s">
        <v>22</v>
      </c>
      <c r="K1410">
        <v>4</v>
      </c>
      <c r="L1410" t="e">
        <f t="array" ref="L1410">VLOOKUP(J1410:$J$3871&amp;K1410:$K$3871,CHOOSE({1,2},#REF!&amp;#REF!,#REF!),2,0)</f>
        <v>#N/A</v>
      </c>
      <c r="M1410">
        <v>0</v>
      </c>
      <c r="N1410">
        <v>1</v>
      </c>
      <c r="O1410" t="s">
        <v>23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</v>
      </c>
      <c r="Y1410">
        <v>1</v>
      </c>
      <c r="Z1410">
        <v>1</v>
      </c>
      <c r="AA1410" t="s">
        <v>4273</v>
      </c>
      <c r="AB1410" t="s">
        <v>6783</v>
      </c>
      <c r="AC1410" t="s">
        <v>4273</v>
      </c>
      <c r="AD1410" t="e">
        <f>VLOOKUP(AB1410,#REF!,2,FALSE)</f>
        <v>#REF!</v>
      </c>
      <c r="AE1410" t="e">
        <f>RIGHT(#REF!,(FIND("Complex",#REF!,1)-7))</f>
        <v>#REF!</v>
      </c>
    </row>
    <row r="1411" spans="1:31" x14ac:dyDescent="0.25">
      <c r="A1411">
        <v>310</v>
      </c>
      <c r="B1411" t="s">
        <v>242</v>
      </c>
      <c r="C1411">
        <v>25</v>
      </c>
      <c r="D1411">
        <v>95</v>
      </c>
      <c r="E1411">
        <v>310</v>
      </c>
      <c r="F1411">
        <v>4145401</v>
      </c>
      <c r="G1411">
        <v>4233600</v>
      </c>
      <c r="H1411">
        <f t="shared" si="44"/>
        <v>94.000022675736957</v>
      </c>
      <c r="I1411">
        <f t="shared" si="45"/>
        <v>96</v>
      </c>
      <c r="J1411" t="s">
        <v>22</v>
      </c>
      <c r="K1411">
        <v>4</v>
      </c>
      <c r="L1411" t="e">
        <f t="array" ref="L1411">VLOOKUP(J1411:$J$3871&amp;K1411:$K$3871,CHOOSE({1,2},#REF!&amp;#REF!,#REF!),2,0)</f>
        <v>#N/A</v>
      </c>
      <c r="M1411">
        <v>0</v>
      </c>
      <c r="N1411">
        <v>1</v>
      </c>
      <c r="O1411" t="s">
        <v>23</v>
      </c>
      <c r="P1411">
        <v>1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1</v>
      </c>
      <c r="Y1411">
        <v>0</v>
      </c>
      <c r="Z1411">
        <v>0</v>
      </c>
      <c r="AA1411" t="s">
        <v>3533</v>
      </c>
      <c r="AB1411" t="s">
        <v>6332</v>
      </c>
      <c r="AC1411" t="s">
        <v>3533</v>
      </c>
      <c r="AD1411" t="e">
        <f>VLOOKUP(AB1411,#REF!,2,FALSE)</f>
        <v>#REF!</v>
      </c>
      <c r="AE1411" t="e">
        <f>RIGHT(#REF!,(FIND("Complex",#REF!,1)-7))</f>
        <v>#REF!</v>
      </c>
    </row>
    <row r="1412" spans="1:31" x14ac:dyDescent="0.25">
      <c r="A1412">
        <v>2123</v>
      </c>
      <c r="B1412" t="s">
        <v>242</v>
      </c>
      <c r="C1412">
        <v>25</v>
      </c>
      <c r="D1412">
        <v>649</v>
      </c>
      <c r="E1412">
        <v>2123</v>
      </c>
      <c r="F1412">
        <v>1940401</v>
      </c>
      <c r="G1412">
        <v>2028600</v>
      </c>
      <c r="H1412">
        <f t="shared" si="44"/>
        <v>44.000022675736965</v>
      </c>
      <c r="I1412">
        <f t="shared" si="45"/>
        <v>46</v>
      </c>
      <c r="J1412" t="s">
        <v>22</v>
      </c>
      <c r="K1412">
        <v>4</v>
      </c>
      <c r="L1412" t="e">
        <f t="array" ref="L1412">VLOOKUP(J1412:$J$3871&amp;K1412:$K$3871,CHOOSE({1,2},#REF!&amp;#REF!,#REF!),2,0)</f>
        <v>#N/A</v>
      </c>
      <c r="M1412">
        <v>0</v>
      </c>
      <c r="N1412">
        <v>1</v>
      </c>
      <c r="O1412" t="s">
        <v>23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0</v>
      </c>
      <c r="V1412">
        <v>1</v>
      </c>
      <c r="W1412">
        <v>1</v>
      </c>
      <c r="X1412">
        <v>1</v>
      </c>
      <c r="Y1412">
        <v>0</v>
      </c>
      <c r="Z1412">
        <v>0</v>
      </c>
      <c r="AA1412" t="s">
        <v>3917</v>
      </c>
      <c r="AB1412" t="s">
        <v>6549</v>
      </c>
      <c r="AC1412" t="s">
        <v>3917</v>
      </c>
      <c r="AD1412" t="e">
        <f>VLOOKUP(AB1412,#REF!,2,FALSE)</f>
        <v>#REF!</v>
      </c>
      <c r="AE1412" t="e">
        <f>RIGHT(#REF!,(FIND("Complex",#REF!,1)-8))</f>
        <v>#REF!</v>
      </c>
    </row>
    <row r="1413" spans="1:31" x14ac:dyDescent="0.25">
      <c r="A1413">
        <v>2620</v>
      </c>
      <c r="B1413" t="s">
        <v>242</v>
      </c>
      <c r="C1413">
        <v>25</v>
      </c>
      <c r="D1413">
        <v>864</v>
      </c>
      <c r="E1413">
        <v>2620</v>
      </c>
      <c r="F1413">
        <v>13759201</v>
      </c>
      <c r="G1413">
        <v>13847400</v>
      </c>
      <c r="H1413">
        <f t="shared" si="44"/>
        <v>312.00002267573694</v>
      </c>
      <c r="I1413">
        <f t="shared" si="45"/>
        <v>314</v>
      </c>
      <c r="J1413" t="s">
        <v>22</v>
      </c>
      <c r="K1413">
        <v>4</v>
      </c>
      <c r="L1413" t="e">
        <f t="array" ref="L1413">VLOOKUP(J1413:$J$3871&amp;K1413:$K$3871,CHOOSE({1,2},#REF!&amp;#REF!,#REF!),2,0)</f>
        <v>#N/A</v>
      </c>
      <c r="M1413">
        <v>0</v>
      </c>
      <c r="N1413">
        <v>1</v>
      </c>
      <c r="O1413" t="s">
        <v>23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 t="s">
        <v>4055</v>
      </c>
      <c r="AB1413" t="s">
        <v>787</v>
      </c>
      <c r="AC1413" t="s">
        <v>4055</v>
      </c>
      <c r="AD1413" t="e">
        <f>VLOOKUP(AB1413,#REF!,2,FALSE)</f>
        <v>#REF!</v>
      </c>
      <c r="AE1413" t="e">
        <f>RIGHT(#REF!,(FIND("Complex",#REF!,1)-7))</f>
        <v>#REF!</v>
      </c>
    </row>
    <row r="1414" spans="1:31" x14ac:dyDescent="0.25">
      <c r="A1414">
        <v>2446</v>
      </c>
      <c r="B1414" t="s">
        <v>242</v>
      </c>
      <c r="C1414">
        <v>25</v>
      </c>
      <c r="D1414">
        <v>788</v>
      </c>
      <c r="E1414">
        <v>2446</v>
      </c>
      <c r="F1414">
        <v>12612601</v>
      </c>
      <c r="G1414">
        <v>12700800</v>
      </c>
      <c r="H1414">
        <f t="shared" si="44"/>
        <v>286.00002267573694</v>
      </c>
      <c r="I1414">
        <f t="shared" si="45"/>
        <v>288</v>
      </c>
      <c r="J1414" t="s">
        <v>22</v>
      </c>
      <c r="K1414">
        <v>4</v>
      </c>
      <c r="L1414" t="e">
        <f t="array" ref="L1414">VLOOKUP(J1414:$J$3871&amp;K1414:$K$3871,CHOOSE({1,2},#REF!&amp;#REF!,#REF!),2,0)</f>
        <v>#N/A</v>
      </c>
      <c r="M1414">
        <v>0</v>
      </c>
      <c r="N1414">
        <v>1</v>
      </c>
      <c r="O1414" t="s">
        <v>23</v>
      </c>
      <c r="P1414">
        <v>1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1</v>
      </c>
      <c r="Y1414">
        <v>0</v>
      </c>
      <c r="Z1414">
        <v>0</v>
      </c>
      <c r="AA1414" t="s">
        <v>4079</v>
      </c>
      <c r="AB1414" t="s">
        <v>788</v>
      </c>
      <c r="AC1414" t="s">
        <v>4079</v>
      </c>
      <c r="AD1414" t="e">
        <f>VLOOKUP(AB1414,#REF!,2,FALSE)</f>
        <v>#REF!</v>
      </c>
      <c r="AE1414" t="e">
        <f>RIGHT(#REF!,(FIND("Complex",#REF!,1)-7))</f>
        <v>#REF!</v>
      </c>
    </row>
    <row r="1415" spans="1:31" x14ac:dyDescent="0.25">
      <c r="A1415">
        <v>1164</v>
      </c>
      <c r="B1415" t="s">
        <v>242</v>
      </c>
      <c r="C1415">
        <v>25</v>
      </c>
      <c r="D1415">
        <v>349</v>
      </c>
      <c r="E1415">
        <v>1164</v>
      </c>
      <c r="F1415">
        <v>1234801</v>
      </c>
      <c r="G1415">
        <v>1323000</v>
      </c>
      <c r="H1415">
        <f t="shared" si="44"/>
        <v>28.000022675736961</v>
      </c>
      <c r="I1415">
        <f t="shared" si="45"/>
        <v>30</v>
      </c>
      <c r="J1415" t="s">
        <v>22</v>
      </c>
      <c r="K1415">
        <v>4</v>
      </c>
      <c r="L1415" t="e">
        <f t="array" ref="L1415">VLOOKUP(J1415:$J$3871&amp;K1415:$K$3871,CHOOSE({1,2},#REF!&amp;#REF!,#REF!),2,0)</f>
        <v>#N/A</v>
      </c>
      <c r="M1415">
        <v>0</v>
      </c>
      <c r="N1415">
        <v>1</v>
      </c>
      <c r="O1415" t="s">
        <v>23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  <c r="V1415">
        <v>1</v>
      </c>
      <c r="W1415">
        <v>1</v>
      </c>
      <c r="X1415">
        <v>1</v>
      </c>
      <c r="Y1415">
        <v>0</v>
      </c>
      <c r="Z1415">
        <v>0</v>
      </c>
      <c r="AA1415" t="s">
        <v>4109</v>
      </c>
      <c r="AB1415" t="s">
        <v>6671</v>
      </c>
      <c r="AC1415" t="s">
        <v>4109</v>
      </c>
      <c r="AD1415" t="e">
        <f>VLOOKUP(AB1415,#REF!,2,FALSE)</f>
        <v>#REF!</v>
      </c>
      <c r="AE1415" t="e">
        <f>RIGHT(#REF!,(FIND("Complex",#REF!,1)-8))</f>
        <v>#REF!</v>
      </c>
    </row>
    <row r="1416" spans="1:31" x14ac:dyDescent="0.25">
      <c r="A1416">
        <v>1776</v>
      </c>
      <c r="B1416" t="s">
        <v>242</v>
      </c>
      <c r="C1416">
        <v>25</v>
      </c>
      <c r="D1416">
        <v>534</v>
      </c>
      <c r="E1416">
        <v>1776</v>
      </c>
      <c r="F1416">
        <v>7938001</v>
      </c>
      <c r="G1416">
        <v>8026200</v>
      </c>
      <c r="H1416">
        <f t="shared" si="44"/>
        <v>180.00002267573697</v>
      </c>
      <c r="I1416">
        <f t="shared" si="45"/>
        <v>182</v>
      </c>
      <c r="J1416" t="s">
        <v>22</v>
      </c>
      <c r="K1416">
        <v>4</v>
      </c>
      <c r="L1416" t="e">
        <f t="array" ref="L1416">VLOOKUP(J1416:$J$3871&amp;K1416:$K$3871,CHOOSE({1,2},#REF!&amp;#REF!,#REF!),2,0)</f>
        <v>#N/A</v>
      </c>
      <c r="M1416">
        <v>0</v>
      </c>
      <c r="N1416">
        <v>1</v>
      </c>
      <c r="O1416" t="s">
        <v>23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1</v>
      </c>
      <c r="W1416">
        <v>1</v>
      </c>
      <c r="X1416">
        <v>1</v>
      </c>
      <c r="Y1416">
        <v>0</v>
      </c>
      <c r="Z1416">
        <v>0</v>
      </c>
      <c r="AA1416" t="s">
        <v>4401</v>
      </c>
      <c r="AB1416" t="s">
        <v>6861</v>
      </c>
      <c r="AC1416" t="s">
        <v>4401</v>
      </c>
      <c r="AD1416" t="e">
        <f>VLOOKUP(AB1416,#REF!,2,FALSE)</f>
        <v>#REF!</v>
      </c>
      <c r="AE1416" t="e">
        <f>RIGHT(#REF!,(FIND("Complex",#REF!,1)-7))</f>
        <v>#REF!</v>
      </c>
    </row>
    <row r="1417" spans="1:31" x14ac:dyDescent="0.25">
      <c r="A1417">
        <v>204</v>
      </c>
      <c r="B1417" t="s">
        <v>242</v>
      </c>
      <c r="C1417">
        <v>25</v>
      </c>
      <c r="D1417">
        <v>62</v>
      </c>
      <c r="E1417">
        <v>204</v>
      </c>
      <c r="F1417">
        <v>7849801</v>
      </c>
      <c r="G1417">
        <v>7938000</v>
      </c>
      <c r="H1417">
        <f t="shared" si="44"/>
        <v>178.00002267573697</v>
      </c>
      <c r="I1417">
        <f t="shared" si="45"/>
        <v>180</v>
      </c>
      <c r="J1417" t="s">
        <v>22</v>
      </c>
      <c r="K1417">
        <v>4</v>
      </c>
      <c r="L1417" t="e">
        <f t="array" ref="L1417">VLOOKUP(J1417:$J$3871&amp;K1417:$K$3871,CHOOSE({1,2},#REF!&amp;#REF!,#REF!),2,0)</f>
        <v>#N/A</v>
      </c>
      <c r="M1417">
        <v>0</v>
      </c>
      <c r="N1417">
        <v>1</v>
      </c>
      <c r="O1417" t="s">
        <v>23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1</v>
      </c>
      <c r="X1417">
        <v>1</v>
      </c>
      <c r="Y1417">
        <v>0</v>
      </c>
      <c r="Z1417">
        <v>0</v>
      </c>
      <c r="AA1417" t="s">
        <v>4423</v>
      </c>
      <c r="AB1417" t="s">
        <v>6872</v>
      </c>
      <c r="AC1417" t="s">
        <v>4423</v>
      </c>
      <c r="AD1417" t="e">
        <f>VLOOKUP(AB1417,#REF!,2,FALSE)</f>
        <v>#REF!</v>
      </c>
      <c r="AE1417" t="e">
        <f>RIGHT(#REF!,(FIND("Complex",#REF!,1)-6))</f>
        <v>#REF!</v>
      </c>
    </row>
    <row r="1418" spans="1:31" x14ac:dyDescent="0.25">
      <c r="A1418">
        <v>1351</v>
      </c>
      <c r="B1418" t="s">
        <v>242</v>
      </c>
      <c r="C1418">
        <v>25</v>
      </c>
      <c r="D1418">
        <v>410</v>
      </c>
      <c r="E1418">
        <v>1351</v>
      </c>
      <c r="F1418">
        <v>6879601</v>
      </c>
      <c r="G1418">
        <v>6967800</v>
      </c>
      <c r="H1418">
        <f t="shared" si="44"/>
        <v>156.00002267573697</v>
      </c>
      <c r="I1418">
        <f t="shared" si="45"/>
        <v>158</v>
      </c>
      <c r="J1418" t="s">
        <v>22</v>
      </c>
      <c r="K1418">
        <v>4</v>
      </c>
      <c r="L1418" t="e">
        <f t="array" ref="L1418">VLOOKUP(J1418:$J$3871&amp;K1418:$K$3871,CHOOSE({1,2},#REF!&amp;#REF!,#REF!),2,0)</f>
        <v>#N/A</v>
      </c>
      <c r="M1418">
        <v>0</v>
      </c>
      <c r="N1418">
        <v>1</v>
      </c>
      <c r="O1418" t="s">
        <v>23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1</v>
      </c>
      <c r="W1418">
        <v>1</v>
      </c>
      <c r="X1418">
        <v>1</v>
      </c>
      <c r="Y1418">
        <v>0</v>
      </c>
      <c r="Z1418">
        <v>0</v>
      </c>
      <c r="AA1418" t="s">
        <v>4521</v>
      </c>
      <c r="AB1418" t="s">
        <v>6939</v>
      </c>
      <c r="AC1418" t="s">
        <v>4521</v>
      </c>
      <c r="AD1418" t="e">
        <f>VLOOKUP(AB1418,#REF!,2,FALSE)</f>
        <v>#REF!</v>
      </c>
      <c r="AE1418" t="e">
        <f>RIGHT(#REF!,(FIND("Complex",#REF!,1)-7))</f>
        <v>#REF!</v>
      </c>
    </row>
    <row r="1419" spans="1:31" x14ac:dyDescent="0.25">
      <c r="A1419">
        <v>2248</v>
      </c>
      <c r="B1419" t="s">
        <v>242</v>
      </c>
      <c r="C1419">
        <v>25</v>
      </c>
      <c r="D1419">
        <v>697</v>
      </c>
      <c r="E1419">
        <v>2248</v>
      </c>
      <c r="F1419">
        <v>6703201</v>
      </c>
      <c r="G1419">
        <v>6791400</v>
      </c>
      <c r="H1419">
        <f t="shared" si="44"/>
        <v>152.00002267573697</v>
      </c>
      <c r="I1419">
        <f t="shared" si="45"/>
        <v>154</v>
      </c>
      <c r="J1419" t="s">
        <v>22</v>
      </c>
      <c r="K1419">
        <v>4</v>
      </c>
      <c r="L1419" t="e">
        <f t="array" ref="L1419">VLOOKUP(J1419:$J$3871&amp;K1419:$K$3871,CHOOSE({1,2},#REF!&amp;#REF!,#REF!),2,0)</f>
        <v>#N/A</v>
      </c>
      <c r="M1419">
        <v>0</v>
      </c>
      <c r="N1419">
        <v>1</v>
      </c>
      <c r="O1419" t="s">
        <v>23</v>
      </c>
      <c r="P1419">
        <v>1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1</v>
      </c>
      <c r="Y1419">
        <v>0</v>
      </c>
      <c r="Z1419">
        <v>0</v>
      </c>
      <c r="AA1419" t="s">
        <v>4541</v>
      </c>
      <c r="AB1419" t="s">
        <v>6954</v>
      </c>
      <c r="AC1419" t="s">
        <v>4541</v>
      </c>
      <c r="AD1419" t="e">
        <f>VLOOKUP(AB1419,#REF!,2,FALSE)</f>
        <v>#REF!</v>
      </c>
      <c r="AE1419" t="e">
        <f>RIGHT(#REF!,(FIND("Complex",#REF!,1)-7))</f>
        <v>#REF!</v>
      </c>
    </row>
    <row r="1420" spans="1:31" x14ac:dyDescent="0.25">
      <c r="A1420">
        <v>992</v>
      </c>
      <c r="B1420" t="s">
        <v>242</v>
      </c>
      <c r="C1420">
        <v>25</v>
      </c>
      <c r="D1420">
        <v>300</v>
      </c>
      <c r="E1420">
        <v>992</v>
      </c>
      <c r="F1420">
        <v>5468401</v>
      </c>
      <c r="G1420">
        <v>5556600</v>
      </c>
      <c r="H1420">
        <f t="shared" si="44"/>
        <v>124.00002267573696</v>
      </c>
      <c r="I1420">
        <f t="shared" si="45"/>
        <v>126</v>
      </c>
      <c r="J1420" t="s">
        <v>22</v>
      </c>
      <c r="K1420">
        <v>4</v>
      </c>
      <c r="L1420" t="e">
        <f t="array" ref="L1420">VLOOKUP(J1420:$J$3871&amp;K1420:$K$3871,CHOOSE({1,2},#REF!&amp;#REF!,#REF!),2,0)</f>
        <v>#N/A</v>
      </c>
      <c r="M1420">
        <v>0</v>
      </c>
      <c r="N1420">
        <v>1</v>
      </c>
      <c r="O1420" t="s">
        <v>23</v>
      </c>
      <c r="P1420">
        <v>1</v>
      </c>
      <c r="Q1420">
        <v>1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1</v>
      </c>
      <c r="Y1420">
        <v>0</v>
      </c>
      <c r="Z1420">
        <v>0</v>
      </c>
      <c r="AA1420" t="s">
        <v>4699</v>
      </c>
      <c r="AB1420" t="s">
        <v>7053</v>
      </c>
      <c r="AC1420" t="s">
        <v>4699</v>
      </c>
      <c r="AD1420" t="e">
        <f>VLOOKUP(AB1420,#REF!,2,FALSE)</f>
        <v>#REF!</v>
      </c>
      <c r="AE1420" t="e">
        <f>RIGHT(#REF!,(FIND("Complex",#REF!,1)-6))</f>
        <v>#REF!</v>
      </c>
    </row>
    <row r="1421" spans="1:31" x14ac:dyDescent="0.25">
      <c r="A1421">
        <v>59</v>
      </c>
      <c r="B1421" t="s">
        <v>54</v>
      </c>
      <c r="C1421">
        <v>31</v>
      </c>
      <c r="D1421">
        <v>17</v>
      </c>
      <c r="E1421">
        <v>59</v>
      </c>
      <c r="F1421">
        <v>7056001</v>
      </c>
      <c r="G1421">
        <v>7144200</v>
      </c>
      <c r="H1421">
        <f t="shared" si="44"/>
        <v>160.00002267573697</v>
      </c>
      <c r="I1421">
        <f t="shared" si="45"/>
        <v>162</v>
      </c>
      <c r="J1421" t="s">
        <v>22</v>
      </c>
      <c r="K1421">
        <v>4</v>
      </c>
      <c r="L1421" t="e">
        <f t="array" ref="L1421">VLOOKUP(J1421:$J$3871&amp;K1421:$K$3871,CHOOSE({1,2},#REF!&amp;#REF!,#REF!),2,0)</f>
        <v>#N/A</v>
      </c>
      <c r="M1421">
        <v>0</v>
      </c>
      <c r="N1421">
        <v>1</v>
      </c>
      <c r="O1421" t="s">
        <v>23</v>
      </c>
      <c r="P1421">
        <v>1</v>
      </c>
      <c r="Q1421">
        <v>1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 t="s">
        <v>4483</v>
      </c>
      <c r="AB1421" t="s">
        <v>951</v>
      </c>
      <c r="AC1421" t="s">
        <v>4483</v>
      </c>
      <c r="AD1421" t="e">
        <f>VLOOKUP(AB1421,#REF!,2,FALSE)</f>
        <v>#REF!</v>
      </c>
      <c r="AE1421" t="e">
        <f>RIGHT(#REF!,(FIND("Complex",#REF!,1)-5))</f>
        <v>#REF!</v>
      </c>
    </row>
    <row r="1422" spans="1:31" x14ac:dyDescent="0.25">
      <c r="A1422">
        <v>2277</v>
      </c>
      <c r="B1422" t="s">
        <v>54</v>
      </c>
      <c r="C1422">
        <v>31</v>
      </c>
      <c r="D1422">
        <v>712</v>
      </c>
      <c r="E1422">
        <v>2277</v>
      </c>
      <c r="F1422">
        <v>6438601</v>
      </c>
      <c r="G1422">
        <v>6526800</v>
      </c>
      <c r="H1422">
        <f t="shared" si="44"/>
        <v>146.00002267573697</v>
      </c>
      <c r="I1422">
        <f t="shared" si="45"/>
        <v>148</v>
      </c>
      <c r="J1422" t="s">
        <v>22</v>
      </c>
      <c r="K1422">
        <v>4</v>
      </c>
      <c r="L1422" t="e">
        <f t="array" ref="L1422">VLOOKUP(J1422:$J$3871&amp;K1422:$K$3871,CHOOSE({1,2},#REF!&amp;#REF!,#REF!),2,0)</f>
        <v>#N/A</v>
      </c>
      <c r="M1422">
        <v>0</v>
      </c>
      <c r="N1422">
        <v>1</v>
      </c>
      <c r="O1422" t="s">
        <v>23</v>
      </c>
      <c r="P1422">
        <v>1</v>
      </c>
      <c r="Q1422">
        <v>1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 t="s">
        <v>4571</v>
      </c>
      <c r="AB1422" t="s">
        <v>6974</v>
      </c>
      <c r="AC1422" t="s">
        <v>4571</v>
      </c>
      <c r="AD1422" t="e">
        <f>VLOOKUP(AB1422,#REF!,2,FALSE)</f>
        <v>#REF!</v>
      </c>
      <c r="AE1422" t="e">
        <f>RIGHT(#REF!,(FIND("Complex",#REF!,1)-7))</f>
        <v>#REF!</v>
      </c>
    </row>
    <row r="1423" spans="1:31" x14ac:dyDescent="0.25">
      <c r="A1423">
        <v>2363</v>
      </c>
      <c r="B1423" t="s">
        <v>64</v>
      </c>
      <c r="C1423">
        <v>33</v>
      </c>
      <c r="D1423">
        <v>752</v>
      </c>
      <c r="E1423">
        <v>2363</v>
      </c>
      <c r="F1423">
        <v>3351601</v>
      </c>
      <c r="G1423">
        <v>3439800</v>
      </c>
      <c r="H1423">
        <f t="shared" si="44"/>
        <v>76.000022675736957</v>
      </c>
      <c r="I1423">
        <f t="shared" si="45"/>
        <v>78</v>
      </c>
      <c r="J1423" t="s">
        <v>22</v>
      </c>
      <c r="K1423">
        <v>4</v>
      </c>
      <c r="L1423" t="e">
        <f t="array" ref="L1423">VLOOKUP(J1423:$J$3871&amp;K1423:$K$3871,CHOOSE({1,2},#REF!&amp;#REF!,#REF!),2,0)</f>
        <v>#N/A</v>
      </c>
      <c r="M1423">
        <v>0</v>
      </c>
      <c r="N1423">
        <v>1</v>
      </c>
      <c r="O1423" t="s">
        <v>23</v>
      </c>
      <c r="P1423">
        <v>1</v>
      </c>
      <c r="Q1423">
        <v>1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1</v>
      </c>
      <c r="Y1423">
        <v>0</v>
      </c>
      <c r="Z1423">
        <v>0</v>
      </c>
      <c r="AA1423" t="s">
        <v>3670</v>
      </c>
      <c r="AB1423" t="s">
        <v>1023</v>
      </c>
      <c r="AC1423" t="s">
        <v>3670</v>
      </c>
      <c r="AD1423" t="e">
        <f>VLOOKUP(AB1423,#REF!,2,FALSE)</f>
        <v>#REF!</v>
      </c>
      <c r="AE1423" t="e">
        <f>RIGHT(#REF!,(FIND("Complex",#REF!,1)-8))</f>
        <v>#REF!</v>
      </c>
    </row>
    <row r="1424" spans="1:31" x14ac:dyDescent="0.25">
      <c r="A1424">
        <v>709</v>
      </c>
      <c r="B1424" t="s">
        <v>64</v>
      </c>
      <c r="C1424">
        <v>33</v>
      </c>
      <c r="D1424">
        <v>217</v>
      </c>
      <c r="E1424">
        <v>709</v>
      </c>
      <c r="F1424">
        <v>2910601</v>
      </c>
      <c r="G1424">
        <v>2998800</v>
      </c>
      <c r="H1424">
        <f t="shared" si="44"/>
        <v>66.000022675736957</v>
      </c>
      <c r="I1424">
        <f t="shared" si="45"/>
        <v>68</v>
      </c>
      <c r="J1424" t="s">
        <v>22</v>
      </c>
      <c r="K1424">
        <v>4</v>
      </c>
      <c r="L1424" t="e">
        <f t="array" ref="L1424">VLOOKUP(J1424:$J$3871&amp;K1424:$K$3871,CHOOSE({1,2},#REF!&amp;#REF!,#REF!),2,0)</f>
        <v>#N/A</v>
      </c>
      <c r="M1424">
        <v>0</v>
      </c>
      <c r="N1424">
        <v>1</v>
      </c>
      <c r="O1424" t="s">
        <v>23</v>
      </c>
      <c r="P1424">
        <v>1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1</v>
      </c>
      <c r="Y1424">
        <v>0</v>
      </c>
      <c r="Z1424">
        <v>0</v>
      </c>
      <c r="AA1424" t="s">
        <v>3739</v>
      </c>
      <c r="AB1424" t="s">
        <v>6441</v>
      </c>
      <c r="AC1424" t="s">
        <v>3739</v>
      </c>
      <c r="AD1424" t="e">
        <f>VLOOKUP(AB1424,#REF!,2,FALSE)</f>
        <v>#REF!</v>
      </c>
      <c r="AE1424" t="e">
        <f>RIGHT(#REF!,(FIND("Complex",#REF!,1)-7))</f>
        <v>#REF!</v>
      </c>
    </row>
    <row r="1425" spans="1:31" x14ac:dyDescent="0.25">
      <c r="A1425">
        <v>559</v>
      </c>
      <c r="B1425" t="s">
        <v>64</v>
      </c>
      <c r="C1425">
        <v>33</v>
      </c>
      <c r="D1425">
        <v>180</v>
      </c>
      <c r="E1425">
        <v>559</v>
      </c>
      <c r="F1425">
        <v>2822401</v>
      </c>
      <c r="G1425">
        <v>2910600</v>
      </c>
      <c r="H1425">
        <f t="shared" si="44"/>
        <v>64.000022675736957</v>
      </c>
      <c r="I1425">
        <f t="shared" si="45"/>
        <v>66</v>
      </c>
      <c r="J1425" t="s">
        <v>22</v>
      </c>
      <c r="K1425">
        <v>4</v>
      </c>
      <c r="L1425" t="e">
        <f t="array" ref="L1425">VLOOKUP(J1425:$J$3871&amp;K1425:$K$3871,CHOOSE({1,2},#REF!&amp;#REF!,#REF!),2,0)</f>
        <v>#N/A</v>
      </c>
      <c r="M1425">
        <v>0</v>
      </c>
      <c r="N1425">
        <v>1</v>
      </c>
      <c r="O1425" t="s">
        <v>23</v>
      </c>
      <c r="P1425">
        <v>1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1</v>
      </c>
      <c r="Y1425">
        <v>0</v>
      </c>
      <c r="Z1425">
        <v>0</v>
      </c>
      <c r="AA1425" t="s">
        <v>3749</v>
      </c>
      <c r="AB1425" t="s">
        <v>6449</v>
      </c>
      <c r="AC1425" t="s">
        <v>3749</v>
      </c>
      <c r="AD1425" t="e">
        <f>VLOOKUP(AB1425,#REF!,2,FALSE)</f>
        <v>#REF!</v>
      </c>
      <c r="AE1425" t="e">
        <f>RIGHT(#REF!,(FIND("Complex",#REF!,1)-7))</f>
        <v>#REF!</v>
      </c>
    </row>
    <row r="1426" spans="1:31" x14ac:dyDescent="0.25">
      <c r="A1426">
        <v>1522</v>
      </c>
      <c r="B1426" t="s">
        <v>64</v>
      </c>
      <c r="C1426">
        <v>33</v>
      </c>
      <c r="D1426">
        <v>464</v>
      </c>
      <c r="E1426">
        <v>1522</v>
      </c>
      <c r="F1426">
        <v>2734201</v>
      </c>
      <c r="G1426">
        <v>2822400</v>
      </c>
      <c r="H1426">
        <f t="shared" si="44"/>
        <v>62.000022675736965</v>
      </c>
      <c r="I1426">
        <f t="shared" si="45"/>
        <v>64</v>
      </c>
      <c r="J1426" t="s">
        <v>22</v>
      </c>
      <c r="K1426">
        <v>4</v>
      </c>
      <c r="L1426" t="e">
        <f t="array" ref="L1426">VLOOKUP(J1426:$J$3871&amp;K1426:$K$3871,CHOOSE({1,2},#REF!&amp;#REF!,#REF!),2,0)</f>
        <v>#N/A</v>
      </c>
      <c r="M1426">
        <v>0</v>
      </c>
      <c r="N1426">
        <v>1</v>
      </c>
      <c r="O1426" t="s">
        <v>23</v>
      </c>
      <c r="P1426">
        <v>1</v>
      </c>
      <c r="Q1426">
        <v>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1</v>
      </c>
      <c r="Y1426">
        <v>0</v>
      </c>
      <c r="Z1426">
        <v>0</v>
      </c>
      <c r="AA1426" t="s">
        <v>3766</v>
      </c>
      <c r="AB1426" t="s">
        <v>6462</v>
      </c>
      <c r="AC1426" t="s">
        <v>3766</v>
      </c>
      <c r="AD1426" t="e">
        <f>VLOOKUP(AB1426,#REF!,2,FALSE)</f>
        <v>#REF!</v>
      </c>
      <c r="AE1426" t="e">
        <f>RIGHT(#REF!,(FIND("Complex",#REF!,1)-8))</f>
        <v>#REF!</v>
      </c>
    </row>
    <row r="1427" spans="1:31" x14ac:dyDescent="0.25">
      <c r="A1427">
        <v>1230</v>
      </c>
      <c r="B1427" t="s">
        <v>64</v>
      </c>
      <c r="C1427">
        <v>33</v>
      </c>
      <c r="D1427">
        <v>372</v>
      </c>
      <c r="E1427">
        <v>1230</v>
      </c>
      <c r="F1427">
        <v>2557801</v>
      </c>
      <c r="G1427">
        <v>2646000</v>
      </c>
      <c r="H1427">
        <f t="shared" si="44"/>
        <v>58.000022675736965</v>
      </c>
      <c r="I1427">
        <f t="shared" si="45"/>
        <v>60</v>
      </c>
      <c r="J1427" t="s">
        <v>22</v>
      </c>
      <c r="K1427">
        <v>4</v>
      </c>
      <c r="L1427" t="e">
        <f t="array" ref="L1427">VLOOKUP(J1427:$J$3871&amp;K1427:$K$3871,CHOOSE({1,2},#REF!&amp;#REF!,#REF!),2,0)</f>
        <v>#N/A</v>
      </c>
      <c r="M1427">
        <v>0</v>
      </c>
      <c r="N1427">
        <v>1</v>
      </c>
      <c r="O1427" t="s">
        <v>23</v>
      </c>
      <c r="P1427">
        <v>1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1</v>
      </c>
      <c r="Y1427">
        <v>0</v>
      </c>
      <c r="Z1427">
        <v>0</v>
      </c>
      <c r="AA1427" t="s">
        <v>3821</v>
      </c>
      <c r="AB1427" t="s">
        <v>6492</v>
      </c>
      <c r="AC1427" t="s">
        <v>3821</v>
      </c>
      <c r="AD1427" t="e">
        <f>VLOOKUP(AB1427,#REF!,2,FALSE)</f>
        <v>#REF!</v>
      </c>
      <c r="AE1427" t="e">
        <f>RIGHT(#REF!,(FIND("Complex",#REF!,1)-8))</f>
        <v>#REF!</v>
      </c>
    </row>
    <row r="1428" spans="1:31" x14ac:dyDescent="0.25">
      <c r="A1428">
        <v>498</v>
      </c>
      <c r="B1428" t="s">
        <v>64</v>
      </c>
      <c r="C1428">
        <v>33</v>
      </c>
      <c r="D1428">
        <v>163</v>
      </c>
      <c r="E1428">
        <v>498</v>
      </c>
      <c r="F1428">
        <v>176401</v>
      </c>
      <c r="G1428">
        <v>264600</v>
      </c>
      <c r="H1428">
        <f t="shared" si="44"/>
        <v>4.000022675736961</v>
      </c>
      <c r="I1428">
        <f t="shared" si="45"/>
        <v>6</v>
      </c>
      <c r="J1428" t="s">
        <v>22</v>
      </c>
      <c r="K1428">
        <v>4</v>
      </c>
      <c r="L1428" t="e">
        <f t="array" ref="L1428">VLOOKUP(J1428:$J$3871&amp;K1428:$K$3871,CHOOSE({1,2},#REF!&amp;#REF!,#REF!),2,0)</f>
        <v>#N/A</v>
      </c>
      <c r="M1428">
        <v>0</v>
      </c>
      <c r="N1428">
        <v>1</v>
      </c>
      <c r="O1428" t="s">
        <v>23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1</v>
      </c>
      <c r="Y1428">
        <v>1</v>
      </c>
      <c r="Z1428">
        <v>0</v>
      </c>
      <c r="AA1428" t="s">
        <v>3969</v>
      </c>
      <c r="AB1428" t="s">
        <v>1024</v>
      </c>
      <c r="AC1428" t="s">
        <v>3969</v>
      </c>
      <c r="AD1428" t="e">
        <f>VLOOKUP(AB1428,#REF!,2,FALSE)</f>
        <v>#REF!</v>
      </c>
      <c r="AE1428" t="e">
        <f>RIGHT(#REF!,(FIND("Complex",#REF!,1)-8))</f>
        <v>#REF!</v>
      </c>
    </row>
    <row r="1429" spans="1:31" x14ac:dyDescent="0.25">
      <c r="A1429">
        <v>2587</v>
      </c>
      <c r="B1429" t="s">
        <v>64</v>
      </c>
      <c r="C1429">
        <v>33</v>
      </c>
      <c r="D1429">
        <v>843</v>
      </c>
      <c r="E1429">
        <v>2587</v>
      </c>
      <c r="F1429">
        <v>970201</v>
      </c>
      <c r="G1429">
        <v>1058400</v>
      </c>
      <c r="H1429">
        <f t="shared" si="44"/>
        <v>22.000022675736961</v>
      </c>
      <c r="I1429">
        <f t="shared" si="45"/>
        <v>24</v>
      </c>
      <c r="J1429" t="s">
        <v>22</v>
      </c>
      <c r="K1429">
        <v>4</v>
      </c>
      <c r="L1429" t="e">
        <f t="array" ref="L1429">VLOOKUP(J1429:$J$3871&amp;K1429:$K$3871,CHOOSE({1,2},#REF!&amp;#REF!,#REF!),2,0)</f>
        <v>#N/A</v>
      </c>
      <c r="M1429">
        <v>0</v>
      </c>
      <c r="N1429">
        <v>1</v>
      </c>
      <c r="O1429" t="s">
        <v>23</v>
      </c>
      <c r="P1429">
        <v>1</v>
      </c>
      <c r="Q1429">
        <v>1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1</v>
      </c>
      <c r="Y1429">
        <v>0</v>
      </c>
      <c r="Z1429">
        <v>0</v>
      </c>
      <c r="AA1429" t="s">
        <v>4251</v>
      </c>
      <c r="AB1429" t="s">
        <v>1025</v>
      </c>
      <c r="AC1429" t="s">
        <v>4251</v>
      </c>
      <c r="AD1429" t="e">
        <f>VLOOKUP(AB1429,#REF!,2,FALSE)</f>
        <v>#REF!</v>
      </c>
      <c r="AE1429" t="e">
        <f>RIGHT(#REF!,(FIND("Complex",#REF!,1)-8))</f>
        <v>#REF!</v>
      </c>
    </row>
    <row r="1430" spans="1:31" x14ac:dyDescent="0.25">
      <c r="A1430">
        <v>2310</v>
      </c>
      <c r="B1430" t="s">
        <v>64</v>
      </c>
      <c r="C1430">
        <v>33</v>
      </c>
      <c r="D1430">
        <v>725</v>
      </c>
      <c r="E1430">
        <v>2310</v>
      </c>
      <c r="F1430">
        <v>8467201</v>
      </c>
      <c r="G1430">
        <v>8555400</v>
      </c>
      <c r="H1430">
        <f t="shared" si="44"/>
        <v>192.00002267573697</v>
      </c>
      <c r="I1430">
        <f t="shared" si="45"/>
        <v>194</v>
      </c>
      <c r="J1430" t="s">
        <v>22</v>
      </c>
      <c r="K1430">
        <v>4</v>
      </c>
      <c r="L1430" t="e">
        <f t="array" ref="L1430">VLOOKUP(J1430:$J$3871&amp;K1430:$K$3871,CHOOSE({1,2},#REF!&amp;#REF!,#REF!),2,0)</f>
        <v>#N/A</v>
      </c>
      <c r="M1430">
        <v>0</v>
      </c>
      <c r="N1430">
        <v>1</v>
      </c>
      <c r="O1430" t="s">
        <v>23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1</v>
      </c>
      <c r="Y1430">
        <v>1</v>
      </c>
      <c r="Z1430">
        <v>0</v>
      </c>
      <c r="AA1430" t="s">
        <v>4364</v>
      </c>
      <c r="AB1430" t="s">
        <v>6837</v>
      </c>
      <c r="AC1430" t="s">
        <v>4364</v>
      </c>
      <c r="AD1430" t="e">
        <f>VLOOKUP(AB1430,#REF!,2,FALSE)</f>
        <v>#REF!</v>
      </c>
      <c r="AE1430" t="e">
        <f>RIGHT(#REF!,(FIND("Complex",#REF!,1)-7))</f>
        <v>#REF!</v>
      </c>
    </row>
    <row r="1431" spans="1:31" x14ac:dyDescent="0.25">
      <c r="A1431">
        <v>1897</v>
      </c>
      <c r="B1431" t="s">
        <v>64</v>
      </c>
      <c r="C1431">
        <v>33</v>
      </c>
      <c r="D1431">
        <v>574</v>
      </c>
      <c r="E1431">
        <v>1897</v>
      </c>
      <c r="F1431">
        <v>793801</v>
      </c>
      <c r="G1431">
        <v>882000</v>
      </c>
      <c r="H1431">
        <f t="shared" si="44"/>
        <v>18.000022675736961</v>
      </c>
      <c r="I1431">
        <f t="shared" si="45"/>
        <v>20</v>
      </c>
      <c r="J1431" t="s">
        <v>22</v>
      </c>
      <c r="K1431">
        <v>4</v>
      </c>
      <c r="L1431" t="e">
        <f t="array" ref="L1431">VLOOKUP(J1431:$J$3871&amp;K1431:$K$3871,CHOOSE({1,2},#REF!&amp;#REF!,#REF!),2,0)</f>
        <v>#N/A</v>
      </c>
      <c r="M1431">
        <v>0</v>
      </c>
      <c r="N1431">
        <v>1</v>
      </c>
      <c r="O1431" t="s">
        <v>23</v>
      </c>
      <c r="P1431">
        <v>1</v>
      </c>
      <c r="Q1431">
        <v>1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1</v>
      </c>
      <c r="Y1431">
        <v>0</v>
      </c>
      <c r="Z1431">
        <v>0</v>
      </c>
      <c r="AA1431" t="s">
        <v>4419</v>
      </c>
      <c r="AB1431" t="s">
        <v>1026</v>
      </c>
      <c r="AC1431" t="s">
        <v>4419</v>
      </c>
      <c r="AD1431" t="e">
        <f>VLOOKUP(AB1431,#REF!,2,FALSE)</f>
        <v>#REF!</v>
      </c>
      <c r="AE1431" t="e">
        <f>RIGHT(#REF!,(FIND("Complex",#REF!,1)-8))</f>
        <v>#REF!</v>
      </c>
    </row>
    <row r="1432" spans="1:31" x14ac:dyDescent="0.25">
      <c r="A1432">
        <v>1391</v>
      </c>
      <c r="B1432" t="s">
        <v>64</v>
      </c>
      <c r="C1432">
        <v>33</v>
      </c>
      <c r="D1432">
        <v>424</v>
      </c>
      <c r="E1432">
        <v>1391</v>
      </c>
      <c r="F1432">
        <v>617401</v>
      </c>
      <c r="G1432">
        <v>705600</v>
      </c>
      <c r="H1432">
        <f t="shared" si="44"/>
        <v>14.000022675736961</v>
      </c>
      <c r="I1432">
        <f t="shared" si="45"/>
        <v>16</v>
      </c>
      <c r="J1432" t="s">
        <v>22</v>
      </c>
      <c r="K1432">
        <v>4</v>
      </c>
      <c r="L1432" t="e">
        <f t="array" ref="L1432">VLOOKUP(J1432:$J$3871&amp;K1432:$K$3871,CHOOSE({1,2},#REF!&amp;#REF!,#REF!),2,0)</f>
        <v>#N/A</v>
      </c>
      <c r="M1432">
        <v>0</v>
      </c>
      <c r="N1432">
        <v>1</v>
      </c>
      <c r="O1432" t="s">
        <v>23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1</v>
      </c>
      <c r="Y1432">
        <v>1</v>
      </c>
      <c r="Z1432">
        <v>0</v>
      </c>
      <c r="AA1432" t="s">
        <v>4622</v>
      </c>
      <c r="AB1432" t="s">
        <v>7001</v>
      </c>
      <c r="AC1432" t="s">
        <v>4622</v>
      </c>
      <c r="AD1432" t="e">
        <f>VLOOKUP(AB1432,#REF!,2,FALSE)</f>
        <v>#REF!</v>
      </c>
      <c r="AE1432" t="e">
        <f>RIGHT(#REF!,(FIND("Complex",#REF!,1)-8))</f>
        <v>#REF!</v>
      </c>
    </row>
    <row r="1433" spans="1:31" x14ac:dyDescent="0.25">
      <c r="A1433">
        <v>2457</v>
      </c>
      <c r="B1433" t="s">
        <v>64</v>
      </c>
      <c r="C1433">
        <v>33</v>
      </c>
      <c r="D1433">
        <v>795</v>
      </c>
      <c r="E1433">
        <v>2457</v>
      </c>
      <c r="F1433">
        <v>5997601</v>
      </c>
      <c r="G1433">
        <v>6085800</v>
      </c>
      <c r="H1433">
        <f t="shared" si="44"/>
        <v>136.00002267573697</v>
      </c>
      <c r="I1433">
        <f t="shared" si="45"/>
        <v>138</v>
      </c>
      <c r="J1433" t="s">
        <v>22</v>
      </c>
      <c r="K1433">
        <v>4</v>
      </c>
      <c r="L1433" t="e">
        <f t="array" ref="L1433">VLOOKUP(J1433:$J$3871&amp;K1433:$K$3871,CHOOSE({1,2},#REF!&amp;#REF!,#REF!),2,0)</f>
        <v>#N/A</v>
      </c>
      <c r="M1433">
        <v>0</v>
      </c>
      <c r="N1433">
        <v>1</v>
      </c>
      <c r="O1433" t="s">
        <v>23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1</v>
      </c>
      <c r="Y1433">
        <v>1</v>
      </c>
      <c r="Z1433">
        <v>0</v>
      </c>
      <c r="AA1433" t="s">
        <v>4646</v>
      </c>
      <c r="AB1433" t="s">
        <v>7021</v>
      </c>
      <c r="AC1433" t="s">
        <v>4646</v>
      </c>
      <c r="AD1433" t="e">
        <f>VLOOKUP(AB1433,#REF!,2,FALSE)</f>
        <v>#REF!</v>
      </c>
      <c r="AE1433" t="e">
        <f>RIGHT(#REF!,(FIND("Complex",#REF!,1)-7))</f>
        <v>#REF!</v>
      </c>
    </row>
    <row r="1434" spans="1:31" x14ac:dyDescent="0.25">
      <c r="A1434">
        <v>720</v>
      </c>
      <c r="B1434" t="s">
        <v>92</v>
      </c>
      <c r="C1434">
        <v>34</v>
      </c>
      <c r="D1434">
        <v>223</v>
      </c>
      <c r="E1434">
        <v>720</v>
      </c>
      <c r="F1434">
        <v>4233601</v>
      </c>
      <c r="G1434">
        <v>4321800</v>
      </c>
      <c r="H1434">
        <f t="shared" si="44"/>
        <v>96.000022675736957</v>
      </c>
      <c r="I1434">
        <f t="shared" si="45"/>
        <v>98</v>
      </c>
      <c r="J1434" t="s">
        <v>22</v>
      </c>
      <c r="K1434">
        <v>4</v>
      </c>
      <c r="L1434" t="e">
        <f t="array" ref="L1434">VLOOKUP(J1434:$J$3871&amp;K1434:$K$3871,CHOOSE({1,2},#REF!&amp;#REF!,#REF!),2,0)</f>
        <v>#N/A</v>
      </c>
      <c r="M1434">
        <v>0</v>
      </c>
      <c r="N1434">
        <v>1</v>
      </c>
      <c r="O1434" t="s">
        <v>23</v>
      </c>
      <c r="P1434">
        <v>1</v>
      </c>
      <c r="Q1434">
        <v>1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1</v>
      </c>
      <c r="Y1434">
        <v>0</v>
      </c>
      <c r="Z1434">
        <v>0</v>
      </c>
      <c r="AA1434" t="s">
        <v>3520</v>
      </c>
      <c r="AB1434" t="s">
        <v>1054</v>
      </c>
      <c r="AC1434" t="s">
        <v>3520</v>
      </c>
      <c r="AD1434" t="e">
        <f>VLOOKUP(AB1434,#REF!,2,FALSE)</f>
        <v>#REF!</v>
      </c>
      <c r="AE1434" t="e">
        <f>RIGHT(#REF!,(FIND("Complex",#REF!,1)-7))</f>
        <v>#REF!</v>
      </c>
    </row>
    <row r="1435" spans="1:31" x14ac:dyDescent="0.25">
      <c r="A1435">
        <v>814</v>
      </c>
      <c r="B1435" t="s">
        <v>92</v>
      </c>
      <c r="C1435">
        <v>34</v>
      </c>
      <c r="D1435">
        <v>247</v>
      </c>
      <c r="E1435">
        <v>814</v>
      </c>
      <c r="F1435">
        <v>11377801</v>
      </c>
      <c r="G1435">
        <v>11466000</v>
      </c>
      <c r="H1435">
        <f t="shared" si="44"/>
        <v>258.00002267573694</v>
      </c>
      <c r="I1435">
        <f t="shared" si="45"/>
        <v>260</v>
      </c>
      <c r="J1435" t="s">
        <v>22</v>
      </c>
      <c r="K1435">
        <v>4</v>
      </c>
      <c r="L1435" t="e">
        <f t="array" ref="L1435">VLOOKUP(J1435:$J$3871&amp;K1435:$K$3871,CHOOSE({1,2},#REF!&amp;#REF!,#REF!),2,0)</f>
        <v>#N/A</v>
      </c>
      <c r="M1435">
        <v>0</v>
      </c>
      <c r="N1435">
        <v>1</v>
      </c>
      <c r="O1435" t="s">
        <v>23</v>
      </c>
      <c r="P1435">
        <v>1</v>
      </c>
      <c r="Q1435">
        <v>1</v>
      </c>
      <c r="R1435">
        <v>0</v>
      </c>
      <c r="S1435">
        <v>0</v>
      </c>
      <c r="T1435">
        <v>1</v>
      </c>
      <c r="U1435">
        <v>0</v>
      </c>
      <c r="V1435">
        <v>0</v>
      </c>
      <c r="W1435">
        <v>0</v>
      </c>
      <c r="X1435">
        <v>0</v>
      </c>
      <c r="Y1435">
        <v>1</v>
      </c>
      <c r="Z1435">
        <v>0</v>
      </c>
      <c r="AA1435" t="s">
        <v>4158</v>
      </c>
      <c r="AB1435" t="s">
        <v>6708</v>
      </c>
      <c r="AC1435" t="s">
        <v>4158</v>
      </c>
      <c r="AD1435" t="e">
        <f>VLOOKUP(AB1435,#REF!,2,FALSE)</f>
        <v>#REF!</v>
      </c>
      <c r="AE1435" t="e">
        <f>RIGHT(#REF!,(FIND("Complex",#REF!,1)-6))</f>
        <v>#REF!</v>
      </c>
    </row>
    <row r="1436" spans="1:31" x14ac:dyDescent="0.25">
      <c r="A1436">
        <v>1534</v>
      </c>
      <c r="B1436" t="s">
        <v>92</v>
      </c>
      <c r="C1436">
        <v>34</v>
      </c>
      <c r="D1436">
        <v>468</v>
      </c>
      <c r="E1436">
        <v>1534</v>
      </c>
      <c r="F1436">
        <v>4674601</v>
      </c>
      <c r="G1436">
        <v>4762800</v>
      </c>
      <c r="H1436">
        <f t="shared" si="44"/>
        <v>106.00002267573696</v>
      </c>
      <c r="I1436">
        <f t="shared" si="45"/>
        <v>108</v>
      </c>
      <c r="J1436" t="s">
        <v>22</v>
      </c>
      <c r="K1436">
        <v>4</v>
      </c>
      <c r="L1436" t="e">
        <f t="array" ref="L1436">VLOOKUP(J1436:$J$3871&amp;K1436:$K$3871,CHOOSE({1,2},#REF!&amp;#REF!,#REF!),2,0)</f>
        <v>#N/A</v>
      </c>
      <c r="M1436">
        <v>0</v>
      </c>
      <c r="N1436">
        <v>1</v>
      </c>
      <c r="O1436" t="s">
        <v>23</v>
      </c>
      <c r="P1436">
        <v>1</v>
      </c>
      <c r="Q1436">
        <v>1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1</v>
      </c>
      <c r="Y1436">
        <v>0</v>
      </c>
      <c r="Z1436">
        <v>0</v>
      </c>
      <c r="AA1436" t="s">
        <v>4805</v>
      </c>
      <c r="AB1436" t="s">
        <v>7111</v>
      </c>
      <c r="AC1436" t="s">
        <v>4805</v>
      </c>
      <c r="AD1436" t="e">
        <f>VLOOKUP(AB1436,#REF!,2,FALSE)</f>
        <v>#REF!</v>
      </c>
      <c r="AE1436" t="e">
        <f>RIGHT(#REF!,(FIND("Complex",#REF!,1)-7))</f>
        <v>#REF!</v>
      </c>
    </row>
    <row r="1437" spans="1:31" x14ac:dyDescent="0.25">
      <c r="A1437">
        <v>270</v>
      </c>
      <c r="B1437" t="s">
        <v>92</v>
      </c>
      <c r="C1437">
        <v>34</v>
      </c>
      <c r="D1437">
        <v>80</v>
      </c>
      <c r="E1437">
        <v>270</v>
      </c>
      <c r="F1437">
        <v>4586401</v>
      </c>
      <c r="G1437">
        <v>4674600</v>
      </c>
      <c r="H1437">
        <f t="shared" si="44"/>
        <v>104.00002267573696</v>
      </c>
      <c r="I1437">
        <f t="shared" si="45"/>
        <v>106</v>
      </c>
      <c r="J1437" t="s">
        <v>22</v>
      </c>
      <c r="K1437">
        <v>4</v>
      </c>
      <c r="L1437" t="e">
        <f t="array" ref="L1437">VLOOKUP(J1437:$J$3871&amp;K1437:$K$3871,CHOOSE({1,2},#REF!&amp;#REF!,#REF!),2,0)</f>
        <v>#N/A</v>
      </c>
      <c r="M1437">
        <v>0</v>
      </c>
      <c r="N1437">
        <v>1</v>
      </c>
      <c r="O1437" t="s">
        <v>23</v>
      </c>
      <c r="P1437">
        <v>1</v>
      </c>
      <c r="Q1437">
        <v>1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1</v>
      </c>
      <c r="Y1437">
        <v>0</v>
      </c>
      <c r="Z1437">
        <v>0</v>
      </c>
      <c r="AA1437" t="s">
        <v>4819</v>
      </c>
      <c r="AB1437" t="s">
        <v>1055</v>
      </c>
      <c r="AC1437" t="s">
        <v>4819</v>
      </c>
      <c r="AD1437" t="e">
        <f>VLOOKUP(AB1437,#REF!,2,FALSE)</f>
        <v>#REF!</v>
      </c>
      <c r="AE1437" t="e">
        <f>RIGHT(#REF!,(FIND("Complex",#REF!,1)-6))</f>
        <v>#REF!</v>
      </c>
    </row>
    <row r="1438" spans="1:31" x14ac:dyDescent="0.25">
      <c r="A1438">
        <v>47</v>
      </c>
      <c r="B1438" t="s">
        <v>38</v>
      </c>
      <c r="C1438">
        <v>37</v>
      </c>
      <c r="D1438">
        <v>13</v>
      </c>
      <c r="E1438">
        <v>47</v>
      </c>
      <c r="F1438">
        <v>1675801</v>
      </c>
      <c r="G1438">
        <v>1764000</v>
      </c>
      <c r="H1438">
        <f t="shared" si="44"/>
        <v>38.000022675736965</v>
      </c>
      <c r="I1438">
        <f t="shared" si="45"/>
        <v>40</v>
      </c>
      <c r="J1438" t="s">
        <v>22</v>
      </c>
      <c r="K1438">
        <v>4</v>
      </c>
      <c r="L1438" t="e">
        <f t="array" ref="L1438">VLOOKUP(J1438:$J$3871&amp;K1438:$K$3871,CHOOSE({1,2},#REF!&amp;#REF!,#REF!),2,0)</f>
        <v>#N/A</v>
      </c>
      <c r="M1438">
        <v>0</v>
      </c>
      <c r="N1438">
        <v>1</v>
      </c>
      <c r="O1438" t="s">
        <v>23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1</v>
      </c>
      <c r="X1438">
        <v>1</v>
      </c>
      <c r="Y1438">
        <v>0</v>
      </c>
      <c r="Z1438">
        <v>0</v>
      </c>
      <c r="AA1438" t="s">
        <v>3982</v>
      </c>
      <c r="AB1438" t="s">
        <v>6581</v>
      </c>
      <c r="AC1438" t="s">
        <v>3982</v>
      </c>
      <c r="AD1438" t="e">
        <f>VLOOKUP(AB1438,#REF!,2,FALSE)</f>
        <v>#REF!</v>
      </c>
      <c r="AE1438" t="e">
        <f>RIGHT(#REF!,(FIND("Complex",#REF!,1)-6))</f>
        <v>#REF!</v>
      </c>
    </row>
    <row r="1439" spans="1:31" x14ac:dyDescent="0.25">
      <c r="A1439">
        <v>1687</v>
      </c>
      <c r="B1439" t="s">
        <v>38</v>
      </c>
      <c r="C1439">
        <v>37</v>
      </c>
      <c r="D1439">
        <v>510</v>
      </c>
      <c r="E1439">
        <v>1687</v>
      </c>
      <c r="F1439">
        <v>1587601</v>
      </c>
      <c r="G1439">
        <v>1675800</v>
      </c>
      <c r="H1439">
        <f t="shared" si="44"/>
        <v>36.000022675736965</v>
      </c>
      <c r="I1439">
        <f t="shared" si="45"/>
        <v>38</v>
      </c>
      <c r="J1439" t="s">
        <v>22</v>
      </c>
      <c r="K1439">
        <v>4</v>
      </c>
      <c r="L1439" t="e">
        <f t="array" ref="L1439">VLOOKUP(J1439:$J$3871&amp;K1439:$K$3871,CHOOSE({1,2},#REF!&amp;#REF!,#REF!),2,0)</f>
        <v>#N/A</v>
      </c>
      <c r="M1439">
        <v>0</v>
      </c>
      <c r="N1439">
        <v>1</v>
      </c>
      <c r="O1439" t="s">
        <v>23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1</v>
      </c>
      <c r="X1439">
        <v>1</v>
      </c>
      <c r="Y1439">
        <v>0</v>
      </c>
      <c r="Z1439">
        <v>0</v>
      </c>
      <c r="AA1439" t="s">
        <v>4007</v>
      </c>
      <c r="AB1439" t="s">
        <v>6600</v>
      </c>
      <c r="AC1439" t="s">
        <v>4007</v>
      </c>
      <c r="AD1439" t="e">
        <f>VLOOKUP(AB1439,#REF!,2,FALSE)</f>
        <v>#REF!</v>
      </c>
      <c r="AE1439" t="e">
        <f>RIGHT(#REF!,(FIND("Complex",#REF!,1)-8))</f>
        <v>#REF!</v>
      </c>
    </row>
    <row r="1440" spans="1:31" x14ac:dyDescent="0.25">
      <c r="A1440">
        <v>1810</v>
      </c>
      <c r="B1440" t="s">
        <v>38</v>
      </c>
      <c r="C1440">
        <v>37</v>
      </c>
      <c r="D1440">
        <v>548</v>
      </c>
      <c r="E1440">
        <v>1810</v>
      </c>
      <c r="F1440">
        <v>7408801</v>
      </c>
      <c r="G1440">
        <v>7497000</v>
      </c>
      <c r="H1440">
        <f t="shared" si="44"/>
        <v>168.00002267573697</v>
      </c>
      <c r="I1440">
        <f t="shared" si="45"/>
        <v>170</v>
      </c>
      <c r="J1440" t="s">
        <v>22</v>
      </c>
      <c r="K1440">
        <v>4</v>
      </c>
      <c r="L1440" t="e">
        <f t="array" ref="L1440">VLOOKUP(J1440:$J$3871&amp;K1440:$K$3871,CHOOSE({1,2},#REF!&amp;#REF!,#REF!),2,0)</f>
        <v>#N/A</v>
      </c>
      <c r="M1440">
        <v>0</v>
      </c>
      <c r="N1440">
        <v>1</v>
      </c>
      <c r="O1440" t="s">
        <v>23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1</v>
      </c>
      <c r="Y1440">
        <v>0</v>
      </c>
      <c r="Z1440">
        <v>1</v>
      </c>
      <c r="AA1440" t="s">
        <v>4444</v>
      </c>
      <c r="AB1440" t="s">
        <v>6885</v>
      </c>
      <c r="AC1440" t="s">
        <v>4444</v>
      </c>
      <c r="AD1440" t="e">
        <f>VLOOKUP(AB1440,#REF!,2,FALSE)</f>
        <v>#REF!</v>
      </c>
      <c r="AE1440" t="e">
        <f>RIGHT(#REF!,(FIND("Complex",#REF!,1)-7))</f>
        <v>#REF!</v>
      </c>
    </row>
    <row r="1441" spans="1:31" x14ac:dyDescent="0.25">
      <c r="A1441">
        <v>2184</v>
      </c>
      <c r="B1441" t="s">
        <v>38</v>
      </c>
      <c r="C1441">
        <v>37</v>
      </c>
      <c r="D1441">
        <v>670</v>
      </c>
      <c r="E1441">
        <v>2184</v>
      </c>
      <c r="F1441">
        <v>7232401</v>
      </c>
      <c r="G1441">
        <v>7320600</v>
      </c>
      <c r="H1441">
        <f t="shared" si="44"/>
        <v>164.00002267573697</v>
      </c>
      <c r="I1441">
        <f t="shared" si="45"/>
        <v>166</v>
      </c>
      <c r="J1441" t="s">
        <v>22</v>
      </c>
      <c r="K1441">
        <v>4</v>
      </c>
      <c r="L1441" t="e">
        <f t="array" ref="L1441">VLOOKUP(J1441:$J$3871&amp;K1441:$K$3871,CHOOSE({1,2},#REF!&amp;#REF!,#REF!),2,0)</f>
        <v>#N/A</v>
      </c>
      <c r="M1441">
        <v>0</v>
      </c>
      <c r="N1441">
        <v>1</v>
      </c>
      <c r="O1441" t="s">
        <v>23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1</v>
      </c>
      <c r="Y1441">
        <v>0</v>
      </c>
      <c r="Z1441">
        <v>1</v>
      </c>
      <c r="AA1441" t="s">
        <v>4464</v>
      </c>
      <c r="AB1441" t="s">
        <v>1132</v>
      </c>
      <c r="AC1441" t="s">
        <v>4464</v>
      </c>
      <c r="AD1441" t="e">
        <f>VLOOKUP(AB1441,#REF!,2,FALSE)</f>
        <v>#REF!</v>
      </c>
      <c r="AE1441" t="e">
        <f>RIGHT(#REF!,(FIND("Complex",#REF!,1)-7))</f>
        <v>#REF!</v>
      </c>
    </row>
    <row r="1442" spans="1:31" x14ac:dyDescent="0.25">
      <c r="A1442">
        <v>2353</v>
      </c>
      <c r="B1442" t="s">
        <v>38</v>
      </c>
      <c r="C1442">
        <v>37</v>
      </c>
      <c r="D1442">
        <v>747</v>
      </c>
      <c r="E1442">
        <v>2353</v>
      </c>
      <c r="F1442">
        <v>6967801</v>
      </c>
      <c r="G1442">
        <v>7056000</v>
      </c>
      <c r="H1442">
        <f t="shared" si="44"/>
        <v>158.00002267573697</v>
      </c>
      <c r="I1442">
        <f t="shared" si="45"/>
        <v>160</v>
      </c>
      <c r="J1442" t="s">
        <v>22</v>
      </c>
      <c r="K1442">
        <v>4</v>
      </c>
      <c r="L1442" t="e">
        <f t="array" ref="L1442">VLOOKUP(J1442:$J$3871&amp;K1442:$K$3871,CHOOSE({1,2},#REF!&amp;#REF!,#REF!),2,0)</f>
        <v>#N/A</v>
      </c>
      <c r="M1442">
        <v>0</v>
      </c>
      <c r="N1442">
        <v>1</v>
      </c>
      <c r="O1442" t="s">
        <v>23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1</v>
      </c>
      <c r="Y1442">
        <v>0</v>
      </c>
      <c r="Z1442">
        <v>1</v>
      </c>
      <c r="AA1442" t="s">
        <v>4509</v>
      </c>
      <c r="AB1442" t="s">
        <v>6929</v>
      </c>
      <c r="AC1442" t="s">
        <v>4509</v>
      </c>
      <c r="AD1442" t="e">
        <f>VLOOKUP(AB1442,#REF!,2,FALSE)</f>
        <v>#REF!</v>
      </c>
      <c r="AE1442" t="e">
        <f>RIGHT(#REF!,(FIND("Complex",#REF!,1)-7))</f>
        <v>#REF!</v>
      </c>
    </row>
    <row r="1443" spans="1:31" x14ac:dyDescent="0.25">
      <c r="A1443">
        <v>1842</v>
      </c>
      <c r="B1443" t="s">
        <v>38</v>
      </c>
      <c r="C1443">
        <v>37</v>
      </c>
      <c r="D1443">
        <v>556</v>
      </c>
      <c r="E1443">
        <v>1842</v>
      </c>
      <c r="F1443">
        <v>6526801</v>
      </c>
      <c r="G1443">
        <v>6615000</v>
      </c>
      <c r="H1443">
        <f t="shared" si="44"/>
        <v>148.00002267573697</v>
      </c>
      <c r="I1443">
        <f t="shared" si="45"/>
        <v>150</v>
      </c>
      <c r="J1443" t="s">
        <v>22</v>
      </c>
      <c r="K1443">
        <v>4</v>
      </c>
      <c r="L1443" t="e">
        <f t="array" ref="L1443">VLOOKUP(J1443:$J$3871&amp;K1443:$K$3871,CHOOSE({1,2},#REF!&amp;#REF!,#REF!),2,0)</f>
        <v>#N/A</v>
      </c>
      <c r="M1443">
        <v>0</v>
      </c>
      <c r="N1443">
        <v>1</v>
      </c>
      <c r="O1443" t="s">
        <v>23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1</v>
      </c>
      <c r="Y1443">
        <v>0</v>
      </c>
      <c r="Z1443">
        <v>1</v>
      </c>
      <c r="AA1443" t="s">
        <v>4559</v>
      </c>
      <c r="AB1443" t="s">
        <v>6967</v>
      </c>
      <c r="AC1443" t="s">
        <v>4559</v>
      </c>
      <c r="AD1443" t="e">
        <f>VLOOKUP(AB1443,#REF!,2,FALSE)</f>
        <v>#REF!</v>
      </c>
      <c r="AE1443" t="e">
        <f>RIGHT(#REF!,(FIND("Complex",#REF!,1)-7))</f>
        <v>#REF!</v>
      </c>
    </row>
    <row r="1444" spans="1:31" x14ac:dyDescent="0.25">
      <c r="A1444">
        <v>1567</v>
      </c>
      <c r="B1444" t="s">
        <v>38</v>
      </c>
      <c r="C1444">
        <v>37</v>
      </c>
      <c r="D1444">
        <v>479</v>
      </c>
      <c r="E1444">
        <v>1567</v>
      </c>
      <c r="F1444">
        <v>6438601</v>
      </c>
      <c r="G1444">
        <v>6526800</v>
      </c>
      <c r="H1444">
        <f t="shared" si="44"/>
        <v>146.00002267573697</v>
      </c>
      <c r="I1444">
        <f t="shared" si="45"/>
        <v>148</v>
      </c>
      <c r="J1444" t="s">
        <v>22</v>
      </c>
      <c r="K1444">
        <v>4</v>
      </c>
      <c r="L1444" t="e">
        <f t="array" ref="L1444">VLOOKUP(J1444:$J$3871&amp;K1444:$K$3871,CHOOSE({1,2},#REF!&amp;#REF!,#REF!),2,0)</f>
        <v>#N/A</v>
      </c>
      <c r="M1444">
        <v>0</v>
      </c>
      <c r="N1444">
        <v>1</v>
      </c>
      <c r="O1444" t="s">
        <v>23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1</v>
      </c>
      <c r="Y1444">
        <v>0</v>
      </c>
      <c r="Z1444">
        <v>1</v>
      </c>
      <c r="AA1444" t="s">
        <v>4568</v>
      </c>
      <c r="AB1444" t="s">
        <v>6973</v>
      </c>
      <c r="AC1444" t="s">
        <v>4568</v>
      </c>
      <c r="AD1444" t="e">
        <f>VLOOKUP(AB1444,#REF!,2,FALSE)</f>
        <v>#REF!</v>
      </c>
      <c r="AE1444" t="e">
        <f>RIGHT(#REF!,(FIND("Complex",#REF!,1)-7))</f>
        <v>#REF!</v>
      </c>
    </row>
    <row r="1445" spans="1:31" x14ac:dyDescent="0.25">
      <c r="A1445">
        <v>2610</v>
      </c>
      <c r="B1445" t="s">
        <v>38</v>
      </c>
      <c r="C1445">
        <v>37</v>
      </c>
      <c r="D1445">
        <v>858</v>
      </c>
      <c r="E1445">
        <v>2610</v>
      </c>
      <c r="F1445">
        <v>6350401</v>
      </c>
      <c r="G1445">
        <v>6438600</v>
      </c>
      <c r="H1445">
        <f t="shared" si="44"/>
        <v>144.00002267573697</v>
      </c>
      <c r="I1445">
        <f t="shared" si="45"/>
        <v>146</v>
      </c>
      <c r="J1445" t="s">
        <v>22</v>
      </c>
      <c r="K1445">
        <v>4</v>
      </c>
      <c r="L1445" t="e">
        <f t="array" ref="L1445">VLOOKUP(J1445:$J$3871&amp;K1445:$K$3871,CHOOSE({1,2},#REF!&amp;#REF!,#REF!),2,0)</f>
        <v>#N/A</v>
      </c>
      <c r="M1445">
        <v>0</v>
      </c>
      <c r="N1445">
        <v>1</v>
      </c>
      <c r="O1445" t="s">
        <v>23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1</v>
      </c>
      <c r="Y1445">
        <v>0</v>
      </c>
      <c r="Z1445">
        <v>1</v>
      </c>
      <c r="AA1445" t="s">
        <v>4580</v>
      </c>
      <c r="AB1445" t="s">
        <v>6981</v>
      </c>
      <c r="AC1445" t="s">
        <v>4580</v>
      </c>
      <c r="AD1445" t="e">
        <f>VLOOKUP(AB1445,#REF!,2,FALSE)</f>
        <v>#REF!</v>
      </c>
      <c r="AE1445" t="e">
        <f>RIGHT(#REF!,(FIND("Complex",#REF!,1)-7))</f>
        <v>#REF!</v>
      </c>
    </row>
    <row r="1446" spans="1:31" x14ac:dyDescent="0.25">
      <c r="A1446">
        <v>486</v>
      </c>
      <c r="B1446" t="s">
        <v>38</v>
      </c>
      <c r="C1446">
        <v>37</v>
      </c>
      <c r="D1446">
        <v>156</v>
      </c>
      <c r="E1446">
        <v>486</v>
      </c>
      <c r="F1446">
        <v>6174001</v>
      </c>
      <c r="G1446">
        <v>6262200</v>
      </c>
      <c r="H1446">
        <f t="shared" si="44"/>
        <v>140.00002267573697</v>
      </c>
      <c r="I1446">
        <f t="shared" si="45"/>
        <v>142</v>
      </c>
      <c r="J1446" t="s">
        <v>22</v>
      </c>
      <c r="K1446">
        <v>4</v>
      </c>
      <c r="L1446" t="e">
        <f t="array" ref="L1446">VLOOKUP(J1446:$J$3871&amp;K1446:$K$3871,CHOOSE({1,2},#REF!&amp;#REF!,#REF!),2,0)</f>
        <v>#N/A</v>
      </c>
      <c r="M1446">
        <v>0</v>
      </c>
      <c r="N1446">
        <v>1</v>
      </c>
      <c r="O1446" t="s">
        <v>23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 t="s">
        <v>4597</v>
      </c>
      <c r="AB1446" t="s">
        <v>1133</v>
      </c>
      <c r="AC1446" t="s">
        <v>4597</v>
      </c>
      <c r="AD1446" t="e">
        <f>VLOOKUP(AB1446,#REF!,2,FALSE)</f>
        <v>#REF!</v>
      </c>
      <c r="AE1446" t="e">
        <f>RIGHT(#REF!,(FIND("Complex",#REF!,1)-6))</f>
        <v>#REF!</v>
      </c>
    </row>
    <row r="1447" spans="1:31" x14ac:dyDescent="0.25">
      <c r="A1447">
        <v>365</v>
      </c>
      <c r="B1447" t="s">
        <v>38</v>
      </c>
      <c r="C1447">
        <v>37</v>
      </c>
      <c r="D1447">
        <v>117</v>
      </c>
      <c r="E1447">
        <v>365</v>
      </c>
      <c r="F1447">
        <v>5997601</v>
      </c>
      <c r="G1447">
        <v>6085800</v>
      </c>
      <c r="H1447">
        <f t="shared" si="44"/>
        <v>136.00002267573697</v>
      </c>
      <c r="I1447">
        <f t="shared" si="45"/>
        <v>138</v>
      </c>
      <c r="J1447" t="s">
        <v>22</v>
      </c>
      <c r="K1447">
        <v>4</v>
      </c>
      <c r="L1447" t="e">
        <f t="array" ref="L1447">VLOOKUP(J1447:$J$3871&amp;K1447:$K$3871,CHOOSE({1,2},#REF!&amp;#REF!,#REF!),2,0)</f>
        <v>#N/A</v>
      </c>
      <c r="M1447">
        <v>0</v>
      </c>
      <c r="N1447">
        <v>1</v>
      </c>
      <c r="O1447" t="s">
        <v>23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1</v>
      </c>
      <c r="Y1447">
        <v>0</v>
      </c>
      <c r="Z1447">
        <v>1</v>
      </c>
      <c r="AA1447" t="s">
        <v>4644</v>
      </c>
      <c r="AB1447" t="s">
        <v>7020</v>
      </c>
      <c r="AC1447" t="s">
        <v>4644</v>
      </c>
      <c r="AD1447" t="e">
        <f>VLOOKUP(AB1447,#REF!,2,FALSE)</f>
        <v>#REF!</v>
      </c>
      <c r="AE1447" t="e">
        <f>RIGHT(#REF!,(FIND("Complex",#REF!,1)-6))</f>
        <v>#REF!</v>
      </c>
    </row>
    <row r="1448" spans="1:31" x14ac:dyDescent="0.25">
      <c r="A1448">
        <v>2108</v>
      </c>
      <c r="B1448" t="s">
        <v>38</v>
      </c>
      <c r="C1448">
        <v>37</v>
      </c>
      <c r="D1448">
        <v>641</v>
      </c>
      <c r="E1448">
        <v>2108</v>
      </c>
      <c r="F1448">
        <v>5909401</v>
      </c>
      <c r="G1448">
        <v>5997600</v>
      </c>
      <c r="H1448">
        <f t="shared" si="44"/>
        <v>134.00002267573697</v>
      </c>
      <c r="I1448">
        <f t="shared" si="45"/>
        <v>136</v>
      </c>
      <c r="J1448" t="s">
        <v>22</v>
      </c>
      <c r="K1448">
        <v>4</v>
      </c>
      <c r="L1448" t="e">
        <f t="array" ref="L1448">VLOOKUP(J1448:$J$3871&amp;K1448:$K$3871,CHOOSE({1,2},#REF!&amp;#REF!,#REF!),2,0)</f>
        <v>#N/A</v>
      </c>
      <c r="M1448">
        <v>0</v>
      </c>
      <c r="N1448">
        <v>1</v>
      </c>
      <c r="O1448" t="s">
        <v>23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1</v>
      </c>
      <c r="Y1448">
        <v>0</v>
      </c>
      <c r="Z1448">
        <v>1</v>
      </c>
      <c r="AA1448" t="s">
        <v>4654</v>
      </c>
      <c r="AB1448" t="s">
        <v>7026</v>
      </c>
      <c r="AC1448" t="s">
        <v>4654</v>
      </c>
      <c r="AD1448" t="e">
        <f>VLOOKUP(AB1448,#REF!,2,FALSE)</f>
        <v>#REF!</v>
      </c>
      <c r="AE1448" t="e">
        <f>RIGHT(#REF!,(FIND("Complex",#REF!,1)-7))</f>
        <v>#REF!</v>
      </c>
    </row>
    <row r="1449" spans="1:31" x14ac:dyDescent="0.25">
      <c r="A1449">
        <v>572</v>
      </c>
      <c r="B1449" t="s">
        <v>50</v>
      </c>
      <c r="C1449">
        <v>38</v>
      </c>
      <c r="D1449">
        <v>185</v>
      </c>
      <c r="E1449">
        <v>572</v>
      </c>
      <c r="F1449">
        <v>2205001</v>
      </c>
      <c r="G1449">
        <v>2293200</v>
      </c>
      <c r="H1449">
        <f t="shared" si="44"/>
        <v>50.000022675736965</v>
      </c>
      <c r="I1449">
        <f t="shared" si="45"/>
        <v>52</v>
      </c>
      <c r="J1449" t="s">
        <v>22</v>
      </c>
      <c r="K1449">
        <v>4</v>
      </c>
      <c r="L1449" t="e">
        <f t="array" ref="L1449">VLOOKUP(J1449:$J$3871&amp;K1449:$K$3871,CHOOSE({1,2},#REF!&amp;#REF!,#REF!),2,0)</f>
        <v>#N/A</v>
      </c>
      <c r="M1449">
        <v>0</v>
      </c>
      <c r="N1449">
        <v>1</v>
      </c>
      <c r="O1449" t="s">
        <v>23</v>
      </c>
      <c r="P1449">
        <v>1</v>
      </c>
      <c r="Q1449">
        <v>1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1</v>
      </c>
      <c r="Y1449">
        <v>0</v>
      </c>
      <c r="Z1449">
        <v>0</v>
      </c>
      <c r="AA1449" t="s">
        <v>3876</v>
      </c>
      <c r="AB1449" t="s">
        <v>6526</v>
      </c>
      <c r="AC1449" t="s">
        <v>3876</v>
      </c>
      <c r="AD1449" t="e">
        <f>VLOOKUP(AB1449,#REF!,2,FALSE)</f>
        <v>#REF!</v>
      </c>
      <c r="AE1449" t="e">
        <f>RIGHT(#REF!,(FIND("Complex",#REF!,1)-7))</f>
        <v>#REF!</v>
      </c>
    </row>
    <row r="1450" spans="1:31" x14ac:dyDescent="0.25">
      <c r="A1450">
        <v>1309</v>
      </c>
      <c r="B1450" t="s">
        <v>50</v>
      </c>
      <c r="C1450">
        <v>38</v>
      </c>
      <c r="D1450">
        <v>400</v>
      </c>
      <c r="E1450">
        <v>1309</v>
      </c>
      <c r="F1450">
        <v>1675801</v>
      </c>
      <c r="G1450">
        <v>1764000</v>
      </c>
      <c r="H1450">
        <f t="shared" si="44"/>
        <v>38.000022675736965</v>
      </c>
      <c r="I1450">
        <f t="shared" si="45"/>
        <v>40</v>
      </c>
      <c r="J1450" t="s">
        <v>22</v>
      </c>
      <c r="K1450">
        <v>4</v>
      </c>
      <c r="L1450" t="e">
        <f t="array" ref="L1450">VLOOKUP(J1450:$J$3871&amp;K1450:$K$3871,CHOOSE({1,2},#REF!&amp;#REF!,#REF!),2,0)</f>
        <v>#N/A</v>
      </c>
      <c r="M1450">
        <v>0</v>
      </c>
      <c r="N1450">
        <v>1</v>
      </c>
      <c r="O1450" t="s">
        <v>23</v>
      </c>
      <c r="P1450">
        <v>1</v>
      </c>
      <c r="Q1450">
        <v>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1</v>
      </c>
      <c r="Y1450">
        <v>0</v>
      </c>
      <c r="Z1450">
        <v>0</v>
      </c>
      <c r="AA1450" t="s">
        <v>3981</v>
      </c>
      <c r="AB1450" t="s">
        <v>1143</v>
      </c>
      <c r="AC1450" t="s">
        <v>3981</v>
      </c>
      <c r="AD1450" t="e">
        <f>VLOOKUP(AB1450,#REF!,2,FALSE)</f>
        <v>#REF!</v>
      </c>
      <c r="AE1450" t="e">
        <f>RIGHT(#REF!,(FIND("Complex",#REF!,1)-8))</f>
        <v>#REF!</v>
      </c>
    </row>
    <row r="1451" spans="1:31" x14ac:dyDescent="0.25">
      <c r="A1451">
        <v>1549</v>
      </c>
      <c r="B1451" t="s">
        <v>50</v>
      </c>
      <c r="C1451">
        <v>38</v>
      </c>
      <c r="D1451">
        <v>473</v>
      </c>
      <c r="E1451">
        <v>1549</v>
      </c>
      <c r="F1451">
        <v>10143001</v>
      </c>
      <c r="G1451">
        <v>10231200</v>
      </c>
      <c r="H1451">
        <f t="shared" si="44"/>
        <v>230.00002267573697</v>
      </c>
      <c r="I1451">
        <f t="shared" si="45"/>
        <v>232</v>
      </c>
      <c r="J1451" t="s">
        <v>22</v>
      </c>
      <c r="K1451">
        <v>4</v>
      </c>
      <c r="L1451" t="e">
        <f t="array" ref="L1451">VLOOKUP(J1451:$J$3871&amp;K1451:$K$3871,CHOOSE({1,2},#REF!&amp;#REF!,#REF!),2,0)</f>
        <v>#N/A</v>
      </c>
      <c r="M1451">
        <v>0</v>
      </c>
      <c r="N1451">
        <v>1</v>
      </c>
      <c r="O1451" t="s">
        <v>23</v>
      </c>
      <c r="P1451">
        <v>0</v>
      </c>
      <c r="Q1451">
        <v>1</v>
      </c>
      <c r="R1451">
        <v>0</v>
      </c>
      <c r="S1451">
        <v>1</v>
      </c>
      <c r="T1451">
        <v>0</v>
      </c>
      <c r="U1451">
        <v>0</v>
      </c>
      <c r="V1451">
        <v>0</v>
      </c>
      <c r="W1451">
        <v>1</v>
      </c>
      <c r="X1451">
        <v>1</v>
      </c>
      <c r="Y1451">
        <v>0</v>
      </c>
      <c r="Z1451">
        <v>0</v>
      </c>
      <c r="AA1451" t="s">
        <v>4217</v>
      </c>
      <c r="AB1451" t="s">
        <v>6752</v>
      </c>
      <c r="AC1451" t="s">
        <v>4217</v>
      </c>
      <c r="AD1451" t="e">
        <f>VLOOKUP(AB1451,#REF!,2,FALSE)</f>
        <v>#REF!</v>
      </c>
      <c r="AE1451" t="e">
        <f>RIGHT(#REF!,(FIND("Complex",#REF!,1)-7))</f>
        <v>#REF!</v>
      </c>
    </row>
    <row r="1452" spans="1:31" x14ac:dyDescent="0.25">
      <c r="A1452">
        <v>93</v>
      </c>
      <c r="B1452" t="s">
        <v>50</v>
      </c>
      <c r="C1452">
        <v>38</v>
      </c>
      <c r="D1452">
        <v>26</v>
      </c>
      <c r="E1452">
        <v>93</v>
      </c>
      <c r="F1452">
        <v>6703201</v>
      </c>
      <c r="G1452">
        <v>6791400</v>
      </c>
      <c r="H1452">
        <f t="shared" si="44"/>
        <v>152.00002267573697</v>
      </c>
      <c r="I1452">
        <f t="shared" si="45"/>
        <v>154</v>
      </c>
      <c r="J1452" t="s">
        <v>22</v>
      </c>
      <c r="K1452">
        <v>4</v>
      </c>
      <c r="L1452" t="e">
        <f t="array" ref="L1452">VLOOKUP(J1452:$J$3871&amp;K1452:$K$3871,CHOOSE({1,2},#REF!&amp;#REF!,#REF!),2,0)</f>
        <v>#N/A</v>
      </c>
      <c r="M1452">
        <v>0</v>
      </c>
      <c r="N1452">
        <v>1</v>
      </c>
      <c r="O1452" t="s">
        <v>23</v>
      </c>
      <c r="P1452">
        <v>1</v>
      </c>
      <c r="Q1452">
        <v>1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1</v>
      </c>
      <c r="Y1452">
        <v>0</v>
      </c>
      <c r="Z1452">
        <v>0</v>
      </c>
      <c r="AA1452" t="s">
        <v>4537</v>
      </c>
      <c r="AB1452" t="s">
        <v>6951</v>
      </c>
      <c r="AC1452" t="s">
        <v>4537</v>
      </c>
      <c r="AD1452" t="e">
        <f>VLOOKUP(AB1452,#REF!,2,FALSE)</f>
        <v>#REF!</v>
      </c>
      <c r="AE1452" t="e">
        <f>RIGHT(#REF!,(FIND("Complex",#REF!,1)-5))</f>
        <v>#REF!</v>
      </c>
    </row>
    <row r="1453" spans="1:31" x14ac:dyDescent="0.25">
      <c r="A1453">
        <v>1085</v>
      </c>
      <c r="B1453" t="s">
        <v>50</v>
      </c>
      <c r="C1453">
        <v>38</v>
      </c>
      <c r="D1453">
        <v>326</v>
      </c>
      <c r="E1453">
        <v>1085</v>
      </c>
      <c r="F1453">
        <v>6615001</v>
      </c>
      <c r="G1453">
        <v>6703200</v>
      </c>
      <c r="H1453">
        <f t="shared" si="44"/>
        <v>150.00002267573697</v>
      </c>
      <c r="I1453">
        <f t="shared" si="45"/>
        <v>152</v>
      </c>
      <c r="J1453" t="s">
        <v>22</v>
      </c>
      <c r="K1453">
        <v>4</v>
      </c>
      <c r="L1453" t="e">
        <f t="array" ref="L1453">VLOOKUP(J1453:$J$3871&amp;K1453:$K$3871,CHOOSE({1,2},#REF!&amp;#REF!,#REF!),2,0)</f>
        <v>#N/A</v>
      </c>
      <c r="M1453">
        <v>0</v>
      </c>
      <c r="N1453">
        <v>1</v>
      </c>
      <c r="O1453" t="s">
        <v>23</v>
      </c>
      <c r="P1453">
        <v>1</v>
      </c>
      <c r="Q1453">
        <v>1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1</v>
      </c>
      <c r="Y1453">
        <v>0</v>
      </c>
      <c r="Z1453">
        <v>0</v>
      </c>
      <c r="AA1453" t="s">
        <v>4551</v>
      </c>
      <c r="AB1453" t="s">
        <v>6963</v>
      </c>
      <c r="AC1453" t="s">
        <v>4551</v>
      </c>
      <c r="AD1453" t="e">
        <f>VLOOKUP(AB1453,#REF!,2,FALSE)</f>
        <v>#REF!</v>
      </c>
      <c r="AE1453" t="e">
        <f>RIGHT(#REF!,(FIND("Complex",#REF!,1)-7))</f>
        <v>#REF!</v>
      </c>
    </row>
    <row r="1454" spans="1:31" x14ac:dyDescent="0.25">
      <c r="A1454">
        <v>682</v>
      </c>
      <c r="B1454" t="s">
        <v>50</v>
      </c>
      <c r="C1454">
        <v>38</v>
      </c>
      <c r="D1454">
        <v>212</v>
      </c>
      <c r="E1454">
        <v>682</v>
      </c>
      <c r="F1454">
        <v>5027401</v>
      </c>
      <c r="G1454">
        <v>5115600</v>
      </c>
      <c r="H1454">
        <f t="shared" si="44"/>
        <v>114.00002267573696</v>
      </c>
      <c r="I1454">
        <f t="shared" si="45"/>
        <v>116</v>
      </c>
      <c r="J1454" t="s">
        <v>22</v>
      </c>
      <c r="K1454">
        <v>4</v>
      </c>
      <c r="L1454" t="e">
        <f t="array" ref="L1454">VLOOKUP(J1454:$J$3871&amp;K1454:$K$3871,CHOOSE({1,2},#REF!&amp;#REF!,#REF!),2,0)</f>
        <v>#N/A</v>
      </c>
      <c r="M1454">
        <v>0</v>
      </c>
      <c r="N1454">
        <v>1</v>
      </c>
      <c r="O1454" t="s">
        <v>23</v>
      </c>
      <c r="P1454">
        <v>1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1</v>
      </c>
      <c r="Y1454">
        <v>0</v>
      </c>
      <c r="Z1454">
        <v>0</v>
      </c>
      <c r="AA1454" t="s">
        <v>4766</v>
      </c>
      <c r="AB1454" t="s">
        <v>7090</v>
      </c>
      <c r="AC1454" t="s">
        <v>4766</v>
      </c>
      <c r="AD1454" t="e">
        <f>VLOOKUP(AB1454,#REF!,2,FALSE)</f>
        <v>#REF!</v>
      </c>
      <c r="AE1454" t="e">
        <f>RIGHT(#REF!,(FIND("Complex",#REF!,1)-6))</f>
        <v>#REF!</v>
      </c>
    </row>
    <row r="1455" spans="1:31" x14ac:dyDescent="0.25">
      <c r="A1455">
        <v>1991</v>
      </c>
      <c r="B1455" t="s">
        <v>88</v>
      </c>
      <c r="C1455">
        <v>39</v>
      </c>
      <c r="D1455">
        <v>602</v>
      </c>
      <c r="E1455">
        <v>1991</v>
      </c>
      <c r="F1455">
        <v>3175201</v>
      </c>
      <c r="G1455">
        <v>3263400</v>
      </c>
      <c r="H1455">
        <f t="shared" si="44"/>
        <v>72.000022675736957</v>
      </c>
      <c r="I1455">
        <f t="shared" si="45"/>
        <v>74</v>
      </c>
      <c r="J1455" t="s">
        <v>22</v>
      </c>
      <c r="K1455">
        <v>4</v>
      </c>
      <c r="L1455" t="e">
        <f t="array" ref="L1455">VLOOKUP(J1455:$J$3871&amp;K1455:$K$3871,CHOOSE({1,2},#REF!&amp;#REF!,#REF!),2,0)</f>
        <v>#N/A</v>
      </c>
      <c r="M1455">
        <v>0</v>
      </c>
      <c r="N1455">
        <v>1</v>
      </c>
      <c r="O1455" t="s">
        <v>23</v>
      </c>
      <c r="P1455">
        <v>1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1</v>
      </c>
      <c r="Y1455">
        <v>0</v>
      </c>
      <c r="Z1455">
        <v>0</v>
      </c>
      <c r="AA1455" t="s">
        <v>3693</v>
      </c>
      <c r="AB1455" t="s">
        <v>6418</v>
      </c>
      <c r="AC1455" t="s">
        <v>3693</v>
      </c>
      <c r="AD1455" t="e">
        <f>VLOOKUP(AB1455,#REF!,2,FALSE)</f>
        <v>#REF!</v>
      </c>
      <c r="AE1455" t="e">
        <f>RIGHT(#REF!,(FIND("Complex",#REF!,1)-8))</f>
        <v>#REF!</v>
      </c>
    </row>
    <row r="1456" spans="1:31" x14ac:dyDescent="0.25">
      <c r="A1456">
        <v>118</v>
      </c>
      <c r="B1456" t="s">
        <v>88</v>
      </c>
      <c r="C1456">
        <v>39</v>
      </c>
      <c r="D1456">
        <v>34</v>
      </c>
      <c r="E1456">
        <v>118</v>
      </c>
      <c r="F1456">
        <v>2998801</v>
      </c>
      <c r="G1456">
        <v>3087000</v>
      </c>
      <c r="H1456">
        <f t="shared" si="44"/>
        <v>68.000022675736957</v>
      </c>
      <c r="I1456">
        <f t="shared" si="45"/>
        <v>70</v>
      </c>
      <c r="J1456" t="s">
        <v>22</v>
      </c>
      <c r="K1456">
        <v>4</v>
      </c>
      <c r="L1456" t="e">
        <f t="array" ref="L1456">VLOOKUP(J1456:$J$3871&amp;K1456:$K$3871,CHOOSE({1,2},#REF!&amp;#REF!,#REF!),2,0)</f>
        <v>#N/A</v>
      </c>
      <c r="M1456">
        <v>0</v>
      </c>
      <c r="N1456">
        <v>1</v>
      </c>
      <c r="O1456" t="s">
        <v>23</v>
      </c>
      <c r="P1456">
        <v>1</v>
      </c>
      <c r="Q1456">
        <v>1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1</v>
      </c>
      <c r="Y1456">
        <v>0</v>
      </c>
      <c r="Z1456">
        <v>0</v>
      </c>
      <c r="AA1456" t="s">
        <v>3728</v>
      </c>
      <c r="AB1456" t="s">
        <v>6437</v>
      </c>
      <c r="AC1456" t="s">
        <v>3728</v>
      </c>
      <c r="AD1456" t="e">
        <f>VLOOKUP(AB1456,#REF!,2,FALSE)</f>
        <v>#REF!</v>
      </c>
      <c r="AE1456" t="e">
        <f>RIGHT(#REF!,(FIND("Complex",#REF!,1)-7))</f>
        <v>#REF!</v>
      </c>
    </row>
    <row r="1457" spans="1:31" x14ac:dyDescent="0.25">
      <c r="A1457">
        <v>783</v>
      </c>
      <c r="B1457" t="s">
        <v>88</v>
      </c>
      <c r="C1457">
        <v>39</v>
      </c>
      <c r="D1457">
        <v>239</v>
      </c>
      <c r="E1457">
        <v>783</v>
      </c>
      <c r="F1457">
        <v>1675801</v>
      </c>
      <c r="G1457">
        <v>1764000</v>
      </c>
      <c r="H1457">
        <f t="shared" si="44"/>
        <v>38.000022675736965</v>
      </c>
      <c r="I1457">
        <f t="shared" si="45"/>
        <v>40</v>
      </c>
      <c r="J1457" t="s">
        <v>22</v>
      </c>
      <c r="K1457">
        <v>4</v>
      </c>
      <c r="L1457" t="e">
        <f t="array" ref="L1457">VLOOKUP(J1457:$J$3871&amp;K1457:$K$3871,CHOOSE({1,2},#REF!&amp;#REF!,#REF!),2,0)</f>
        <v>#N/A</v>
      </c>
      <c r="M1457">
        <v>0</v>
      </c>
      <c r="N1457">
        <v>1</v>
      </c>
      <c r="O1457" t="s">
        <v>23</v>
      </c>
      <c r="P1457">
        <v>1</v>
      </c>
      <c r="Q1457">
        <v>1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1</v>
      </c>
      <c r="Y1457">
        <v>0</v>
      </c>
      <c r="Z1457">
        <v>0</v>
      </c>
      <c r="AA1457" t="s">
        <v>3980</v>
      </c>
      <c r="AB1457" t="s">
        <v>6580</v>
      </c>
      <c r="AC1457" t="s">
        <v>3980</v>
      </c>
      <c r="AD1457" t="e">
        <f>VLOOKUP(AB1457,#REF!,2,FALSE)</f>
        <v>#REF!</v>
      </c>
      <c r="AE1457" t="e">
        <f>RIGHT(#REF!,(FIND("Complex",#REF!,1)-7))</f>
        <v>#REF!</v>
      </c>
    </row>
    <row r="1458" spans="1:31" x14ac:dyDescent="0.25">
      <c r="A1458">
        <v>2261</v>
      </c>
      <c r="B1458" t="s">
        <v>88</v>
      </c>
      <c r="C1458">
        <v>39</v>
      </c>
      <c r="D1458">
        <v>702</v>
      </c>
      <c r="E1458">
        <v>2261</v>
      </c>
      <c r="F1458">
        <v>8026201</v>
      </c>
      <c r="G1458">
        <v>8114400</v>
      </c>
      <c r="H1458">
        <f t="shared" si="44"/>
        <v>182.00002267573697</v>
      </c>
      <c r="I1458">
        <f t="shared" si="45"/>
        <v>184</v>
      </c>
      <c r="J1458" t="s">
        <v>22</v>
      </c>
      <c r="K1458">
        <v>4</v>
      </c>
      <c r="L1458" t="e">
        <f t="array" ref="L1458">VLOOKUP(J1458:$J$3871&amp;K1458:$K$3871,CHOOSE({1,2},#REF!&amp;#REF!,#REF!),2,0)</f>
        <v>#N/A</v>
      </c>
      <c r="M1458">
        <v>0</v>
      </c>
      <c r="N1458">
        <v>1</v>
      </c>
      <c r="O1458" t="s">
        <v>23</v>
      </c>
      <c r="P1458">
        <v>0</v>
      </c>
      <c r="Q1458">
        <v>1</v>
      </c>
      <c r="R1458">
        <v>0</v>
      </c>
      <c r="S1458">
        <v>0</v>
      </c>
      <c r="T1458">
        <v>1</v>
      </c>
      <c r="U1458">
        <v>0</v>
      </c>
      <c r="V1458">
        <v>0</v>
      </c>
      <c r="W1458">
        <v>1</v>
      </c>
      <c r="X1458">
        <v>1</v>
      </c>
      <c r="Y1458">
        <v>0</v>
      </c>
      <c r="Z1458">
        <v>0</v>
      </c>
      <c r="AA1458" t="s">
        <v>4392</v>
      </c>
      <c r="AB1458" t="s">
        <v>6856</v>
      </c>
      <c r="AC1458" t="s">
        <v>4392</v>
      </c>
      <c r="AD1458" t="e">
        <f>VLOOKUP(AB1458,#REF!,2,FALSE)</f>
        <v>#REF!</v>
      </c>
      <c r="AE1458" t="e">
        <f>RIGHT(#REF!,(FIND("Complex",#REF!,1)-7))</f>
        <v>#REF!</v>
      </c>
    </row>
    <row r="1459" spans="1:31" x14ac:dyDescent="0.25">
      <c r="A1459">
        <v>1066</v>
      </c>
      <c r="B1459" t="s">
        <v>246</v>
      </c>
      <c r="C1459">
        <v>41</v>
      </c>
      <c r="D1459">
        <v>319</v>
      </c>
      <c r="E1459">
        <v>1066</v>
      </c>
      <c r="F1459">
        <v>4145401</v>
      </c>
      <c r="G1459">
        <v>4233600</v>
      </c>
      <c r="H1459">
        <f t="shared" si="44"/>
        <v>94.000022675736957</v>
      </c>
      <c r="I1459">
        <f t="shared" si="45"/>
        <v>96</v>
      </c>
      <c r="J1459" t="s">
        <v>22</v>
      </c>
      <c r="K1459">
        <v>4</v>
      </c>
      <c r="L1459" t="e">
        <f t="array" ref="L1459">VLOOKUP(J1459:$J$3871&amp;K1459:$K$3871,CHOOSE({1,2},#REF!&amp;#REF!,#REF!),2,0)</f>
        <v>#N/A</v>
      </c>
      <c r="M1459">
        <v>0</v>
      </c>
      <c r="N1459">
        <v>1</v>
      </c>
      <c r="O1459" t="s">
        <v>23</v>
      </c>
      <c r="P1459">
        <v>1</v>
      </c>
      <c r="Q1459">
        <v>1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1</v>
      </c>
      <c r="Y1459">
        <v>0</v>
      </c>
      <c r="Z1459">
        <v>0</v>
      </c>
      <c r="AA1459" t="s">
        <v>3532</v>
      </c>
      <c r="AB1459" t="s">
        <v>6331</v>
      </c>
      <c r="AC1459" t="s">
        <v>3532</v>
      </c>
      <c r="AD1459" t="e">
        <f>VLOOKUP(AB1459,#REF!,2,FALSE)</f>
        <v>#REF!</v>
      </c>
      <c r="AE1459" t="e">
        <f>RIGHT(#REF!,(FIND("Complex",#REF!,1)-8))</f>
        <v>#REF!</v>
      </c>
    </row>
    <row r="1460" spans="1:31" x14ac:dyDescent="0.25">
      <c r="A1460">
        <v>1937</v>
      </c>
      <c r="B1460" t="s">
        <v>246</v>
      </c>
      <c r="C1460">
        <v>41</v>
      </c>
      <c r="D1460">
        <v>587</v>
      </c>
      <c r="E1460">
        <v>1937</v>
      </c>
      <c r="F1460">
        <v>3880801</v>
      </c>
      <c r="G1460">
        <v>3969000</v>
      </c>
      <c r="H1460">
        <f t="shared" si="44"/>
        <v>88.000022675736957</v>
      </c>
      <c r="I1460">
        <f t="shared" si="45"/>
        <v>90</v>
      </c>
      <c r="J1460" t="s">
        <v>22</v>
      </c>
      <c r="K1460">
        <v>4</v>
      </c>
      <c r="L1460" t="e">
        <f t="array" ref="L1460">VLOOKUP(J1460:$J$3871&amp;K1460:$K$3871,CHOOSE({1,2},#REF!&amp;#REF!,#REF!),2,0)</f>
        <v>#N/A</v>
      </c>
      <c r="M1460">
        <v>0</v>
      </c>
      <c r="N1460">
        <v>1</v>
      </c>
      <c r="O1460" t="s">
        <v>23</v>
      </c>
      <c r="P1460">
        <v>1</v>
      </c>
      <c r="Q1460">
        <v>1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1</v>
      </c>
      <c r="Y1460">
        <v>0</v>
      </c>
      <c r="Z1460">
        <v>0</v>
      </c>
      <c r="AA1460" t="s">
        <v>3575</v>
      </c>
      <c r="AB1460" t="s">
        <v>6356</v>
      </c>
      <c r="AC1460" t="s">
        <v>3575</v>
      </c>
      <c r="AD1460" t="e">
        <f>VLOOKUP(AB1460,#REF!,2,FALSE)</f>
        <v>#REF!</v>
      </c>
      <c r="AE1460" t="e">
        <f>RIGHT(#REF!,(FIND("Complex",#REF!,1)-8))</f>
        <v>#REF!</v>
      </c>
    </row>
    <row r="1461" spans="1:31" x14ac:dyDescent="0.25">
      <c r="A1461">
        <v>885</v>
      </c>
      <c r="B1461" t="s">
        <v>246</v>
      </c>
      <c r="C1461">
        <v>41</v>
      </c>
      <c r="D1461">
        <v>268</v>
      </c>
      <c r="E1461">
        <v>885</v>
      </c>
      <c r="F1461">
        <v>3175201</v>
      </c>
      <c r="G1461">
        <v>3263400</v>
      </c>
      <c r="H1461">
        <f t="shared" si="44"/>
        <v>72.000022675736957</v>
      </c>
      <c r="I1461">
        <f t="shared" si="45"/>
        <v>74</v>
      </c>
      <c r="J1461" t="s">
        <v>22</v>
      </c>
      <c r="K1461">
        <v>4</v>
      </c>
      <c r="L1461" t="e">
        <f t="array" ref="L1461">VLOOKUP(J1461:$J$3871&amp;K1461:$K$3871,CHOOSE({1,2},#REF!&amp;#REF!,#REF!),2,0)</f>
        <v>#N/A</v>
      </c>
      <c r="M1461">
        <v>0</v>
      </c>
      <c r="N1461">
        <v>1</v>
      </c>
      <c r="O1461" t="s">
        <v>23</v>
      </c>
      <c r="P1461">
        <v>1</v>
      </c>
      <c r="Q1461">
        <v>1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1</v>
      </c>
      <c r="Y1461">
        <v>0</v>
      </c>
      <c r="Z1461">
        <v>0</v>
      </c>
      <c r="AA1461" t="s">
        <v>3691</v>
      </c>
      <c r="AB1461" t="s">
        <v>6416</v>
      </c>
      <c r="AC1461" t="s">
        <v>3691</v>
      </c>
      <c r="AD1461" t="e">
        <f>VLOOKUP(AB1461,#REF!,2,FALSE)</f>
        <v>#REF!</v>
      </c>
      <c r="AE1461" t="e">
        <f>RIGHT(#REF!,(FIND("Complex",#REF!,1)-7))</f>
        <v>#REF!</v>
      </c>
    </row>
    <row r="1462" spans="1:31" x14ac:dyDescent="0.25">
      <c r="A1462">
        <v>1424</v>
      </c>
      <c r="B1462" t="s">
        <v>246</v>
      </c>
      <c r="C1462">
        <v>41</v>
      </c>
      <c r="D1462">
        <v>430</v>
      </c>
      <c r="E1462">
        <v>1424</v>
      </c>
      <c r="F1462">
        <v>2646001</v>
      </c>
      <c r="G1462">
        <v>2734200</v>
      </c>
      <c r="H1462">
        <f t="shared" si="44"/>
        <v>60.000022675736965</v>
      </c>
      <c r="I1462">
        <f t="shared" si="45"/>
        <v>62</v>
      </c>
      <c r="J1462" t="s">
        <v>22</v>
      </c>
      <c r="K1462">
        <v>4</v>
      </c>
      <c r="L1462" t="e">
        <f t="array" ref="L1462">VLOOKUP(J1462:$J$3871&amp;K1462:$K$3871,CHOOSE({1,2},#REF!&amp;#REF!,#REF!),2,0)</f>
        <v>#N/A</v>
      </c>
      <c r="M1462">
        <v>0</v>
      </c>
      <c r="N1462">
        <v>1</v>
      </c>
      <c r="O1462" t="s">
        <v>23</v>
      </c>
      <c r="P1462">
        <v>1</v>
      </c>
      <c r="Q1462">
        <v>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1</v>
      </c>
      <c r="Y1462">
        <v>0</v>
      </c>
      <c r="Z1462">
        <v>0</v>
      </c>
      <c r="AA1462" t="s">
        <v>3786</v>
      </c>
      <c r="AB1462" t="s">
        <v>6478</v>
      </c>
      <c r="AC1462" t="s">
        <v>3786</v>
      </c>
      <c r="AD1462" t="e">
        <f>VLOOKUP(AB1462,#REF!,2,FALSE)</f>
        <v>#REF!</v>
      </c>
      <c r="AE1462" t="e">
        <f>RIGHT(#REF!,(FIND("Complex",#REF!,1)-8))</f>
        <v>#REF!</v>
      </c>
    </row>
    <row r="1463" spans="1:31" x14ac:dyDescent="0.25">
      <c r="A1463">
        <v>717</v>
      </c>
      <c r="B1463" t="s">
        <v>246</v>
      </c>
      <c r="C1463">
        <v>41</v>
      </c>
      <c r="D1463">
        <v>221</v>
      </c>
      <c r="E1463">
        <v>717</v>
      </c>
      <c r="F1463">
        <v>793801</v>
      </c>
      <c r="G1463">
        <v>882000</v>
      </c>
      <c r="H1463">
        <f t="shared" si="44"/>
        <v>18.000022675736961</v>
      </c>
      <c r="I1463">
        <f t="shared" si="45"/>
        <v>20</v>
      </c>
      <c r="J1463" t="s">
        <v>22</v>
      </c>
      <c r="K1463">
        <v>4</v>
      </c>
      <c r="L1463" t="e">
        <f t="array" ref="L1463">VLOOKUP(J1463:$J$3871&amp;K1463:$K$3871,CHOOSE({1,2},#REF!&amp;#REF!,#REF!),2,0)</f>
        <v>#N/A</v>
      </c>
      <c r="M1463">
        <v>0</v>
      </c>
      <c r="N1463">
        <v>1</v>
      </c>
      <c r="O1463" t="s">
        <v>23</v>
      </c>
      <c r="P1463">
        <v>1</v>
      </c>
      <c r="Q1463">
        <v>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1</v>
      </c>
      <c r="Y1463">
        <v>0</v>
      </c>
      <c r="Z1463">
        <v>0</v>
      </c>
      <c r="AA1463" t="s">
        <v>4418</v>
      </c>
      <c r="AB1463" t="s">
        <v>6868</v>
      </c>
      <c r="AC1463" t="s">
        <v>4418</v>
      </c>
      <c r="AD1463" t="e">
        <f>VLOOKUP(AB1463,#REF!,2,FALSE)</f>
        <v>#REF!</v>
      </c>
      <c r="AE1463" t="e">
        <f>RIGHT(#REF!,(FIND("Complex",#REF!,1)-7))</f>
        <v>#REF!</v>
      </c>
    </row>
    <row r="1464" spans="1:31" x14ac:dyDescent="0.25">
      <c r="A1464">
        <v>1798</v>
      </c>
      <c r="B1464" t="s">
        <v>246</v>
      </c>
      <c r="C1464">
        <v>41</v>
      </c>
      <c r="D1464">
        <v>542</v>
      </c>
      <c r="E1464">
        <v>1798</v>
      </c>
      <c r="F1464">
        <v>6791401</v>
      </c>
      <c r="G1464">
        <v>6879600</v>
      </c>
      <c r="H1464">
        <f t="shared" si="44"/>
        <v>154.00002267573697</v>
      </c>
      <c r="I1464">
        <f t="shared" si="45"/>
        <v>156</v>
      </c>
      <c r="J1464" t="s">
        <v>22</v>
      </c>
      <c r="K1464">
        <v>4</v>
      </c>
      <c r="L1464" t="e">
        <f t="array" ref="L1464">VLOOKUP(J1464:$J$3871&amp;K1464:$K$3871,CHOOSE({1,2},#REF!&amp;#REF!,#REF!),2,0)</f>
        <v>#N/A</v>
      </c>
      <c r="M1464">
        <v>0</v>
      </c>
      <c r="N1464">
        <v>1</v>
      </c>
      <c r="O1464" t="s">
        <v>23</v>
      </c>
      <c r="P1464">
        <v>1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1</v>
      </c>
      <c r="Y1464">
        <v>0</v>
      </c>
      <c r="Z1464">
        <v>0</v>
      </c>
      <c r="AA1464" t="s">
        <v>4528</v>
      </c>
      <c r="AB1464" t="s">
        <v>6945</v>
      </c>
      <c r="AC1464" t="s">
        <v>4528</v>
      </c>
      <c r="AD1464" t="e">
        <f>VLOOKUP(AB1464,#REF!,2,FALSE)</f>
        <v>#REF!</v>
      </c>
      <c r="AE1464" t="e">
        <f>RIGHT(#REF!,(FIND("Complex",#REF!,1)-7))</f>
        <v>#REF!</v>
      </c>
    </row>
    <row r="1465" spans="1:31" x14ac:dyDescent="0.25">
      <c r="A1465">
        <v>2068</v>
      </c>
      <c r="B1465" t="s">
        <v>246</v>
      </c>
      <c r="C1465">
        <v>41</v>
      </c>
      <c r="D1465">
        <v>628</v>
      </c>
      <c r="E1465">
        <v>2068</v>
      </c>
      <c r="F1465">
        <v>5644801</v>
      </c>
      <c r="G1465">
        <v>5733000</v>
      </c>
      <c r="H1465">
        <f t="shared" si="44"/>
        <v>128.00002267573697</v>
      </c>
      <c r="I1465">
        <f t="shared" si="45"/>
        <v>130</v>
      </c>
      <c r="J1465" t="s">
        <v>22</v>
      </c>
      <c r="K1465">
        <v>4</v>
      </c>
      <c r="L1465" t="e">
        <f t="array" ref="L1465">VLOOKUP(J1465:$J$3871&amp;K1465:$K$3871,CHOOSE({1,2},#REF!&amp;#REF!,#REF!),2,0)</f>
        <v>#N/A</v>
      </c>
      <c r="M1465">
        <v>0</v>
      </c>
      <c r="N1465">
        <v>1</v>
      </c>
      <c r="O1465" t="s">
        <v>23</v>
      </c>
      <c r="P1465">
        <v>1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1</v>
      </c>
      <c r="Y1465">
        <v>0</v>
      </c>
      <c r="Z1465">
        <v>0</v>
      </c>
      <c r="AA1465" t="s">
        <v>4682</v>
      </c>
      <c r="AB1465" t="s">
        <v>7043</v>
      </c>
      <c r="AC1465" t="s">
        <v>4682</v>
      </c>
      <c r="AD1465" t="e">
        <f>VLOOKUP(AB1465,#REF!,2,FALSE)</f>
        <v>#REF!</v>
      </c>
      <c r="AE1465" t="e">
        <f>RIGHT(#REF!,(FIND("Complex",#REF!,1)-7))</f>
        <v>#REF!</v>
      </c>
    </row>
    <row r="1466" spans="1:31" x14ac:dyDescent="0.25">
      <c r="A1466">
        <v>1325</v>
      </c>
      <c r="B1466" t="s">
        <v>37</v>
      </c>
      <c r="C1466">
        <v>43</v>
      </c>
      <c r="D1466">
        <v>403</v>
      </c>
      <c r="E1466">
        <v>1325</v>
      </c>
      <c r="F1466">
        <v>4057201</v>
      </c>
      <c r="G1466">
        <v>4145400</v>
      </c>
      <c r="H1466">
        <f t="shared" si="44"/>
        <v>92.000022675736957</v>
      </c>
      <c r="I1466">
        <f t="shared" si="45"/>
        <v>94</v>
      </c>
      <c r="J1466" t="s">
        <v>22</v>
      </c>
      <c r="K1466">
        <v>4</v>
      </c>
      <c r="L1466" t="e">
        <f t="array" ref="L1466">VLOOKUP(J1466:$J$3871&amp;K1466:$K$3871,CHOOSE({1,2},#REF!&amp;#REF!,#REF!),2,0)</f>
        <v>#N/A</v>
      </c>
      <c r="M1466">
        <v>0</v>
      </c>
      <c r="N1466">
        <v>1</v>
      </c>
      <c r="O1466" t="s">
        <v>23</v>
      </c>
      <c r="P1466">
        <v>0</v>
      </c>
      <c r="Q1466">
        <v>1</v>
      </c>
      <c r="R1466">
        <v>0</v>
      </c>
      <c r="S1466">
        <v>1</v>
      </c>
      <c r="T1466">
        <v>0</v>
      </c>
      <c r="U1466">
        <v>0</v>
      </c>
      <c r="V1466">
        <v>0</v>
      </c>
      <c r="W1466">
        <v>1</v>
      </c>
      <c r="X1466">
        <v>1</v>
      </c>
      <c r="Y1466">
        <v>0</v>
      </c>
      <c r="Z1466">
        <v>0</v>
      </c>
      <c r="AA1466" t="s">
        <v>3540</v>
      </c>
      <c r="AB1466" t="s">
        <v>6335</v>
      </c>
      <c r="AC1466" t="s">
        <v>3540</v>
      </c>
      <c r="AD1466" t="e">
        <f>VLOOKUP(AB1466,#REF!,2,FALSE)</f>
        <v>#REF!</v>
      </c>
      <c r="AE1466" t="e">
        <f>RIGHT(#REF!,(FIND("Complex",#REF!,1)-8))</f>
        <v>#REF!</v>
      </c>
    </row>
    <row r="1467" spans="1:31" x14ac:dyDescent="0.25">
      <c r="A1467">
        <v>1849</v>
      </c>
      <c r="B1467" t="s">
        <v>37</v>
      </c>
      <c r="C1467">
        <v>43</v>
      </c>
      <c r="D1467">
        <v>558</v>
      </c>
      <c r="E1467">
        <v>1849</v>
      </c>
      <c r="F1467">
        <v>3704401</v>
      </c>
      <c r="G1467">
        <v>3792600</v>
      </c>
      <c r="H1467">
        <f t="shared" si="44"/>
        <v>84.000022675736957</v>
      </c>
      <c r="I1467">
        <f t="shared" si="45"/>
        <v>86</v>
      </c>
      <c r="J1467" t="s">
        <v>22</v>
      </c>
      <c r="K1467">
        <v>4</v>
      </c>
      <c r="L1467" t="e">
        <f t="array" ref="L1467">VLOOKUP(J1467:$J$3871&amp;K1467:$K$3871,CHOOSE({1,2},#REF!&amp;#REF!,#REF!),2,0)</f>
        <v>#N/A</v>
      </c>
      <c r="M1467">
        <v>0</v>
      </c>
      <c r="N1467">
        <v>1</v>
      </c>
      <c r="O1467" t="s">
        <v>23</v>
      </c>
      <c r="P1467">
        <v>0</v>
      </c>
      <c r="Q1467">
        <v>1</v>
      </c>
      <c r="R1467">
        <v>0</v>
      </c>
      <c r="S1467">
        <v>1</v>
      </c>
      <c r="T1467">
        <v>0</v>
      </c>
      <c r="U1467">
        <v>0</v>
      </c>
      <c r="V1467">
        <v>0</v>
      </c>
      <c r="W1467">
        <v>1</v>
      </c>
      <c r="X1467">
        <v>1</v>
      </c>
      <c r="Y1467">
        <v>0</v>
      </c>
      <c r="Z1467">
        <v>0</v>
      </c>
      <c r="AA1467" t="s">
        <v>3598</v>
      </c>
      <c r="AB1467" t="s">
        <v>1248</v>
      </c>
      <c r="AC1467" t="s">
        <v>3598</v>
      </c>
      <c r="AD1467" t="e">
        <f>VLOOKUP(AB1467,#REF!,2,FALSE)</f>
        <v>#REF!</v>
      </c>
      <c r="AE1467" t="e">
        <f>RIGHT(#REF!,(FIND("Complex",#REF!,1)-8))</f>
        <v>#REF!</v>
      </c>
    </row>
    <row r="1468" spans="1:31" x14ac:dyDescent="0.25">
      <c r="A1468">
        <v>1215</v>
      </c>
      <c r="B1468" t="s">
        <v>37</v>
      </c>
      <c r="C1468">
        <v>43</v>
      </c>
      <c r="D1468">
        <v>365</v>
      </c>
      <c r="E1468">
        <v>1215</v>
      </c>
      <c r="F1468">
        <v>3439801</v>
      </c>
      <c r="G1468">
        <v>3528000</v>
      </c>
      <c r="H1468">
        <f t="shared" si="44"/>
        <v>78.000022675736957</v>
      </c>
      <c r="I1468">
        <f t="shared" si="45"/>
        <v>80</v>
      </c>
      <c r="J1468" t="s">
        <v>22</v>
      </c>
      <c r="K1468">
        <v>4</v>
      </c>
      <c r="L1468" t="e">
        <f t="array" ref="L1468">VLOOKUP(J1468:$J$3871&amp;K1468:$K$3871,CHOOSE({1,2},#REF!&amp;#REF!,#REF!),2,0)</f>
        <v>#N/A</v>
      </c>
      <c r="M1468">
        <v>0</v>
      </c>
      <c r="N1468">
        <v>1</v>
      </c>
      <c r="O1468" t="s">
        <v>23</v>
      </c>
      <c r="P1468">
        <v>0</v>
      </c>
      <c r="Q1468">
        <v>1</v>
      </c>
      <c r="R1468">
        <v>0</v>
      </c>
      <c r="S1468">
        <v>1</v>
      </c>
      <c r="T1468">
        <v>0</v>
      </c>
      <c r="U1468">
        <v>0</v>
      </c>
      <c r="V1468">
        <v>1</v>
      </c>
      <c r="W1468">
        <v>0</v>
      </c>
      <c r="X1468">
        <v>1</v>
      </c>
      <c r="Y1468">
        <v>0</v>
      </c>
      <c r="Z1468">
        <v>0</v>
      </c>
      <c r="AA1468" t="s">
        <v>3653</v>
      </c>
      <c r="AB1468" t="s">
        <v>1249</v>
      </c>
      <c r="AC1468" t="s">
        <v>3653</v>
      </c>
      <c r="AD1468" t="e">
        <f>VLOOKUP(AB1468,#REF!,2,FALSE)</f>
        <v>#REF!</v>
      </c>
      <c r="AE1468" t="e">
        <f>RIGHT(#REF!,(FIND("Complex",#REF!,1)-8))</f>
        <v>#REF!</v>
      </c>
    </row>
    <row r="1469" spans="1:31" x14ac:dyDescent="0.25">
      <c r="A1469">
        <v>2059</v>
      </c>
      <c r="B1469" t="s">
        <v>37</v>
      </c>
      <c r="C1469">
        <v>43</v>
      </c>
      <c r="D1469">
        <v>625</v>
      </c>
      <c r="E1469">
        <v>2059</v>
      </c>
      <c r="F1469">
        <v>2822401</v>
      </c>
      <c r="G1469">
        <v>2910600</v>
      </c>
      <c r="H1469">
        <f t="shared" si="44"/>
        <v>64.000022675736957</v>
      </c>
      <c r="I1469">
        <f t="shared" si="45"/>
        <v>66</v>
      </c>
      <c r="J1469" t="s">
        <v>22</v>
      </c>
      <c r="K1469">
        <v>4</v>
      </c>
      <c r="L1469" t="e">
        <f t="array" ref="L1469">VLOOKUP(J1469:$J$3871&amp;K1469:$K$3871,CHOOSE({1,2},#REF!&amp;#REF!,#REF!),2,0)</f>
        <v>#N/A</v>
      </c>
      <c r="M1469">
        <v>0</v>
      </c>
      <c r="N1469">
        <v>1</v>
      </c>
      <c r="O1469" t="s">
        <v>23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1</v>
      </c>
      <c r="X1469">
        <v>1</v>
      </c>
      <c r="Y1469">
        <v>0</v>
      </c>
      <c r="Z1469">
        <v>0</v>
      </c>
      <c r="AA1469" t="s">
        <v>3748</v>
      </c>
      <c r="AB1469" t="s">
        <v>6448</v>
      </c>
      <c r="AC1469" t="s">
        <v>3748</v>
      </c>
      <c r="AD1469" t="e">
        <f>VLOOKUP(AB1469,#REF!,2,FALSE)</f>
        <v>#REF!</v>
      </c>
      <c r="AE1469" t="e">
        <f>RIGHT(#REF!,(FIND("Complex",#REF!,1)-8))</f>
        <v>#REF!</v>
      </c>
    </row>
    <row r="1470" spans="1:31" x14ac:dyDescent="0.25">
      <c r="A1470">
        <v>2443</v>
      </c>
      <c r="B1470" t="s">
        <v>37</v>
      </c>
      <c r="C1470">
        <v>43</v>
      </c>
      <c r="D1470">
        <v>786</v>
      </c>
      <c r="E1470">
        <v>2443</v>
      </c>
      <c r="F1470">
        <v>2734201</v>
      </c>
      <c r="G1470">
        <v>2822400</v>
      </c>
      <c r="H1470">
        <f t="shared" si="44"/>
        <v>62.000022675736965</v>
      </c>
      <c r="I1470">
        <f t="shared" si="45"/>
        <v>64</v>
      </c>
      <c r="J1470" t="s">
        <v>22</v>
      </c>
      <c r="K1470">
        <v>4</v>
      </c>
      <c r="L1470" t="e">
        <f t="array" ref="L1470">VLOOKUP(J1470:$J$3871&amp;K1470:$K$3871,CHOOSE({1,2},#REF!&amp;#REF!,#REF!),2,0)</f>
        <v>#N/A</v>
      </c>
      <c r="M1470">
        <v>0</v>
      </c>
      <c r="N1470">
        <v>1</v>
      </c>
      <c r="O1470" t="s">
        <v>23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0</v>
      </c>
      <c r="V1470">
        <v>1</v>
      </c>
      <c r="W1470">
        <v>1</v>
      </c>
      <c r="X1470">
        <v>1</v>
      </c>
      <c r="Y1470">
        <v>0</v>
      </c>
      <c r="Z1470">
        <v>0</v>
      </c>
      <c r="AA1470" t="s">
        <v>3764</v>
      </c>
      <c r="AB1470" t="s">
        <v>1250</v>
      </c>
      <c r="AC1470" t="s">
        <v>3764</v>
      </c>
      <c r="AD1470" t="e">
        <f>VLOOKUP(AB1470,#REF!,2,FALSE)</f>
        <v>#REF!</v>
      </c>
      <c r="AE1470" t="e">
        <f>RIGHT(#REF!,(FIND("Complex",#REF!,1)-8))</f>
        <v>#REF!</v>
      </c>
    </row>
    <row r="1471" spans="1:31" x14ac:dyDescent="0.25">
      <c r="A1471">
        <v>2591</v>
      </c>
      <c r="B1471" t="s">
        <v>37</v>
      </c>
      <c r="C1471">
        <v>43</v>
      </c>
      <c r="D1471">
        <v>846</v>
      </c>
      <c r="E1471">
        <v>2591</v>
      </c>
      <c r="F1471">
        <v>2293201</v>
      </c>
      <c r="G1471">
        <v>2381400</v>
      </c>
      <c r="H1471">
        <f t="shared" si="44"/>
        <v>52.000022675736965</v>
      </c>
      <c r="I1471">
        <f t="shared" si="45"/>
        <v>54</v>
      </c>
      <c r="J1471" t="s">
        <v>22</v>
      </c>
      <c r="K1471">
        <v>4</v>
      </c>
      <c r="L1471" t="e">
        <f t="array" ref="L1471">VLOOKUP(J1471:$J$3871&amp;K1471:$K$3871,CHOOSE({1,2},#REF!&amp;#REF!,#REF!),2,0)</f>
        <v>#N/A</v>
      </c>
      <c r="M1471">
        <v>0</v>
      </c>
      <c r="N1471">
        <v>1</v>
      </c>
      <c r="O1471" t="s">
        <v>23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1</v>
      </c>
      <c r="W1471">
        <v>1</v>
      </c>
      <c r="X1471">
        <v>1</v>
      </c>
      <c r="Y1471">
        <v>0</v>
      </c>
      <c r="Z1471">
        <v>0</v>
      </c>
      <c r="AA1471" t="s">
        <v>3861</v>
      </c>
      <c r="AB1471" t="s">
        <v>6515</v>
      </c>
      <c r="AC1471" t="s">
        <v>3861</v>
      </c>
      <c r="AD1471" t="e">
        <f>VLOOKUP(AB1471,#REF!,2,FALSE)</f>
        <v>#REF!</v>
      </c>
      <c r="AE1471" t="e">
        <f>RIGHT(#REF!,(FIND("Complex",#REF!,1)-8))</f>
        <v>#REF!</v>
      </c>
    </row>
    <row r="1472" spans="1:31" x14ac:dyDescent="0.25">
      <c r="A1472">
        <v>2220</v>
      </c>
      <c r="B1472" t="s">
        <v>37</v>
      </c>
      <c r="C1472">
        <v>43</v>
      </c>
      <c r="D1472">
        <v>686</v>
      </c>
      <c r="E1472">
        <v>2220</v>
      </c>
      <c r="F1472">
        <v>5644801</v>
      </c>
      <c r="G1472">
        <v>5733000</v>
      </c>
      <c r="H1472">
        <f t="shared" si="44"/>
        <v>128.00002267573697</v>
      </c>
      <c r="I1472">
        <f t="shared" si="45"/>
        <v>130</v>
      </c>
      <c r="J1472" t="s">
        <v>22</v>
      </c>
      <c r="K1472">
        <v>4</v>
      </c>
      <c r="L1472" t="e">
        <f t="array" ref="L1472">VLOOKUP(J1472:$J$3871&amp;K1472:$K$3871,CHOOSE({1,2},#REF!&amp;#REF!,#REF!),2,0)</f>
        <v>#N/A</v>
      </c>
      <c r="M1472">
        <v>0</v>
      </c>
      <c r="N1472">
        <v>1</v>
      </c>
      <c r="O1472" t="s">
        <v>23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0</v>
      </c>
      <c r="V1472">
        <v>1</v>
      </c>
      <c r="W1472">
        <v>0</v>
      </c>
      <c r="X1472">
        <v>1</v>
      </c>
      <c r="Y1472">
        <v>0</v>
      </c>
      <c r="Z1472">
        <v>0</v>
      </c>
      <c r="AA1472" t="s">
        <v>4681</v>
      </c>
      <c r="AB1472" t="s">
        <v>7042</v>
      </c>
      <c r="AC1472" t="s">
        <v>4681</v>
      </c>
      <c r="AD1472" t="e">
        <f>VLOOKUP(AB1472,#REF!,2,FALSE)</f>
        <v>#REF!</v>
      </c>
      <c r="AE1472" t="e">
        <f>RIGHT(#REF!,(FIND("Complex",#REF!,1)-7))</f>
        <v>#REF!</v>
      </c>
    </row>
    <row r="1473" spans="1:31" x14ac:dyDescent="0.25">
      <c r="A1473">
        <v>2227</v>
      </c>
      <c r="B1473" t="s">
        <v>37</v>
      </c>
      <c r="C1473">
        <v>43</v>
      </c>
      <c r="D1473">
        <v>689</v>
      </c>
      <c r="E1473">
        <v>2227</v>
      </c>
      <c r="F1473">
        <v>4762801</v>
      </c>
      <c r="G1473">
        <v>4851000</v>
      </c>
      <c r="H1473">
        <f t="shared" si="44"/>
        <v>108.00002267573696</v>
      </c>
      <c r="I1473">
        <f t="shared" si="45"/>
        <v>110</v>
      </c>
      <c r="J1473" t="s">
        <v>22</v>
      </c>
      <c r="K1473">
        <v>4</v>
      </c>
      <c r="L1473" t="e">
        <f t="array" ref="L1473">VLOOKUP(J1473:$J$3871&amp;K1473:$K$3871,CHOOSE({1,2},#REF!&amp;#REF!,#REF!),2,0)</f>
        <v>#N/A</v>
      </c>
      <c r="M1473">
        <v>0</v>
      </c>
      <c r="N1473">
        <v>1</v>
      </c>
      <c r="O1473" t="s">
        <v>23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1</v>
      </c>
      <c r="X1473">
        <v>1</v>
      </c>
      <c r="Y1473">
        <v>0</v>
      </c>
      <c r="Z1473">
        <v>0</v>
      </c>
      <c r="AA1473" t="s">
        <v>4794</v>
      </c>
      <c r="AB1473" t="s">
        <v>1251</v>
      </c>
      <c r="AC1473" t="s">
        <v>4794</v>
      </c>
      <c r="AD1473" t="e">
        <f>VLOOKUP(AB1473,#REF!,2,FALSE)</f>
        <v>#REF!</v>
      </c>
      <c r="AE1473" t="e">
        <f>RIGHT(#REF!,(FIND("Complex",#REF!,1)-7))</f>
        <v>#REF!</v>
      </c>
    </row>
    <row r="1474" spans="1:31" x14ac:dyDescent="0.25">
      <c r="A1474">
        <v>2009</v>
      </c>
      <c r="B1474" t="s">
        <v>248</v>
      </c>
      <c r="C1474">
        <v>45</v>
      </c>
      <c r="D1474">
        <v>611</v>
      </c>
      <c r="E1474">
        <v>2009</v>
      </c>
      <c r="F1474">
        <v>3528001</v>
      </c>
      <c r="G1474">
        <v>3616200</v>
      </c>
      <c r="H1474">
        <f t="shared" ref="H1474:H1537" si="46">F1474/44100</f>
        <v>80.000022675736957</v>
      </c>
      <c r="I1474">
        <f t="shared" ref="I1474:I1537" si="47">G1474/44100</f>
        <v>82</v>
      </c>
      <c r="J1474" t="s">
        <v>22</v>
      </c>
      <c r="K1474">
        <v>4</v>
      </c>
      <c r="L1474" t="e">
        <f t="array" ref="L1474">VLOOKUP(J1474:$J$3871&amp;K1474:$K$3871,CHOOSE({1,2},#REF!&amp;#REF!,#REF!),2,0)</f>
        <v>#N/A</v>
      </c>
      <c r="M1474">
        <v>0</v>
      </c>
      <c r="N1474">
        <v>1</v>
      </c>
      <c r="O1474" t="s">
        <v>23</v>
      </c>
      <c r="P1474">
        <v>0</v>
      </c>
      <c r="Q1474">
        <v>1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1</v>
      </c>
      <c r="AA1474" t="s">
        <v>3625</v>
      </c>
      <c r="AB1474" t="s">
        <v>6382</v>
      </c>
      <c r="AC1474" t="s">
        <v>3625</v>
      </c>
      <c r="AD1474" t="e">
        <f>VLOOKUP(AB1474,#REF!,2,FALSE)</f>
        <v>#REF!</v>
      </c>
      <c r="AE1474" t="e">
        <f>RIGHT(#REF!,(FIND("Complex",#REF!,1)-8))</f>
        <v>#REF!</v>
      </c>
    </row>
    <row r="1475" spans="1:31" x14ac:dyDescent="0.25">
      <c r="A1475">
        <v>158</v>
      </c>
      <c r="B1475" t="s">
        <v>248</v>
      </c>
      <c r="C1475">
        <v>45</v>
      </c>
      <c r="D1475">
        <v>50</v>
      </c>
      <c r="E1475">
        <v>158</v>
      </c>
      <c r="F1475">
        <v>12524401</v>
      </c>
      <c r="G1475">
        <v>12612600</v>
      </c>
      <c r="H1475">
        <f t="shared" si="46"/>
        <v>284.00002267573694</v>
      </c>
      <c r="I1475">
        <f t="shared" si="47"/>
        <v>286</v>
      </c>
      <c r="J1475" t="s">
        <v>22</v>
      </c>
      <c r="K1475">
        <v>4</v>
      </c>
      <c r="L1475" t="e">
        <f t="array" ref="L1475">VLOOKUP(J1475:$J$3871&amp;K1475:$K$3871,CHOOSE({1,2},#REF!&amp;#REF!,#REF!),2,0)</f>
        <v>#N/A</v>
      </c>
      <c r="M1475">
        <v>0</v>
      </c>
      <c r="N1475">
        <v>1</v>
      </c>
      <c r="O1475" t="s">
        <v>23</v>
      </c>
      <c r="P1475">
        <v>0</v>
      </c>
      <c r="Q1475">
        <v>1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1</v>
      </c>
      <c r="AA1475" t="s">
        <v>4083</v>
      </c>
      <c r="AB1475" t="s">
        <v>6650</v>
      </c>
      <c r="AC1475" t="s">
        <v>4083</v>
      </c>
      <c r="AD1475" t="e">
        <f>VLOOKUP(AB1475,#REF!,2,FALSE)</f>
        <v>#REF!</v>
      </c>
      <c r="AE1475" t="e">
        <f>RIGHT(#REF!,(FIND("Complex",#REF!,1)-6))</f>
        <v>#REF!</v>
      </c>
    </row>
    <row r="1476" spans="1:31" x14ac:dyDescent="0.25">
      <c r="A1476">
        <v>2612</v>
      </c>
      <c r="B1476" t="s">
        <v>248</v>
      </c>
      <c r="C1476">
        <v>45</v>
      </c>
      <c r="D1476">
        <v>859</v>
      </c>
      <c r="E1476">
        <v>2612</v>
      </c>
      <c r="F1476">
        <v>12436201</v>
      </c>
      <c r="G1476">
        <v>12524400</v>
      </c>
      <c r="H1476">
        <f t="shared" si="46"/>
        <v>282.00002267573694</v>
      </c>
      <c r="I1476">
        <f t="shared" si="47"/>
        <v>284</v>
      </c>
      <c r="J1476" t="s">
        <v>22</v>
      </c>
      <c r="K1476">
        <v>4</v>
      </c>
      <c r="L1476" t="e">
        <f t="array" ref="L1476">VLOOKUP(J1476:$J$3871&amp;K1476:$K$3871,CHOOSE({1,2},#REF!&amp;#REF!,#REF!),2,0)</f>
        <v>#N/A</v>
      </c>
      <c r="M1476">
        <v>0</v>
      </c>
      <c r="N1476">
        <v>1</v>
      </c>
      <c r="O1476" t="s">
        <v>23</v>
      </c>
      <c r="P1476">
        <v>0</v>
      </c>
      <c r="Q1476">
        <v>1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1</v>
      </c>
      <c r="Z1476">
        <v>0</v>
      </c>
      <c r="AA1476" t="s">
        <v>4087</v>
      </c>
      <c r="AB1476" t="s">
        <v>6654</v>
      </c>
      <c r="AC1476" t="s">
        <v>4087</v>
      </c>
      <c r="AD1476" t="e">
        <f>VLOOKUP(AB1476,#REF!,2,FALSE)</f>
        <v>#REF!</v>
      </c>
      <c r="AE1476" t="e">
        <f>RIGHT(#REF!,(FIND("Complex",#REF!,1)-7))</f>
        <v>#REF!</v>
      </c>
    </row>
    <row r="1477" spans="1:31" x14ac:dyDescent="0.25">
      <c r="A1477">
        <v>1179</v>
      </c>
      <c r="B1477" t="s">
        <v>248</v>
      </c>
      <c r="C1477">
        <v>45</v>
      </c>
      <c r="D1477">
        <v>355</v>
      </c>
      <c r="E1477">
        <v>1179</v>
      </c>
      <c r="F1477">
        <v>12348001</v>
      </c>
      <c r="G1477">
        <v>12436200</v>
      </c>
      <c r="H1477">
        <f t="shared" si="46"/>
        <v>280.00002267573694</v>
      </c>
      <c r="I1477">
        <f t="shared" si="47"/>
        <v>282</v>
      </c>
      <c r="J1477" t="s">
        <v>22</v>
      </c>
      <c r="K1477">
        <v>4</v>
      </c>
      <c r="L1477" t="e">
        <f t="array" ref="L1477">VLOOKUP(J1477:$J$3871&amp;K1477:$K$3871,CHOOSE({1,2},#REF!&amp;#REF!,#REF!),2,0)</f>
        <v>#N/A</v>
      </c>
      <c r="M1477">
        <v>0</v>
      </c>
      <c r="N1477">
        <v>1</v>
      </c>
      <c r="O1477" t="s">
        <v>23</v>
      </c>
      <c r="P1477">
        <v>0</v>
      </c>
      <c r="Q1477">
        <v>1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1</v>
      </c>
      <c r="Z1477">
        <v>0</v>
      </c>
      <c r="AA1477" t="s">
        <v>4092</v>
      </c>
      <c r="AB1477" t="s">
        <v>6659</v>
      </c>
      <c r="AC1477" t="s">
        <v>4092</v>
      </c>
      <c r="AD1477" t="e">
        <f>VLOOKUP(AB1477,#REF!,2,FALSE)</f>
        <v>#REF!</v>
      </c>
      <c r="AE1477" t="e">
        <f>RIGHT(#REF!,(FIND("Complex",#REF!,1)-7))</f>
        <v>#REF!</v>
      </c>
    </row>
    <row r="1478" spans="1:31" x14ac:dyDescent="0.25">
      <c r="A1478">
        <v>1546</v>
      </c>
      <c r="B1478" t="s">
        <v>248</v>
      </c>
      <c r="C1478">
        <v>45</v>
      </c>
      <c r="D1478">
        <v>471</v>
      </c>
      <c r="E1478">
        <v>1546</v>
      </c>
      <c r="F1478">
        <v>12171601</v>
      </c>
      <c r="G1478">
        <v>12259800</v>
      </c>
      <c r="H1478">
        <f t="shared" si="46"/>
        <v>276.00002267573694</v>
      </c>
      <c r="I1478">
        <f t="shared" si="47"/>
        <v>278</v>
      </c>
      <c r="J1478" t="s">
        <v>22</v>
      </c>
      <c r="K1478">
        <v>4</v>
      </c>
      <c r="L1478" t="e">
        <f t="array" ref="L1478">VLOOKUP(J1478:$J$3871&amp;K1478:$K$3871,CHOOSE({1,2},#REF!&amp;#REF!,#REF!),2,0)</f>
        <v>#N/A</v>
      </c>
      <c r="M1478">
        <v>0</v>
      </c>
      <c r="N1478">
        <v>1</v>
      </c>
      <c r="O1478" t="s">
        <v>23</v>
      </c>
      <c r="P1478">
        <v>0</v>
      </c>
      <c r="Q1478">
        <v>1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1</v>
      </c>
      <c r="Z1478">
        <v>0</v>
      </c>
      <c r="AA1478" t="s">
        <v>4118</v>
      </c>
      <c r="AB1478" t="s">
        <v>6679</v>
      </c>
      <c r="AC1478" t="s">
        <v>4118</v>
      </c>
      <c r="AD1478" t="e">
        <f>VLOOKUP(AB1478,#REF!,2,FALSE)</f>
        <v>#REF!</v>
      </c>
      <c r="AE1478" t="e">
        <f>RIGHT(#REF!,(FIND("Complex",#REF!,1)-7))</f>
        <v>#REF!</v>
      </c>
    </row>
    <row r="1479" spans="1:31" x14ac:dyDescent="0.25">
      <c r="A1479">
        <v>1477</v>
      </c>
      <c r="B1479" t="s">
        <v>248</v>
      </c>
      <c r="C1479">
        <v>45</v>
      </c>
      <c r="D1479">
        <v>448</v>
      </c>
      <c r="E1479">
        <v>1477</v>
      </c>
      <c r="F1479">
        <v>12083401</v>
      </c>
      <c r="G1479">
        <v>12171600</v>
      </c>
      <c r="H1479">
        <f t="shared" si="46"/>
        <v>274.00002267573694</v>
      </c>
      <c r="I1479">
        <f t="shared" si="47"/>
        <v>276</v>
      </c>
      <c r="J1479" t="s">
        <v>22</v>
      </c>
      <c r="K1479">
        <v>4</v>
      </c>
      <c r="L1479" t="e">
        <f t="array" ref="L1479">VLOOKUP(J1479:$J$3871&amp;K1479:$K$3871,CHOOSE({1,2},#REF!&amp;#REF!,#REF!),2,0)</f>
        <v>#N/A</v>
      </c>
      <c r="M1479">
        <v>0</v>
      </c>
      <c r="N1479">
        <v>1</v>
      </c>
      <c r="O1479" t="s">
        <v>23</v>
      </c>
      <c r="P1479">
        <v>0</v>
      </c>
      <c r="Q1479">
        <v>1</v>
      </c>
      <c r="R1479">
        <v>0</v>
      </c>
      <c r="S1479">
        <v>1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1</v>
      </c>
      <c r="Z1479">
        <v>0</v>
      </c>
      <c r="AA1479" t="s">
        <v>4122</v>
      </c>
      <c r="AB1479" t="s">
        <v>6682</v>
      </c>
      <c r="AC1479" t="s">
        <v>4122</v>
      </c>
      <c r="AD1479" t="e">
        <f>VLOOKUP(AB1479,#REF!,2,FALSE)</f>
        <v>#REF!</v>
      </c>
      <c r="AE1479" t="e">
        <f>RIGHT(#REF!,(FIND("Complex",#REF!,1)-7))</f>
        <v>#REF!</v>
      </c>
    </row>
    <row r="1480" spans="1:31" x14ac:dyDescent="0.25">
      <c r="A1480">
        <v>842</v>
      </c>
      <c r="B1480" t="s">
        <v>248</v>
      </c>
      <c r="C1480">
        <v>45</v>
      </c>
      <c r="D1480">
        <v>255</v>
      </c>
      <c r="E1480">
        <v>842</v>
      </c>
      <c r="F1480">
        <v>8908201</v>
      </c>
      <c r="G1480">
        <v>8996400</v>
      </c>
      <c r="H1480">
        <f t="shared" si="46"/>
        <v>202.00002267573697</v>
      </c>
      <c r="I1480">
        <f t="shared" si="47"/>
        <v>204</v>
      </c>
      <c r="J1480" t="s">
        <v>22</v>
      </c>
      <c r="K1480">
        <v>4</v>
      </c>
      <c r="L1480" t="e">
        <f t="array" ref="L1480">VLOOKUP(J1480:$J$3871&amp;K1480:$K$3871,CHOOSE({1,2},#REF!&amp;#REF!,#REF!),2,0)</f>
        <v>#N/A</v>
      </c>
      <c r="M1480">
        <v>0</v>
      </c>
      <c r="N1480">
        <v>1</v>
      </c>
      <c r="O1480" t="s">
        <v>23</v>
      </c>
      <c r="P1480">
        <v>0</v>
      </c>
      <c r="Q1480">
        <v>1</v>
      </c>
      <c r="R1480">
        <v>0</v>
      </c>
      <c r="S1480">
        <v>1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1</v>
      </c>
      <c r="Z1480">
        <v>0</v>
      </c>
      <c r="AA1480" t="s">
        <v>4288</v>
      </c>
      <c r="AB1480" t="s">
        <v>6795</v>
      </c>
      <c r="AC1480" t="s">
        <v>4288</v>
      </c>
      <c r="AD1480" t="e">
        <f>VLOOKUP(AB1480,#REF!,2,FALSE)</f>
        <v>#REF!</v>
      </c>
      <c r="AE1480" t="e">
        <f>RIGHT(#REF!,(FIND("Complex",#REF!,1)-6))</f>
        <v>#REF!</v>
      </c>
    </row>
    <row r="1481" spans="1:31" x14ac:dyDescent="0.25">
      <c r="A1481">
        <v>1889</v>
      </c>
      <c r="B1481" t="s">
        <v>248</v>
      </c>
      <c r="C1481">
        <v>45</v>
      </c>
      <c r="D1481">
        <v>572</v>
      </c>
      <c r="E1481">
        <v>1889</v>
      </c>
      <c r="F1481">
        <v>7673401</v>
      </c>
      <c r="G1481">
        <v>7761600</v>
      </c>
      <c r="H1481">
        <f t="shared" si="46"/>
        <v>174.00002267573697</v>
      </c>
      <c r="I1481">
        <f t="shared" si="47"/>
        <v>176</v>
      </c>
      <c r="J1481" t="s">
        <v>22</v>
      </c>
      <c r="K1481">
        <v>4</v>
      </c>
      <c r="L1481" t="e">
        <f t="array" ref="L1481">VLOOKUP(J1481:$J$3871&amp;K1481:$K$3871,CHOOSE({1,2},#REF!&amp;#REF!,#REF!),2,0)</f>
        <v>#N/A</v>
      </c>
      <c r="M1481">
        <v>0</v>
      </c>
      <c r="N1481">
        <v>1</v>
      </c>
      <c r="O1481" t="s">
        <v>23</v>
      </c>
      <c r="P1481">
        <v>0</v>
      </c>
      <c r="Q1481">
        <v>1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1</v>
      </c>
      <c r="AA1481" t="s">
        <v>4429</v>
      </c>
      <c r="AB1481" t="s">
        <v>1256</v>
      </c>
      <c r="AC1481" t="s">
        <v>4429</v>
      </c>
      <c r="AD1481" t="e">
        <f>VLOOKUP(AB1481,#REF!,2,FALSE)</f>
        <v>#REF!</v>
      </c>
      <c r="AE1481" t="e">
        <f>RIGHT(#REF!,(FIND("Complex",#REF!,1)-7))</f>
        <v>#REF!</v>
      </c>
    </row>
    <row r="1482" spans="1:31" x14ac:dyDescent="0.25">
      <c r="A1482">
        <v>388</v>
      </c>
      <c r="B1482" t="s">
        <v>248</v>
      </c>
      <c r="C1482">
        <v>45</v>
      </c>
      <c r="D1482">
        <v>124</v>
      </c>
      <c r="E1482">
        <v>388</v>
      </c>
      <c r="F1482">
        <v>6615001</v>
      </c>
      <c r="G1482">
        <v>6703200</v>
      </c>
      <c r="H1482">
        <f t="shared" si="46"/>
        <v>150.00002267573697</v>
      </c>
      <c r="I1482">
        <f t="shared" si="47"/>
        <v>152</v>
      </c>
      <c r="J1482" t="s">
        <v>22</v>
      </c>
      <c r="K1482">
        <v>4</v>
      </c>
      <c r="L1482" t="e">
        <f t="array" ref="L1482">VLOOKUP(J1482:$J$3871&amp;K1482:$K$3871,CHOOSE({1,2},#REF!&amp;#REF!,#REF!),2,0)</f>
        <v>#N/A</v>
      </c>
      <c r="M1482">
        <v>0</v>
      </c>
      <c r="N1482">
        <v>1</v>
      </c>
      <c r="O1482" t="s">
        <v>23</v>
      </c>
      <c r="P1482">
        <v>0</v>
      </c>
      <c r="Q1482">
        <v>1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1</v>
      </c>
      <c r="AA1482" t="s">
        <v>4548</v>
      </c>
      <c r="AB1482" t="s">
        <v>6960</v>
      </c>
      <c r="AC1482" t="s">
        <v>4548</v>
      </c>
      <c r="AD1482" t="e">
        <f>VLOOKUP(AB1482,#REF!,2,FALSE)</f>
        <v>#REF!</v>
      </c>
      <c r="AE1482" t="e">
        <f>RIGHT(#REF!,(FIND("Complex",#REF!,1)-6))</f>
        <v>#REF!</v>
      </c>
    </row>
    <row r="1483" spans="1:31" x14ac:dyDescent="0.25">
      <c r="A1483">
        <v>1375</v>
      </c>
      <c r="B1483" t="s">
        <v>248</v>
      </c>
      <c r="C1483">
        <v>45</v>
      </c>
      <c r="D1483">
        <v>418</v>
      </c>
      <c r="E1483">
        <v>1375</v>
      </c>
      <c r="F1483">
        <v>617401</v>
      </c>
      <c r="G1483">
        <v>705600</v>
      </c>
      <c r="H1483">
        <f t="shared" si="46"/>
        <v>14.000022675736961</v>
      </c>
      <c r="I1483">
        <f t="shared" si="47"/>
        <v>16</v>
      </c>
      <c r="J1483" t="s">
        <v>22</v>
      </c>
      <c r="K1483">
        <v>4</v>
      </c>
      <c r="L1483" t="e">
        <f t="array" ref="L1483">VLOOKUP(J1483:$J$3871&amp;K1483:$K$3871,CHOOSE({1,2},#REF!&amp;#REF!,#REF!),2,0)</f>
        <v>#N/A</v>
      </c>
      <c r="M1483">
        <v>0</v>
      </c>
      <c r="N1483">
        <v>1</v>
      </c>
      <c r="O1483" t="s">
        <v>23</v>
      </c>
      <c r="P1483">
        <v>0</v>
      </c>
      <c r="Q1483">
        <v>1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1</v>
      </c>
      <c r="AA1483" t="s">
        <v>4621</v>
      </c>
      <c r="AB1483" t="s">
        <v>1257</v>
      </c>
      <c r="AC1483" t="s">
        <v>4621</v>
      </c>
      <c r="AD1483" t="e">
        <f>VLOOKUP(AB1483,#REF!,2,FALSE)</f>
        <v>#REF!</v>
      </c>
      <c r="AE1483" t="e">
        <f>RIGHT(#REF!,(FIND("Complex",#REF!,1)-8))</f>
        <v>#REF!</v>
      </c>
    </row>
    <row r="1484" spans="1:31" x14ac:dyDescent="0.25">
      <c r="A1484">
        <v>1784</v>
      </c>
      <c r="B1484" t="s">
        <v>249</v>
      </c>
      <c r="C1484">
        <v>46</v>
      </c>
      <c r="D1484">
        <v>538</v>
      </c>
      <c r="E1484">
        <v>1784</v>
      </c>
      <c r="F1484">
        <v>3087001</v>
      </c>
      <c r="G1484">
        <v>3175200</v>
      </c>
      <c r="H1484">
        <f t="shared" si="46"/>
        <v>70.000022675736957</v>
      </c>
      <c r="I1484">
        <f t="shared" si="47"/>
        <v>72</v>
      </c>
      <c r="J1484" t="s">
        <v>22</v>
      </c>
      <c r="K1484">
        <v>4</v>
      </c>
      <c r="L1484" t="e">
        <f t="array" ref="L1484">VLOOKUP(J1484:$J$3871&amp;K1484:$K$3871,CHOOSE({1,2},#REF!&amp;#REF!,#REF!),2,0)</f>
        <v>#N/A</v>
      </c>
      <c r="M1484">
        <v>0</v>
      </c>
      <c r="N1484">
        <v>1</v>
      </c>
      <c r="O1484" t="s">
        <v>23</v>
      </c>
      <c r="P1484">
        <v>0</v>
      </c>
      <c r="Q1484">
        <v>1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1</v>
      </c>
      <c r="AA1484" t="s">
        <v>3707</v>
      </c>
      <c r="AB1484" t="s">
        <v>6426</v>
      </c>
      <c r="AC1484" t="s">
        <v>3707</v>
      </c>
      <c r="AD1484" t="e">
        <f>VLOOKUP(AB1484,#REF!,2,FALSE)</f>
        <v>#REF!</v>
      </c>
      <c r="AE1484" t="e">
        <f>RIGHT(#REF!,(FIND("Complex",#REF!,1)-8))</f>
        <v>#REF!</v>
      </c>
    </row>
    <row r="1485" spans="1:31" x14ac:dyDescent="0.25">
      <c r="A1485">
        <v>2109</v>
      </c>
      <c r="B1485" t="s">
        <v>249</v>
      </c>
      <c r="C1485">
        <v>46</v>
      </c>
      <c r="D1485">
        <v>642</v>
      </c>
      <c r="E1485">
        <v>2109</v>
      </c>
      <c r="F1485">
        <v>2734201</v>
      </c>
      <c r="G1485">
        <v>2822400</v>
      </c>
      <c r="H1485">
        <f t="shared" si="46"/>
        <v>62.000022675736965</v>
      </c>
      <c r="I1485">
        <f t="shared" si="47"/>
        <v>64</v>
      </c>
      <c r="J1485" t="s">
        <v>22</v>
      </c>
      <c r="K1485">
        <v>4</v>
      </c>
      <c r="L1485" t="e">
        <f t="array" ref="L1485">VLOOKUP(J1485:$J$3871&amp;K1485:$K$3871,CHOOSE({1,2},#REF!&amp;#REF!,#REF!),2,0)</f>
        <v>#N/A</v>
      </c>
      <c r="M1485">
        <v>0</v>
      </c>
      <c r="N1485">
        <v>1</v>
      </c>
      <c r="O1485" t="s">
        <v>23</v>
      </c>
      <c r="P1485">
        <v>0</v>
      </c>
      <c r="Q1485">
        <v>1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1</v>
      </c>
      <c r="AA1485" t="s">
        <v>3763</v>
      </c>
      <c r="AB1485" t="s">
        <v>6461</v>
      </c>
      <c r="AC1485" t="s">
        <v>3763</v>
      </c>
      <c r="AD1485" t="e">
        <f>VLOOKUP(AB1485,#REF!,2,FALSE)</f>
        <v>#REF!</v>
      </c>
      <c r="AE1485" t="e">
        <f>RIGHT(#REF!,(FIND("Complex",#REF!,1)-8))</f>
        <v>#REF!</v>
      </c>
    </row>
    <row r="1486" spans="1:31" x14ac:dyDescent="0.25">
      <c r="A1486">
        <v>2563</v>
      </c>
      <c r="B1486" t="s">
        <v>249</v>
      </c>
      <c r="C1486">
        <v>46</v>
      </c>
      <c r="D1486">
        <v>832</v>
      </c>
      <c r="E1486">
        <v>2563</v>
      </c>
      <c r="F1486">
        <v>2646001</v>
      </c>
      <c r="G1486">
        <v>2734200</v>
      </c>
      <c r="H1486">
        <f t="shared" si="46"/>
        <v>60.000022675736965</v>
      </c>
      <c r="I1486">
        <f t="shared" si="47"/>
        <v>62</v>
      </c>
      <c r="J1486" t="s">
        <v>22</v>
      </c>
      <c r="K1486">
        <v>4</v>
      </c>
      <c r="L1486" t="e">
        <f t="array" ref="L1486">VLOOKUP(J1486:$J$3871&amp;K1486:$K$3871,CHOOSE({1,2},#REF!&amp;#REF!,#REF!),2,0)</f>
        <v>#N/A</v>
      </c>
      <c r="M1486">
        <v>0</v>
      </c>
      <c r="N1486">
        <v>1</v>
      </c>
      <c r="O1486" t="s">
        <v>23</v>
      </c>
      <c r="P1486">
        <v>0</v>
      </c>
      <c r="Q1486">
        <v>1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1</v>
      </c>
      <c r="AA1486" t="s">
        <v>3784</v>
      </c>
      <c r="AB1486" t="s">
        <v>6476</v>
      </c>
      <c r="AC1486" t="s">
        <v>3784</v>
      </c>
      <c r="AD1486" t="e">
        <f>VLOOKUP(AB1486,#REF!,2,FALSE)</f>
        <v>#REF!</v>
      </c>
      <c r="AE1486" t="e">
        <f>RIGHT(#REF!,(FIND("Complex",#REF!,1)-8))</f>
        <v>#REF!</v>
      </c>
    </row>
    <row r="1487" spans="1:31" x14ac:dyDescent="0.25">
      <c r="A1487">
        <v>2052</v>
      </c>
      <c r="B1487" t="s">
        <v>249</v>
      </c>
      <c r="C1487">
        <v>46</v>
      </c>
      <c r="D1487">
        <v>622</v>
      </c>
      <c r="E1487">
        <v>2052</v>
      </c>
      <c r="F1487">
        <v>2381401</v>
      </c>
      <c r="G1487">
        <v>2469600</v>
      </c>
      <c r="H1487">
        <f t="shared" si="46"/>
        <v>54.000022675736965</v>
      </c>
      <c r="I1487">
        <f t="shared" si="47"/>
        <v>56</v>
      </c>
      <c r="J1487" t="s">
        <v>22</v>
      </c>
      <c r="K1487">
        <v>4</v>
      </c>
      <c r="L1487" t="e">
        <f t="array" ref="L1487">VLOOKUP(J1487:$J$3871&amp;K1487:$K$3871,CHOOSE({1,2},#REF!&amp;#REF!,#REF!),2,0)</f>
        <v>#N/A</v>
      </c>
      <c r="M1487">
        <v>0</v>
      </c>
      <c r="N1487">
        <v>1</v>
      </c>
      <c r="O1487" t="s">
        <v>23</v>
      </c>
      <c r="P1487">
        <v>0</v>
      </c>
      <c r="Q1487">
        <v>1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1</v>
      </c>
      <c r="AA1487" t="s">
        <v>3848</v>
      </c>
      <c r="AB1487" t="s">
        <v>6508</v>
      </c>
      <c r="AC1487" t="s">
        <v>3848</v>
      </c>
      <c r="AD1487" t="e">
        <f>VLOOKUP(AB1487,#REF!,2,FALSE)</f>
        <v>#REF!</v>
      </c>
      <c r="AE1487" t="e">
        <f>RIGHT(#REF!,(FIND("Complex",#REF!,1)-8))</f>
        <v>#REF!</v>
      </c>
    </row>
    <row r="1488" spans="1:31" x14ac:dyDescent="0.25">
      <c r="A1488">
        <v>2491</v>
      </c>
      <c r="B1488" t="s">
        <v>249</v>
      </c>
      <c r="C1488">
        <v>46</v>
      </c>
      <c r="D1488">
        <v>806</v>
      </c>
      <c r="E1488">
        <v>2491</v>
      </c>
      <c r="F1488">
        <v>1764001</v>
      </c>
      <c r="G1488">
        <v>1852200</v>
      </c>
      <c r="H1488">
        <f t="shared" si="46"/>
        <v>40.000022675736965</v>
      </c>
      <c r="I1488">
        <f t="shared" si="47"/>
        <v>42</v>
      </c>
      <c r="J1488" t="s">
        <v>22</v>
      </c>
      <c r="K1488">
        <v>4</v>
      </c>
      <c r="L1488" t="e">
        <f t="array" ref="L1488">VLOOKUP(J1488:$J$3871&amp;K1488:$K$3871,CHOOSE({1,2},#REF!&amp;#REF!,#REF!),2,0)</f>
        <v>#N/A</v>
      </c>
      <c r="M1488">
        <v>0</v>
      </c>
      <c r="N1488">
        <v>1</v>
      </c>
      <c r="O1488" t="s">
        <v>23</v>
      </c>
      <c r="P1488">
        <v>0</v>
      </c>
      <c r="Q1488">
        <v>1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1</v>
      </c>
      <c r="AA1488" t="s">
        <v>3946</v>
      </c>
      <c r="AB1488" t="s">
        <v>6566</v>
      </c>
      <c r="AC1488" t="s">
        <v>3946</v>
      </c>
      <c r="AD1488" t="e">
        <f>VLOOKUP(AB1488,#REF!,2,FALSE)</f>
        <v>#REF!</v>
      </c>
      <c r="AE1488" t="e">
        <f>RIGHT(#REF!,(FIND("Complex",#REF!,1)-8))</f>
        <v>#REF!</v>
      </c>
    </row>
    <row r="1489" spans="1:31" x14ac:dyDescent="0.25">
      <c r="A1489">
        <v>2243</v>
      </c>
      <c r="B1489" t="s">
        <v>249</v>
      </c>
      <c r="C1489">
        <v>46</v>
      </c>
      <c r="D1489">
        <v>695</v>
      </c>
      <c r="E1489">
        <v>2243</v>
      </c>
      <c r="F1489">
        <v>1499401</v>
      </c>
      <c r="G1489">
        <v>1587600</v>
      </c>
      <c r="H1489">
        <f t="shared" si="46"/>
        <v>34.000022675736965</v>
      </c>
      <c r="I1489">
        <f t="shared" si="47"/>
        <v>36</v>
      </c>
      <c r="J1489" t="s">
        <v>22</v>
      </c>
      <c r="K1489">
        <v>4</v>
      </c>
      <c r="L1489" t="e">
        <f t="array" ref="L1489">VLOOKUP(J1489:$J$3871&amp;K1489:$K$3871,CHOOSE({1,2},#REF!&amp;#REF!,#REF!),2,0)</f>
        <v>#N/A</v>
      </c>
      <c r="M1489">
        <v>0</v>
      </c>
      <c r="N1489">
        <v>1</v>
      </c>
      <c r="O1489" t="s">
        <v>23</v>
      </c>
      <c r="P1489">
        <v>0</v>
      </c>
      <c r="Q1489">
        <v>1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1</v>
      </c>
      <c r="AA1489" t="s">
        <v>4025</v>
      </c>
      <c r="AB1489" t="s">
        <v>6614</v>
      </c>
      <c r="AC1489" t="s">
        <v>4025</v>
      </c>
      <c r="AD1489" t="e">
        <f>VLOOKUP(AB1489,#REF!,2,FALSE)</f>
        <v>#REF!</v>
      </c>
      <c r="AE1489" t="e">
        <f>RIGHT(#REF!,(FIND("Complex",#REF!,1)-8))</f>
        <v>#REF!</v>
      </c>
    </row>
    <row r="1490" spans="1:31" x14ac:dyDescent="0.25">
      <c r="A1490">
        <v>627</v>
      </c>
      <c r="B1490" t="s">
        <v>249</v>
      </c>
      <c r="C1490">
        <v>46</v>
      </c>
      <c r="D1490">
        <v>198</v>
      </c>
      <c r="E1490">
        <v>627</v>
      </c>
      <c r="F1490">
        <v>1234801</v>
      </c>
      <c r="G1490">
        <v>1323000</v>
      </c>
      <c r="H1490">
        <f t="shared" si="46"/>
        <v>28.000022675736961</v>
      </c>
      <c r="I1490">
        <f t="shared" si="47"/>
        <v>30</v>
      </c>
      <c r="J1490" t="s">
        <v>22</v>
      </c>
      <c r="K1490">
        <v>4</v>
      </c>
      <c r="L1490" t="e">
        <f t="array" ref="L1490">VLOOKUP(J1490:$J$3871&amp;K1490:$K$3871,CHOOSE({1,2},#REF!&amp;#REF!,#REF!),2,0)</f>
        <v>#N/A</v>
      </c>
      <c r="M1490">
        <v>0</v>
      </c>
      <c r="N1490">
        <v>1</v>
      </c>
      <c r="O1490" t="s">
        <v>23</v>
      </c>
      <c r="P1490">
        <v>0</v>
      </c>
      <c r="Q1490">
        <v>1</v>
      </c>
      <c r="R1490">
        <v>0</v>
      </c>
      <c r="S1490">
        <v>1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1</v>
      </c>
      <c r="AA1490" t="s">
        <v>4106</v>
      </c>
      <c r="AB1490" t="s">
        <v>6668</v>
      </c>
      <c r="AC1490" t="s">
        <v>4106</v>
      </c>
      <c r="AD1490" t="e">
        <f>VLOOKUP(AB1490,#REF!,2,FALSE)</f>
        <v>#REF!</v>
      </c>
      <c r="AE1490" t="e">
        <f>RIGHT(#REF!,(FIND("Complex",#REF!,1)-7))</f>
        <v>#REF!</v>
      </c>
    </row>
    <row r="1491" spans="1:31" x14ac:dyDescent="0.25">
      <c r="A1491">
        <v>2334</v>
      </c>
      <c r="B1491" t="s">
        <v>249</v>
      </c>
      <c r="C1491">
        <v>46</v>
      </c>
      <c r="D1491">
        <v>737</v>
      </c>
      <c r="E1491">
        <v>2334</v>
      </c>
      <c r="F1491">
        <v>7320601</v>
      </c>
      <c r="G1491">
        <v>7408800</v>
      </c>
      <c r="H1491">
        <f t="shared" si="46"/>
        <v>166.00002267573697</v>
      </c>
      <c r="I1491">
        <f t="shared" si="47"/>
        <v>168</v>
      </c>
      <c r="J1491" t="s">
        <v>22</v>
      </c>
      <c r="K1491">
        <v>4</v>
      </c>
      <c r="L1491" t="e">
        <f t="array" ref="L1491">VLOOKUP(J1491:$J$3871&amp;K1491:$K$3871,CHOOSE({1,2},#REF!&amp;#REF!,#REF!),2,0)</f>
        <v>#N/A</v>
      </c>
      <c r="M1491">
        <v>0</v>
      </c>
      <c r="N1491">
        <v>1</v>
      </c>
      <c r="O1491" t="s">
        <v>23</v>
      </c>
      <c r="P1491">
        <v>0</v>
      </c>
      <c r="Q1491">
        <v>1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1</v>
      </c>
      <c r="Z1491">
        <v>0</v>
      </c>
      <c r="AA1491" t="s">
        <v>4457</v>
      </c>
      <c r="AB1491" t="s">
        <v>6895</v>
      </c>
      <c r="AC1491" t="s">
        <v>4457</v>
      </c>
      <c r="AD1491" t="e">
        <f>VLOOKUP(AB1491,#REF!,2,FALSE)</f>
        <v>#REF!</v>
      </c>
      <c r="AE1491" t="e">
        <f>RIGHT(#REF!,(FIND("Complex",#REF!,1)-7))</f>
        <v>#REF!</v>
      </c>
    </row>
    <row r="1492" spans="1:31" x14ac:dyDescent="0.25">
      <c r="A1492">
        <v>160</v>
      </c>
      <c r="B1492" t="s">
        <v>249</v>
      </c>
      <c r="C1492">
        <v>46</v>
      </c>
      <c r="D1492">
        <v>51</v>
      </c>
      <c r="E1492">
        <v>160</v>
      </c>
      <c r="F1492">
        <v>7232401</v>
      </c>
      <c r="G1492">
        <v>7320600</v>
      </c>
      <c r="H1492">
        <f t="shared" si="46"/>
        <v>164.00002267573697</v>
      </c>
      <c r="I1492">
        <f t="shared" si="47"/>
        <v>166</v>
      </c>
      <c r="J1492" t="s">
        <v>22</v>
      </c>
      <c r="K1492">
        <v>4</v>
      </c>
      <c r="L1492" t="e">
        <f t="array" ref="L1492">VLOOKUP(J1492:$J$3871&amp;K1492:$K$3871,CHOOSE({1,2},#REF!&amp;#REF!,#REF!),2,0)</f>
        <v>#N/A</v>
      </c>
      <c r="M1492">
        <v>0</v>
      </c>
      <c r="N1492">
        <v>1</v>
      </c>
      <c r="O1492" t="s">
        <v>23</v>
      </c>
      <c r="P1492">
        <v>0</v>
      </c>
      <c r="Q1492">
        <v>1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1</v>
      </c>
      <c r="Z1492">
        <v>0</v>
      </c>
      <c r="AA1492" t="s">
        <v>4463</v>
      </c>
      <c r="AB1492" t="s">
        <v>6898</v>
      </c>
      <c r="AC1492" t="s">
        <v>4463</v>
      </c>
      <c r="AD1492" t="e">
        <f>VLOOKUP(AB1492,#REF!,2,FALSE)</f>
        <v>#REF!</v>
      </c>
      <c r="AE1492" t="e">
        <f>RIGHT(#REF!,(FIND("Complex",#REF!,1)-6))</f>
        <v>#REF!</v>
      </c>
    </row>
    <row r="1493" spans="1:31" x14ac:dyDescent="0.25">
      <c r="A1493">
        <v>332</v>
      </c>
      <c r="B1493" t="s">
        <v>249</v>
      </c>
      <c r="C1493">
        <v>46</v>
      </c>
      <c r="D1493">
        <v>105</v>
      </c>
      <c r="E1493">
        <v>332</v>
      </c>
      <c r="F1493">
        <v>7056001</v>
      </c>
      <c r="G1493">
        <v>7144200</v>
      </c>
      <c r="H1493">
        <f t="shared" si="46"/>
        <v>160.00002267573697</v>
      </c>
      <c r="I1493">
        <f t="shared" si="47"/>
        <v>162</v>
      </c>
      <c r="J1493" t="s">
        <v>22</v>
      </c>
      <c r="K1493">
        <v>4</v>
      </c>
      <c r="L1493" t="e">
        <f t="array" ref="L1493">VLOOKUP(J1493:$J$3871&amp;K1493:$K$3871,CHOOSE({1,2},#REF!&amp;#REF!,#REF!),2,0)</f>
        <v>#N/A</v>
      </c>
      <c r="M1493">
        <v>0</v>
      </c>
      <c r="N1493">
        <v>1</v>
      </c>
      <c r="O1493" t="s">
        <v>23</v>
      </c>
      <c r="P1493">
        <v>0</v>
      </c>
      <c r="Q1493">
        <v>1</v>
      </c>
      <c r="R1493">
        <v>0</v>
      </c>
      <c r="S1493">
        <v>1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1</v>
      </c>
      <c r="Z1493">
        <v>0</v>
      </c>
      <c r="AA1493" t="s">
        <v>4478</v>
      </c>
      <c r="AB1493" t="s">
        <v>6909</v>
      </c>
      <c r="AC1493" t="s">
        <v>4478</v>
      </c>
      <c r="AD1493" t="e">
        <f>VLOOKUP(AB1493,#REF!,2,FALSE)</f>
        <v>#REF!</v>
      </c>
      <c r="AE1493" t="e">
        <f>RIGHT(#REF!,(FIND("Complex",#REF!,1)-6))</f>
        <v>#REF!</v>
      </c>
    </row>
    <row r="1494" spans="1:31" x14ac:dyDescent="0.25">
      <c r="A1494">
        <v>1084</v>
      </c>
      <c r="B1494" t="s">
        <v>249</v>
      </c>
      <c r="C1494">
        <v>46</v>
      </c>
      <c r="D1494">
        <v>325</v>
      </c>
      <c r="E1494">
        <v>1084</v>
      </c>
      <c r="F1494">
        <v>6791401</v>
      </c>
      <c r="G1494">
        <v>6879600</v>
      </c>
      <c r="H1494">
        <f t="shared" si="46"/>
        <v>154.00002267573697</v>
      </c>
      <c r="I1494">
        <f t="shared" si="47"/>
        <v>156</v>
      </c>
      <c r="J1494" t="s">
        <v>22</v>
      </c>
      <c r="K1494">
        <v>4</v>
      </c>
      <c r="L1494" t="e">
        <f t="array" ref="L1494">VLOOKUP(J1494:$J$3871&amp;K1494:$K$3871,CHOOSE({1,2},#REF!&amp;#REF!,#REF!),2,0)</f>
        <v>#N/A</v>
      </c>
      <c r="M1494">
        <v>0</v>
      </c>
      <c r="N1494">
        <v>1</v>
      </c>
      <c r="O1494" t="s">
        <v>23</v>
      </c>
      <c r="P1494">
        <v>0</v>
      </c>
      <c r="Q1494">
        <v>1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1</v>
      </c>
      <c r="Z1494">
        <v>0</v>
      </c>
      <c r="AA1494" t="s">
        <v>4527</v>
      </c>
      <c r="AB1494" t="s">
        <v>6944</v>
      </c>
      <c r="AC1494" t="s">
        <v>4527</v>
      </c>
      <c r="AD1494" t="e">
        <f>VLOOKUP(AB1494,#REF!,2,FALSE)</f>
        <v>#REF!</v>
      </c>
      <c r="AE1494" t="e">
        <f>RIGHT(#REF!,(FIND("Complex",#REF!,1)-7))</f>
        <v>#REF!</v>
      </c>
    </row>
    <row r="1495" spans="1:31" x14ac:dyDescent="0.25">
      <c r="A1495">
        <v>522</v>
      </c>
      <c r="B1495" t="s">
        <v>249</v>
      </c>
      <c r="C1495">
        <v>46</v>
      </c>
      <c r="D1495">
        <v>168</v>
      </c>
      <c r="E1495">
        <v>522</v>
      </c>
      <c r="F1495">
        <v>5644801</v>
      </c>
      <c r="G1495">
        <v>5733000</v>
      </c>
      <c r="H1495">
        <f t="shared" si="46"/>
        <v>128.00002267573697</v>
      </c>
      <c r="I1495">
        <f t="shared" si="47"/>
        <v>130</v>
      </c>
      <c r="J1495" t="s">
        <v>22</v>
      </c>
      <c r="K1495">
        <v>4</v>
      </c>
      <c r="L1495" t="e">
        <f t="array" ref="L1495">VLOOKUP(J1495:$J$3871&amp;K1495:$K$3871,CHOOSE({1,2},#REF!&amp;#REF!,#REF!),2,0)</f>
        <v>#N/A</v>
      </c>
      <c r="M1495">
        <v>0</v>
      </c>
      <c r="N1495">
        <v>1</v>
      </c>
      <c r="O1495" t="s">
        <v>23</v>
      </c>
      <c r="P1495">
        <v>0</v>
      </c>
      <c r="Q1495">
        <v>1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1</v>
      </c>
      <c r="Z1495">
        <v>0</v>
      </c>
      <c r="AA1495" t="s">
        <v>4680</v>
      </c>
      <c r="AB1495" t="s">
        <v>7041</v>
      </c>
      <c r="AC1495" t="s">
        <v>4680</v>
      </c>
      <c r="AD1495" t="e">
        <f>VLOOKUP(AB1495,#REF!,2,FALSE)</f>
        <v>#REF!</v>
      </c>
      <c r="AE1495" t="e">
        <f>RIGHT(#REF!,(FIND("Complex",#REF!,1)-6))</f>
        <v>#REF!</v>
      </c>
    </row>
    <row r="1496" spans="1:31" x14ac:dyDescent="0.25">
      <c r="A1496">
        <v>1172</v>
      </c>
      <c r="B1496" t="s">
        <v>87</v>
      </c>
      <c r="C1496">
        <v>47</v>
      </c>
      <c r="D1496">
        <v>353</v>
      </c>
      <c r="E1496">
        <v>1172</v>
      </c>
      <c r="F1496">
        <v>176401</v>
      </c>
      <c r="G1496">
        <v>264600</v>
      </c>
      <c r="H1496">
        <f t="shared" si="46"/>
        <v>4.000022675736961</v>
      </c>
      <c r="I1496">
        <f t="shared" si="47"/>
        <v>6</v>
      </c>
      <c r="J1496" t="s">
        <v>22</v>
      </c>
      <c r="K1496">
        <v>4</v>
      </c>
      <c r="L1496" t="e">
        <f t="array" ref="L1496">VLOOKUP(J1496:$J$3871&amp;K1496:$K$3871,CHOOSE({1,2},#REF!&amp;#REF!,#REF!),2,0)</f>
        <v>#N/A</v>
      </c>
      <c r="M1496">
        <v>0</v>
      </c>
      <c r="N1496">
        <v>1</v>
      </c>
      <c r="O1496" t="s">
        <v>23</v>
      </c>
      <c r="P1496">
        <v>0</v>
      </c>
      <c r="Q1496">
        <v>1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1</v>
      </c>
      <c r="X1496">
        <v>1</v>
      </c>
      <c r="Y1496">
        <v>0</v>
      </c>
      <c r="Z1496">
        <v>0</v>
      </c>
      <c r="AA1496" t="s">
        <v>3968</v>
      </c>
      <c r="AB1496" t="s">
        <v>1262</v>
      </c>
      <c r="AC1496" t="s">
        <v>3968</v>
      </c>
      <c r="AD1496" t="e">
        <f>VLOOKUP(AB1496,#REF!,2,FALSE)</f>
        <v>#REF!</v>
      </c>
      <c r="AE1496" t="e">
        <f>RIGHT(#REF!,(FIND("Complex",#REF!,1)-9))</f>
        <v>#REF!</v>
      </c>
    </row>
    <row r="1497" spans="1:31" x14ac:dyDescent="0.25">
      <c r="A1497">
        <v>725</v>
      </c>
      <c r="B1497" t="s">
        <v>87</v>
      </c>
      <c r="C1497">
        <v>47</v>
      </c>
      <c r="D1497">
        <v>225</v>
      </c>
      <c r="E1497">
        <v>725</v>
      </c>
      <c r="F1497">
        <v>970201</v>
      </c>
      <c r="G1497">
        <v>1058400</v>
      </c>
      <c r="H1497">
        <f t="shared" si="46"/>
        <v>22.000022675736961</v>
      </c>
      <c r="I1497">
        <f t="shared" si="47"/>
        <v>24</v>
      </c>
      <c r="J1497" t="s">
        <v>22</v>
      </c>
      <c r="K1497">
        <v>4</v>
      </c>
      <c r="L1497" t="e">
        <f t="array" ref="L1497">VLOOKUP(J1497:$J$3871&amp;K1497:$K$3871,CHOOSE({1,2},#REF!&amp;#REF!,#REF!),2,0)</f>
        <v>#N/A</v>
      </c>
      <c r="M1497">
        <v>0</v>
      </c>
      <c r="N1497">
        <v>1</v>
      </c>
      <c r="O1497" t="s">
        <v>23</v>
      </c>
      <c r="P1497">
        <v>0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1</v>
      </c>
      <c r="X1497">
        <v>1</v>
      </c>
      <c r="Y1497">
        <v>0</v>
      </c>
      <c r="Z1497">
        <v>0</v>
      </c>
      <c r="AA1497" t="s">
        <v>4250</v>
      </c>
      <c r="AB1497" t="s">
        <v>1263</v>
      </c>
      <c r="AC1497" t="s">
        <v>4250</v>
      </c>
      <c r="AD1497" t="e">
        <f>VLOOKUP(AB1497,#REF!,2,FALSE)</f>
        <v>#REF!</v>
      </c>
      <c r="AE1497" t="e">
        <f>RIGHT(#REF!,(FIND("Complex",#REF!,1)-7))</f>
        <v>#REF!</v>
      </c>
    </row>
    <row r="1498" spans="1:31" x14ac:dyDescent="0.25">
      <c r="A1498">
        <v>940</v>
      </c>
      <c r="B1498" t="s">
        <v>87</v>
      </c>
      <c r="C1498">
        <v>47</v>
      </c>
      <c r="D1498">
        <v>288</v>
      </c>
      <c r="E1498">
        <v>940</v>
      </c>
      <c r="F1498">
        <v>88201</v>
      </c>
      <c r="G1498">
        <v>176400</v>
      </c>
      <c r="H1498">
        <f t="shared" si="46"/>
        <v>2.0000226757369615</v>
      </c>
      <c r="I1498">
        <f t="shared" si="47"/>
        <v>4</v>
      </c>
      <c r="J1498" t="s">
        <v>22</v>
      </c>
      <c r="K1498">
        <v>4</v>
      </c>
      <c r="L1498" t="e">
        <f t="array" ref="L1498">VLOOKUP(J1498:$J$3871&amp;K1498:$K$3871,CHOOSE({1,2},#REF!&amp;#REF!,#REF!),2,0)</f>
        <v>#N/A</v>
      </c>
      <c r="M1498">
        <v>0</v>
      </c>
      <c r="N1498">
        <v>1</v>
      </c>
      <c r="O1498" t="s">
        <v>23</v>
      </c>
      <c r="P1498">
        <v>0</v>
      </c>
      <c r="Q1498">
        <v>1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1</v>
      </c>
      <c r="X1498">
        <v>1</v>
      </c>
      <c r="Y1498">
        <v>0</v>
      </c>
      <c r="Z1498">
        <v>0</v>
      </c>
      <c r="AA1498" t="s">
        <v>4335</v>
      </c>
      <c r="AB1498" t="s">
        <v>1264</v>
      </c>
      <c r="AC1498" t="s">
        <v>4335</v>
      </c>
      <c r="AD1498" t="e">
        <f>VLOOKUP(AB1498,#REF!,2,FALSE)</f>
        <v>#REF!</v>
      </c>
      <c r="AE1498" t="e">
        <f>RIGHT(#REF!,(FIND("Complex",#REF!,1)-8))</f>
        <v>#REF!</v>
      </c>
    </row>
    <row r="1499" spans="1:31" x14ac:dyDescent="0.25">
      <c r="A1499">
        <v>552</v>
      </c>
      <c r="B1499" t="s">
        <v>87</v>
      </c>
      <c r="C1499">
        <v>47</v>
      </c>
      <c r="D1499">
        <v>178</v>
      </c>
      <c r="E1499">
        <v>552</v>
      </c>
      <c r="F1499">
        <v>793801</v>
      </c>
      <c r="G1499">
        <v>882000</v>
      </c>
      <c r="H1499">
        <f t="shared" si="46"/>
        <v>18.000022675736961</v>
      </c>
      <c r="I1499">
        <f t="shared" si="47"/>
        <v>20</v>
      </c>
      <c r="J1499" t="s">
        <v>22</v>
      </c>
      <c r="K1499">
        <v>4</v>
      </c>
      <c r="L1499" t="e">
        <f t="array" ref="L1499">VLOOKUP(J1499:$J$3871&amp;K1499:$K$3871,CHOOSE({1,2},#REF!&amp;#REF!,#REF!),2,0)</f>
        <v>#N/A</v>
      </c>
      <c r="M1499">
        <v>0</v>
      </c>
      <c r="N1499">
        <v>1</v>
      </c>
      <c r="O1499" t="s">
        <v>23</v>
      </c>
      <c r="P1499">
        <v>0</v>
      </c>
      <c r="Q1499">
        <v>1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1</v>
      </c>
      <c r="X1499">
        <v>1</v>
      </c>
      <c r="Y1499">
        <v>0</v>
      </c>
      <c r="Z1499">
        <v>0</v>
      </c>
      <c r="AA1499" t="s">
        <v>4417</v>
      </c>
      <c r="AB1499" t="s">
        <v>1265</v>
      </c>
      <c r="AC1499" t="s">
        <v>4417</v>
      </c>
      <c r="AD1499" t="e">
        <f>VLOOKUP(AB1499,#REF!,2,FALSE)</f>
        <v>#REF!</v>
      </c>
      <c r="AE1499" t="e">
        <f>RIGHT(#REF!,(FIND("Complex",#REF!,1)-7))</f>
        <v>#REF!</v>
      </c>
    </row>
    <row r="1500" spans="1:31" x14ac:dyDescent="0.25">
      <c r="A1500">
        <v>1120</v>
      </c>
      <c r="B1500" t="s">
        <v>87</v>
      </c>
      <c r="C1500">
        <v>47</v>
      </c>
      <c r="D1500">
        <v>334</v>
      </c>
      <c r="E1500">
        <v>1120</v>
      </c>
      <c r="F1500">
        <v>617401</v>
      </c>
      <c r="G1500">
        <v>705600</v>
      </c>
      <c r="H1500">
        <f t="shared" si="46"/>
        <v>14.000022675736961</v>
      </c>
      <c r="I1500">
        <f t="shared" si="47"/>
        <v>16</v>
      </c>
      <c r="J1500" t="s">
        <v>22</v>
      </c>
      <c r="K1500">
        <v>4</v>
      </c>
      <c r="L1500" t="e">
        <f t="array" ref="L1500">VLOOKUP(J1500:$J$3871&amp;K1500:$K$3871,CHOOSE({1,2},#REF!&amp;#REF!,#REF!),2,0)</f>
        <v>#N/A</v>
      </c>
      <c r="M1500">
        <v>0</v>
      </c>
      <c r="N1500">
        <v>1</v>
      </c>
      <c r="O1500" t="s">
        <v>23</v>
      </c>
      <c r="P1500">
        <v>0</v>
      </c>
      <c r="Q1500">
        <v>1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1</v>
      </c>
      <c r="X1500">
        <v>1</v>
      </c>
      <c r="Y1500">
        <v>0</v>
      </c>
      <c r="Z1500">
        <v>0</v>
      </c>
      <c r="AA1500" t="s">
        <v>4620</v>
      </c>
      <c r="AB1500" t="s">
        <v>200</v>
      </c>
      <c r="AC1500" t="s">
        <v>4620</v>
      </c>
      <c r="AD1500" t="e">
        <f>VLOOKUP(AB1500,#REF!,2,FALSE)</f>
        <v>#REF!</v>
      </c>
      <c r="AE1500" t="e">
        <f>RIGHT(#REF!,(FIND("Complex",#REF!,1)-8))</f>
        <v>#REF!</v>
      </c>
    </row>
    <row r="1501" spans="1:31" x14ac:dyDescent="0.25">
      <c r="A1501">
        <v>1668</v>
      </c>
      <c r="B1501" t="s">
        <v>252</v>
      </c>
      <c r="C1501">
        <v>48</v>
      </c>
      <c r="D1501">
        <v>503</v>
      </c>
      <c r="E1501">
        <v>1668</v>
      </c>
      <c r="F1501">
        <v>1675801</v>
      </c>
      <c r="G1501">
        <v>1764000</v>
      </c>
      <c r="H1501">
        <f t="shared" si="46"/>
        <v>38.000022675736965</v>
      </c>
      <c r="I1501">
        <f t="shared" si="47"/>
        <v>40</v>
      </c>
      <c r="J1501" t="s">
        <v>22</v>
      </c>
      <c r="K1501">
        <v>4</v>
      </c>
      <c r="L1501" t="e">
        <f t="array" ref="L1501">VLOOKUP(J1501:$J$3871&amp;K1501:$K$3871,CHOOSE({1,2},#REF!&amp;#REF!,#REF!),2,0)</f>
        <v>#N/A</v>
      </c>
      <c r="M1501">
        <v>0</v>
      </c>
      <c r="N1501">
        <v>1</v>
      </c>
      <c r="O1501" t="s">
        <v>23</v>
      </c>
      <c r="P1501">
        <v>0</v>
      </c>
      <c r="Q1501">
        <v>1</v>
      </c>
      <c r="R1501">
        <v>0</v>
      </c>
      <c r="S1501">
        <v>1</v>
      </c>
      <c r="T1501">
        <v>0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 t="s">
        <v>3978</v>
      </c>
      <c r="AB1501" t="s">
        <v>6579</v>
      </c>
      <c r="AC1501" t="s">
        <v>3978</v>
      </c>
      <c r="AD1501" t="e">
        <f>VLOOKUP(AB1501,#REF!,2,FALSE)</f>
        <v>#REF!</v>
      </c>
      <c r="AE1501" t="e">
        <f>RIGHT(#REF!,(FIND("Complex",#REF!,1)-8))</f>
        <v>#REF!</v>
      </c>
    </row>
    <row r="1502" spans="1:31" x14ac:dyDescent="0.25">
      <c r="A1502">
        <v>454</v>
      </c>
      <c r="B1502" t="s">
        <v>252</v>
      </c>
      <c r="C1502">
        <v>48</v>
      </c>
      <c r="D1502">
        <v>142</v>
      </c>
      <c r="E1502">
        <v>454</v>
      </c>
      <c r="F1502">
        <v>1587601</v>
      </c>
      <c r="G1502">
        <v>1675800</v>
      </c>
      <c r="H1502">
        <f t="shared" si="46"/>
        <v>36.000022675736965</v>
      </c>
      <c r="I1502">
        <f t="shared" si="47"/>
        <v>38</v>
      </c>
      <c r="J1502" t="s">
        <v>22</v>
      </c>
      <c r="K1502">
        <v>4</v>
      </c>
      <c r="L1502" t="e">
        <f t="array" ref="L1502">VLOOKUP(J1502:$J$3871&amp;K1502:$K$3871,CHOOSE({1,2},#REF!&amp;#REF!,#REF!),2,0)</f>
        <v>#N/A</v>
      </c>
      <c r="M1502">
        <v>0</v>
      </c>
      <c r="N1502">
        <v>1</v>
      </c>
      <c r="O1502" t="s">
        <v>23</v>
      </c>
      <c r="P1502">
        <v>0</v>
      </c>
      <c r="Q1502">
        <v>1</v>
      </c>
      <c r="R1502">
        <v>0</v>
      </c>
      <c r="S1502">
        <v>1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 t="s">
        <v>4005</v>
      </c>
      <c r="AB1502" t="s">
        <v>6598</v>
      </c>
      <c r="AC1502" t="s">
        <v>4005</v>
      </c>
      <c r="AD1502" t="e">
        <f>VLOOKUP(AB1502,#REF!,2,FALSE)</f>
        <v>#REF!</v>
      </c>
      <c r="AE1502" t="e">
        <f>RIGHT(#REF!,(FIND("Complex",#REF!,1)-7))</f>
        <v>#REF!</v>
      </c>
    </row>
    <row r="1503" spans="1:31" x14ac:dyDescent="0.25">
      <c r="A1503">
        <v>419</v>
      </c>
      <c r="B1503" t="s">
        <v>252</v>
      </c>
      <c r="C1503">
        <v>48</v>
      </c>
      <c r="D1503">
        <v>133</v>
      </c>
      <c r="E1503">
        <v>419</v>
      </c>
      <c r="F1503">
        <v>13847401</v>
      </c>
      <c r="G1503">
        <v>13935600</v>
      </c>
      <c r="H1503">
        <f t="shared" si="46"/>
        <v>314.00002267573694</v>
      </c>
      <c r="I1503">
        <f t="shared" si="47"/>
        <v>316</v>
      </c>
      <c r="J1503" t="s">
        <v>22</v>
      </c>
      <c r="K1503">
        <v>4</v>
      </c>
      <c r="L1503" t="e">
        <f t="array" ref="L1503">VLOOKUP(J1503:$J$3871&amp;K1503:$K$3871,CHOOSE({1,2},#REF!&amp;#REF!,#REF!),2,0)</f>
        <v>#N/A</v>
      </c>
      <c r="M1503">
        <v>0</v>
      </c>
      <c r="N1503">
        <v>1</v>
      </c>
      <c r="O1503" t="s">
        <v>23</v>
      </c>
      <c r="P1503">
        <v>0</v>
      </c>
      <c r="Q1503">
        <v>1</v>
      </c>
      <c r="R1503">
        <v>0</v>
      </c>
      <c r="S1503">
        <v>1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 t="s">
        <v>4052</v>
      </c>
      <c r="AB1503" t="s">
        <v>6628</v>
      </c>
      <c r="AC1503" t="s">
        <v>4052</v>
      </c>
      <c r="AD1503" t="e">
        <f>VLOOKUP(AB1503,#REF!,2,FALSE)</f>
        <v>#REF!</v>
      </c>
      <c r="AE1503" t="e">
        <f>RIGHT(#REF!,(FIND("Complex",#REF!,1)-6))</f>
        <v>#REF!</v>
      </c>
    </row>
    <row r="1504" spans="1:31" x14ac:dyDescent="0.25">
      <c r="A1504">
        <v>2170</v>
      </c>
      <c r="B1504" t="s">
        <v>252</v>
      </c>
      <c r="C1504">
        <v>48</v>
      </c>
      <c r="D1504">
        <v>665</v>
      </c>
      <c r="E1504">
        <v>2170</v>
      </c>
      <c r="F1504">
        <v>13759201</v>
      </c>
      <c r="G1504">
        <v>13847400</v>
      </c>
      <c r="H1504">
        <f t="shared" si="46"/>
        <v>312.00002267573694</v>
      </c>
      <c r="I1504">
        <f t="shared" si="47"/>
        <v>314</v>
      </c>
      <c r="J1504" t="s">
        <v>22</v>
      </c>
      <c r="K1504">
        <v>4</v>
      </c>
      <c r="L1504" t="e">
        <f t="array" ref="L1504">VLOOKUP(J1504:$J$3871&amp;K1504:$K$3871,CHOOSE({1,2},#REF!&amp;#REF!,#REF!),2,0)</f>
        <v>#N/A</v>
      </c>
      <c r="M1504">
        <v>0</v>
      </c>
      <c r="N1504">
        <v>1</v>
      </c>
      <c r="O1504" t="s">
        <v>23</v>
      </c>
      <c r="P1504">
        <v>0</v>
      </c>
      <c r="Q1504">
        <v>1</v>
      </c>
      <c r="R1504">
        <v>0</v>
      </c>
      <c r="S1504">
        <v>1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 t="s">
        <v>4054</v>
      </c>
      <c r="AB1504" t="s">
        <v>6630</v>
      </c>
      <c r="AC1504" t="s">
        <v>4054</v>
      </c>
      <c r="AD1504" t="e">
        <f>VLOOKUP(AB1504,#REF!,2,FALSE)</f>
        <v>#REF!</v>
      </c>
      <c r="AE1504" t="e">
        <f>RIGHT(#REF!,(FIND("Complex",#REF!,1)-7))</f>
        <v>#REF!</v>
      </c>
    </row>
    <row r="1505" spans="1:31" x14ac:dyDescent="0.25">
      <c r="A1505">
        <v>758</v>
      </c>
      <c r="B1505" t="s">
        <v>252</v>
      </c>
      <c r="C1505">
        <v>48</v>
      </c>
      <c r="D1505">
        <v>233</v>
      </c>
      <c r="E1505">
        <v>758</v>
      </c>
      <c r="F1505">
        <v>13582801</v>
      </c>
      <c r="G1505">
        <v>13671000</v>
      </c>
      <c r="H1505">
        <f t="shared" si="46"/>
        <v>308.00002267573694</v>
      </c>
      <c r="I1505">
        <f t="shared" si="47"/>
        <v>310</v>
      </c>
      <c r="J1505" t="s">
        <v>22</v>
      </c>
      <c r="K1505">
        <v>4</v>
      </c>
      <c r="L1505" t="e">
        <f t="array" ref="L1505">VLOOKUP(J1505:$J$3871&amp;K1505:$K$3871,CHOOSE({1,2},#REF!&amp;#REF!,#REF!),2,0)</f>
        <v>#N/A</v>
      </c>
      <c r="M1505">
        <v>0</v>
      </c>
      <c r="N1505">
        <v>1</v>
      </c>
      <c r="O1505" t="s">
        <v>23</v>
      </c>
      <c r="P1505">
        <v>0</v>
      </c>
      <c r="Q1505">
        <v>1</v>
      </c>
      <c r="R1505">
        <v>0</v>
      </c>
      <c r="S1505">
        <v>1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A1505" t="s">
        <v>4056</v>
      </c>
      <c r="AB1505" t="s">
        <v>6631</v>
      </c>
      <c r="AC1505" t="s">
        <v>4056</v>
      </c>
      <c r="AD1505" t="e">
        <f>VLOOKUP(AB1505,#REF!,2,FALSE)</f>
        <v>#REF!</v>
      </c>
      <c r="AE1505" t="e">
        <f>RIGHT(#REF!,(FIND("Complex",#REF!,1)-6))</f>
        <v>#REF!</v>
      </c>
    </row>
    <row r="1506" spans="1:31" x14ac:dyDescent="0.25">
      <c r="A1506">
        <v>673</v>
      </c>
      <c r="B1506" t="s">
        <v>252</v>
      </c>
      <c r="C1506">
        <v>48</v>
      </c>
      <c r="D1506">
        <v>210</v>
      </c>
      <c r="E1506">
        <v>673</v>
      </c>
      <c r="F1506">
        <v>13318201</v>
      </c>
      <c r="G1506">
        <v>13406400</v>
      </c>
      <c r="H1506">
        <f t="shared" si="46"/>
        <v>302.00002267573694</v>
      </c>
      <c r="I1506">
        <f t="shared" si="47"/>
        <v>304</v>
      </c>
      <c r="J1506" t="s">
        <v>22</v>
      </c>
      <c r="K1506">
        <v>4</v>
      </c>
      <c r="L1506" t="e">
        <f t="array" ref="L1506">VLOOKUP(J1506:$J$3871&amp;K1506:$K$3871,CHOOSE({1,2},#REF!&amp;#REF!,#REF!),2,0)</f>
        <v>#N/A</v>
      </c>
      <c r="M1506">
        <v>0</v>
      </c>
      <c r="N1506">
        <v>1</v>
      </c>
      <c r="O1506" t="s">
        <v>23</v>
      </c>
      <c r="P1506">
        <v>0</v>
      </c>
      <c r="Q1506">
        <v>1</v>
      </c>
      <c r="R1506">
        <v>0</v>
      </c>
      <c r="S1506">
        <v>1</v>
      </c>
      <c r="T1506">
        <v>0</v>
      </c>
      <c r="U1506">
        <v>1</v>
      </c>
      <c r="V1506">
        <v>0</v>
      </c>
      <c r="W1506">
        <v>0</v>
      </c>
      <c r="X1506">
        <v>1</v>
      </c>
      <c r="Y1506">
        <v>0</v>
      </c>
      <c r="Z1506">
        <v>0</v>
      </c>
      <c r="AA1506" t="s">
        <v>4058</v>
      </c>
      <c r="AB1506" t="s">
        <v>6633</v>
      </c>
      <c r="AC1506" t="s">
        <v>4058</v>
      </c>
      <c r="AD1506" t="e">
        <f>VLOOKUP(AB1506,#REF!,2,FALSE)</f>
        <v>#REF!</v>
      </c>
      <c r="AE1506" t="e">
        <f>RIGHT(#REF!,(FIND("Complex",#REF!,1)-6))</f>
        <v>#REF!</v>
      </c>
    </row>
    <row r="1507" spans="1:31" x14ac:dyDescent="0.25">
      <c r="A1507">
        <v>2513</v>
      </c>
      <c r="B1507" t="s">
        <v>252</v>
      </c>
      <c r="C1507">
        <v>48</v>
      </c>
      <c r="D1507">
        <v>816</v>
      </c>
      <c r="E1507">
        <v>2513</v>
      </c>
      <c r="F1507">
        <v>13230001</v>
      </c>
      <c r="G1507">
        <v>13318200</v>
      </c>
      <c r="H1507">
        <f t="shared" si="46"/>
        <v>300.00002267573694</v>
      </c>
      <c r="I1507">
        <f t="shared" si="47"/>
        <v>302</v>
      </c>
      <c r="J1507" t="s">
        <v>22</v>
      </c>
      <c r="K1507">
        <v>4</v>
      </c>
      <c r="L1507" t="e">
        <f t="array" ref="L1507">VLOOKUP(J1507:$J$3871&amp;K1507:$K$3871,CHOOSE({1,2},#REF!&amp;#REF!,#REF!),2,0)</f>
        <v>#N/A</v>
      </c>
      <c r="M1507">
        <v>0</v>
      </c>
      <c r="N1507">
        <v>1</v>
      </c>
      <c r="O1507" t="s">
        <v>23</v>
      </c>
      <c r="P1507">
        <v>0</v>
      </c>
      <c r="Q1507">
        <v>1</v>
      </c>
      <c r="R1507">
        <v>0</v>
      </c>
      <c r="S1507">
        <v>1</v>
      </c>
      <c r="T1507">
        <v>0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0</v>
      </c>
      <c r="AA1507" t="s">
        <v>4059</v>
      </c>
      <c r="AB1507" t="s">
        <v>6634</v>
      </c>
      <c r="AC1507" t="s">
        <v>4059</v>
      </c>
      <c r="AD1507" t="e">
        <f>VLOOKUP(AB1507,#REF!,2,FALSE)</f>
        <v>#REF!</v>
      </c>
      <c r="AE1507" t="e">
        <f>RIGHT(#REF!,(FIND("Complex",#REF!,1)-7))</f>
        <v>#REF!</v>
      </c>
    </row>
    <row r="1508" spans="1:31" x14ac:dyDescent="0.25">
      <c r="A1508">
        <v>1032</v>
      </c>
      <c r="B1508" t="s">
        <v>252</v>
      </c>
      <c r="C1508">
        <v>48</v>
      </c>
      <c r="D1508">
        <v>310</v>
      </c>
      <c r="E1508">
        <v>1032</v>
      </c>
      <c r="F1508">
        <v>13053601</v>
      </c>
      <c r="G1508">
        <v>13141800</v>
      </c>
      <c r="H1508">
        <f t="shared" si="46"/>
        <v>296.00002267573694</v>
      </c>
      <c r="I1508">
        <f t="shared" si="47"/>
        <v>298</v>
      </c>
      <c r="J1508" t="s">
        <v>22</v>
      </c>
      <c r="K1508">
        <v>4</v>
      </c>
      <c r="L1508" t="e">
        <f t="array" ref="L1508">VLOOKUP(J1508:$J$3871&amp;K1508:$K$3871,CHOOSE({1,2},#REF!&amp;#REF!,#REF!),2,0)</f>
        <v>#N/A</v>
      </c>
      <c r="M1508">
        <v>0</v>
      </c>
      <c r="N1508">
        <v>1</v>
      </c>
      <c r="O1508" t="s">
        <v>23</v>
      </c>
      <c r="P1508">
        <v>0</v>
      </c>
      <c r="Q1508">
        <v>1</v>
      </c>
      <c r="R1508">
        <v>0</v>
      </c>
      <c r="S1508">
        <v>1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0</v>
      </c>
      <c r="AA1508" t="s">
        <v>4071</v>
      </c>
      <c r="AB1508" t="s">
        <v>1282</v>
      </c>
      <c r="AC1508" t="s">
        <v>4071</v>
      </c>
      <c r="AD1508" t="e">
        <f>VLOOKUP(AB1508,#REF!,2,FALSE)</f>
        <v>#REF!</v>
      </c>
      <c r="AE1508" t="e">
        <f>RIGHT(#REF!,(FIND("Complex",#REF!,1)-7))</f>
        <v>#REF!</v>
      </c>
    </row>
    <row r="1509" spans="1:31" x14ac:dyDescent="0.25">
      <c r="A1509">
        <v>288</v>
      </c>
      <c r="B1509" t="s">
        <v>252</v>
      </c>
      <c r="C1509">
        <v>48</v>
      </c>
      <c r="D1509">
        <v>88</v>
      </c>
      <c r="E1509">
        <v>288</v>
      </c>
      <c r="F1509">
        <v>12612601</v>
      </c>
      <c r="G1509">
        <v>12700800</v>
      </c>
      <c r="H1509">
        <f t="shared" si="46"/>
        <v>286.00002267573694</v>
      </c>
      <c r="I1509">
        <f t="shared" si="47"/>
        <v>288</v>
      </c>
      <c r="J1509" t="s">
        <v>22</v>
      </c>
      <c r="K1509">
        <v>4</v>
      </c>
      <c r="L1509" t="e">
        <f t="array" ref="L1509">VLOOKUP(J1509:$J$3871&amp;K1509:$K$3871,CHOOSE({1,2},#REF!&amp;#REF!,#REF!),2,0)</f>
        <v>#N/A</v>
      </c>
      <c r="M1509">
        <v>0</v>
      </c>
      <c r="N1509">
        <v>1</v>
      </c>
      <c r="O1509" t="s">
        <v>23</v>
      </c>
      <c r="P1509">
        <v>0</v>
      </c>
      <c r="Q1509">
        <v>1</v>
      </c>
      <c r="R1509">
        <v>0</v>
      </c>
      <c r="S1509">
        <v>1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0</v>
      </c>
      <c r="AA1509" t="s">
        <v>4078</v>
      </c>
      <c r="AB1509" t="s">
        <v>6646</v>
      </c>
      <c r="AC1509" t="s">
        <v>4078</v>
      </c>
      <c r="AD1509" t="e">
        <f>VLOOKUP(AB1509,#REF!,2,FALSE)</f>
        <v>#REF!</v>
      </c>
      <c r="AE1509" t="e">
        <f>RIGHT(#REF!,(FIND("Complex",#REF!,1)-6))</f>
        <v>#REF!</v>
      </c>
    </row>
    <row r="1510" spans="1:31" x14ac:dyDescent="0.25">
      <c r="A1510">
        <v>2150</v>
      </c>
      <c r="B1510" t="s">
        <v>252</v>
      </c>
      <c r="C1510">
        <v>48</v>
      </c>
      <c r="D1510">
        <v>657</v>
      </c>
      <c r="E1510">
        <v>2150</v>
      </c>
      <c r="F1510">
        <v>12436201</v>
      </c>
      <c r="G1510">
        <v>12524400</v>
      </c>
      <c r="H1510">
        <f t="shared" si="46"/>
        <v>282.00002267573694</v>
      </c>
      <c r="I1510">
        <f t="shared" si="47"/>
        <v>284</v>
      </c>
      <c r="J1510" t="s">
        <v>22</v>
      </c>
      <c r="K1510">
        <v>4</v>
      </c>
      <c r="L1510" t="e">
        <f t="array" ref="L1510">VLOOKUP(J1510:$J$3871&amp;K1510:$K$3871,CHOOSE({1,2},#REF!&amp;#REF!,#REF!),2,0)</f>
        <v>#N/A</v>
      </c>
      <c r="M1510">
        <v>0</v>
      </c>
      <c r="N1510">
        <v>1</v>
      </c>
      <c r="O1510" t="s">
        <v>23</v>
      </c>
      <c r="P1510">
        <v>0</v>
      </c>
      <c r="Q1510">
        <v>1</v>
      </c>
      <c r="R1510">
        <v>0</v>
      </c>
      <c r="S1510">
        <v>1</v>
      </c>
      <c r="T1510">
        <v>0</v>
      </c>
      <c r="U1510">
        <v>1</v>
      </c>
      <c r="V1510">
        <v>0</v>
      </c>
      <c r="W1510">
        <v>0</v>
      </c>
      <c r="X1510">
        <v>1</v>
      </c>
      <c r="Y1510">
        <v>0</v>
      </c>
      <c r="Z1510">
        <v>0</v>
      </c>
      <c r="AA1510" t="s">
        <v>4086</v>
      </c>
      <c r="AB1510" t="s">
        <v>6653</v>
      </c>
      <c r="AC1510" t="s">
        <v>4086</v>
      </c>
      <c r="AD1510" t="e">
        <f>VLOOKUP(AB1510,#REF!,2,FALSE)</f>
        <v>#REF!</v>
      </c>
      <c r="AE1510" t="e">
        <f>RIGHT(#REF!,(FIND("Complex",#REF!,1)-7))</f>
        <v>#REF!</v>
      </c>
    </row>
    <row r="1511" spans="1:31" x14ac:dyDescent="0.25">
      <c r="A1511">
        <v>1056</v>
      </c>
      <c r="B1511" t="s">
        <v>252</v>
      </c>
      <c r="C1511">
        <v>48</v>
      </c>
      <c r="D1511">
        <v>316</v>
      </c>
      <c r="E1511">
        <v>1056</v>
      </c>
      <c r="F1511">
        <v>12348001</v>
      </c>
      <c r="G1511">
        <v>12436200</v>
      </c>
      <c r="H1511">
        <f t="shared" si="46"/>
        <v>280.00002267573694</v>
      </c>
      <c r="I1511">
        <f t="shared" si="47"/>
        <v>282</v>
      </c>
      <c r="J1511" t="s">
        <v>22</v>
      </c>
      <c r="K1511">
        <v>4</v>
      </c>
      <c r="L1511" t="e">
        <f t="array" ref="L1511">VLOOKUP(J1511:$J$3871&amp;K1511:$K$3871,CHOOSE({1,2},#REF!&amp;#REF!,#REF!),2,0)</f>
        <v>#N/A</v>
      </c>
      <c r="M1511">
        <v>0</v>
      </c>
      <c r="N1511">
        <v>1</v>
      </c>
      <c r="O1511" t="s">
        <v>23</v>
      </c>
      <c r="P1511">
        <v>0</v>
      </c>
      <c r="Q1511">
        <v>1</v>
      </c>
      <c r="R1511">
        <v>0</v>
      </c>
      <c r="S1511">
        <v>1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 t="s">
        <v>4091</v>
      </c>
      <c r="AB1511" t="s">
        <v>6658</v>
      </c>
      <c r="AC1511" t="s">
        <v>4091</v>
      </c>
      <c r="AD1511" t="e">
        <f>VLOOKUP(AB1511,#REF!,2,FALSE)</f>
        <v>#REF!</v>
      </c>
      <c r="AE1511" t="e">
        <f>RIGHT(#REF!,(FIND("Complex",#REF!,1)-7))</f>
        <v>#REF!</v>
      </c>
    </row>
    <row r="1512" spans="1:31" x14ac:dyDescent="0.25">
      <c r="A1512">
        <v>68</v>
      </c>
      <c r="B1512" t="s">
        <v>252</v>
      </c>
      <c r="C1512">
        <v>48</v>
      </c>
      <c r="D1512">
        <v>20</v>
      </c>
      <c r="E1512">
        <v>68</v>
      </c>
      <c r="F1512">
        <v>1058401</v>
      </c>
      <c r="G1512">
        <v>1146600</v>
      </c>
      <c r="H1512">
        <f t="shared" si="46"/>
        <v>24.000022675736961</v>
      </c>
      <c r="I1512">
        <f t="shared" si="47"/>
        <v>26</v>
      </c>
      <c r="J1512" t="s">
        <v>22</v>
      </c>
      <c r="K1512">
        <v>4</v>
      </c>
      <c r="L1512" t="e">
        <f t="array" ref="L1512">VLOOKUP(J1512:$J$3871&amp;K1512:$K$3871,CHOOSE({1,2},#REF!&amp;#REF!,#REF!),2,0)</f>
        <v>#N/A</v>
      </c>
      <c r="M1512">
        <v>0</v>
      </c>
      <c r="N1512">
        <v>1</v>
      </c>
      <c r="O1512" t="s">
        <v>23</v>
      </c>
      <c r="P1512">
        <v>0</v>
      </c>
      <c r="Q1512">
        <v>1</v>
      </c>
      <c r="R1512">
        <v>0</v>
      </c>
      <c r="S1512">
        <v>1</v>
      </c>
      <c r="T1512">
        <v>0</v>
      </c>
      <c r="U1512">
        <v>1</v>
      </c>
      <c r="V1512">
        <v>0</v>
      </c>
      <c r="W1512">
        <v>0</v>
      </c>
      <c r="X1512">
        <v>1</v>
      </c>
      <c r="Y1512">
        <v>0</v>
      </c>
      <c r="Z1512">
        <v>0</v>
      </c>
      <c r="AA1512" t="s">
        <v>4191</v>
      </c>
      <c r="AB1512" t="s">
        <v>6730</v>
      </c>
      <c r="AC1512" t="s">
        <v>4191</v>
      </c>
      <c r="AD1512" t="e">
        <f>VLOOKUP(AB1512,#REF!,2,FALSE)</f>
        <v>#REF!</v>
      </c>
      <c r="AE1512" t="e">
        <f>RIGHT(#REF!,(FIND("Complex",#REF!,1)-6))</f>
        <v>#REF!</v>
      </c>
    </row>
    <row r="1513" spans="1:31" x14ac:dyDescent="0.25">
      <c r="A1513">
        <v>2616</v>
      </c>
      <c r="B1513" t="s">
        <v>252</v>
      </c>
      <c r="C1513">
        <v>48</v>
      </c>
      <c r="D1513">
        <v>863</v>
      </c>
      <c r="E1513">
        <v>2616</v>
      </c>
      <c r="F1513">
        <v>970201</v>
      </c>
      <c r="G1513">
        <v>1058400</v>
      </c>
      <c r="H1513">
        <f t="shared" si="46"/>
        <v>22.000022675736961</v>
      </c>
      <c r="I1513">
        <f t="shared" si="47"/>
        <v>24</v>
      </c>
      <c r="J1513" t="s">
        <v>22</v>
      </c>
      <c r="K1513">
        <v>4</v>
      </c>
      <c r="L1513" t="e">
        <f t="array" ref="L1513">VLOOKUP(J1513:$J$3871&amp;K1513:$K$3871,CHOOSE({1,2},#REF!&amp;#REF!,#REF!),2,0)</f>
        <v>#N/A</v>
      </c>
      <c r="M1513">
        <v>0</v>
      </c>
      <c r="N1513">
        <v>1</v>
      </c>
      <c r="O1513" t="s">
        <v>23</v>
      </c>
      <c r="P1513">
        <v>0</v>
      </c>
      <c r="Q1513">
        <v>1</v>
      </c>
      <c r="R1513">
        <v>0</v>
      </c>
      <c r="S1513">
        <v>1</v>
      </c>
      <c r="T1513">
        <v>0</v>
      </c>
      <c r="U1513">
        <v>1</v>
      </c>
      <c r="V1513">
        <v>0</v>
      </c>
      <c r="W1513">
        <v>0</v>
      </c>
      <c r="X1513">
        <v>1</v>
      </c>
      <c r="Y1513">
        <v>0</v>
      </c>
      <c r="Z1513">
        <v>0</v>
      </c>
      <c r="AA1513" t="s">
        <v>4249</v>
      </c>
      <c r="AB1513" t="s">
        <v>6769</v>
      </c>
      <c r="AC1513" t="s">
        <v>4249</v>
      </c>
      <c r="AD1513" t="e">
        <f>VLOOKUP(AB1513,#REF!,2,FALSE)</f>
        <v>#REF!</v>
      </c>
      <c r="AE1513" t="e">
        <f>RIGHT(#REF!,(FIND("Complex",#REF!,1)-8))</f>
        <v>#REF!</v>
      </c>
    </row>
    <row r="1514" spans="1:31" x14ac:dyDescent="0.25">
      <c r="A1514">
        <v>2358</v>
      </c>
      <c r="B1514" t="s">
        <v>252</v>
      </c>
      <c r="C1514">
        <v>48</v>
      </c>
      <c r="D1514">
        <v>750</v>
      </c>
      <c r="E1514">
        <v>2358</v>
      </c>
      <c r="F1514">
        <v>9261001</v>
      </c>
      <c r="G1514">
        <v>9349200</v>
      </c>
      <c r="H1514">
        <f t="shared" si="46"/>
        <v>210.00002267573697</v>
      </c>
      <c r="I1514">
        <f t="shared" si="47"/>
        <v>212</v>
      </c>
      <c r="J1514" t="s">
        <v>22</v>
      </c>
      <c r="K1514">
        <v>4</v>
      </c>
      <c r="L1514" t="e">
        <f t="array" ref="L1514">VLOOKUP(J1514:$J$3871&amp;K1514:$K$3871,CHOOSE({1,2},#REF!&amp;#REF!,#REF!),2,0)</f>
        <v>#N/A</v>
      </c>
      <c r="M1514">
        <v>0</v>
      </c>
      <c r="N1514">
        <v>1</v>
      </c>
      <c r="O1514" t="s">
        <v>23</v>
      </c>
      <c r="P1514">
        <v>0</v>
      </c>
      <c r="Q1514">
        <v>1</v>
      </c>
      <c r="R1514">
        <v>0</v>
      </c>
      <c r="S1514">
        <v>1</v>
      </c>
      <c r="T1514">
        <v>0</v>
      </c>
      <c r="U1514">
        <v>1</v>
      </c>
      <c r="V1514">
        <v>0</v>
      </c>
      <c r="W1514">
        <v>0</v>
      </c>
      <c r="X1514">
        <v>1</v>
      </c>
      <c r="Y1514">
        <v>0</v>
      </c>
      <c r="Z1514">
        <v>0</v>
      </c>
      <c r="AA1514" t="s">
        <v>4272</v>
      </c>
      <c r="AB1514" t="s">
        <v>6782</v>
      </c>
      <c r="AC1514" t="s">
        <v>4272</v>
      </c>
      <c r="AD1514" t="e">
        <f>VLOOKUP(AB1514,#REF!,2,FALSE)</f>
        <v>#REF!</v>
      </c>
      <c r="AE1514" t="e">
        <f>RIGHT(#REF!,(FIND("Complex",#REF!,1)-7))</f>
        <v>#REF!</v>
      </c>
    </row>
    <row r="1515" spans="1:31" x14ac:dyDescent="0.25">
      <c r="A1515">
        <v>2438</v>
      </c>
      <c r="B1515" t="s">
        <v>252</v>
      </c>
      <c r="C1515">
        <v>48</v>
      </c>
      <c r="D1515">
        <v>784</v>
      </c>
      <c r="E1515">
        <v>2438</v>
      </c>
      <c r="F1515">
        <v>9172801</v>
      </c>
      <c r="G1515">
        <v>9261000</v>
      </c>
      <c r="H1515">
        <f t="shared" si="46"/>
        <v>208.00002267573697</v>
      </c>
      <c r="I1515">
        <f t="shared" si="47"/>
        <v>210</v>
      </c>
      <c r="J1515" t="s">
        <v>22</v>
      </c>
      <c r="K1515">
        <v>4</v>
      </c>
      <c r="L1515" t="e">
        <f t="array" ref="L1515">VLOOKUP(J1515:$J$3871&amp;K1515:$K$3871,CHOOSE({1,2},#REF!&amp;#REF!,#REF!),2,0)</f>
        <v>#N/A</v>
      </c>
      <c r="M1515">
        <v>0</v>
      </c>
      <c r="N1515">
        <v>1</v>
      </c>
      <c r="O1515" t="s">
        <v>23</v>
      </c>
      <c r="P1515">
        <v>0</v>
      </c>
      <c r="Q1515">
        <v>1</v>
      </c>
      <c r="R1515">
        <v>0</v>
      </c>
      <c r="S1515">
        <v>1</v>
      </c>
      <c r="T1515">
        <v>0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 t="s">
        <v>4277</v>
      </c>
      <c r="AB1515" t="s">
        <v>6787</v>
      </c>
      <c r="AC1515" t="s">
        <v>4277</v>
      </c>
      <c r="AD1515" t="e">
        <f>VLOOKUP(AB1515,#REF!,2,FALSE)</f>
        <v>#REF!</v>
      </c>
      <c r="AE1515" t="e">
        <f>RIGHT(#REF!,(FIND("Complex",#REF!,1)-7))</f>
        <v>#REF!</v>
      </c>
    </row>
    <row r="1516" spans="1:31" x14ac:dyDescent="0.25">
      <c r="A1516">
        <v>1511</v>
      </c>
      <c r="B1516" t="s">
        <v>252</v>
      </c>
      <c r="C1516">
        <v>48</v>
      </c>
      <c r="D1516">
        <v>461</v>
      </c>
      <c r="E1516">
        <v>1511</v>
      </c>
      <c r="F1516">
        <v>8731801</v>
      </c>
      <c r="G1516">
        <v>8820000</v>
      </c>
      <c r="H1516">
        <f t="shared" si="46"/>
        <v>198.00002267573697</v>
      </c>
      <c r="I1516">
        <f t="shared" si="47"/>
        <v>200</v>
      </c>
      <c r="J1516" t="s">
        <v>22</v>
      </c>
      <c r="K1516">
        <v>4</v>
      </c>
      <c r="L1516" t="e">
        <f t="array" ref="L1516">VLOOKUP(J1516:$J$3871&amp;K1516:$K$3871,CHOOSE({1,2},#REF!&amp;#REF!,#REF!),2,0)</f>
        <v>#N/A</v>
      </c>
      <c r="M1516">
        <v>0</v>
      </c>
      <c r="N1516">
        <v>1</v>
      </c>
      <c r="O1516" t="s">
        <v>23</v>
      </c>
      <c r="P1516">
        <v>0</v>
      </c>
      <c r="Q1516">
        <v>1</v>
      </c>
      <c r="R1516">
        <v>0</v>
      </c>
      <c r="S1516">
        <v>1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  <c r="AA1516" t="s">
        <v>4340</v>
      </c>
      <c r="AB1516" t="s">
        <v>6818</v>
      </c>
      <c r="AC1516" t="s">
        <v>4340</v>
      </c>
      <c r="AD1516" t="e">
        <f>VLOOKUP(AB1516,#REF!,2,FALSE)</f>
        <v>#REF!</v>
      </c>
      <c r="AE1516" t="e">
        <f>RIGHT(#REF!,(FIND("Complex",#REF!,1)-7))</f>
        <v>#REF!</v>
      </c>
    </row>
    <row r="1517" spans="1:31" x14ac:dyDescent="0.25">
      <c r="A1517">
        <v>1248</v>
      </c>
      <c r="B1517" t="s">
        <v>252</v>
      </c>
      <c r="C1517">
        <v>48</v>
      </c>
      <c r="D1517">
        <v>376</v>
      </c>
      <c r="E1517">
        <v>1248</v>
      </c>
      <c r="F1517">
        <v>8467201</v>
      </c>
      <c r="G1517">
        <v>8555400</v>
      </c>
      <c r="H1517">
        <f t="shared" si="46"/>
        <v>192.00002267573697</v>
      </c>
      <c r="I1517">
        <f t="shared" si="47"/>
        <v>194</v>
      </c>
      <c r="J1517" t="s">
        <v>22</v>
      </c>
      <c r="K1517">
        <v>4</v>
      </c>
      <c r="L1517" t="e">
        <f t="array" ref="L1517">VLOOKUP(J1517:$J$3871&amp;K1517:$K$3871,CHOOSE({1,2},#REF!&amp;#REF!,#REF!),2,0)</f>
        <v>#N/A</v>
      </c>
      <c r="M1517">
        <v>0</v>
      </c>
      <c r="N1517">
        <v>1</v>
      </c>
      <c r="O1517" t="s">
        <v>23</v>
      </c>
      <c r="P1517">
        <v>0</v>
      </c>
      <c r="Q1517">
        <v>1</v>
      </c>
      <c r="R1517">
        <v>0</v>
      </c>
      <c r="S1517">
        <v>1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0</v>
      </c>
      <c r="Z1517">
        <v>0</v>
      </c>
      <c r="AA1517" t="s">
        <v>4362</v>
      </c>
      <c r="AB1517" t="s">
        <v>6835</v>
      </c>
      <c r="AC1517" t="s">
        <v>4362</v>
      </c>
      <c r="AD1517" t="e">
        <f>VLOOKUP(AB1517,#REF!,2,FALSE)</f>
        <v>#REF!</v>
      </c>
      <c r="AE1517" t="e">
        <f>RIGHT(#REF!,(FIND("Complex",#REF!,1)-7))</f>
        <v>#REF!</v>
      </c>
    </row>
    <row r="1518" spans="1:31" x14ac:dyDescent="0.25">
      <c r="A1518">
        <v>2386</v>
      </c>
      <c r="B1518" t="s">
        <v>252</v>
      </c>
      <c r="C1518">
        <v>48</v>
      </c>
      <c r="D1518">
        <v>760</v>
      </c>
      <c r="E1518">
        <v>2386</v>
      </c>
      <c r="F1518">
        <v>8202601</v>
      </c>
      <c r="G1518">
        <v>8290800</v>
      </c>
      <c r="H1518">
        <f t="shared" si="46"/>
        <v>186.00002267573697</v>
      </c>
      <c r="I1518">
        <f t="shared" si="47"/>
        <v>188</v>
      </c>
      <c r="J1518" t="s">
        <v>22</v>
      </c>
      <c r="K1518">
        <v>4</v>
      </c>
      <c r="L1518" t="e">
        <f t="array" ref="L1518">VLOOKUP(J1518:$J$3871&amp;K1518:$K$3871,CHOOSE({1,2},#REF!&amp;#REF!,#REF!),2,0)</f>
        <v>#N/A</v>
      </c>
      <c r="M1518">
        <v>0</v>
      </c>
      <c r="N1518">
        <v>1</v>
      </c>
      <c r="O1518" t="s">
        <v>23</v>
      </c>
      <c r="P1518">
        <v>0</v>
      </c>
      <c r="Q1518">
        <v>1</v>
      </c>
      <c r="R1518">
        <v>0</v>
      </c>
      <c r="S1518">
        <v>1</v>
      </c>
      <c r="T1518">
        <v>0</v>
      </c>
      <c r="U1518">
        <v>1</v>
      </c>
      <c r="V1518">
        <v>0</v>
      </c>
      <c r="W1518">
        <v>0</v>
      </c>
      <c r="X1518">
        <v>1</v>
      </c>
      <c r="Y1518">
        <v>0</v>
      </c>
      <c r="Z1518">
        <v>0</v>
      </c>
      <c r="AA1518" t="s">
        <v>4382</v>
      </c>
      <c r="AB1518" t="s">
        <v>6848</v>
      </c>
      <c r="AC1518" t="s">
        <v>4382</v>
      </c>
      <c r="AD1518" t="e">
        <f>VLOOKUP(AB1518,#REF!,2,FALSE)</f>
        <v>#REF!</v>
      </c>
      <c r="AE1518" t="e">
        <f>RIGHT(#REF!,(FIND("Complex",#REF!,1)-7))</f>
        <v>#REF!</v>
      </c>
    </row>
    <row r="1519" spans="1:31" x14ac:dyDescent="0.25">
      <c r="A1519">
        <v>1886</v>
      </c>
      <c r="B1519" t="s">
        <v>252</v>
      </c>
      <c r="C1519">
        <v>48</v>
      </c>
      <c r="D1519">
        <v>571</v>
      </c>
      <c r="E1519">
        <v>1886</v>
      </c>
      <c r="F1519">
        <v>7585201</v>
      </c>
      <c r="G1519">
        <v>7673400</v>
      </c>
      <c r="H1519">
        <f t="shared" si="46"/>
        <v>172.00002267573697</v>
      </c>
      <c r="I1519">
        <f t="shared" si="47"/>
        <v>174</v>
      </c>
      <c r="J1519" t="s">
        <v>22</v>
      </c>
      <c r="K1519">
        <v>4</v>
      </c>
      <c r="L1519" t="e">
        <f t="array" ref="L1519">VLOOKUP(J1519:$J$3871&amp;K1519:$K$3871,CHOOSE({1,2},#REF!&amp;#REF!,#REF!),2,0)</f>
        <v>#N/A</v>
      </c>
      <c r="M1519">
        <v>0</v>
      </c>
      <c r="N1519">
        <v>1</v>
      </c>
      <c r="O1519" t="s">
        <v>23</v>
      </c>
      <c r="P1519">
        <v>0</v>
      </c>
      <c r="Q1519">
        <v>1</v>
      </c>
      <c r="R1519">
        <v>0</v>
      </c>
      <c r="S1519">
        <v>1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 t="s">
        <v>4432</v>
      </c>
      <c r="AB1519" t="s">
        <v>6878</v>
      </c>
      <c r="AC1519" t="s">
        <v>4432</v>
      </c>
      <c r="AD1519" t="e">
        <f>VLOOKUP(AB1519,#REF!,2,FALSE)</f>
        <v>#REF!</v>
      </c>
      <c r="AE1519" t="e">
        <f>RIGHT(#REF!,(FIND("Complex",#REF!,1)-7))</f>
        <v>#REF!</v>
      </c>
    </row>
    <row r="1520" spans="1:31" x14ac:dyDescent="0.25">
      <c r="A1520">
        <v>1385</v>
      </c>
      <c r="B1520" t="s">
        <v>252</v>
      </c>
      <c r="C1520">
        <v>48</v>
      </c>
      <c r="D1520">
        <v>422</v>
      </c>
      <c r="E1520">
        <v>1385</v>
      </c>
      <c r="F1520">
        <v>705601</v>
      </c>
      <c r="G1520">
        <v>793800</v>
      </c>
      <c r="H1520">
        <f t="shared" si="46"/>
        <v>16.000022675736961</v>
      </c>
      <c r="I1520">
        <f t="shared" si="47"/>
        <v>18</v>
      </c>
      <c r="J1520" t="s">
        <v>22</v>
      </c>
      <c r="K1520">
        <v>4</v>
      </c>
      <c r="L1520" t="e">
        <f t="array" ref="L1520">VLOOKUP(J1520:$J$3871&amp;K1520:$K$3871,CHOOSE({1,2},#REF!&amp;#REF!,#REF!),2,0)</f>
        <v>#N/A</v>
      </c>
      <c r="M1520">
        <v>0</v>
      </c>
      <c r="N1520">
        <v>1</v>
      </c>
      <c r="O1520" t="s">
        <v>23</v>
      </c>
      <c r="P1520">
        <v>0</v>
      </c>
      <c r="Q1520">
        <v>1</v>
      </c>
      <c r="R1520">
        <v>0</v>
      </c>
      <c r="S1520">
        <v>1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 t="s">
        <v>4500</v>
      </c>
      <c r="AB1520" t="s">
        <v>6923</v>
      </c>
      <c r="AC1520" t="s">
        <v>4500</v>
      </c>
      <c r="AD1520" t="e">
        <f>VLOOKUP(AB1520,#REF!,2,FALSE)</f>
        <v>#REF!</v>
      </c>
      <c r="AE1520" t="e">
        <f>RIGHT(#REF!,(FIND("Complex",#REF!,1)-8))</f>
        <v>#REF!</v>
      </c>
    </row>
    <row r="1521" spans="1:31" x14ac:dyDescent="0.25">
      <c r="A1521">
        <v>1934</v>
      </c>
      <c r="B1521" t="s">
        <v>252</v>
      </c>
      <c r="C1521">
        <v>48</v>
      </c>
      <c r="D1521">
        <v>586</v>
      </c>
      <c r="E1521">
        <v>1934</v>
      </c>
      <c r="F1521">
        <v>529201</v>
      </c>
      <c r="G1521">
        <v>617400</v>
      </c>
      <c r="H1521">
        <f t="shared" si="46"/>
        <v>12.000022675736961</v>
      </c>
      <c r="I1521">
        <f t="shared" si="47"/>
        <v>14</v>
      </c>
      <c r="J1521" t="s">
        <v>22</v>
      </c>
      <c r="K1521">
        <v>4</v>
      </c>
      <c r="L1521" t="e">
        <f t="array" ref="L1521">VLOOKUP(J1521:$J$3871&amp;K1521:$K$3871,CHOOSE({1,2},#REF!&amp;#REF!,#REF!),2,0)</f>
        <v>#N/A</v>
      </c>
      <c r="M1521">
        <v>0</v>
      </c>
      <c r="N1521">
        <v>1</v>
      </c>
      <c r="O1521" t="s">
        <v>23</v>
      </c>
      <c r="P1521">
        <v>0</v>
      </c>
      <c r="Q1521">
        <v>1</v>
      </c>
      <c r="R1521">
        <v>0</v>
      </c>
      <c r="S1521">
        <v>1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 t="s">
        <v>4739</v>
      </c>
      <c r="AB1521" t="s">
        <v>7077</v>
      </c>
      <c r="AC1521" t="s">
        <v>4739</v>
      </c>
      <c r="AD1521" t="e">
        <f>VLOOKUP(AB1521,#REF!,2,FALSE)</f>
        <v>#REF!</v>
      </c>
      <c r="AE1521" t="e">
        <f>RIGHT(#REF!,(FIND("Complex",#REF!,1)-8))</f>
        <v>#REF!</v>
      </c>
    </row>
    <row r="1522" spans="1:31" x14ac:dyDescent="0.25">
      <c r="A1522">
        <v>2266</v>
      </c>
      <c r="B1522" t="s">
        <v>252</v>
      </c>
      <c r="C1522">
        <v>48</v>
      </c>
      <c r="D1522">
        <v>706</v>
      </c>
      <c r="E1522">
        <v>2266</v>
      </c>
      <c r="F1522">
        <v>4939201</v>
      </c>
      <c r="G1522">
        <v>5027400</v>
      </c>
      <c r="H1522">
        <f t="shared" si="46"/>
        <v>112.00002267573696</v>
      </c>
      <c r="I1522">
        <f t="shared" si="47"/>
        <v>114</v>
      </c>
      <c r="J1522" t="s">
        <v>22</v>
      </c>
      <c r="K1522">
        <v>4</v>
      </c>
      <c r="L1522" t="e">
        <f t="array" ref="L1522">VLOOKUP(J1522:$J$3871&amp;K1522:$K$3871,CHOOSE({1,2},#REF!&amp;#REF!,#REF!),2,0)</f>
        <v>#N/A</v>
      </c>
      <c r="M1522">
        <v>0</v>
      </c>
      <c r="N1522">
        <v>1</v>
      </c>
      <c r="O1522" t="s">
        <v>23</v>
      </c>
      <c r="P1522">
        <v>1</v>
      </c>
      <c r="Q1522">
        <v>1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 t="s">
        <v>4772</v>
      </c>
      <c r="AB1522" t="s">
        <v>7094</v>
      </c>
      <c r="AC1522" t="s">
        <v>4772</v>
      </c>
      <c r="AD1522" t="e">
        <f>VLOOKUP(AB1522,#REF!,2,FALSE)</f>
        <v>#REF!</v>
      </c>
      <c r="AE1522" t="e">
        <f>RIGHT(#REF!,(FIND("Complex",#REF!,1)-7))</f>
        <v>#REF!</v>
      </c>
    </row>
    <row r="1523" spans="1:31" x14ac:dyDescent="0.25">
      <c r="A1523">
        <v>858</v>
      </c>
      <c r="B1523" t="s">
        <v>252</v>
      </c>
      <c r="C1523">
        <v>48</v>
      </c>
      <c r="D1523">
        <v>259</v>
      </c>
      <c r="E1523">
        <v>858</v>
      </c>
      <c r="F1523">
        <v>4674601</v>
      </c>
      <c r="G1523">
        <v>4762800</v>
      </c>
      <c r="H1523">
        <f t="shared" si="46"/>
        <v>106.00002267573696</v>
      </c>
      <c r="I1523">
        <f t="shared" si="47"/>
        <v>108</v>
      </c>
      <c r="J1523" t="s">
        <v>22</v>
      </c>
      <c r="K1523">
        <v>4</v>
      </c>
      <c r="L1523" t="e">
        <f t="array" ref="L1523">VLOOKUP(J1523:$J$3871&amp;K1523:$K$3871,CHOOSE({1,2},#REF!&amp;#REF!,#REF!),2,0)</f>
        <v>#N/A</v>
      </c>
      <c r="M1523">
        <v>0</v>
      </c>
      <c r="N1523">
        <v>1</v>
      </c>
      <c r="O1523" t="s">
        <v>23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 t="s">
        <v>4803</v>
      </c>
      <c r="AB1523" t="s">
        <v>7109</v>
      </c>
      <c r="AC1523" t="s">
        <v>4803</v>
      </c>
      <c r="AD1523" t="e">
        <f>VLOOKUP(AB1523,#REF!,2,FALSE)</f>
        <v>#REF!</v>
      </c>
      <c r="AE1523" t="e">
        <f>RIGHT(#REF!,(FIND("Complex",#REF!,1)-6))</f>
        <v>#REF!</v>
      </c>
    </row>
    <row r="1524" spans="1:31" x14ac:dyDescent="0.25">
      <c r="A1524">
        <v>1289</v>
      </c>
      <c r="B1524" t="s">
        <v>252</v>
      </c>
      <c r="C1524">
        <v>48</v>
      </c>
      <c r="D1524">
        <v>392</v>
      </c>
      <c r="E1524">
        <v>1289</v>
      </c>
      <c r="F1524">
        <v>4410001</v>
      </c>
      <c r="G1524">
        <v>4498200</v>
      </c>
      <c r="H1524">
        <f t="shared" si="46"/>
        <v>100.00002267573696</v>
      </c>
      <c r="I1524">
        <f t="shared" si="47"/>
        <v>102</v>
      </c>
      <c r="J1524" t="s">
        <v>22</v>
      </c>
      <c r="K1524">
        <v>4</v>
      </c>
      <c r="L1524" t="e">
        <f t="array" ref="L1524">VLOOKUP(J1524:$J$3871&amp;K1524:$K$3871,CHOOSE({1,2},#REF!&amp;#REF!,#REF!),2,0)</f>
        <v>#N/A</v>
      </c>
      <c r="M1524">
        <v>0</v>
      </c>
      <c r="N1524">
        <v>1</v>
      </c>
      <c r="O1524" t="s">
        <v>23</v>
      </c>
      <c r="P1524">
        <v>0</v>
      </c>
      <c r="Q1524">
        <v>1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 t="s">
        <v>4840</v>
      </c>
      <c r="AB1524" t="s">
        <v>7133</v>
      </c>
      <c r="AC1524" t="s">
        <v>4840</v>
      </c>
      <c r="AD1524" t="e">
        <f>VLOOKUP(AB1524,#REF!,2,FALSE)</f>
        <v>#REF!</v>
      </c>
      <c r="AE1524" t="e">
        <f>RIGHT(#REF!,(FIND("Complex",#REF!,1)-7))</f>
        <v>#REF!</v>
      </c>
    </row>
    <row r="1525" spans="1:31" x14ac:dyDescent="0.25">
      <c r="A1525">
        <v>2503</v>
      </c>
      <c r="B1525" t="s">
        <v>24</v>
      </c>
      <c r="C1525">
        <v>49</v>
      </c>
      <c r="D1525">
        <v>810</v>
      </c>
      <c r="E1525">
        <v>2503</v>
      </c>
      <c r="F1525">
        <v>1499401</v>
      </c>
      <c r="G1525">
        <v>1587600</v>
      </c>
      <c r="H1525">
        <f t="shared" si="46"/>
        <v>34.000022675736965</v>
      </c>
      <c r="I1525">
        <f t="shared" si="47"/>
        <v>36</v>
      </c>
      <c r="J1525" t="s">
        <v>22</v>
      </c>
      <c r="K1525">
        <v>4</v>
      </c>
      <c r="L1525" t="e">
        <f t="array" ref="L1525">VLOOKUP(J1525:$J$3871&amp;K1525:$K$3871,CHOOSE({1,2},#REF!&amp;#REF!,#REF!),2,0)</f>
        <v>#N/A</v>
      </c>
      <c r="M1525">
        <v>0</v>
      </c>
      <c r="N1525">
        <v>1</v>
      </c>
      <c r="O1525" t="s">
        <v>23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1</v>
      </c>
      <c r="X1525">
        <v>1</v>
      </c>
      <c r="Y1525">
        <v>0</v>
      </c>
      <c r="Z1525">
        <v>0</v>
      </c>
      <c r="AA1525" t="s">
        <v>4024</v>
      </c>
      <c r="AB1525" t="s">
        <v>6613</v>
      </c>
      <c r="AC1525" t="s">
        <v>4024</v>
      </c>
      <c r="AD1525" t="e">
        <f>VLOOKUP(AB1525,#REF!,2,FALSE)</f>
        <v>#REF!</v>
      </c>
      <c r="AE1525" t="e">
        <f>RIGHT(#REF!,(FIND("Complex",#REF!,1)-8))</f>
        <v>#REF!</v>
      </c>
    </row>
    <row r="1526" spans="1:31" x14ac:dyDescent="0.25">
      <c r="A1526">
        <v>1902</v>
      </c>
      <c r="B1526" t="s">
        <v>24</v>
      </c>
      <c r="C1526">
        <v>49</v>
      </c>
      <c r="D1526">
        <v>577</v>
      </c>
      <c r="E1526">
        <v>1902</v>
      </c>
      <c r="F1526">
        <v>8202601</v>
      </c>
      <c r="G1526">
        <v>8290800</v>
      </c>
      <c r="H1526">
        <f t="shared" si="46"/>
        <v>186.00002267573697</v>
      </c>
      <c r="I1526">
        <f t="shared" si="47"/>
        <v>188</v>
      </c>
      <c r="J1526" t="s">
        <v>22</v>
      </c>
      <c r="K1526">
        <v>4</v>
      </c>
      <c r="L1526" t="e">
        <f t="array" ref="L1526">VLOOKUP(J1526:$J$3871&amp;K1526:$K$3871,CHOOSE({1,2},#REF!&amp;#REF!,#REF!),2,0)</f>
        <v>#N/A</v>
      </c>
      <c r="M1526">
        <v>0</v>
      </c>
      <c r="N1526">
        <v>1</v>
      </c>
      <c r="O1526" t="s">
        <v>23</v>
      </c>
      <c r="P1526">
        <v>0</v>
      </c>
      <c r="Q1526">
        <v>1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1</v>
      </c>
      <c r="X1526">
        <v>1</v>
      </c>
      <c r="Y1526">
        <v>0</v>
      </c>
      <c r="Z1526">
        <v>0</v>
      </c>
      <c r="AA1526" t="s">
        <v>4381</v>
      </c>
      <c r="AB1526" t="s">
        <v>1305</v>
      </c>
      <c r="AC1526" t="s">
        <v>4381</v>
      </c>
      <c r="AD1526" t="e">
        <f>VLOOKUP(AB1526,#REF!,2,FALSE)</f>
        <v>#REF!</v>
      </c>
      <c r="AE1526" t="e">
        <f>RIGHT(#REF!,(FIND("Complex",#REF!,1)-7))</f>
        <v>#REF!</v>
      </c>
    </row>
    <row r="1527" spans="1:31" x14ac:dyDescent="0.25">
      <c r="A1527">
        <v>1504</v>
      </c>
      <c r="B1527" t="s">
        <v>24</v>
      </c>
      <c r="C1527">
        <v>49</v>
      </c>
      <c r="D1527">
        <v>459</v>
      </c>
      <c r="E1527">
        <v>1504</v>
      </c>
      <c r="F1527">
        <v>8026201</v>
      </c>
      <c r="G1527">
        <v>8114400</v>
      </c>
      <c r="H1527">
        <f t="shared" si="46"/>
        <v>182.00002267573697</v>
      </c>
      <c r="I1527">
        <f t="shared" si="47"/>
        <v>184</v>
      </c>
      <c r="J1527" t="s">
        <v>22</v>
      </c>
      <c r="K1527">
        <v>4</v>
      </c>
      <c r="L1527" t="e">
        <f t="array" ref="L1527">VLOOKUP(J1527:$J$3871&amp;K1527:$K$3871,CHOOSE({1,2},#REF!&amp;#REF!,#REF!),2,0)</f>
        <v>#N/A</v>
      </c>
      <c r="M1527">
        <v>0</v>
      </c>
      <c r="N1527">
        <v>1</v>
      </c>
      <c r="O1527" t="s">
        <v>23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1</v>
      </c>
      <c r="X1527">
        <v>1</v>
      </c>
      <c r="Y1527">
        <v>0</v>
      </c>
      <c r="Z1527">
        <v>0</v>
      </c>
      <c r="AA1527" t="s">
        <v>4391</v>
      </c>
      <c r="AB1527" t="s">
        <v>6855</v>
      </c>
      <c r="AC1527" t="s">
        <v>4391</v>
      </c>
      <c r="AD1527" t="e">
        <f>VLOOKUP(AB1527,#REF!,2,FALSE)</f>
        <v>#REF!</v>
      </c>
      <c r="AE1527" t="e">
        <f>RIGHT(#REF!,(FIND("Complex",#REF!,1)-7))</f>
        <v>#REF!</v>
      </c>
    </row>
    <row r="1528" spans="1:31" x14ac:dyDescent="0.25">
      <c r="A1528">
        <v>848</v>
      </c>
      <c r="B1528" t="s">
        <v>27</v>
      </c>
      <c r="C1528">
        <v>52</v>
      </c>
      <c r="D1528">
        <v>257</v>
      </c>
      <c r="E1528">
        <v>848</v>
      </c>
      <c r="F1528">
        <v>15258601</v>
      </c>
      <c r="G1528">
        <v>15346800</v>
      </c>
      <c r="H1528">
        <f t="shared" si="46"/>
        <v>346.00002267573694</v>
      </c>
      <c r="I1528">
        <f t="shared" si="47"/>
        <v>348</v>
      </c>
      <c r="J1528" t="s">
        <v>22</v>
      </c>
      <c r="K1528">
        <v>4</v>
      </c>
      <c r="L1528" t="e">
        <f t="array" ref="L1528">VLOOKUP(J1528:$J$3871&amp;K1528:$K$3871,CHOOSE({1,2},#REF!&amp;#REF!,#REF!),2,0)</f>
        <v>#N/A</v>
      </c>
      <c r="M1528">
        <v>0</v>
      </c>
      <c r="N1528">
        <v>1</v>
      </c>
      <c r="O1528" t="s">
        <v>23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1</v>
      </c>
      <c r="Y1528">
        <v>1</v>
      </c>
      <c r="Z1528">
        <v>0</v>
      </c>
      <c r="AA1528" t="s">
        <v>4014</v>
      </c>
      <c r="AB1528" t="s">
        <v>6606</v>
      </c>
      <c r="AC1528" t="s">
        <v>4014</v>
      </c>
      <c r="AD1528" t="e">
        <f>VLOOKUP(AB1528,#REF!,2,FALSE)</f>
        <v>#REF!</v>
      </c>
      <c r="AE1528" t="e">
        <f>RIGHT(#REF!,(FIND("Complex",#REF!,1)-6))</f>
        <v>#REF!</v>
      </c>
    </row>
    <row r="1529" spans="1:31" x14ac:dyDescent="0.25">
      <c r="A1529">
        <v>1372</v>
      </c>
      <c r="B1529" t="s">
        <v>27</v>
      </c>
      <c r="C1529">
        <v>52</v>
      </c>
      <c r="D1529">
        <v>416</v>
      </c>
      <c r="E1529">
        <v>1372</v>
      </c>
      <c r="F1529">
        <v>10143001</v>
      </c>
      <c r="G1529">
        <v>10231200</v>
      </c>
      <c r="H1529">
        <f t="shared" si="46"/>
        <v>230.00002267573697</v>
      </c>
      <c r="I1529">
        <f t="shared" si="47"/>
        <v>232</v>
      </c>
      <c r="J1529" t="s">
        <v>22</v>
      </c>
      <c r="K1529">
        <v>4</v>
      </c>
      <c r="L1529" t="e">
        <f t="array" ref="L1529">VLOOKUP(J1529:$J$3871&amp;K1529:$K$3871,CHOOSE({1,2},#REF!&amp;#REF!,#REF!),2,0)</f>
        <v>#N/A</v>
      </c>
      <c r="M1529">
        <v>0</v>
      </c>
      <c r="N1529">
        <v>1</v>
      </c>
      <c r="O1529" t="s">
        <v>23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1</v>
      </c>
      <c r="X1529">
        <v>1</v>
      </c>
      <c r="Y1529">
        <v>0</v>
      </c>
      <c r="Z1529">
        <v>0</v>
      </c>
      <c r="AA1529" t="s">
        <v>4216</v>
      </c>
      <c r="AB1529" t="s">
        <v>6751</v>
      </c>
      <c r="AC1529" t="s">
        <v>4216</v>
      </c>
      <c r="AD1529" t="e">
        <f>VLOOKUP(AB1529,#REF!,2,FALSE)</f>
        <v>#REF!</v>
      </c>
      <c r="AE1529" t="e">
        <f>RIGHT(#REF!,(FIND("Complex",#REF!,1)-7))</f>
        <v>#REF!</v>
      </c>
    </row>
    <row r="1530" spans="1:31" x14ac:dyDescent="0.25">
      <c r="A1530">
        <v>1714</v>
      </c>
      <c r="B1530" t="s">
        <v>27</v>
      </c>
      <c r="C1530">
        <v>52</v>
      </c>
      <c r="D1530">
        <v>519</v>
      </c>
      <c r="E1530">
        <v>1714</v>
      </c>
      <c r="F1530">
        <v>8114401</v>
      </c>
      <c r="G1530">
        <v>8202600</v>
      </c>
      <c r="H1530">
        <f t="shared" si="46"/>
        <v>184.00002267573697</v>
      </c>
      <c r="I1530">
        <f t="shared" si="47"/>
        <v>186</v>
      </c>
      <c r="J1530" t="s">
        <v>22</v>
      </c>
      <c r="K1530">
        <v>4</v>
      </c>
      <c r="L1530" t="e">
        <f t="array" ref="L1530">VLOOKUP(J1530:$J$3871&amp;K1530:$K$3871,CHOOSE({1,2},#REF!&amp;#REF!,#REF!),2,0)</f>
        <v>#N/A</v>
      </c>
      <c r="M1530">
        <v>0</v>
      </c>
      <c r="N1530">
        <v>1</v>
      </c>
      <c r="O1530" t="s">
        <v>23</v>
      </c>
      <c r="P1530">
        <v>1</v>
      </c>
      <c r="Q1530">
        <v>1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 t="s">
        <v>4387</v>
      </c>
      <c r="AB1530" t="s">
        <v>6852</v>
      </c>
      <c r="AC1530" t="s">
        <v>4387</v>
      </c>
      <c r="AD1530" t="e">
        <f>VLOOKUP(AB1530,#REF!,2,FALSE)</f>
        <v>#REF!</v>
      </c>
      <c r="AE1530" t="e">
        <f>RIGHT(#REF!,(FIND("Complex",#REF!,1)-7))</f>
        <v>#REF!</v>
      </c>
    </row>
    <row r="1531" spans="1:31" x14ac:dyDescent="0.25">
      <c r="A1531">
        <v>2362</v>
      </c>
      <c r="B1531" t="s">
        <v>27</v>
      </c>
      <c r="C1531">
        <v>52</v>
      </c>
      <c r="D1531">
        <v>751</v>
      </c>
      <c r="E1531">
        <v>2362</v>
      </c>
      <c r="F1531">
        <v>7938001</v>
      </c>
      <c r="G1531">
        <v>8026200</v>
      </c>
      <c r="H1531">
        <f t="shared" si="46"/>
        <v>180.00002267573697</v>
      </c>
      <c r="I1531">
        <f t="shared" si="47"/>
        <v>182</v>
      </c>
      <c r="J1531" t="s">
        <v>22</v>
      </c>
      <c r="K1531">
        <v>4</v>
      </c>
      <c r="L1531" t="e">
        <f t="array" ref="L1531">VLOOKUP(J1531:$J$3871&amp;K1531:$K$3871,CHOOSE({1,2},#REF!&amp;#REF!,#REF!),2,0)</f>
        <v>#N/A</v>
      </c>
      <c r="M1531">
        <v>0</v>
      </c>
      <c r="N1531">
        <v>1</v>
      </c>
      <c r="O1531" t="s">
        <v>23</v>
      </c>
      <c r="P1531">
        <v>1</v>
      </c>
      <c r="Q1531">
        <v>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1</v>
      </c>
      <c r="Y1531">
        <v>0</v>
      </c>
      <c r="Z1531">
        <v>0</v>
      </c>
      <c r="AA1531" t="s">
        <v>4400</v>
      </c>
      <c r="AB1531" t="s">
        <v>6860</v>
      </c>
      <c r="AC1531" t="s">
        <v>4400</v>
      </c>
      <c r="AD1531" t="e">
        <f>VLOOKUP(AB1531,#REF!,2,FALSE)</f>
        <v>#REF!</v>
      </c>
      <c r="AE1531" t="e">
        <f>RIGHT(#REF!,(FIND("Complex",#REF!,1)-7))</f>
        <v>#REF!</v>
      </c>
    </row>
    <row r="1532" spans="1:31" x14ac:dyDescent="0.25">
      <c r="A1532">
        <v>1625</v>
      </c>
      <c r="B1532" t="s">
        <v>253</v>
      </c>
      <c r="C1532">
        <v>55</v>
      </c>
      <c r="D1532">
        <v>491</v>
      </c>
      <c r="E1532">
        <v>1625</v>
      </c>
      <c r="F1532">
        <v>10407601</v>
      </c>
      <c r="G1532">
        <v>10495800</v>
      </c>
      <c r="H1532">
        <f t="shared" si="46"/>
        <v>236.00002267573697</v>
      </c>
      <c r="I1532">
        <f t="shared" si="47"/>
        <v>238</v>
      </c>
      <c r="J1532" t="s">
        <v>22</v>
      </c>
      <c r="K1532">
        <v>4</v>
      </c>
      <c r="L1532" t="e">
        <f t="array" ref="L1532">VLOOKUP(J1532:$J$3871&amp;K1532:$K$3871,CHOOSE({1,2},#REF!&amp;#REF!,#REF!),2,0)</f>
        <v>#N/A</v>
      </c>
      <c r="M1532">
        <v>0</v>
      </c>
      <c r="N1532">
        <v>1</v>
      </c>
      <c r="O1532" t="s">
        <v>23</v>
      </c>
      <c r="P1532">
        <v>1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1</v>
      </c>
      <c r="Y1532">
        <v>0</v>
      </c>
      <c r="Z1532">
        <v>0</v>
      </c>
      <c r="AA1532" t="s">
        <v>4207</v>
      </c>
      <c r="AB1532" t="s">
        <v>6745</v>
      </c>
      <c r="AC1532" t="s">
        <v>4207</v>
      </c>
      <c r="AD1532" t="e">
        <f>VLOOKUP(AB1532,#REF!,2,FALSE)</f>
        <v>#REF!</v>
      </c>
      <c r="AE1532" t="e">
        <f>RIGHT(#REF!,(FIND("Complex",#REF!,1)-7))</f>
        <v>#REF!</v>
      </c>
    </row>
    <row r="1533" spans="1:31" x14ac:dyDescent="0.25">
      <c r="A1533">
        <v>2247</v>
      </c>
      <c r="B1533" t="s">
        <v>253</v>
      </c>
      <c r="C1533">
        <v>55</v>
      </c>
      <c r="D1533">
        <v>696</v>
      </c>
      <c r="E1533">
        <v>2247</v>
      </c>
      <c r="F1533">
        <v>9349201</v>
      </c>
      <c r="G1533">
        <v>9437400</v>
      </c>
      <c r="H1533">
        <f t="shared" si="46"/>
        <v>212.00002267573697</v>
      </c>
      <c r="I1533">
        <f t="shared" si="47"/>
        <v>214</v>
      </c>
      <c r="J1533" t="s">
        <v>22</v>
      </c>
      <c r="K1533">
        <v>4</v>
      </c>
      <c r="L1533" t="e">
        <f t="array" ref="L1533">VLOOKUP(J1533:$J$3871&amp;K1533:$K$3871,CHOOSE({1,2},#REF!&amp;#REF!,#REF!),2,0)</f>
        <v>#N/A</v>
      </c>
      <c r="M1533">
        <v>0</v>
      </c>
      <c r="N1533">
        <v>1</v>
      </c>
      <c r="O1533" t="s">
        <v>23</v>
      </c>
      <c r="P1533">
        <v>1</v>
      </c>
      <c r="Q1533">
        <v>1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1</v>
      </c>
      <c r="Y1533">
        <v>0</v>
      </c>
      <c r="Z1533">
        <v>0</v>
      </c>
      <c r="AA1533" t="s">
        <v>4269</v>
      </c>
      <c r="AB1533" t="s">
        <v>6780</v>
      </c>
      <c r="AC1533" t="s">
        <v>4269</v>
      </c>
      <c r="AD1533" t="e">
        <f>VLOOKUP(AB1533,#REF!,2,FALSE)</f>
        <v>#REF!</v>
      </c>
      <c r="AE1533" t="e">
        <f>RIGHT(#REF!,(FIND("Complex",#REF!,1)-7))</f>
        <v>#REF!</v>
      </c>
    </row>
    <row r="1534" spans="1:31" x14ac:dyDescent="0.25">
      <c r="A1534">
        <v>545</v>
      </c>
      <c r="B1534" t="s">
        <v>253</v>
      </c>
      <c r="C1534">
        <v>55</v>
      </c>
      <c r="D1534">
        <v>177</v>
      </c>
      <c r="E1534">
        <v>545</v>
      </c>
      <c r="F1534">
        <v>6791401</v>
      </c>
      <c r="G1534">
        <v>6879600</v>
      </c>
      <c r="H1534">
        <f t="shared" si="46"/>
        <v>154.00002267573697</v>
      </c>
      <c r="I1534">
        <f t="shared" si="47"/>
        <v>156</v>
      </c>
      <c r="J1534" t="s">
        <v>22</v>
      </c>
      <c r="K1534">
        <v>4</v>
      </c>
      <c r="L1534" t="e">
        <f t="array" ref="L1534">VLOOKUP(J1534:$J$3871&amp;K1534:$K$3871,CHOOSE({1,2},#REF!&amp;#REF!,#REF!),2,0)</f>
        <v>#N/A</v>
      </c>
      <c r="M1534">
        <v>0</v>
      </c>
      <c r="N1534">
        <v>1</v>
      </c>
      <c r="O1534" t="s">
        <v>23</v>
      </c>
      <c r="P1534">
        <v>1</v>
      </c>
      <c r="Q1534">
        <v>1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1</v>
      </c>
      <c r="Y1534">
        <v>0</v>
      </c>
      <c r="Z1534">
        <v>0</v>
      </c>
      <c r="AA1534" t="s">
        <v>4526</v>
      </c>
      <c r="AB1534" t="s">
        <v>6943</v>
      </c>
      <c r="AC1534" t="s">
        <v>4526</v>
      </c>
      <c r="AD1534" t="e">
        <f>VLOOKUP(AB1534,#REF!,2,FALSE)</f>
        <v>#REF!</v>
      </c>
      <c r="AE1534" t="e">
        <f>RIGHT(#REF!,(FIND("Complex",#REF!,1)-6))</f>
        <v>#REF!</v>
      </c>
    </row>
    <row r="1535" spans="1:31" x14ac:dyDescent="0.25">
      <c r="A1535">
        <v>830</v>
      </c>
      <c r="B1535" t="s">
        <v>255</v>
      </c>
      <c r="C1535">
        <v>56</v>
      </c>
      <c r="D1535">
        <v>253</v>
      </c>
      <c r="E1535">
        <v>830</v>
      </c>
      <c r="F1535">
        <v>2557801</v>
      </c>
      <c r="G1535">
        <v>2646000</v>
      </c>
      <c r="H1535">
        <f t="shared" si="46"/>
        <v>58.000022675736965</v>
      </c>
      <c r="I1535">
        <f t="shared" si="47"/>
        <v>60</v>
      </c>
      <c r="J1535" t="s">
        <v>22</v>
      </c>
      <c r="K1535">
        <v>4</v>
      </c>
      <c r="L1535" t="e">
        <f t="array" ref="L1535">VLOOKUP(J1535:$J$3871&amp;K1535:$K$3871,CHOOSE({1,2},#REF!&amp;#REF!,#REF!),2,0)</f>
        <v>#N/A</v>
      </c>
      <c r="M1535">
        <v>0</v>
      </c>
      <c r="N1535">
        <v>1</v>
      </c>
      <c r="O1535" t="s">
        <v>23</v>
      </c>
      <c r="P1535">
        <v>1</v>
      </c>
      <c r="Q1535">
        <v>1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1</v>
      </c>
      <c r="Y1535">
        <v>0</v>
      </c>
      <c r="Z1535">
        <v>0</v>
      </c>
      <c r="AA1535" t="s">
        <v>3820</v>
      </c>
      <c r="AB1535" t="s">
        <v>6491</v>
      </c>
      <c r="AC1535" t="s">
        <v>3820</v>
      </c>
      <c r="AD1535" t="e">
        <f>VLOOKUP(AB1535,#REF!,2,FALSE)</f>
        <v>#REF!</v>
      </c>
      <c r="AE1535" t="e">
        <f>RIGHT(#REF!,(FIND("Complex",#REF!,1)-7))</f>
        <v>#REF!</v>
      </c>
    </row>
    <row r="1536" spans="1:31" x14ac:dyDescent="0.25">
      <c r="A1536">
        <v>2518</v>
      </c>
      <c r="B1536" t="s">
        <v>255</v>
      </c>
      <c r="C1536">
        <v>56</v>
      </c>
      <c r="D1536">
        <v>819</v>
      </c>
      <c r="E1536">
        <v>2518</v>
      </c>
      <c r="F1536">
        <v>4410001</v>
      </c>
      <c r="G1536">
        <v>4498200</v>
      </c>
      <c r="H1536">
        <f t="shared" si="46"/>
        <v>100.00002267573696</v>
      </c>
      <c r="I1536">
        <f t="shared" si="47"/>
        <v>102</v>
      </c>
      <c r="J1536" t="s">
        <v>22</v>
      </c>
      <c r="K1536">
        <v>4</v>
      </c>
      <c r="L1536" t="e">
        <f t="array" ref="L1536">VLOOKUP(J1536:$J$3871&amp;K1536:$K$3871,CHOOSE({1,2},#REF!&amp;#REF!,#REF!),2,0)</f>
        <v>#N/A</v>
      </c>
      <c r="M1536">
        <v>0</v>
      </c>
      <c r="N1536">
        <v>1</v>
      </c>
      <c r="O1536" t="s">
        <v>23</v>
      </c>
      <c r="P1536">
        <v>1</v>
      </c>
      <c r="Q1536">
        <v>1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1</v>
      </c>
      <c r="Y1536">
        <v>0</v>
      </c>
      <c r="Z1536">
        <v>0</v>
      </c>
      <c r="AA1536" t="s">
        <v>4839</v>
      </c>
      <c r="AB1536" t="s">
        <v>7132</v>
      </c>
      <c r="AC1536" t="s">
        <v>4839</v>
      </c>
      <c r="AD1536" t="e">
        <f>VLOOKUP(AB1536,#REF!,2,FALSE)</f>
        <v>#REF!</v>
      </c>
      <c r="AE1536" t="e">
        <f>RIGHT(#REF!,(FIND("Complex",#REF!,1)-7))</f>
        <v>#REF!</v>
      </c>
    </row>
    <row r="1537" spans="1:31" x14ac:dyDescent="0.25">
      <c r="A1537">
        <v>2555</v>
      </c>
      <c r="B1537" t="s">
        <v>30</v>
      </c>
      <c r="C1537">
        <v>57</v>
      </c>
      <c r="D1537">
        <v>828</v>
      </c>
      <c r="E1537">
        <v>2555</v>
      </c>
      <c r="F1537">
        <v>2381401</v>
      </c>
      <c r="G1537">
        <v>2469600</v>
      </c>
      <c r="H1537">
        <f t="shared" si="46"/>
        <v>54.000022675736965</v>
      </c>
      <c r="I1537">
        <f t="shared" si="47"/>
        <v>56</v>
      </c>
      <c r="J1537" t="s">
        <v>22</v>
      </c>
      <c r="K1537">
        <v>4</v>
      </c>
      <c r="L1537" t="e">
        <f t="array" ref="L1537">VLOOKUP(J1537:$J$3871&amp;K1537:$K$3871,CHOOSE({1,2},#REF!&amp;#REF!,#REF!),2,0)</f>
        <v>#N/A</v>
      </c>
      <c r="M1537">
        <v>0</v>
      </c>
      <c r="N1537">
        <v>1</v>
      </c>
      <c r="O1537" t="s">
        <v>23</v>
      </c>
      <c r="P1537">
        <v>1</v>
      </c>
      <c r="Q1537">
        <v>1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1</v>
      </c>
      <c r="Y1537">
        <v>0</v>
      </c>
      <c r="Z1537">
        <v>0</v>
      </c>
      <c r="AA1537" t="s">
        <v>3846</v>
      </c>
      <c r="AB1537" t="s">
        <v>1401</v>
      </c>
      <c r="AC1537" t="s">
        <v>3846</v>
      </c>
      <c r="AD1537" t="e">
        <f>VLOOKUP(AB1537,#REF!,2,FALSE)</f>
        <v>#REF!</v>
      </c>
      <c r="AE1537" t="e">
        <f>RIGHT(#REF!,(FIND("Complex",#REF!,1)-8))</f>
        <v>#REF!</v>
      </c>
    </row>
    <row r="1538" spans="1:31" x14ac:dyDescent="0.25">
      <c r="A1538">
        <v>190</v>
      </c>
      <c r="B1538" t="s">
        <v>30</v>
      </c>
      <c r="C1538">
        <v>57</v>
      </c>
      <c r="D1538">
        <v>59</v>
      </c>
      <c r="E1538">
        <v>190</v>
      </c>
      <c r="F1538">
        <v>1764001</v>
      </c>
      <c r="G1538">
        <v>1852200</v>
      </c>
      <c r="H1538">
        <f t="shared" ref="H1538:H1601" si="48">F1538/44100</f>
        <v>40.000022675736965</v>
      </c>
      <c r="I1538">
        <f t="shared" ref="I1538:I1601" si="49">G1538/44100</f>
        <v>42</v>
      </c>
      <c r="J1538" t="s">
        <v>22</v>
      </c>
      <c r="K1538">
        <v>4</v>
      </c>
      <c r="L1538" t="e">
        <f t="array" ref="L1538">VLOOKUP(J1538:$J$3871&amp;K1538:$K$3871,CHOOSE({1,2},#REF!&amp;#REF!,#REF!),2,0)</f>
        <v>#N/A</v>
      </c>
      <c r="M1538">
        <v>0</v>
      </c>
      <c r="N1538">
        <v>1</v>
      </c>
      <c r="O1538" t="s">
        <v>23</v>
      </c>
      <c r="P1538">
        <v>1</v>
      </c>
      <c r="Q1538">
        <v>1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1</v>
      </c>
      <c r="Y1538">
        <v>0</v>
      </c>
      <c r="Z1538">
        <v>0</v>
      </c>
      <c r="AA1538" t="s">
        <v>3945</v>
      </c>
      <c r="AB1538" t="s">
        <v>6565</v>
      </c>
      <c r="AC1538" t="s">
        <v>3945</v>
      </c>
      <c r="AD1538" t="e">
        <f>VLOOKUP(AB1538,#REF!,2,FALSE)</f>
        <v>#REF!</v>
      </c>
      <c r="AE1538" t="e">
        <f>RIGHT(#REF!,(FIND("Complex",#REF!,1)-7))</f>
        <v>#REF!</v>
      </c>
    </row>
    <row r="1539" spans="1:31" x14ac:dyDescent="0.25">
      <c r="A1539">
        <v>535</v>
      </c>
      <c r="B1539" t="s">
        <v>30</v>
      </c>
      <c r="C1539">
        <v>57</v>
      </c>
      <c r="D1539">
        <v>173</v>
      </c>
      <c r="E1539">
        <v>535</v>
      </c>
      <c r="F1539">
        <v>6879601</v>
      </c>
      <c r="G1539">
        <v>6967800</v>
      </c>
      <c r="H1539">
        <f t="shared" si="48"/>
        <v>156.00002267573697</v>
      </c>
      <c r="I1539">
        <f t="shared" si="49"/>
        <v>158</v>
      </c>
      <c r="J1539" t="s">
        <v>22</v>
      </c>
      <c r="K1539">
        <v>4</v>
      </c>
      <c r="L1539" t="e">
        <f t="array" ref="L1539">VLOOKUP(J1539:$J$3871&amp;K1539:$K$3871,CHOOSE({1,2},#REF!&amp;#REF!,#REF!),2,0)</f>
        <v>#N/A</v>
      </c>
      <c r="M1539">
        <v>0</v>
      </c>
      <c r="N1539">
        <v>1</v>
      </c>
      <c r="O1539" t="s">
        <v>23</v>
      </c>
      <c r="P1539">
        <v>1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1</v>
      </c>
      <c r="Y1539">
        <v>0</v>
      </c>
      <c r="Z1539">
        <v>0</v>
      </c>
      <c r="AA1539" t="s">
        <v>4519</v>
      </c>
      <c r="AB1539" t="s">
        <v>6937</v>
      </c>
      <c r="AC1539" t="s">
        <v>4519</v>
      </c>
      <c r="AD1539" t="e">
        <f>VLOOKUP(AB1539,#REF!,2,FALSE)</f>
        <v>#REF!</v>
      </c>
      <c r="AE1539" t="e">
        <f>RIGHT(#REF!,(FIND("Complex",#REF!,1)-6))</f>
        <v>#REF!</v>
      </c>
    </row>
    <row r="1540" spans="1:31" x14ac:dyDescent="0.25">
      <c r="A1540">
        <v>2449</v>
      </c>
      <c r="B1540" t="s">
        <v>257</v>
      </c>
      <c r="C1540">
        <v>58</v>
      </c>
      <c r="D1540">
        <v>789</v>
      </c>
      <c r="E1540">
        <v>2449</v>
      </c>
      <c r="F1540">
        <v>2646001</v>
      </c>
      <c r="G1540">
        <v>2734200</v>
      </c>
      <c r="H1540">
        <f t="shared" si="48"/>
        <v>60.000022675736965</v>
      </c>
      <c r="I1540">
        <f t="shared" si="49"/>
        <v>62</v>
      </c>
      <c r="J1540" t="s">
        <v>22</v>
      </c>
      <c r="K1540">
        <v>4</v>
      </c>
      <c r="L1540" t="e">
        <f t="array" ref="L1540">VLOOKUP(J1540:$J$3871&amp;K1540:$K$3871,CHOOSE({1,2},#REF!&amp;#REF!,#REF!),2,0)</f>
        <v>#N/A</v>
      </c>
      <c r="M1540">
        <v>0</v>
      </c>
      <c r="N1540">
        <v>1</v>
      </c>
      <c r="O1540" t="s">
        <v>23</v>
      </c>
      <c r="P1540">
        <v>1</v>
      </c>
      <c r="Q1540">
        <v>1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1</v>
      </c>
      <c r="Y1540">
        <v>0</v>
      </c>
      <c r="Z1540">
        <v>0</v>
      </c>
      <c r="AA1540" t="s">
        <v>3782</v>
      </c>
      <c r="AB1540" t="s">
        <v>6474</v>
      </c>
      <c r="AC1540" t="s">
        <v>3782</v>
      </c>
      <c r="AD1540" t="e">
        <f>VLOOKUP(AB1540,#REF!,2,FALSE)</f>
        <v>#REF!</v>
      </c>
      <c r="AE1540" t="e">
        <f>RIGHT(#REF!,(FIND("Complex",#REF!,1)-8))</f>
        <v>#REF!</v>
      </c>
    </row>
    <row r="1541" spans="1:31" x14ac:dyDescent="0.25">
      <c r="A1541">
        <v>1070</v>
      </c>
      <c r="B1541" t="s">
        <v>257</v>
      </c>
      <c r="C1541">
        <v>58</v>
      </c>
      <c r="D1541">
        <v>321</v>
      </c>
      <c r="E1541">
        <v>1070</v>
      </c>
      <c r="F1541">
        <v>1764001</v>
      </c>
      <c r="G1541">
        <v>1852200</v>
      </c>
      <c r="H1541">
        <f t="shared" si="48"/>
        <v>40.000022675736965</v>
      </c>
      <c r="I1541">
        <f t="shared" si="49"/>
        <v>42</v>
      </c>
      <c r="J1541" t="s">
        <v>22</v>
      </c>
      <c r="K1541">
        <v>4</v>
      </c>
      <c r="L1541" t="e">
        <f t="array" ref="L1541">VLOOKUP(J1541:$J$3871&amp;K1541:$K$3871,CHOOSE({1,2},#REF!&amp;#REF!,#REF!),2,0)</f>
        <v>#N/A</v>
      </c>
      <c r="M1541">
        <v>0</v>
      </c>
      <c r="N1541">
        <v>1</v>
      </c>
      <c r="O1541" t="s">
        <v>23</v>
      </c>
      <c r="P1541">
        <v>1</v>
      </c>
      <c r="Q1541">
        <v>1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1</v>
      </c>
      <c r="Y1541">
        <v>0</v>
      </c>
      <c r="Z1541">
        <v>0</v>
      </c>
      <c r="AA1541" t="s">
        <v>3944</v>
      </c>
      <c r="AB1541" t="s">
        <v>1421</v>
      </c>
      <c r="AC1541" t="s">
        <v>3944</v>
      </c>
      <c r="AD1541" t="e">
        <f>VLOOKUP(AB1541,#REF!,2,FALSE)</f>
        <v>#REF!</v>
      </c>
      <c r="AE1541" t="e">
        <f>RIGHT(#REF!,(FIND("Complex",#REF!,1)-8))</f>
        <v>#REF!</v>
      </c>
    </row>
    <row r="1542" spans="1:31" x14ac:dyDescent="0.25">
      <c r="A1542">
        <v>935</v>
      </c>
      <c r="B1542" t="s">
        <v>257</v>
      </c>
      <c r="C1542">
        <v>58</v>
      </c>
      <c r="D1542">
        <v>286</v>
      </c>
      <c r="E1542">
        <v>935</v>
      </c>
      <c r="F1542">
        <v>8290801</v>
      </c>
      <c r="G1542">
        <v>8379000</v>
      </c>
      <c r="H1542">
        <f t="shared" si="48"/>
        <v>188.00002267573697</v>
      </c>
      <c r="I1542">
        <f t="shared" si="49"/>
        <v>190</v>
      </c>
      <c r="J1542" t="s">
        <v>22</v>
      </c>
      <c r="K1542">
        <v>4</v>
      </c>
      <c r="L1542" t="e">
        <f t="array" ref="L1542">VLOOKUP(J1542:$J$3871&amp;K1542:$K$3871,CHOOSE({1,2},#REF!&amp;#REF!,#REF!),2,0)</f>
        <v>#N/A</v>
      </c>
      <c r="M1542">
        <v>0</v>
      </c>
      <c r="N1542">
        <v>1</v>
      </c>
      <c r="O1542" t="s">
        <v>23</v>
      </c>
      <c r="P1542">
        <v>1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1</v>
      </c>
      <c r="Y1542">
        <v>0</v>
      </c>
      <c r="Z1542">
        <v>0</v>
      </c>
      <c r="AA1542" t="s">
        <v>4375</v>
      </c>
      <c r="AB1542" t="s">
        <v>1422</v>
      </c>
      <c r="AC1542" t="s">
        <v>4375</v>
      </c>
      <c r="AD1542" t="e">
        <f>VLOOKUP(AB1542,#REF!,2,FALSE)</f>
        <v>#REF!</v>
      </c>
      <c r="AE1542" t="e">
        <f>RIGHT(#REF!,(FIND("Complex",#REF!,1)-6))</f>
        <v>#REF!</v>
      </c>
    </row>
    <row r="1543" spans="1:31" x14ac:dyDescent="0.25">
      <c r="A1543">
        <v>1531</v>
      </c>
      <c r="B1543" t="s">
        <v>257</v>
      </c>
      <c r="C1543">
        <v>58</v>
      </c>
      <c r="D1543">
        <v>467</v>
      </c>
      <c r="E1543">
        <v>1531</v>
      </c>
      <c r="F1543">
        <v>8202601</v>
      </c>
      <c r="G1543">
        <v>8290800</v>
      </c>
      <c r="H1543">
        <f t="shared" si="48"/>
        <v>186.00002267573697</v>
      </c>
      <c r="I1543">
        <f t="shared" si="49"/>
        <v>188</v>
      </c>
      <c r="J1543" t="s">
        <v>22</v>
      </c>
      <c r="K1543">
        <v>4</v>
      </c>
      <c r="L1543" t="e">
        <f t="array" ref="L1543">VLOOKUP(J1543:$J$3871&amp;K1543:$K$3871,CHOOSE({1,2},#REF!&amp;#REF!,#REF!),2,0)</f>
        <v>#N/A</v>
      </c>
      <c r="M1543">
        <v>0</v>
      </c>
      <c r="N1543">
        <v>1</v>
      </c>
      <c r="O1543" t="s">
        <v>23</v>
      </c>
      <c r="P1543">
        <v>1</v>
      </c>
      <c r="Q1543">
        <v>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0</v>
      </c>
      <c r="Z1543">
        <v>0</v>
      </c>
      <c r="AA1543" t="s">
        <v>4380</v>
      </c>
      <c r="AB1543" t="s">
        <v>258</v>
      </c>
      <c r="AC1543" t="s">
        <v>4380</v>
      </c>
      <c r="AD1543" t="e">
        <f>VLOOKUP(AB1543,#REF!,2,FALSE)</f>
        <v>#REF!</v>
      </c>
      <c r="AE1543" t="e">
        <f>RIGHT(#REF!,(FIND("Complex",#REF!,1)-7))</f>
        <v>#REF!</v>
      </c>
    </row>
    <row r="1544" spans="1:31" x14ac:dyDescent="0.25">
      <c r="A1544">
        <v>198</v>
      </c>
      <c r="B1544" t="s">
        <v>257</v>
      </c>
      <c r="C1544">
        <v>58</v>
      </c>
      <c r="D1544">
        <v>61</v>
      </c>
      <c r="E1544">
        <v>198</v>
      </c>
      <c r="F1544">
        <v>7938001</v>
      </c>
      <c r="G1544">
        <v>8026200</v>
      </c>
      <c r="H1544">
        <f t="shared" si="48"/>
        <v>180.00002267573697</v>
      </c>
      <c r="I1544">
        <f t="shared" si="49"/>
        <v>182</v>
      </c>
      <c r="J1544" t="s">
        <v>22</v>
      </c>
      <c r="K1544">
        <v>4</v>
      </c>
      <c r="L1544" t="e">
        <f t="array" ref="L1544">VLOOKUP(J1544:$J$3871&amp;K1544:$K$3871,CHOOSE({1,2},#REF!&amp;#REF!,#REF!),2,0)</f>
        <v>#N/A</v>
      </c>
      <c r="M1544">
        <v>0</v>
      </c>
      <c r="N1544">
        <v>1</v>
      </c>
      <c r="O1544" t="s">
        <v>23</v>
      </c>
      <c r="P1544">
        <v>1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1</v>
      </c>
      <c r="Y1544">
        <v>0</v>
      </c>
      <c r="Z1544">
        <v>0</v>
      </c>
      <c r="AA1544" t="s">
        <v>4399</v>
      </c>
      <c r="AB1544" t="s">
        <v>6859</v>
      </c>
      <c r="AC1544" t="s">
        <v>4399</v>
      </c>
      <c r="AD1544" t="e">
        <f>VLOOKUP(AB1544,#REF!,2,FALSE)</f>
        <v>#REF!</v>
      </c>
      <c r="AE1544" t="e">
        <f>RIGHT(#REF!,(FIND("Complex",#REF!,1)-6))</f>
        <v>#REF!</v>
      </c>
    </row>
    <row r="1545" spans="1:31" x14ac:dyDescent="0.25">
      <c r="A1545">
        <v>644</v>
      </c>
      <c r="B1545" t="s">
        <v>257</v>
      </c>
      <c r="C1545">
        <v>58</v>
      </c>
      <c r="D1545">
        <v>202</v>
      </c>
      <c r="E1545">
        <v>644</v>
      </c>
      <c r="F1545">
        <v>5115601</v>
      </c>
      <c r="G1545">
        <v>5203800</v>
      </c>
      <c r="H1545">
        <f t="shared" si="48"/>
        <v>116.00002267573696</v>
      </c>
      <c r="I1545">
        <f t="shared" si="49"/>
        <v>118</v>
      </c>
      <c r="J1545" t="s">
        <v>22</v>
      </c>
      <c r="K1545">
        <v>4</v>
      </c>
      <c r="L1545" t="e">
        <f t="array" ref="L1545">VLOOKUP(J1545:$J$3871&amp;K1545:$K$3871,CHOOSE({1,2},#REF!&amp;#REF!,#REF!),2,0)</f>
        <v>#N/A</v>
      </c>
      <c r="M1545">
        <v>0</v>
      </c>
      <c r="N1545">
        <v>1</v>
      </c>
      <c r="O1545" t="s">
        <v>23</v>
      </c>
      <c r="P1545">
        <v>1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1</v>
      </c>
      <c r="Y1545">
        <v>0</v>
      </c>
      <c r="Z1545">
        <v>0</v>
      </c>
      <c r="AA1545" t="s">
        <v>4754</v>
      </c>
      <c r="AB1545" t="s">
        <v>7083</v>
      </c>
      <c r="AC1545" t="s">
        <v>4754</v>
      </c>
      <c r="AD1545" t="e">
        <f>VLOOKUP(AB1545,#REF!,2,FALSE)</f>
        <v>#REF!</v>
      </c>
      <c r="AE1545" t="e">
        <f>RIGHT(#REF!,(FIND("Complex",#REF!,1)-6))</f>
        <v>#REF!</v>
      </c>
    </row>
    <row r="1546" spans="1:31" x14ac:dyDescent="0.25">
      <c r="A1546">
        <v>1873</v>
      </c>
      <c r="B1546" t="s">
        <v>65</v>
      </c>
      <c r="C1546">
        <v>59</v>
      </c>
      <c r="D1546">
        <v>565</v>
      </c>
      <c r="E1546">
        <v>1873</v>
      </c>
      <c r="F1546">
        <v>352801</v>
      </c>
      <c r="G1546">
        <v>441000</v>
      </c>
      <c r="H1546">
        <f t="shared" si="48"/>
        <v>8.000022675736961</v>
      </c>
      <c r="I1546">
        <f t="shared" si="49"/>
        <v>10</v>
      </c>
      <c r="J1546" t="s">
        <v>22</v>
      </c>
      <c r="K1546">
        <v>4</v>
      </c>
      <c r="L1546" t="e">
        <f t="array" ref="L1546">VLOOKUP(J1546:$J$3871&amp;K1546:$K$3871,CHOOSE({1,2},#REF!&amp;#REF!,#REF!),2,0)</f>
        <v>#N/A</v>
      </c>
      <c r="M1546">
        <v>0</v>
      </c>
      <c r="N1546">
        <v>1</v>
      </c>
      <c r="O1546" t="s">
        <v>23</v>
      </c>
      <c r="P1546">
        <v>1</v>
      </c>
      <c r="Q1546">
        <v>1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1</v>
      </c>
      <c r="Y1546">
        <v>0</v>
      </c>
      <c r="Z1546">
        <v>0</v>
      </c>
      <c r="AA1546" t="s">
        <v>3645</v>
      </c>
      <c r="AB1546" t="s">
        <v>1432</v>
      </c>
      <c r="AC1546" t="s">
        <v>3645</v>
      </c>
      <c r="AD1546" t="e">
        <f>VLOOKUP(AB1546,#REF!,2,FALSE)</f>
        <v>#REF!</v>
      </c>
      <c r="AE1546" t="e">
        <f>RIGHT(#REF!,(FIND("Complex",#REF!,1)-9))</f>
        <v>#REF!</v>
      </c>
    </row>
    <row r="1547" spans="1:31" x14ac:dyDescent="0.25">
      <c r="A1547">
        <v>726</v>
      </c>
      <c r="B1547" t="s">
        <v>65</v>
      </c>
      <c r="C1547">
        <v>59</v>
      </c>
      <c r="D1547">
        <v>226</v>
      </c>
      <c r="E1547">
        <v>726</v>
      </c>
      <c r="F1547">
        <v>1587601</v>
      </c>
      <c r="G1547">
        <v>1675800</v>
      </c>
      <c r="H1547">
        <f t="shared" si="48"/>
        <v>36.000022675736965</v>
      </c>
      <c r="I1547">
        <f t="shared" si="49"/>
        <v>38</v>
      </c>
      <c r="J1547" t="s">
        <v>22</v>
      </c>
      <c r="K1547">
        <v>4</v>
      </c>
      <c r="L1547" t="e">
        <f t="array" ref="L1547">VLOOKUP(J1547:$J$3871&amp;K1547:$K$3871,CHOOSE({1,2},#REF!&amp;#REF!,#REF!),2,0)</f>
        <v>#N/A</v>
      </c>
      <c r="M1547">
        <v>0</v>
      </c>
      <c r="N1547">
        <v>1</v>
      </c>
      <c r="O1547" t="s">
        <v>23</v>
      </c>
      <c r="P1547">
        <v>1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1</v>
      </c>
      <c r="Y1547">
        <v>0</v>
      </c>
      <c r="Z1547">
        <v>0</v>
      </c>
      <c r="AA1547" t="s">
        <v>4004</v>
      </c>
      <c r="AB1547" t="s">
        <v>6597</v>
      </c>
      <c r="AC1547" t="s">
        <v>4004</v>
      </c>
      <c r="AD1547" t="e">
        <f>VLOOKUP(AB1547,#REF!,2,FALSE)</f>
        <v>#REF!</v>
      </c>
      <c r="AE1547" t="e">
        <f>RIGHT(#REF!,(FIND("Complex",#REF!,1)-7))</f>
        <v>#REF!</v>
      </c>
    </row>
    <row r="1548" spans="1:31" x14ac:dyDescent="0.25">
      <c r="A1548">
        <v>1759</v>
      </c>
      <c r="B1548" t="s">
        <v>65</v>
      </c>
      <c r="C1548">
        <v>59</v>
      </c>
      <c r="D1548">
        <v>528</v>
      </c>
      <c r="E1548">
        <v>1759</v>
      </c>
      <c r="F1548">
        <v>1499401</v>
      </c>
      <c r="G1548">
        <v>1587600</v>
      </c>
      <c r="H1548">
        <f t="shared" si="48"/>
        <v>34.000022675736965</v>
      </c>
      <c r="I1548">
        <f t="shared" si="49"/>
        <v>36</v>
      </c>
      <c r="J1548" t="s">
        <v>22</v>
      </c>
      <c r="K1548">
        <v>4</v>
      </c>
      <c r="L1548" t="e">
        <f t="array" ref="L1548">VLOOKUP(J1548:$J$3871&amp;K1548:$K$3871,CHOOSE({1,2},#REF!&amp;#REF!,#REF!),2,0)</f>
        <v>#N/A</v>
      </c>
      <c r="M1548">
        <v>0</v>
      </c>
      <c r="N1548">
        <v>1</v>
      </c>
      <c r="O1548" t="s">
        <v>23</v>
      </c>
      <c r="P1548">
        <v>1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 t="s">
        <v>4023</v>
      </c>
      <c r="AB1548" t="s">
        <v>6612</v>
      </c>
      <c r="AC1548" t="s">
        <v>4023</v>
      </c>
      <c r="AD1548" t="e">
        <f>VLOOKUP(AB1548,#REF!,2,FALSE)</f>
        <v>#REF!</v>
      </c>
      <c r="AE1548" t="e">
        <f>RIGHT(#REF!,(FIND("Complex",#REF!,1)-8))</f>
        <v>#REF!</v>
      </c>
    </row>
    <row r="1549" spans="1:31" x14ac:dyDescent="0.25">
      <c r="A1549">
        <v>1437</v>
      </c>
      <c r="B1549" t="s">
        <v>65</v>
      </c>
      <c r="C1549">
        <v>59</v>
      </c>
      <c r="D1549">
        <v>435</v>
      </c>
      <c r="E1549">
        <v>1437</v>
      </c>
      <c r="F1549">
        <v>1146601</v>
      </c>
      <c r="G1549">
        <v>1234800</v>
      </c>
      <c r="H1549">
        <f t="shared" si="48"/>
        <v>26.000022675736961</v>
      </c>
      <c r="I1549">
        <f t="shared" si="49"/>
        <v>28</v>
      </c>
      <c r="J1549" t="s">
        <v>22</v>
      </c>
      <c r="K1549">
        <v>4</v>
      </c>
      <c r="L1549" t="e">
        <f t="array" ref="L1549">VLOOKUP(J1549:$J$3871&amp;K1549:$K$3871,CHOOSE({1,2},#REF!&amp;#REF!,#REF!),2,0)</f>
        <v>#N/A</v>
      </c>
      <c r="M1549">
        <v>0</v>
      </c>
      <c r="N1549">
        <v>1</v>
      </c>
      <c r="O1549" t="s">
        <v>23</v>
      </c>
      <c r="P1549">
        <v>1</v>
      </c>
      <c r="Q1549">
        <v>1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1</v>
      </c>
      <c r="Y1549">
        <v>0</v>
      </c>
      <c r="Z1549">
        <v>0</v>
      </c>
      <c r="AA1549" t="s">
        <v>4150</v>
      </c>
      <c r="AB1549" t="s">
        <v>1433</v>
      </c>
      <c r="AC1549" t="s">
        <v>4150</v>
      </c>
      <c r="AD1549" t="e">
        <f>VLOOKUP(AB1549,#REF!,2,FALSE)</f>
        <v>#REF!</v>
      </c>
      <c r="AE1549" t="e">
        <f>RIGHT(#REF!,(FIND("Complex",#REF!,1)-8))</f>
        <v>#REF!</v>
      </c>
    </row>
    <row r="1550" spans="1:31" x14ac:dyDescent="0.25">
      <c r="A1550">
        <v>1502</v>
      </c>
      <c r="B1550" t="s">
        <v>65</v>
      </c>
      <c r="C1550">
        <v>59</v>
      </c>
      <c r="D1550">
        <v>458</v>
      </c>
      <c r="E1550">
        <v>1502</v>
      </c>
      <c r="F1550">
        <v>970201</v>
      </c>
      <c r="G1550">
        <v>1058400</v>
      </c>
      <c r="H1550">
        <f t="shared" si="48"/>
        <v>22.000022675736961</v>
      </c>
      <c r="I1550">
        <f t="shared" si="49"/>
        <v>24</v>
      </c>
      <c r="J1550" t="s">
        <v>22</v>
      </c>
      <c r="K1550">
        <v>4</v>
      </c>
      <c r="L1550" t="e">
        <f t="array" ref="L1550">VLOOKUP(J1550:$J$3871&amp;K1550:$K$3871,CHOOSE({1,2},#REF!&amp;#REF!,#REF!),2,0)</f>
        <v>#N/A</v>
      </c>
      <c r="M1550">
        <v>0</v>
      </c>
      <c r="N1550">
        <v>1</v>
      </c>
      <c r="O1550" t="s">
        <v>23</v>
      </c>
      <c r="P1550">
        <v>1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1</v>
      </c>
      <c r="Y1550">
        <v>0</v>
      </c>
      <c r="Z1550">
        <v>0</v>
      </c>
      <c r="AA1550" t="s">
        <v>4247</v>
      </c>
      <c r="AB1550" t="s">
        <v>1434</v>
      </c>
      <c r="AC1550" t="s">
        <v>4247</v>
      </c>
      <c r="AD1550" t="e">
        <f>VLOOKUP(AB1550,#REF!,2,FALSE)</f>
        <v>#REF!</v>
      </c>
      <c r="AE1550" t="e">
        <f>RIGHT(#REF!,(FIND("Complex",#REF!,1)-8))</f>
        <v>#REF!</v>
      </c>
    </row>
    <row r="1551" spans="1:31" x14ac:dyDescent="0.25">
      <c r="A1551">
        <v>460</v>
      </c>
      <c r="B1551" t="s">
        <v>65</v>
      </c>
      <c r="C1551">
        <v>59</v>
      </c>
      <c r="D1551">
        <v>145</v>
      </c>
      <c r="E1551">
        <v>460</v>
      </c>
      <c r="F1551">
        <v>882001</v>
      </c>
      <c r="G1551">
        <v>970200</v>
      </c>
      <c r="H1551">
        <f t="shared" si="48"/>
        <v>20.000022675736961</v>
      </c>
      <c r="I1551">
        <f t="shared" si="49"/>
        <v>22</v>
      </c>
      <c r="J1551" t="s">
        <v>22</v>
      </c>
      <c r="K1551">
        <v>4</v>
      </c>
      <c r="L1551" t="e">
        <f t="array" ref="L1551">VLOOKUP(J1551:$J$3871&amp;K1551:$K$3871,CHOOSE({1,2},#REF!&amp;#REF!,#REF!),2,0)</f>
        <v>#N/A</v>
      </c>
      <c r="M1551">
        <v>0</v>
      </c>
      <c r="N1551">
        <v>1</v>
      </c>
      <c r="O1551" t="s">
        <v>23</v>
      </c>
      <c r="P1551">
        <v>1</v>
      </c>
      <c r="Q1551">
        <v>1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0</v>
      </c>
      <c r="AA1551" t="s">
        <v>4314</v>
      </c>
      <c r="AB1551" t="s">
        <v>1435</v>
      </c>
      <c r="AC1551" t="s">
        <v>4314</v>
      </c>
      <c r="AD1551" t="e">
        <f>VLOOKUP(AB1551,#REF!,2,FALSE)</f>
        <v>#REF!</v>
      </c>
      <c r="AE1551" t="e">
        <f>RIGHT(#REF!,(FIND("Complex",#REF!,1)-7))</f>
        <v>#REF!</v>
      </c>
    </row>
    <row r="1552" spans="1:31" x14ac:dyDescent="0.25">
      <c r="A1552">
        <v>58</v>
      </c>
      <c r="B1552" t="s">
        <v>51</v>
      </c>
      <c r="C1552">
        <v>60</v>
      </c>
      <c r="D1552">
        <v>16</v>
      </c>
      <c r="E1552">
        <v>58</v>
      </c>
      <c r="F1552">
        <v>352801</v>
      </c>
      <c r="G1552">
        <v>441000</v>
      </c>
      <c r="H1552">
        <f t="shared" si="48"/>
        <v>8.000022675736961</v>
      </c>
      <c r="I1552">
        <f t="shared" si="49"/>
        <v>10</v>
      </c>
      <c r="J1552" t="s">
        <v>22</v>
      </c>
      <c r="K1552">
        <v>4</v>
      </c>
      <c r="L1552" t="e">
        <f t="array" ref="L1552">VLOOKUP(J1552:$J$3871&amp;K1552:$K$3871,CHOOSE({1,2},#REF!&amp;#REF!,#REF!),2,0)</f>
        <v>#N/A</v>
      </c>
      <c r="M1552">
        <v>0</v>
      </c>
      <c r="N1552">
        <v>1</v>
      </c>
      <c r="O1552" t="s">
        <v>23</v>
      </c>
      <c r="P1552">
        <v>1</v>
      </c>
      <c r="Q1552">
        <v>1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0</v>
      </c>
      <c r="Z1552">
        <v>0</v>
      </c>
      <c r="AA1552" t="s">
        <v>3644</v>
      </c>
      <c r="AB1552" t="s">
        <v>6391</v>
      </c>
      <c r="AC1552" t="s">
        <v>3644</v>
      </c>
      <c r="AD1552" t="e">
        <f>VLOOKUP(AB1552,#REF!,2,FALSE)</f>
        <v>#REF!</v>
      </c>
      <c r="AE1552" t="e">
        <f>RIGHT(#REF!,(FIND("Complex",#REF!,1)-7))</f>
        <v>#REF!</v>
      </c>
    </row>
    <row r="1553" spans="1:31" x14ac:dyDescent="0.25">
      <c r="A1553">
        <v>1695</v>
      </c>
      <c r="B1553" t="s">
        <v>51</v>
      </c>
      <c r="C1553">
        <v>60</v>
      </c>
      <c r="D1553">
        <v>512</v>
      </c>
      <c r="E1553">
        <v>1695</v>
      </c>
      <c r="F1553">
        <v>176401</v>
      </c>
      <c r="G1553">
        <v>264600</v>
      </c>
      <c r="H1553">
        <f t="shared" si="48"/>
        <v>4.000022675736961</v>
      </c>
      <c r="I1553">
        <f t="shared" si="49"/>
        <v>6</v>
      </c>
      <c r="J1553" t="s">
        <v>22</v>
      </c>
      <c r="K1553">
        <v>4</v>
      </c>
      <c r="L1553" t="e">
        <f t="array" ref="L1553">VLOOKUP(J1553:$J$3871&amp;K1553:$K$3871,CHOOSE({1,2},#REF!&amp;#REF!,#REF!),2,0)</f>
        <v>#N/A</v>
      </c>
      <c r="M1553">
        <v>0</v>
      </c>
      <c r="N1553">
        <v>1</v>
      </c>
      <c r="O1553" t="s">
        <v>23</v>
      </c>
      <c r="P1553">
        <v>1</v>
      </c>
      <c r="Q1553">
        <v>1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1</v>
      </c>
      <c r="Y1553">
        <v>0</v>
      </c>
      <c r="Z1553">
        <v>0</v>
      </c>
      <c r="AA1553" t="s">
        <v>3966</v>
      </c>
      <c r="AB1553" t="s">
        <v>1441</v>
      </c>
      <c r="AC1553" t="s">
        <v>3966</v>
      </c>
      <c r="AD1553" t="e">
        <f>VLOOKUP(AB1553,#REF!,2,FALSE)</f>
        <v>#REF!</v>
      </c>
      <c r="AE1553" t="e">
        <f>RIGHT(#REF!,(FIND("Complex",#REF!,1)-9))</f>
        <v>#REF!</v>
      </c>
    </row>
    <row r="1554" spans="1:31" x14ac:dyDescent="0.25">
      <c r="A1554">
        <v>1449</v>
      </c>
      <c r="B1554" t="s">
        <v>51</v>
      </c>
      <c r="C1554">
        <v>60</v>
      </c>
      <c r="D1554">
        <v>440</v>
      </c>
      <c r="E1554">
        <v>1449</v>
      </c>
      <c r="F1554">
        <v>1323001</v>
      </c>
      <c r="G1554">
        <v>1411200</v>
      </c>
      <c r="H1554">
        <f t="shared" si="48"/>
        <v>30.000022675736961</v>
      </c>
      <c r="I1554">
        <f t="shared" si="49"/>
        <v>32</v>
      </c>
      <c r="J1554" t="s">
        <v>22</v>
      </c>
      <c r="K1554">
        <v>4</v>
      </c>
      <c r="L1554" t="e">
        <f t="array" ref="L1554">VLOOKUP(J1554:$J$3871&amp;K1554:$K$3871,CHOOSE({1,2},#REF!&amp;#REF!,#REF!),2,0)</f>
        <v>#N/A</v>
      </c>
      <c r="M1554">
        <v>0</v>
      </c>
      <c r="N1554">
        <v>1</v>
      </c>
      <c r="O1554" t="s">
        <v>23</v>
      </c>
      <c r="P1554">
        <v>1</v>
      </c>
      <c r="Q1554">
        <v>1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0</v>
      </c>
      <c r="AA1554" t="s">
        <v>4067</v>
      </c>
      <c r="AB1554" t="s">
        <v>6639</v>
      </c>
      <c r="AC1554" t="s">
        <v>4067</v>
      </c>
      <c r="AD1554" t="e">
        <f>VLOOKUP(AB1554,#REF!,2,FALSE)</f>
        <v>#REF!</v>
      </c>
      <c r="AE1554" t="e">
        <f>RIGHT(#REF!,(FIND("Complex",#REF!,1)-8))</f>
        <v>#REF!</v>
      </c>
    </row>
    <row r="1555" spans="1:31" x14ac:dyDescent="0.25">
      <c r="A1555">
        <v>1353</v>
      </c>
      <c r="B1555" t="s">
        <v>51</v>
      </c>
      <c r="C1555">
        <v>60</v>
      </c>
      <c r="D1555">
        <v>411</v>
      </c>
      <c r="E1555">
        <v>1353</v>
      </c>
      <c r="F1555">
        <v>1058401</v>
      </c>
      <c r="G1555">
        <v>1146600</v>
      </c>
      <c r="H1555">
        <f t="shared" si="48"/>
        <v>24.000022675736961</v>
      </c>
      <c r="I1555">
        <f t="shared" si="49"/>
        <v>26</v>
      </c>
      <c r="J1555" t="s">
        <v>22</v>
      </c>
      <c r="K1555">
        <v>4</v>
      </c>
      <c r="L1555" t="e">
        <f t="array" ref="L1555">VLOOKUP(J1555:$J$3871&amp;K1555:$K$3871,CHOOSE({1,2},#REF!&amp;#REF!,#REF!),2,0)</f>
        <v>#N/A</v>
      </c>
      <c r="M1555">
        <v>0</v>
      </c>
      <c r="N1555">
        <v>1</v>
      </c>
      <c r="O1555" t="s">
        <v>23</v>
      </c>
      <c r="P1555">
        <v>1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1</v>
      </c>
      <c r="Y1555">
        <v>0</v>
      </c>
      <c r="Z1555">
        <v>0</v>
      </c>
      <c r="AA1555" t="s">
        <v>4188</v>
      </c>
      <c r="AB1555" t="s">
        <v>1442</v>
      </c>
      <c r="AC1555" t="s">
        <v>4188</v>
      </c>
      <c r="AD1555" t="e">
        <f>VLOOKUP(AB1555,#REF!,2,FALSE)</f>
        <v>#REF!</v>
      </c>
      <c r="AE1555" t="e">
        <f>RIGHT(#REF!,(FIND("Complex",#REF!,1)-8))</f>
        <v>#REF!</v>
      </c>
    </row>
    <row r="1556" spans="1:31" x14ac:dyDescent="0.25">
      <c r="A1556">
        <v>677</v>
      </c>
      <c r="B1556" t="s">
        <v>51</v>
      </c>
      <c r="C1556">
        <v>60</v>
      </c>
      <c r="D1556">
        <v>211</v>
      </c>
      <c r="E1556">
        <v>677</v>
      </c>
      <c r="F1556">
        <v>1</v>
      </c>
      <c r="G1556">
        <v>88200</v>
      </c>
      <c r="H1556">
        <f t="shared" si="48"/>
        <v>2.2675736961451248E-5</v>
      </c>
      <c r="I1556">
        <f t="shared" si="49"/>
        <v>2</v>
      </c>
      <c r="J1556" t="s">
        <v>22</v>
      </c>
      <c r="K1556">
        <v>4</v>
      </c>
      <c r="L1556" t="e">
        <f t="array" ref="L1556">VLOOKUP(J1556:$J$3871&amp;K1556:$K$3871,CHOOSE({1,2},#REF!&amp;#REF!,#REF!),2,0)</f>
        <v>#N/A</v>
      </c>
      <c r="M1556">
        <v>0</v>
      </c>
      <c r="N1556">
        <v>1</v>
      </c>
      <c r="O1556" t="s">
        <v>23</v>
      </c>
      <c r="P1556">
        <v>1</v>
      </c>
      <c r="Q1556">
        <v>1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1</v>
      </c>
      <c r="Y1556">
        <v>0</v>
      </c>
      <c r="Z1556">
        <v>0</v>
      </c>
      <c r="AA1556" t="s">
        <v>4877</v>
      </c>
      <c r="AB1556" t="s">
        <v>1443</v>
      </c>
      <c r="AC1556" t="s">
        <v>4877</v>
      </c>
      <c r="AD1556" t="e">
        <f>VLOOKUP(AB1556,#REF!,2,FALSE)</f>
        <v>#REF!</v>
      </c>
      <c r="AE1556" t="e">
        <f>RIGHT(#REF!,(FIND("Complex",#REF!,1)-8))</f>
        <v>#REF!</v>
      </c>
    </row>
    <row r="1557" spans="1:31" x14ac:dyDescent="0.25">
      <c r="A1557">
        <v>771</v>
      </c>
      <c r="B1557" t="s">
        <v>21</v>
      </c>
      <c r="C1557">
        <v>64</v>
      </c>
      <c r="D1557">
        <v>237</v>
      </c>
      <c r="E1557">
        <v>771</v>
      </c>
      <c r="F1557">
        <v>1146601</v>
      </c>
      <c r="G1557">
        <v>1234800</v>
      </c>
      <c r="H1557">
        <f t="shared" si="48"/>
        <v>26.000022675736961</v>
      </c>
      <c r="I1557">
        <f t="shared" si="49"/>
        <v>28</v>
      </c>
      <c r="J1557" t="s">
        <v>22</v>
      </c>
      <c r="K1557">
        <v>4</v>
      </c>
      <c r="L1557" t="e">
        <f t="array" ref="L1557">VLOOKUP(J1557:$J$3871&amp;K1557:$K$3871,CHOOSE({1,2},#REF!&amp;#REF!,#REF!),2,0)</f>
        <v>#N/A</v>
      </c>
      <c r="M1557">
        <v>0</v>
      </c>
      <c r="N1557">
        <v>1</v>
      </c>
      <c r="O1557" t="s">
        <v>23</v>
      </c>
      <c r="P1557">
        <v>1</v>
      </c>
      <c r="Q1557">
        <v>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0</v>
      </c>
      <c r="Z1557">
        <v>0</v>
      </c>
      <c r="AA1557" t="s">
        <v>4146</v>
      </c>
      <c r="AB1557" t="s">
        <v>6699</v>
      </c>
      <c r="AC1557" t="s">
        <v>4146</v>
      </c>
      <c r="AD1557" t="e">
        <f>VLOOKUP(AB1557,#REF!,2,FALSE)</f>
        <v>#REF!</v>
      </c>
      <c r="AE1557" t="e">
        <f>RIGHT(#REF!,(FIND("Complex",#REF!,1)-7))</f>
        <v>#REF!</v>
      </c>
    </row>
    <row r="1558" spans="1:31" x14ac:dyDescent="0.25">
      <c r="A1558">
        <v>593</v>
      </c>
      <c r="B1558" t="s">
        <v>21</v>
      </c>
      <c r="C1558">
        <v>64</v>
      </c>
      <c r="D1558">
        <v>190</v>
      </c>
      <c r="E1558">
        <v>593</v>
      </c>
      <c r="F1558">
        <v>1058401</v>
      </c>
      <c r="G1558">
        <v>1146600</v>
      </c>
      <c r="H1558">
        <f t="shared" si="48"/>
        <v>24.000022675736961</v>
      </c>
      <c r="I1558">
        <f t="shared" si="49"/>
        <v>26</v>
      </c>
      <c r="J1558" t="s">
        <v>22</v>
      </c>
      <c r="K1558">
        <v>4</v>
      </c>
      <c r="L1558" t="e">
        <f t="array" ref="L1558">VLOOKUP(J1558:$J$3871&amp;K1558:$K$3871,CHOOSE({1,2},#REF!&amp;#REF!,#REF!),2,0)</f>
        <v>#N/A</v>
      </c>
      <c r="M1558">
        <v>0</v>
      </c>
      <c r="N1558">
        <v>1</v>
      </c>
      <c r="O1558" t="s">
        <v>23</v>
      </c>
      <c r="P1558">
        <v>1</v>
      </c>
      <c r="Q1558">
        <v>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1</v>
      </c>
      <c r="Y1558">
        <v>0</v>
      </c>
      <c r="Z1558">
        <v>0</v>
      </c>
      <c r="AA1558" t="s">
        <v>4185</v>
      </c>
      <c r="AB1558" t="s">
        <v>6727</v>
      </c>
      <c r="AC1558" t="s">
        <v>4185</v>
      </c>
      <c r="AD1558" t="e">
        <f>VLOOKUP(AB1558,#REF!,2,FALSE)</f>
        <v>#REF!</v>
      </c>
      <c r="AE1558" t="e">
        <f>RIGHT(#REF!,(FIND("Complex",#REF!,1)-7))</f>
        <v>#REF!</v>
      </c>
    </row>
    <row r="1559" spans="1:31" x14ac:dyDescent="0.25">
      <c r="A1559">
        <v>114</v>
      </c>
      <c r="B1559" t="s">
        <v>21</v>
      </c>
      <c r="C1559">
        <v>64</v>
      </c>
      <c r="D1559">
        <v>33</v>
      </c>
      <c r="E1559">
        <v>114</v>
      </c>
      <c r="F1559">
        <v>970201</v>
      </c>
      <c r="G1559">
        <v>1058400</v>
      </c>
      <c r="H1559">
        <f t="shared" si="48"/>
        <v>22.000022675736961</v>
      </c>
      <c r="I1559">
        <f t="shared" si="49"/>
        <v>24</v>
      </c>
      <c r="J1559" t="s">
        <v>22</v>
      </c>
      <c r="K1559">
        <v>4</v>
      </c>
      <c r="L1559" t="e">
        <f t="array" ref="L1559">VLOOKUP(J1559:$J$3871&amp;K1559:$K$3871,CHOOSE({1,2},#REF!&amp;#REF!,#REF!),2,0)</f>
        <v>#N/A</v>
      </c>
      <c r="M1559">
        <v>0</v>
      </c>
      <c r="N1559">
        <v>1</v>
      </c>
      <c r="O1559" t="s">
        <v>23</v>
      </c>
      <c r="P1559">
        <v>1</v>
      </c>
      <c r="Q1559">
        <v>1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1</v>
      </c>
      <c r="Y1559">
        <v>0</v>
      </c>
      <c r="Z1559">
        <v>0</v>
      </c>
      <c r="AA1559" t="s">
        <v>4243</v>
      </c>
      <c r="AB1559" t="s">
        <v>1508</v>
      </c>
      <c r="AC1559" t="s">
        <v>4243</v>
      </c>
      <c r="AD1559" t="e">
        <f>VLOOKUP(AB1559,#REF!,2,FALSE)</f>
        <v>#REF!</v>
      </c>
      <c r="AE1559" t="e">
        <f>RIGHT(#REF!,(FIND("Complex",#REF!,1)-7))</f>
        <v>#REF!</v>
      </c>
    </row>
    <row r="1560" spans="1:31" x14ac:dyDescent="0.25">
      <c r="A1560">
        <v>485</v>
      </c>
      <c r="B1560" t="s">
        <v>21</v>
      </c>
      <c r="C1560">
        <v>64</v>
      </c>
      <c r="D1560">
        <v>155</v>
      </c>
      <c r="E1560">
        <v>485</v>
      </c>
      <c r="F1560">
        <v>88201</v>
      </c>
      <c r="G1560">
        <v>176400</v>
      </c>
      <c r="H1560">
        <f t="shared" si="48"/>
        <v>2.0000226757369615</v>
      </c>
      <c r="I1560">
        <f t="shared" si="49"/>
        <v>4</v>
      </c>
      <c r="J1560" t="s">
        <v>22</v>
      </c>
      <c r="K1560">
        <v>4</v>
      </c>
      <c r="L1560" t="e">
        <f t="array" ref="L1560">VLOOKUP(J1560:$J$3871&amp;K1560:$K$3871,CHOOSE({1,2},#REF!&amp;#REF!,#REF!),2,0)</f>
        <v>#N/A</v>
      </c>
      <c r="M1560">
        <v>0</v>
      </c>
      <c r="N1560">
        <v>1</v>
      </c>
      <c r="O1560" t="s">
        <v>23</v>
      </c>
      <c r="P1560">
        <v>1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1</v>
      </c>
      <c r="Y1560">
        <v>0</v>
      </c>
      <c r="Z1560">
        <v>0</v>
      </c>
      <c r="AA1560" t="s">
        <v>4330</v>
      </c>
      <c r="AB1560" t="s">
        <v>1509</v>
      </c>
      <c r="AC1560" t="s">
        <v>4330</v>
      </c>
      <c r="AD1560" t="e">
        <f>VLOOKUP(AB1560,#REF!,2,FALSE)</f>
        <v>#REF!</v>
      </c>
      <c r="AE1560" t="e">
        <f>RIGHT(#REF!,(FIND("Complex",#REF!,1)-8))</f>
        <v>#REF!</v>
      </c>
    </row>
    <row r="1561" spans="1:31" x14ac:dyDescent="0.25">
      <c r="A1561">
        <v>1005</v>
      </c>
      <c r="B1561" t="s">
        <v>21</v>
      </c>
      <c r="C1561">
        <v>64</v>
      </c>
      <c r="D1561">
        <v>302</v>
      </c>
      <c r="E1561">
        <v>1005</v>
      </c>
      <c r="F1561">
        <v>793801</v>
      </c>
      <c r="G1561">
        <v>882000</v>
      </c>
      <c r="H1561">
        <f t="shared" si="48"/>
        <v>18.000022675736961</v>
      </c>
      <c r="I1561">
        <f t="shared" si="49"/>
        <v>20</v>
      </c>
      <c r="J1561" t="s">
        <v>22</v>
      </c>
      <c r="K1561">
        <v>4</v>
      </c>
      <c r="L1561" t="e">
        <f t="array" ref="L1561">VLOOKUP(J1561:$J$3871&amp;K1561:$K$3871,CHOOSE({1,2},#REF!&amp;#REF!,#REF!),2,0)</f>
        <v>#N/A</v>
      </c>
      <c r="M1561">
        <v>0</v>
      </c>
      <c r="N1561">
        <v>1</v>
      </c>
      <c r="O1561" t="s">
        <v>23</v>
      </c>
      <c r="P1561">
        <v>1</v>
      </c>
      <c r="Q1561">
        <v>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1</v>
      </c>
      <c r="Y1561">
        <v>0</v>
      </c>
      <c r="Z1561">
        <v>0</v>
      </c>
      <c r="AA1561" t="s">
        <v>4412</v>
      </c>
      <c r="AB1561" t="s">
        <v>1510</v>
      </c>
      <c r="AC1561" t="s">
        <v>4412</v>
      </c>
      <c r="AD1561" t="e">
        <f>VLOOKUP(AB1561,#REF!,2,FALSE)</f>
        <v>#REF!</v>
      </c>
      <c r="AE1561" t="e">
        <f>RIGHT(#REF!,(FIND("Complex",#REF!,1)-8))</f>
        <v>#REF!</v>
      </c>
    </row>
    <row r="1562" spans="1:31" x14ac:dyDescent="0.25">
      <c r="A1562">
        <v>1157</v>
      </c>
      <c r="B1562" t="s">
        <v>21</v>
      </c>
      <c r="C1562">
        <v>64</v>
      </c>
      <c r="D1562">
        <v>347</v>
      </c>
      <c r="E1562">
        <v>1157</v>
      </c>
      <c r="F1562">
        <v>529201</v>
      </c>
      <c r="G1562">
        <v>617400</v>
      </c>
      <c r="H1562">
        <f t="shared" si="48"/>
        <v>12.000022675736961</v>
      </c>
      <c r="I1562">
        <f t="shared" si="49"/>
        <v>14</v>
      </c>
      <c r="J1562" t="s">
        <v>22</v>
      </c>
      <c r="K1562">
        <v>4</v>
      </c>
      <c r="L1562" t="e">
        <f t="array" ref="L1562">VLOOKUP(J1562:$J$3871&amp;K1562:$K$3871,CHOOSE({1,2},#REF!&amp;#REF!,#REF!),2,0)</f>
        <v>#N/A</v>
      </c>
      <c r="M1562">
        <v>0</v>
      </c>
      <c r="N1562">
        <v>1</v>
      </c>
      <c r="O1562" t="s">
        <v>23</v>
      </c>
      <c r="P1562">
        <v>1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1</v>
      </c>
      <c r="Y1562">
        <v>0</v>
      </c>
      <c r="Z1562">
        <v>0</v>
      </c>
      <c r="AA1562" t="s">
        <v>4735</v>
      </c>
      <c r="AB1562" t="s">
        <v>1511</v>
      </c>
      <c r="AC1562" t="s">
        <v>4735</v>
      </c>
      <c r="AD1562" t="e">
        <f>VLOOKUP(AB1562,#REF!,2,FALSE)</f>
        <v>#REF!</v>
      </c>
      <c r="AE1562" t="e">
        <f>RIGHT(#REF!,(FIND("Complex",#REF!,1)-8))</f>
        <v>#REF!</v>
      </c>
    </row>
    <row r="1563" spans="1:31" x14ac:dyDescent="0.25">
      <c r="A1563">
        <v>1701</v>
      </c>
      <c r="B1563" t="s">
        <v>21</v>
      </c>
      <c r="C1563">
        <v>64</v>
      </c>
      <c r="D1563">
        <v>514</v>
      </c>
      <c r="E1563">
        <v>1701</v>
      </c>
      <c r="F1563">
        <v>441001</v>
      </c>
      <c r="G1563">
        <v>529200</v>
      </c>
      <c r="H1563">
        <f t="shared" si="48"/>
        <v>10.000022675736961</v>
      </c>
      <c r="I1563">
        <f t="shared" si="49"/>
        <v>12</v>
      </c>
      <c r="J1563" t="s">
        <v>22</v>
      </c>
      <c r="K1563">
        <v>4</v>
      </c>
      <c r="L1563" t="e">
        <f t="array" ref="L1563">VLOOKUP(J1563:$J$3871&amp;K1563:$K$3871,CHOOSE({1,2},#REF!&amp;#REF!,#REF!),2,0)</f>
        <v>#N/A</v>
      </c>
      <c r="M1563">
        <v>0</v>
      </c>
      <c r="N1563">
        <v>1</v>
      </c>
      <c r="O1563" t="s">
        <v>23</v>
      </c>
      <c r="P1563">
        <v>1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1</v>
      </c>
      <c r="Y1563">
        <v>0</v>
      </c>
      <c r="Z1563">
        <v>0</v>
      </c>
      <c r="AA1563" t="s">
        <v>4861</v>
      </c>
      <c r="AB1563" t="s">
        <v>1512</v>
      </c>
      <c r="AC1563" t="s">
        <v>4861</v>
      </c>
      <c r="AD1563" t="e">
        <f>VLOOKUP(AB1563,#REF!,2,FALSE)</f>
        <v>#REF!</v>
      </c>
      <c r="AE1563" t="e">
        <f>RIGHT(#REF!,(FIND("Complex",#REF!,1)-8))</f>
        <v>#REF!</v>
      </c>
    </row>
    <row r="1564" spans="1:31" x14ac:dyDescent="0.25">
      <c r="A1564">
        <v>527</v>
      </c>
      <c r="B1564" t="s">
        <v>49</v>
      </c>
      <c r="C1564">
        <v>65</v>
      </c>
      <c r="D1564">
        <v>170</v>
      </c>
      <c r="E1564">
        <v>527</v>
      </c>
      <c r="F1564">
        <v>88201</v>
      </c>
      <c r="G1564">
        <v>176400</v>
      </c>
      <c r="H1564">
        <f t="shared" si="48"/>
        <v>2.0000226757369615</v>
      </c>
      <c r="I1564">
        <f t="shared" si="49"/>
        <v>4</v>
      </c>
      <c r="J1564" t="s">
        <v>22</v>
      </c>
      <c r="K1564">
        <v>4</v>
      </c>
      <c r="L1564" t="e">
        <f t="array" ref="L1564">VLOOKUP(J1564:$J$3871&amp;K1564:$K$3871,CHOOSE({1,2},#REF!&amp;#REF!,#REF!),2,0)</f>
        <v>#N/A</v>
      </c>
      <c r="M1564">
        <v>0</v>
      </c>
      <c r="N1564">
        <v>1</v>
      </c>
      <c r="O1564" t="s">
        <v>23</v>
      </c>
      <c r="P1564">
        <v>1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1</v>
      </c>
      <c r="Y1564">
        <v>0</v>
      </c>
      <c r="Z1564">
        <v>0</v>
      </c>
      <c r="AA1564" t="s">
        <v>4329</v>
      </c>
      <c r="AB1564" t="s">
        <v>1519</v>
      </c>
      <c r="AC1564" t="s">
        <v>4329</v>
      </c>
      <c r="AD1564" t="e">
        <f>VLOOKUP(AB1564,#REF!,2,FALSE)</f>
        <v>#REF!</v>
      </c>
      <c r="AE1564" t="e">
        <f>RIGHT(#REF!,(FIND("Complex",#REF!,1)-8))</f>
        <v>#REF!</v>
      </c>
    </row>
    <row r="1565" spans="1:31" x14ac:dyDescent="0.25">
      <c r="A1565">
        <v>2641</v>
      </c>
      <c r="B1565" t="s">
        <v>259</v>
      </c>
      <c r="C1565">
        <v>66</v>
      </c>
      <c r="D1565">
        <v>873</v>
      </c>
      <c r="E1565">
        <v>2641</v>
      </c>
      <c r="F1565">
        <v>3351601</v>
      </c>
      <c r="G1565">
        <v>3439800</v>
      </c>
      <c r="H1565">
        <f t="shared" si="48"/>
        <v>76.000022675736957</v>
      </c>
      <c r="I1565">
        <f t="shared" si="49"/>
        <v>78</v>
      </c>
      <c r="J1565" t="s">
        <v>22</v>
      </c>
      <c r="K1565">
        <v>4</v>
      </c>
      <c r="L1565" t="e">
        <f t="array" ref="L1565">VLOOKUP(J1565:$J$3871&amp;K1565:$K$3871,CHOOSE({1,2},#REF!&amp;#REF!,#REF!),2,0)</f>
        <v>#N/A</v>
      </c>
      <c r="M1565">
        <v>0</v>
      </c>
      <c r="N1565">
        <v>1</v>
      </c>
      <c r="O1565" t="s">
        <v>23</v>
      </c>
      <c r="P1565">
        <v>1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 t="s">
        <v>3664</v>
      </c>
      <c r="AB1565" t="s">
        <v>1533</v>
      </c>
      <c r="AC1565" t="s">
        <v>3664</v>
      </c>
      <c r="AD1565" t="e">
        <f>VLOOKUP(AB1565,#REF!,2,FALSE)</f>
        <v>#REF!</v>
      </c>
      <c r="AE1565" t="e">
        <f>RIGHT(#REF!,(FIND("Complex",#REF!,1)-8))</f>
        <v>#REF!</v>
      </c>
    </row>
    <row r="1566" spans="1:31" x14ac:dyDescent="0.25">
      <c r="A1566">
        <v>751</v>
      </c>
      <c r="B1566" t="s">
        <v>259</v>
      </c>
      <c r="C1566">
        <v>66</v>
      </c>
      <c r="D1566">
        <v>231</v>
      </c>
      <c r="E1566">
        <v>751</v>
      </c>
      <c r="F1566">
        <v>3263401</v>
      </c>
      <c r="G1566">
        <v>3351600</v>
      </c>
      <c r="H1566">
        <f t="shared" si="48"/>
        <v>74.000022675736957</v>
      </c>
      <c r="I1566">
        <f t="shared" si="49"/>
        <v>76</v>
      </c>
      <c r="J1566" t="s">
        <v>22</v>
      </c>
      <c r="K1566">
        <v>4</v>
      </c>
      <c r="L1566" t="e">
        <f t="array" ref="L1566">VLOOKUP(J1566:$J$3871&amp;K1566:$K$3871,CHOOSE({1,2},#REF!&amp;#REF!,#REF!),2,0)</f>
        <v>#N/A</v>
      </c>
      <c r="M1566">
        <v>0</v>
      </c>
      <c r="N1566">
        <v>1</v>
      </c>
      <c r="O1566" t="s">
        <v>23</v>
      </c>
      <c r="P1566">
        <v>1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1</v>
      </c>
      <c r="Y1566">
        <v>0</v>
      </c>
      <c r="Z1566">
        <v>0</v>
      </c>
      <c r="AA1566" t="s">
        <v>3679</v>
      </c>
      <c r="AB1566" t="s">
        <v>6409</v>
      </c>
      <c r="AC1566" t="s">
        <v>3679</v>
      </c>
      <c r="AD1566" t="e">
        <f>VLOOKUP(AB1566,#REF!,2,FALSE)</f>
        <v>#REF!</v>
      </c>
      <c r="AE1566" t="e">
        <f>RIGHT(#REF!,(FIND("Complex",#REF!,1)-7))</f>
        <v>#REF!</v>
      </c>
    </row>
    <row r="1567" spans="1:31" x14ac:dyDescent="0.25">
      <c r="A1567">
        <v>2414</v>
      </c>
      <c r="B1567" t="s">
        <v>259</v>
      </c>
      <c r="C1567">
        <v>66</v>
      </c>
      <c r="D1567">
        <v>774</v>
      </c>
      <c r="E1567">
        <v>2414</v>
      </c>
      <c r="F1567">
        <v>3087001</v>
      </c>
      <c r="G1567">
        <v>3175200</v>
      </c>
      <c r="H1567">
        <f t="shared" si="48"/>
        <v>70.000022675736957</v>
      </c>
      <c r="I1567">
        <f t="shared" si="49"/>
        <v>72</v>
      </c>
      <c r="J1567" t="s">
        <v>22</v>
      </c>
      <c r="K1567">
        <v>4</v>
      </c>
      <c r="L1567" t="e">
        <f t="array" ref="L1567">VLOOKUP(J1567:$J$3871&amp;K1567:$K$3871,CHOOSE({1,2},#REF!&amp;#REF!,#REF!),2,0)</f>
        <v>#N/A</v>
      </c>
      <c r="M1567">
        <v>0</v>
      </c>
      <c r="N1567">
        <v>1</v>
      </c>
      <c r="O1567" t="s">
        <v>23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1</v>
      </c>
      <c r="Y1567">
        <v>0</v>
      </c>
      <c r="Z1567">
        <v>0</v>
      </c>
      <c r="AA1567" t="s">
        <v>3704</v>
      </c>
      <c r="AB1567" t="s">
        <v>6424</v>
      </c>
      <c r="AC1567" t="s">
        <v>3704</v>
      </c>
      <c r="AD1567" t="e">
        <f>VLOOKUP(AB1567,#REF!,2,FALSE)</f>
        <v>#REF!</v>
      </c>
      <c r="AE1567" t="e">
        <f>RIGHT(#REF!,(FIND("Complex",#REF!,1)-8))</f>
        <v>#REF!</v>
      </c>
    </row>
    <row r="1568" spans="1:31" x14ac:dyDescent="0.25">
      <c r="A1568">
        <v>2098</v>
      </c>
      <c r="B1568" t="s">
        <v>259</v>
      </c>
      <c r="C1568">
        <v>66</v>
      </c>
      <c r="D1568">
        <v>638</v>
      </c>
      <c r="E1568">
        <v>2098</v>
      </c>
      <c r="F1568">
        <v>2116801</v>
      </c>
      <c r="G1568">
        <v>2205000</v>
      </c>
      <c r="H1568">
        <f t="shared" si="48"/>
        <v>48.000022675736965</v>
      </c>
      <c r="I1568">
        <f t="shared" si="49"/>
        <v>50</v>
      </c>
      <c r="J1568" t="s">
        <v>22</v>
      </c>
      <c r="K1568">
        <v>4</v>
      </c>
      <c r="L1568" t="e">
        <f t="array" ref="L1568">VLOOKUP(J1568:$J$3871&amp;K1568:$K$3871,CHOOSE({1,2},#REF!&amp;#REF!,#REF!),2,0)</f>
        <v>#N/A</v>
      </c>
      <c r="M1568">
        <v>0</v>
      </c>
      <c r="N1568">
        <v>1</v>
      </c>
      <c r="O1568" t="s">
        <v>23</v>
      </c>
      <c r="P1568">
        <v>1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1</v>
      </c>
      <c r="Y1568">
        <v>0</v>
      </c>
      <c r="Z1568">
        <v>0</v>
      </c>
      <c r="AA1568" t="s">
        <v>3887</v>
      </c>
      <c r="AB1568" t="s">
        <v>6532</v>
      </c>
      <c r="AC1568" t="s">
        <v>3887</v>
      </c>
      <c r="AD1568" t="e">
        <f>VLOOKUP(AB1568,#REF!,2,FALSE)</f>
        <v>#REF!</v>
      </c>
      <c r="AE1568" t="e">
        <f>RIGHT(#REF!,(FIND("Complex",#REF!,1)-8))</f>
        <v>#REF!</v>
      </c>
    </row>
    <row r="1569" spans="1:31" x14ac:dyDescent="0.25">
      <c r="A1569">
        <v>1189</v>
      </c>
      <c r="B1569" t="s">
        <v>259</v>
      </c>
      <c r="C1569">
        <v>66</v>
      </c>
      <c r="D1569">
        <v>359</v>
      </c>
      <c r="E1569">
        <v>1189</v>
      </c>
      <c r="F1569">
        <v>882001</v>
      </c>
      <c r="G1569">
        <v>970200</v>
      </c>
      <c r="H1569">
        <f t="shared" si="48"/>
        <v>20.000022675736961</v>
      </c>
      <c r="I1569">
        <f t="shared" si="49"/>
        <v>22</v>
      </c>
      <c r="J1569" t="s">
        <v>22</v>
      </c>
      <c r="K1569">
        <v>4</v>
      </c>
      <c r="L1569" t="e">
        <f t="array" ref="L1569">VLOOKUP(J1569:$J$3871&amp;K1569:$K$3871,CHOOSE({1,2},#REF!&amp;#REF!,#REF!),2,0)</f>
        <v>#N/A</v>
      </c>
      <c r="M1569">
        <v>0</v>
      </c>
      <c r="N1569">
        <v>1</v>
      </c>
      <c r="O1569" t="s">
        <v>23</v>
      </c>
      <c r="P1569">
        <v>1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1</v>
      </c>
      <c r="Y1569">
        <v>0</v>
      </c>
      <c r="Z1569">
        <v>0</v>
      </c>
      <c r="AA1569" t="s">
        <v>4309</v>
      </c>
      <c r="AB1569" t="s">
        <v>6807</v>
      </c>
      <c r="AC1569" t="s">
        <v>4309</v>
      </c>
      <c r="AD1569" t="e">
        <f>VLOOKUP(AB1569,#REF!,2,FALSE)</f>
        <v>#REF!</v>
      </c>
      <c r="AE1569" t="e">
        <f>RIGHT(#REF!,(FIND("Complex",#REF!,1)-8))</f>
        <v>#REF!</v>
      </c>
    </row>
    <row r="1570" spans="1:31" x14ac:dyDescent="0.25">
      <c r="A1570">
        <v>1686</v>
      </c>
      <c r="B1570" t="s">
        <v>259</v>
      </c>
      <c r="C1570">
        <v>66</v>
      </c>
      <c r="D1570">
        <v>509</v>
      </c>
      <c r="E1570">
        <v>1686</v>
      </c>
      <c r="F1570">
        <v>705601</v>
      </c>
      <c r="G1570">
        <v>793800</v>
      </c>
      <c r="H1570">
        <f t="shared" si="48"/>
        <v>16.000022675736961</v>
      </c>
      <c r="I1570">
        <f t="shared" si="49"/>
        <v>18</v>
      </c>
      <c r="J1570" t="s">
        <v>22</v>
      </c>
      <c r="K1570">
        <v>4</v>
      </c>
      <c r="L1570" t="e">
        <f t="array" ref="L1570">VLOOKUP(J1570:$J$3871&amp;K1570:$K$3871,CHOOSE({1,2},#REF!&amp;#REF!,#REF!),2,0)</f>
        <v>#N/A</v>
      </c>
      <c r="M1570">
        <v>0</v>
      </c>
      <c r="N1570">
        <v>1</v>
      </c>
      <c r="O1570" t="s">
        <v>23</v>
      </c>
      <c r="P1570">
        <v>1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1</v>
      </c>
      <c r="Y1570">
        <v>0</v>
      </c>
      <c r="Z1570">
        <v>0</v>
      </c>
      <c r="AA1570" t="s">
        <v>4497</v>
      </c>
      <c r="AB1570" t="s">
        <v>6921</v>
      </c>
      <c r="AC1570" t="s">
        <v>4497</v>
      </c>
      <c r="AD1570" t="e">
        <f>VLOOKUP(AB1570,#REF!,2,FALSE)</f>
        <v>#REF!</v>
      </c>
      <c r="AE1570" t="e">
        <f>RIGHT(#REF!,(FIND("Complex",#REF!,1)-8))</f>
        <v>#REF!</v>
      </c>
    </row>
    <row r="1571" spans="1:31" x14ac:dyDescent="0.25">
      <c r="A1571">
        <v>290</v>
      </c>
      <c r="B1571" t="s">
        <v>259</v>
      </c>
      <c r="C1571">
        <v>66</v>
      </c>
      <c r="D1571">
        <v>89</v>
      </c>
      <c r="E1571">
        <v>290</v>
      </c>
      <c r="F1571">
        <v>4410001</v>
      </c>
      <c r="G1571">
        <v>4498200</v>
      </c>
      <c r="H1571">
        <f t="shared" si="48"/>
        <v>100.00002267573696</v>
      </c>
      <c r="I1571">
        <f t="shared" si="49"/>
        <v>102</v>
      </c>
      <c r="J1571" t="s">
        <v>22</v>
      </c>
      <c r="K1571">
        <v>4</v>
      </c>
      <c r="L1571" t="e">
        <f t="array" ref="L1571">VLOOKUP(J1571:$J$3871&amp;K1571:$K$3871,CHOOSE({1,2},#REF!&amp;#REF!,#REF!),2,0)</f>
        <v>#N/A</v>
      </c>
      <c r="M1571">
        <v>0</v>
      </c>
      <c r="N1571">
        <v>1</v>
      </c>
      <c r="O1571" t="s">
        <v>23</v>
      </c>
      <c r="P1571">
        <v>1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1</v>
      </c>
      <c r="Y1571">
        <v>0</v>
      </c>
      <c r="Z1571">
        <v>0</v>
      </c>
      <c r="AA1571" t="s">
        <v>4836</v>
      </c>
      <c r="AB1571" t="s">
        <v>7131</v>
      </c>
      <c r="AC1571" t="s">
        <v>4836</v>
      </c>
      <c r="AD1571" t="e">
        <f>VLOOKUP(AB1571,#REF!,2,FALSE)</f>
        <v>#REF!</v>
      </c>
      <c r="AE1571" t="e">
        <f>RIGHT(#REF!,(FIND("Complex",#REF!,1)-6))</f>
        <v>#REF!</v>
      </c>
    </row>
    <row r="1572" spans="1:31" x14ac:dyDescent="0.25">
      <c r="A1572">
        <v>393</v>
      </c>
      <c r="B1572" t="s">
        <v>42</v>
      </c>
      <c r="C1572">
        <v>71</v>
      </c>
      <c r="D1572">
        <v>125</v>
      </c>
      <c r="E1572">
        <v>393</v>
      </c>
      <c r="F1572">
        <v>352801</v>
      </c>
      <c r="G1572">
        <v>441000</v>
      </c>
      <c r="H1572">
        <f t="shared" si="48"/>
        <v>8.000022675736961</v>
      </c>
      <c r="I1572">
        <f t="shared" si="49"/>
        <v>10</v>
      </c>
      <c r="J1572" t="s">
        <v>22</v>
      </c>
      <c r="K1572">
        <v>4</v>
      </c>
      <c r="L1572" t="e">
        <f t="array" ref="L1572">VLOOKUP(J1572:$J$3871&amp;K1572:$K$3871,CHOOSE({1,2},#REF!&amp;#REF!,#REF!),2,0)</f>
        <v>#N/A</v>
      </c>
      <c r="M1572">
        <v>0</v>
      </c>
      <c r="N1572">
        <v>1</v>
      </c>
      <c r="O1572" t="s">
        <v>23</v>
      </c>
      <c r="P1572">
        <v>1</v>
      </c>
      <c r="Q1572">
        <v>1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 t="s">
        <v>3639</v>
      </c>
      <c r="AB1572" t="s">
        <v>6389</v>
      </c>
      <c r="AC1572" t="s">
        <v>3639</v>
      </c>
      <c r="AD1572" t="e">
        <f>VLOOKUP(AB1572,#REF!,2,FALSE)</f>
        <v>#REF!</v>
      </c>
      <c r="AE1572" t="e">
        <f>RIGHT(#REF!,(FIND("Complex",#REF!,1)-8))</f>
        <v>#REF!</v>
      </c>
    </row>
    <row r="1573" spans="1:31" x14ac:dyDescent="0.25">
      <c r="A1573">
        <v>1783</v>
      </c>
      <c r="B1573" t="s">
        <v>42</v>
      </c>
      <c r="C1573">
        <v>71</v>
      </c>
      <c r="D1573">
        <v>537</v>
      </c>
      <c r="E1573">
        <v>1783</v>
      </c>
      <c r="F1573">
        <v>1499401</v>
      </c>
      <c r="G1573">
        <v>1587600</v>
      </c>
      <c r="H1573">
        <f t="shared" si="48"/>
        <v>34.000022675736965</v>
      </c>
      <c r="I1573">
        <f t="shared" si="49"/>
        <v>36</v>
      </c>
      <c r="J1573" t="s">
        <v>22</v>
      </c>
      <c r="K1573">
        <v>4</v>
      </c>
      <c r="L1573" t="e">
        <f t="array" ref="L1573">VLOOKUP(J1573:$J$3871&amp;K1573:$K$3871,CHOOSE({1,2},#REF!&amp;#REF!,#REF!),2,0)</f>
        <v>#N/A</v>
      </c>
      <c r="M1573">
        <v>0</v>
      </c>
      <c r="N1573">
        <v>1</v>
      </c>
      <c r="O1573" t="s">
        <v>23</v>
      </c>
      <c r="P1573">
        <v>1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1</v>
      </c>
      <c r="Y1573">
        <v>0</v>
      </c>
      <c r="Z1573">
        <v>0</v>
      </c>
      <c r="AA1573" t="s">
        <v>4018</v>
      </c>
      <c r="AB1573" t="s">
        <v>6609</v>
      </c>
      <c r="AC1573" t="s">
        <v>4018</v>
      </c>
      <c r="AD1573" t="e">
        <f>VLOOKUP(AB1573,#REF!,2,FALSE)</f>
        <v>#REF!</v>
      </c>
      <c r="AE1573" t="e">
        <f>RIGHT(#REF!,(FIND("Complex",#REF!,1)-8))</f>
        <v>#REF!</v>
      </c>
    </row>
    <row r="1574" spans="1:31" x14ac:dyDescent="0.25">
      <c r="A1574">
        <v>761</v>
      </c>
      <c r="B1574" t="s">
        <v>42</v>
      </c>
      <c r="C1574">
        <v>71</v>
      </c>
      <c r="D1574">
        <v>235</v>
      </c>
      <c r="E1574">
        <v>761</v>
      </c>
      <c r="F1574">
        <v>1323001</v>
      </c>
      <c r="G1574">
        <v>1411200</v>
      </c>
      <c r="H1574">
        <f t="shared" si="48"/>
        <v>30.000022675736961</v>
      </c>
      <c r="I1574">
        <f t="shared" si="49"/>
        <v>32</v>
      </c>
      <c r="J1574" t="s">
        <v>22</v>
      </c>
      <c r="K1574">
        <v>4</v>
      </c>
      <c r="L1574" t="e">
        <f t="array" ref="L1574">VLOOKUP(J1574:$J$3871&amp;K1574:$K$3871,CHOOSE({1,2},#REF!&amp;#REF!,#REF!),2,0)</f>
        <v>#N/A</v>
      </c>
      <c r="M1574">
        <v>0</v>
      </c>
      <c r="N1574">
        <v>1</v>
      </c>
      <c r="O1574" t="s">
        <v>23</v>
      </c>
      <c r="P1574">
        <v>1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1</v>
      </c>
      <c r="Y1574">
        <v>0</v>
      </c>
      <c r="Z1574">
        <v>0</v>
      </c>
      <c r="AA1574" t="s">
        <v>4061</v>
      </c>
      <c r="AB1574" t="s">
        <v>6636</v>
      </c>
      <c r="AC1574" t="s">
        <v>4061</v>
      </c>
      <c r="AD1574" t="e">
        <f>VLOOKUP(AB1574,#REF!,2,FALSE)</f>
        <v>#REF!</v>
      </c>
      <c r="AE1574" t="e">
        <f>RIGHT(#REF!,(FIND("Complex",#REF!,1)-7))</f>
        <v>#REF!</v>
      </c>
    </row>
    <row r="1575" spans="1:31" x14ac:dyDescent="0.25">
      <c r="A1575">
        <v>1092</v>
      </c>
      <c r="B1575" t="s">
        <v>42</v>
      </c>
      <c r="C1575">
        <v>71</v>
      </c>
      <c r="D1575">
        <v>328</v>
      </c>
      <c r="E1575">
        <v>1092</v>
      </c>
      <c r="F1575">
        <v>1146601</v>
      </c>
      <c r="G1575">
        <v>1234800</v>
      </c>
      <c r="H1575">
        <f t="shared" si="48"/>
        <v>26.000022675736961</v>
      </c>
      <c r="I1575">
        <f t="shared" si="49"/>
        <v>28</v>
      </c>
      <c r="J1575" t="s">
        <v>22</v>
      </c>
      <c r="K1575">
        <v>4</v>
      </c>
      <c r="L1575" t="e">
        <f t="array" ref="L1575">VLOOKUP(J1575:$J$3871&amp;K1575:$K$3871,CHOOSE({1,2},#REF!&amp;#REF!,#REF!),2,0)</f>
        <v>#N/A</v>
      </c>
      <c r="M1575">
        <v>0</v>
      </c>
      <c r="N1575">
        <v>1</v>
      </c>
      <c r="O1575" t="s">
        <v>23</v>
      </c>
      <c r="P1575">
        <v>1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1</v>
      </c>
      <c r="Y1575">
        <v>0</v>
      </c>
      <c r="Z1575">
        <v>0</v>
      </c>
      <c r="AA1575" t="s">
        <v>4144</v>
      </c>
      <c r="AB1575" t="s">
        <v>1556</v>
      </c>
      <c r="AC1575" t="s">
        <v>4144</v>
      </c>
      <c r="AD1575" t="e">
        <f>VLOOKUP(AB1575,#REF!,2,FALSE)</f>
        <v>#REF!</v>
      </c>
      <c r="AE1575" t="e">
        <f>RIGHT(#REF!,(FIND("Complex",#REF!,1)-8))</f>
        <v>#REF!</v>
      </c>
    </row>
    <row r="1576" spans="1:31" x14ac:dyDescent="0.25">
      <c r="A1576">
        <v>564</v>
      </c>
      <c r="B1576" t="s">
        <v>42</v>
      </c>
      <c r="C1576">
        <v>71</v>
      </c>
      <c r="D1576">
        <v>182</v>
      </c>
      <c r="E1576">
        <v>564</v>
      </c>
      <c r="F1576">
        <v>1058401</v>
      </c>
      <c r="G1576">
        <v>1146600</v>
      </c>
      <c r="H1576">
        <f t="shared" si="48"/>
        <v>24.000022675736961</v>
      </c>
      <c r="I1576">
        <f t="shared" si="49"/>
        <v>26</v>
      </c>
      <c r="J1576" t="s">
        <v>22</v>
      </c>
      <c r="K1576">
        <v>4</v>
      </c>
      <c r="L1576" t="e">
        <f t="array" ref="L1576">VLOOKUP(J1576:$J$3871&amp;K1576:$K$3871,CHOOSE({1,2},#REF!&amp;#REF!,#REF!),2,0)</f>
        <v>#N/A</v>
      </c>
      <c r="M1576">
        <v>0</v>
      </c>
      <c r="N1576">
        <v>1</v>
      </c>
      <c r="O1576" t="s">
        <v>23</v>
      </c>
      <c r="P1576">
        <v>1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1</v>
      </c>
      <c r="Y1576">
        <v>0</v>
      </c>
      <c r="Z1576">
        <v>0</v>
      </c>
      <c r="AA1576" t="s">
        <v>4182</v>
      </c>
      <c r="AB1576" t="s">
        <v>1557</v>
      </c>
      <c r="AC1576" t="s">
        <v>4182</v>
      </c>
      <c r="AD1576" t="e">
        <f>VLOOKUP(AB1576,#REF!,2,FALSE)</f>
        <v>#REF!</v>
      </c>
      <c r="AE1576" t="e">
        <f>RIGHT(#REF!,(FIND("Complex",#REF!,1)-7))</f>
        <v>#REF!</v>
      </c>
    </row>
    <row r="1577" spans="1:31" x14ac:dyDescent="0.25">
      <c r="A1577">
        <v>481</v>
      </c>
      <c r="B1577" t="s">
        <v>42</v>
      </c>
      <c r="C1577">
        <v>71</v>
      </c>
      <c r="D1577">
        <v>154</v>
      </c>
      <c r="E1577">
        <v>481</v>
      </c>
      <c r="F1577">
        <v>970201</v>
      </c>
      <c r="G1577">
        <v>1058400</v>
      </c>
      <c r="H1577">
        <f t="shared" si="48"/>
        <v>22.000022675736961</v>
      </c>
      <c r="I1577">
        <f t="shared" si="49"/>
        <v>24</v>
      </c>
      <c r="J1577" t="s">
        <v>22</v>
      </c>
      <c r="K1577">
        <v>4</v>
      </c>
      <c r="L1577" t="e">
        <f t="array" ref="L1577">VLOOKUP(J1577:$J$3871&amp;K1577:$K$3871,CHOOSE({1,2},#REF!&amp;#REF!,#REF!),2,0)</f>
        <v>#N/A</v>
      </c>
      <c r="M1577">
        <v>0</v>
      </c>
      <c r="N1577">
        <v>1</v>
      </c>
      <c r="O1577" t="s">
        <v>23</v>
      </c>
      <c r="P1577">
        <v>1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1</v>
      </c>
      <c r="Y1577">
        <v>0</v>
      </c>
      <c r="Z1577">
        <v>0</v>
      </c>
      <c r="AA1577" t="s">
        <v>4241</v>
      </c>
      <c r="AB1577" t="s">
        <v>1558</v>
      </c>
      <c r="AC1577" t="s">
        <v>4241</v>
      </c>
      <c r="AD1577" t="e">
        <f>VLOOKUP(AB1577,#REF!,2,FALSE)</f>
        <v>#REF!</v>
      </c>
      <c r="AE1577" t="e">
        <f>RIGHT(#REF!,(FIND("Complex",#REF!,1)-7))</f>
        <v>#REF!</v>
      </c>
    </row>
    <row r="1578" spans="1:31" x14ac:dyDescent="0.25">
      <c r="A1578">
        <v>1514</v>
      </c>
      <c r="B1578" t="s">
        <v>42</v>
      </c>
      <c r="C1578">
        <v>71</v>
      </c>
      <c r="D1578">
        <v>462</v>
      </c>
      <c r="E1578">
        <v>1514</v>
      </c>
      <c r="F1578">
        <v>617401</v>
      </c>
      <c r="G1578">
        <v>705600</v>
      </c>
      <c r="H1578">
        <f t="shared" si="48"/>
        <v>14.000022675736961</v>
      </c>
      <c r="I1578">
        <f t="shared" si="49"/>
        <v>16</v>
      </c>
      <c r="J1578" t="s">
        <v>22</v>
      </c>
      <c r="K1578">
        <v>4</v>
      </c>
      <c r="L1578" t="e">
        <f t="array" ref="L1578">VLOOKUP(J1578:$J$3871&amp;K1578:$K$3871,CHOOSE({1,2},#REF!&amp;#REF!,#REF!),2,0)</f>
        <v>#N/A</v>
      </c>
      <c r="M1578">
        <v>0</v>
      </c>
      <c r="N1578">
        <v>1</v>
      </c>
      <c r="O1578" t="s">
        <v>23</v>
      </c>
      <c r="P1578">
        <v>1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1</v>
      </c>
      <c r="Y1578">
        <v>0</v>
      </c>
      <c r="Z1578">
        <v>0</v>
      </c>
      <c r="AA1578" t="s">
        <v>4614</v>
      </c>
      <c r="AB1578" t="s">
        <v>199</v>
      </c>
      <c r="AC1578" t="s">
        <v>4614</v>
      </c>
      <c r="AD1578" t="e">
        <f>VLOOKUP(AB1578,#REF!,2,FALSE)</f>
        <v>#REF!</v>
      </c>
      <c r="AE1578" t="e">
        <f>RIGHT(#REF!,(FIND("Complex",#REF!,1)-8))</f>
        <v>#REF!</v>
      </c>
    </row>
    <row r="1579" spans="1:31" x14ac:dyDescent="0.25">
      <c r="A1579">
        <v>808</v>
      </c>
      <c r="B1579" t="s">
        <v>69</v>
      </c>
      <c r="C1579">
        <v>72</v>
      </c>
      <c r="D1579">
        <v>246</v>
      </c>
      <c r="E1579">
        <v>808</v>
      </c>
      <c r="F1579">
        <v>264601</v>
      </c>
      <c r="G1579">
        <v>352800</v>
      </c>
      <c r="H1579">
        <f t="shared" si="48"/>
        <v>6.000022675736961</v>
      </c>
      <c r="I1579">
        <f t="shared" si="49"/>
        <v>8</v>
      </c>
      <c r="J1579" t="s">
        <v>22</v>
      </c>
      <c r="K1579">
        <v>4</v>
      </c>
      <c r="L1579" t="e">
        <f t="array" ref="L1579">VLOOKUP(J1579:$J$3871&amp;K1579:$K$3871,CHOOSE({1,2},#REF!&amp;#REF!,#REF!),2,0)</f>
        <v>#N/A</v>
      </c>
      <c r="M1579">
        <v>0</v>
      </c>
      <c r="N1579">
        <v>1</v>
      </c>
      <c r="O1579" t="s">
        <v>23</v>
      </c>
      <c r="P1579">
        <v>1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1</v>
      </c>
      <c r="Y1579">
        <v>0</v>
      </c>
      <c r="Z1579">
        <v>0</v>
      </c>
      <c r="AA1579" t="s">
        <v>3803</v>
      </c>
      <c r="AB1579" t="s">
        <v>188</v>
      </c>
      <c r="AC1579" t="s">
        <v>3803</v>
      </c>
      <c r="AD1579" t="e">
        <f>VLOOKUP(AB1579,#REF!,2,FALSE)</f>
        <v>#REF!</v>
      </c>
      <c r="AE1579" t="e">
        <f>RIGHT(#REF!,(FIND("Complex",#REF!,1)-8))</f>
        <v>#REF!</v>
      </c>
    </row>
    <row r="1580" spans="1:31" x14ac:dyDescent="0.25">
      <c r="A1580">
        <v>472</v>
      </c>
      <c r="B1580" t="s">
        <v>69</v>
      </c>
      <c r="C1580">
        <v>72</v>
      </c>
      <c r="D1580">
        <v>149</v>
      </c>
      <c r="E1580">
        <v>472</v>
      </c>
      <c r="F1580">
        <v>176401</v>
      </c>
      <c r="G1580">
        <v>264600</v>
      </c>
      <c r="H1580">
        <f t="shared" si="48"/>
        <v>4.000022675736961</v>
      </c>
      <c r="I1580">
        <f t="shared" si="49"/>
        <v>6</v>
      </c>
      <c r="J1580" t="s">
        <v>22</v>
      </c>
      <c r="K1580">
        <v>4</v>
      </c>
      <c r="L1580" t="e">
        <f t="array" ref="L1580">VLOOKUP(J1580:$J$3871&amp;K1580:$K$3871,CHOOSE({1,2},#REF!&amp;#REF!,#REF!),2,0)</f>
        <v>#N/A</v>
      </c>
      <c r="M1580">
        <v>0</v>
      </c>
      <c r="N1580">
        <v>1</v>
      </c>
      <c r="O1580" t="s">
        <v>23</v>
      </c>
      <c r="P1580">
        <v>1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1</v>
      </c>
      <c r="Y1580">
        <v>0</v>
      </c>
      <c r="Z1580">
        <v>0</v>
      </c>
      <c r="AA1580" t="s">
        <v>3960</v>
      </c>
      <c r="AB1580" t="s">
        <v>1567</v>
      </c>
      <c r="AC1580" t="s">
        <v>3960</v>
      </c>
      <c r="AD1580" t="e">
        <f>VLOOKUP(AB1580,#REF!,2,FALSE)</f>
        <v>#REF!</v>
      </c>
      <c r="AE1580" t="e">
        <f>RIGHT(#REF!,(FIND("Complex",#REF!,1)-8))</f>
        <v>#REF!</v>
      </c>
    </row>
    <row r="1581" spans="1:31" x14ac:dyDescent="0.25">
      <c r="A1581">
        <v>379</v>
      </c>
      <c r="B1581" t="s">
        <v>69</v>
      </c>
      <c r="C1581">
        <v>72</v>
      </c>
      <c r="D1581">
        <v>122</v>
      </c>
      <c r="E1581">
        <v>379</v>
      </c>
      <c r="F1581">
        <v>88201</v>
      </c>
      <c r="G1581">
        <v>176400</v>
      </c>
      <c r="H1581">
        <f t="shared" si="48"/>
        <v>2.0000226757369615</v>
      </c>
      <c r="I1581">
        <f t="shared" si="49"/>
        <v>4</v>
      </c>
      <c r="J1581" t="s">
        <v>22</v>
      </c>
      <c r="K1581">
        <v>4</v>
      </c>
      <c r="L1581" t="e">
        <f t="array" ref="L1581">VLOOKUP(J1581:$J$3871&amp;K1581:$K$3871,CHOOSE({1,2},#REF!&amp;#REF!,#REF!),2,0)</f>
        <v>#N/A</v>
      </c>
      <c r="M1581">
        <v>0</v>
      </c>
      <c r="N1581">
        <v>1</v>
      </c>
      <c r="O1581" t="s">
        <v>23</v>
      </c>
      <c r="P1581">
        <v>1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1</v>
      </c>
      <c r="Y1581">
        <v>0</v>
      </c>
      <c r="Z1581">
        <v>0</v>
      </c>
      <c r="AA1581" t="s">
        <v>4326</v>
      </c>
      <c r="AB1581" t="s">
        <v>1568</v>
      </c>
      <c r="AC1581" t="s">
        <v>4326</v>
      </c>
      <c r="AD1581" t="e">
        <f>VLOOKUP(AB1581,#REF!,2,FALSE)</f>
        <v>#REF!</v>
      </c>
      <c r="AE1581" t="e">
        <f>RIGHT(#REF!,(FIND("Complex",#REF!,1)-8))</f>
        <v>#REF!</v>
      </c>
    </row>
    <row r="1582" spans="1:31" x14ac:dyDescent="0.25">
      <c r="A1582">
        <v>256</v>
      </c>
      <c r="B1582" t="s">
        <v>69</v>
      </c>
      <c r="C1582">
        <v>72</v>
      </c>
      <c r="D1582">
        <v>75</v>
      </c>
      <c r="E1582">
        <v>256</v>
      </c>
      <c r="F1582">
        <v>529201</v>
      </c>
      <c r="G1582">
        <v>617400</v>
      </c>
      <c r="H1582">
        <f t="shared" si="48"/>
        <v>12.000022675736961</v>
      </c>
      <c r="I1582">
        <f t="shared" si="49"/>
        <v>14</v>
      </c>
      <c r="J1582" t="s">
        <v>22</v>
      </c>
      <c r="K1582">
        <v>4</v>
      </c>
      <c r="L1582" t="e">
        <f t="array" ref="L1582">VLOOKUP(J1582:$J$3871&amp;K1582:$K$3871,CHOOSE({1,2},#REF!&amp;#REF!,#REF!),2,0)</f>
        <v>#N/A</v>
      </c>
      <c r="M1582">
        <v>0</v>
      </c>
      <c r="N1582">
        <v>1</v>
      </c>
      <c r="O1582" t="s">
        <v>23</v>
      </c>
      <c r="P1582">
        <v>1</v>
      </c>
      <c r="Q1582">
        <v>1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</v>
      </c>
      <c r="X1582">
        <v>1</v>
      </c>
      <c r="Y1582">
        <v>0</v>
      </c>
      <c r="Z1582">
        <v>0</v>
      </c>
      <c r="AA1582" t="s">
        <v>4730</v>
      </c>
      <c r="AB1582" t="s">
        <v>1569</v>
      </c>
      <c r="AC1582" t="s">
        <v>4730</v>
      </c>
      <c r="AD1582" t="e">
        <f>VLOOKUP(AB1582,#REF!,2,FALSE)</f>
        <v>#REF!</v>
      </c>
      <c r="AE1582" t="e">
        <f>RIGHT(#REF!,(FIND("Complex",#REF!,1)-7))</f>
        <v>#REF!</v>
      </c>
    </row>
    <row r="1583" spans="1:31" x14ac:dyDescent="0.25">
      <c r="A1583">
        <v>1</v>
      </c>
      <c r="B1583" t="s">
        <v>69</v>
      </c>
      <c r="C1583">
        <v>72</v>
      </c>
      <c r="D1583">
        <v>1</v>
      </c>
      <c r="E1583">
        <v>1</v>
      </c>
      <c r="F1583">
        <v>441001</v>
      </c>
      <c r="G1583">
        <v>529200</v>
      </c>
      <c r="H1583">
        <f t="shared" si="48"/>
        <v>10.000022675736961</v>
      </c>
      <c r="I1583">
        <f t="shared" si="49"/>
        <v>12</v>
      </c>
      <c r="J1583" t="s">
        <v>22</v>
      </c>
      <c r="K1583">
        <v>4</v>
      </c>
      <c r="L1583" t="e">
        <f t="array" ref="L1583">VLOOKUP(J1583:$J$3871&amp;K1583:$K$3871,CHOOSE({1,2},#REF!&amp;#REF!,#REF!),2,0)</f>
        <v>#N/A</v>
      </c>
      <c r="M1583">
        <v>0</v>
      </c>
      <c r="N1583">
        <v>1</v>
      </c>
      <c r="O1583" t="s">
        <v>23</v>
      </c>
      <c r="P1583">
        <v>1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1</v>
      </c>
      <c r="Y1583">
        <v>0</v>
      </c>
      <c r="Z1583">
        <v>0</v>
      </c>
      <c r="AA1583" t="s">
        <v>4857</v>
      </c>
      <c r="AB1583" t="s">
        <v>1570</v>
      </c>
      <c r="AC1583" t="s">
        <v>4857</v>
      </c>
      <c r="AD1583" t="e">
        <f>VLOOKUP(AB1583,#REF!,2,FALSE)</f>
        <v>#REF!</v>
      </c>
      <c r="AE1583" t="e">
        <f>RIGHT(#REF!,(FIND("Complex",#REF!,1)-5))</f>
        <v>#REF!</v>
      </c>
    </row>
    <row r="1584" spans="1:31" x14ac:dyDescent="0.25">
      <c r="A1584">
        <v>208</v>
      </c>
      <c r="B1584" t="s">
        <v>59</v>
      </c>
      <c r="C1584">
        <v>75</v>
      </c>
      <c r="D1584">
        <v>64</v>
      </c>
      <c r="E1584">
        <v>208</v>
      </c>
      <c r="F1584">
        <v>1058401</v>
      </c>
      <c r="G1584">
        <v>1146600</v>
      </c>
      <c r="H1584">
        <f t="shared" si="48"/>
        <v>24.000022675736961</v>
      </c>
      <c r="I1584">
        <f t="shared" si="49"/>
        <v>26</v>
      </c>
      <c r="J1584" t="s">
        <v>22</v>
      </c>
      <c r="K1584">
        <v>4</v>
      </c>
      <c r="L1584" t="e">
        <f t="array" ref="L1584">VLOOKUP(J1584:$J$3871&amp;K1584:$K$3871,CHOOSE({1,2},#REF!&amp;#REF!,#REF!),2,0)</f>
        <v>#N/A</v>
      </c>
      <c r="M1584">
        <v>0</v>
      </c>
      <c r="N1584">
        <v>1</v>
      </c>
      <c r="O1584" t="s">
        <v>23</v>
      </c>
      <c r="P1584">
        <v>1</v>
      </c>
      <c r="Q1584">
        <v>1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1</v>
      </c>
      <c r="Y1584">
        <v>0</v>
      </c>
      <c r="Z1584">
        <v>0</v>
      </c>
      <c r="AA1584" t="s">
        <v>4180</v>
      </c>
      <c r="AB1584" t="s">
        <v>1582</v>
      </c>
      <c r="AC1584" t="s">
        <v>4180</v>
      </c>
      <c r="AD1584" t="e">
        <f>VLOOKUP(AB1584,#REF!,2,FALSE)</f>
        <v>#REF!</v>
      </c>
      <c r="AE1584" t="e">
        <f>RIGHT(#REF!,(FIND("Complex",#REF!,1)-7))</f>
        <v>#REF!</v>
      </c>
    </row>
    <row r="1585" spans="1:31" x14ac:dyDescent="0.25">
      <c r="A1585">
        <v>911</v>
      </c>
      <c r="B1585" t="s">
        <v>80</v>
      </c>
      <c r="C1585">
        <v>76</v>
      </c>
      <c r="D1585">
        <v>277</v>
      </c>
      <c r="E1585">
        <v>911</v>
      </c>
      <c r="F1585">
        <v>264601</v>
      </c>
      <c r="G1585">
        <v>352800</v>
      </c>
      <c r="H1585">
        <f t="shared" si="48"/>
        <v>6.000022675736961</v>
      </c>
      <c r="I1585">
        <f t="shared" si="49"/>
        <v>8</v>
      </c>
      <c r="J1585" t="s">
        <v>22</v>
      </c>
      <c r="K1585">
        <v>4</v>
      </c>
      <c r="L1585" t="e">
        <f t="array" ref="L1585">VLOOKUP(J1585:$J$3871&amp;K1585:$K$3871,CHOOSE({1,2},#REF!&amp;#REF!,#REF!),2,0)</f>
        <v>#N/A</v>
      </c>
      <c r="M1585">
        <v>0</v>
      </c>
      <c r="N1585">
        <v>1</v>
      </c>
      <c r="O1585" t="s">
        <v>23</v>
      </c>
      <c r="P1585">
        <v>1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1</v>
      </c>
      <c r="X1585">
        <v>1</v>
      </c>
      <c r="Y1585">
        <v>0</v>
      </c>
      <c r="Z1585">
        <v>0</v>
      </c>
      <c r="AA1585" t="s">
        <v>3800</v>
      </c>
      <c r="AB1585" t="s">
        <v>1591</v>
      </c>
      <c r="AC1585" t="s">
        <v>3800</v>
      </c>
      <c r="AD1585" t="e">
        <f>VLOOKUP(AB1585,#REF!,2,FALSE)</f>
        <v>#REF!</v>
      </c>
      <c r="AE1585" t="e">
        <f>RIGHT(#REF!,(FIND("Complex",#REF!,1)-8))</f>
        <v>#REF!</v>
      </c>
    </row>
    <row r="1586" spans="1:31" x14ac:dyDescent="0.25">
      <c r="A1586">
        <v>665</v>
      </c>
      <c r="B1586" t="s">
        <v>80</v>
      </c>
      <c r="C1586">
        <v>76</v>
      </c>
      <c r="D1586">
        <v>208</v>
      </c>
      <c r="E1586">
        <v>665</v>
      </c>
      <c r="F1586">
        <v>176401</v>
      </c>
      <c r="G1586">
        <v>264600</v>
      </c>
      <c r="H1586">
        <f t="shared" si="48"/>
        <v>4.000022675736961</v>
      </c>
      <c r="I1586">
        <f t="shared" si="49"/>
        <v>6</v>
      </c>
      <c r="J1586" t="s">
        <v>22</v>
      </c>
      <c r="K1586">
        <v>4</v>
      </c>
      <c r="L1586" t="e">
        <f t="array" ref="L1586">VLOOKUP(J1586:$J$3871&amp;K1586:$K$3871,CHOOSE({1,2},#REF!&amp;#REF!,#REF!),2,0)</f>
        <v>#N/A</v>
      </c>
      <c r="M1586">
        <v>0</v>
      </c>
      <c r="N1586">
        <v>1</v>
      </c>
      <c r="O1586" t="s">
        <v>23</v>
      </c>
      <c r="P1586">
        <v>1</v>
      </c>
      <c r="Q1586">
        <v>1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</v>
      </c>
      <c r="X1586">
        <v>1</v>
      </c>
      <c r="Y1586">
        <v>0</v>
      </c>
      <c r="Z1586">
        <v>0</v>
      </c>
      <c r="AA1586" t="s">
        <v>3958</v>
      </c>
      <c r="AB1586" t="s">
        <v>192</v>
      </c>
      <c r="AC1586" t="s">
        <v>3958</v>
      </c>
      <c r="AD1586" t="e">
        <f>VLOOKUP(AB1586,#REF!,2,FALSE)</f>
        <v>#REF!</v>
      </c>
      <c r="AE1586" t="e">
        <f>RIGHT(#REF!,(FIND("Complex",#REF!,1)-8))</f>
        <v>#REF!</v>
      </c>
    </row>
    <row r="1587" spans="1:31" x14ac:dyDescent="0.25">
      <c r="A1587">
        <v>539</v>
      </c>
      <c r="B1587" t="s">
        <v>80</v>
      </c>
      <c r="C1587">
        <v>76</v>
      </c>
      <c r="D1587">
        <v>175</v>
      </c>
      <c r="E1587">
        <v>539</v>
      </c>
      <c r="F1587">
        <v>1</v>
      </c>
      <c r="G1587">
        <v>88200</v>
      </c>
      <c r="H1587">
        <f t="shared" si="48"/>
        <v>2.2675736961451248E-5</v>
      </c>
      <c r="I1587">
        <f t="shared" si="49"/>
        <v>2</v>
      </c>
      <c r="J1587" t="s">
        <v>22</v>
      </c>
      <c r="K1587">
        <v>4</v>
      </c>
      <c r="L1587" t="e">
        <f t="array" ref="L1587">VLOOKUP(J1587:$J$3871&amp;K1587:$K$3871,CHOOSE({1,2},#REF!&amp;#REF!,#REF!),2,0)</f>
        <v>#N/A</v>
      </c>
      <c r="M1587">
        <v>0</v>
      </c>
      <c r="N1587">
        <v>1</v>
      </c>
      <c r="O1587" t="s">
        <v>23</v>
      </c>
      <c r="P1587">
        <v>1</v>
      </c>
      <c r="Q1587">
        <v>1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0</v>
      </c>
      <c r="Z1587">
        <v>0</v>
      </c>
      <c r="AA1587" t="s">
        <v>4870</v>
      </c>
      <c r="AB1587" t="s">
        <v>1592</v>
      </c>
      <c r="AC1587" t="s">
        <v>4870</v>
      </c>
      <c r="AD1587" t="e">
        <f>VLOOKUP(AB1587,#REF!,2,FALSE)</f>
        <v>#REF!</v>
      </c>
      <c r="AE1587" t="e">
        <f>RIGHT(#REF!,(FIND("Complex",#REF!,1)-8))</f>
        <v>#REF!</v>
      </c>
    </row>
    <row r="1588" spans="1:31" x14ac:dyDescent="0.25">
      <c r="A1588">
        <v>568</v>
      </c>
      <c r="B1588" t="s">
        <v>71</v>
      </c>
      <c r="C1588">
        <v>77</v>
      </c>
      <c r="D1588">
        <v>183</v>
      </c>
      <c r="E1588">
        <v>568</v>
      </c>
      <c r="F1588">
        <v>264601</v>
      </c>
      <c r="G1588">
        <v>352800</v>
      </c>
      <c r="H1588">
        <f t="shared" si="48"/>
        <v>6.000022675736961</v>
      </c>
      <c r="I1588">
        <f t="shared" si="49"/>
        <v>8</v>
      </c>
      <c r="J1588" t="s">
        <v>22</v>
      </c>
      <c r="K1588">
        <v>4</v>
      </c>
      <c r="L1588" t="e">
        <f t="array" ref="L1588">VLOOKUP(J1588:$J$3871&amp;K1588:$K$3871,CHOOSE({1,2},#REF!&amp;#REF!,#REF!),2,0)</f>
        <v>#N/A</v>
      </c>
      <c r="M1588">
        <v>0</v>
      </c>
      <c r="N1588">
        <v>1</v>
      </c>
      <c r="O1588" t="s">
        <v>23</v>
      </c>
      <c r="P1588">
        <v>1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</v>
      </c>
      <c r="X1588">
        <v>1</v>
      </c>
      <c r="Y1588">
        <v>0</v>
      </c>
      <c r="Z1588">
        <v>0</v>
      </c>
      <c r="AA1588" t="s">
        <v>3799</v>
      </c>
      <c r="AB1588" t="s">
        <v>187</v>
      </c>
      <c r="AC1588" t="s">
        <v>3799</v>
      </c>
      <c r="AD1588" t="e">
        <f>VLOOKUP(AB1588,#REF!,2,FALSE)</f>
        <v>#REF!</v>
      </c>
      <c r="AE1588" t="e">
        <f>RIGHT(#REF!,(FIND("Complex",#REF!,1)-8))</f>
        <v>#REF!</v>
      </c>
    </row>
    <row r="1589" spans="1:31" x14ac:dyDescent="0.25">
      <c r="A1589">
        <v>134</v>
      </c>
      <c r="B1589" t="s">
        <v>71</v>
      </c>
      <c r="C1589">
        <v>77</v>
      </c>
      <c r="D1589">
        <v>41</v>
      </c>
      <c r="E1589">
        <v>134</v>
      </c>
      <c r="F1589">
        <v>176401</v>
      </c>
      <c r="G1589">
        <v>264600</v>
      </c>
      <c r="H1589">
        <f t="shared" si="48"/>
        <v>4.000022675736961</v>
      </c>
      <c r="I1589">
        <f t="shared" si="49"/>
        <v>6</v>
      </c>
      <c r="J1589" t="s">
        <v>22</v>
      </c>
      <c r="K1589">
        <v>4</v>
      </c>
      <c r="L1589" t="e">
        <f t="array" ref="L1589">VLOOKUP(J1589:$J$3871&amp;K1589:$K$3871,CHOOSE({1,2},#REF!&amp;#REF!,#REF!),2,0)</f>
        <v>#N/A</v>
      </c>
      <c r="M1589">
        <v>0</v>
      </c>
      <c r="N1589">
        <v>1</v>
      </c>
      <c r="O1589" t="s">
        <v>23</v>
      </c>
      <c r="P1589">
        <v>1</v>
      </c>
      <c r="Q1589">
        <v>1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</v>
      </c>
      <c r="X1589">
        <v>1</v>
      </c>
      <c r="Y1589">
        <v>0</v>
      </c>
      <c r="Z1589">
        <v>0</v>
      </c>
      <c r="AA1589" t="s">
        <v>3957</v>
      </c>
      <c r="AB1589" t="s">
        <v>1598</v>
      </c>
      <c r="AC1589" t="s">
        <v>3957</v>
      </c>
      <c r="AD1589" t="e">
        <f>VLOOKUP(AB1589,#REF!,2,FALSE)</f>
        <v>#REF!</v>
      </c>
      <c r="AE1589" t="e">
        <f>RIGHT(#REF!,(FIND("Complex",#REF!,1)-8))</f>
        <v>#REF!</v>
      </c>
    </row>
    <row r="1590" spans="1:31" x14ac:dyDescent="0.25">
      <c r="A1590">
        <v>243</v>
      </c>
      <c r="B1590" t="s">
        <v>71</v>
      </c>
      <c r="C1590">
        <v>77</v>
      </c>
      <c r="D1590">
        <v>70</v>
      </c>
      <c r="E1590">
        <v>243</v>
      </c>
      <c r="F1590">
        <v>441001</v>
      </c>
      <c r="G1590">
        <v>529200</v>
      </c>
      <c r="H1590">
        <f t="shared" si="48"/>
        <v>10.000022675736961</v>
      </c>
      <c r="I1590">
        <f t="shared" si="49"/>
        <v>12</v>
      </c>
      <c r="J1590" t="s">
        <v>22</v>
      </c>
      <c r="K1590">
        <v>4</v>
      </c>
      <c r="L1590" t="e">
        <f t="array" ref="L1590">VLOOKUP(J1590:$J$3871&amp;K1590:$K$3871,CHOOSE({1,2},#REF!&amp;#REF!,#REF!),2,0)</f>
        <v>#N/A</v>
      </c>
      <c r="M1590">
        <v>0</v>
      </c>
      <c r="N1590">
        <v>1</v>
      </c>
      <c r="O1590" t="s">
        <v>23</v>
      </c>
      <c r="P1590">
        <v>1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1</v>
      </c>
      <c r="Y1590">
        <v>0</v>
      </c>
      <c r="Z1590">
        <v>0</v>
      </c>
      <c r="AA1590" t="s">
        <v>4853</v>
      </c>
      <c r="AB1590" t="s">
        <v>1599</v>
      </c>
      <c r="AC1590" t="s">
        <v>4853</v>
      </c>
      <c r="AD1590" t="e">
        <f>VLOOKUP(AB1590,#REF!,2,FALSE)</f>
        <v>#REF!</v>
      </c>
      <c r="AE1590" t="e">
        <f>RIGHT(#REF!,(FIND("Complex",#REF!,1)-7))</f>
        <v>#REF!</v>
      </c>
    </row>
    <row r="1591" spans="1:31" x14ac:dyDescent="0.25">
      <c r="A1591">
        <v>954</v>
      </c>
      <c r="B1591" t="s">
        <v>56</v>
      </c>
      <c r="C1591">
        <v>78</v>
      </c>
      <c r="D1591">
        <v>289</v>
      </c>
      <c r="E1591">
        <v>954</v>
      </c>
      <c r="F1591">
        <v>352801</v>
      </c>
      <c r="G1591">
        <v>441000</v>
      </c>
      <c r="H1591">
        <f t="shared" si="48"/>
        <v>8.000022675736961</v>
      </c>
      <c r="I1591">
        <f t="shared" si="49"/>
        <v>10</v>
      </c>
      <c r="J1591" t="s">
        <v>22</v>
      </c>
      <c r="K1591">
        <v>4</v>
      </c>
      <c r="L1591" t="e">
        <f t="array" ref="L1591">VLOOKUP(J1591:$J$3871&amp;K1591:$K$3871,CHOOSE({1,2},#REF!&amp;#REF!,#REF!),2,0)</f>
        <v>#N/A</v>
      </c>
      <c r="M1591">
        <v>0</v>
      </c>
      <c r="N1591">
        <v>1</v>
      </c>
      <c r="O1591" t="s">
        <v>23</v>
      </c>
      <c r="P1591">
        <v>1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1</v>
      </c>
      <c r="Y1591">
        <v>0</v>
      </c>
      <c r="Z1591">
        <v>0</v>
      </c>
      <c r="AA1591" t="s">
        <v>3633</v>
      </c>
      <c r="AB1591" t="s">
        <v>1603</v>
      </c>
      <c r="AC1591" t="s">
        <v>3633</v>
      </c>
      <c r="AD1591" t="e">
        <f>VLOOKUP(AB1591,#REF!,2,FALSE)</f>
        <v>#REF!</v>
      </c>
      <c r="AE1591" t="e">
        <f>RIGHT(#REF!,(FIND("Complex",#REF!,1)-8))</f>
        <v>#REF!</v>
      </c>
    </row>
    <row r="1592" spans="1:31" x14ac:dyDescent="0.25">
      <c r="A1592">
        <v>1263</v>
      </c>
      <c r="B1592" t="s">
        <v>56</v>
      </c>
      <c r="C1592">
        <v>78</v>
      </c>
      <c r="D1592">
        <v>382</v>
      </c>
      <c r="E1592">
        <v>1263</v>
      </c>
      <c r="F1592">
        <v>264601</v>
      </c>
      <c r="G1592">
        <v>352800</v>
      </c>
      <c r="H1592">
        <f t="shared" si="48"/>
        <v>6.000022675736961</v>
      </c>
      <c r="I1592">
        <f t="shared" si="49"/>
        <v>8</v>
      </c>
      <c r="J1592" t="s">
        <v>22</v>
      </c>
      <c r="K1592">
        <v>4</v>
      </c>
      <c r="L1592" t="e">
        <f t="array" ref="L1592">VLOOKUP(J1592:$J$3871&amp;K1592:$K$3871,CHOOSE({1,2},#REF!&amp;#REF!,#REF!),2,0)</f>
        <v>#N/A</v>
      </c>
      <c r="M1592">
        <v>0</v>
      </c>
      <c r="N1592">
        <v>1</v>
      </c>
      <c r="O1592" t="s">
        <v>23</v>
      </c>
      <c r="P1592">
        <v>1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1</v>
      </c>
      <c r="Y1592">
        <v>0</v>
      </c>
      <c r="Z1592">
        <v>0</v>
      </c>
      <c r="AA1592" t="s">
        <v>3798</v>
      </c>
      <c r="AB1592" t="s">
        <v>186</v>
      </c>
      <c r="AC1592" t="s">
        <v>3798</v>
      </c>
      <c r="AD1592" t="e">
        <f>VLOOKUP(AB1592,#REF!,2,FALSE)</f>
        <v>#REF!</v>
      </c>
      <c r="AE1592" t="e">
        <f>RIGHT(#REF!,(FIND("Complex",#REF!,1)-9))</f>
        <v>#REF!</v>
      </c>
    </row>
    <row r="1593" spans="1:31" x14ac:dyDescent="0.25">
      <c r="A1593">
        <v>349</v>
      </c>
      <c r="B1593" t="s">
        <v>56</v>
      </c>
      <c r="C1593">
        <v>78</v>
      </c>
      <c r="D1593">
        <v>108</v>
      </c>
      <c r="E1593">
        <v>349</v>
      </c>
      <c r="F1593">
        <v>176401</v>
      </c>
      <c r="G1593">
        <v>264600</v>
      </c>
      <c r="H1593">
        <f t="shared" si="48"/>
        <v>4.000022675736961</v>
      </c>
      <c r="I1593">
        <f t="shared" si="49"/>
        <v>6</v>
      </c>
      <c r="J1593" t="s">
        <v>22</v>
      </c>
      <c r="K1593">
        <v>4</v>
      </c>
      <c r="L1593" t="e">
        <f t="array" ref="L1593">VLOOKUP(J1593:$J$3871&amp;K1593:$K$3871,CHOOSE({1,2},#REF!&amp;#REF!,#REF!),2,0)</f>
        <v>#N/A</v>
      </c>
      <c r="M1593">
        <v>0</v>
      </c>
      <c r="N1593">
        <v>1</v>
      </c>
      <c r="O1593" t="s">
        <v>23</v>
      </c>
      <c r="P1593">
        <v>1</v>
      </c>
      <c r="Q1593">
        <v>1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1</v>
      </c>
      <c r="Y1593">
        <v>0</v>
      </c>
      <c r="Z1593">
        <v>0</v>
      </c>
      <c r="AA1593" t="s">
        <v>3956</v>
      </c>
      <c r="AB1593" t="s">
        <v>1604</v>
      </c>
      <c r="AC1593" t="s">
        <v>3956</v>
      </c>
      <c r="AD1593" t="e">
        <f>VLOOKUP(AB1593,#REF!,2,FALSE)</f>
        <v>#REF!</v>
      </c>
      <c r="AE1593" t="e">
        <f>RIGHT(#REF!,(FIND("Complex",#REF!,1)-8))</f>
        <v>#REF!</v>
      </c>
    </row>
    <row r="1594" spans="1:31" x14ac:dyDescent="0.25">
      <c r="A1594">
        <v>1100</v>
      </c>
      <c r="B1594" t="s">
        <v>56</v>
      </c>
      <c r="C1594">
        <v>78</v>
      </c>
      <c r="D1594">
        <v>331</v>
      </c>
      <c r="E1594">
        <v>1100</v>
      </c>
      <c r="F1594">
        <v>882001</v>
      </c>
      <c r="G1594">
        <v>970200</v>
      </c>
      <c r="H1594">
        <f t="shared" si="48"/>
        <v>20.000022675736961</v>
      </c>
      <c r="I1594">
        <f t="shared" si="49"/>
        <v>22</v>
      </c>
      <c r="J1594" t="s">
        <v>22</v>
      </c>
      <c r="K1594">
        <v>4</v>
      </c>
      <c r="L1594" t="e">
        <f t="array" ref="L1594">VLOOKUP(J1594:$J$3871&amp;K1594:$K$3871,CHOOSE({1,2},#REF!&amp;#REF!,#REF!),2,0)</f>
        <v>#N/A</v>
      </c>
      <c r="M1594">
        <v>0</v>
      </c>
      <c r="N1594">
        <v>1</v>
      </c>
      <c r="O1594" t="s">
        <v>23</v>
      </c>
      <c r="P1594">
        <v>1</v>
      </c>
      <c r="Q1594">
        <v>1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</v>
      </c>
      <c r="X1594">
        <v>1</v>
      </c>
      <c r="Y1594">
        <v>0</v>
      </c>
      <c r="Z1594">
        <v>0</v>
      </c>
      <c r="AA1594" t="s">
        <v>4304</v>
      </c>
      <c r="AB1594" t="s">
        <v>1605</v>
      </c>
      <c r="AC1594" t="s">
        <v>4304</v>
      </c>
      <c r="AD1594" t="e">
        <f>VLOOKUP(AB1594,#REF!,2,FALSE)</f>
        <v>#REF!</v>
      </c>
      <c r="AE1594" t="e">
        <f>RIGHT(#REF!,(FIND("Complex",#REF!,1)-8))</f>
        <v>#REF!</v>
      </c>
    </row>
    <row r="1595" spans="1:31" x14ac:dyDescent="0.25">
      <c r="A1595">
        <v>462</v>
      </c>
      <c r="B1595" t="s">
        <v>56</v>
      </c>
      <c r="C1595">
        <v>78</v>
      </c>
      <c r="D1595">
        <v>146</v>
      </c>
      <c r="E1595">
        <v>462</v>
      </c>
      <c r="F1595">
        <v>88201</v>
      </c>
      <c r="G1595">
        <v>176400</v>
      </c>
      <c r="H1595">
        <f t="shared" si="48"/>
        <v>2.0000226757369615</v>
      </c>
      <c r="I1595">
        <f t="shared" si="49"/>
        <v>4</v>
      </c>
      <c r="J1595" t="s">
        <v>22</v>
      </c>
      <c r="K1595">
        <v>4</v>
      </c>
      <c r="L1595" t="e">
        <f t="array" ref="L1595">VLOOKUP(J1595:$J$3871&amp;K1595:$K$3871,CHOOSE({1,2},#REF!&amp;#REF!,#REF!),2,0)</f>
        <v>#N/A</v>
      </c>
      <c r="M1595">
        <v>0</v>
      </c>
      <c r="N1595">
        <v>1</v>
      </c>
      <c r="O1595" t="s">
        <v>23</v>
      </c>
      <c r="P1595">
        <v>1</v>
      </c>
      <c r="Q1595">
        <v>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1</v>
      </c>
      <c r="Y1595">
        <v>0</v>
      </c>
      <c r="Z1595">
        <v>0</v>
      </c>
      <c r="AA1595" t="s">
        <v>4322</v>
      </c>
      <c r="AB1595" t="s">
        <v>1606</v>
      </c>
      <c r="AC1595" t="s">
        <v>4322</v>
      </c>
      <c r="AD1595" t="e">
        <f>VLOOKUP(AB1595,#REF!,2,FALSE)</f>
        <v>#REF!</v>
      </c>
      <c r="AE1595" t="e">
        <f>RIGHT(#REF!,(FIND("Complex",#REF!,1)-8))</f>
        <v>#REF!</v>
      </c>
    </row>
    <row r="1596" spans="1:31" x14ac:dyDescent="0.25">
      <c r="A1596">
        <v>24</v>
      </c>
      <c r="B1596" t="s">
        <v>56</v>
      </c>
      <c r="C1596">
        <v>78</v>
      </c>
      <c r="D1596">
        <v>9</v>
      </c>
      <c r="E1596">
        <v>24</v>
      </c>
      <c r="F1596">
        <v>793801</v>
      </c>
      <c r="G1596">
        <v>882000</v>
      </c>
      <c r="H1596">
        <f t="shared" si="48"/>
        <v>18.000022675736961</v>
      </c>
      <c r="I1596">
        <f t="shared" si="49"/>
        <v>20</v>
      </c>
      <c r="J1596" t="s">
        <v>22</v>
      </c>
      <c r="K1596">
        <v>4</v>
      </c>
      <c r="L1596" t="e">
        <f t="array" ref="L1596">VLOOKUP(J1596:$J$3871&amp;K1596:$K$3871,CHOOSE({1,2},#REF!&amp;#REF!,#REF!),2,0)</f>
        <v>#N/A</v>
      </c>
      <c r="M1596">
        <v>0</v>
      </c>
      <c r="N1596">
        <v>1</v>
      </c>
      <c r="O1596" t="s">
        <v>23</v>
      </c>
      <c r="P1596">
        <v>1</v>
      </c>
      <c r="Q1596">
        <v>1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1</v>
      </c>
      <c r="Y1596">
        <v>0</v>
      </c>
      <c r="Z1596">
        <v>0</v>
      </c>
      <c r="AA1596" t="s">
        <v>4406</v>
      </c>
      <c r="AB1596" t="s">
        <v>1607</v>
      </c>
      <c r="AC1596" t="s">
        <v>4406</v>
      </c>
      <c r="AD1596" t="e">
        <f>VLOOKUP(AB1596,#REF!,2,FALSE)</f>
        <v>#REF!</v>
      </c>
      <c r="AE1596" t="e">
        <f>RIGHT(#REF!,(FIND("Complex",#REF!,1)-6))</f>
        <v>#REF!</v>
      </c>
    </row>
    <row r="1597" spans="1:31" x14ac:dyDescent="0.25">
      <c r="A1597">
        <v>917</v>
      </c>
      <c r="B1597" t="s">
        <v>56</v>
      </c>
      <c r="C1597">
        <v>78</v>
      </c>
      <c r="D1597">
        <v>280</v>
      </c>
      <c r="E1597">
        <v>917</v>
      </c>
      <c r="F1597">
        <v>529201</v>
      </c>
      <c r="G1597">
        <v>617400</v>
      </c>
      <c r="H1597">
        <f t="shared" si="48"/>
        <v>12.000022675736961</v>
      </c>
      <c r="I1597">
        <f t="shared" si="49"/>
        <v>14</v>
      </c>
      <c r="J1597" t="s">
        <v>22</v>
      </c>
      <c r="K1597">
        <v>4</v>
      </c>
      <c r="L1597" t="e">
        <f t="array" ref="L1597">VLOOKUP(J1597:$J$3871&amp;K1597:$K$3871,CHOOSE({1,2},#REF!&amp;#REF!,#REF!),2,0)</f>
        <v>#N/A</v>
      </c>
      <c r="M1597">
        <v>0</v>
      </c>
      <c r="N1597">
        <v>1</v>
      </c>
      <c r="O1597" t="s">
        <v>23</v>
      </c>
      <c r="P1597">
        <v>1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1</v>
      </c>
      <c r="Y1597">
        <v>0</v>
      </c>
      <c r="Z1597">
        <v>0</v>
      </c>
      <c r="AA1597" t="s">
        <v>4727</v>
      </c>
      <c r="AB1597" t="s">
        <v>1608</v>
      </c>
      <c r="AC1597" t="s">
        <v>4727</v>
      </c>
      <c r="AD1597" t="e">
        <f>VLOOKUP(AB1597,#REF!,2,FALSE)</f>
        <v>#REF!</v>
      </c>
      <c r="AE1597" t="e">
        <f>RIGHT(#REF!,(FIND("Complex",#REF!,1)-7))</f>
        <v>#REF!</v>
      </c>
    </row>
    <row r="1598" spans="1:31" x14ac:dyDescent="0.25">
      <c r="A1598">
        <v>286</v>
      </c>
      <c r="B1598" t="s">
        <v>56</v>
      </c>
      <c r="C1598">
        <v>78</v>
      </c>
      <c r="D1598">
        <v>87</v>
      </c>
      <c r="E1598">
        <v>286</v>
      </c>
      <c r="F1598">
        <v>1</v>
      </c>
      <c r="G1598">
        <v>88200</v>
      </c>
      <c r="H1598">
        <f t="shared" si="48"/>
        <v>2.2675736961451248E-5</v>
      </c>
      <c r="I1598">
        <f t="shared" si="49"/>
        <v>2</v>
      </c>
      <c r="J1598" t="s">
        <v>22</v>
      </c>
      <c r="K1598">
        <v>4</v>
      </c>
      <c r="L1598" t="e">
        <f t="array" ref="L1598">VLOOKUP(J1598:$J$3871&amp;K1598:$K$3871,CHOOSE({1,2},#REF!&amp;#REF!,#REF!),2,0)</f>
        <v>#N/A</v>
      </c>
      <c r="M1598">
        <v>0</v>
      </c>
      <c r="N1598">
        <v>1</v>
      </c>
      <c r="O1598" t="s">
        <v>23</v>
      </c>
      <c r="P1598">
        <v>1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1</v>
      </c>
      <c r="Y1598">
        <v>0</v>
      </c>
      <c r="Z1598">
        <v>0</v>
      </c>
      <c r="AA1598" t="s">
        <v>4868</v>
      </c>
      <c r="AB1598" t="s">
        <v>1609</v>
      </c>
      <c r="AC1598" t="s">
        <v>4868</v>
      </c>
      <c r="AD1598" t="e">
        <f>VLOOKUP(AB1598,#REF!,2,FALSE)</f>
        <v>#REF!</v>
      </c>
      <c r="AE1598" t="e">
        <f>RIGHT(#REF!,(FIND("Complex",#REF!,1)-8))</f>
        <v>#REF!</v>
      </c>
    </row>
    <row r="1599" spans="1:31" x14ac:dyDescent="0.25">
      <c r="A1599">
        <v>2593</v>
      </c>
      <c r="B1599" t="s">
        <v>31</v>
      </c>
      <c r="C1599">
        <v>83</v>
      </c>
      <c r="D1599">
        <v>847</v>
      </c>
      <c r="E1599">
        <v>2593</v>
      </c>
      <c r="F1599">
        <v>705601</v>
      </c>
      <c r="G1599">
        <v>793800</v>
      </c>
      <c r="H1599">
        <f t="shared" si="48"/>
        <v>16.000022675736961</v>
      </c>
      <c r="I1599">
        <f t="shared" si="49"/>
        <v>18</v>
      </c>
      <c r="J1599" t="s">
        <v>22</v>
      </c>
      <c r="K1599">
        <v>4</v>
      </c>
      <c r="L1599" t="e">
        <f t="array" ref="L1599">VLOOKUP(J1599:$J$3871&amp;K1599:$K$3871,CHOOSE({1,2},#REF!&amp;#REF!,#REF!),2,0)</f>
        <v>#N/A</v>
      </c>
      <c r="M1599">
        <v>0</v>
      </c>
      <c r="N1599">
        <v>1</v>
      </c>
      <c r="O1599" t="s">
        <v>23</v>
      </c>
      <c r="P1599">
        <v>1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1</v>
      </c>
      <c r="Y1599">
        <v>0</v>
      </c>
      <c r="Z1599">
        <v>0</v>
      </c>
      <c r="AA1599" t="s">
        <v>4489</v>
      </c>
      <c r="AB1599" t="s">
        <v>6918</v>
      </c>
      <c r="AC1599" t="s">
        <v>4489</v>
      </c>
      <c r="AD1599" t="e">
        <f>VLOOKUP(AB1599,#REF!,2,FALSE)</f>
        <v>#REF!</v>
      </c>
      <c r="AE1599" t="e">
        <f>RIGHT(#REF!,(FIND("Complex",#REF!,1)-8))</f>
        <v>#REF!</v>
      </c>
    </row>
    <row r="1600" spans="1:31" x14ac:dyDescent="0.25">
      <c r="A1600">
        <v>740</v>
      </c>
      <c r="B1600" t="s">
        <v>31</v>
      </c>
      <c r="C1600">
        <v>83</v>
      </c>
      <c r="D1600">
        <v>229</v>
      </c>
      <c r="E1600">
        <v>740</v>
      </c>
      <c r="F1600">
        <v>617401</v>
      </c>
      <c r="G1600">
        <v>705600</v>
      </c>
      <c r="H1600">
        <f t="shared" si="48"/>
        <v>14.000022675736961</v>
      </c>
      <c r="I1600">
        <f t="shared" si="49"/>
        <v>16</v>
      </c>
      <c r="J1600" t="s">
        <v>22</v>
      </c>
      <c r="K1600">
        <v>4</v>
      </c>
      <c r="L1600" t="e">
        <f t="array" ref="L1600">VLOOKUP(J1600:$J$3871&amp;K1600:$K$3871,CHOOSE({1,2},#REF!&amp;#REF!,#REF!),2,0)</f>
        <v>#N/A</v>
      </c>
      <c r="M1600">
        <v>0</v>
      </c>
      <c r="N1600">
        <v>1</v>
      </c>
      <c r="O1600" t="s">
        <v>23</v>
      </c>
      <c r="P1600">
        <v>1</v>
      </c>
      <c r="Q1600">
        <v>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1</v>
      </c>
      <c r="Y1600">
        <v>0</v>
      </c>
      <c r="Z1600">
        <v>0</v>
      </c>
      <c r="AA1600" t="s">
        <v>4606</v>
      </c>
      <c r="AB1600" t="s">
        <v>1678</v>
      </c>
      <c r="AC1600" t="s">
        <v>4606</v>
      </c>
      <c r="AD1600" t="e">
        <f>VLOOKUP(AB1600,#REF!,2,FALSE)</f>
        <v>#REF!</v>
      </c>
      <c r="AE1600" t="e">
        <f>RIGHT(#REF!,(FIND("Complex",#REF!,1)-7))</f>
        <v>#REF!</v>
      </c>
    </row>
    <row r="1601" spans="1:31" x14ac:dyDescent="0.25">
      <c r="A1601">
        <v>2176</v>
      </c>
      <c r="B1601" t="s">
        <v>31</v>
      </c>
      <c r="C1601">
        <v>83</v>
      </c>
      <c r="D1601">
        <v>669</v>
      </c>
      <c r="E1601">
        <v>2176</v>
      </c>
      <c r="F1601">
        <v>529201</v>
      </c>
      <c r="G1601">
        <v>617400</v>
      </c>
      <c r="H1601">
        <f t="shared" si="48"/>
        <v>12.000022675736961</v>
      </c>
      <c r="I1601">
        <f t="shared" si="49"/>
        <v>14</v>
      </c>
      <c r="J1601" t="s">
        <v>22</v>
      </c>
      <c r="K1601">
        <v>4</v>
      </c>
      <c r="L1601" t="e">
        <f t="array" ref="L1601">VLOOKUP(J1601:$J$3871&amp;K1601:$K$3871,CHOOSE({1,2},#REF!&amp;#REF!,#REF!),2,0)</f>
        <v>#N/A</v>
      </c>
      <c r="M1601">
        <v>0</v>
      </c>
      <c r="N1601">
        <v>1</v>
      </c>
      <c r="O1601" t="s">
        <v>23</v>
      </c>
      <c r="P1601">
        <v>1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1</v>
      </c>
      <c r="Y1601">
        <v>0</v>
      </c>
      <c r="Z1601">
        <v>0</v>
      </c>
      <c r="AA1601" t="s">
        <v>4725</v>
      </c>
      <c r="AB1601" t="s">
        <v>7071</v>
      </c>
      <c r="AC1601" t="s">
        <v>4725</v>
      </c>
      <c r="AD1601" t="e">
        <f>VLOOKUP(AB1601,#REF!,2,FALSE)</f>
        <v>#REF!</v>
      </c>
      <c r="AE1601" t="e">
        <f>RIGHT(#REF!,(FIND("Complex",#REF!,1)-8))</f>
        <v>#REF!</v>
      </c>
    </row>
    <row r="1602" spans="1:31" x14ac:dyDescent="0.25">
      <c r="A1602">
        <v>2118</v>
      </c>
      <c r="B1602" t="s">
        <v>265</v>
      </c>
      <c r="C1602">
        <v>85</v>
      </c>
      <c r="D1602">
        <v>648</v>
      </c>
      <c r="E1602">
        <v>2118</v>
      </c>
      <c r="F1602">
        <v>2734201</v>
      </c>
      <c r="G1602">
        <v>2822400</v>
      </c>
      <c r="H1602">
        <f t="shared" ref="H1602:H1665" si="50">F1602/44100</f>
        <v>62.000022675736965</v>
      </c>
      <c r="I1602">
        <f t="shared" ref="I1602:I1665" si="51">G1602/44100</f>
        <v>64</v>
      </c>
      <c r="J1602" t="s">
        <v>22</v>
      </c>
      <c r="K1602">
        <v>4</v>
      </c>
      <c r="L1602" t="e">
        <f t="array" ref="L1602">VLOOKUP(J1602:$J$3871&amp;K1602:$K$3871,CHOOSE({1,2},#REF!&amp;#REF!,#REF!),2,0)</f>
        <v>#N/A</v>
      </c>
      <c r="M1602">
        <v>0</v>
      </c>
      <c r="N1602">
        <v>1</v>
      </c>
      <c r="O1602" t="s">
        <v>23</v>
      </c>
      <c r="P1602">
        <v>0</v>
      </c>
      <c r="Q1602">
        <v>1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1</v>
      </c>
      <c r="X1602">
        <v>1</v>
      </c>
      <c r="Y1602">
        <v>0</v>
      </c>
      <c r="Z1602">
        <v>0</v>
      </c>
      <c r="AA1602" t="s">
        <v>3757</v>
      </c>
      <c r="AB1602" t="s">
        <v>6457</v>
      </c>
      <c r="AC1602" t="s">
        <v>3757</v>
      </c>
      <c r="AD1602" t="e">
        <f>VLOOKUP(AB1602,#REF!,2,FALSE)</f>
        <v>#REF!</v>
      </c>
      <c r="AE1602" t="e">
        <f>RIGHT(#REF!,(FIND("Complex",#REF!,1)-8))</f>
        <v>#REF!</v>
      </c>
    </row>
    <row r="1603" spans="1:31" x14ac:dyDescent="0.25">
      <c r="A1603">
        <v>2408</v>
      </c>
      <c r="B1603" t="s">
        <v>265</v>
      </c>
      <c r="C1603">
        <v>85</v>
      </c>
      <c r="D1603">
        <v>771</v>
      </c>
      <c r="E1603">
        <v>2408</v>
      </c>
      <c r="F1603">
        <v>2646001</v>
      </c>
      <c r="G1603">
        <v>2734200</v>
      </c>
      <c r="H1603">
        <f t="shared" si="50"/>
        <v>60.000022675736965</v>
      </c>
      <c r="I1603">
        <f t="shared" si="51"/>
        <v>62</v>
      </c>
      <c r="J1603" t="s">
        <v>22</v>
      </c>
      <c r="K1603">
        <v>4</v>
      </c>
      <c r="L1603" t="e">
        <f t="array" ref="L1603">VLOOKUP(J1603:$J$3871&amp;K1603:$K$3871,CHOOSE({1,2},#REF!&amp;#REF!,#REF!),2,0)</f>
        <v>#N/A</v>
      </c>
      <c r="M1603">
        <v>0</v>
      </c>
      <c r="N1603">
        <v>1</v>
      </c>
      <c r="O1603" t="s">
        <v>23</v>
      </c>
      <c r="P1603">
        <v>0</v>
      </c>
      <c r="Q1603">
        <v>1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1</v>
      </c>
      <c r="X1603">
        <v>1</v>
      </c>
      <c r="Y1603">
        <v>0</v>
      </c>
      <c r="Z1603">
        <v>0</v>
      </c>
      <c r="AA1603" t="s">
        <v>3774</v>
      </c>
      <c r="AB1603" t="s">
        <v>6468</v>
      </c>
      <c r="AC1603" t="s">
        <v>3774</v>
      </c>
      <c r="AD1603" t="e">
        <f>VLOOKUP(AB1603,#REF!,2,FALSE)</f>
        <v>#REF!</v>
      </c>
      <c r="AE1603" t="e">
        <f>RIGHT(#REF!,(FIND("Complex",#REF!,1)-8))</f>
        <v>#REF!</v>
      </c>
    </row>
    <row r="1604" spans="1:31" x14ac:dyDescent="0.25">
      <c r="A1604">
        <v>1193</v>
      </c>
      <c r="B1604" t="s">
        <v>265</v>
      </c>
      <c r="C1604">
        <v>85</v>
      </c>
      <c r="D1604">
        <v>361</v>
      </c>
      <c r="E1604">
        <v>1193</v>
      </c>
      <c r="F1604">
        <v>2028601</v>
      </c>
      <c r="G1604">
        <v>2116800</v>
      </c>
      <c r="H1604">
        <f t="shared" si="50"/>
        <v>46.000022675736965</v>
      </c>
      <c r="I1604">
        <f t="shared" si="51"/>
        <v>48</v>
      </c>
      <c r="J1604" t="s">
        <v>22</v>
      </c>
      <c r="K1604">
        <v>4</v>
      </c>
      <c r="L1604" t="e">
        <f t="array" ref="L1604">VLOOKUP(J1604:$J$3871&amp;K1604:$K$3871,CHOOSE({1,2},#REF!&amp;#REF!,#REF!),2,0)</f>
        <v>#N/A</v>
      </c>
      <c r="M1604">
        <v>0</v>
      </c>
      <c r="N1604">
        <v>1</v>
      </c>
      <c r="O1604" t="s">
        <v>23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 t="s">
        <v>3897</v>
      </c>
      <c r="AB1604" t="s">
        <v>6537</v>
      </c>
      <c r="AC1604" t="s">
        <v>3897</v>
      </c>
      <c r="AD1604" t="e">
        <f>VLOOKUP(AB1604,#REF!,2,FALSE)</f>
        <v>#REF!</v>
      </c>
      <c r="AE1604" t="e">
        <f>RIGHT(#REF!,(FIND("Complex",#REF!,1)-8))</f>
        <v>#REF!</v>
      </c>
    </row>
    <row r="1605" spans="1:31" x14ac:dyDescent="0.25">
      <c r="A1605">
        <v>1417</v>
      </c>
      <c r="B1605" t="s">
        <v>265</v>
      </c>
      <c r="C1605">
        <v>85</v>
      </c>
      <c r="D1605">
        <v>429</v>
      </c>
      <c r="E1605">
        <v>1417</v>
      </c>
      <c r="F1605">
        <v>8555401</v>
      </c>
      <c r="G1605">
        <v>8643600</v>
      </c>
      <c r="H1605">
        <f t="shared" si="50"/>
        <v>194.00002267573697</v>
      </c>
      <c r="I1605">
        <f t="shared" si="51"/>
        <v>196</v>
      </c>
      <c r="J1605" t="s">
        <v>22</v>
      </c>
      <c r="K1605">
        <v>4</v>
      </c>
      <c r="L1605" t="e">
        <f t="array" ref="L1605">VLOOKUP(J1605:$J$3871&amp;K1605:$K$3871,CHOOSE({1,2},#REF!&amp;#REF!,#REF!),2,0)</f>
        <v>#N/A</v>
      </c>
      <c r="M1605">
        <v>0</v>
      </c>
      <c r="N1605">
        <v>1</v>
      </c>
      <c r="O1605" t="s">
        <v>23</v>
      </c>
      <c r="P1605">
        <v>0</v>
      </c>
      <c r="Q1605">
        <v>1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1</v>
      </c>
      <c r="X1605">
        <v>1</v>
      </c>
      <c r="Y1605">
        <v>0</v>
      </c>
      <c r="Z1605">
        <v>0</v>
      </c>
      <c r="AA1605" t="s">
        <v>4350</v>
      </c>
      <c r="AB1605" t="s">
        <v>6826</v>
      </c>
      <c r="AC1605" t="s">
        <v>4350</v>
      </c>
      <c r="AD1605" t="e">
        <f>VLOOKUP(AB1605,#REF!,2,FALSE)</f>
        <v>#REF!</v>
      </c>
      <c r="AE1605" t="e">
        <f>RIGHT(#REF!,(FIND("Complex",#REF!,1)-7))</f>
        <v>#REF!</v>
      </c>
    </row>
    <row r="1606" spans="1:31" x14ac:dyDescent="0.25">
      <c r="A1606">
        <v>1975</v>
      </c>
      <c r="B1606" t="s">
        <v>265</v>
      </c>
      <c r="C1606">
        <v>85</v>
      </c>
      <c r="D1606">
        <v>597</v>
      </c>
      <c r="E1606">
        <v>1975</v>
      </c>
      <c r="F1606">
        <v>8467201</v>
      </c>
      <c r="G1606">
        <v>8555400</v>
      </c>
      <c r="H1606">
        <f t="shared" si="50"/>
        <v>192.00002267573697</v>
      </c>
      <c r="I1606">
        <f t="shared" si="51"/>
        <v>194</v>
      </c>
      <c r="J1606" t="s">
        <v>22</v>
      </c>
      <c r="K1606">
        <v>4</v>
      </c>
      <c r="L1606" t="e">
        <f t="array" ref="L1606">VLOOKUP(J1606:$J$3871&amp;K1606:$K$3871,CHOOSE({1,2},#REF!&amp;#REF!,#REF!),2,0)</f>
        <v>#N/A</v>
      </c>
      <c r="M1606">
        <v>0</v>
      </c>
      <c r="N1606">
        <v>1</v>
      </c>
      <c r="O1606" t="s">
        <v>23</v>
      </c>
      <c r="P1606">
        <v>0</v>
      </c>
      <c r="Q1606">
        <v>1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1</v>
      </c>
      <c r="X1606">
        <v>1</v>
      </c>
      <c r="Y1606">
        <v>0</v>
      </c>
      <c r="Z1606">
        <v>0</v>
      </c>
      <c r="AA1606" t="s">
        <v>4360</v>
      </c>
      <c r="AB1606" t="s">
        <v>6833</v>
      </c>
      <c r="AC1606" t="s">
        <v>4360</v>
      </c>
      <c r="AD1606" t="e">
        <f>VLOOKUP(AB1606,#REF!,2,FALSE)</f>
        <v>#REF!</v>
      </c>
      <c r="AE1606" t="e">
        <f>RIGHT(#REF!,(FIND("Complex",#REF!,1)-7))</f>
        <v>#REF!</v>
      </c>
    </row>
    <row r="1607" spans="1:31" x14ac:dyDescent="0.25">
      <c r="A1607">
        <v>2265</v>
      </c>
      <c r="B1607" t="s">
        <v>265</v>
      </c>
      <c r="C1607">
        <v>85</v>
      </c>
      <c r="D1607">
        <v>705</v>
      </c>
      <c r="E1607">
        <v>2265</v>
      </c>
      <c r="F1607">
        <v>6791401</v>
      </c>
      <c r="G1607">
        <v>6879600</v>
      </c>
      <c r="H1607">
        <f t="shared" si="50"/>
        <v>154.00002267573697</v>
      </c>
      <c r="I1607">
        <f t="shared" si="51"/>
        <v>156</v>
      </c>
      <c r="J1607" t="s">
        <v>22</v>
      </c>
      <c r="K1607">
        <v>4</v>
      </c>
      <c r="L1607" t="e">
        <f t="array" ref="L1607">VLOOKUP(J1607:$J$3871&amp;K1607:$K$3871,CHOOSE({1,2},#REF!&amp;#REF!,#REF!),2,0)</f>
        <v>#N/A</v>
      </c>
      <c r="M1607">
        <v>0</v>
      </c>
      <c r="N1607">
        <v>1</v>
      </c>
      <c r="O1607" t="s">
        <v>23</v>
      </c>
      <c r="P1607">
        <v>0</v>
      </c>
      <c r="Q1607">
        <v>1</v>
      </c>
      <c r="R1607">
        <v>0</v>
      </c>
      <c r="S1607">
        <v>1</v>
      </c>
      <c r="T1607">
        <v>0</v>
      </c>
      <c r="U1607">
        <v>0</v>
      </c>
      <c r="V1607">
        <v>0</v>
      </c>
      <c r="W1607">
        <v>1</v>
      </c>
      <c r="X1607">
        <v>1</v>
      </c>
      <c r="Y1607">
        <v>0</v>
      </c>
      <c r="Z1607">
        <v>0</v>
      </c>
      <c r="AA1607" t="s">
        <v>4523</v>
      </c>
      <c r="AB1607" t="s">
        <v>6940</v>
      </c>
      <c r="AC1607" t="s">
        <v>4523</v>
      </c>
      <c r="AD1607" t="e">
        <f>VLOOKUP(AB1607,#REF!,2,FALSE)</f>
        <v>#REF!</v>
      </c>
      <c r="AE1607" t="e">
        <f>RIGHT(#REF!,(FIND("Complex",#REF!,1)-7))</f>
        <v>#REF!</v>
      </c>
    </row>
    <row r="1608" spans="1:31" x14ac:dyDescent="0.25">
      <c r="A1608">
        <v>815</v>
      </c>
      <c r="B1608" t="s">
        <v>265</v>
      </c>
      <c r="C1608">
        <v>85</v>
      </c>
      <c r="D1608">
        <v>248</v>
      </c>
      <c r="E1608">
        <v>815</v>
      </c>
      <c r="F1608">
        <v>5909401</v>
      </c>
      <c r="G1608">
        <v>5997600</v>
      </c>
      <c r="H1608">
        <f t="shared" si="50"/>
        <v>134.00002267573697</v>
      </c>
      <c r="I1608">
        <f t="shared" si="51"/>
        <v>136</v>
      </c>
      <c r="J1608" t="s">
        <v>22</v>
      </c>
      <c r="K1608">
        <v>4</v>
      </c>
      <c r="L1608" t="e">
        <f t="array" ref="L1608">VLOOKUP(J1608:$J$3871&amp;K1608:$K$3871,CHOOSE({1,2},#REF!&amp;#REF!,#REF!),2,0)</f>
        <v>#N/A</v>
      </c>
      <c r="M1608">
        <v>0</v>
      </c>
      <c r="N1608">
        <v>1</v>
      </c>
      <c r="O1608" t="s">
        <v>23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1</v>
      </c>
      <c r="Y1608">
        <v>1</v>
      </c>
      <c r="Z1608">
        <v>0</v>
      </c>
      <c r="AA1608" t="s">
        <v>4652</v>
      </c>
      <c r="AB1608" t="s">
        <v>7025</v>
      </c>
      <c r="AC1608" t="s">
        <v>4652</v>
      </c>
      <c r="AD1608" t="e">
        <f>VLOOKUP(AB1608,#REF!,2,FALSE)</f>
        <v>#REF!</v>
      </c>
      <c r="AE1608" t="e">
        <f>RIGHT(#REF!,(FIND("Complex",#REF!,1)-6))</f>
        <v>#REF!</v>
      </c>
    </row>
    <row r="1609" spans="1:31" x14ac:dyDescent="0.25">
      <c r="A1609">
        <v>316</v>
      </c>
      <c r="B1609" t="s">
        <v>265</v>
      </c>
      <c r="C1609">
        <v>85</v>
      </c>
      <c r="D1609">
        <v>98</v>
      </c>
      <c r="E1609">
        <v>316</v>
      </c>
      <c r="F1609">
        <v>5644801</v>
      </c>
      <c r="G1609">
        <v>5733000</v>
      </c>
      <c r="H1609">
        <f t="shared" si="50"/>
        <v>128.00002267573697</v>
      </c>
      <c r="I1609">
        <f t="shared" si="51"/>
        <v>130</v>
      </c>
      <c r="J1609" t="s">
        <v>22</v>
      </c>
      <c r="K1609">
        <v>4</v>
      </c>
      <c r="L1609" t="e">
        <f t="array" ref="L1609">VLOOKUP(J1609:$J$3871&amp;K1609:$K$3871,CHOOSE({1,2},#REF!&amp;#REF!,#REF!),2,0)</f>
        <v>#N/A</v>
      </c>
      <c r="M1609">
        <v>0</v>
      </c>
      <c r="N1609">
        <v>1</v>
      </c>
      <c r="O1609" t="s">
        <v>23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1</v>
      </c>
      <c r="Y1609">
        <v>1</v>
      </c>
      <c r="Z1609">
        <v>0</v>
      </c>
      <c r="AA1609" t="s">
        <v>4679</v>
      </c>
      <c r="AB1609" t="s">
        <v>7040</v>
      </c>
      <c r="AC1609" t="s">
        <v>4679</v>
      </c>
      <c r="AD1609" t="e">
        <f>VLOOKUP(AB1609,#REF!,2,FALSE)</f>
        <v>#REF!</v>
      </c>
      <c r="AE1609" t="e">
        <f>RIGHT(#REF!,(FIND("Complex",#REF!,1)-6))</f>
        <v>#REF!</v>
      </c>
    </row>
    <row r="1610" spans="1:31" x14ac:dyDescent="0.25">
      <c r="A1610">
        <v>307</v>
      </c>
      <c r="B1610" t="s">
        <v>77</v>
      </c>
      <c r="C1610">
        <v>87</v>
      </c>
      <c r="D1610">
        <v>93</v>
      </c>
      <c r="E1610">
        <v>307</v>
      </c>
      <c r="F1610">
        <v>9525601</v>
      </c>
      <c r="G1610">
        <v>9613800</v>
      </c>
      <c r="H1610">
        <f t="shared" si="50"/>
        <v>216.00002267573697</v>
      </c>
      <c r="I1610">
        <f t="shared" si="51"/>
        <v>218</v>
      </c>
      <c r="J1610" t="s">
        <v>22</v>
      </c>
      <c r="K1610">
        <v>4</v>
      </c>
      <c r="L1610" t="e">
        <f t="array" ref="L1610">VLOOKUP(J1610:$J$3871&amp;K1610:$K$3871,CHOOSE({1,2},#REF!&amp;#REF!,#REF!),2,0)</f>
        <v>#N/A</v>
      </c>
      <c r="M1610">
        <v>0</v>
      </c>
      <c r="N1610">
        <v>1</v>
      </c>
      <c r="O1610" t="s">
        <v>23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1</v>
      </c>
      <c r="Z1610">
        <v>0</v>
      </c>
      <c r="AA1610" t="s">
        <v>4259</v>
      </c>
      <c r="AB1610" t="s">
        <v>6775</v>
      </c>
      <c r="AC1610" t="s">
        <v>4259</v>
      </c>
      <c r="AD1610" t="e">
        <f>VLOOKUP(AB1610,#REF!,2,FALSE)</f>
        <v>#REF!</v>
      </c>
      <c r="AE1610" t="e">
        <f>RIGHT(#REF!,(FIND("Complex",#REF!,1)-6))</f>
        <v>#REF!</v>
      </c>
    </row>
    <row r="1611" spans="1:31" x14ac:dyDescent="0.25">
      <c r="A1611">
        <v>135</v>
      </c>
      <c r="B1611" t="s">
        <v>77</v>
      </c>
      <c r="C1611">
        <v>87</v>
      </c>
      <c r="D1611">
        <v>42</v>
      </c>
      <c r="E1611">
        <v>135</v>
      </c>
      <c r="F1611">
        <v>9172801</v>
      </c>
      <c r="G1611">
        <v>9261000</v>
      </c>
      <c r="H1611">
        <f t="shared" si="50"/>
        <v>208.00002267573697</v>
      </c>
      <c r="I1611">
        <f t="shared" si="51"/>
        <v>210</v>
      </c>
      <c r="J1611" t="s">
        <v>22</v>
      </c>
      <c r="K1611">
        <v>4</v>
      </c>
      <c r="L1611" t="e">
        <f t="array" ref="L1611">VLOOKUP(J1611:$J$3871&amp;K1611:$K$3871,CHOOSE({1,2},#REF!&amp;#REF!,#REF!),2,0)</f>
        <v>#N/A</v>
      </c>
      <c r="M1611">
        <v>0</v>
      </c>
      <c r="N1611">
        <v>1</v>
      </c>
      <c r="O1611" t="s">
        <v>23</v>
      </c>
      <c r="P1611">
        <v>0</v>
      </c>
      <c r="Q1611">
        <v>1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1</v>
      </c>
      <c r="X1611">
        <v>0</v>
      </c>
      <c r="Y1611">
        <v>1</v>
      </c>
      <c r="Z1611">
        <v>0</v>
      </c>
      <c r="AA1611" t="s">
        <v>4275</v>
      </c>
      <c r="AB1611" t="s">
        <v>6785</v>
      </c>
      <c r="AC1611" t="s">
        <v>4275</v>
      </c>
      <c r="AD1611" t="e">
        <f>VLOOKUP(AB1611,#REF!,2,FALSE)</f>
        <v>#REF!</v>
      </c>
      <c r="AE1611" t="e">
        <f>RIGHT(#REF!,(FIND("Complex",#REF!,1)-6))</f>
        <v>#REF!</v>
      </c>
    </row>
    <row r="1612" spans="1:31" x14ac:dyDescent="0.25">
      <c r="A1612">
        <v>2308</v>
      </c>
      <c r="B1612" t="s">
        <v>77</v>
      </c>
      <c r="C1612">
        <v>87</v>
      </c>
      <c r="D1612">
        <v>724</v>
      </c>
      <c r="E1612">
        <v>2308</v>
      </c>
      <c r="F1612">
        <v>8026201</v>
      </c>
      <c r="G1612">
        <v>8114400</v>
      </c>
      <c r="H1612">
        <f t="shared" si="50"/>
        <v>182.00002267573697</v>
      </c>
      <c r="I1612">
        <f t="shared" si="51"/>
        <v>184</v>
      </c>
      <c r="J1612" t="s">
        <v>22</v>
      </c>
      <c r="K1612">
        <v>4</v>
      </c>
      <c r="L1612" t="e">
        <f t="array" ref="L1612">VLOOKUP(J1612:$J$3871&amp;K1612:$K$3871,CHOOSE({1,2},#REF!&amp;#REF!,#REF!),2,0)</f>
        <v>#N/A</v>
      </c>
      <c r="M1612">
        <v>0</v>
      </c>
      <c r="N1612">
        <v>1</v>
      </c>
      <c r="O1612" t="s">
        <v>23</v>
      </c>
      <c r="P1612">
        <v>0</v>
      </c>
      <c r="Q1612">
        <v>1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1</v>
      </c>
      <c r="Z1612">
        <v>0</v>
      </c>
      <c r="AA1612" t="s">
        <v>4389</v>
      </c>
      <c r="AB1612" t="s">
        <v>6854</v>
      </c>
      <c r="AC1612" t="s">
        <v>4389</v>
      </c>
      <c r="AD1612" t="e">
        <f>VLOOKUP(AB1612,#REF!,2,FALSE)</f>
        <v>#REF!</v>
      </c>
      <c r="AE1612" t="e">
        <f>RIGHT(#REF!,(FIND("Complex",#REF!,1)-7))</f>
        <v>#REF!</v>
      </c>
    </row>
    <row r="1613" spans="1:31" x14ac:dyDescent="0.25">
      <c r="A1613">
        <v>2376</v>
      </c>
      <c r="B1613" t="s">
        <v>267</v>
      </c>
      <c r="C1613">
        <v>89</v>
      </c>
      <c r="D1613">
        <v>757</v>
      </c>
      <c r="E1613">
        <v>2376</v>
      </c>
      <c r="F1613">
        <v>3087001</v>
      </c>
      <c r="G1613">
        <v>3175200</v>
      </c>
      <c r="H1613">
        <f t="shared" si="50"/>
        <v>70.000022675736957</v>
      </c>
      <c r="I1613">
        <f t="shared" si="51"/>
        <v>72</v>
      </c>
      <c r="J1613" t="s">
        <v>22</v>
      </c>
      <c r="K1613">
        <v>4</v>
      </c>
      <c r="L1613" t="e">
        <f t="array" ref="L1613">VLOOKUP(J1613:$J$3871&amp;K1613:$K$3871,CHOOSE({1,2},#REF!&amp;#REF!,#REF!),2,0)</f>
        <v>#N/A</v>
      </c>
      <c r="M1613">
        <v>0</v>
      </c>
      <c r="N1613">
        <v>1</v>
      </c>
      <c r="O1613" t="s">
        <v>23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1</v>
      </c>
      <c r="W1613">
        <v>1</v>
      </c>
      <c r="X1613">
        <v>0</v>
      </c>
      <c r="Y1613">
        <v>0</v>
      </c>
      <c r="Z1613">
        <v>0</v>
      </c>
      <c r="AA1613" t="s">
        <v>3701</v>
      </c>
      <c r="AB1613" t="s">
        <v>6423</v>
      </c>
      <c r="AC1613" t="s">
        <v>3701</v>
      </c>
      <c r="AD1613" t="e">
        <f>VLOOKUP(AB1613,#REF!,2,FALSE)</f>
        <v>#REF!</v>
      </c>
      <c r="AE1613" t="e">
        <f>RIGHT(#REF!,(FIND("Complex",#REF!,1)-8))</f>
        <v>#REF!</v>
      </c>
    </row>
    <row r="1614" spans="1:31" x14ac:dyDescent="0.25">
      <c r="A1614">
        <v>2312</v>
      </c>
      <c r="B1614" t="s">
        <v>267</v>
      </c>
      <c r="C1614">
        <v>89</v>
      </c>
      <c r="D1614">
        <v>726</v>
      </c>
      <c r="E1614">
        <v>2312</v>
      </c>
      <c r="F1614">
        <v>1146601</v>
      </c>
      <c r="G1614">
        <v>1234800</v>
      </c>
      <c r="H1614">
        <f t="shared" si="50"/>
        <v>26.000022675736961</v>
      </c>
      <c r="I1614">
        <f t="shared" si="51"/>
        <v>28</v>
      </c>
      <c r="J1614" t="s">
        <v>22</v>
      </c>
      <c r="K1614">
        <v>4</v>
      </c>
      <c r="L1614" t="e">
        <f t="array" ref="L1614">VLOOKUP(J1614:$J$3871&amp;K1614:$K$3871,CHOOSE({1,2},#REF!&amp;#REF!,#REF!),2,0)</f>
        <v>#N/A</v>
      </c>
      <c r="M1614">
        <v>0</v>
      </c>
      <c r="N1614">
        <v>1</v>
      </c>
      <c r="O1614" t="s">
        <v>23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1</v>
      </c>
      <c r="W1614">
        <v>1</v>
      </c>
      <c r="X1614">
        <v>0</v>
      </c>
      <c r="Y1614">
        <v>0</v>
      </c>
      <c r="Z1614">
        <v>0</v>
      </c>
      <c r="AA1614" t="s">
        <v>4139</v>
      </c>
      <c r="AB1614" t="s">
        <v>6695</v>
      </c>
      <c r="AC1614" t="s">
        <v>4139</v>
      </c>
      <c r="AD1614" t="e">
        <f>VLOOKUP(AB1614,#REF!,2,FALSE)</f>
        <v>#REF!</v>
      </c>
      <c r="AE1614" t="e">
        <f>RIGHT(#REF!,(FIND("Complex",#REF!,1)-8))</f>
        <v>#REF!</v>
      </c>
    </row>
    <row r="1615" spans="1:31" x14ac:dyDescent="0.25">
      <c r="A1615">
        <v>1804</v>
      </c>
      <c r="B1615" t="s">
        <v>267</v>
      </c>
      <c r="C1615">
        <v>89</v>
      </c>
      <c r="D1615">
        <v>545</v>
      </c>
      <c r="E1615">
        <v>1804</v>
      </c>
      <c r="F1615">
        <v>7849801</v>
      </c>
      <c r="G1615">
        <v>7938000</v>
      </c>
      <c r="H1615">
        <f t="shared" si="50"/>
        <v>178.00002267573697</v>
      </c>
      <c r="I1615">
        <f t="shared" si="51"/>
        <v>180</v>
      </c>
      <c r="J1615" t="s">
        <v>22</v>
      </c>
      <c r="K1615">
        <v>4</v>
      </c>
      <c r="L1615" t="e">
        <f t="array" ref="L1615">VLOOKUP(J1615:$J$3871&amp;K1615:$K$3871,CHOOSE({1,2},#REF!&amp;#REF!,#REF!),2,0)</f>
        <v>#N/A</v>
      </c>
      <c r="M1615">
        <v>0</v>
      </c>
      <c r="N1615">
        <v>1</v>
      </c>
      <c r="O1615" t="s">
        <v>23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1</v>
      </c>
      <c r="W1615">
        <v>1</v>
      </c>
      <c r="X1615">
        <v>0</v>
      </c>
      <c r="Y1615">
        <v>0</v>
      </c>
      <c r="Z1615">
        <v>0</v>
      </c>
      <c r="AA1615" t="s">
        <v>4422</v>
      </c>
      <c r="AB1615" t="s">
        <v>6871</v>
      </c>
      <c r="AC1615" t="s">
        <v>4422</v>
      </c>
      <c r="AD1615" t="e">
        <f>VLOOKUP(AB1615,#REF!,2,FALSE)</f>
        <v>#REF!</v>
      </c>
      <c r="AE1615" t="e">
        <f>RIGHT(#REF!,(FIND("Complex",#REF!,1)-7))</f>
        <v>#REF!</v>
      </c>
    </row>
    <row r="1616" spans="1:31" x14ac:dyDescent="0.25">
      <c r="A1616">
        <v>1253</v>
      </c>
      <c r="B1616" t="s">
        <v>267</v>
      </c>
      <c r="C1616">
        <v>89</v>
      </c>
      <c r="D1616">
        <v>379</v>
      </c>
      <c r="E1616">
        <v>1253</v>
      </c>
      <c r="F1616">
        <v>7497001</v>
      </c>
      <c r="G1616">
        <v>7585200</v>
      </c>
      <c r="H1616">
        <f t="shared" si="50"/>
        <v>170.00002267573697</v>
      </c>
      <c r="I1616">
        <f t="shared" si="51"/>
        <v>172</v>
      </c>
      <c r="J1616" t="s">
        <v>22</v>
      </c>
      <c r="K1616">
        <v>4</v>
      </c>
      <c r="L1616" t="e">
        <f t="array" ref="L1616">VLOOKUP(J1616:$J$3871&amp;K1616:$K$3871,CHOOSE({1,2},#REF!&amp;#REF!,#REF!),2,0)</f>
        <v>#N/A</v>
      </c>
      <c r="M1616">
        <v>0</v>
      </c>
      <c r="N1616">
        <v>1</v>
      </c>
      <c r="O1616" t="s">
        <v>23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1</v>
      </c>
      <c r="X1616">
        <v>0</v>
      </c>
      <c r="Y1616">
        <v>0</v>
      </c>
      <c r="Z1616">
        <v>0</v>
      </c>
      <c r="AA1616" t="s">
        <v>4437</v>
      </c>
      <c r="AB1616" t="s">
        <v>6880</v>
      </c>
      <c r="AC1616" t="s">
        <v>4437</v>
      </c>
      <c r="AD1616" t="e">
        <f>VLOOKUP(AB1616,#REF!,2,FALSE)</f>
        <v>#REF!</v>
      </c>
      <c r="AE1616" t="e">
        <f>RIGHT(#REF!,(FIND("Complex",#REF!,1)-7))</f>
        <v>#REF!</v>
      </c>
    </row>
    <row r="1617" spans="1:31" x14ac:dyDescent="0.25">
      <c r="A1617">
        <v>2584</v>
      </c>
      <c r="B1617" t="s">
        <v>267</v>
      </c>
      <c r="C1617">
        <v>89</v>
      </c>
      <c r="D1617">
        <v>841</v>
      </c>
      <c r="E1617">
        <v>2584</v>
      </c>
      <c r="F1617">
        <v>6703201</v>
      </c>
      <c r="G1617">
        <v>6791400</v>
      </c>
      <c r="H1617">
        <f t="shared" si="50"/>
        <v>152.00002267573697</v>
      </c>
      <c r="I1617">
        <f t="shared" si="51"/>
        <v>154</v>
      </c>
      <c r="J1617" t="s">
        <v>22</v>
      </c>
      <c r="K1617">
        <v>4</v>
      </c>
      <c r="L1617" t="e">
        <f t="array" ref="L1617">VLOOKUP(J1617:$J$3871&amp;K1617:$K$3871,CHOOSE({1,2},#REF!&amp;#REF!,#REF!),2,0)</f>
        <v>#N/A</v>
      </c>
      <c r="M1617">
        <v>0</v>
      </c>
      <c r="N1617">
        <v>1</v>
      </c>
      <c r="O1617" t="s">
        <v>23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1</v>
      </c>
      <c r="W1617">
        <v>1</v>
      </c>
      <c r="X1617">
        <v>0</v>
      </c>
      <c r="Y1617">
        <v>0</v>
      </c>
      <c r="Z1617">
        <v>0</v>
      </c>
      <c r="AA1617" t="s">
        <v>4534</v>
      </c>
      <c r="AB1617" t="s">
        <v>6949</v>
      </c>
      <c r="AC1617" t="s">
        <v>4534</v>
      </c>
      <c r="AD1617" t="e">
        <f>VLOOKUP(AB1617,#REF!,2,FALSE)</f>
        <v>#REF!</v>
      </c>
      <c r="AE1617" t="e">
        <f>RIGHT(#REF!,(FIND("Complex",#REF!,1)-7))</f>
        <v>#REF!</v>
      </c>
    </row>
    <row r="1618" spans="1:31" x14ac:dyDescent="0.25">
      <c r="A1618">
        <v>2654</v>
      </c>
      <c r="B1618" t="s">
        <v>267</v>
      </c>
      <c r="C1618">
        <v>89</v>
      </c>
      <c r="D1618">
        <v>879</v>
      </c>
      <c r="E1618">
        <v>2654</v>
      </c>
      <c r="F1618">
        <v>6526801</v>
      </c>
      <c r="G1618">
        <v>6615000</v>
      </c>
      <c r="H1618">
        <f t="shared" si="50"/>
        <v>148.00002267573697</v>
      </c>
      <c r="I1618">
        <f t="shared" si="51"/>
        <v>150</v>
      </c>
      <c r="J1618" t="s">
        <v>22</v>
      </c>
      <c r="K1618">
        <v>4</v>
      </c>
      <c r="L1618" t="e">
        <f t="array" ref="L1618">VLOOKUP(J1618:$J$3871&amp;K1618:$K$3871,CHOOSE({1,2},#REF!&amp;#REF!,#REF!),2,0)</f>
        <v>#N/A</v>
      </c>
      <c r="M1618">
        <v>0</v>
      </c>
      <c r="N1618">
        <v>1</v>
      </c>
      <c r="O1618" t="s">
        <v>23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1</v>
      </c>
      <c r="W1618">
        <v>1</v>
      </c>
      <c r="X1618">
        <v>0</v>
      </c>
      <c r="Y1618">
        <v>0</v>
      </c>
      <c r="Z1618">
        <v>0</v>
      </c>
      <c r="AA1618" t="s">
        <v>4557</v>
      </c>
      <c r="AB1618" t="s">
        <v>6965</v>
      </c>
      <c r="AC1618" t="s">
        <v>4557</v>
      </c>
      <c r="AD1618" t="e">
        <f>VLOOKUP(AB1618,#REF!,2,FALSE)</f>
        <v>#REF!</v>
      </c>
      <c r="AE1618" t="e">
        <f>RIGHT(#REF!,(FIND("Complex",#REF!,1)-7))</f>
        <v>#REF!</v>
      </c>
    </row>
    <row r="1619" spans="1:31" x14ac:dyDescent="0.25">
      <c r="A1619">
        <v>2444</v>
      </c>
      <c r="B1619" t="s">
        <v>267</v>
      </c>
      <c r="C1619">
        <v>89</v>
      </c>
      <c r="D1619">
        <v>787</v>
      </c>
      <c r="E1619">
        <v>2444</v>
      </c>
      <c r="F1619">
        <v>5733001</v>
      </c>
      <c r="G1619">
        <v>5821200</v>
      </c>
      <c r="H1619">
        <f t="shared" si="50"/>
        <v>130.00002267573697</v>
      </c>
      <c r="I1619">
        <f t="shared" si="51"/>
        <v>132</v>
      </c>
      <c r="J1619" t="s">
        <v>22</v>
      </c>
      <c r="K1619">
        <v>4</v>
      </c>
      <c r="L1619" t="e">
        <f t="array" ref="L1619">VLOOKUP(J1619:$J$3871&amp;K1619:$K$3871,CHOOSE({1,2},#REF!&amp;#REF!,#REF!),2,0)</f>
        <v>#N/A</v>
      </c>
      <c r="M1619">
        <v>0</v>
      </c>
      <c r="N1619">
        <v>1</v>
      </c>
      <c r="O1619" t="s">
        <v>23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1</v>
      </c>
      <c r="X1619">
        <v>0</v>
      </c>
      <c r="Y1619">
        <v>0</v>
      </c>
      <c r="Z1619">
        <v>0</v>
      </c>
      <c r="AA1619" t="s">
        <v>4672</v>
      </c>
      <c r="AB1619" t="s">
        <v>7037</v>
      </c>
      <c r="AC1619" t="s">
        <v>4672</v>
      </c>
      <c r="AD1619" t="e">
        <f>VLOOKUP(AB1619,#REF!,2,FALSE)</f>
        <v>#REF!</v>
      </c>
      <c r="AE1619" t="e">
        <f>RIGHT(#REF!,(FIND("Complex",#REF!,1)-7))</f>
        <v>#REF!</v>
      </c>
    </row>
    <row r="1620" spans="1:31" x14ac:dyDescent="0.25">
      <c r="A1620">
        <v>928</v>
      </c>
      <c r="B1620" t="s">
        <v>76</v>
      </c>
      <c r="C1620">
        <v>93</v>
      </c>
      <c r="D1620">
        <v>284</v>
      </c>
      <c r="E1620">
        <v>928</v>
      </c>
      <c r="F1620">
        <v>4321801</v>
      </c>
      <c r="G1620">
        <v>4410000</v>
      </c>
      <c r="H1620">
        <f t="shared" si="50"/>
        <v>98.000022675736957</v>
      </c>
      <c r="I1620">
        <f t="shared" si="51"/>
        <v>100</v>
      </c>
      <c r="J1620" t="s">
        <v>22</v>
      </c>
      <c r="K1620">
        <v>4</v>
      </c>
      <c r="L1620" t="e">
        <f t="array" ref="L1620">VLOOKUP(J1620:$J$3871&amp;K1620:$K$3871,CHOOSE({1,2},#REF!&amp;#REF!,#REF!),2,0)</f>
        <v>#N/A</v>
      </c>
      <c r="M1620">
        <v>0</v>
      </c>
      <c r="N1620">
        <v>1</v>
      </c>
      <c r="O1620" t="s">
        <v>23</v>
      </c>
      <c r="P1620">
        <v>1</v>
      </c>
      <c r="Q1620">
        <v>1</v>
      </c>
      <c r="R1620">
        <v>1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 t="s">
        <v>3501</v>
      </c>
      <c r="AB1620" t="s">
        <v>6316</v>
      </c>
      <c r="AC1620" t="s">
        <v>3501</v>
      </c>
      <c r="AD1620" t="e">
        <f>VLOOKUP(AB1620,#REF!,2,FALSE)</f>
        <v>#REF!</v>
      </c>
      <c r="AE1620" t="e">
        <f>RIGHT(#REF!,(FIND("Complex",#REF!,1)-7))</f>
        <v>#REF!</v>
      </c>
    </row>
    <row r="1621" spans="1:31" x14ac:dyDescent="0.25">
      <c r="A1621">
        <v>1892</v>
      </c>
      <c r="B1621" t="s">
        <v>76</v>
      </c>
      <c r="C1621">
        <v>93</v>
      </c>
      <c r="D1621">
        <v>573</v>
      </c>
      <c r="E1621">
        <v>1892</v>
      </c>
      <c r="F1621">
        <v>5997601</v>
      </c>
      <c r="G1621">
        <v>6085800</v>
      </c>
      <c r="H1621">
        <f t="shared" si="50"/>
        <v>136.00002267573697</v>
      </c>
      <c r="I1621">
        <f t="shared" si="51"/>
        <v>138</v>
      </c>
      <c r="J1621" t="s">
        <v>22</v>
      </c>
      <c r="K1621">
        <v>4</v>
      </c>
      <c r="L1621" t="e">
        <f t="array" ref="L1621">VLOOKUP(J1621:$J$3871&amp;K1621:$K$3871,CHOOSE({1,2},#REF!&amp;#REF!,#REF!),2,0)</f>
        <v>#N/A</v>
      </c>
      <c r="M1621">
        <v>0</v>
      </c>
      <c r="N1621">
        <v>1</v>
      </c>
      <c r="O1621" t="s">
        <v>23</v>
      </c>
      <c r="P1621">
        <v>1</v>
      </c>
      <c r="Q1621">
        <v>1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0</v>
      </c>
      <c r="Z1621">
        <v>0</v>
      </c>
      <c r="AA1621" t="s">
        <v>4639</v>
      </c>
      <c r="AB1621" t="s">
        <v>7015</v>
      </c>
      <c r="AC1621" t="s">
        <v>4639</v>
      </c>
      <c r="AD1621" t="e">
        <f>VLOOKUP(AB1621,#REF!,2,FALSE)</f>
        <v>#REF!</v>
      </c>
      <c r="AE1621" t="e">
        <f>RIGHT(#REF!,(FIND("Complex",#REF!,1)-7))</f>
        <v>#REF!</v>
      </c>
    </row>
    <row r="1622" spans="1:31" x14ac:dyDescent="0.25">
      <c r="A1622">
        <v>1604</v>
      </c>
      <c r="B1622" t="s">
        <v>76</v>
      </c>
      <c r="C1622">
        <v>93</v>
      </c>
      <c r="D1622">
        <v>487</v>
      </c>
      <c r="E1622">
        <v>1604</v>
      </c>
      <c r="F1622">
        <v>5027401</v>
      </c>
      <c r="G1622">
        <v>5115600</v>
      </c>
      <c r="H1622">
        <f t="shared" si="50"/>
        <v>114.00002267573696</v>
      </c>
      <c r="I1622">
        <f t="shared" si="51"/>
        <v>116</v>
      </c>
      <c r="J1622" t="s">
        <v>22</v>
      </c>
      <c r="K1622">
        <v>4</v>
      </c>
      <c r="L1622" t="e">
        <f t="array" ref="L1622">VLOOKUP(J1622:$J$3871&amp;K1622:$K$3871,CHOOSE({1,2},#REF!&amp;#REF!,#REF!),2,0)</f>
        <v>#N/A</v>
      </c>
      <c r="M1622">
        <v>0</v>
      </c>
      <c r="N1622">
        <v>1</v>
      </c>
      <c r="O1622" t="s">
        <v>23</v>
      </c>
      <c r="P1622">
        <v>1</v>
      </c>
      <c r="Q1622">
        <v>1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1</v>
      </c>
      <c r="Y1622">
        <v>0</v>
      </c>
      <c r="Z1622">
        <v>0</v>
      </c>
      <c r="AA1622" t="s">
        <v>4761</v>
      </c>
      <c r="AB1622" t="s">
        <v>1821</v>
      </c>
      <c r="AC1622" t="s">
        <v>4761</v>
      </c>
      <c r="AD1622" t="e">
        <f>VLOOKUP(AB1622,#REF!,2,FALSE)</f>
        <v>#REF!</v>
      </c>
      <c r="AE1622" t="e">
        <f>RIGHT(#REF!,(FIND("Complex",#REF!,1)-7))</f>
        <v>#REF!</v>
      </c>
    </row>
    <row r="1623" spans="1:31" x14ac:dyDescent="0.25">
      <c r="A1623">
        <v>1657</v>
      </c>
      <c r="B1623" t="s">
        <v>76</v>
      </c>
      <c r="C1623">
        <v>93</v>
      </c>
      <c r="D1623">
        <v>498</v>
      </c>
      <c r="E1623">
        <v>1657</v>
      </c>
      <c r="F1623">
        <v>4851001</v>
      </c>
      <c r="G1623">
        <v>4939200</v>
      </c>
      <c r="H1623">
        <f t="shared" si="50"/>
        <v>110.00002267573696</v>
      </c>
      <c r="I1623">
        <f t="shared" si="51"/>
        <v>112</v>
      </c>
      <c r="J1623" t="s">
        <v>22</v>
      </c>
      <c r="K1623">
        <v>4</v>
      </c>
      <c r="L1623" t="e">
        <f t="array" ref="L1623">VLOOKUP(J1623:$J$3871&amp;K1623:$K$3871,CHOOSE({1,2},#REF!&amp;#REF!,#REF!),2,0)</f>
        <v>#N/A</v>
      </c>
      <c r="M1623">
        <v>0</v>
      </c>
      <c r="N1623">
        <v>1</v>
      </c>
      <c r="O1623" t="s">
        <v>23</v>
      </c>
      <c r="P1623">
        <v>1</v>
      </c>
      <c r="Q1623">
        <v>1</v>
      </c>
      <c r="R1623">
        <v>1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 t="s">
        <v>4778</v>
      </c>
      <c r="AB1623" t="s">
        <v>7099</v>
      </c>
      <c r="AC1623" t="s">
        <v>4778</v>
      </c>
      <c r="AD1623" t="e">
        <f>VLOOKUP(AB1623,#REF!,2,FALSE)</f>
        <v>#REF!</v>
      </c>
      <c r="AE1623" t="e">
        <f>RIGHT(#REF!,(FIND("Complex",#REF!,1)-7))</f>
        <v>#REF!</v>
      </c>
    </row>
    <row r="1624" spans="1:31" x14ac:dyDescent="0.25">
      <c r="A1624">
        <v>1072</v>
      </c>
      <c r="B1624" t="s">
        <v>76</v>
      </c>
      <c r="C1624">
        <v>93</v>
      </c>
      <c r="D1624">
        <v>322</v>
      </c>
      <c r="E1624">
        <v>1072</v>
      </c>
      <c r="F1624">
        <v>4498201</v>
      </c>
      <c r="G1624">
        <v>4586400</v>
      </c>
      <c r="H1624">
        <f t="shared" si="50"/>
        <v>102.00002267573696</v>
      </c>
      <c r="I1624">
        <f t="shared" si="51"/>
        <v>104</v>
      </c>
      <c r="J1624" t="s">
        <v>22</v>
      </c>
      <c r="K1624">
        <v>4</v>
      </c>
      <c r="L1624" t="e">
        <f t="array" ref="L1624">VLOOKUP(J1624:$J$3871&amp;K1624:$K$3871,CHOOSE({1,2},#REF!&amp;#REF!,#REF!),2,0)</f>
        <v>#N/A</v>
      </c>
      <c r="M1624">
        <v>0</v>
      </c>
      <c r="N1624">
        <v>1</v>
      </c>
      <c r="O1624" t="s">
        <v>23</v>
      </c>
      <c r="P1624">
        <v>1</v>
      </c>
      <c r="Q1624">
        <v>1</v>
      </c>
      <c r="R1624">
        <v>1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 t="s">
        <v>4825</v>
      </c>
      <c r="AB1624" t="s">
        <v>1822</v>
      </c>
      <c r="AC1624" t="s">
        <v>4825</v>
      </c>
      <c r="AD1624" t="e">
        <f>VLOOKUP(AB1624,#REF!,2,FALSE)</f>
        <v>#REF!</v>
      </c>
      <c r="AE1624" t="e">
        <f>RIGHT(#REF!,(FIND("Complex",#REF!,1)-7))</f>
        <v>#REF!</v>
      </c>
    </row>
    <row r="1625" spans="1:31" x14ac:dyDescent="0.25">
      <c r="A1625">
        <v>871</v>
      </c>
      <c r="B1625" t="s">
        <v>58</v>
      </c>
      <c r="C1625">
        <v>94</v>
      </c>
      <c r="D1625">
        <v>264</v>
      </c>
      <c r="E1625">
        <v>871</v>
      </c>
      <c r="F1625">
        <v>3969001</v>
      </c>
      <c r="G1625">
        <v>4057200</v>
      </c>
      <c r="H1625">
        <f t="shared" si="50"/>
        <v>90.000022675736957</v>
      </c>
      <c r="I1625">
        <f t="shared" si="51"/>
        <v>92</v>
      </c>
      <c r="J1625" t="s">
        <v>22</v>
      </c>
      <c r="K1625">
        <v>4</v>
      </c>
      <c r="L1625" t="e">
        <f t="array" ref="L1625">VLOOKUP(J1625:$J$3871&amp;K1625:$K$3871,CHOOSE({1,2},#REF!&amp;#REF!,#REF!),2,0)</f>
        <v>#N/A</v>
      </c>
      <c r="M1625">
        <v>0</v>
      </c>
      <c r="N1625">
        <v>1</v>
      </c>
      <c r="O1625" t="s">
        <v>23</v>
      </c>
      <c r="P1625">
        <v>1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1</v>
      </c>
      <c r="Y1625">
        <v>0</v>
      </c>
      <c r="Z1625">
        <v>0</v>
      </c>
      <c r="AA1625" t="s">
        <v>3549</v>
      </c>
      <c r="AB1625" t="s">
        <v>6338</v>
      </c>
      <c r="AC1625" t="s">
        <v>3549</v>
      </c>
      <c r="AD1625" t="e">
        <f>VLOOKUP(AB1625,#REF!,2,FALSE)</f>
        <v>#REF!</v>
      </c>
      <c r="AE1625" t="e">
        <f>RIGHT(#REF!,(FIND("Complex",#REF!,1)-7))</f>
        <v>#REF!</v>
      </c>
    </row>
    <row r="1626" spans="1:31" x14ac:dyDescent="0.25">
      <c r="A1626">
        <v>2300</v>
      </c>
      <c r="B1626" t="s">
        <v>58</v>
      </c>
      <c r="C1626">
        <v>94</v>
      </c>
      <c r="D1626">
        <v>721</v>
      </c>
      <c r="E1626">
        <v>2300</v>
      </c>
      <c r="F1626">
        <v>2910601</v>
      </c>
      <c r="G1626">
        <v>2998800</v>
      </c>
      <c r="H1626">
        <f t="shared" si="50"/>
        <v>66.000022675736957</v>
      </c>
      <c r="I1626">
        <f t="shared" si="51"/>
        <v>68</v>
      </c>
      <c r="J1626" t="s">
        <v>22</v>
      </c>
      <c r="K1626">
        <v>4</v>
      </c>
      <c r="L1626" t="e">
        <f t="array" ref="L1626">VLOOKUP(J1626:$J$3871&amp;K1626:$K$3871,CHOOSE({1,2},#REF!&amp;#REF!,#REF!),2,0)</f>
        <v>#N/A</v>
      </c>
      <c r="M1626">
        <v>0</v>
      </c>
      <c r="N1626">
        <v>1</v>
      </c>
      <c r="O1626" t="s">
        <v>23</v>
      </c>
      <c r="P1626">
        <v>1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1</v>
      </c>
      <c r="Y1626">
        <v>0</v>
      </c>
      <c r="Z1626">
        <v>0</v>
      </c>
      <c r="AA1626" t="s">
        <v>3732</v>
      </c>
      <c r="AB1626" t="s">
        <v>6439</v>
      </c>
      <c r="AC1626" t="s">
        <v>3732</v>
      </c>
      <c r="AD1626" t="e">
        <f>VLOOKUP(AB1626,#REF!,2,FALSE)</f>
        <v>#REF!</v>
      </c>
      <c r="AE1626" t="e">
        <f>RIGHT(#REF!,(FIND("Complex",#REF!,1)-8))</f>
        <v>#REF!</v>
      </c>
    </row>
    <row r="1627" spans="1:31" x14ac:dyDescent="0.25">
      <c r="A1627">
        <v>1622</v>
      </c>
      <c r="B1627" t="s">
        <v>58</v>
      </c>
      <c r="C1627">
        <v>94</v>
      </c>
      <c r="D1627">
        <v>490</v>
      </c>
      <c r="E1627">
        <v>1622</v>
      </c>
      <c r="F1627">
        <v>2469601</v>
      </c>
      <c r="G1627">
        <v>2557800</v>
      </c>
      <c r="H1627">
        <f t="shared" si="50"/>
        <v>56.000022675736965</v>
      </c>
      <c r="I1627">
        <f t="shared" si="51"/>
        <v>58</v>
      </c>
      <c r="J1627" t="s">
        <v>22</v>
      </c>
      <c r="K1627">
        <v>4</v>
      </c>
      <c r="L1627" t="e">
        <f t="array" ref="L1627">VLOOKUP(J1627:$J$3871&amp;K1627:$K$3871,CHOOSE({1,2},#REF!&amp;#REF!,#REF!),2,0)</f>
        <v>#N/A</v>
      </c>
      <c r="M1627">
        <v>0</v>
      </c>
      <c r="N1627">
        <v>1</v>
      </c>
      <c r="O1627" t="s">
        <v>23</v>
      </c>
      <c r="P1627">
        <v>1</v>
      </c>
      <c r="Q1627">
        <v>1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1</v>
      </c>
      <c r="Y1627">
        <v>0</v>
      </c>
      <c r="Z1627">
        <v>0</v>
      </c>
      <c r="AA1627" t="s">
        <v>3828</v>
      </c>
      <c r="AB1627" t="s">
        <v>6498</v>
      </c>
      <c r="AC1627" t="s">
        <v>3828</v>
      </c>
      <c r="AD1627" t="e">
        <f>VLOOKUP(AB1627,#REF!,2,FALSE)</f>
        <v>#REF!</v>
      </c>
      <c r="AE1627" t="e">
        <f>RIGHT(#REF!,(FIND("Complex",#REF!,1)-8))</f>
        <v>#REF!</v>
      </c>
    </row>
    <row r="1628" spans="1:31" x14ac:dyDescent="0.25">
      <c r="A1628">
        <v>464</v>
      </c>
      <c r="B1628" t="s">
        <v>58</v>
      </c>
      <c r="C1628">
        <v>94</v>
      </c>
      <c r="D1628">
        <v>147</v>
      </c>
      <c r="E1628">
        <v>464</v>
      </c>
      <c r="F1628">
        <v>1764001</v>
      </c>
      <c r="G1628">
        <v>1852200</v>
      </c>
      <c r="H1628">
        <f t="shared" si="50"/>
        <v>40.000022675736965</v>
      </c>
      <c r="I1628">
        <f t="shared" si="51"/>
        <v>42</v>
      </c>
      <c r="J1628" t="s">
        <v>22</v>
      </c>
      <c r="K1628">
        <v>4</v>
      </c>
      <c r="L1628" t="e">
        <f t="array" ref="L1628">VLOOKUP(J1628:$J$3871&amp;K1628:$K$3871,CHOOSE({1,2},#REF!&amp;#REF!,#REF!),2,0)</f>
        <v>#N/A</v>
      </c>
      <c r="M1628">
        <v>0</v>
      </c>
      <c r="N1628">
        <v>1</v>
      </c>
      <c r="O1628" t="s">
        <v>23</v>
      </c>
      <c r="P1628">
        <v>1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1</v>
      </c>
      <c r="Y1628">
        <v>0</v>
      </c>
      <c r="Z1628">
        <v>0</v>
      </c>
      <c r="AA1628" t="s">
        <v>3938</v>
      </c>
      <c r="AB1628" t="s">
        <v>6563</v>
      </c>
      <c r="AC1628" t="s">
        <v>3938</v>
      </c>
      <c r="AD1628" t="e">
        <f>VLOOKUP(AB1628,#REF!,2,FALSE)</f>
        <v>#REF!</v>
      </c>
      <c r="AE1628" t="e">
        <f>RIGHT(#REF!,(FIND("Complex",#REF!,1)-7))</f>
        <v>#REF!</v>
      </c>
    </row>
    <row r="1629" spans="1:31" x14ac:dyDescent="0.25">
      <c r="A1629">
        <v>578</v>
      </c>
      <c r="B1629" t="s">
        <v>58</v>
      </c>
      <c r="C1629">
        <v>94</v>
      </c>
      <c r="D1629">
        <v>186</v>
      </c>
      <c r="E1629">
        <v>578</v>
      </c>
      <c r="F1629">
        <v>10760401</v>
      </c>
      <c r="G1629">
        <v>10848600</v>
      </c>
      <c r="H1629">
        <f t="shared" si="50"/>
        <v>244.00002267573697</v>
      </c>
      <c r="I1629">
        <f t="shared" si="51"/>
        <v>246</v>
      </c>
      <c r="J1629" t="s">
        <v>22</v>
      </c>
      <c r="K1629">
        <v>4</v>
      </c>
      <c r="L1629" t="e">
        <f t="array" ref="L1629">VLOOKUP(J1629:$J$3871&amp;K1629:$K$3871,CHOOSE({1,2},#REF!&amp;#REF!,#REF!),2,0)</f>
        <v>#N/A</v>
      </c>
      <c r="M1629">
        <v>0</v>
      </c>
      <c r="N1629">
        <v>1</v>
      </c>
      <c r="O1629" t="s">
        <v>23</v>
      </c>
      <c r="P1629">
        <v>1</v>
      </c>
      <c r="Q1629">
        <v>1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1</v>
      </c>
      <c r="Y1629">
        <v>0</v>
      </c>
      <c r="Z1629">
        <v>0</v>
      </c>
      <c r="AA1629" t="s">
        <v>4170</v>
      </c>
      <c r="AB1629" t="s">
        <v>1837</v>
      </c>
      <c r="AC1629" t="s">
        <v>4170</v>
      </c>
      <c r="AD1629" t="e">
        <f>VLOOKUP(AB1629,#REF!,2,FALSE)</f>
        <v>#REF!</v>
      </c>
      <c r="AE1629" t="e">
        <f>RIGHT(#REF!,(FIND("Complex",#REF!,1)-6))</f>
        <v>#REF!</v>
      </c>
    </row>
    <row r="1630" spans="1:31" x14ac:dyDescent="0.25">
      <c r="A1630">
        <v>2483</v>
      </c>
      <c r="B1630" t="s">
        <v>58</v>
      </c>
      <c r="C1630">
        <v>94</v>
      </c>
      <c r="D1630">
        <v>805</v>
      </c>
      <c r="E1630">
        <v>2483</v>
      </c>
      <c r="F1630">
        <v>10495801</v>
      </c>
      <c r="G1630">
        <v>10584000</v>
      </c>
      <c r="H1630">
        <f t="shared" si="50"/>
        <v>238.00002267573697</v>
      </c>
      <c r="I1630">
        <f t="shared" si="51"/>
        <v>240</v>
      </c>
      <c r="J1630" t="s">
        <v>22</v>
      </c>
      <c r="K1630">
        <v>4</v>
      </c>
      <c r="L1630" t="e">
        <f t="array" ref="L1630">VLOOKUP(J1630:$J$3871&amp;K1630:$K$3871,CHOOSE({1,2},#REF!&amp;#REF!,#REF!),2,0)</f>
        <v>#N/A</v>
      </c>
      <c r="M1630">
        <v>0</v>
      </c>
      <c r="N1630">
        <v>1</v>
      </c>
      <c r="O1630" t="s">
        <v>23</v>
      </c>
      <c r="P1630">
        <v>1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1</v>
      </c>
      <c r="Y1630">
        <v>0</v>
      </c>
      <c r="Z1630">
        <v>0</v>
      </c>
      <c r="AA1630" t="s">
        <v>4199</v>
      </c>
      <c r="AB1630" t="s">
        <v>6737</v>
      </c>
      <c r="AC1630" t="s">
        <v>4199</v>
      </c>
      <c r="AD1630" t="e">
        <f>VLOOKUP(AB1630,#REF!,2,FALSE)</f>
        <v>#REF!</v>
      </c>
      <c r="AE1630" t="e">
        <f>RIGHT(#REF!,(FIND("Complex",#REF!,1)-7))</f>
        <v>#REF!</v>
      </c>
    </row>
    <row r="1631" spans="1:31" x14ac:dyDescent="0.25">
      <c r="A1631">
        <v>1192</v>
      </c>
      <c r="B1631" t="s">
        <v>58</v>
      </c>
      <c r="C1631">
        <v>94</v>
      </c>
      <c r="D1631">
        <v>360</v>
      </c>
      <c r="E1631">
        <v>1192</v>
      </c>
      <c r="F1631">
        <v>7320601</v>
      </c>
      <c r="G1631">
        <v>7408800</v>
      </c>
      <c r="H1631">
        <f t="shared" si="50"/>
        <v>166.00002267573697</v>
      </c>
      <c r="I1631">
        <f t="shared" si="51"/>
        <v>168</v>
      </c>
      <c r="J1631" t="s">
        <v>22</v>
      </c>
      <c r="K1631">
        <v>4</v>
      </c>
      <c r="L1631" t="e">
        <f t="array" ref="L1631">VLOOKUP(J1631:$J$3871&amp;K1631:$K$3871,CHOOSE({1,2},#REF!&amp;#REF!,#REF!),2,0)</f>
        <v>#N/A</v>
      </c>
      <c r="M1631">
        <v>0</v>
      </c>
      <c r="N1631">
        <v>1</v>
      </c>
      <c r="O1631" t="s">
        <v>23</v>
      </c>
      <c r="P1631">
        <v>1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1</v>
      </c>
      <c r="Y1631">
        <v>0</v>
      </c>
      <c r="Z1631">
        <v>0</v>
      </c>
      <c r="AA1631" t="s">
        <v>4453</v>
      </c>
      <c r="AB1631" t="s">
        <v>6892</v>
      </c>
      <c r="AC1631" t="s">
        <v>4453</v>
      </c>
      <c r="AD1631" t="e">
        <f>VLOOKUP(AB1631,#REF!,2,FALSE)</f>
        <v>#REF!</v>
      </c>
      <c r="AE1631" t="e">
        <f>RIGHT(#REF!,(FIND("Complex",#REF!,1)-7))</f>
        <v>#REF!</v>
      </c>
    </row>
    <row r="1632" spans="1:31" x14ac:dyDescent="0.25">
      <c r="A1632">
        <v>1345</v>
      </c>
      <c r="B1632" t="s">
        <v>58</v>
      </c>
      <c r="C1632">
        <v>94</v>
      </c>
      <c r="D1632">
        <v>409</v>
      </c>
      <c r="E1632">
        <v>1345</v>
      </c>
      <c r="F1632">
        <v>5733001</v>
      </c>
      <c r="G1632">
        <v>5821200</v>
      </c>
      <c r="H1632">
        <f t="shared" si="50"/>
        <v>130.00002267573697</v>
      </c>
      <c r="I1632">
        <f t="shared" si="51"/>
        <v>132</v>
      </c>
      <c r="J1632" t="s">
        <v>22</v>
      </c>
      <c r="K1632">
        <v>4</v>
      </c>
      <c r="L1632" t="e">
        <f t="array" ref="L1632">VLOOKUP(J1632:$J$3871&amp;K1632:$K$3871,CHOOSE({1,2},#REF!&amp;#REF!,#REF!),2,0)</f>
        <v>#N/A</v>
      </c>
      <c r="M1632">
        <v>0</v>
      </c>
      <c r="N1632">
        <v>1</v>
      </c>
      <c r="O1632" t="s">
        <v>23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1</v>
      </c>
      <c r="Y1632">
        <v>0</v>
      </c>
      <c r="Z1632">
        <v>0</v>
      </c>
      <c r="AA1632" t="s">
        <v>4671</v>
      </c>
      <c r="AB1632" t="s">
        <v>1838</v>
      </c>
      <c r="AC1632" t="s">
        <v>4671</v>
      </c>
      <c r="AD1632" t="e">
        <f>VLOOKUP(AB1632,#REF!,2,FALSE)</f>
        <v>#REF!</v>
      </c>
      <c r="AE1632" t="e">
        <f>RIGHT(#REF!,(FIND("Complex",#REF!,1)-7))</f>
        <v>#REF!</v>
      </c>
    </row>
    <row r="1633" spans="1:31" x14ac:dyDescent="0.25">
      <c r="A1633">
        <v>1726</v>
      </c>
      <c r="B1633" t="s">
        <v>270</v>
      </c>
      <c r="C1633">
        <v>95</v>
      </c>
      <c r="D1633">
        <v>524</v>
      </c>
      <c r="E1633">
        <v>1726</v>
      </c>
      <c r="F1633">
        <v>10760401</v>
      </c>
      <c r="G1633">
        <v>10848600</v>
      </c>
      <c r="H1633">
        <f t="shared" si="50"/>
        <v>244.00002267573697</v>
      </c>
      <c r="I1633">
        <f t="shared" si="51"/>
        <v>246</v>
      </c>
      <c r="J1633" t="s">
        <v>22</v>
      </c>
      <c r="K1633">
        <v>4</v>
      </c>
      <c r="L1633" t="e">
        <f t="array" ref="L1633">VLOOKUP(J1633:$J$3871&amp;K1633:$K$3871,CHOOSE({1,2},#REF!&amp;#REF!,#REF!),2,0)</f>
        <v>#N/A</v>
      </c>
      <c r="M1633">
        <v>0</v>
      </c>
      <c r="N1633">
        <v>1</v>
      </c>
      <c r="O1633" t="s">
        <v>23</v>
      </c>
      <c r="P1633">
        <v>0</v>
      </c>
      <c r="Q1633">
        <v>1</v>
      </c>
      <c r="R1633">
        <v>0</v>
      </c>
      <c r="S1633">
        <v>1</v>
      </c>
      <c r="T1633">
        <v>0</v>
      </c>
      <c r="U1633">
        <v>0</v>
      </c>
      <c r="V1633">
        <v>0</v>
      </c>
      <c r="W1633">
        <v>1</v>
      </c>
      <c r="X1633">
        <v>1</v>
      </c>
      <c r="Y1633">
        <v>0</v>
      </c>
      <c r="Z1633">
        <v>0</v>
      </c>
      <c r="AA1633" t="s">
        <v>4169</v>
      </c>
      <c r="AB1633" t="s">
        <v>6717</v>
      </c>
      <c r="AC1633" t="s">
        <v>4169</v>
      </c>
      <c r="AD1633" t="e">
        <f>VLOOKUP(AB1633,#REF!,2,FALSE)</f>
        <v>#REF!</v>
      </c>
      <c r="AE1633" t="e">
        <f>RIGHT(#REF!,(FIND("Complex",#REF!,1)-7))</f>
        <v>#REF!</v>
      </c>
    </row>
    <row r="1634" spans="1:31" x14ac:dyDescent="0.25">
      <c r="A1634">
        <v>532</v>
      </c>
      <c r="B1634" t="s">
        <v>270</v>
      </c>
      <c r="C1634">
        <v>95</v>
      </c>
      <c r="D1634">
        <v>171</v>
      </c>
      <c r="E1634">
        <v>532</v>
      </c>
      <c r="F1634">
        <v>9966601</v>
      </c>
      <c r="G1634">
        <v>10054800</v>
      </c>
      <c r="H1634">
        <f t="shared" si="50"/>
        <v>226.00002267573697</v>
      </c>
      <c r="I1634">
        <f t="shared" si="51"/>
        <v>228</v>
      </c>
      <c r="J1634" t="s">
        <v>22</v>
      </c>
      <c r="K1634">
        <v>4</v>
      </c>
      <c r="L1634" t="e">
        <f t="array" ref="L1634">VLOOKUP(J1634:$J$3871&amp;K1634:$K$3871,CHOOSE({1,2},#REF!&amp;#REF!,#REF!),2,0)</f>
        <v>#N/A</v>
      </c>
      <c r="M1634">
        <v>0</v>
      </c>
      <c r="N1634">
        <v>1</v>
      </c>
      <c r="O1634" t="s">
        <v>23</v>
      </c>
      <c r="P1634">
        <v>0</v>
      </c>
      <c r="Q1634">
        <v>1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1</v>
      </c>
      <c r="X1634">
        <v>1</v>
      </c>
      <c r="Y1634">
        <v>0</v>
      </c>
      <c r="Z1634">
        <v>0</v>
      </c>
      <c r="AA1634" t="s">
        <v>4220</v>
      </c>
      <c r="AB1634" t="s">
        <v>6755</v>
      </c>
      <c r="AC1634" t="s">
        <v>4220</v>
      </c>
      <c r="AD1634" t="e">
        <f>VLOOKUP(AB1634,#REF!,2,FALSE)</f>
        <v>#REF!</v>
      </c>
      <c r="AE1634" t="e">
        <f>RIGHT(#REF!,(FIND("Complex",#REF!,1)-6))</f>
        <v>#REF!</v>
      </c>
    </row>
    <row r="1635" spans="1:31" x14ac:dyDescent="0.25">
      <c r="A1635">
        <v>2194</v>
      </c>
      <c r="B1635" t="s">
        <v>270</v>
      </c>
      <c r="C1635">
        <v>95</v>
      </c>
      <c r="D1635">
        <v>675</v>
      </c>
      <c r="E1635">
        <v>2194</v>
      </c>
      <c r="F1635">
        <v>8202601</v>
      </c>
      <c r="G1635">
        <v>8290800</v>
      </c>
      <c r="H1635">
        <f t="shared" si="50"/>
        <v>186.00002267573697</v>
      </c>
      <c r="I1635">
        <f t="shared" si="51"/>
        <v>188</v>
      </c>
      <c r="J1635" t="s">
        <v>22</v>
      </c>
      <c r="K1635">
        <v>4</v>
      </c>
      <c r="L1635" t="e">
        <f t="array" ref="L1635">VLOOKUP(J1635:$J$3871&amp;K1635:$K$3871,CHOOSE({1,2},#REF!&amp;#REF!,#REF!),2,0)</f>
        <v>#N/A</v>
      </c>
      <c r="M1635">
        <v>0</v>
      </c>
      <c r="N1635">
        <v>1</v>
      </c>
      <c r="O1635" t="s">
        <v>23</v>
      </c>
      <c r="P1635">
        <v>0</v>
      </c>
      <c r="Q1635">
        <v>1</v>
      </c>
      <c r="R1635">
        <v>0</v>
      </c>
      <c r="S1635">
        <v>1</v>
      </c>
      <c r="T1635">
        <v>0</v>
      </c>
      <c r="U1635">
        <v>0</v>
      </c>
      <c r="V1635">
        <v>0</v>
      </c>
      <c r="W1635">
        <v>1</v>
      </c>
      <c r="X1635">
        <v>1</v>
      </c>
      <c r="Y1635">
        <v>0</v>
      </c>
      <c r="Z1635">
        <v>0</v>
      </c>
      <c r="AA1635" t="s">
        <v>4379</v>
      </c>
      <c r="AB1635" t="s">
        <v>6847</v>
      </c>
      <c r="AC1635" t="s">
        <v>4379</v>
      </c>
      <c r="AD1635" t="e">
        <f>VLOOKUP(AB1635,#REF!,2,FALSE)</f>
        <v>#REF!</v>
      </c>
      <c r="AE1635" t="e">
        <f>RIGHT(#REF!,(FIND("Complex",#REF!,1)-7))</f>
        <v>#REF!</v>
      </c>
    </row>
    <row r="1636" spans="1:31" x14ac:dyDescent="0.25">
      <c r="A1636">
        <v>21</v>
      </c>
      <c r="B1636" t="s">
        <v>270</v>
      </c>
      <c r="C1636">
        <v>95</v>
      </c>
      <c r="D1636">
        <v>7</v>
      </c>
      <c r="E1636">
        <v>21</v>
      </c>
      <c r="F1636">
        <v>8114401</v>
      </c>
      <c r="G1636">
        <v>8202600</v>
      </c>
      <c r="H1636">
        <f t="shared" si="50"/>
        <v>184.00002267573697</v>
      </c>
      <c r="I1636">
        <f t="shared" si="51"/>
        <v>186</v>
      </c>
      <c r="J1636" t="s">
        <v>22</v>
      </c>
      <c r="K1636">
        <v>4</v>
      </c>
      <c r="L1636" t="e">
        <f t="array" ref="L1636">VLOOKUP(J1636:$J$3871&amp;K1636:$K$3871,CHOOSE({1,2},#REF!&amp;#REF!,#REF!),2,0)</f>
        <v>#N/A</v>
      </c>
      <c r="M1636">
        <v>0</v>
      </c>
      <c r="N1636">
        <v>1</v>
      </c>
      <c r="O1636" t="s">
        <v>23</v>
      </c>
      <c r="P1636">
        <v>0</v>
      </c>
      <c r="Q1636">
        <v>1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1</v>
      </c>
      <c r="X1636">
        <v>1</v>
      </c>
      <c r="Y1636">
        <v>0</v>
      </c>
      <c r="Z1636">
        <v>0</v>
      </c>
      <c r="AA1636" t="s">
        <v>4386</v>
      </c>
      <c r="AB1636" t="s">
        <v>6851</v>
      </c>
      <c r="AC1636" t="s">
        <v>4386</v>
      </c>
      <c r="AD1636" t="e">
        <f>VLOOKUP(AB1636,#REF!,2,FALSE)</f>
        <v>#REF!</v>
      </c>
      <c r="AE1636" t="e">
        <f>RIGHT(#REF!,(FIND("Complex",#REF!,1)-5))</f>
        <v>#REF!</v>
      </c>
    </row>
    <row r="1637" spans="1:31" x14ac:dyDescent="0.25">
      <c r="A1637">
        <v>2564</v>
      </c>
      <c r="B1637" t="s">
        <v>270</v>
      </c>
      <c r="C1637">
        <v>95</v>
      </c>
      <c r="D1637">
        <v>833</v>
      </c>
      <c r="E1637">
        <v>2564</v>
      </c>
      <c r="F1637">
        <v>7938001</v>
      </c>
      <c r="G1637">
        <v>8026200</v>
      </c>
      <c r="H1637">
        <f t="shared" si="50"/>
        <v>180.00002267573697</v>
      </c>
      <c r="I1637">
        <f t="shared" si="51"/>
        <v>182</v>
      </c>
      <c r="J1637" t="s">
        <v>22</v>
      </c>
      <c r="K1637">
        <v>4</v>
      </c>
      <c r="L1637" t="e">
        <f t="array" ref="L1637">VLOOKUP(J1637:$J$3871&amp;K1637:$K$3871,CHOOSE({1,2},#REF!&amp;#REF!,#REF!),2,0)</f>
        <v>#N/A</v>
      </c>
      <c r="M1637">
        <v>0</v>
      </c>
      <c r="N1637">
        <v>1</v>
      </c>
      <c r="O1637" t="s">
        <v>23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1</v>
      </c>
      <c r="X1637">
        <v>1</v>
      </c>
      <c r="Y1637">
        <v>0</v>
      </c>
      <c r="Z1637">
        <v>0</v>
      </c>
      <c r="AA1637" t="s">
        <v>4396</v>
      </c>
      <c r="AB1637" t="s">
        <v>1849</v>
      </c>
      <c r="AC1637" t="s">
        <v>4396</v>
      </c>
      <c r="AD1637" t="e">
        <f>VLOOKUP(AB1637,#REF!,2,FALSE)</f>
        <v>#REF!</v>
      </c>
      <c r="AE1637" t="e">
        <f>RIGHT(#REF!,(FIND("Complex",#REF!,1)-7))</f>
        <v>#REF!</v>
      </c>
    </row>
    <row r="1638" spans="1:31" x14ac:dyDescent="0.25">
      <c r="A1638">
        <v>154</v>
      </c>
      <c r="B1638" t="s">
        <v>270</v>
      </c>
      <c r="C1638">
        <v>95</v>
      </c>
      <c r="D1638">
        <v>49</v>
      </c>
      <c r="E1638">
        <v>154</v>
      </c>
      <c r="F1638">
        <v>7320601</v>
      </c>
      <c r="G1638">
        <v>7408800</v>
      </c>
      <c r="H1638">
        <f t="shared" si="50"/>
        <v>166.00002267573697</v>
      </c>
      <c r="I1638">
        <f t="shared" si="51"/>
        <v>168</v>
      </c>
      <c r="J1638" t="s">
        <v>22</v>
      </c>
      <c r="K1638">
        <v>4</v>
      </c>
      <c r="L1638" t="e">
        <f t="array" ref="L1638">VLOOKUP(J1638:$J$3871&amp;K1638:$K$3871,CHOOSE({1,2},#REF!&amp;#REF!,#REF!),2,0)</f>
        <v>#N/A</v>
      </c>
      <c r="M1638">
        <v>0</v>
      </c>
      <c r="N1638">
        <v>1</v>
      </c>
      <c r="O1638" t="s">
        <v>23</v>
      </c>
      <c r="P1638">
        <v>0</v>
      </c>
      <c r="Q1638">
        <v>1</v>
      </c>
      <c r="R1638">
        <v>0</v>
      </c>
      <c r="S1638">
        <v>1</v>
      </c>
      <c r="T1638">
        <v>0</v>
      </c>
      <c r="U1638">
        <v>0</v>
      </c>
      <c r="V1638">
        <v>0</v>
      </c>
      <c r="W1638">
        <v>1</v>
      </c>
      <c r="X1638">
        <v>1</v>
      </c>
      <c r="Y1638">
        <v>0</v>
      </c>
      <c r="Z1638">
        <v>0</v>
      </c>
      <c r="AA1638" t="s">
        <v>4452</v>
      </c>
      <c r="AB1638" t="s">
        <v>6891</v>
      </c>
      <c r="AC1638" t="s">
        <v>4452</v>
      </c>
      <c r="AD1638" t="e">
        <f>VLOOKUP(AB1638,#REF!,2,FALSE)</f>
        <v>#REF!</v>
      </c>
      <c r="AE1638" t="e">
        <f>RIGHT(#REF!,(FIND("Complex",#REF!,1)-6))</f>
        <v>#REF!</v>
      </c>
    </row>
    <row r="1639" spans="1:31" x14ac:dyDescent="0.25">
      <c r="A1639">
        <v>724</v>
      </c>
      <c r="B1639" t="s">
        <v>270</v>
      </c>
      <c r="C1639">
        <v>95</v>
      </c>
      <c r="D1639">
        <v>224</v>
      </c>
      <c r="E1639">
        <v>724</v>
      </c>
      <c r="F1639">
        <v>705601</v>
      </c>
      <c r="G1639">
        <v>793800</v>
      </c>
      <c r="H1639">
        <f t="shared" si="50"/>
        <v>16.000022675736961</v>
      </c>
      <c r="I1639">
        <f t="shared" si="51"/>
        <v>18</v>
      </c>
      <c r="J1639" t="s">
        <v>22</v>
      </c>
      <c r="K1639">
        <v>4</v>
      </c>
      <c r="L1639" t="e">
        <f t="array" ref="L1639">VLOOKUP(J1639:$J$3871&amp;K1639:$K$3871,CHOOSE({1,2},#REF!&amp;#REF!,#REF!),2,0)</f>
        <v>#N/A</v>
      </c>
      <c r="M1639">
        <v>0</v>
      </c>
      <c r="N1639">
        <v>1</v>
      </c>
      <c r="O1639" t="s">
        <v>23</v>
      </c>
      <c r="P1639">
        <v>0</v>
      </c>
      <c r="Q1639">
        <v>1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0</v>
      </c>
      <c r="Z1639">
        <v>0</v>
      </c>
      <c r="AA1639" t="s">
        <v>4487</v>
      </c>
      <c r="AB1639" t="s">
        <v>6916</v>
      </c>
      <c r="AC1639" t="s">
        <v>4487</v>
      </c>
      <c r="AD1639" t="e">
        <f>VLOOKUP(AB1639,#REF!,2,FALSE)</f>
        <v>#REF!</v>
      </c>
      <c r="AE1639" t="e">
        <f>RIGHT(#REF!,(FIND("Complex",#REF!,1)-7))</f>
        <v>#REF!</v>
      </c>
    </row>
    <row r="1640" spans="1:31" x14ac:dyDescent="0.25">
      <c r="A1640">
        <v>1446</v>
      </c>
      <c r="B1640" t="s">
        <v>270</v>
      </c>
      <c r="C1640">
        <v>95</v>
      </c>
      <c r="D1640">
        <v>438</v>
      </c>
      <c r="E1640">
        <v>1446</v>
      </c>
      <c r="F1640">
        <v>6879601</v>
      </c>
      <c r="G1640">
        <v>6967800</v>
      </c>
      <c r="H1640">
        <f t="shared" si="50"/>
        <v>156.00002267573697</v>
      </c>
      <c r="I1640">
        <f t="shared" si="51"/>
        <v>158</v>
      </c>
      <c r="J1640" t="s">
        <v>22</v>
      </c>
      <c r="K1640">
        <v>4</v>
      </c>
      <c r="L1640" t="e">
        <f t="array" ref="L1640">VLOOKUP(J1640:$J$3871&amp;K1640:$K$3871,CHOOSE({1,2},#REF!&amp;#REF!,#REF!),2,0)</f>
        <v>#N/A</v>
      </c>
      <c r="M1640">
        <v>0</v>
      </c>
      <c r="N1640">
        <v>1</v>
      </c>
      <c r="O1640" t="s">
        <v>23</v>
      </c>
      <c r="P1640">
        <v>0</v>
      </c>
      <c r="Q1640">
        <v>1</v>
      </c>
      <c r="R1640">
        <v>0</v>
      </c>
      <c r="S1640">
        <v>1</v>
      </c>
      <c r="T1640">
        <v>0</v>
      </c>
      <c r="U1640">
        <v>0</v>
      </c>
      <c r="V1640">
        <v>0</v>
      </c>
      <c r="W1640">
        <v>1</v>
      </c>
      <c r="X1640">
        <v>1</v>
      </c>
      <c r="Y1640">
        <v>0</v>
      </c>
      <c r="Z1640">
        <v>0</v>
      </c>
      <c r="AA1640" t="s">
        <v>4516</v>
      </c>
      <c r="AB1640" t="s">
        <v>6934</v>
      </c>
      <c r="AC1640" t="s">
        <v>4516</v>
      </c>
      <c r="AD1640" t="e">
        <f>VLOOKUP(AB1640,#REF!,2,FALSE)</f>
        <v>#REF!</v>
      </c>
      <c r="AE1640" t="e">
        <f>RIGHT(#REF!,(FIND("Complex",#REF!,1)-7))</f>
        <v>#REF!</v>
      </c>
    </row>
    <row r="1641" spans="1:31" x14ac:dyDescent="0.25">
      <c r="A1641">
        <v>100</v>
      </c>
      <c r="B1641" t="s">
        <v>85</v>
      </c>
      <c r="C1641">
        <v>96</v>
      </c>
      <c r="D1641">
        <v>28</v>
      </c>
      <c r="E1641">
        <v>100</v>
      </c>
      <c r="F1641">
        <v>529201</v>
      </c>
      <c r="G1641">
        <v>617400</v>
      </c>
      <c r="H1641">
        <f t="shared" si="50"/>
        <v>12.000022675736961</v>
      </c>
      <c r="I1641">
        <f t="shared" si="51"/>
        <v>14</v>
      </c>
      <c r="J1641" t="s">
        <v>22</v>
      </c>
      <c r="K1641">
        <v>4</v>
      </c>
      <c r="L1641" t="e">
        <f t="array" ref="L1641">VLOOKUP(J1641:$J$3871&amp;K1641:$K$3871,CHOOSE({1,2},#REF!&amp;#REF!,#REF!),2,0)</f>
        <v>#N/A</v>
      </c>
      <c r="M1641">
        <v>0</v>
      </c>
      <c r="N1641">
        <v>1</v>
      </c>
      <c r="O1641" t="s">
        <v>23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1</v>
      </c>
      <c r="Y1641">
        <v>0</v>
      </c>
      <c r="Z1641">
        <v>0</v>
      </c>
      <c r="AA1641" t="s">
        <v>4723</v>
      </c>
      <c r="AB1641" t="s">
        <v>203</v>
      </c>
      <c r="AC1641" t="s">
        <v>4723</v>
      </c>
      <c r="AD1641" t="e">
        <f>VLOOKUP(AB1641,#REF!,2,FALSE)</f>
        <v>#REF!</v>
      </c>
      <c r="AE1641" t="e">
        <f>RIGHT(#REF!,(FIND("Complex",#REF!,1)-7))</f>
        <v>#REF!</v>
      </c>
    </row>
    <row r="1642" spans="1:31" x14ac:dyDescent="0.25">
      <c r="A1642">
        <v>1453</v>
      </c>
      <c r="B1642" t="s">
        <v>83</v>
      </c>
      <c r="C1642">
        <v>97</v>
      </c>
      <c r="D1642">
        <v>442</v>
      </c>
      <c r="E1642">
        <v>1453</v>
      </c>
      <c r="F1642">
        <v>6174001</v>
      </c>
      <c r="G1642">
        <v>6262200</v>
      </c>
      <c r="H1642">
        <f t="shared" si="50"/>
        <v>140.00002267573697</v>
      </c>
      <c r="I1642">
        <f t="shared" si="51"/>
        <v>142</v>
      </c>
      <c r="J1642" t="s">
        <v>22</v>
      </c>
      <c r="K1642">
        <v>4</v>
      </c>
      <c r="L1642" t="e">
        <f t="array" ref="L1642">VLOOKUP(J1642:$J$3871&amp;K1642:$K$3871,CHOOSE({1,2},#REF!&amp;#REF!,#REF!),2,0)</f>
        <v>#N/A</v>
      </c>
      <c r="M1642">
        <v>0</v>
      </c>
      <c r="N1642">
        <v>1</v>
      </c>
      <c r="O1642" t="s">
        <v>23</v>
      </c>
      <c r="P1642">
        <v>0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 t="s">
        <v>4595</v>
      </c>
      <c r="AB1642" t="s">
        <v>6991</v>
      </c>
      <c r="AC1642" t="s">
        <v>4595</v>
      </c>
      <c r="AD1642" t="e">
        <f>VLOOKUP(AB1642,#REF!,2,FALSE)</f>
        <v>#REF!</v>
      </c>
      <c r="AE1642" t="e">
        <f>RIGHT(#REF!,(FIND("Complex",#REF!,1)-7))</f>
        <v>#REF!</v>
      </c>
    </row>
    <row r="1643" spans="1:31" x14ac:dyDescent="0.25">
      <c r="A1643">
        <v>1287</v>
      </c>
      <c r="B1643" t="s">
        <v>83</v>
      </c>
      <c r="C1643">
        <v>97</v>
      </c>
      <c r="D1643">
        <v>390</v>
      </c>
      <c r="E1643">
        <v>1287</v>
      </c>
      <c r="F1643">
        <v>5468401</v>
      </c>
      <c r="G1643">
        <v>5556600</v>
      </c>
      <c r="H1643">
        <f t="shared" si="50"/>
        <v>124.00002267573696</v>
      </c>
      <c r="I1643">
        <f t="shared" si="51"/>
        <v>126</v>
      </c>
      <c r="J1643" t="s">
        <v>22</v>
      </c>
      <c r="K1643">
        <v>4</v>
      </c>
      <c r="L1643" t="e">
        <f t="array" ref="L1643">VLOOKUP(J1643:$J$3871&amp;K1643:$K$3871,CHOOSE({1,2},#REF!&amp;#REF!,#REF!),2,0)</f>
        <v>#N/A</v>
      </c>
      <c r="M1643">
        <v>0</v>
      </c>
      <c r="N1643">
        <v>1</v>
      </c>
      <c r="O1643" t="s">
        <v>23</v>
      </c>
      <c r="P1643">
        <v>0</v>
      </c>
      <c r="Q1643">
        <v>1</v>
      </c>
      <c r="R1643">
        <v>1</v>
      </c>
      <c r="S1643">
        <v>1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 t="s">
        <v>4695</v>
      </c>
      <c r="AB1643" t="s">
        <v>7050</v>
      </c>
      <c r="AC1643" t="s">
        <v>4695</v>
      </c>
      <c r="AD1643" t="e">
        <f>VLOOKUP(AB1643,#REF!,2,FALSE)</f>
        <v>#REF!</v>
      </c>
      <c r="AE1643" t="e">
        <f>RIGHT(#REF!,(FIND("Complex",#REF!,1)-7))</f>
        <v>#REF!</v>
      </c>
    </row>
    <row r="1644" spans="1:31" x14ac:dyDescent="0.25">
      <c r="A1644">
        <v>1059</v>
      </c>
      <c r="B1644" t="s">
        <v>74</v>
      </c>
      <c r="C1644">
        <v>101</v>
      </c>
      <c r="D1644">
        <v>318</v>
      </c>
      <c r="E1644">
        <v>1059</v>
      </c>
      <c r="F1644">
        <v>2822401</v>
      </c>
      <c r="G1644">
        <v>2910600</v>
      </c>
      <c r="H1644">
        <f t="shared" si="50"/>
        <v>64.000022675736957</v>
      </c>
      <c r="I1644">
        <f t="shared" si="51"/>
        <v>66</v>
      </c>
      <c r="J1644" t="s">
        <v>22</v>
      </c>
      <c r="K1644">
        <v>4</v>
      </c>
      <c r="L1644" t="e">
        <f t="array" ref="L1644">VLOOKUP(J1644:$J$3871&amp;K1644:$K$3871,CHOOSE({1,2},#REF!&amp;#REF!,#REF!),2,0)</f>
        <v>#N/A</v>
      </c>
      <c r="M1644">
        <v>0</v>
      </c>
      <c r="N1644">
        <v>1</v>
      </c>
      <c r="O1644" t="s">
        <v>23</v>
      </c>
      <c r="P1644">
        <v>0</v>
      </c>
      <c r="Q1644">
        <v>1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1</v>
      </c>
      <c r="Z1644">
        <v>0</v>
      </c>
      <c r="AA1644" t="s">
        <v>3754</v>
      </c>
      <c r="AB1644" t="s">
        <v>6454</v>
      </c>
      <c r="AC1644" t="s">
        <v>3754</v>
      </c>
      <c r="AD1644" t="e">
        <f>VLOOKUP(AB1644,#REF!,2,FALSE)</f>
        <v>#REF!</v>
      </c>
      <c r="AE1644" t="e">
        <f>RIGHT(#REF!,(FIND("Complex",#REF!,1)-7))</f>
        <v>#REF!</v>
      </c>
    </row>
    <row r="1645" spans="1:31" x14ac:dyDescent="0.25">
      <c r="A1645">
        <v>657</v>
      </c>
      <c r="B1645" t="s">
        <v>74</v>
      </c>
      <c r="C1645">
        <v>101</v>
      </c>
      <c r="D1645">
        <v>206</v>
      </c>
      <c r="E1645">
        <v>657</v>
      </c>
      <c r="F1645">
        <v>793801</v>
      </c>
      <c r="G1645">
        <v>882000</v>
      </c>
      <c r="H1645">
        <f t="shared" si="50"/>
        <v>18.000022675736961</v>
      </c>
      <c r="I1645">
        <f t="shared" si="51"/>
        <v>20</v>
      </c>
      <c r="J1645" t="s">
        <v>22</v>
      </c>
      <c r="K1645">
        <v>4</v>
      </c>
      <c r="L1645" t="e">
        <f t="array" ref="L1645">VLOOKUP(J1645:$J$3871&amp;K1645:$K$3871,CHOOSE({1,2},#REF!&amp;#REF!,#REF!),2,0)</f>
        <v>#N/A</v>
      </c>
      <c r="M1645">
        <v>0</v>
      </c>
      <c r="N1645">
        <v>1</v>
      </c>
      <c r="O1645" t="s">
        <v>23</v>
      </c>
      <c r="P1645">
        <v>0</v>
      </c>
      <c r="Q1645">
        <v>1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1</v>
      </c>
      <c r="Z1645">
        <v>0</v>
      </c>
      <c r="AA1645" t="s">
        <v>4421</v>
      </c>
      <c r="AB1645" t="s">
        <v>6870</v>
      </c>
      <c r="AC1645" t="s">
        <v>4421</v>
      </c>
      <c r="AD1645" t="e">
        <f>VLOOKUP(AB1645,#REF!,2,FALSE)</f>
        <v>#REF!</v>
      </c>
      <c r="AE1645" t="e">
        <f>RIGHT(#REF!,(FIND("Complex",#REF!,1)-6))</f>
        <v>#REF!</v>
      </c>
    </row>
    <row r="1646" spans="1:31" x14ac:dyDescent="0.25">
      <c r="A1646">
        <v>2600</v>
      </c>
      <c r="B1646" t="s">
        <v>72</v>
      </c>
      <c r="C1646">
        <v>104</v>
      </c>
      <c r="D1646">
        <v>853</v>
      </c>
      <c r="E1646">
        <v>2600</v>
      </c>
      <c r="F1646">
        <v>7497001</v>
      </c>
      <c r="G1646">
        <v>7585200</v>
      </c>
      <c r="H1646">
        <f t="shared" si="50"/>
        <v>170.00002267573697</v>
      </c>
      <c r="I1646">
        <f t="shared" si="51"/>
        <v>172</v>
      </c>
      <c r="J1646" t="s">
        <v>22</v>
      </c>
      <c r="K1646">
        <v>4</v>
      </c>
      <c r="L1646" t="e">
        <f t="array" ref="L1646">VLOOKUP(J1646:$J$3871&amp;K1646:$K$3871,CHOOSE({1,2},#REF!&amp;#REF!,#REF!),2,0)</f>
        <v>#N/A</v>
      </c>
      <c r="M1646">
        <v>0</v>
      </c>
      <c r="N1646">
        <v>1</v>
      </c>
      <c r="O1646" t="s">
        <v>23</v>
      </c>
      <c r="P1646">
        <v>0</v>
      </c>
      <c r="Q1646">
        <v>1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1</v>
      </c>
      <c r="Y1646">
        <v>0</v>
      </c>
      <c r="Z1646">
        <v>0</v>
      </c>
      <c r="AA1646" t="s">
        <v>4442</v>
      </c>
      <c r="AB1646" t="s">
        <v>6883</v>
      </c>
      <c r="AC1646" t="s">
        <v>4442</v>
      </c>
      <c r="AD1646" t="e">
        <f>VLOOKUP(AB1646,#REF!,2,FALSE)</f>
        <v>#REF!</v>
      </c>
      <c r="AE1646" t="e">
        <f>RIGHT(#REF!,(FIND("Complex",#REF!,1)-6))</f>
        <v>#REF!</v>
      </c>
    </row>
    <row r="1647" spans="1:31" x14ac:dyDescent="0.25">
      <c r="A1647">
        <v>2495</v>
      </c>
      <c r="B1647" t="s">
        <v>274</v>
      </c>
      <c r="C1647">
        <v>105</v>
      </c>
      <c r="D1647">
        <v>809</v>
      </c>
      <c r="E1647">
        <v>2495</v>
      </c>
      <c r="F1647">
        <v>3704401</v>
      </c>
      <c r="G1647">
        <v>3792600</v>
      </c>
      <c r="H1647">
        <f t="shared" si="50"/>
        <v>84.000022675736957</v>
      </c>
      <c r="I1647">
        <f t="shared" si="51"/>
        <v>86</v>
      </c>
      <c r="J1647" t="s">
        <v>22</v>
      </c>
      <c r="K1647">
        <v>4</v>
      </c>
      <c r="L1647" t="e">
        <f t="array" ref="L1647">VLOOKUP(J1647:$J$3871&amp;K1647:$K$3871,CHOOSE({1,2},#REF!&amp;#REF!,#REF!),2,0)</f>
        <v>#N/A</v>
      </c>
      <c r="M1647">
        <v>0</v>
      </c>
      <c r="N1647">
        <v>1</v>
      </c>
      <c r="O1647" t="s">
        <v>23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1</v>
      </c>
      <c r="Y1647">
        <v>1</v>
      </c>
      <c r="Z1647">
        <v>1</v>
      </c>
      <c r="AA1647" t="s">
        <v>3602</v>
      </c>
      <c r="AB1647" t="s">
        <v>2147</v>
      </c>
      <c r="AC1647" t="s">
        <v>3602</v>
      </c>
      <c r="AD1647" t="e">
        <f>VLOOKUP(AB1647,#REF!,2,FALSE)</f>
        <v>#REF!</v>
      </c>
      <c r="AE1647" t="e">
        <f>RIGHT(#REF!,(FIND("Complex",#REF!,1)-7))</f>
        <v>#REF!</v>
      </c>
    </row>
    <row r="1648" spans="1:31" x14ac:dyDescent="0.25">
      <c r="A1648">
        <v>915</v>
      </c>
      <c r="B1648" t="s">
        <v>274</v>
      </c>
      <c r="C1648">
        <v>105</v>
      </c>
      <c r="D1648">
        <v>279</v>
      </c>
      <c r="E1648">
        <v>915</v>
      </c>
      <c r="F1648">
        <v>3175201</v>
      </c>
      <c r="G1648">
        <v>3263400</v>
      </c>
      <c r="H1648">
        <f t="shared" si="50"/>
        <v>72.000022675736957</v>
      </c>
      <c r="I1648">
        <f t="shared" si="51"/>
        <v>74</v>
      </c>
      <c r="J1648" t="s">
        <v>22</v>
      </c>
      <c r="K1648">
        <v>4</v>
      </c>
      <c r="L1648" t="e">
        <f t="array" ref="L1648">VLOOKUP(J1648:$J$3871&amp;K1648:$K$3871,CHOOSE({1,2},#REF!&amp;#REF!,#REF!),2,0)</f>
        <v>#N/A</v>
      </c>
      <c r="M1648">
        <v>0</v>
      </c>
      <c r="N1648">
        <v>1</v>
      </c>
      <c r="O1648" t="s">
        <v>23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1</v>
      </c>
      <c r="Y1648">
        <v>1</v>
      </c>
      <c r="Z1648">
        <v>1</v>
      </c>
      <c r="AA1648" t="s">
        <v>3697</v>
      </c>
      <c r="AB1648" t="s">
        <v>6421</v>
      </c>
      <c r="AC1648" t="s">
        <v>3697</v>
      </c>
      <c r="AD1648" t="e">
        <f>VLOOKUP(AB1648,#REF!,2,FALSE)</f>
        <v>#REF!</v>
      </c>
      <c r="AE1648" t="e">
        <f>RIGHT(#REF!,(FIND("Complex",#REF!,1)-6))</f>
        <v>#REF!</v>
      </c>
    </row>
    <row r="1649" spans="1:31" x14ac:dyDescent="0.25">
      <c r="A1649">
        <v>56</v>
      </c>
      <c r="B1649" t="s">
        <v>274</v>
      </c>
      <c r="C1649">
        <v>105</v>
      </c>
      <c r="D1649">
        <v>15</v>
      </c>
      <c r="E1649">
        <v>56</v>
      </c>
      <c r="F1649">
        <v>2646001</v>
      </c>
      <c r="G1649">
        <v>2734200</v>
      </c>
      <c r="H1649">
        <f t="shared" si="50"/>
        <v>60.000022675736965</v>
      </c>
      <c r="I1649">
        <f t="shared" si="51"/>
        <v>62</v>
      </c>
      <c r="J1649" t="s">
        <v>22</v>
      </c>
      <c r="K1649">
        <v>4</v>
      </c>
      <c r="L1649" t="e">
        <f t="array" ref="L1649">VLOOKUP(J1649:$J$3871&amp;K1649:$K$3871,CHOOSE({1,2},#REF!&amp;#REF!,#REF!),2,0)</f>
        <v>#N/A</v>
      </c>
      <c r="M1649">
        <v>0</v>
      </c>
      <c r="N1649">
        <v>1</v>
      </c>
      <c r="O1649" t="s">
        <v>23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1</v>
      </c>
      <c r="Y1649">
        <v>1</v>
      </c>
      <c r="Z1649">
        <v>1</v>
      </c>
      <c r="AA1649" t="s">
        <v>3795</v>
      </c>
      <c r="AB1649" t="s">
        <v>2148</v>
      </c>
      <c r="AC1649" t="s">
        <v>3795</v>
      </c>
      <c r="AD1649" t="e">
        <f>VLOOKUP(AB1649,#REF!,2,FALSE)</f>
        <v>#REF!</v>
      </c>
      <c r="AE1649" t="e">
        <f>RIGHT(#REF!,(FIND("Complex",#REF!,1)-5))</f>
        <v>#REF!</v>
      </c>
    </row>
    <row r="1650" spans="1:31" x14ac:dyDescent="0.25">
      <c r="A1650">
        <v>2097</v>
      </c>
      <c r="B1650" t="s">
        <v>274</v>
      </c>
      <c r="C1650">
        <v>105</v>
      </c>
      <c r="D1650">
        <v>637</v>
      </c>
      <c r="E1650">
        <v>2097</v>
      </c>
      <c r="F1650">
        <v>2293201</v>
      </c>
      <c r="G1650">
        <v>2381400</v>
      </c>
      <c r="H1650">
        <f t="shared" si="50"/>
        <v>52.000022675736965</v>
      </c>
      <c r="I1650">
        <f t="shared" si="51"/>
        <v>54</v>
      </c>
      <c r="J1650" t="s">
        <v>22</v>
      </c>
      <c r="K1650">
        <v>4</v>
      </c>
      <c r="L1650" t="e">
        <f t="array" ref="L1650">VLOOKUP(J1650:$J$3871&amp;K1650:$K$3871,CHOOSE({1,2},#REF!&amp;#REF!,#REF!),2,0)</f>
        <v>#N/A</v>
      </c>
      <c r="M1650">
        <v>0</v>
      </c>
      <c r="N1650">
        <v>1</v>
      </c>
      <c r="O1650" t="s">
        <v>23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1</v>
      </c>
      <c r="Z1650">
        <v>1</v>
      </c>
      <c r="AA1650" t="s">
        <v>3867</v>
      </c>
      <c r="AB1650" t="s">
        <v>6521</v>
      </c>
      <c r="AC1650" t="s">
        <v>3867</v>
      </c>
      <c r="AD1650" t="e">
        <f>VLOOKUP(AB1650,#REF!,2,FALSE)</f>
        <v>#REF!</v>
      </c>
      <c r="AE1650" t="e">
        <f>RIGHT(#REF!,(FIND("Complex",#REF!,1)-7))</f>
        <v>#REF!</v>
      </c>
    </row>
    <row r="1651" spans="1:31" x14ac:dyDescent="0.25">
      <c r="A1651">
        <v>2545</v>
      </c>
      <c r="B1651" t="s">
        <v>274</v>
      </c>
      <c r="C1651">
        <v>105</v>
      </c>
      <c r="D1651">
        <v>826</v>
      </c>
      <c r="E1651">
        <v>2545</v>
      </c>
      <c r="F1651">
        <v>10054801</v>
      </c>
      <c r="G1651">
        <v>10143000</v>
      </c>
      <c r="H1651">
        <f t="shared" si="50"/>
        <v>228.00002267573697</v>
      </c>
      <c r="I1651">
        <f t="shared" si="51"/>
        <v>230</v>
      </c>
      <c r="J1651" t="s">
        <v>22</v>
      </c>
      <c r="K1651">
        <v>4</v>
      </c>
      <c r="L1651" t="e">
        <f t="array" ref="L1651">VLOOKUP(J1651:$J$3871&amp;K1651:$K$3871,CHOOSE({1,2},#REF!&amp;#REF!,#REF!),2,0)</f>
        <v>#N/A</v>
      </c>
      <c r="M1651">
        <v>0</v>
      </c>
      <c r="N1651">
        <v>1</v>
      </c>
      <c r="O1651" t="s">
        <v>23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1</v>
      </c>
      <c r="Z1651">
        <v>1</v>
      </c>
      <c r="AA1651" t="s">
        <v>4219</v>
      </c>
      <c r="AB1651" t="s">
        <v>6754</v>
      </c>
      <c r="AC1651" t="s">
        <v>4219</v>
      </c>
      <c r="AD1651" t="e">
        <f>VLOOKUP(AB1651,#REF!,2,FALSE)</f>
        <v>#REF!</v>
      </c>
      <c r="AE1651" t="e">
        <f>RIGHT(#REF!,(FIND("Complex",#REF!,1)-6))</f>
        <v>#REF!</v>
      </c>
    </row>
    <row r="1652" spans="1:31" x14ac:dyDescent="0.25">
      <c r="A1652">
        <v>1040</v>
      </c>
      <c r="B1652" t="s">
        <v>274</v>
      </c>
      <c r="C1652">
        <v>105</v>
      </c>
      <c r="D1652">
        <v>312</v>
      </c>
      <c r="E1652">
        <v>1040</v>
      </c>
      <c r="F1652">
        <v>9702001</v>
      </c>
      <c r="G1652">
        <v>9790200</v>
      </c>
      <c r="H1652">
        <f t="shared" si="50"/>
        <v>220.00002267573697</v>
      </c>
      <c r="I1652">
        <f t="shared" si="51"/>
        <v>222</v>
      </c>
      <c r="J1652" t="s">
        <v>22</v>
      </c>
      <c r="K1652">
        <v>4</v>
      </c>
      <c r="L1652" t="e">
        <f t="array" ref="L1652">VLOOKUP(J1652:$J$3871&amp;K1652:$K$3871,CHOOSE({1,2},#REF!&amp;#REF!,#REF!),2,0)</f>
        <v>#N/A</v>
      </c>
      <c r="M1652">
        <v>0</v>
      </c>
      <c r="N1652">
        <v>1</v>
      </c>
      <c r="O1652" t="s">
        <v>23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1</v>
      </c>
      <c r="Z1652">
        <v>1</v>
      </c>
      <c r="AA1652" t="s">
        <v>4236</v>
      </c>
      <c r="AB1652" t="s">
        <v>6764</v>
      </c>
      <c r="AC1652" t="s">
        <v>4236</v>
      </c>
      <c r="AD1652" t="e">
        <f>VLOOKUP(AB1652,#REF!,2,FALSE)</f>
        <v>#REF!</v>
      </c>
      <c r="AE1652" t="e">
        <f>RIGHT(#REF!,(FIND("Complex",#REF!,1)-6))</f>
        <v>#REF!</v>
      </c>
    </row>
    <row r="1653" spans="1:31" x14ac:dyDescent="0.25">
      <c r="A1653">
        <v>1719</v>
      </c>
      <c r="B1653" t="s">
        <v>274</v>
      </c>
      <c r="C1653">
        <v>105</v>
      </c>
      <c r="D1653">
        <v>522</v>
      </c>
      <c r="E1653">
        <v>1719</v>
      </c>
      <c r="F1653">
        <v>9261001</v>
      </c>
      <c r="G1653">
        <v>9349200</v>
      </c>
      <c r="H1653">
        <f t="shared" si="50"/>
        <v>210.00002267573697</v>
      </c>
      <c r="I1653">
        <f t="shared" si="51"/>
        <v>212</v>
      </c>
      <c r="J1653" t="s">
        <v>22</v>
      </c>
      <c r="K1653">
        <v>4</v>
      </c>
      <c r="L1653" t="e">
        <f t="array" ref="L1653">VLOOKUP(J1653:$J$3871&amp;K1653:$K$3871,CHOOSE({1,2},#REF!&amp;#REF!,#REF!),2,0)</f>
        <v>#N/A</v>
      </c>
      <c r="M1653">
        <v>0</v>
      </c>
      <c r="N1653">
        <v>1</v>
      </c>
      <c r="O1653" t="s">
        <v>23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1</v>
      </c>
      <c r="Y1653">
        <v>1</v>
      </c>
      <c r="Z1653">
        <v>1</v>
      </c>
      <c r="AA1653" t="s">
        <v>4274</v>
      </c>
      <c r="AB1653" t="s">
        <v>6784</v>
      </c>
      <c r="AC1653" t="s">
        <v>4274</v>
      </c>
      <c r="AD1653" t="e">
        <f>VLOOKUP(AB1653,#REF!,2,FALSE)</f>
        <v>#REF!</v>
      </c>
      <c r="AE1653" t="e">
        <f>RIGHT(#REF!,(FIND("Complex",#REF!,1)-6))</f>
        <v>#REF!</v>
      </c>
    </row>
    <row r="1654" spans="1:31" x14ac:dyDescent="0.25">
      <c r="A1654">
        <v>694</v>
      </c>
      <c r="B1654" t="s">
        <v>274</v>
      </c>
      <c r="C1654">
        <v>105</v>
      </c>
      <c r="D1654">
        <v>213</v>
      </c>
      <c r="E1654">
        <v>694</v>
      </c>
      <c r="F1654">
        <v>9084601</v>
      </c>
      <c r="G1654">
        <v>9172800</v>
      </c>
      <c r="H1654">
        <f t="shared" si="50"/>
        <v>206.00002267573697</v>
      </c>
      <c r="I1654">
        <f t="shared" si="51"/>
        <v>208</v>
      </c>
      <c r="J1654" t="s">
        <v>22</v>
      </c>
      <c r="K1654">
        <v>4</v>
      </c>
      <c r="L1654" t="e">
        <f t="array" ref="L1654">VLOOKUP(J1654:$J$3871&amp;K1654:$K$3871,CHOOSE({1,2},#REF!&amp;#REF!,#REF!),2,0)</f>
        <v>#N/A</v>
      </c>
      <c r="M1654">
        <v>0</v>
      </c>
      <c r="N1654">
        <v>1</v>
      </c>
      <c r="O1654" t="s">
        <v>23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1</v>
      </c>
      <c r="Z1654">
        <v>1</v>
      </c>
      <c r="AA1654" t="s">
        <v>4280</v>
      </c>
      <c r="AB1654" t="s">
        <v>6790</v>
      </c>
      <c r="AC1654" t="s">
        <v>4280</v>
      </c>
      <c r="AD1654" t="e">
        <f>VLOOKUP(AB1654,#REF!,2,FALSE)</f>
        <v>#REF!</v>
      </c>
      <c r="AE1654" t="e">
        <f>RIGHT(#REF!,(FIND("Complex",#REF!,1)-5))</f>
        <v>#REF!</v>
      </c>
    </row>
    <row r="1655" spans="1:31" x14ac:dyDescent="0.25">
      <c r="A1655">
        <v>2171</v>
      </c>
      <c r="B1655" t="s">
        <v>274</v>
      </c>
      <c r="C1655">
        <v>105</v>
      </c>
      <c r="D1655">
        <v>666</v>
      </c>
      <c r="E1655">
        <v>2171</v>
      </c>
      <c r="F1655">
        <v>8996401</v>
      </c>
      <c r="G1655">
        <v>9084600</v>
      </c>
      <c r="H1655">
        <f t="shared" si="50"/>
        <v>204.00002267573697</v>
      </c>
      <c r="I1655">
        <f t="shared" si="51"/>
        <v>206</v>
      </c>
      <c r="J1655" t="s">
        <v>22</v>
      </c>
      <c r="K1655">
        <v>4</v>
      </c>
      <c r="L1655" t="e">
        <f t="array" ref="L1655">VLOOKUP(J1655:$J$3871&amp;K1655:$K$3871,CHOOSE({1,2},#REF!&amp;#REF!,#REF!),2,0)</f>
        <v>#N/A</v>
      </c>
      <c r="M1655">
        <v>0</v>
      </c>
      <c r="N1655">
        <v>1</v>
      </c>
      <c r="O1655" t="s">
        <v>23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1</v>
      </c>
      <c r="Z1655">
        <v>1</v>
      </c>
      <c r="AA1655" t="s">
        <v>4285</v>
      </c>
      <c r="AB1655" t="s">
        <v>6793</v>
      </c>
      <c r="AC1655" t="s">
        <v>4285</v>
      </c>
      <c r="AD1655" t="e">
        <f>VLOOKUP(AB1655,#REF!,2,FALSE)</f>
        <v>#REF!</v>
      </c>
      <c r="AE1655" t="e">
        <f>RIGHT(#REF!,(FIND("Complex",#REF!,1)-6))</f>
        <v>#REF!</v>
      </c>
    </row>
    <row r="1656" spans="1:31" x14ac:dyDescent="0.25">
      <c r="A1656">
        <v>1243</v>
      </c>
      <c r="B1656" t="s">
        <v>274</v>
      </c>
      <c r="C1656">
        <v>105</v>
      </c>
      <c r="D1656">
        <v>375</v>
      </c>
      <c r="E1656">
        <v>1243</v>
      </c>
      <c r="F1656">
        <v>8908201</v>
      </c>
      <c r="G1656">
        <v>8996400</v>
      </c>
      <c r="H1656">
        <f t="shared" si="50"/>
        <v>202.00002267573697</v>
      </c>
      <c r="I1656">
        <f t="shared" si="51"/>
        <v>204</v>
      </c>
      <c r="J1656" t="s">
        <v>22</v>
      </c>
      <c r="K1656">
        <v>4</v>
      </c>
      <c r="L1656" t="e">
        <f t="array" ref="L1656">VLOOKUP(J1656:$J$3871&amp;K1656:$K$3871,CHOOSE({1,2},#REF!&amp;#REF!,#REF!),2,0)</f>
        <v>#N/A</v>
      </c>
      <c r="M1656">
        <v>0</v>
      </c>
      <c r="N1656">
        <v>1</v>
      </c>
      <c r="O1656" t="s">
        <v>23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1</v>
      </c>
      <c r="Z1656">
        <v>1</v>
      </c>
      <c r="AA1656" t="s">
        <v>4292</v>
      </c>
      <c r="AB1656" t="s">
        <v>6797</v>
      </c>
      <c r="AC1656" t="s">
        <v>4292</v>
      </c>
      <c r="AD1656" t="e">
        <f>VLOOKUP(AB1656,#REF!,2,FALSE)</f>
        <v>#REF!</v>
      </c>
      <c r="AE1656" t="e">
        <f>RIGHT(#REF!,(FIND("Complex",#REF!,1)-6))</f>
        <v>#REF!</v>
      </c>
    </row>
    <row r="1657" spans="1:31" x14ac:dyDescent="0.25">
      <c r="A1657">
        <v>1626</v>
      </c>
      <c r="B1657" t="s">
        <v>274</v>
      </c>
      <c r="C1657">
        <v>105</v>
      </c>
      <c r="D1657">
        <v>492</v>
      </c>
      <c r="E1657">
        <v>1626</v>
      </c>
      <c r="F1657">
        <v>8555401</v>
      </c>
      <c r="G1657">
        <v>8643600</v>
      </c>
      <c r="H1657">
        <f t="shared" si="50"/>
        <v>194.00002267573697</v>
      </c>
      <c r="I1657">
        <f t="shared" si="51"/>
        <v>196</v>
      </c>
      <c r="J1657" t="s">
        <v>22</v>
      </c>
      <c r="K1657">
        <v>4</v>
      </c>
      <c r="L1657" t="e">
        <f t="array" ref="L1657">VLOOKUP(J1657:$J$3871&amp;K1657:$K$3871,CHOOSE({1,2},#REF!&amp;#REF!,#REF!),2,0)</f>
        <v>#N/A</v>
      </c>
      <c r="M1657">
        <v>0</v>
      </c>
      <c r="N1657">
        <v>1</v>
      </c>
      <c r="O1657" t="s">
        <v>23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1</v>
      </c>
      <c r="Z1657">
        <v>1</v>
      </c>
      <c r="AA1657" t="s">
        <v>4357</v>
      </c>
      <c r="AB1657" t="s">
        <v>6831</v>
      </c>
      <c r="AC1657" t="s">
        <v>4357</v>
      </c>
      <c r="AD1657" t="e">
        <f>VLOOKUP(AB1657,#REF!,2,FALSE)</f>
        <v>#REF!</v>
      </c>
      <c r="AE1657" t="e">
        <f>RIGHT(#REF!,(FIND("Complex",#REF!,1)-6))</f>
        <v>#REF!</v>
      </c>
    </row>
    <row r="1658" spans="1:31" x14ac:dyDescent="0.25">
      <c r="A1658">
        <v>295</v>
      </c>
      <c r="B1658" t="s">
        <v>274</v>
      </c>
      <c r="C1658">
        <v>105</v>
      </c>
      <c r="D1658">
        <v>91</v>
      </c>
      <c r="E1658">
        <v>295</v>
      </c>
      <c r="F1658">
        <v>8467201</v>
      </c>
      <c r="G1658">
        <v>8555400</v>
      </c>
      <c r="H1658">
        <f t="shared" si="50"/>
        <v>192.00002267573697</v>
      </c>
      <c r="I1658">
        <f t="shared" si="51"/>
        <v>194</v>
      </c>
      <c r="J1658" t="s">
        <v>22</v>
      </c>
      <c r="K1658">
        <v>4</v>
      </c>
      <c r="L1658" t="e">
        <f t="array" ref="L1658">VLOOKUP(J1658:$J$3871&amp;K1658:$K$3871,CHOOSE({1,2},#REF!&amp;#REF!,#REF!),2,0)</f>
        <v>#N/A</v>
      </c>
      <c r="M1658">
        <v>0</v>
      </c>
      <c r="N1658">
        <v>1</v>
      </c>
      <c r="O1658" t="s">
        <v>23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1</v>
      </c>
      <c r="Z1658">
        <v>1</v>
      </c>
      <c r="AA1658" t="s">
        <v>4366</v>
      </c>
      <c r="AB1658" t="s">
        <v>6839</v>
      </c>
      <c r="AC1658" t="s">
        <v>4366</v>
      </c>
      <c r="AD1658" t="e">
        <f>VLOOKUP(AB1658,#REF!,2,FALSE)</f>
        <v>#REF!</v>
      </c>
      <c r="AE1658" t="e">
        <f>RIGHT(#REF!,(FIND("Complex",#REF!,1)-5))</f>
        <v>#REF!</v>
      </c>
    </row>
    <row r="1659" spans="1:31" x14ac:dyDescent="0.25">
      <c r="A1659">
        <v>420</v>
      </c>
      <c r="B1659" t="s">
        <v>274</v>
      </c>
      <c r="C1659">
        <v>105</v>
      </c>
      <c r="D1659">
        <v>134</v>
      </c>
      <c r="E1659">
        <v>420</v>
      </c>
      <c r="F1659">
        <v>8379001</v>
      </c>
      <c r="G1659">
        <v>8467200</v>
      </c>
      <c r="H1659">
        <f t="shared" si="50"/>
        <v>190.00002267573697</v>
      </c>
      <c r="I1659">
        <f t="shared" si="51"/>
        <v>192</v>
      </c>
      <c r="J1659" t="s">
        <v>22</v>
      </c>
      <c r="K1659">
        <v>4</v>
      </c>
      <c r="L1659" t="e">
        <f t="array" ref="L1659">VLOOKUP(J1659:$J$3871&amp;K1659:$K$3871,CHOOSE({1,2},#REF!&amp;#REF!,#REF!),2,0)</f>
        <v>#N/A</v>
      </c>
      <c r="M1659">
        <v>0</v>
      </c>
      <c r="N1659">
        <v>1</v>
      </c>
      <c r="O1659" t="s">
        <v>23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1</v>
      </c>
      <c r="Z1659">
        <v>1</v>
      </c>
      <c r="AA1659" t="s">
        <v>4372</v>
      </c>
      <c r="AB1659" t="s">
        <v>6843</v>
      </c>
      <c r="AC1659" t="s">
        <v>4372</v>
      </c>
      <c r="AD1659" t="e">
        <f>VLOOKUP(AB1659,#REF!,2,FALSE)</f>
        <v>#REF!</v>
      </c>
      <c r="AE1659" t="e">
        <f>RIGHT(#REF!,(FIND("Complex",#REF!,1)-5))</f>
        <v>#REF!</v>
      </c>
    </row>
    <row r="1660" spans="1:31" x14ac:dyDescent="0.25">
      <c r="A1660">
        <v>1139</v>
      </c>
      <c r="B1660" t="s">
        <v>274</v>
      </c>
      <c r="C1660">
        <v>105</v>
      </c>
      <c r="D1660">
        <v>342</v>
      </c>
      <c r="E1660">
        <v>1139</v>
      </c>
      <c r="F1660">
        <v>7849801</v>
      </c>
      <c r="G1660">
        <v>7938000</v>
      </c>
      <c r="H1660">
        <f t="shared" si="50"/>
        <v>178.00002267573697</v>
      </c>
      <c r="I1660">
        <f t="shared" si="51"/>
        <v>180</v>
      </c>
      <c r="J1660" t="s">
        <v>22</v>
      </c>
      <c r="K1660">
        <v>4</v>
      </c>
      <c r="L1660" t="e">
        <f t="array" ref="L1660">VLOOKUP(J1660:$J$3871&amp;K1660:$K$3871,CHOOSE({1,2},#REF!&amp;#REF!,#REF!),2,0)</f>
        <v>#N/A</v>
      </c>
      <c r="M1660">
        <v>0</v>
      </c>
      <c r="N1660">
        <v>1</v>
      </c>
      <c r="O1660" t="s">
        <v>23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1</v>
      </c>
      <c r="Z1660">
        <v>1</v>
      </c>
      <c r="AA1660" t="s">
        <v>4425</v>
      </c>
      <c r="AB1660" t="s">
        <v>6874</v>
      </c>
      <c r="AC1660" t="s">
        <v>4425</v>
      </c>
      <c r="AD1660" t="e">
        <f>VLOOKUP(AB1660,#REF!,2,FALSE)</f>
        <v>#REF!</v>
      </c>
      <c r="AE1660" t="e">
        <f>RIGHT(#REF!,(FIND("Complex",#REF!,1)-6))</f>
        <v>#REF!</v>
      </c>
    </row>
    <row r="1661" spans="1:31" x14ac:dyDescent="0.25">
      <c r="A1661">
        <v>1825</v>
      </c>
      <c r="B1661" t="s">
        <v>274</v>
      </c>
      <c r="C1661">
        <v>105</v>
      </c>
      <c r="D1661">
        <v>551</v>
      </c>
      <c r="E1661">
        <v>1825</v>
      </c>
      <c r="F1661">
        <v>7232401</v>
      </c>
      <c r="G1661">
        <v>7320600</v>
      </c>
      <c r="H1661">
        <f t="shared" si="50"/>
        <v>164.00002267573697</v>
      </c>
      <c r="I1661">
        <f t="shared" si="51"/>
        <v>166</v>
      </c>
      <c r="J1661" t="s">
        <v>22</v>
      </c>
      <c r="K1661">
        <v>4</v>
      </c>
      <c r="L1661" t="e">
        <f t="array" ref="L1661">VLOOKUP(J1661:$J$3871&amp;K1661:$K$3871,CHOOSE({1,2},#REF!&amp;#REF!,#REF!),2,0)</f>
        <v>#N/A</v>
      </c>
      <c r="M1661">
        <v>0</v>
      </c>
      <c r="N1661">
        <v>1</v>
      </c>
      <c r="O1661" t="s">
        <v>23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1</v>
      </c>
      <c r="Z1661">
        <v>1</v>
      </c>
      <c r="AA1661" t="s">
        <v>4467</v>
      </c>
      <c r="AB1661" t="s">
        <v>6900</v>
      </c>
      <c r="AC1661" t="s">
        <v>4467</v>
      </c>
      <c r="AD1661" t="e">
        <f>VLOOKUP(AB1661,#REF!,2,FALSE)</f>
        <v>#REF!</v>
      </c>
      <c r="AE1661" t="e">
        <f>RIGHT(#REF!,(FIND("Complex",#REF!,1)-6))</f>
        <v>#REF!</v>
      </c>
    </row>
    <row r="1662" spans="1:31" x14ac:dyDescent="0.25">
      <c r="A1662">
        <v>2186</v>
      </c>
      <c r="B1662" t="s">
        <v>276</v>
      </c>
      <c r="C1662">
        <v>107</v>
      </c>
      <c r="D1662">
        <v>672</v>
      </c>
      <c r="E1662">
        <v>2186</v>
      </c>
      <c r="F1662">
        <v>4321801</v>
      </c>
      <c r="G1662">
        <v>4410000</v>
      </c>
      <c r="H1662">
        <f t="shared" si="50"/>
        <v>98.000022675736957</v>
      </c>
      <c r="I1662">
        <f t="shared" si="51"/>
        <v>100</v>
      </c>
      <c r="J1662" t="s">
        <v>22</v>
      </c>
      <c r="K1662">
        <v>4</v>
      </c>
      <c r="L1662" t="e">
        <f t="array" ref="L1662">VLOOKUP(J1662:$J$3871&amp;K1662:$K$3871,CHOOSE({1,2},#REF!&amp;#REF!,#REF!),2,0)</f>
        <v>#N/A</v>
      </c>
      <c r="M1662">
        <v>0</v>
      </c>
      <c r="N1662">
        <v>1</v>
      </c>
      <c r="O1662" t="s">
        <v>23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1</v>
      </c>
      <c r="Z1662">
        <v>1</v>
      </c>
      <c r="AA1662" t="s">
        <v>3512</v>
      </c>
      <c r="AB1662" t="s">
        <v>2154</v>
      </c>
      <c r="AC1662" t="s">
        <v>3512</v>
      </c>
      <c r="AD1662" t="e">
        <f>VLOOKUP(AB1662,#REF!,2,FALSE)</f>
        <v>#REF!</v>
      </c>
      <c r="AE1662" t="e">
        <f>RIGHT(#REF!,(FIND("Complex",#REF!,1)-7))</f>
        <v>#REF!</v>
      </c>
    </row>
    <row r="1663" spans="1:31" x14ac:dyDescent="0.25">
      <c r="A1663">
        <v>318</v>
      </c>
      <c r="B1663" t="s">
        <v>276</v>
      </c>
      <c r="C1663">
        <v>107</v>
      </c>
      <c r="D1663">
        <v>99</v>
      </c>
      <c r="E1663">
        <v>318</v>
      </c>
      <c r="F1663">
        <v>3616201</v>
      </c>
      <c r="G1663">
        <v>3704400</v>
      </c>
      <c r="H1663">
        <f t="shared" si="50"/>
        <v>82.000022675736957</v>
      </c>
      <c r="I1663">
        <f t="shared" si="51"/>
        <v>84</v>
      </c>
      <c r="J1663" t="s">
        <v>22</v>
      </c>
      <c r="K1663">
        <v>4</v>
      </c>
      <c r="L1663" t="e">
        <f t="array" ref="L1663">VLOOKUP(J1663:$J$3871&amp;K1663:$K$3871,CHOOSE({1,2},#REF!&amp;#REF!,#REF!),2,0)</f>
        <v>#N/A</v>
      </c>
      <c r="M1663">
        <v>0</v>
      </c>
      <c r="N1663">
        <v>1</v>
      </c>
      <c r="O1663" t="s">
        <v>23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1</v>
      </c>
      <c r="Z1663">
        <v>1</v>
      </c>
      <c r="AA1663" t="s">
        <v>3621</v>
      </c>
      <c r="AB1663" t="s">
        <v>6379</v>
      </c>
      <c r="AC1663" t="s">
        <v>3621</v>
      </c>
      <c r="AD1663" t="e">
        <f>VLOOKUP(AB1663,#REF!,2,FALSE)</f>
        <v>#REF!</v>
      </c>
      <c r="AE1663" t="e">
        <f>RIGHT(#REF!,(FIND("Complex",#REF!,1)-6))</f>
        <v>#REF!</v>
      </c>
    </row>
    <row r="1664" spans="1:31" x14ac:dyDescent="0.25">
      <c r="A1664">
        <v>708</v>
      </c>
      <c r="B1664" t="s">
        <v>276</v>
      </c>
      <c r="C1664">
        <v>107</v>
      </c>
      <c r="D1664">
        <v>216</v>
      </c>
      <c r="E1664">
        <v>708</v>
      </c>
      <c r="F1664">
        <v>3439801</v>
      </c>
      <c r="G1664">
        <v>3528000</v>
      </c>
      <c r="H1664">
        <f t="shared" si="50"/>
        <v>78.000022675736957</v>
      </c>
      <c r="I1664">
        <f t="shared" si="51"/>
        <v>80</v>
      </c>
      <c r="J1664" t="s">
        <v>22</v>
      </c>
      <c r="K1664">
        <v>4</v>
      </c>
      <c r="L1664" t="e">
        <f t="array" ref="L1664">VLOOKUP(J1664:$J$3871&amp;K1664:$K$3871,CHOOSE({1,2},#REF!&amp;#REF!,#REF!),2,0)</f>
        <v>#N/A</v>
      </c>
      <c r="M1664">
        <v>0</v>
      </c>
      <c r="N1664">
        <v>1</v>
      </c>
      <c r="O1664" t="s">
        <v>23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1</v>
      </c>
      <c r="Z1664">
        <v>1</v>
      </c>
      <c r="AA1664" t="s">
        <v>3660</v>
      </c>
      <c r="AB1664" t="s">
        <v>6400</v>
      </c>
      <c r="AC1664" t="s">
        <v>3660</v>
      </c>
      <c r="AD1664" t="e">
        <f>VLOOKUP(AB1664,#REF!,2,FALSE)</f>
        <v>#REF!</v>
      </c>
      <c r="AE1664" t="e">
        <f>RIGHT(#REF!,(FIND("Complex",#REF!,1)-6))</f>
        <v>#REF!</v>
      </c>
    </row>
    <row r="1665" spans="1:31" x14ac:dyDescent="0.25">
      <c r="A1665">
        <v>1869</v>
      </c>
      <c r="B1665" t="s">
        <v>276</v>
      </c>
      <c r="C1665">
        <v>107</v>
      </c>
      <c r="D1665">
        <v>564</v>
      </c>
      <c r="E1665">
        <v>1869</v>
      </c>
      <c r="F1665">
        <v>3087001</v>
      </c>
      <c r="G1665">
        <v>3175200</v>
      </c>
      <c r="H1665">
        <f t="shared" si="50"/>
        <v>70.000022675736957</v>
      </c>
      <c r="I1665">
        <f t="shared" si="51"/>
        <v>72</v>
      </c>
      <c r="J1665" t="s">
        <v>22</v>
      </c>
      <c r="K1665">
        <v>4</v>
      </c>
      <c r="L1665" t="e">
        <f t="array" ref="L1665">VLOOKUP(J1665:$J$3871&amp;K1665:$K$3871,CHOOSE({1,2},#REF!&amp;#REF!,#REF!),2,0)</f>
        <v>#N/A</v>
      </c>
      <c r="M1665">
        <v>0</v>
      </c>
      <c r="N1665">
        <v>1</v>
      </c>
      <c r="O1665" t="s">
        <v>23</v>
      </c>
      <c r="P1665">
        <v>0</v>
      </c>
      <c r="Q1665">
        <v>1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1</v>
      </c>
      <c r="Z1665">
        <v>0</v>
      </c>
      <c r="AA1665" t="s">
        <v>3716</v>
      </c>
      <c r="AB1665" t="s">
        <v>6431</v>
      </c>
      <c r="AC1665" t="s">
        <v>3716</v>
      </c>
      <c r="AD1665" t="e">
        <f>VLOOKUP(AB1665,#REF!,2,FALSE)</f>
        <v>#REF!</v>
      </c>
      <c r="AE1665" t="e">
        <f>RIGHT(#REF!,(FIND("Complex",#REF!,1)-7))</f>
        <v>#REF!</v>
      </c>
    </row>
    <row r="1666" spans="1:31" x14ac:dyDescent="0.25">
      <c r="A1666">
        <v>1459</v>
      </c>
      <c r="B1666" t="s">
        <v>276</v>
      </c>
      <c r="C1666">
        <v>107</v>
      </c>
      <c r="D1666">
        <v>443</v>
      </c>
      <c r="E1666">
        <v>1459</v>
      </c>
      <c r="F1666">
        <v>2910601</v>
      </c>
      <c r="G1666">
        <v>2998800</v>
      </c>
      <c r="H1666">
        <f t="shared" ref="H1666:H1729" si="52">F1666/44100</f>
        <v>66.000022675736957</v>
      </c>
      <c r="I1666">
        <f t="shared" ref="I1666:I1729" si="53">G1666/44100</f>
        <v>68</v>
      </c>
      <c r="J1666" t="s">
        <v>22</v>
      </c>
      <c r="K1666">
        <v>4</v>
      </c>
      <c r="L1666" t="e">
        <f t="array" ref="L1666">VLOOKUP(J1666:$J$3871&amp;K1666:$K$3871,CHOOSE({1,2},#REF!&amp;#REF!,#REF!),2,0)</f>
        <v>#N/A</v>
      </c>
      <c r="M1666">
        <v>0</v>
      </c>
      <c r="N1666">
        <v>1</v>
      </c>
      <c r="O1666" t="s">
        <v>23</v>
      </c>
      <c r="P1666">
        <v>0</v>
      </c>
      <c r="Q1666">
        <v>1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1</v>
      </c>
      <c r="Z1666">
        <v>0</v>
      </c>
      <c r="AA1666" t="s">
        <v>3744</v>
      </c>
      <c r="AB1666" t="s">
        <v>6444</v>
      </c>
      <c r="AC1666" t="s">
        <v>3744</v>
      </c>
      <c r="AD1666" t="e">
        <f>VLOOKUP(AB1666,#REF!,2,FALSE)</f>
        <v>#REF!</v>
      </c>
      <c r="AE1666" t="e">
        <f>RIGHT(#REF!,(FIND("Complex",#REF!,1)-7))</f>
        <v>#REF!</v>
      </c>
    </row>
    <row r="1667" spans="1:31" x14ac:dyDescent="0.25">
      <c r="A1667">
        <v>1752</v>
      </c>
      <c r="B1667" t="s">
        <v>276</v>
      </c>
      <c r="C1667">
        <v>107</v>
      </c>
      <c r="D1667">
        <v>526</v>
      </c>
      <c r="E1667">
        <v>1752</v>
      </c>
      <c r="F1667">
        <v>1940401</v>
      </c>
      <c r="G1667">
        <v>2028600</v>
      </c>
      <c r="H1667">
        <f t="shared" si="52"/>
        <v>44.000022675736965</v>
      </c>
      <c r="I1667">
        <f t="shared" si="53"/>
        <v>46</v>
      </c>
      <c r="J1667" t="s">
        <v>22</v>
      </c>
      <c r="K1667">
        <v>4</v>
      </c>
      <c r="L1667" t="e">
        <f t="array" ref="L1667">VLOOKUP(J1667:$J$3871&amp;K1667:$K$3871,CHOOSE({1,2},#REF!&amp;#REF!,#REF!),2,0)</f>
        <v>#N/A</v>
      </c>
      <c r="M1667">
        <v>0</v>
      </c>
      <c r="N1667">
        <v>1</v>
      </c>
      <c r="O1667" t="s">
        <v>23</v>
      </c>
      <c r="P1667">
        <v>0</v>
      </c>
      <c r="Q1667">
        <v>1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0</v>
      </c>
      <c r="Z1667">
        <v>1</v>
      </c>
      <c r="AA1667" t="s">
        <v>3921</v>
      </c>
      <c r="AB1667" t="s">
        <v>6552</v>
      </c>
      <c r="AC1667" t="s">
        <v>3921</v>
      </c>
      <c r="AD1667" t="e">
        <f>VLOOKUP(AB1667,#REF!,2,FALSE)</f>
        <v>#REF!</v>
      </c>
      <c r="AE1667" t="e">
        <f>RIGHT(#REF!,(FIND("Complex",#REF!,1)-7))</f>
        <v>#REF!</v>
      </c>
    </row>
    <row r="1668" spans="1:31" x14ac:dyDescent="0.25">
      <c r="A1668">
        <v>1590</v>
      </c>
      <c r="B1668" t="s">
        <v>276</v>
      </c>
      <c r="C1668">
        <v>107</v>
      </c>
      <c r="D1668">
        <v>484</v>
      </c>
      <c r="E1668">
        <v>1590</v>
      </c>
      <c r="F1668">
        <v>14464801</v>
      </c>
      <c r="G1668">
        <v>14553000</v>
      </c>
      <c r="H1668">
        <f t="shared" si="52"/>
        <v>328.00002267573694</v>
      </c>
      <c r="I1668">
        <f t="shared" si="53"/>
        <v>330</v>
      </c>
      <c r="J1668" t="s">
        <v>22</v>
      </c>
      <c r="K1668">
        <v>4</v>
      </c>
      <c r="L1668" t="e">
        <f t="array" ref="L1668">VLOOKUP(J1668:$J$3871&amp;K1668:$K$3871,CHOOSE({1,2},#REF!&amp;#REF!,#REF!),2,0)</f>
        <v>#N/A</v>
      </c>
      <c r="M1668">
        <v>0</v>
      </c>
      <c r="N1668">
        <v>1</v>
      </c>
      <c r="O1668" t="s">
        <v>23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1</v>
      </c>
      <c r="Z1668">
        <v>1</v>
      </c>
      <c r="AA1668" t="s">
        <v>4034</v>
      </c>
      <c r="AB1668" t="s">
        <v>6619</v>
      </c>
      <c r="AC1668" t="s">
        <v>4034</v>
      </c>
      <c r="AD1668" t="e">
        <f>VLOOKUP(AB1668,#REF!,2,FALSE)</f>
        <v>#REF!</v>
      </c>
      <c r="AE1668" t="e">
        <f>RIGHT(#REF!,(FIND("Complex",#REF!,1)-6))</f>
        <v>#REF!</v>
      </c>
    </row>
    <row r="1669" spans="1:31" x14ac:dyDescent="0.25">
      <c r="A1669">
        <v>359</v>
      </c>
      <c r="B1669" t="s">
        <v>276</v>
      </c>
      <c r="C1669">
        <v>107</v>
      </c>
      <c r="D1669">
        <v>112</v>
      </c>
      <c r="E1669">
        <v>359</v>
      </c>
      <c r="F1669">
        <v>12877201</v>
      </c>
      <c r="G1669">
        <v>12965400</v>
      </c>
      <c r="H1669">
        <f t="shared" si="52"/>
        <v>292.00002267573694</v>
      </c>
      <c r="I1669">
        <f t="shared" si="53"/>
        <v>294</v>
      </c>
      <c r="J1669" t="s">
        <v>22</v>
      </c>
      <c r="K1669">
        <v>4</v>
      </c>
      <c r="L1669" t="e">
        <f t="array" ref="L1669">VLOOKUP(J1669:$J$3871&amp;K1669:$K$3871,CHOOSE({1,2},#REF!&amp;#REF!,#REF!),2,0)</f>
        <v>#N/A</v>
      </c>
      <c r="M1669">
        <v>0</v>
      </c>
      <c r="N1669">
        <v>1</v>
      </c>
      <c r="O1669" t="s">
        <v>23</v>
      </c>
      <c r="P1669">
        <v>0</v>
      </c>
      <c r="Q1669">
        <v>1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1</v>
      </c>
      <c r="Z1669">
        <v>0</v>
      </c>
      <c r="AA1669" t="s">
        <v>4075</v>
      </c>
      <c r="AB1669" t="s">
        <v>6645</v>
      </c>
      <c r="AC1669" t="s">
        <v>4075</v>
      </c>
      <c r="AD1669" t="e">
        <f>VLOOKUP(AB1669,#REF!,2,FALSE)</f>
        <v>#REF!</v>
      </c>
      <c r="AE1669" t="e">
        <f>RIGHT(#REF!,(FIND("Complex",#REF!,1)-5))</f>
        <v>#REF!</v>
      </c>
    </row>
    <row r="1670" spans="1:31" x14ac:dyDescent="0.25">
      <c r="A1670">
        <v>2415</v>
      </c>
      <c r="B1670" t="s">
        <v>276</v>
      </c>
      <c r="C1670">
        <v>107</v>
      </c>
      <c r="D1670">
        <v>775</v>
      </c>
      <c r="E1670">
        <v>2415</v>
      </c>
      <c r="F1670">
        <v>12612601</v>
      </c>
      <c r="G1670">
        <v>12700800</v>
      </c>
      <c r="H1670">
        <f t="shared" si="52"/>
        <v>286.00002267573694</v>
      </c>
      <c r="I1670">
        <f t="shared" si="53"/>
        <v>288</v>
      </c>
      <c r="J1670" t="s">
        <v>22</v>
      </c>
      <c r="K1670">
        <v>4</v>
      </c>
      <c r="L1670" t="e">
        <f t="array" ref="L1670">VLOOKUP(J1670:$J$3871&amp;K1670:$K$3871,CHOOSE({1,2},#REF!&amp;#REF!,#REF!),2,0)</f>
        <v>#N/A</v>
      </c>
      <c r="M1670">
        <v>0</v>
      </c>
      <c r="N1670">
        <v>1</v>
      </c>
      <c r="O1670" t="s">
        <v>23</v>
      </c>
      <c r="P1670">
        <v>0</v>
      </c>
      <c r="Q1670">
        <v>1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0</v>
      </c>
      <c r="AA1670" t="s">
        <v>4081</v>
      </c>
      <c r="AB1670" t="s">
        <v>6648</v>
      </c>
      <c r="AC1670" t="s">
        <v>4081</v>
      </c>
      <c r="AD1670" t="e">
        <f>VLOOKUP(AB1670,#REF!,2,FALSE)</f>
        <v>#REF!</v>
      </c>
      <c r="AE1670" t="e">
        <f>RIGHT(#REF!,(FIND("Complex",#REF!,1)-6))</f>
        <v>#REF!</v>
      </c>
    </row>
    <row r="1671" spans="1:31" x14ac:dyDescent="0.25">
      <c r="A1671">
        <v>2252</v>
      </c>
      <c r="B1671" t="s">
        <v>276</v>
      </c>
      <c r="C1671">
        <v>107</v>
      </c>
      <c r="D1671">
        <v>700</v>
      </c>
      <c r="E1671">
        <v>2252</v>
      </c>
      <c r="F1671">
        <v>12436201</v>
      </c>
      <c r="G1671">
        <v>12524400</v>
      </c>
      <c r="H1671">
        <f t="shared" si="52"/>
        <v>282.00002267573694</v>
      </c>
      <c r="I1671">
        <f t="shared" si="53"/>
        <v>284</v>
      </c>
      <c r="J1671" t="s">
        <v>22</v>
      </c>
      <c r="K1671">
        <v>4</v>
      </c>
      <c r="L1671" t="e">
        <f t="array" ref="L1671">VLOOKUP(J1671:$J$3871&amp;K1671:$K$3871,CHOOSE({1,2},#REF!&amp;#REF!,#REF!),2,0)</f>
        <v>#N/A</v>
      </c>
      <c r="M1671">
        <v>0</v>
      </c>
      <c r="N1671">
        <v>1</v>
      </c>
      <c r="O1671" t="s">
        <v>23</v>
      </c>
      <c r="P1671">
        <v>0</v>
      </c>
      <c r="Q1671">
        <v>1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1</v>
      </c>
      <c r="Y1671">
        <v>1</v>
      </c>
      <c r="Z1671">
        <v>0</v>
      </c>
      <c r="AA1671" t="s">
        <v>4090</v>
      </c>
      <c r="AB1671" t="s">
        <v>6657</v>
      </c>
      <c r="AC1671" t="s">
        <v>4090</v>
      </c>
      <c r="AD1671" t="e">
        <f>VLOOKUP(AB1671,#REF!,2,FALSE)</f>
        <v>#REF!</v>
      </c>
      <c r="AE1671" t="e">
        <f>RIGHT(#REF!,(FIND("Complex",#REF!,1)-6))</f>
        <v>#REF!</v>
      </c>
    </row>
    <row r="1672" spans="1:31" x14ac:dyDescent="0.25">
      <c r="A1672">
        <v>1146</v>
      </c>
      <c r="B1672" t="s">
        <v>276</v>
      </c>
      <c r="C1672">
        <v>107</v>
      </c>
      <c r="D1672">
        <v>343</v>
      </c>
      <c r="E1672">
        <v>1146</v>
      </c>
      <c r="F1672">
        <v>12259801</v>
      </c>
      <c r="G1672">
        <v>12348000</v>
      </c>
      <c r="H1672">
        <f t="shared" si="52"/>
        <v>278.00002267573694</v>
      </c>
      <c r="I1672">
        <f t="shared" si="53"/>
        <v>280</v>
      </c>
      <c r="J1672" t="s">
        <v>22</v>
      </c>
      <c r="K1672">
        <v>4</v>
      </c>
      <c r="L1672" t="e">
        <f t="array" ref="L1672">VLOOKUP(J1672:$J$3871&amp;K1672:$K$3871,CHOOSE({1,2},#REF!&amp;#REF!,#REF!),2,0)</f>
        <v>#N/A</v>
      </c>
      <c r="M1672">
        <v>0</v>
      </c>
      <c r="N1672">
        <v>1</v>
      </c>
      <c r="O1672" t="s">
        <v>23</v>
      </c>
      <c r="P1672">
        <v>0</v>
      </c>
      <c r="Q1672">
        <v>1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1</v>
      </c>
      <c r="Y1672">
        <v>1</v>
      </c>
      <c r="Z1672">
        <v>0</v>
      </c>
      <c r="AA1672" t="s">
        <v>4117</v>
      </c>
      <c r="AB1672" t="s">
        <v>6678</v>
      </c>
      <c r="AC1672" t="s">
        <v>4117</v>
      </c>
      <c r="AD1672" t="e">
        <f>VLOOKUP(AB1672,#REF!,2,FALSE)</f>
        <v>#REF!</v>
      </c>
      <c r="AE1672" t="e">
        <f>RIGHT(#REF!,(FIND("Complex",#REF!,1)-6))</f>
        <v>#REF!</v>
      </c>
    </row>
    <row r="1673" spans="1:31" x14ac:dyDescent="0.25">
      <c r="A1673">
        <v>1445</v>
      </c>
      <c r="B1673" t="s">
        <v>276</v>
      </c>
      <c r="C1673">
        <v>107</v>
      </c>
      <c r="D1673">
        <v>437</v>
      </c>
      <c r="E1673">
        <v>1445</v>
      </c>
      <c r="F1673">
        <v>12171601</v>
      </c>
      <c r="G1673">
        <v>12259800</v>
      </c>
      <c r="H1673">
        <f t="shared" si="52"/>
        <v>276.00002267573694</v>
      </c>
      <c r="I1673">
        <f t="shared" si="53"/>
        <v>278</v>
      </c>
      <c r="J1673" t="s">
        <v>22</v>
      </c>
      <c r="K1673">
        <v>4</v>
      </c>
      <c r="L1673" t="e">
        <f t="array" ref="L1673">VLOOKUP(J1673:$J$3871&amp;K1673:$K$3871,CHOOSE({1,2},#REF!&amp;#REF!,#REF!),2,0)</f>
        <v>#N/A</v>
      </c>
      <c r="M1673">
        <v>0</v>
      </c>
      <c r="N1673">
        <v>1</v>
      </c>
      <c r="O1673" t="s">
        <v>23</v>
      </c>
      <c r="P1673">
        <v>0</v>
      </c>
      <c r="Q1673">
        <v>1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1</v>
      </c>
      <c r="Y1673">
        <v>1</v>
      </c>
      <c r="Z1673">
        <v>0</v>
      </c>
      <c r="AA1673" t="s">
        <v>4121</v>
      </c>
      <c r="AB1673" t="s">
        <v>2155</v>
      </c>
      <c r="AC1673" t="s">
        <v>4121</v>
      </c>
      <c r="AD1673" t="e">
        <f>VLOOKUP(AB1673,#REF!,2,FALSE)</f>
        <v>#REF!</v>
      </c>
      <c r="AE1673" t="e">
        <f>RIGHT(#REF!,(FIND("Complex",#REF!,1)-6))</f>
        <v>#REF!</v>
      </c>
    </row>
    <row r="1674" spans="1:31" x14ac:dyDescent="0.25">
      <c r="A1674">
        <v>2529</v>
      </c>
      <c r="B1674" t="s">
        <v>276</v>
      </c>
      <c r="C1674">
        <v>107</v>
      </c>
      <c r="D1674">
        <v>822</v>
      </c>
      <c r="E1674">
        <v>2529</v>
      </c>
      <c r="F1674">
        <v>11201401</v>
      </c>
      <c r="G1674">
        <v>11289600</v>
      </c>
      <c r="H1674">
        <f t="shared" si="52"/>
        <v>254.00002267573697</v>
      </c>
      <c r="I1674">
        <f t="shared" si="53"/>
        <v>256</v>
      </c>
      <c r="J1674" t="s">
        <v>22</v>
      </c>
      <c r="K1674">
        <v>4</v>
      </c>
      <c r="L1674" t="e">
        <f t="array" ref="L1674">VLOOKUP(J1674:$J$3871&amp;K1674:$K$3871,CHOOSE({1,2},#REF!&amp;#REF!,#REF!),2,0)</f>
        <v>#N/A</v>
      </c>
      <c r="M1674">
        <v>0</v>
      </c>
      <c r="N1674">
        <v>1</v>
      </c>
      <c r="O1674" t="s">
        <v>23</v>
      </c>
      <c r="P1674">
        <v>0</v>
      </c>
      <c r="Q1674">
        <v>1</v>
      </c>
      <c r="R1674">
        <v>0</v>
      </c>
      <c r="S1674">
        <v>1</v>
      </c>
      <c r="T1674">
        <v>0</v>
      </c>
      <c r="U1674">
        <v>0</v>
      </c>
      <c r="V1674">
        <v>0</v>
      </c>
      <c r="W1674">
        <v>0</v>
      </c>
      <c r="X1674">
        <v>1</v>
      </c>
      <c r="Y1674">
        <v>1</v>
      </c>
      <c r="Z1674">
        <v>0</v>
      </c>
      <c r="AA1674" t="s">
        <v>4163</v>
      </c>
      <c r="AB1674" t="s">
        <v>6713</v>
      </c>
      <c r="AC1674" t="s">
        <v>4163</v>
      </c>
      <c r="AD1674" t="e">
        <f>VLOOKUP(AB1674,#REF!,2,FALSE)</f>
        <v>#REF!</v>
      </c>
      <c r="AE1674" t="e">
        <f>RIGHT(#REF!,(FIND("Complex",#REF!,1)-6))</f>
        <v>#REF!</v>
      </c>
    </row>
    <row r="1675" spans="1:31" x14ac:dyDescent="0.25">
      <c r="A1675">
        <v>489</v>
      </c>
      <c r="B1675" t="s">
        <v>276</v>
      </c>
      <c r="C1675">
        <v>107</v>
      </c>
      <c r="D1675">
        <v>158</v>
      </c>
      <c r="E1675">
        <v>489</v>
      </c>
      <c r="F1675">
        <v>10672201</v>
      </c>
      <c r="G1675">
        <v>10760400</v>
      </c>
      <c r="H1675">
        <f t="shared" si="52"/>
        <v>242.00002267573697</v>
      </c>
      <c r="I1675">
        <f t="shared" si="53"/>
        <v>244</v>
      </c>
      <c r="J1675" t="s">
        <v>22</v>
      </c>
      <c r="K1675">
        <v>4</v>
      </c>
      <c r="L1675" t="e">
        <f t="array" ref="L1675">VLOOKUP(J1675:$J$3871&amp;K1675:$K$3871,CHOOSE({1,2},#REF!&amp;#REF!,#REF!),2,0)</f>
        <v>#N/A</v>
      </c>
      <c r="M1675">
        <v>0</v>
      </c>
      <c r="N1675">
        <v>1</v>
      </c>
      <c r="O1675" t="s">
        <v>23</v>
      </c>
      <c r="P1675">
        <v>0</v>
      </c>
      <c r="Q1675">
        <v>1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1</v>
      </c>
      <c r="Y1675">
        <v>1</v>
      </c>
      <c r="Z1675">
        <v>0</v>
      </c>
      <c r="AA1675" t="s">
        <v>4175</v>
      </c>
      <c r="AB1675" t="s">
        <v>6722</v>
      </c>
      <c r="AC1675" t="s">
        <v>4175</v>
      </c>
      <c r="AD1675" t="e">
        <f>VLOOKUP(AB1675,#REF!,2,FALSE)</f>
        <v>#REF!</v>
      </c>
      <c r="AE1675" t="e">
        <f>RIGHT(#REF!,(FIND("Complex",#REF!,1)-5))</f>
        <v>#REF!</v>
      </c>
    </row>
    <row r="1676" spans="1:31" x14ac:dyDescent="0.25">
      <c r="A1676">
        <v>965</v>
      </c>
      <c r="B1676" t="s">
        <v>276</v>
      </c>
      <c r="C1676">
        <v>107</v>
      </c>
      <c r="D1676">
        <v>292</v>
      </c>
      <c r="E1676">
        <v>965</v>
      </c>
      <c r="F1676">
        <v>10407601</v>
      </c>
      <c r="G1676">
        <v>10495800</v>
      </c>
      <c r="H1676">
        <f t="shared" si="52"/>
        <v>236.00002267573697</v>
      </c>
      <c r="I1676">
        <f t="shared" si="53"/>
        <v>238</v>
      </c>
      <c r="J1676" t="s">
        <v>22</v>
      </c>
      <c r="K1676">
        <v>4</v>
      </c>
      <c r="L1676" t="e">
        <f t="array" ref="L1676">VLOOKUP(J1676:$J$3871&amp;K1676:$K$3871,CHOOSE({1,2},#REF!&amp;#REF!,#REF!),2,0)</f>
        <v>#N/A</v>
      </c>
      <c r="M1676">
        <v>0</v>
      </c>
      <c r="N1676">
        <v>1</v>
      </c>
      <c r="O1676" t="s">
        <v>23</v>
      </c>
      <c r="P1676">
        <v>0</v>
      </c>
      <c r="Q1676">
        <v>1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1</v>
      </c>
      <c r="Y1676">
        <v>0</v>
      </c>
      <c r="Z1676">
        <v>1</v>
      </c>
      <c r="AA1676" t="s">
        <v>4211</v>
      </c>
      <c r="AB1676" t="s">
        <v>6749</v>
      </c>
      <c r="AC1676" t="s">
        <v>4211</v>
      </c>
      <c r="AD1676" t="e">
        <f>VLOOKUP(AB1676,#REF!,2,FALSE)</f>
        <v>#REF!</v>
      </c>
      <c r="AE1676" t="e">
        <f>RIGHT(#REF!,(FIND("Complex",#REF!,1)-5))</f>
        <v>#REF!</v>
      </c>
    </row>
    <row r="1677" spans="1:31" x14ac:dyDescent="0.25">
      <c r="A1677">
        <v>826</v>
      </c>
      <c r="B1677" t="s">
        <v>276</v>
      </c>
      <c r="C1677">
        <v>107</v>
      </c>
      <c r="D1677">
        <v>251</v>
      </c>
      <c r="E1677">
        <v>826</v>
      </c>
      <c r="F1677">
        <v>8643601</v>
      </c>
      <c r="G1677">
        <v>8731800</v>
      </c>
      <c r="H1677">
        <f t="shared" si="52"/>
        <v>196.00002267573697</v>
      </c>
      <c r="I1677">
        <f t="shared" si="53"/>
        <v>198</v>
      </c>
      <c r="J1677" t="s">
        <v>22</v>
      </c>
      <c r="K1677">
        <v>4</v>
      </c>
      <c r="L1677" t="e">
        <f t="array" ref="L1677">VLOOKUP(J1677:$J$3871&amp;K1677:$K$3871,CHOOSE({1,2},#REF!&amp;#REF!,#REF!),2,0)</f>
        <v>#N/A</v>
      </c>
      <c r="M1677">
        <v>0</v>
      </c>
      <c r="N1677">
        <v>1</v>
      </c>
      <c r="O1677" t="s">
        <v>23</v>
      </c>
      <c r="P1677">
        <v>0</v>
      </c>
      <c r="Q1677">
        <v>1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1</v>
      </c>
      <c r="AA1677" t="s">
        <v>4348</v>
      </c>
      <c r="AB1677" t="s">
        <v>2156</v>
      </c>
      <c r="AC1677" t="s">
        <v>4348</v>
      </c>
      <c r="AD1677" t="e">
        <f>VLOOKUP(AB1677,#REF!,2,FALSE)</f>
        <v>#REF!</v>
      </c>
      <c r="AE1677" t="e">
        <f>RIGHT(#REF!,(FIND("Complex",#REF!,1)-5))</f>
        <v>#REF!</v>
      </c>
    </row>
    <row r="1678" spans="1:31" x14ac:dyDescent="0.25">
      <c r="A1678">
        <v>2111</v>
      </c>
      <c r="B1678" t="s">
        <v>276</v>
      </c>
      <c r="C1678">
        <v>107</v>
      </c>
      <c r="D1678">
        <v>644</v>
      </c>
      <c r="E1678">
        <v>2111</v>
      </c>
      <c r="F1678">
        <v>7673401</v>
      </c>
      <c r="G1678">
        <v>7761600</v>
      </c>
      <c r="H1678">
        <f t="shared" si="52"/>
        <v>174.00002267573697</v>
      </c>
      <c r="I1678">
        <f t="shared" si="53"/>
        <v>176</v>
      </c>
      <c r="J1678" t="s">
        <v>22</v>
      </c>
      <c r="K1678">
        <v>4</v>
      </c>
      <c r="L1678" t="e">
        <f t="array" ref="L1678">VLOOKUP(J1678:$J$3871&amp;K1678:$K$3871,CHOOSE({1,2},#REF!&amp;#REF!,#REF!),2,0)</f>
        <v>#N/A</v>
      </c>
      <c r="M1678">
        <v>0</v>
      </c>
      <c r="N1678">
        <v>1</v>
      </c>
      <c r="O1678" t="s">
        <v>23</v>
      </c>
      <c r="P1678">
        <v>0</v>
      </c>
      <c r="Q1678">
        <v>1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1</v>
      </c>
      <c r="Z1678">
        <v>0</v>
      </c>
      <c r="AA1678" t="s">
        <v>4431</v>
      </c>
      <c r="AB1678" t="s">
        <v>6877</v>
      </c>
      <c r="AC1678" t="s">
        <v>4431</v>
      </c>
      <c r="AD1678" t="e">
        <f>VLOOKUP(AB1678,#REF!,2,FALSE)</f>
        <v>#REF!</v>
      </c>
      <c r="AE1678" t="e">
        <f>RIGHT(#REF!,(FIND("Complex",#REF!,1)-6))</f>
        <v>#REF!</v>
      </c>
    </row>
    <row r="1679" spans="1:31" x14ac:dyDescent="0.25">
      <c r="A1679">
        <v>637</v>
      </c>
      <c r="B1679" t="s">
        <v>276</v>
      </c>
      <c r="C1679">
        <v>107</v>
      </c>
      <c r="D1679">
        <v>200</v>
      </c>
      <c r="E1679">
        <v>637</v>
      </c>
      <c r="F1679">
        <v>7408801</v>
      </c>
      <c r="G1679">
        <v>7497000</v>
      </c>
      <c r="H1679">
        <f t="shared" si="52"/>
        <v>168.00002267573697</v>
      </c>
      <c r="I1679">
        <f t="shared" si="53"/>
        <v>170</v>
      </c>
      <c r="J1679" t="s">
        <v>22</v>
      </c>
      <c r="K1679">
        <v>4</v>
      </c>
      <c r="L1679" t="e">
        <f t="array" ref="L1679">VLOOKUP(J1679:$J$3871&amp;K1679:$K$3871,CHOOSE({1,2},#REF!&amp;#REF!,#REF!),2,0)</f>
        <v>#N/A</v>
      </c>
      <c r="M1679">
        <v>0</v>
      </c>
      <c r="N1679">
        <v>1</v>
      </c>
      <c r="O1679" t="s">
        <v>23</v>
      </c>
      <c r="P1679">
        <v>0</v>
      </c>
      <c r="Q1679">
        <v>1</v>
      </c>
      <c r="R1679">
        <v>0</v>
      </c>
      <c r="S1679">
        <v>1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1</v>
      </c>
      <c r="Z1679">
        <v>0</v>
      </c>
      <c r="AA1679" t="s">
        <v>4450</v>
      </c>
      <c r="AB1679" t="s">
        <v>6890</v>
      </c>
      <c r="AC1679" t="s">
        <v>4450</v>
      </c>
      <c r="AD1679" t="e">
        <f>VLOOKUP(AB1679,#REF!,2,FALSE)</f>
        <v>#REF!</v>
      </c>
      <c r="AE1679" t="e">
        <f>RIGHT(#REF!,(FIND("Complex",#REF!,1)-5))</f>
        <v>#REF!</v>
      </c>
    </row>
    <row r="1680" spans="1:31" x14ac:dyDescent="0.25">
      <c r="A1680">
        <v>870</v>
      </c>
      <c r="B1680" t="s">
        <v>276</v>
      </c>
      <c r="C1680">
        <v>107</v>
      </c>
      <c r="D1680">
        <v>263</v>
      </c>
      <c r="E1680">
        <v>870</v>
      </c>
      <c r="F1680">
        <v>6085801</v>
      </c>
      <c r="G1680">
        <v>6174000</v>
      </c>
      <c r="H1680">
        <f t="shared" si="52"/>
        <v>138.00002267573697</v>
      </c>
      <c r="I1680">
        <f t="shared" si="53"/>
        <v>140</v>
      </c>
      <c r="J1680" t="s">
        <v>22</v>
      </c>
      <c r="K1680">
        <v>4</v>
      </c>
      <c r="L1680" t="e">
        <f t="array" ref="L1680">VLOOKUP(J1680:$J$3871&amp;K1680:$K$3871,CHOOSE({1,2},#REF!&amp;#REF!,#REF!),2,0)</f>
        <v>#N/A</v>
      </c>
      <c r="M1680">
        <v>0</v>
      </c>
      <c r="N1680">
        <v>1</v>
      </c>
      <c r="O1680" t="s">
        <v>23</v>
      </c>
      <c r="P1680">
        <v>0</v>
      </c>
      <c r="Q1680">
        <v>1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1</v>
      </c>
      <c r="Z1680">
        <v>0</v>
      </c>
      <c r="AA1680" t="s">
        <v>4637</v>
      </c>
      <c r="AB1680" t="s">
        <v>7013</v>
      </c>
      <c r="AC1680" t="s">
        <v>4637</v>
      </c>
      <c r="AD1680" t="e">
        <f>VLOOKUP(AB1680,#REF!,2,FALSE)</f>
        <v>#REF!</v>
      </c>
      <c r="AE1680" t="e">
        <f>RIGHT(#REF!,(FIND("Complex",#REF!,1)-5))</f>
        <v>#REF!</v>
      </c>
    </row>
    <row r="1681" spans="1:31" x14ac:dyDescent="0.25">
      <c r="A1681">
        <v>2455</v>
      </c>
      <c r="B1681" t="s">
        <v>276</v>
      </c>
      <c r="C1681">
        <v>107</v>
      </c>
      <c r="D1681">
        <v>794</v>
      </c>
      <c r="E1681">
        <v>2455</v>
      </c>
      <c r="F1681">
        <v>5909401</v>
      </c>
      <c r="G1681">
        <v>5997600</v>
      </c>
      <c r="H1681">
        <f t="shared" si="52"/>
        <v>134.00002267573697</v>
      </c>
      <c r="I1681">
        <f t="shared" si="53"/>
        <v>136</v>
      </c>
      <c r="J1681" t="s">
        <v>22</v>
      </c>
      <c r="K1681">
        <v>4</v>
      </c>
      <c r="L1681" t="e">
        <f t="array" ref="L1681">VLOOKUP(J1681:$J$3871&amp;K1681:$K$3871,CHOOSE({1,2},#REF!&amp;#REF!,#REF!),2,0)</f>
        <v>#N/A</v>
      </c>
      <c r="M1681">
        <v>0</v>
      </c>
      <c r="N1681">
        <v>1</v>
      </c>
      <c r="O1681" t="s">
        <v>23</v>
      </c>
      <c r="P1681">
        <v>0</v>
      </c>
      <c r="Q1681">
        <v>1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1</v>
      </c>
      <c r="Z1681">
        <v>0</v>
      </c>
      <c r="AA1681" t="s">
        <v>4660</v>
      </c>
      <c r="AB1681" t="s">
        <v>7031</v>
      </c>
      <c r="AC1681" t="s">
        <v>4660</v>
      </c>
      <c r="AD1681" t="e">
        <f>VLOOKUP(AB1681,#REF!,2,FALSE)</f>
        <v>#REF!</v>
      </c>
      <c r="AE1681" t="e">
        <f>RIGHT(#REF!,(FIND("Complex",#REF!,1)-6))</f>
        <v>#REF!</v>
      </c>
    </row>
    <row r="1682" spans="1:31" x14ac:dyDescent="0.25">
      <c r="A1682">
        <v>361</v>
      </c>
      <c r="B1682" t="s">
        <v>277</v>
      </c>
      <c r="C1682">
        <v>108</v>
      </c>
      <c r="D1682">
        <v>114</v>
      </c>
      <c r="E1682">
        <v>361</v>
      </c>
      <c r="F1682">
        <v>1852201</v>
      </c>
      <c r="G1682">
        <v>1940400</v>
      </c>
      <c r="H1682">
        <f t="shared" si="52"/>
        <v>42.000022675736965</v>
      </c>
      <c r="I1682">
        <f t="shared" si="53"/>
        <v>44</v>
      </c>
      <c r="J1682" t="s">
        <v>22</v>
      </c>
      <c r="K1682">
        <v>4</v>
      </c>
      <c r="L1682" t="e">
        <f t="array" ref="L1682">VLOOKUP(J1682:$J$3871&amp;K1682:$K$3871,CHOOSE({1,2},#REF!&amp;#REF!,#REF!),2,0)</f>
        <v>#N/A</v>
      </c>
      <c r="M1682">
        <v>0</v>
      </c>
      <c r="N1682">
        <v>1</v>
      </c>
      <c r="O1682" t="s">
        <v>23</v>
      </c>
      <c r="P1682">
        <v>0</v>
      </c>
      <c r="Q1682">
        <v>1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1</v>
      </c>
      <c r="Z1682">
        <v>0</v>
      </c>
      <c r="AA1682" t="s">
        <v>3935</v>
      </c>
      <c r="AB1682" t="s">
        <v>2158</v>
      </c>
      <c r="AC1682" t="s">
        <v>3935</v>
      </c>
      <c r="AD1682" t="e">
        <f>VLOOKUP(AB1682,#REF!,2,FALSE)</f>
        <v>#REF!</v>
      </c>
      <c r="AE1682" t="e">
        <f>RIGHT(#REF!,(FIND("Complex",#REF!,1)-6))</f>
        <v>#REF!</v>
      </c>
    </row>
    <row r="1683" spans="1:31" x14ac:dyDescent="0.25">
      <c r="A1683">
        <v>2185</v>
      </c>
      <c r="B1683" t="s">
        <v>277</v>
      </c>
      <c r="C1683">
        <v>108</v>
      </c>
      <c r="D1683">
        <v>671</v>
      </c>
      <c r="E1683">
        <v>2185</v>
      </c>
      <c r="F1683">
        <v>13847401</v>
      </c>
      <c r="G1683">
        <v>13935600</v>
      </c>
      <c r="H1683">
        <f t="shared" si="52"/>
        <v>314.00002267573694</v>
      </c>
      <c r="I1683">
        <f t="shared" si="53"/>
        <v>316</v>
      </c>
      <c r="J1683" t="s">
        <v>22</v>
      </c>
      <c r="K1683">
        <v>4</v>
      </c>
      <c r="L1683" t="e">
        <f t="array" ref="L1683">VLOOKUP(J1683:$J$3871&amp;K1683:$K$3871,CHOOSE({1,2},#REF!&amp;#REF!,#REF!),2,0)</f>
        <v>#N/A</v>
      </c>
      <c r="M1683">
        <v>0</v>
      </c>
      <c r="N1683">
        <v>1</v>
      </c>
      <c r="O1683" t="s">
        <v>23</v>
      </c>
      <c r="P1683">
        <v>0</v>
      </c>
      <c r="Q1683">
        <v>1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1</v>
      </c>
      <c r="Y1683">
        <v>1</v>
      </c>
      <c r="Z1683">
        <v>0</v>
      </c>
      <c r="AA1683" t="s">
        <v>4053</v>
      </c>
      <c r="AB1683" t="s">
        <v>6629</v>
      </c>
      <c r="AC1683" t="s">
        <v>4053</v>
      </c>
      <c r="AD1683" t="e">
        <f>VLOOKUP(AB1683,#REF!,2,FALSE)</f>
        <v>#REF!</v>
      </c>
      <c r="AE1683" t="e">
        <f>RIGHT(#REF!,(FIND("Complex",#REF!,1)-6))</f>
        <v>#REF!</v>
      </c>
    </row>
    <row r="1684" spans="1:31" x14ac:dyDescent="0.25">
      <c r="A1684">
        <v>2404</v>
      </c>
      <c r="B1684" t="s">
        <v>277</v>
      </c>
      <c r="C1684">
        <v>108</v>
      </c>
      <c r="D1684">
        <v>768</v>
      </c>
      <c r="E1684">
        <v>2404</v>
      </c>
      <c r="F1684">
        <v>13494601</v>
      </c>
      <c r="G1684">
        <v>13582800</v>
      </c>
      <c r="H1684">
        <f t="shared" si="52"/>
        <v>306.00002267573694</v>
      </c>
      <c r="I1684">
        <f t="shared" si="53"/>
        <v>308</v>
      </c>
      <c r="J1684" t="s">
        <v>22</v>
      </c>
      <c r="K1684">
        <v>4</v>
      </c>
      <c r="L1684" t="e">
        <f t="array" ref="L1684">VLOOKUP(J1684:$J$3871&amp;K1684:$K$3871,CHOOSE({1,2},#REF!&amp;#REF!,#REF!),2,0)</f>
        <v>#N/A</v>
      </c>
      <c r="M1684">
        <v>0</v>
      </c>
      <c r="N1684">
        <v>1</v>
      </c>
      <c r="O1684" t="s">
        <v>23</v>
      </c>
      <c r="P1684">
        <v>0</v>
      </c>
      <c r="Q1684">
        <v>1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1</v>
      </c>
      <c r="Y1684">
        <v>1</v>
      </c>
      <c r="Z1684">
        <v>0</v>
      </c>
      <c r="AA1684" t="s">
        <v>4057</v>
      </c>
      <c r="AB1684" t="s">
        <v>6632</v>
      </c>
      <c r="AC1684" t="s">
        <v>4057</v>
      </c>
      <c r="AD1684" t="e">
        <f>VLOOKUP(AB1684,#REF!,2,FALSE)</f>
        <v>#REF!</v>
      </c>
      <c r="AE1684" t="e">
        <f>RIGHT(#REF!,(FIND("Complex",#REF!,1)-6))</f>
        <v>#REF!</v>
      </c>
    </row>
    <row r="1685" spans="1:31" x14ac:dyDescent="0.25">
      <c r="A1685">
        <v>1491</v>
      </c>
      <c r="B1685" t="s">
        <v>277</v>
      </c>
      <c r="C1685">
        <v>108</v>
      </c>
      <c r="D1685">
        <v>454</v>
      </c>
      <c r="E1685">
        <v>1491</v>
      </c>
      <c r="F1685">
        <v>13053601</v>
      </c>
      <c r="G1685">
        <v>13141800</v>
      </c>
      <c r="H1685">
        <f t="shared" si="52"/>
        <v>296.00002267573694</v>
      </c>
      <c r="I1685">
        <f t="shared" si="53"/>
        <v>298</v>
      </c>
      <c r="J1685" t="s">
        <v>22</v>
      </c>
      <c r="K1685">
        <v>4</v>
      </c>
      <c r="L1685" t="e">
        <f t="array" ref="L1685">VLOOKUP(J1685:$J$3871&amp;K1685:$K$3871,CHOOSE({1,2},#REF!&amp;#REF!,#REF!),2,0)</f>
        <v>#N/A</v>
      </c>
      <c r="M1685">
        <v>0</v>
      </c>
      <c r="N1685">
        <v>1</v>
      </c>
      <c r="O1685" t="s">
        <v>23</v>
      </c>
      <c r="P1685">
        <v>0</v>
      </c>
      <c r="Q1685">
        <v>1</v>
      </c>
      <c r="R1685">
        <v>0</v>
      </c>
      <c r="S1685">
        <v>1</v>
      </c>
      <c r="T1685">
        <v>0</v>
      </c>
      <c r="U1685">
        <v>0</v>
      </c>
      <c r="V1685">
        <v>0</v>
      </c>
      <c r="W1685">
        <v>0</v>
      </c>
      <c r="X1685">
        <v>1</v>
      </c>
      <c r="Y1685">
        <v>1</v>
      </c>
      <c r="Z1685">
        <v>0</v>
      </c>
      <c r="AA1685" t="s">
        <v>4072</v>
      </c>
      <c r="AB1685" t="s">
        <v>6642</v>
      </c>
      <c r="AC1685" t="s">
        <v>4072</v>
      </c>
      <c r="AD1685" t="e">
        <f>VLOOKUP(AB1685,#REF!,2,FALSE)</f>
        <v>#REF!</v>
      </c>
      <c r="AE1685" t="e">
        <f>RIGHT(#REF!,(FIND("Complex",#REF!,1)-6))</f>
        <v>#REF!</v>
      </c>
    </row>
    <row r="1686" spans="1:31" x14ac:dyDescent="0.25">
      <c r="A1686">
        <v>80</v>
      </c>
      <c r="B1686" t="s">
        <v>277</v>
      </c>
      <c r="C1686">
        <v>108</v>
      </c>
      <c r="D1686">
        <v>24</v>
      </c>
      <c r="E1686">
        <v>80</v>
      </c>
      <c r="F1686">
        <v>12965401</v>
      </c>
      <c r="G1686">
        <v>13053600</v>
      </c>
      <c r="H1686">
        <f t="shared" si="52"/>
        <v>294.00002267573694</v>
      </c>
      <c r="I1686">
        <f t="shared" si="53"/>
        <v>296</v>
      </c>
      <c r="J1686" t="s">
        <v>22</v>
      </c>
      <c r="K1686">
        <v>4</v>
      </c>
      <c r="L1686" t="e">
        <f t="array" ref="L1686">VLOOKUP(J1686:$J$3871&amp;K1686:$K$3871,CHOOSE({1,2},#REF!&amp;#REF!,#REF!),2,0)</f>
        <v>#N/A</v>
      </c>
      <c r="M1686">
        <v>0</v>
      </c>
      <c r="N1686">
        <v>1</v>
      </c>
      <c r="O1686" t="s">
        <v>23</v>
      </c>
      <c r="P1686">
        <v>0</v>
      </c>
      <c r="Q1686">
        <v>1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1</v>
      </c>
      <c r="Y1686">
        <v>1</v>
      </c>
      <c r="Z1686">
        <v>0</v>
      </c>
      <c r="AA1686" t="s">
        <v>4073</v>
      </c>
      <c r="AB1686" t="s">
        <v>6643</v>
      </c>
      <c r="AC1686" t="s">
        <v>4073</v>
      </c>
      <c r="AD1686" t="e">
        <f>VLOOKUP(AB1686,#REF!,2,FALSE)</f>
        <v>#REF!</v>
      </c>
      <c r="AE1686" t="e">
        <f>RIGHT(#REF!,(FIND("Complex",#REF!,1)-4))</f>
        <v>#REF!</v>
      </c>
    </row>
    <row r="1687" spans="1:31" x14ac:dyDescent="0.25">
      <c r="A1687">
        <v>937</v>
      </c>
      <c r="B1687" t="s">
        <v>277</v>
      </c>
      <c r="C1687">
        <v>108</v>
      </c>
      <c r="D1687">
        <v>287</v>
      </c>
      <c r="E1687">
        <v>937</v>
      </c>
      <c r="F1687">
        <v>12877201</v>
      </c>
      <c r="G1687">
        <v>12965400</v>
      </c>
      <c r="H1687">
        <f t="shared" si="52"/>
        <v>292.00002267573694</v>
      </c>
      <c r="I1687">
        <f t="shared" si="53"/>
        <v>294</v>
      </c>
      <c r="J1687" t="s">
        <v>22</v>
      </c>
      <c r="K1687">
        <v>4</v>
      </c>
      <c r="L1687" t="e">
        <f t="array" ref="L1687">VLOOKUP(J1687:$J$3871&amp;K1687:$K$3871,CHOOSE({1,2},#REF!&amp;#REF!,#REF!),2,0)</f>
        <v>#N/A</v>
      </c>
      <c r="M1687">
        <v>0</v>
      </c>
      <c r="N1687">
        <v>1</v>
      </c>
      <c r="O1687" t="s">
        <v>23</v>
      </c>
      <c r="P1687">
        <v>0</v>
      </c>
      <c r="Q1687">
        <v>1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1</v>
      </c>
      <c r="Y1687">
        <v>1</v>
      </c>
      <c r="Z1687">
        <v>0</v>
      </c>
      <c r="AA1687" t="s">
        <v>4074</v>
      </c>
      <c r="AB1687" t="s">
        <v>6644</v>
      </c>
      <c r="AC1687" t="s">
        <v>4074</v>
      </c>
      <c r="AD1687" t="e">
        <f>VLOOKUP(AB1687,#REF!,2,FALSE)</f>
        <v>#REF!</v>
      </c>
      <c r="AE1687" t="e">
        <f>RIGHT(#REF!,(FIND("Complex",#REF!,1)-5))</f>
        <v>#REF!</v>
      </c>
    </row>
    <row r="1688" spans="1:31" x14ac:dyDescent="0.25">
      <c r="A1688">
        <v>957</v>
      </c>
      <c r="B1688" t="s">
        <v>277</v>
      </c>
      <c r="C1688">
        <v>108</v>
      </c>
      <c r="D1688">
        <v>290</v>
      </c>
      <c r="E1688">
        <v>957</v>
      </c>
      <c r="F1688">
        <v>12259801</v>
      </c>
      <c r="G1688">
        <v>12348000</v>
      </c>
      <c r="H1688">
        <f t="shared" si="52"/>
        <v>278.00002267573694</v>
      </c>
      <c r="I1688">
        <f t="shared" si="53"/>
        <v>280</v>
      </c>
      <c r="J1688" t="s">
        <v>22</v>
      </c>
      <c r="K1688">
        <v>4</v>
      </c>
      <c r="L1688" t="e">
        <f t="array" ref="L1688">VLOOKUP(J1688:$J$3871&amp;K1688:$K$3871,CHOOSE({1,2},#REF!&amp;#REF!,#REF!),2,0)</f>
        <v>#N/A</v>
      </c>
      <c r="M1688">
        <v>0</v>
      </c>
      <c r="N1688">
        <v>1</v>
      </c>
      <c r="O1688" t="s">
        <v>23</v>
      </c>
      <c r="P1688">
        <v>0</v>
      </c>
      <c r="Q1688">
        <v>1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1</v>
      </c>
      <c r="Z1688">
        <v>0</v>
      </c>
      <c r="AA1688" t="s">
        <v>4116</v>
      </c>
      <c r="AB1688" t="s">
        <v>6677</v>
      </c>
      <c r="AC1688" t="s">
        <v>4116</v>
      </c>
      <c r="AD1688" t="e">
        <f>VLOOKUP(AB1688,#REF!,2,FALSE)</f>
        <v>#REF!</v>
      </c>
      <c r="AE1688" t="e">
        <f>RIGHT(#REF!,(FIND("Complex",#REF!,1)-5))</f>
        <v>#REF!</v>
      </c>
    </row>
    <row r="1689" spans="1:31" x14ac:dyDescent="0.25">
      <c r="A1689">
        <v>2000</v>
      </c>
      <c r="B1689" t="s">
        <v>277</v>
      </c>
      <c r="C1689">
        <v>108</v>
      </c>
      <c r="D1689">
        <v>606</v>
      </c>
      <c r="E1689">
        <v>2000</v>
      </c>
      <c r="F1689">
        <v>12171601</v>
      </c>
      <c r="G1689">
        <v>12259800</v>
      </c>
      <c r="H1689">
        <f t="shared" si="52"/>
        <v>276.00002267573694</v>
      </c>
      <c r="I1689">
        <f t="shared" si="53"/>
        <v>278</v>
      </c>
      <c r="J1689" t="s">
        <v>22</v>
      </c>
      <c r="K1689">
        <v>4</v>
      </c>
      <c r="L1689" t="e">
        <f t="array" ref="L1689">VLOOKUP(J1689:$J$3871&amp;K1689:$K$3871,CHOOSE({1,2},#REF!&amp;#REF!,#REF!),2,0)</f>
        <v>#N/A</v>
      </c>
      <c r="M1689">
        <v>0</v>
      </c>
      <c r="N1689">
        <v>1</v>
      </c>
      <c r="O1689" t="s">
        <v>23</v>
      </c>
      <c r="P1689">
        <v>0</v>
      </c>
      <c r="Q1689">
        <v>1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1</v>
      </c>
      <c r="Y1689">
        <v>1</v>
      </c>
      <c r="Z1689">
        <v>0</v>
      </c>
      <c r="AA1689" t="s">
        <v>4120</v>
      </c>
      <c r="AB1689" t="s">
        <v>6681</v>
      </c>
      <c r="AC1689" t="s">
        <v>4120</v>
      </c>
      <c r="AD1689" t="e">
        <f>VLOOKUP(AB1689,#REF!,2,FALSE)</f>
        <v>#REF!</v>
      </c>
      <c r="AE1689" t="e">
        <f>RIGHT(#REF!,(FIND("Complex",#REF!,1)-6))</f>
        <v>#REF!</v>
      </c>
    </row>
    <row r="1690" spans="1:31" x14ac:dyDescent="0.25">
      <c r="A1690">
        <v>2042</v>
      </c>
      <c r="B1690" t="s">
        <v>277</v>
      </c>
      <c r="C1690">
        <v>108</v>
      </c>
      <c r="D1690">
        <v>618</v>
      </c>
      <c r="E1690">
        <v>2042</v>
      </c>
      <c r="F1690">
        <v>11730601</v>
      </c>
      <c r="G1690">
        <v>11818800</v>
      </c>
      <c r="H1690">
        <f t="shared" si="52"/>
        <v>266.00002267573694</v>
      </c>
      <c r="I1690">
        <f t="shared" si="53"/>
        <v>268</v>
      </c>
      <c r="J1690" t="s">
        <v>22</v>
      </c>
      <c r="K1690">
        <v>4</v>
      </c>
      <c r="L1690" t="e">
        <f t="array" ref="L1690">VLOOKUP(J1690:$J$3871&amp;K1690:$K$3871,CHOOSE({1,2},#REF!&amp;#REF!,#REF!),2,0)</f>
        <v>#N/A</v>
      </c>
      <c r="M1690">
        <v>0</v>
      </c>
      <c r="N1690">
        <v>1</v>
      </c>
      <c r="O1690" t="s">
        <v>23</v>
      </c>
      <c r="P1690">
        <v>0</v>
      </c>
      <c r="Q1690">
        <v>1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1</v>
      </c>
      <c r="Y1690">
        <v>1</v>
      </c>
      <c r="Z1690">
        <v>0</v>
      </c>
      <c r="AA1690" t="s">
        <v>4133</v>
      </c>
      <c r="AB1690" t="s">
        <v>2159</v>
      </c>
      <c r="AC1690" t="s">
        <v>4133</v>
      </c>
      <c r="AD1690" t="e">
        <f>VLOOKUP(AB1690,#REF!,2,FALSE)</f>
        <v>#REF!</v>
      </c>
      <c r="AE1690" t="e">
        <f>RIGHT(#REF!,(FIND("Complex",#REF!,1)-6))</f>
        <v>#REF!</v>
      </c>
    </row>
    <row r="1691" spans="1:31" x14ac:dyDescent="0.25">
      <c r="A1691">
        <v>1131</v>
      </c>
      <c r="B1691" t="s">
        <v>277</v>
      </c>
      <c r="C1691">
        <v>108</v>
      </c>
      <c r="D1691">
        <v>339</v>
      </c>
      <c r="E1691">
        <v>1131</v>
      </c>
      <c r="F1691">
        <v>11642401</v>
      </c>
      <c r="G1691">
        <v>11730600</v>
      </c>
      <c r="H1691">
        <f t="shared" si="52"/>
        <v>264.00002267573694</v>
      </c>
      <c r="I1691">
        <f t="shared" si="53"/>
        <v>266</v>
      </c>
      <c r="J1691" t="s">
        <v>22</v>
      </c>
      <c r="K1691">
        <v>4</v>
      </c>
      <c r="L1691" t="e">
        <f t="array" ref="L1691">VLOOKUP(J1691:$J$3871&amp;K1691:$K$3871,CHOOSE({1,2},#REF!&amp;#REF!,#REF!),2,0)</f>
        <v>#N/A</v>
      </c>
      <c r="M1691">
        <v>0</v>
      </c>
      <c r="N1691">
        <v>1</v>
      </c>
      <c r="O1691" t="s">
        <v>23</v>
      </c>
      <c r="P1691">
        <v>0</v>
      </c>
      <c r="Q1691">
        <v>1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1</v>
      </c>
      <c r="Z1691">
        <v>0</v>
      </c>
      <c r="AA1691" t="s">
        <v>4135</v>
      </c>
      <c r="AB1691" t="s">
        <v>6692</v>
      </c>
      <c r="AC1691" t="s">
        <v>4135</v>
      </c>
      <c r="AD1691" t="e">
        <f>VLOOKUP(AB1691,#REF!,2,FALSE)</f>
        <v>#REF!</v>
      </c>
      <c r="AE1691" t="e">
        <f>RIGHT(#REF!,(FIND("Complex",#REF!,1)-6))</f>
        <v>#REF!</v>
      </c>
    </row>
    <row r="1692" spans="1:31" x14ac:dyDescent="0.25">
      <c r="A1692">
        <v>2538</v>
      </c>
      <c r="B1692" t="s">
        <v>277</v>
      </c>
      <c r="C1692">
        <v>108</v>
      </c>
      <c r="D1692">
        <v>825</v>
      </c>
      <c r="E1692">
        <v>2538</v>
      </c>
      <c r="F1692">
        <v>10936801</v>
      </c>
      <c r="G1692">
        <v>11025000</v>
      </c>
      <c r="H1692">
        <f t="shared" si="52"/>
        <v>248.00002267573697</v>
      </c>
      <c r="I1692">
        <f t="shared" si="53"/>
        <v>250</v>
      </c>
      <c r="J1692" t="s">
        <v>22</v>
      </c>
      <c r="K1692">
        <v>4</v>
      </c>
      <c r="L1692" t="e">
        <f t="array" ref="L1692">VLOOKUP(J1692:$J$3871&amp;K1692:$K$3871,CHOOSE({1,2},#REF!&amp;#REF!,#REF!),2,0)</f>
        <v>#N/A</v>
      </c>
      <c r="M1692">
        <v>0</v>
      </c>
      <c r="N1692">
        <v>1</v>
      </c>
      <c r="O1692" t="s">
        <v>23</v>
      </c>
      <c r="P1692">
        <v>0</v>
      </c>
      <c r="Q1692">
        <v>1</v>
      </c>
      <c r="R1692">
        <v>0</v>
      </c>
      <c r="S1692">
        <v>1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1</v>
      </c>
      <c r="Z1692">
        <v>0</v>
      </c>
      <c r="AA1692" t="s">
        <v>4168</v>
      </c>
      <c r="AB1692" t="s">
        <v>2160</v>
      </c>
      <c r="AC1692" t="s">
        <v>4168</v>
      </c>
      <c r="AD1692" t="e">
        <f>VLOOKUP(AB1692,#REF!,2,FALSE)</f>
        <v>#REF!</v>
      </c>
      <c r="AE1692" t="e">
        <f>RIGHT(#REF!,(FIND("Complex",#REF!,1)-6))</f>
        <v>#REF!</v>
      </c>
    </row>
    <row r="1693" spans="1:31" x14ac:dyDescent="0.25">
      <c r="A1693">
        <v>2594</v>
      </c>
      <c r="B1693" t="s">
        <v>277</v>
      </c>
      <c r="C1693">
        <v>108</v>
      </c>
      <c r="D1693">
        <v>848</v>
      </c>
      <c r="E1693">
        <v>2594</v>
      </c>
      <c r="F1693">
        <v>10760401</v>
      </c>
      <c r="G1693">
        <v>10848600</v>
      </c>
      <c r="H1693">
        <f t="shared" si="52"/>
        <v>244.00002267573697</v>
      </c>
      <c r="I1693">
        <f t="shared" si="53"/>
        <v>246</v>
      </c>
      <c r="J1693" t="s">
        <v>22</v>
      </c>
      <c r="K1693">
        <v>4</v>
      </c>
      <c r="L1693" t="e">
        <f t="array" ref="L1693">VLOOKUP(J1693:$J$3871&amp;K1693:$K$3871,CHOOSE({1,2},#REF!&amp;#REF!,#REF!),2,0)</f>
        <v>#N/A</v>
      </c>
      <c r="M1693">
        <v>0</v>
      </c>
      <c r="N1693">
        <v>1</v>
      </c>
      <c r="O1693" t="s">
        <v>23</v>
      </c>
      <c r="P1693">
        <v>0</v>
      </c>
      <c r="Q1693">
        <v>1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1</v>
      </c>
      <c r="Z1693">
        <v>0</v>
      </c>
      <c r="AA1693" t="s">
        <v>4171</v>
      </c>
      <c r="AB1693" t="s">
        <v>6718</v>
      </c>
      <c r="AC1693" t="s">
        <v>4171</v>
      </c>
      <c r="AD1693" t="e">
        <f>VLOOKUP(AB1693,#REF!,2,FALSE)</f>
        <v>#REF!</v>
      </c>
      <c r="AE1693" t="e">
        <f>RIGHT(#REF!,(FIND("Complex",#REF!,1)-6))</f>
        <v>#REF!</v>
      </c>
    </row>
    <row r="1694" spans="1:31" x14ac:dyDescent="0.25">
      <c r="A1694">
        <v>1166</v>
      </c>
      <c r="B1694" t="s">
        <v>277</v>
      </c>
      <c r="C1694">
        <v>108</v>
      </c>
      <c r="D1694">
        <v>350</v>
      </c>
      <c r="E1694">
        <v>1166</v>
      </c>
      <c r="F1694">
        <v>10584001</v>
      </c>
      <c r="G1694">
        <v>10672200</v>
      </c>
      <c r="H1694">
        <f t="shared" si="52"/>
        <v>240.00002267573697</v>
      </c>
      <c r="I1694">
        <f t="shared" si="53"/>
        <v>242</v>
      </c>
      <c r="J1694" t="s">
        <v>22</v>
      </c>
      <c r="K1694">
        <v>4</v>
      </c>
      <c r="L1694" t="e">
        <f t="array" ref="L1694">VLOOKUP(J1694:$J$3871&amp;K1694:$K$3871,CHOOSE({1,2},#REF!&amp;#REF!,#REF!),2,0)</f>
        <v>#N/A</v>
      </c>
      <c r="M1694">
        <v>0</v>
      </c>
      <c r="N1694">
        <v>1</v>
      </c>
      <c r="O1694" t="s">
        <v>23</v>
      </c>
      <c r="P1694">
        <v>0</v>
      </c>
      <c r="Q1694">
        <v>1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1</v>
      </c>
      <c r="Z1694">
        <v>0</v>
      </c>
      <c r="AA1694" t="s">
        <v>4176</v>
      </c>
      <c r="AB1694" t="s">
        <v>6723</v>
      </c>
      <c r="AC1694" t="s">
        <v>4176</v>
      </c>
      <c r="AD1694" t="e">
        <f>VLOOKUP(AB1694,#REF!,2,FALSE)</f>
        <v>#REF!</v>
      </c>
      <c r="AE1694" t="e">
        <f>RIGHT(#REF!,(FIND("Complex",#REF!,1)-6))</f>
        <v>#REF!</v>
      </c>
    </row>
    <row r="1695" spans="1:31" x14ac:dyDescent="0.25">
      <c r="A1695">
        <v>1755</v>
      </c>
      <c r="B1695" t="s">
        <v>277</v>
      </c>
      <c r="C1695">
        <v>108</v>
      </c>
      <c r="D1695">
        <v>527</v>
      </c>
      <c r="E1695">
        <v>1755</v>
      </c>
      <c r="F1695">
        <v>10407601</v>
      </c>
      <c r="G1695">
        <v>10495800</v>
      </c>
      <c r="H1695">
        <f t="shared" si="52"/>
        <v>236.00002267573697</v>
      </c>
      <c r="I1695">
        <f t="shared" si="53"/>
        <v>238</v>
      </c>
      <c r="J1695" t="s">
        <v>22</v>
      </c>
      <c r="K1695">
        <v>4</v>
      </c>
      <c r="L1695" t="e">
        <f t="array" ref="L1695">VLOOKUP(J1695:$J$3871&amp;K1695:$K$3871,CHOOSE({1,2},#REF!&amp;#REF!,#REF!),2,0)</f>
        <v>#N/A</v>
      </c>
      <c r="M1695">
        <v>0</v>
      </c>
      <c r="N1695">
        <v>1</v>
      </c>
      <c r="O1695" t="s">
        <v>23</v>
      </c>
      <c r="P1695">
        <v>0</v>
      </c>
      <c r="Q1695">
        <v>1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1</v>
      </c>
      <c r="Z1695">
        <v>0</v>
      </c>
      <c r="AA1695" t="s">
        <v>4210</v>
      </c>
      <c r="AB1695" t="s">
        <v>6748</v>
      </c>
      <c r="AC1695" t="s">
        <v>4210</v>
      </c>
      <c r="AD1695" t="e">
        <f>VLOOKUP(AB1695,#REF!,2,FALSE)</f>
        <v>#REF!</v>
      </c>
      <c r="AE1695" t="e">
        <f>RIGHT(#REF!,(FIND("Complex",#REF!,1)-6))</f>
        <v>#REF!</v>
      </c>
    </row>
    <row r="1696" spans="1:31" x14ac:dyDescent="0.25">
      <c r="A1696">
        <v>281</v>
      </c>
      <c r="B1696" t="s">
        <v>277</v>
      </c>
      <c r="C1696">
        <v>108</v>
      </c>
      <c r="D1696">
        <v>86</v>
      </c>
      <c r="E1696">
        <v>281</v>
      </c>
      <c r="F1696">
        <v>9878401</v>
      </c>
      <c r="G1696">
        <v>9966600</v>
      </c>
      <c r="H1696">
        <f t="shared" si="52"/>
        <v>224.00002267573697</v>
      </c>
      <c r="I1696">
        <f t="shared" si="53"/>
        <v>226</v>
      </c>
      <c r="J1696" t="s">
        <v>22</v>
      </c>
      <c r="K1696">
        <v>4</v>
      </c>
      <c r="L1696" t="e">
        <f t="array" ref="L1696">VLOOKUP(J1696:$J$3871&amp;K1696:$K$3871,CHOOSE({1,2},#REF!&amp;#REF!,#REF!),2,0)</f>
        <v>#N/A</v>
      </c>
      <c r="M1696">
        <v>0</v>
      </c>
      <c r="N1696">
        <v>1</v>
      </c>
      <c r="O1696" t="s">
        <v>23</v>
      </c>
      <c r="P1696">
        <v>0</v>
      </c>
      <c r="Q1696">
        <v>1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1</v>
      </c>
      <c r="Z1696">
        <v>0</v>
      </c>
      <c r="AA1696" t="s">
        <v>4228</v>
      </c>
      <c r="AB1696" t="s">
        <v>2161</v>
      </c>
      <c r="AC1696" t="s">
        <v>4228</v>
      </c>
      <c r="AD1696" t="e">
        <f>VLOOKUP(AB1696,#REF!,2,FALSE)</f>
        <v>#REF!</v>
      </c>
      <c r="AE1696" t="e">
        <f>RIGHT(#REF!,(FIND("Complex",#REF!,1)-5))</f>
        <v>#REF!</v>
      </c>
    </row>
    <row r="1697" spans="1:31" x14ac:dyDescent="0.25">
      <c r="A1697">
        <v>1387</v>
      </c>
      <c r="B1697" t="s">
        <v>277</v>
      </c>
      <c r="C1697">
        <v>108</v>
      </c>
      <c r="D1697">
        <v>423</v>
      </c>
      <c r="E1697">
        <v>1387</v>
      </c>
      <c r="F1697">
        <v>8731801</v>
      </c>
      <c r="G1697">
        <v>8820000</v>
      </c>
      <c r="H1697">
        <f t="shared" si="52"/>
        <v>198.00002267573697</v>
      </c>
      <c r="I1697">
        <f t="shared" si="53"/>
        <v>200</v>
      </c>
      <c r="J1697" t="s">
        <v>22</v>
      </c>
      <c r="K1697">
        <v>4</v>
      </c>
      <c r="L1697" t="e">
        <f t="array" ref="L1697">VLOOKUP(J1697:$J$3871&amp;K1697:$K$3871,CHOOSE({1,2},#REF!&amp;#REF!,#REF!),2,0)</f>
        <v>#N/A</v>
      </c>
      <c r="M1697">
        <v>0</v>
      </c>
      <c r="N1697">
        <v>1</v>
      </c>
      <c r="O1697" t="s">
        <v>23</v>
      </c>
      <c r="P1697">
        <v>0</v>
      </c>
      <c r="Q1697">
        <v>1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1</v>
      </c>
      <c r="Z1697">
        <v>0</v>
      </c>
      <c r="AA1697" t="s">
        <v>4342</v>
      </c>
      <c r="AB1697" t="s">
        <v>6820</v>
      </c>
      <c r="AC1697" t="s">
        <v>4342</v>
      </c>
      <c r="AD1697" t="e">
        <f>VLOOKUP(AB1697,#REF!,2,FALSE)</f>
        <v>#REF!</v>
      </c>
      <c r="AE1697" t="e">
        <f>RIGHT(#REF!,(FIND("Complex",#REF!,1)-6))</f>
        <v>#REF!</v>
      </c>
    </row>
    <row r="1698" spans="1:31" x14ac:dyDescent="0.25">
      <c r="A1698">
        <v>2112</v>
      </c>
      <c r="B1698" t="s">
        <v>277</v>
      </c>
      <c r="C1698">
        <v>108</v>
      </c>
      <c r="D1698">
        <v>645</v>
      </c>
      <c r="E1698">
        <v>2112</v>
      </c>
      <c r="F1698">
        <v>8202601</v>
      </c>
      <c r="G1698">
        <v>8290800</v>
      </c>
      <c r="H1698">
        <f t="shared" si="52"/>
        <v>186.00002267573697</v>
      </c>
      <c r="I1698">
        <f t="shared" si="53"/>
        <v>188</v>
      </c>
      <c r="J1698" t="s">
        <v>22</v>
      </c>
      <c r="K1698">
        <v>4</v>
      </c>
      <c r="L1698" t="e">
        <f t="array" ref="L1698">VLOOKUP(J1698:$J$3871&amp;K1698:$K$3871,CHOOSE({1,2},#REF!&amp;#REF!,#REF!),2,0)</f>
        <v>#N/A</v>
      </c>
      <c r="M1698">
        <v>0</v>
      </c>
      <c r="N1698">
        <v>1</v>
      </c>
      <c r="O1698" t="s">
        <v>23</v>
      </c>
      <c r="P1698">
        <v>0</v>
      </c>
      <c r="Q1698">
        <v>1</v>
      </c>
      <c r="R1698">
        <v>0</v>
      </c>
      <c r="S1698">
        <v>1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1</v>
      </c>
      <c r="Z1698">
        <v>0</v>
      </c>
      <c r="AA1698" t="s">
        <v>4385</v>
      </c>
      <c r="AB1698" t="s">
        <v>6850</v>
      </c>
      <c r="AC1698" t="s">
        <v>4385</v>
      </c>
      <c r="AD1698" t="e">
        <f>VLOOKUP(AB1698,#REF!,2,FALSE)</f>
        <v>#REF!</v>
      </c>
      <c r="AE1698" t="e">
        <f>RIGHT(#REF!,(FIND("Complex",#REF!,1)-6))</f>
        <v>#REF!</v>
      </c>
    </row>
    <row r="1699" spans="1:31" x14ac:dyDescent="0.25">
      <c r="A1699">
        <v>2306</v>
      </c>
      <c r="B1699" t="s">
        <v>277</v>
      </c>
      <c r="C1699">
        <v>108</v>
      </c>
      <c r="D1699">
        <v>722</v>
      </c>
      <c r="E1699">
        <v>2306</v>
      </c>
      <c r="F1699">
        <v>7938001</v>
      </c>
      <c r="G1699">
        <v>8026200</v>
      </c>
      <c r="H1699">
        <f t="shared" si="52"/>
        <v>180.00002267573697</v>
      </c>
      <c r="I1699">
        <f t="shared" si="53"/>
        <v>182</v>
      </c>
      <c r="J1699" t="s">
        <v>22</v>
      </c>
      <c r="K1699">
        <v>4</v>
      </c>
      <c r="L1699" t="e">
        <f t="array" ref="L1699">VLOOKUP(J1699:$J$3871&amp;K1699:$K$3871,CHOOSE({1,2},#REF!&amp;#REF!,#REF!),2,0)</f>
        <v>#N/A</v>
      </c>
      <c r="M1699">
        <v>0</v>
      </c>
      <c r="N1699">
        <v>1</v>
      </c>
      <c r="O1699" t="s">
        <v>23</v>
      </c>
      <c r="P1699">
        <v>0</v>
      </c>
      <c r="Q1699">
        <v>1</v>
      </c>
      <c r="R1699">
        <v>0</v>
      </c>
      <c r="S1699">
        <v>1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1</v>
      </c>
      <c r="Z1699">
        <v>0</v>
      </c>
      <c r="AA1699" t="s">
        <v>4403</v>
      </c>
      <c r="AB1699" t="s">
        <v>6863</v>
      </c>
      <c r="AC1699" t="s">
        <v>4403</v>
      </c>
      <c r="AD1699" t="e">
        <f>VLOOKUP(AB1699,#REF!,2,FALSE)</f>
        <v>#REF!</v>
      </c>
      <c r="AE1699" t="e">
        <f>RIGHT(#REF!,(FIND("Complex",#REF!,1)-6))</f>
        <v>#REF!</v>
      </c>
    </row>
    <row r="1700" spans="1:31" x14ac:dyDescent="0.25">
      <c r="A1700">
        <v>125</v>
      </c>
      <c r="B1700" t="s">
        <v>277</v>
      </c>
      <c r="C1700">
        <v>108</v>
      </c>
      <c r="D1700">
        <v>38</v>
      </c>
      <c r="E1700">
        <v>125</v>
      </c>
      <c r="F1700">
        <v>7761601</v>
      </c>
      <c r="G1700">
        <v>7849800</v>
      </c>
      <c r="H1700">
        <f t="shared" si="52"/>
        <v>176.00002267573697</v>
      </c>
      <c r="I1700">
        <f t="shared" si="53"/>
        <v>178</v>
      </c>
      <c r="J1700" t="s">
        <v>22</v>
      </c>
      <c r="K1700">
        <v>4</v>
      </c>
      <c r="L1700" t="e">
        <f t="array" ref="L1700">VLOOKUP(J1700:$J$3871&amp;K1700:$K$3871,CHOOSE({1,2},#REF!&amp;#REF!,#REF!),2,0)</f>
        <v>#N/A</v>
      </c>
      <c r="M1700">
        <v>0</v>
      </c>
      <c r="N1700">
        <v>1</v>
      </c>
      <c r="O1700" t="s">
        <v>23</v>
      </c>
      <c r="P1700">
        <v>0</v>
      </c>
      <c r="Q1700">
        <v>1</v>
      </c>
      <c r="R1700">
        <v>0</v>
      </c>
      <c r="S1700">
        <v>1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1</v>
      </c>
      <c r="Z1700">
        <v>0</v>
      </c>
      <c r="AA1700" t="s">
        <v>4428</v>
      </c>
      <c r="AB1700" t="s">
        <v>6876</v>
      </c>
      <c r="AC1700" t="s">
        <v>4428</v>
      </c>
      <c r="AD1700" t="e">
        <f>VLOOKUP(AB1700,#REF!,2,FALSE)</f>
        <v>#REF!</v>
      </c>
      <c r="AE1700" t="e">
        <f>RIGHT(#REF!,(FIND("Complex",#REF!,1)-5))</f>
        <v>#REF!</v>
      </c>
    </row>
    <row r="1701" spans="1:31" x14ac:dyDescent="0.25">
      <c r="A1701">
        <v>1879</v>
      </c>
      <c r="B1701" t="s">
        <v>277</v>
      </c>
      <c r="C1701">
        <v>108</v>
      </c>
      <c r="D1701">
        <v>569</v>
      </c>
      <c r="E1701">
        <v>1879</v>
      </c>
      <c r="F1701">
        <v>7673401</v>
      </c>
      <c r="G1701">
        <v>7761600</v>
      </c>
      <c r="H1701">
        <f t="shared" si="52"/>
        <v>174.00002267573697</v>
      </c>
      <c r="I1701">
        <f t="shared" si="53"/>
        <v>176</v>
      </c>
      <c r="J1701" t="s">
        <v>22</v>
      </c>
      <c r="K1701">
        <v>4</v>
      </c>
      <c r="L1701" t="e">
        <f t="array" ref="L1701">VLOOKUP(J1701:$J$3871&amp;K1701:$K$3871,CHOOSE({1,2},#REF!&amp;#REF!,#REF!),2,0)</f>
        <v>#N/A</v>
      </c>
      <c r="M1701">
        <v>0</v>
      </c>
      <c r="N1701">
        <v>1</v>
      </c>
      <c r="O1701" t="s">
        <v>23</v>
      </c>
      <c r="P1701">
        <v>0</v>
      </c>
      <c r="Q1701">
        <v>1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1</v>
      </c>
      <c r="Z1701">
        <v>0</v>
      </c>
      <c r="AA1701" t="s">
        <v>4430</v>
      </c>
      <c r="AB1701" t="s">
        <v>2162</v>
      </c>
      <c r="AC1701" t="s">
        <v>4430</v>
      </c>
      <c r="AD1701" t="e">
        <f>VLOOKUP(AB1701,#REF!,2,FALSE)</f>
        <v>#REF!</v>
      </c>
      <c r="AE1701" t="e">
        <f>RIGHT(#REF!,(FIND("Complex",#REF!,1)-6))</f>
        <v>#REF!</v>
      </c>
    </row>
    <row r="1702" spans="1:31" x14ac:dyDescent="0.25">
      <c r="A1702">
        <v>2429</v>
      </c>
      <c r="B1702" t="s">
        <v>277</v>
      </c>
      <c r="C1702">
        <v>108</v>
      </c>
      <c r="D1702">
        <v>782</v>
      </c>
      <c r="E1702">
        <v>2429</v>
      </c>
      <c r="F1702">
        <v>7408801</v>
      </c>
      <c r="G1702">
        <v>7497000</v>
      </c>
      <c r="H1702">
        <f t="shared" si="52"/>
        <v>168.00002267573697</v>
      </c>
      <c r="I1702">
        <f t="shared" si="53"/>
        <v>170</v>
      </c>
      <c r="J1702" t="s">
        <v>22</v>
      </c>
      <c r="K1702">
        <v>4</v>
      </c>
      <c r="L1702" t="e">
        <f t="array" ref="L1702">VLOOKUP(J1702:$J$3871&amp;K1702:$K$3871,CHOOSE({1,2},#REF!&amp;#REF!,#REF!),2,0)</f>
        <v>#N/A</v>
      </c>
      <c r="M1702">
        <v>0</v>
      </c>
      <c r="N1702">
        <v>1</v>
      </c>
      <c r="O1702" t="s">
        <v>23</v>
      </c>
      <c r="P1702">
        <v>0</v>
      </c>
      <c r="Q1702">
        <v>1</v>
      </c>
      <c r="R1702">
        <v>0</v>
      </c>
      <c r="S1702">
        <v>1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1</v>
      </c>
      <c r="Z1702">
        <v>0</v>
      </c>
      <c r="AA1702" t="s">
        <v>4449</v>
      </c>
      <c r="AB1702" t="s">
        <v>2163</v>
      </c>
      <c r="AC1702" t="s">
        <v>4449</v>
      </c>
      <c r="AD1702" t="e">
        <f>VLOOKUP(AB1702,#REF!,2,FALSE)</f>
        <v>#REF!</v>
      </c>
      <c r="AE1702" t="e">
        <f>RIGHT(#REF!,(FIND("Complex",#REF!,1)-6))</f>
        <v>#REF!</v>
      </c>
    </row>
    <row r="1703" spans="1:31" x14ac:dyDescent="0.25">
      <c r="A1703">
        <v>656</v>
      </c>
      <c r="B1703" t="s">
        <v>277</v>
      </c>
      <c r="C1703">
        <v>108</v>
      </c>
      <c r="D1703">
        <v>205</v>
      </c>
      <c r="E1703">
        <v>656</v>
      </c>
      <c r="F1703">
        <v>6967801</v>
      </c>
      <c r="G1703">
        <v>7056000</v>
      </c>
      <c r="H1703">
        <f t="shared" si="52"/>
        <v>158.00002267573697</v>
      </c>
      <c r="I1703">
        <f t="shared" si="53"/>
        <v>160</v>
      </c>
      <c r="J1703" t="s">
        <v>22</v>
      </c>
      <c r="K1703">
        <v>4</v>
      </c>
      <c r="L1703" t="e">
        <f t="array" ref="L1703">VLOOKUP(J1703:$J$3871&amp;K1703:$K$3871,CHOOSE({1,2},#REF!&amp;#REF!,#REF!),2,0)</f>
        <v>#N/A</v>
      </c>
      <c r="M1703">
        <v>0</v>
      </c>
      <c r="N1703">
        <v>1</v>
      </c>
      <c r="O1703" t="s">
        <v>23</v>
      </c>
      <c r="P1703">
        <v>0</v>
      </c>
      <c r="Q1703">
        <v>1</v>
      </c>
      <c r="R1703">
        <v>0</v>
      </c>
      <c r="S1703">
        <v>1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1</v>
      </c>
      <c r="Z1703">
        <v>0</v>
      </c>
      <c r="AA1703" t="s">
        <v>4515</v>
      </c>
      <c r="AB1703" t="s">
        <v>278</v>
      </c>
      <c r="AC1703" t="s">
        <v>4515</v>
      </c>
      <c r="AD1703" t="e">
        <f>VLOOKUP(AB1703,#REF!,2,FALSE)</f>
        <v>#REF!</v>
      </c>
      <c r="AE1703" t="e">
        <f>RIGHT(#REF!,(FIND("Complex",#REF!,1)-5))</f>
        <v>#REF!</v>
      </c>
    </row>
    <row r="1704" spans="1:31" x14ac:dyDescent="0.25">
      <c r="A1704">
        <v>827</v>
      </c>
      <c r="B1704" t="s">
        <v>277</v>
      </c>
      <c r="C1704">
        <v>108</v>
      </c>
      <c r="D1704">
        <v>252</v>
      </c>
      <c r="E1704">
        <v>827</v>
      </c>
      <c r="F1704">
        <v>6703201</v>
      </c>
      <c r="G1704">
        <v>6791400</v>
      </c>
      <c r="H1704">
        <f t="shared" si="52"/>
        <v>152.00002267573697</v>
      </c>
      <c r="I1704">
        <f t="shared" si="53"/>
        <v>154</v>
      </c>
      <c r="J1704" t="s">
        <v>22</v>
      </c>
      <c r="K1704">
        <v>4</v>
      </c>
      <c r="L1704" t="e">
        <f t="array" ref="L1704">VLOOKUP(J1704:$J$3871&amp;K1704:$K$3871,CHOOSE({1,2},#REF!&amp;#REF!,#REF!),2,0)</f>
        <v>#N/A</v>
      </c>
      <c r="M1704">
        <v>0</v>
      </c>
      <c r="N1704">
        <v>1</v>
      </c>
      <c r="O1704" t="s">
        <v>23</v>
      </c>
      <c r="P1704">
        <v>0</v>
      </c>
      <c r="Q1704">
        <v>1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1</v>
      </c>
      <c r="Y1704">
        <v>1</v>
      </c>
      <c r="Z1704">
        <v>0</v>
      </c>
      <c r="AA1704" t="s">
        <v>4544</v>
      </c>
      <c r="AB1704" t="s">
        <v>6956</v>
      </c>
      <c r="AC1704" t="s">
        <v>4544</v>
      </c>
      <c r="AD1704" t="e">
        <f>VLOOKUP(AB1704,#REF!,2,FALSE)</f>
        <v>#REF!</v>
      </c>
      <c r="AE1704" t="e">
        <f>RIGHT(#REF!,(FIND("Complex",#REF!,1)-5))</f>
        <v>#REF!</v>
      </c>
    </row>
    <row r="1705" spans="1:31" x14ac:dyDescent="0.25">
      <c r="A1705">
        <v>1274</v>
      </c>
      <c r="B1705" t="s">
        <v>277</v>
      </c>
      <c r="C1705">
        <v>108</v>
      </c>
      <c r="D1705">
        <v>387</v>
      </c>
      <c r="E1705">
        <v>1274</v>
      </c>
      <c r="F1705">
        <v>6526801</v>
      </c>
      <c r="G1705">
        <v>6615000</v>
      </c>
      <c r="H1705">
        <f t="shared" si="52"/>
        <v>148.00002267573697</v>
      </c>
      <c r="I1705">
        <f t="shared" si="53"/>
        <v>150</v>
      </c>
      <c r="J1705" t="s">
        <v>22</v>
      </c>
      <c r="K1705">
        <v>4</v>
      </c>
      <c r="L1705" t="e">
        <f t="array" ref="L1705">VLOOKUP(J1705:$J$3871&amp;K1705:$K$3871,CHOOSE({1,2},#REF!&amp;#REF!,#REF!),2,0)</f>
        <v>#N/A</v>
      </c>
      <c r="M1705">
        <v>0</v>
      </c>
      <c r="N1705">
        <v>1</v>
      </c>
      <c r="O1705" t="s">
        <v>23</v>
      </c>
      <c r="P1705">
        <v>0</v>
      </c>
      <c r="Q1705">
        <v>1</v>
      </c>
      <c r="R1705">
        <v>0</v>
      </c>
      <c r="S1705">
        <v>1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1</v>
      </c>
      <c r="Z1705">
        <v>0</v>
      </c>
      <c r="AA1705" t="s">
        <v>4563</v>
      </c>
      <c r="AB1705" t="s">
        <v>6968</v>
      </c>
      <c r="AC1705" t="s">
        <v>4563</v>
      </c>
      <c r="AD1705" t="e">
        <f>VLOOKUP(AB1705,#REF!,2,FALSE)</f>
        <v>#REF!</v>
      </c>
      <c r="AE1705" t="e">
        <f>RIGHT(#REF!,(FIND("Complex",#REF!,1)-6))</f>
        <v>#REF!</v>
      </c>
    </row>
    <row r="1706" spans="1:31" x14ac:dyDescent="0.25">
      <c r="A1706">
        <v>608</v>
      </c>
      <c r="B1706" t="s">
        <v>277</v>
      </c>
      <c r="C1706">
        <v>108</v>
      </c>
      <c r="D1706">
        <v>194</v>
      </c>
      <c r="E1706">
        <v>608</v>
      </c>
      <c r="F1706">
        <v>6262201</v>
      </c>
      <c r="G1706">
        <v>6350400</v>
      </c>
      <c r="H1706">
        <f t="shared" si="52"/>
        <v>142.00002267573697</v>
      </c>
      <c r="I1706">
        <f t="shared" si="53"/>
        <v>144</v>
      </c>
      <c r="J1706" t="s">
        <v>22</v>
      </c>
      <c r="K1706">
        <v>4</v>
      </c>
      <c r="L1706" t="e">
        <f t="array" ref="L1706">VLOOKUP(J1706:$J$3871&amp;K1706:$K$3871,CHOOSE({1,2},#REF!&amp;#REF!,#REF!),2,0)</f>
        <v>#N/A</v>
      </c>
      <c r="M1706">
        <v>0</v>
      </c>
      <c r="N1706">
        <v>1</v>
      </c>
      <c r="O1706" t="s">
        <v>23</v>
      </c>
      <c r="P1706">
        <v>0</v>
      </c>
      <c r="Q1706">
        <v>1</v>
      </c>
      <c r="R1706">
        <v>0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1</v>
      </c>
      <c r="Z1706">
        <v>0</v>
      </c>
      <c r="AA1706" t="s">
        <v>4594</v>
      </c>
      <c r="AB1706" t="s">
        <v>2164</v>
      </c>
      <c r="AC1706" t="s">
        <v>4594</v>
      </c>
      <c r="AD1706" t="e">
        <f>VLOOKUP(AB1706,#REF!,2,FALSE)</f>
        <v>#REF!</v>
      </c>
      <c r="AE1706" t="e">
        <f>RIGHT(#REF!,(FIND("Complex",#REF!,1)-5))</f>
        <v>#REF!</v>
      </c>
    </row>
    <row r="1707" spans="1:31" x14ac:dyDescent="0.25">
      <c r="A1707">
        <v>435</v>
      </c>
      <c r="B1707" t="s">
        <v>277</v>
      </c>
      <c r="C1707">
        <v>108</v>
      </c>
      <c r="D1707">
        <v>137</v>
      </c>
      <c r="E1707">
        <v>435</v>
      </c>
      <c r="F1707">
        <v>6174001</v>
      </c>
      <c r="G1707">
        <v>6262200</v>
      </c>
      <c r="H1707">
        <f t="shared" si="52"/>
        <v>140.00002267573697</v>
      </c>
      <c r="I1707">
        <f t="shared" si="53"/>
        <v>142</v>
      </c>
      <c r="J1707" t="s">
        <v>22</v>
      </c>
      <c r="K1707">
        <v>4</v>
      </c>
      <c r="L1707" t="e">
        <f t="array" ref="L1707">VLOOKUP(J1707:$J$3871&amp;K1707:$K$3871,CHOOSE({1,2},#REF!&amp;#REF!,#REF!),2,0)</f>
        <v>#N/A</v>
      </c>
      <c r="M1707">
        <v>0</v>
      </c>
      <c r="N1707">
        <v>1</v>
      </c>
      <c r="O1707" t="s">
        <v>23</v>
      </c>
      <c r="P1707">
        <v>0</v>
      </c>
      <c r="Q1707">
        <v>1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1</v>
      </c>
      <c r="Y1707">
        <v>1</v>
      </c>
      <c r="Z1707">
        <v>0</v>
      </c>
      <c r="AA1707" t="s">
        <v>4604</v>
      </c>
      <c r="AB1707" t="s">
        <v>6996</v>
      </c>
      <c r="AC1707" t="s">
        <v>4604</v>
      </c>
      <c r="AD1707" t="e">
        <f>VLOOKUP(AB1707,#REF!,2,FALSE)</f>
        <v>#REF!</v>
      </c>
      <c r="AE1707" t="e">
        <f>RIGHT(#REF!,(FIND("Complex",#REF!,1)-5))</f>
        <v>#REF!</v>
      </c>
    </row>
    <row r="1708" spans="1:31" x14ac:dyDescent="0.25">
      <c r="A1708">
        <v>1547</v>
      </c>
      <c r="B1708" t="s">
        <v>277</v>
      </c>
      <c r="C1708">
        <v>108</v>
      </c>
      <c r="D1708">
        <v>472</v>
      </c>
      <c r="E1708">
        <v>1547</v>
      </c>
      <c r="F1708">
        <v>6085801</v>
      </c>
      <c r="G1708">
        <v>6174000</v>
      </c>
      <c r="H1708">
        <f t="shared" si="52"/>
        <v>138.00002267573697</v>
      </c>
      <c r="I1708">
        <f t="shared" si="53"/>
        <v>140</v>
      </c>
      <c r="J1708" t="s">
        <v>22</v>
      </c>
      <c r="K1708">
        <v>4</v>
      </c>
      <c r="L1708" t="e">
        <f t="array" ref="L1708">VLOOKUP(J1708:$J$3871&amp;K1708:$K$3871,CHOOSE({1,2},#REF!&amp;#REF!,#REF!),2,0)</f>
        <v>#N/A</v>
      </c>
      <c r="M1708">
        <v>0</v>
      </c>
      <c r="N1708">
        <v>1</v>
      </c>
      <c r="O1708" t="s">
        <v>23</v>
      </c>
      <c r="P1708">
        <v>0</v>
      </c>
      <c r="Q1708">
        <v>1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1</v>
      </c>
      <c r="Z1708">
        <v>0</v>
      </c>
      <c r="AA1708" t="s">
        <v>4636</v>
      </c>
      <c r="AB1708" t="s">
        <v>7012</v>
      </c>
      <c r="AC1708" t="s">
        <v>4636</v>
      </c>
      <c r="AD1708" t="e">
        <f>VLOOKUP(AB1708,#REF!,2,FALSE)</f>
        <v>#REF!</v>
      </c>
      <c r="AE1708" t="e">
        <f>RIGHT(#REF!,(FIND("Complex",#REF!,1)-6))</f>
        <v>#REF!</v>
      </c>
    </row>
    <row r="1709" spans="1:31" x14ac:dyDescent="0.25">
      <c r="A1709">
        <v>2494</v>
      </c>
      <c r="B1709" t="s">
        <v>277</v>
      </c>
      <c r="C1709">
        <v>108</v>
      </c>
      <c r="D1709">
        <v>808</v>
      </c>
      <c r="E1709">
        <v>2494</v>
      </c>
      <c r="F1709">
        <v>5380201</v>
      </c>
      <c r="G1709">
        <v>5468400</v>
      </c>
      <c r="H1709">
        <f t="shared" si="52"/>
        <v>122.00002267573696</v>
      </c>
      <c r="I1709">
        <f t="shared" si="53"/>
        <v>124</v>
      </c>
      <c r="J1709" t="s">
        <v>22</v>
      </c>
      <c r="K1709">
        <v>4</v>
      </c>
      <c r="L1709" t="e">
        <f t="array" ref="L1709">VLOOKUP(J1709:$J$3871&amp;K1709:$K$3871,CHOOSE({1,2},#REF!&amp;#REF!,#REF!),2,0)</f>
        <v>#N/A</v>
      </c>
      <c r="M1709">
        <v>0</v>
      </c>
      <c r="N1709">
        <v>1</v>
      </c>
      <c r="O1709" t="s">
        <v>23</v>
      </c>
      <c r="P1709">
        <v>0</v>
      </c>
      <c r="Q1709">
        <v>1</v>
      </c>
      <c r="R1709">
        <v>0</v>
      </c>
      <c r="S1709">
        <v>1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1</v>
      </c>
      <c r="Z1709">
        <v>0</v>
      </c>
      <c r="AA1709" t="s">
        <v>4710</v>
      </c>
      <c r="AB1709" t="s">
        <v>7060</v>
      </c>
      <c r="AC1709" t="s">
        <v>4710</v>
      </c>
      <c r="AD1709" t="e">
        <f>VLOOKUP(AB1709,#REF!,2,FALSE)</f>
        <v>#REF!</v>
      </c>
      <c r="AE1709" t="e">
        <f>RIGHT(#REF!,(FIND("Complex",#REF!,1)-6))</f>
        <v>#REF!</v>
      </c>
    </row>
    <row r="1710" spans="1:31" x14ac:dyDescent="0.25">
      <c r="A1710">
        <v>1654</v>
      </c>
      <c r="B1710" t="s">
        <v>277</v>
      </c>
      <c r="C1710">
        <v>108</v>
      </c>
      <c r="D1710">
        <v>497</v>
      </c>
      <c r="E1710">
        <v>1654</v>
      </c>
      <c r="F1710">
        <v>4851001</v>
      </c>
      <c r="G1710">
        <v>4939200</v>
      </c>
      <c r="H1710">
        <f t="shared" si="52"/>
        <v>110.00002267573696</v>
      </c>
      <c r="I1710">
        <f t="shared" si="53"/>
        <v>112</v>
      </c>
      <c r="J1710" t="s">
        <v>22</v>
      </c>
      <c r="K1710">
        <v>4</v>
      </c>
      <c r="L1710" t="e">
        <f t="array" ref="L1710">VLOOKUP(J1710:$J$3871&amp;K1710:$K$3871,CHOOSE({1,2},#REF!&amp;#REF!,#REF!),2,0)</f>
        <v>#N/A</v>
      </c>
      <c r="M1710">
        <v>0</v>
      </c>
      <c r="N1710">
        <v>1</v>
      </c>
      <c r="O1710" t="s">
        <v>23</v>
      </c>
      <c r="P1710">
        <v>0</v>
      </c>
      <c r="Q1710">
        <v>1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1</v>
      </c>
      <c r="Z1710">
        <v>0</v>
      </c>
      <c r="AA1710" t="s">
        <v>4788</v>
      </c>
      <c r="AB1710" t="s">
        <v>2165</v>
      </c>
      <c r="AC1710" t="s">
        <v>4788</v>
      </c>
      <c r="AD1710" t="e">
        <f>VLOOKUP(AB1710,#REF!,2,FALSE)</f>
        <v>#REF!</v>
      </c>
      <c r="AE1710" t="e">
        <f>RIGHT(#REF!,(FIND("Complex",#REF!,1)-6))</f>
        <v>#REF!</v>
      </c>
    </row>
    <row r="1711" spans="1:31" x14ac:dyDescent="0.25">
      <c r="A1711">
        <v>2420</v>
      </c>
      <c r="B1711" t="s">
        <v>279</v>
      </c>
      <c r="C1711">
        <v>109</v>
      </c>
      <c r="D1711">
        <v>778</v>
      </c>
      <c r="E1711">
        <v>2420</v>
      </c>
      <c r="F1711">
        <v>2205001</v>
      </c>
      <c r="G1711">
        <v>2293200</v>
      </c>
      <c r="H1711">
        <f t="shared" si="52"/>
        <v>50.000022675736965</v>
      </c>
      <c r="I1711">
        <f t="shared" si="53"/>
        <v>52</v>
      </c>
      <c r="J1711" t="s">
        <v>22</v>
      </c>
      <c r="K1711">
        <v>4</v>
      </c>
      <c r="L1711" t="e">
        <f t="array" ref="L1711">VLOOKUP(J1711:$J$3871&amp;K1711:$K$3871,CHOOSE({1,2},#REF!&amp;#REF!,#REF!),2,0)</f>
        <v>#N/A</v>
      </c>
      <c r="M1711">
        <v>0</v>
      </c>
      <c r="N1711">
        <v>1</v>
      </c>
      <c r="O1711" t="s">
        <v>23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1</v>
      </c>
      <c r="Y1711">
        <v>1</v>
      </c>
      <c r="Z1711">
        <v>1</v>
      </c>
      <c r="AA1711" t="s">
        <v>3881</v>
      </c>
      <c r="AB1711" t="s">
        <v>280</v>
      </c>
      <c r="AC1711" t="s">
        <v>3881</v>
      </c>
      <c r="AD1711" t="e">
        <f>VLOOKUP(AB1711,#REF!,2,FALSE)</f>
        <v>#REF!</v>
      </c>
      <c r="AE1711" t="e">
        <f>RIGHT(#REF!,(FIND("Complex",#REF!,1)-7))</f>
        <v>#REF!</v>
      </c>
    </row>
    <row r="1712" spans="1:31" x14ac:dyDescent="0.25">
      <c r="A1712">
        <v>168</v>
      </c>
      <c r="B1712" t="s">
        <v>279</v>
      </c>
      <c r="C1712">
        <v>109</v>
      </c>
      <c r="D1712">
        <v>53</v>
      </c>
      <c r="E1712">
        <v>168</v>
      </c>
      <c r="F1712">
        <v>16846201</v>
      </c>
      <c r="G1712">
        <v>16934400</v>
      </c>
      <c r="H1712">
        <f t="shared" si="52"/>
        <v>382.00002267573694</v>
      </c>
      <c r="I1712">
        <f t="shared" si="53"/>
        <v>384</v>
      </c>
      <c r="J1712" t="s">
        <v>22</v>
      </c>
      <c r="K1712">
        <v>4</v>
      </c>
      <c r="L1712" t="e">
        <f t="array" ref="L1712">VLOOKUP(J1712:$J$3871&amp;K1712:$K$3871,CHOOSE({1,2},#REF!&amp;#REF!,#REF!),2,0)</f>
        <v>#N/A</v>
      </c>
      <c r="M1712">
        <v>0</v>
      </c>
      <c r="N1712">
        <v>1</v>
      </c>
      <c r="O1712" t="s">
        <v>23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1</v>
      </c>
      <c r="Z1712">
        <v>1</v>
      </c>
      <c r="AA1712" t="s">
        <v>3972</v>
      </c>
      <c r="AB1712" t="s">
        <v>6576</v>
      </c>
      <c r="AC1712" t="s">
        <v>3972</v>
      </c>
      <c r="AD1712" t="e">
        <f>VLOOKUP(AB1712,#REF!,2,FALSE)</f>
        <v>#REF!</v>
      </c>
      <c r="AE1712" t="e">
        <f>RIGHT(#REF!,(FIND("Complex",#REF!,1)-5))</f>
        <v>#REF!</v>
      </c>
    </row>
    <row r="1713" spans="1:31" x14ac:dyDescent="0.25">
      <c r="A1713">
        <v>103</v>
      </c>
      <c r="B1713" t="s">
        <v>279</v>
      </c>
      <c r="C1713">
        <v>109</v>
      </c>
      <c r="D1713">
        <v>31</v>
      </c>
      <c r="E1713">
        <v>103</v>
      </c>
      <c r="F1713">
        <v>14464801</v>
      </c>
      <c r="G1713">
        <v>14553000</v>
      </c>
      <c r="H1713">
        <f t="shared" si="52"/>
        <v>328.00002267573694</v>
      </c>
      <c r="I1713">
        <f t="shared" si="53"/>
        <v>330</v>
      </c>
      <c r="J1713" t="s">
        <v>22</v>
      </c>
      <c r="K1713">
        <v>4</v>
      </c>
      <c r="L1713" t="e">
        <f t="array" ref="L1713">VLOOKUP(J1713:$J$3871&amp;K1713:$K$3871,CHOOSE({1,2},#REF!&amp;#REF!,#REF!),2,0)</f>
        <v>#N/A</v>
      </c>
      <c r="M1713">
        <v>0</v>
      </c>
      <c r="N1713">
        <v>1</v>
      </c>
      <c r="O1713" t="s">
        <v>23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1</v>
      </c>
      <c r="Z1713">
        <v>1</v>
      </c>
      <c r="AA1713" t="s">
        <v>4033</v>
      </c>
      <c r="AB1713" t="s">
        <v>2166</v>
      </c>
      <c r="AC1713" t="s">
        <v>4033</v>
      </c>
      <c r="AD1713" t="e">
        <f>VLOOKUP(AB1713,#REF!,2,FALSE)</f>
        <v>#REF!</v>
      </c>
      <c r="AE1713" t="e">
        <f>RIGHT(#REF!,(FIND("Complex",#REF!,1)-5))</f>
        <v>#REF!</v>
      </c>
    </row>
    <row r="1714" spans="1:31" x14ac:dyDescent="0.25">
      <c r="A1714">
        <v>866</v>
      </c>
      <c r="B1714" t="s">
        <v>279</v>
      </c>
      <c r="C1714">
        <v>109</v>
      </c>
      <c r="D1714">
        <v>262</v>
      </c>
      <c r="E1714">
        <v>866</v>
      </c>
      <c r="F1714">
        <v>14023801</v>
      </c>
      <c r="G1714">
        <v>14112000</v>
      </c>
      <c r="H1714">
        <f t="shared" si="52"/>
        <v>318.00002267573694</v>
      </c>
      <c r="I1714">
        <f t="shared" si="53"/>
        <v>320</v>
      </c>
      <c r="J1714" t="s">
        <v>22</v>
      </c>
      <c r="K1714">
        <v>4</v>
      </c>
      <c r="L1714" t="e">
        <f t="array" ref="L1714">VLOOKUP(J1714:$J$3871&amp;K1714:$K$3871,CHOOSE({1,2},#REF!&amp;#REF!,#REF!),2,0)</f>
        <v>#N/A</v>
      </c>
      <c r="M1714">
        <v>0</v>
      </c>
      <c r="N1714">
        <v>1</v>
      </c>
      <c r="O1714" t="s">
        <v>23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1</v>
      </c>
      <c r="Y1714">
        <v>1</v>
      </c>
      <c r="Z1714">
        <v>0</v>
      </c>
      <c r="AA1714" t="s">
        <v>4050</v>
      </c>
      <c r="AB1714" t="s">
        <v>6626</v>
      </c>
      <c r="AC1714" t="s">
        <v>4050</v>
      </c>
      <c r="AD1714" t="e">
        <f>VLOOKUP(AB1714,#REF!,2,FALSE)</f>
        <v>#REF!</v>
      </c>
      <c r="AE1714" t="e">
        <f>RIGHT(#REF!,(FIND("Complex",#REF!,1)-5))</f>
        <v>#REF!</v>
      </c>
    </row>
    <row r="1715" spans="1:31" x14ac:dyDescent="0.25">
      <c r="A1715">
        <v>601</v>
      </c>
      <c r="B1715" t="s">
        <v>279</v>
      </c>
      <c r="C1715">
        <v>109</v>
      </c>
      <c r="D1715">
        <v>192</v>
      </c>
      <c r="E1715">
        <v>601</v>
      </c>
      <c r="F1715">
        <v>9084601</v>
      </c>
      <c r="G1715">
        <v>9172800</v>
      </c>
      <c r="H1715">
        <f t="shared" si="52"/>
        <v>206.00002267573697</v>
      </c>
      <c r="I1715">
        <f t="shared" si="53"/>
        <v>208</v>
      </c>
      <c r="J1715" t="s">
        <v>22</v>
      </c>
      <c r="K1715">
        <v>4</v>
      </c>
      <c r="L1715" t="e">
        <f t="array" ref="L1715">VLOOKUP(J1715:$J$3871&amp;K1715:$K$3871,CHOOSE({1,2},#REF!&amp;#REF!,#REF!),2,0)</f>
        <v>#N/A</v>
      </c>
      <c r="M1715">
        <v>0</v>
      </c>
      <c r="N1715">
        <v>1</v>
      </c>
      <c r="O1715" t="s">
        <v>23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1</v>
      </c>
      <c r="Z1715">
        <v>1</v>
      </c>
      <c r="AA1715" t="s">
        <v>4279</v>
      </c>
      <c r="AB1715" t="s">
        <v>6789</v>
      </c>
      <c r="AC1715" t="s">
        <v>4279</v>
      </c>
      <c r="AD1715" t="e">
        <f>VLOOKUP(AB1715,#REF!,2,FALSE)</f>
        <v>#REF!</v>
      </c>
      <c r="AE1715" t="e">
        <f>RIGHT(#REF!,(FIND("Complex",#REF!,1)-5))</f>
        <v>#REF!</v>
      </c>
    </row>
    <row r="1716" spans="1:31" x14ac:dyDescent="0.25">
      <c r="A1716">
        <v>1093</v>
      </c>
      <c r="B1716" t="s">
        <v>279</v>
      </c>
      <c r="C1716">
        <v>109</v>
      </c>
      <c r="D1716">
        <v>329</v>
      </c>
      <c r="E1716">
        <v>1093</v>
      </c>
      <c r="F1716">
        <v>8555401</v>
      </c>
      <c r="G1716">
        <v>8643600</v>
      </c>
      <c r="H1716">
        <f t="shared" si="52"/>
        <v>194.00002267573697</v>
      </c>
      <c r="I1716">
        <f t="shared" si="53"/>
        <v>196</v>
      </c>
      <c r="J1716" t="s">
        <v>22</v>
      </c>
      <c r="K1716">
        <v>4</v>
      </c>
      <c r="L1716" t="e">
        <f t="array" ref="L1716">VLOOKUP(J1716:$J$3871&amp;K1716:$K$3871,CHOOSE({1,2},#REF!&amp;#REF!,#REF!),2,0)</f>
        <v>#N/A</v>
      </c>
      <c r="M1716">
        <v>0</v>
      </c>
      <c r="N1716">
        <v>1</v>
      </c>
      <c r="O1716" t="s">
        <v>23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1</v>
      </c>
      <c r="Z1716">
        <v>1</v>
      </c>
      <c r="AA1716" t="s">
        <v>4356</v>
      </c>
      <c r="AB1716" t="s">
        <v>6830</v>
      </c>
      <c r="AC1716" t="s">
        <v>4356</v>
      </c>
      <c r="AD1716" t="e">
        <f>VLOOKUP(AB1716,#REF!,2,FALSE)</f>
        <v>#REF!</v>
      </c>
      <c r="AE1716" t="e">
        <f>RIGHT(#REF!,(FIND("Complex",#REF!,1)-6))</f>
        <v>#REF!</v>
      </c>
    </row>
    <row r="1717" spans="1:31" x14ac:dyDescent="0.25">
      <c r="A1717">
        <v>2203</v>
      </c>
      <c r="B1717" t="s">
        <v>279</v>
      </c>
      <c r="C1717">
        <v>109</v>
      </c>
      <c r="D1717">
        <v>681</v>
      </c>
      <c r="E1717">
        <v>2203</v>
      </c>
      <c r="F1717">
        <v>7585201</v>
      </c>
      <c r="G1717">
        <v>7673400</v>
      </c>
      <c r="H1717">
        <f t="shared" si="52"/>
        <v>172.00002267573697</v>
      </c>
      <c r="I1717">
        <f t="shared" si="53"/>
        <v>174</v>
      </c>
      <c r="J1717" t="s">
        <v>22</v>
      </c>
      <c r="K1717">
        <v>4</v>
      </c>
      <c r="L1717" t="e">
        <f t="array" ref="L1717">VLOOKUP(J1717:$J$3871&amp;K1717:$K$3871,CHOOSE({1,2},#REF!&amp;#REF!,#REF!),2,0)</f>
        <v>#N/A</v>
      </c>
      <c r="M1717">
        <v>0</v>
      </c>
      <c r="N1717">
        <v>1</v>
      </c>
      <c r="O1717" t="s">
        <v>23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1</v>
      </c>
      <c r="Z1717">
        <v>1</v>
      </c>
      <c r="AA1717" t="s">
        <v>4434</v>
      </c>
      <c r="AB1717" t="s">
        <v>6879</v>
      </c>
      <c r="AC1717" t="s">
        <v>4434</v>
      </c>
      <c r="AD1717" t="e">
        <f>VLOOKUP(AB1717,#REF!,2,FALSE)</f>
        <v>#REF!</v>
      </c>
      <c r="AE1717" t="e">
        <f>RIGHT(#REF!,(FIND("Complex",#REF!,1)-6))</f>
        <v>#REF!</v>
      </c>
    </row>
    <row r="1718" spans="1:31" x14ac:dyDescent="0.25">
      <c r="A1718">
        <v>2512</v>
      </c>
      <c r="B1718" t="s">
        <v>279</v>
      </c>
      <c r="C1718">
        <v>109</v>
      </c>
      <c r="D1718">
        <v>815</v>
      </c>
      <c r="E1718">
        <v>2512</v>
      </c>
      <c r="F1718">
        <v>5909401</v>
      </c>
      <c r="G1718">
        <v>5997600</v>
      </c>
      <c r="H1718">
        <f t="shared" si="52"/>
        <v>134.00002267573697</v>
      </c>
      <c r="I1718">
        <f t="shared" si="53"/>
        <v>136</v>
      </c>
      <c r="J1718" t="s">
        <v>22</v>
      </c>
      <c r="K1718">
        <v>4</v>
      </c>
      <c r="L1718" t="e">
        <f t="array" ref="L1718">VLOOKUP(J1718:$J$3871&amp;K1718:$K$3871,CHOOSE({1,2},#REF!&amp;#REF!,#REF!),2,0)</f>
        <v>#N/A</v>
      </c>
      <c r="M1718">
        <v>0</v>
      </c>
      <c r="N1718">
        <v>1</v>
      </c>
      <c r="O1718" t="s">
        <v>23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1</v>
      </c>
      <c r="Z1718">
        <v>1</v>
      </c>
      <c r="AA1718" t="s">
        <v>4659</v>
      </c>
      <c r="AB1718" t="s">
        <v>7030</v>
      </c>
      <c r="AC1718" t="s">
        <v>4659</v>
      </c>
      <c r="AD1718" t="e">
        <f>VLOOKUP(AB1718,#REF!,2,FALSE)</f>
        <v>#REF!</v>
      </c>
      <c r="AE1718" t="e">
        <f>RIGHT(#REF!,(FIND("Complex",#REF!,1)-6))</f>
        <v>#REF!</v>
      </c>
    </row>
    <row r="1719" spans="1:31" x14ac:dyDescent="0.25">
      <c r="A1719">
        <v>2634</v>
      </c>
      <c r="B1719" t="s">
        <v>67</v>
      </c>
      <c r="C1719">
        <v>110</v>
      </c>
      <c r="D1719">
        <v>871</v>
      </c>
      <c r="E1719">
        <v>2634</v>
      </c>
      <c r="F1719">
        <v>2822401</v>
      </c>
      <c r="G1719">
        <v>2910600</v>
      </c>
      <c r="H1719">
        <f t="shared" si="52"/>
        <v>64.000022675736957</v>
      </c>
      <c r="I1719">
        <f t="shared" si="53"/>
        <v>66</v>
      </c>
      <c r="J1719" t="s">
        <v>22</v>
      </c>
      <c r="K1719">
        <v>4</v>
      </c>
      <c r="L1719" t="e">
        <f t="array" ref="L1719">VLOOKUP(J1719:$J$3871&amp;K1719:$K$3871,CHOOSE({1,2},#REF!&amp;#REF!,#REF!),2,0)</f>
        <v>#N/A</v>
      </c>
      <c r="M1719">
        <v>0</v>
      </c>
      <c r="N1719">
        <v>1</v>
      </c>
      <c r="O1719" t="s">
        <v>23</v>
      </c>
      <c r="P1719">
        <v>1</v>
      </c>
      <c r="Q1719">
        <v>1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1</v>
      </c>
      <c r="Y1719">
        <v>0</v>
      </c>
      <c r="Z1719">
        <v>0</v>
      </c>
      <c r="AA1719" t="s">
        <v>3753</v>
      </c>
      <c r="AB1719" t="s">
        <v>6453</v>
      </c>
      <c r="AC1719" t="s">
        <v>3753</v>
      </c>
      <c r="AD1719" t="e">
        <f>VLOOKUP(AB1719,#REF!,2,FALSE)</f>
        <v>#REF!</v>
      </c>
      <c r="AE1719" t="e">
        <f>RIGHT(#REF!,(FIND("Complex",#REF!,1)-7))</f>
        <v>#REF!</v>
      </c>
    </row>
    <row r="1720" spans="1:31" x14ac:dyDescent="0.25">
      <c r="A1720">
        <v>1865</v>
      </c>
      <c r="B1720" t="s">
        <v>67</v>
      </c>
      <c r="C1720">
        <v>110</v>
      </c>
      <c r="D1720">
        <v>561</v>
      </c>
      <c r="E1720">
        <v>1865</v>
      </c>
      <c r="F1720">
        <v>1499401</v>
      </c>
      <c r="G1720">
        <v>1587600</v>
      </c>
      <c r="H1720">
        <f t="shared" si="52"/>
        <v>34.000022675736965</v>
      </c>
      <c r="I1720">
        <f t="shared" si="53"/>
        <v>36</v>
      </c>
      <c r="J1720" t="s">
        <v>22</v>
      </c>
      <c r="K1720">
        <v>4</v>
      </c>
      <c r="L1720" t="e">
        <f t="array" ref="L1720">VLOOKUP(J1720:$J$3871&amp;K1720:$K$3871,CHOOSE({1,2},#REF!&amp;#REF!,#REF!),2,0)</f>
        <v>#N/A</v>
      </c>
      <c r="M1720">
        <v>0</v>
      </c>
      <c r="N1720">
        <v>1</v>
      </c>
      <c r="O1720" t="s">
        <v>23</v>
      </c>
      <c r="P1720">
        <v>1</v>
      </c>
      <c r="Q1720">
        <v>1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1</v>
      </c>
      <c r="Y1720">
        <v>0</v>
      </c>
      <c r="Z1720">
        <v>0</v>
      </c>
      <c r="AA1720" t="s">
        <v>4030</v>
      </c>
      <c r="AB1720" t="s">
        <v>2174</v>
      </c>
      <c r="AC1720" t="s">
        <v>4030</v>
      </c>
      <c r="AD1720" t="e">
        <f>VLOOKUP(AB1720,#REF!,2,FALSE)</f>
        <v>#REF!</v>
      </c>
      <c r="AE1720" t="e">
        <f>RIGHT(#REF!,(FIND("Complex",#REF!,1)-7))</f>
        <v>#REF!</v>
      </c>
    </row>
    <row r="1721" spans="1:31" x14ac:dyDescent="0.25">
      <c r="A1721">
        <v>1080</v>
      </c>
      <c r="B1721" t="s">
        <v>67</v>
      </c>
      <c r="C1721">
        <v>110</v>
      </c>
      <c r="D1721">
        <v>324</v>
      </c>
      <c r="E1721">
        <v>1080</v>
      </c>
      <c r="F1721">
        <v>8290801</v>
      </c>
      <c r="G1721">
        <v>8379000</v>
      </c>
      <c r="H1721">
        <f t="shared" si="52"/>
        <v>188.00002267573697</v>
      </c>
      <c r="I1721">
        <f t="shared" si="53"/>
        <v>190</v>
      </c>
      <c r="J1721" t="s">
        <v>22</v>
      </c>
      <c r="K1721">
        <v>4</v>
      </c>
      <c r="L1721" t="e">
        <f t="array" ref="L1721">VLOOKUP(J1721:$J$3871&amp;K1721:$K$3871,CHOOSE({1,2},#REF!&amp;#REF!,#REF!),2,0)</f>
        <v>#N/A</v>
      </c>
      <c r="M1721">
        <v>0</v>
      </c>
      <c r="N1721">
        <v>1</v>
      </c>
      <c r="O1721" t="s">
        <v>23</v>
      </c>
      <c r="P1721">
        <v>1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1</v>
      </c>
      <c r="Y1721">
        <v>0</v>
      </c>
      <c r="Z1721">
        <v>0</v>
      </c>
      <c r="AA1721" t="s">
        <v>4378</v>
      </c>
      <c r="AB1721" t="s">
        <v>6846</v>
      </c>
      <c r="AC1721" t="s">
        <v>4378</v>
      </c>
      <c r="AD1721" t="e">
        <f>VLOOKUP(AB1721,#REF!,2,FALSE)</f>
        <v>#REF!</v>
      </c>
      <c r="AE1721" t="e">
        <f>RIGHT(#REF!,(FIND("Complex",#REF!,1)-6))</f>
        <v>#REF!</v>
      </c>
    </row>
    <row r="1722" spans="1:31" x14ac:dyDescent="0.25">
      <c r="A1722">
        <v>2391</v>
      </c>
      <c r="B1722" t="s">
        <v>67</v>
      </c>
      <c r="C1722">
        <v>110</v>
      </c>
      <c r="D1722">
        <v>763</v>
      </c>
      <c r="E1722">
        <v>2391</v>
      </c>
      <c r="F1722">
        <v>5203801</v>
      </c>
      <c r="G1722">
        <v>5292000</v>
      </c>
      <c r="H1722">
        <f t="shared" si="52"/>
        <v>118.00002267573696</v>
      </c>
      <c r="I1722">
        <f t="shared" si="53"/>
        <v>120</v>
      </c>
      <c r="J1722" t="s">
        <v>22</v>
      </c>
      <c r="K1722">
        <v>4</v>
      </c>
      <c r="L1722" t="e">
        <f t="array" ref="L1722">VLOOKUP(J1722:$J$3871&amp;K1722:$K$3871,CHOOSE({1,2},#REF!&amp;#REF!,#REF!),2,0)</f>
        <v>#N/A</v>
      </c>
      <c r="M1722">
        <v>0</v>
      </c>
      <c r="N1722">
        <v>1</v>
      </c>
      <c r="O1722" t="s">
        <v>23</v>
      </c>
      <c r="P1722">
        <v>1</v>
      </c>
      <c r="Q1722">
        <v>1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1</v>
      </c>
      <c r="Y1722">
        <v>0</v>
      </c>
      <c r="Z1722">
        <v>0</v>
      </c>
      <c r="AA1722" t="s">
        <v>4750</v>
      </c>
      <c r="AB1722" t="s">
        <v>2175</v>
      </c>
      <c r="AC1722" t="s">
        <v>4750</v>
      </c>
      <c r="AD1722" t="e">
        <f>VLOOKUP(AB1722,#REF!,2,FALSE)</f>
        <v>#REF!</v>
      </c>
      <c r="AE1722" t="e">
        <f>RIGHT(#REF!,(FIND("Complex",#REF!,1)-6))</f>
        <v>#REF!</v>
      </c>
    </row>
    <row r="1723" spans="1:31" x14ac:dyDescent="0.25">
      <c r="A1723">
        <v>1506</v>
      </c>
      <c r="B1723" t="s">
        <v>67</v>
      </c>
      <c r="C1723">
        <v>110</v>
      </c>
      <c r="D1723">
        <v>460</v>
      </c>
      <c r="E1723">
        <v>1506</v>
      </c>
      <c r="F1723">
        <v>5115601</v>
      </c>
      <c r="G1723">
        <v>5203800</v>
      </c>
      <c r="H1723">
        <f t="shared" si="52"/>
        <v>116.00002267573696</v>
      </c>
      <c r="I1723">
        <f t="shared" si="53"/>
        <v>118</v>
      </c>
      <c r="J1723" t="s">
        <v>22</v>
      </c>
      <c r="K1723">
        <v>4</v>
      </c>
      <c r="L1723" t="e">
        <f t="array" ref="L1723">VLOOKUP(J1723:$J$3871&amp;K1723:$K$3871,CHOOSE({1,2},#REF!&amp;#REF!,#REF!),2,0)</f>
        <v>#N/A</v>
      </c>
      <c r="M1723">
        <v>0</v>
      </c>
      <c r="N1723">
        <v>1</v>
      </c>
      <c r="O1723" t="s">
        <v>23</v>
      </c>
      <c r="P1723">
        <v>1</v>
      </c>
      <c r="Q1723">
        <v>1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1</v>
      </c>
      <c r="Y1723">
        <v>0</v>
      </c>
      <c r="Z1723">
        <v>0</v>
      </c>
      <c r="AA1723" t="s">
        <v>4760</v>
      </c>
      <c r="AB1723" t="s">
        <v>7087</v>
      </c>
      <c r="AC1723" t="s">
        <v>4760</v>
      </c>
      <c r="AD1723" t="e">
        <f>VLOOKUP(AB1723,#REF!,2,FALSE)</f>
        <v>#REF!</v>
      </c>
      <c r="AE1723" t="e">
        <f>RIGHT(#REF!,(FIND("Complex",#REF!,1)-6))</f>
        <v>#REF!</v>
      </c>
    </row>
    <row r="1724" spans="1:31" x14ac:dyDescent="0.25">
      <c r="A1724">
        <v>338</v>
      </c>
      <c r="B1724" t="s">
        <v>67</v>
      </c>
      <c r="C1724">
        <v>110</v>
      </c>
      <c r="D1724">
        <v>106</v>
      </c>
      <c r="E1724">
        <v>338</v>
      </c>
      <c r="F1724">
        <v>4586401</v>
      </c>
      <c r="G1724">
        <v>4674600</v>
      </c>
      <c r="H1724">
        <f t="shared" si="52"/>
        <v>104.00002267573696</v>
      </c>
      <c r="I1724">
        <f t="shared" si="53"/>
        <v>106</v>
      </c>
      <c r="J1724" t="s">
        <v>22</v>
      </c>
      <c r="K1724">
        <v>4</v>
      </c>
      <c r="L1724" t="e">
        <f t="array" ref="L1724">VLOOKUP(J1724:$J$3871&amp;K1724:$K$3871,CHOOSE({1,2},#REF!&amp;#REF!,#REF!),2,0)</f>
        <v>#N/A</v>
      </c>
      <c r="M1724">
        <v>0</v>
      </c>
      <c r="N1724">
        <v>1</v>
      </c>
      <c r="O1724" t="s">
        <v>23</v>
      </c>
      <c r="P1724">
        <v>1</v>
      </c>
      <c r="Q1724">
        <v>1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1</v>
      </c>
      <c r="Y1724">
        <v>0</v>
      </c>
      <c r="Z1724">
        <v>0</v>
      </c>
      <c r="AA1724" t="s">
        <v>4822</v>
      </c>
      <c r="AB1724" t="s">
        <v>2176</v>
      </c>
      <c r="AC1724" t="s">
        <v>4822</v>
      </c>
      <c r="AD1724" t="e">
        <f>VLOOKUP(AB1724,#REF!,2,FALSE)</f>
        <v>#REF!</v>
      </c>
      <c r="AE1724" t="e">
        <f>RIGHT(#REF!,(FIND("Complex",#REF!,1)-5))</f>
        <v>#REF!</v>
      </c>
    </row>
    <row r="1725" spans="1:31" x14ac:dyDescent="0.25">
      <c r="A1725">
        <v>650</v>
      </c>
      <c r="B1725" t="s">
        <v>90</v>
      </c>
      <c r="C1725">
        <v>111</v>
      </c>
      <c r="D1725">
        <v>203</v>
      </c>
      <c r="E1725">
        <v>650</v>
      </c>
      <c r="F1725">
        <v>6791401</v>
      </c>
      <c r="G1725">
        <v>6879600</v>
      </c>
      <c r="H1725">
        <f t="shared" si="52"/>
        <v>154.00002267573697</v>
      </c>
      <c r="I1725">
        <f t="shared" si="53"/>
        <v>156</v>
      </c>
      <c r="J1725" t="s">
        <v>22</v>
      </c>
      <c r="K1725">
        <v>4</v>
      </c>
      <c r="L1725" t="e">
        <f t="array" ref="L1725">VLOOKUP(J1725:$J$3871&amp;K1725:$K$3871,CHOOSE({1,2},#REF!&amp;#REF!,#REF!),2,0)</f>
        <v>#N/A</v>
      </c>
      <c r="M1725">
        <v>0</v>
      </c>
      <c r="N1725">
        <v>1</v>
      </c>
      <c r="O1725" t="s">
        <v>23</v>
      </c>
      <c r="P1725">
        <v>0</v>
      </c>
      <c r="Q1725">
        <v>1</v>
      </c>
      <c r="R1725">
        <v>1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1</v>
      </c>
      <c r="Y1725">
        <v>0</v>
      </c>
      <c r="Z1725">
        <v>0</v>
      </c>
      <c r="AA1725" t="s">
        <v>4533</v>
      </c>
      <c r="AB1725" t="s">
        <v>6948</v>
      </c>
      <c r="AC1725" t="s">
        <v>4533</v>
      </c>
      <c r="AD1725" t="e">
        <f>VLOOKUP(AB1725,#REF!,2,FALSE)</f>
        <v>#REF!</v>
      </c>
      <c r="AE1725" t="e">
        <f>RIGHT(#REF!,(FIND("Complex",#REF!,1)-5))</f>
        <v>#REF!</v>
      </c>
    </row>
    <row r="1726" spans="1:31" x14ac:dyDescent="0.25">
      <c r="A1726">
        <v>2002</v>
      </c>
      <c r="B1726" t="s">
        <v>281</v>
      </c>
      <c r="C1726">
        <v>112</v>
      </c>
      <c r="D1726">
        <v>608</v>
      </c>
      <c r="E1726">
        <v>2002</v>
      </c>
      <c r="F1726">
        <v>2557801</v>
      </c>
      <c r="G1726">
        <v>2646000</v>
      </c>
      <c r="H1726">
        <f t="shared" si="52"/>
        <v>58.000022675736965</v>
      </c>
      <c r="I1726">
        <f t="shared" si="53"/>
        <v>60</v>
      </c>
      <c r="J1726" t="s">
        <v>22</v>
      </c>
      <c r="K1726">
        <v>4</v>
      </c>
      <c r="L1726" t="e">
        <f t="array" ref="L1726">VLOOKUP(J1726:$J$3871&amp;K1726:$K$3871,CHOOSE({1,2},#REF!&amp;#REF!,#REF!),2,0)</f>
        <v>#N/A</v>
      </c>
      <c r="M1726">
        <v>0</v>
      </c>
      <c r="N1726">
        <v>1</v>
      </c>
      <c r="O1726" t="s">
        <v>23</v>
      </c>
      <c r="P1726">
        <v>1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1</v>
      </c>
      <c r="Y1726">
        <v>0</v>
      </c>
      <c r="Z1726">
        <v>0</v>
      </c>
      <c r="AA1726" t="s">
        <v>3827</v>
      </c>
      <c r="AB1726" t="s">
        <v>6497</v>
      </c>
      <c r="AC1726" t="s">
        <v>3827</v>
      </c>
      <c r="AD1726" t="e">
        <f>VLOOKUP(AB1726,#REF!,2,FALSE)</f>
        <v>#REF!</v>
      </c>
      <c r="AE1726" t="e">
        <f>RIGHT(#REF!,(FIND("Complex",#REF!,1)-7))</f>
        <v>#REF!</v>
      </c>
    </row>
    <row r="1727" spans="1:31" x14ac:dyDescent="0.25">
      <c r="A1727">
        <v>2649</v>
      </c>
      <c r="B1727" t="s">
        <v>281</v>
      </c>
      <c r="C1727">
        <v>112</v>
      </c>
      <c r="D1727">
        <v>878</v>
      </c>
      <c r="E1727">
        <v>2649</v>
      </c>
      <c r="F1727">
        <v>11818801</v>
      </c>
      <c r="G1727">
        <v>11907000</v>
      </c>
      <c r="H1727">
        <f t="shared" si="52"/>
        <v>268.00002267573694</v>
      </c>
      <c r="I1727">
        <f t="shared" si="53"/>
        <v>270</v>
      </c>
      <c r="J1727" t="s">
        <v>22</v>
      </c>
      <c r="K1727">
        <v>4</v>
      </c>
      <c r="L1727" t="e">
        <f t="array" ref="L1727">VLOOKUP(J1727:$J$3871&amp;K1727:$K$3871,CHOOSE({1,2},#REF!&amp;#REF!,#REF!),2,0)</f>
        <v>#N/A</v>
      </c>
      <c r="M1727">
        <v>0</v>
      </c>
      <c r="N1727">
        <v>1</v>
      </c>
      <c r="O1727" t="s">
        <v>23</v>
      </c>
      <c r="P1727">
        <v>1</v>
      </c>
      <c r="Q1727">
        <v>1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1</v>
      </c>
      <c r="Y1727">
        <v>0</v>
      </c>
      <c r="Z1727">
        <v>0</v>
      </c>
      <c r="AA1727" t="s">
        <v>4130</v>
      </c>
      <c r="AB1727" t="s">
        <v>6689</v>
      </c>
      <c r="AC1727" t="s">
        <v>4130</v>
      </c>
      <c r="AD1727" t="e">
        <f>VLOOKUP(AB1727,#REF!,2,FALSE)</f>
        <v>#REF!</v>
      </c>
      <c r="AE1727" t="e">
        <f>RIGHT(#REF!,(FIND("Complex",#REF!,1)-6))</f>
        <v>#REF!</v>
      </c>
    </row>
    <row r="1728" spans="1:31" x14ac:dyDescent="0.25">
      <c r="A1728">
        <v>1224</v>
      </c>
      <c r="B1728" t="s">
        <v>281</v>
      </c>
      <c r="C1728">
        <v>112</v>
      </c>
      <c r="D1728">
        <v>370</v>
      </c>
      <c r="E1728">
        <v>1224</v>
      </c>
      <c r="F1728">
        <v>11289601</v>
      </c>
      <c r="G1728">
        <v>11377800</v>
      </c>
      <c r="H1728">
        <f t="shared" si="52"/>
        <v>256.00002267573694</v>
      </c>
      <c r="I1728">
        <f t="shared" si="53"/>
        <v>258</v>
      </c>
      <c r="J1728" t="s">
        <v>22</v>
      </c>
      <c r="K1728">
        <v>4</v>
      </c>
      <c r="L1728" t="e">
        <f t="array" ref="L1728">VLOOKUP(J1728:$J$3871&amp;K1728:$K$3871,CHOOSE({1,2},#REF!&amp;#REF!,#REF!),2,0)</f>
        <v>#N/A</v>
      </c>
      <c r="M1728">
        <v>0</v>
      </c>
      <c r="N1728">
        <v>1</v>
      </c>
      <c r="O1728" t="s">
        <v>23</v>
      </c>
      <c r="P1728">
        <v>1</v>
      </c>
      <c r="Q1728">
        <v>1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1</v>
      </c>
      <c r="Y1728">
        <v>0</v>
      </c>
      <c r="Z1728">
        <v>0</v>
      </c>
      <c r="AA1728" t="s">
        <v>4161</v>
      </c>
      <c r="AB1728" t="s">
        <v>6711</v>
      </c>
      <c r="AC1728" t="s">
        <v>4161</v>
      </c>
      <c r="AD1728" t="e">
        <f>VLOOKUP(AB1728,#REF!,2,FALSE)</f>
        <v>#REF!</v>
      </c>
      <c r="AE1728" t="e">
        <f>RIGHT(#REF!,(FIND("Complex",#REF!,1)-6))</f>
        <v>#REF!</v>
      </c>
    </row>
    <row r="1729" spans="1:31" x14ac:dyDescent="0.25">
      <c r="A1729">
        <v>1027</v>
      </c>
      <c r="B1729" t="s">
        <v>281</v>
      </c>
      <c r="C1729">
        <v>112</v>
      </c>
      <c r="D1729">
        <v>308</v>
      </c>
      <c r="E1729">
        <v>1027</v>
      </c>
      <c r="F1729">
        <v>6085801</v>
      </c>
      <c r="G1729">
        <v>6174000</v>
      </c>
      <c r="H1729">
        <f t="shared" si="52"/>
        <v>138.00002267573697</v>
      </c>
      <c r="I1729">
        <f t="shared" si="53"/>
        <v>140</v>
      </c>
      <c r="J1729" t="s">
        <v>22</v>
      </c>
      <c r="K1729">
        <v>4</v>
      </c>
      <c r="L1729" t="e">
        <f t="array" ref="L1729">VLOOKUP(J1729:$J$3871&amp;K1729:$K$3871,CHOOSE({1,2},#REF!&amp;#REF!,#REF!),2,0)</f>
        <v>#N/A</v>
      </c>
      <c r="M1729">
        <v>0</v>
      </c>
      <c r="N1729">
        <v>1</v>
      </c>
      <c r="O1729" t="s">
        <v>23</v>
      </c>
      <c r="P1729">
        <v>1</v>
      </c>
      <c r="Q1729">
        <v>1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1</v>
      </c>
      <c r="Y1729">
        <v>0</v>
      </c>
      <c r="Z1729">
        <v>0</v>
      </c>
      <c r="AA1729" t="s">
        <v>4635</v>
      </c>
      <c r="AB1729" t="s">
        <v>7011</v>
      </c>
      <c r="AC1729" t="s">
        <v>4635</v>
      </c>
      <c r="AD1729" t="e">
        <f>VLOOKUP(AB1729,#REF!,2,FALSE)</f>
        <v>#REF!</v>
      </c>
      <c r="AE1729" t="e">
        <f>RIGHT(#REF!,(FIND("Complex",#REF!,1)-6))</f>
        <v>#REF!</v>
      </c>
    </row>
    <row r="1730" spans="1:31" x14ac:dyDescent="0.25">
      <c r="A1730">
        <v>1667</v>
      </c>
      <c r="B1730" t="s">
        <v>281</v>
      </c>
      <c r="C1730">
        <v>112</v>
      </c>
      <c r="D1730">
        <v>502</v>
      </c>
      <c r="E1730">
        <v>1667</v>
      </c>
      <c r="F1730">
        <v>5115601</v>
      </c>
      <c r="G1730">
        <v>5203800</v>
      </c>
      <c r="H1730">
        <f t="shared" ref="H1730:H1793" si="54">F1730/44100</f>
        <v>116.00002267573696</v>
      </c>
      <c r="I1730">
        <f t="shared" ref="I1730:I1793" si="55">G1730/44100</f>
        <v>118</v>
      </c>
      <c r="J1730" t="s">
        <v>22</v>
      </c>
      <c r="K1730">
        <v>4</v>
      </c>
      <c r="L1730" t="e">
        <f t="array" ref="L1730">VLOOKUP(J1730:$J$3871&amp;K1730:$K$3871,CHOOSE({1,2},#REF!&amp;#REF!,#REF!),2,0)</f>
        <v>#N/A</v>
      </c>
      <c r="M1730">
        <v>0</v>
      </c>
      <c r="N1730">
        <v>1</v>
      </c>
      <c r="O1730" t="s">
        <v>23</v>
      </c>
      <c r="P1730">
        <v>1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1</v>
      </c>
      <c r="Y1730">
        <v>0</v>
      </c>
      <c r="Z1730">
        <v>0</v>
      </c>
      <c r="AA1730" t="s">
        <v>4758</v>
      </c>
      <c r="AB1730" t="s">
        <v>7086</v>
      </c>
      <c r="AC1730" t="s">
        <v>4758</v>
      </c>
      <c r="AD1730" t="e">
        <f>VLOOKUP(AB1730,#REF!,2,FALSE)</f>
        <v>#REF!</v>
      </c>
      <c r="AE1730" t="e">
        <f>RIGHT(#REF!,(FIND("Complex",#REF!,1)-6))</f>
        <v>#REF!</v>
      </c>
    </row>
    <row r="1731" spans="1:31" x14ac:dyDescent="0.25">
      <c r="A1731">
        <v>257</v>
      </c>
      <c r="B1731" t="s">
        <v>282</v>
      </c>
      <c r="C1731">
        <v>113</v>
      </c>
      <c r="D1731">
        <v>76</v>
      </c>
      <c r="E1731">
        <v>257</v>
      </c>
      <c r="F1731">
        <v>1411201</v>
      </c>
      <c r="G1731">
        <v>1499400</v>
      </c>
      <c r="H1731">
        <f t="shared" si="54"/>
        <v>32.000022675736965</v>
      </c>
      <c r="I1731">
        <f t="shared" si="55"/>
        <v>34</v>
      </c>
      <c r="J1731" t="s">
        <v>22</v>
      </c>
      <c r="K1731">
        <v>4</v>
      </c>
      <c r="L1731" t="e">
        <f t="array" ref="L1731">VLOOKUP(J1731:$J$3871&amp;K1731:$K$3871,CHOOSE({1,2},#REF!&amp;#REF!,#REF!),2,0)</f>
        <v>#N/A</v>
      </c>
      <c r="M1731">
        <v>0</v>
      </c>
      <c r="N1731">
        <v>1</v>
      </c>
      <c r="O1731" t="s">
        <v>23</v>
      </c>
      <c r="P1731">
        <v>1</v>
      </c>
      <c r="Q1731">
        <v>1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1</v>
      </c>
      <c r="Y1731">
        <v>0</v>
      </c>
      <c r="Z1731">
        <v>0</v>
      </c>
      <c r="AA1731" t="s">
        <v>4048</v>
      </c>
      <c r="AB1731" t="s">
        <v>2229</v>
      </c>
      <c r="AC1731" t="s">
        <v>4048</v>
      </c>
      <c r="AD1731" t="e">
        <f>VLOOKUP(AB1731,#REF!,2,FALSE)</f>
        <v>#REF!</v>
      </c>
      <c r="AE1731" t="e">
        <f>RIGHT(#REF!,(FIND("Complex",#REF!,1)-6))</f>
        <v>#REF!</v>
      </c>
    </row>
    <row r="1732" spans="1:31" x14ac:dyDescent="0.25">
      <c r="A1732">
        <v>2339</v>
      </c>
      <c r="B1732" t="s">
        <v>282</v>
      </c>
      <c r="C1732">
        <v>113</v>
      </c>
      <c r="D1732">
        <v>740</v>
      </c>
      <c r="E1732">
        <v>2339</v>
      </c>
      <c r="F1732">
        <v>1234801</v>
      </c>
      <c r="G1732">
        <v>1323000</v>
      </c>
      <c r="H1732">
        <f t="shared" si="54"/>
        <v>28.000022675736961</v>
      </c>
      <c r="I1732">
        <f t="shared" si="55"/>
        <v>30</v>
      </c>
      <c r="J1732" t="s">
        <v>22</v>
      </c>
      <c r="K1732">
        <v>4</v>
      </c>
      <c r="L1732" t="e">
        <f t="array" ref="L1732">VLOOKUP(J1732:$J$3871&amp;K1732:$K$3871,CHOOSE({1,2},#REF!&amp;#REF!,#REF!),2,0)</f>
        <v>#N/A</v>
      </c>
      <c r="M1732">
        <v>0</v>
      </c>
      <c r="N1732">
        <v>1</v>
      </c>
      <c r="O1732" t="s">
        <v>23</v>
      </c>
      <c r="P1732">
        <v>1</v>
      </c>
      <c r="Q1732">
        <v>1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1</v>
      </c>
      <c r="Y1732">
        <v>0</v>
      </c>
      <c r="Z1732">
        <v>0</v>
      </c>
      <c r="AA1732" t="s">
        <v>4112</v>
      </c>
      <c r="AB1732" t="s">
        <v>6674</v>
      </c>
      <c r="AC1732" t="s">
        <v>4112</v>
      </c>
      <c r="AD1732" t="e">
        <f>VLOOKUP(AB1732,#REF!,2,FALSE)</f>
        <v>#REF!</v>
      </c>
      <c r="AE1732" t="e">
        <f>RIGHT(#REF!,(FIND("Complex",#REF!,1)-7))</f>
        <v>#REF!</v>
      </c>
    </row>
    <row r="1733" spans="1:31" x14ac:dyDescent="0.25">
      <c r="A1733">
        <v>1367</v>
      </c>
      <c r="B1733" t="s">
        <v>282</v>
      </c>
      <c r="C1733">
        <v>113</v>
      </c>
      <c r="D1733">
        <v>414</v>
      </c>
      <c r="E1733">
        <v>1367</v>
      </c>
      <c r="F1733">
        <v>1058401</v>
      </c>
      <c r="G1733">
        <v>1146600</v>
      </c>
      <c r="H1733">
        <f t="shared" si="54"/>
        <v>24.000022675736961</v>
      </c>
      <c r="I1733">
        <f t="shared" si="55"/>
        <v>26</v>
      </c>
      <c r="J1733" t="s">
        <v>22</v>
      </c>
      <c r="K1733">
        <v>4</v>
      </c>
      <c r="L1733" t="e">
        <f t="array" ref="L1733">VLOOKUP(J1733:$J$3871&amp;K1733:$K$3871,CHOOSE({1,2},#REF!&amp;#REF!,#REF!),2,0)</f>
        <v>#N/A</v>
      </c>
      <c r="M1733">
        <v>0</v>
      </c>
      <c r="N1733">
        <v>1</v>
      </c>
      <c r="O1733" t="s">
        <v>23</v>
      </c>
      <c r="P1733">
        <v>1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1</v>
      </c>
      <c r="Y1733">
        <v>0</v>
      </c>
      <c r="Z1733">
        <v>0</v>
      </c>
      <c r="AA1733" t="s">
        <v>4196</v>
      </c>
      <c r="AB1733" t="s">
        <v>6735</v>
      </c>
      <c r="AC1733" t="s">
        <v>4196</v>
      </c>
      <c r="AD1733" t="e">
        <f>VLOOKUP(AB1733,#REF!,2,FALSE)</f>
        <v>#REF!</v>
      </c>
      <c r="AE1733" t="e">
        <f>RIGHT(#REF!,(FIND("Complex",#REF!,1)-7))</f>
        <v>#REF!</v>
      </c>
    </row>
    <row r="1734" spans="1:31" x14ac:dyDescent="0.25">
      <c r="A1734">
        <v>2409</v>
      </c>
      <c r="B1734" t="s">
        <v>282</v>
      </c>
      <c r="C1734">
        <v>113</v>
      </c>
      <c r="D1734">
        <v>772</v>
      </c>
      <c r="E1734">
        <v>2409</v>
      </c>
      <c r="F1734">
        <v>970201</v>
      </c>
      <c r="G1734">
        <v>1058400</v>
      </c>
      <c r="H1734">
        <f t="shared" si="54"/>
        <v>22.000022675736961</v>
      </c>
      <c r="I1734">
        <f t="shared" si="55"/>
        <v>24</v>
      </c>
      <c r="J1734" t="s">
        <v>22</v>
      </c>
      <c r="K1734">
        <v>4</v>
      </c>
      <c r="L1734" t="e">
        <f t="array" ref="L1734">VLOOKUP(J1734:$J$3871&amp;K1734:$K$3871,CHOOSE({1,2},#REF!&amp;#REF!,#REF!),2,0)</f>
        <v>#N/A</v>
      </c>
      <c r="M1734">
        <v>0</v>
      </c>
      <c r="N1734">
        <v>1</v>
      </c>
      <c r="O1734" t="s">
        <v>23</v>
      </c>
      <c r="P1734">
        <v>1</v>
      </c>
      <c r="Q1734">
        <v>1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1</v>
      </c>
      <c r="Y1734">
        <v>0</v>
      </c>
      <c r="Z1734">
        <v>0</v>
      </c>
      <c r="AA1734" t="s">
        <v>4253</v>
      </c>
      <c r="AB1734" t="s">
        <v>6771</v>
      </c>
      <c r="AC1734" t="s">
        <v>4253</v>
      </c>
      <c r="AD1734" t="e">
        <f>VLOOKUP(AB1734,#REF!,2,FALSE)</f>
        <v>#REF!</v>
      </c>
      <c r="AE1734" t="e">
        <f>RIGHT(#REF!,(FIND("Complex",#REF!,1)-7))</f>
        <v>#REF!</v>
      </c>
    </row>
    <row r="1735" spans="1:31" x14ac:dyDescent="0.25">
      <c r="A1735">
        <v>360</v>
      </c>
      <c r="B1735" t="s">
        <v>282</v>
      </c>
      <c r="C1735">
        <v>113</v>
      </c>
      <c r="D1735">
        <v>113</v>
      </c>
      <c r="E1735">
        <v>360</v>
      </c>
      <c r="F1735">
        <v>9084601</v>
      </c>
      <c r="G1735">
        <v>9172800</v>
      </c>
      <c r="H1735">
        <f t="shared" si="54"/>
        <v>206.00002267573697</v>
      </c>
      <c r="I1735">
        <f t="shared" si="55"/>
        <v>208</v>
      </c>
      <c r="J1735" t="s">
        <v>22</v>
      </c>
      <c r="K1735">
        <v>4</v>
      </c>
      <c r="L1735" t="e">
        <f t="array" ref="L1735">VLOOKUP(J1735:$J$3871&amp;K1735:$K$3871,CHOOSE({1,2},#REF!&amp;#REF!,#REF!),2,0)</f>
        <v>#N/A</v>
      </c>
      <c r="M1735">
        <v>0</v>
      </c>
      <c r="N1735">
        <v>1</v>
      </c>
      <c r="O1735" t="s">
        <v>23</v>
      </c>
      <c r="P1735">
        <v>1</v>
      </c>
      <c r="Q1735">
        <v>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1</v>
      </c>
      <c r="Y1735">
        <v>0</v>
      </c>
      <c r="Z1735">
        <v>0</v>
      </c>
      <c r="AA1735" t="s">
        <v>4278</v>
      </c>
      <c r="AB1735" t="s">
        <v>6788</v>
      </c>
      <c r="AC1735" t="s">
        <v>4278</v>
      </c>
      <c r="AD1735" t="e">
        <f>VLOOKUP(AB1735,#REF!,2,FALSE)</f>
        <v>#REF!</v>
      </c>
      <c r="AE1735" t="e">
        <f>RIGHT(#REF!,(FIND("Complex",#REF!,1)-5))</f>
        <v>#REF!</v>
      </c>
    </row>
    <row r="1736" spans="1:31" x14ac:dyDescent="0.25">
      <c r="A1736">
        <v>1343</v>
      </c>
      <c r="B1736" t="s">
        <v>282</v>
      </c>
      <c r="C1736">
        <v>113</v>
      </c>
      <c r="D1736">
        <v>408</v>
      </c>
      <c r="E1736">
        <v>1343</v>
      </c>
      <c r="F1736">
        <v>8996401</v>
      </c>
      <c r="G1736">
        <v>9084600</v>
      </c>
      <c r="H1736">
        <f t="shared" si="54"/>
        <v>204.00002267573697</v>
      </c>
      <c r="I1736">
        <f t="shared" si="55"/>
        <v>206</v>
      </c>
      <c r="J1736" t="s">
        <v>22</v>
      </c>
      <c r="K1736">
        <v>4</v>
      </c>
      <c r="L1736" t="e">
        <f t="array" ref="L1736">VLOOKUP(J1736:$J$3871&amp;K1736:$K$3871,CHOOSE({1,2},#REF!&amp;#REF!,#REF!),2,0)</f>
        <v>#N/A</v>
      </c>
      <c r="M1736">
        <v>0</v>
      </c>
      <c r="N1736">
        <v>1</v>
      </c>
      <c r="O1736" t="s">
        <v>23</v>
      </c>
      <c r="P1736">
        <v>1</v>
      </c>
      <c r="Q1736">
        <v>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1</v>
      </c>
      <c r="Y1736">
        <v>0</v>
      </c>
      <c r="Z1736">
        <v>0</v>
      </c>
      <c r="AA1736" t="s">
        <v>4284</v>
      </c>
      <c r="AB1736" t="s">
        <v>2230</v>
      </c>
      <c r="AC1736" t="s">
        <v>4284</v>
      </c>
      <c r="AD1736" t="e">
        <f>VLOOKUP(AB1736,#REF!,2,FALSE)</f>
        <v>#REF!</v>
      </c>
      <c r="AE1736" t="e">
        <f>RIGHT(#REF!,(FIND("Complex",#REF!,1)-6))</f>
        <v>#REF!</v>
      </c>
    </row>
    <row r="1737" spans="1:31" x14ac:dyDescent="0.25">
      <c r="A1737">
        <v>2422</v>
      </c>
      <c r="B1737" t="s">
        <v>282</v>
      </c>
      <c r="C1737">
        <v>113</v>
      </c>
      <c r="D1737">
        <v>779</v>
      </c>
      <c r="E1737">
        <v>2422</v>
      </c>
      <c r="F1737">
        <v>8467201</v>
      </c>
      <c r="G1737">
        <v>8555400</v>
      </c>
      <c r="H1737">
        <f t="shared" si="54"/>
        <v>192.00002267573697</v>
      </c>
      <c r="I1737">
        <f t="shared" si="55"/>
        <v>194</v>
      </c>
      <c r="J1737" t="s">
        <v>22</v>
      </c>
      <c r="K1737">
        <v>4</v>
      </c>
      <c r="L1737" t="e">
        <f t="array" ref="L1737">VLOOKUP(J1737:$J$3871&amp;K1737:$K$3871,CHOOSE({1,2},#REF!&amp;#REF!,#REF!),2,0)</f>
        <v>#N/A</v>
      </c>
      <c r="M1737">
        <v>0</v>
      </c>
      <c r="N1737">
        <v>1</v>
      </c>
      <c r="O1737" t="s">
        <v>23</v>
      </c>
      <c r="P1737">
        <v>1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1</v>
      </c>
      <c r="Y1737">
        <v>0</v>
      </c>
      <c r="Z1737">
        <v>0</v>
      </c>
      <c r="AA1737" t="s">
        <v>4365</v>
      </c>
      <c r="AB1737" t="s">
        <v>6838</v>
      </c>
      <c r="AC1737" t="s">
        <v>4365</v>
      </c>
      <c r="AD1737" t="e">
        <f>VLOOKUP(AB1737,#REF!,2,FALSE)</f>
        <v>#REF!</v>
      </c>
      <c r="AE1737" t="e">
        <f>RIGHT(#REF!,(FIND("Complex",#REF!,1)-6))</f>
        <v>#REF!</v>
      </c>
    </row>
    <row r="1738" spans="1:31" x14ac:dyDescent="0.25">
      <c r="A1738">
        <v>1905</v>
      </c>
      <c r="B1738" t="s">
        <v>282</v>
      </c>
      <c r="C1738">
        <v>113</v>
      </c>
      <c r="D1738">
        <v>578</v>
      </c>
      <c r="E1738">
        <v>1905</v>
      </c>
      <c r="F1738">
        <v>7761601</v>
      </c>
      <c r="G1738">
        <v>7849800</v>
      </c>
      <c r="H1738">
        <f t="shared" si="54"/>
        <v>176.00002267573697</v>
      </c>
      <c r="I1738">
        <f t="shared" si="55"/>
        <v>178</v>
      </c>
      <c r="J1738" t="s">
        <v>22</v>
      </c>
      <c r="K1738">
        <v>4</v>
      </c>
      <c r="L1738" t="e">
        <f t="array" ref="L1738">VLOOKUP(J1738:$J$3871&amp;K1738:$K$3871,CHOOSE({1,2},#REF!&amp;#REF!,#REF!),2,0)</f>
        <v>#N/A</v>
      </c>
      <c r="M1738">
        <v>0</v>
      </c>
      <c r="N1738">
        <v>1</v>
      </c>
      <c r="O1738" t="s">
        <v>23</v>
      </c>
      <c r="P1738">
        <v>1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1</v>
      </c>
      <c r="Y1738">
        <v>0</v>
      </c>
      <c r="Z1738">
        <v>0</v>
      </c>
      <c r="AA1738" t="s">
        <v>4427</v>
      </c>
      <c r="AB1738" t="s">
        <v>6875</v>
      </c>
      <c r="AC1738" t="s">
        <v>4427</v>
      </c>
      <c r="AD1738" t="e">
        <f>VLOOKUP(AB1738,#REF!,2,FALSE)</f>
        <v>#REF!</v>
      </c>
      <c r="AE1738" t="e">
        <f>RIGHT(#REF!,(FIND("Complex",#REF!,1)-6))</f>
        <v>#REF!</v>
      </c>
    </row>
    <row r="1739" spans="1:31" x14ac:dyDescent="0.25">
      <c r="A1739">
        <v>493</v>
      </c>
      <c r="B1739" t="s">
        <v>282</v>
      </c>
      <c r="C1739">
        <v>113</v>
      </c>
      <c r="D1739">
        <v>159</v>
      </c>
      <c r="E1739">
        <v>493</v>
      </c>
      <c r="F1739">
        <v>7408801</v>
      </c>
      <c r="G1739">
        <v>7497000</v>
      </c>
      <c r="H1739">
        <f t="shared" si="54"/>
        <v>168.00002267573697</v>
      </c>
      <c r="I1739">
        <f t="shared" si="55"/>
        <v>170</v>
      </c>
      <c r="J1739" t="s">
        <v>22</v>
      </c>
      <c r="K1739">
        <v>4</v>
      </c>
      <c r="L1739" t="e">
        <f t="array" ref="L1739">VLOOKUP(J1739:$J$3871&amp;K1739:$K$3871,CHOOSE({1,2},#REF!&amp;#REF!,#REF!),2,0)</f>
        <v>#N/A</v>
      </c>
      <c r="M1739">
        <v>0</v>
      </c>
      <c r="N1739">
        <v>1</v>
      </c>
      <c r="O1739" t="s">
        <v>23</v>
      </c>
      <c r="P1739">
        <v>1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1</v>
      </c>
      <c r="Y1739">
        <v>0</v>
      </c>
      <c r="Z1739">
        <v>0</v>
      </c>
      <c r="AA1739" t="s">
        <v>4448</v>
      </c>
      <c r="AB1739" t="s">
        <v>6889</v>
      </c>
      <c r="AC1739" t="s">
        <v>4448</v>
      </c>
      <c r="AD1739" t="e">
        <f>VLOOKUP(AB1739,#REF!,2,FALSE)</f>
        <v>#REF!</v>
      </c>
      <c r="AE1739" t="e">
        <f>RIGHT(#REF!,(FIND("Complex",#REF!,1)-5))</f>
        <v>#REF!</v>
      </c>
    </row>
    <row r="1740" spans="1:31" x14ac:dyDescent="0.25">
      <c r="A1740">
        <v>1958</v>
      </c>
      <c r="B1740" t="s">
        <v>284</v>
      </c>
      <c r="C1740">
        <v>114</v>
      </c>
      <c r="D1740">
        <v>592</v>
      </c>
      <c r="E1740">
        <v>1958</v>
      </c>
      <c r="F1740">
        <v>12700801</v>
      </c>
      <c r="G1740">
        <v>12789000</v>
      </c>
      <c r="H1740">
        <f t="shared" si="54"/>
        <v>288.00002267573694</v>
      </c>
      <c r="I1740">
        <f t="shared" si="55"/>
        <v>290</v>
      </c>
      <c r="J1740" t="s">
        <v>22</v>
      </c>
      <c r="K1740">
        <v>4</v>
      </c>
      <c r="L1740" t="e">
        <f t="array" ref="L1740">VLOOKUP(J1740:$J$3871&amp;K1740:$K$3871,CHOOSE({1,2},#REF!&amp;#REF!,#REF!),2,0)</f>
        <v>#N/A</v>
      </c>
      <c r="M1740">
        <v>0</v>
      </c>
      <c r="N1740">
        <v>1</v>
      </c>
      <c r="O1740" t="s">
        <v>23</v>
      </c>
      <c r="P1740">
        <v>0</v>
      </c>
      <c r="Q1740">
        <v>1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1</v>
      </c>
      <c r="X1740">
        <v>1</v>
      </c>
      <c r="Y1740">
        <v>0</v>
      </c>
      <c r="Z1740">
        <v>0</v>
      </c>
      <c r="AA1740" t="s">
        <v>4077</v>
      </c>
      <c r="AB1740" t="s">
        <v>2233</v>
      </c>
      <c r="AC1740" t="s">
        <v>4077</v>
      </c>
      <c r="AD1740" t="e">
        <f>VLOOKUP(AB1740,#REF!,2,FALSE)</f>
        <v>#REF!</v>
      </c>
      <c r="AE1740" t="e">
        <f>RIGHT(#REF!,(FIND("Complex",#REF!,1)-6))</f>
        <v>#REF!</v>
      </c>
    </row>
    <row r="1741" spans="1:31" x14ac:dyDescent="0.25">
      <c r="A1741">
        <v>479</v>
      </c>
      <c r="B1741" t="s">
        <v>284</v>
      </c>
      <c r="C1741">
        <v>114</v>
      </c>
      <c r="D1741">
        <v>153</v>
      </c>
      <c r="E1741">
        <v>479</v>
      </c>
      <c r="F1741">
        <v>12612601</v>
      </c>
      <c r="G1741">
        <v>12700800</v>
      </c>
      <c r="H1741">
        <f t="shared" si="54"/>
        <v>286.00002267573694</v>
      </c>
      <c r="I1741">
        <f t="shared" si="55"/>
        <v>288</v>
      </c>
      <c r="J1741" t="s">
        <v>22</v>
      </c>
      <c r="K1741">
        <v>4</v>
      </c>
      <c r="L1741" t="e">
        <f t="array" ref="L1741">VLOOKUP(J1741:$J$3871&amp;K1741:$K$3871,CHOOSE({1,2},#REF!&amp;#REF!,#REF!),2,0)</f>
        <v>#N/A</v>
      </c>
      <c r="M1741">
        <v>0</v>
      </c>
      <c r="N1741">
        <v>1</v>
      </c>
      <c r="O1741" t="s">
        <v>23</v>
      </c>
      <c r="P1741">
        <v>0</v>
      </c>
      <c r="Q1741">
        <v>1</v>
      </c>
      <c r="R1741">
        <v>0</v>
      </c>
      <c r="S1741">
        <v>0</v>
      </c>
      <c r="T1741">
        <v>1</v>
      </c>
      <c r="U1741">
        <v>0</v>
      </c>
      <c r="V1741">
        <v>0</v>
      </c>
      <c r="W1741">
        <v>1</v>
      </c>
      <c r="X1741">
        <v>1</v>
      </c>
      <c r="Y1741">
        <v>0</v>
      </c>
      <c r="Z1741">
        <v>0</v>
      </c>
      <c r="AA1741" t="s">
        <v>4080</v>
      </c>
      <c r="AB1741" t="s">
        <v>6647</v>
      </c>
      <c r="AC1741" t="s">
        <v>4080</v>
      </c>
      <c r="AD1741" t="e">
        <f>VLOOKUP(AB1741,#REF!,2,FALSE)</f>
        <v>#REF!</v>
      </c>
      <c r="AE1741" t="e">
        <f>RIGHT(#REF!,(FIND("Complex",#REF!,1)-5))</f>
        <v>#REF!</v>
      </c>
    </row>
    <row r="1742" spans="1:31" x14ac:dyDescent="0.25">
      <c r="A1742">
        <v>1234</v>
      </c>
      <c r="B1742" t="s">
        <v>284</v>
      </c>
      <c r="C1742">
        <v>114</v>
      </c>
      <c r="D1742">
        <v>373</v>
      </c>
      <c r="E1742">
        <v>1234</v>
      </c>
      <c r="F1742">
        <v>11554201</v>
      </c>
      <c r="G1742">
        <v>11642400</v>
      </c>
      <c r="H1742">
        <f t="shared" si="54"/>
        <v>262.00002267573694</v>
      </c>
      <c r="I1742">
        <f t="shared" si="55"/>
        <v>264</v>
      </c>
      <c r="J1742" t="s">
        <v>22</v>
      </c>
      <c r="K1742">
        <v>4</v>
      </c>
      <c r="L1742" t="e">
        <f t="array" ref="L1742">VLOOKUP(J1742:$J$3871&amp;K1742:$K$3871,CHOOSE({1,2},#REF!&amp;#REF!,#REF!),2,0)</f>
        <v>#N/A</v>
      </c>
      <c r="M1742">
        <v>0</v>
      </c>
      <c r="N1742">
        <v>1</v>
      </c>
      <c r="O1742" t="s">
        <v>23</v>
      </c>
      <c r="P1742">
        <v>0</v>
      </c>
      <c r="Q1742">
        <v>1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1</v>
      </c>
      <c r="X1742">
        <v>1</v>
      </c>
      <c r="Y1742">
        <v>0</v>
      </c>
      <c r="Z1742">
        <v>0</v>
      </c>
      <c r="AA1742" t="s">
        <v>4138</v>
      </c>
      <c r="AB1742" t="s">
        <v>6694</v>
      </c>
      <c r="AC1742" t="s">
        <v>4138</v>
      </c>
      <c r="AD1742" t="e">
        <f>VLOOKUP(AB1742,#REF!,2,FALSE)</f>
        <v>#REF!</v>
      </c>
      <c r="AE1742" t="e">
        <f>RIGHT(#REF!,(FIND("Complex",#REF!,1)-6))</f>
        <v>#REF!</v>
      </c>
    </row>
    <row r="1743" spans="1:31" x14ac:dyDescent="0.25">
      <c r="A1743">
        <v>206</v>
      </c>
      <c r="B1743" t="s">
        <v>284</v>
      </c>
      <c r="C1743">
        <v>114</v>
      </c>
      <c r="D1743">
        <v>63</v>
      </c>
      <c r="E1743">
        <v>206</v>
      </c>
      <c r="F1743">
        <v>10672201</v>
      </c>
      <c r="G1743">
        <v>10760400</v>
      </c>
      <c r="H1743">
        <f t="shared" si="54"/>
        <v>242.00002267573697</v>
      </c>
      <c r="I1743">
        <f t="shared" si="55"/>
        <v>244</v>
      </c>
      <c r="J1743" t="s">
        <v>22</v>
      </c>
      <c r="K1743">
        <v>4</v>
      </c>
      <c r="L1743" t="e">
        <f t="array" ref="L1743">VLOOKUP(J1743:$J$3871&amp;K1743:$K$3871,CHOOSE({1,2},#REF!&amp;#REF!,#REF!),2,0)</f>
        <v>#N/A</v>
      </c>
      <c r="M1743">
        <v>0</v>
      </c>
      <c r="N1743">
        <v>1</v>
      </c>
      <c r="O1743" t="s">
        <v>23</v>
      </c>
      <c r="P1743">
        <v>0</v>
      </c>
      <c r="Q1743">
        <v>1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1</v>
      </c>
      <c r="X1743">
        <v>1</v>
      </c>
      <c r="Y1743">
        <v>0</v>
      </c>
      <c r="Z1743">
        <v>0</v>
      </c>
      <c r="AA1743" t="s">
        <v>4174</v>
      </c>
      <c r="AB1743" t="s">
        <v>6721</v>
      </c>
      <c r="AC1743" t="s">
        <v>4174</v>
      </c>
      <c r="AD1743" t="e">
        <f>VLOOKUP(AB1743,#REF!,2,FALSE)</f>
        <v>#REF!</v>
      </c>
      <c r="AE1743" t="e">
        <f>RIGHT(#REF!,(FIND("Complex",#REF!,1)-5))</f>
        <v>#REF!</v>
      </c>
    </row>
    <row r="1744" spans="1:31" x14ac:dyDescent="0.25">
      <c r="A1744">
        <v>344</v>
      </c>
      <c r="B1744" t="s">
        <v>284</v>
      </c>
      <c r="C1744">
        <v>114</v>
      </c>
      <c r="D1744">
        <v>107</v>
      </c>
      <c r="E1744">
        <v>344</v>
      </c>
      <c r="F1744">
        <v>10407601</v>
      </c>
      <c r="G1744">
        <v>10495800</v>
      </c>
      <c r="H1744">
        <f t="shared" si="54"/>
        <v>236.00002267573697</v>
      </c>
      <c r="I1744">
        <f t="shared" si="55"/>
        <v>238</v>
      </c>
      <c r="J1744" t="s">
        <v>22</v>
      </c>
      <c r="K1744">
        <v>4</v>
      </c>
      <c r="L1744" t="e">
        <f t="array" ref="L1744">VLOOKUP(J1744:$J$3871&amp;K1744:$K$3871,CHOOSE({1,2},#REF!&amp;#REF!,#REF!),2,0)</f>
        <v>#N/A</v>
      </c>
      <c r="M1744">
        <v>0</v>
      </c>
      <c r="N1744">
        <v>1</v>
      </c>
      <c r="O1744" t="s">
        <v>23</v>
      </c>
      <c r="P1744">
        <v>0</v>
      </c>
      <c r="Q1744">
        <v>1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1</v>
      </c>
      <c r="X1744">
        <v>1</v>
      </c>
      <c r="Y1744">
        <v>0</v>
      </c>
      <c r="Z1744">
        <v>0</v>
      </c>
      <c r="AA1744" t="s">
        <v>4209</v>
      </c>
      <c r="AB1744" t="s">
        <v>6747</v>
      </c>
      <c r="AC1744" t="s">
        <v>4209</v>
      </c>
      <c r="AD1744" t="e">
        <f>VLOOKUP(AB1744,#REF!,2,FALSE)</f>
        <v>#REF!</v>
      </c>
      <c r="AE1744" t="e">
        <f>RIGHT(#REF!,(FIND("Complex",#REF!,1)-5))</f>
        <v>#REF!</v>
      </c>
    </row>
    <row r="1745" spans="1:31" x14ac:dyDescent="0.25">
      <c r="A1745">
        <v>1271</v>
      </c>
      <c r="B1745" t="s">
        <v>284</v>
      </c>
      <c r="C1745">
        <v>114</v>
      </c>
      <c r="D1745">
        <v>386</v>
      </c>
      <c r="E1745">
        <v>1271</v>
      </c>
      <c r="F1745">
        <v>8820001</v>
      </c>
      <c r="G1745">
        <v>8908200</v>
      </c>
      <c r="H1745">
        <f t="shared" si="54"/>
        <v>200.00002267573697</v>
      </c>
      <c r="I1745">
        <f t="shared" si="55"/>
        <v>202</v>
      </c>
      <c r="J1745" t="s">
        <v>22</v>
      </c>
      <c r="K1745">
        <v>4</v>
      </c>
      <c r="L1745" t="e">
        <f t="array" ref="L1745">VLOOKUP(J1745:$J$3871&amp;K1745:$K$3871,CHOOSE({1,2},#REF!&amp;#REF!,#REF!),2,0)</f>
        <v>#N/A</v>
      </c>
      <c r="M1745">
        <v>0</v>
      </c>
      <c r="N1745">
        <v>1</v>
      </c>
      <c r="O1745" t="s">
        <v>23</v>
      </c>
      <c r="P1745">
        <v>0</v>
      </c>
      <c r="Q1745">
        <v>1</v>
      </c>
      <c r="R1745">
        <v>0</v>
      </c>
      <c r="S1745">
        <v>0</v>
      </c>
      <c r="T1745">
        <v>1</v>
      </c>
      <c r="U1745">
        <v>0</v>
      </c>
      <c r="V1745">
        <v>0</v>
      </c>
      <c r="W1745">
        <v>1</v>
      </c>
      <c r="X1745">
        <v>1</v>
      </c>
      <c r="Y1745">
        <v>0</v>
      </c>
      <c r="Z1745">
        <v>0</v>
      </c>
      <c r="AA1745" t="s">
        <v>4299</v>
      </c>
      <c r="AB1745" t="s">
        <v>6800</v>
      </c>
      <c r="AC1745" t="s">
        <v>4299</v>
      </c>
      <c r="AD1745" t="e">
        <f>VLOOKUP(AB1745,#REF!,2,FALSE)</f>
        <v>#REF!</v>
      </c>
      <c r="AE1745" t="e">
        <f>RIGHT(#REF!,(FIND("Complex",#REF!,1)-6))</f>
        <v>#REF!</v>
      </c>
    </row>
    <row r="1746" spans="1:31" x14ac:dyDescent="0.25">
      <c r="A1746">
        <v>308</v>
      </c>
      <c r="B1746" t="s">
        <v>284</v>
      </c>
      <c r="C1746">
        <v>114</v>
      </c>
      <c r="D1746">
        <v>94</v>
      </c>
      <c r="E1746">
        <v>308</v>
      </c>
      <c r="F1746">
        <v>8555401</v>
      </c>
      <c r="G1746">
        <v>8643600</v>
      </c>
      <c r="H1746">
        <f t="shared" si="54"/>
        <v>194.00002267573697</v>
      </c>
      <c r="I1746">
        <f t="shared" si="55"/>
        <v>196</v>
      </c>
      <c r="J1746" t="s">
        <v>22</v>
      </c>
      <c r="K1746">
        <v>4</v>
      </c>
      <c r="L1746" t="e">
        <f t="array" ref="L1746">VLOOKUP(J1746:$J$3871&amp;K1746:$K$3871,CHOOSE({1,2},#REF!&amp;#REF!,#REF!),2,0)</f>
        <v>#N/A</v>
      </c>
      <c r="M1746">
        <v>0</v>
      </c>
      <c r="N1746">
        <v>1</v>
      </c>
      <c r="O1746" t="s">
        <v>23</v>
      </c>
      <c r="P1746">
        <v>0</v>
      </c>
      <c r="Q1746">
        <v>1</v>
      </c>
      <c r="R1746">
        <v>0</v>
      </c>
      <c r="S1746">
        <v>0</v>
      </c>
      <c r="T1746">
        <v>1</v>
      </c>
      <c r="U1746">
        <v>0</v>
      </c>
      <c r="V1746">
        <v>0</v>
      </c>
      <c r="W1746">
        <v>1</v>
      </c>
      <c r="X1746">
        <v>1</v>
      </c>
      <c r="Y1746">
        <v>0</v>
      </c>
      <c r="Z1746">
        <v>0</v>
      </c>
      <c r="AA1746" t="s">
        <v>4355</v>
      </c>
      <c r="AB1746" t="s">
        <v>6829</v>
      </c>
      <c r="AC1746" t="s">
        <v>4355</v>
      </c>
      <c r="AD1746" t="e">
        <f>VLOOKUP(AB1746,#REF!,2,FALSE)</f>
        <v>#REF!</v>
      </c>
      <c r="AE1746" t="e">
        <f>RIGHT(#REF!,(FIND("Complex",#REF!,1)-5))</f>
        <v>#REF!</v>
      </c>
    </row>
    <row r="1747" spans="1:31" x14ac:dyDescent="0.25">
      <c r="A1747">
        <v>1876</v>
      </c>
      <c r="B1747" t="s">
        <v>284</v>
      </c>
      <c r="C1747">
        <v>114</v>
      </c>
      <c r="D1747">
        <v>567</v>
      </c>
      <c r="E1747">
        <v>1876</v>
      </c>
      <c r="F1747">
        <v>7938001</v>
      </c>
      <c r="G1747">
        <v>8026200</v>
      </c>
      <c r="H1747">
        <f t="shared" si="54"/>
        <v>180.00002267573697</v>
      </c>
      <c r="I1747">
        <f t="shared" si="55"/>
        <v>182</v>
      </c>
      <c r="J1747" t="s">
        <v>22</v>
      </c>
      <c r="K1747">
        <v>4</v>
      </c>
      <c r="L1747" t="e">
        <f t="array" ref="L1747">VLOOKUP(J1747:$J$3871&amp;K1747:$K$3871,CHOOSE({1,2},#REF!&amp;#REF!,#REF!),2,0)</f>
        <v>#N/A</v>
      </c>
      <c r="M1747">
        <v>0</v>
      </c>
      <c r="N1747">
        <v>1</v>
      </c>
      <c r="O1747" t="s">
        <v>23</v>
      </c>
      <c r="P1747">
        <v>0</v>
      </c>
      <c r="Q1747">
        <v>1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1</v>
      </c>
      <c r="X1747">
        <v>1</v>
      </c>
      <c r="Y1747">
        <v>0</v>
      </c>
      <c r="Z1747">
        <v>0</v>
      </c>
      <c r="AA1747" t="s">
        <v>4402</v>
      </c>
      <c r="AB1747" t="s">
        <v>6862</v>
      </c>
      <c r="AC1747" t="s">
        <v>4402</v>
      </c>
      <c r="AD1747" t="e">
        <f>VLOOKUP(AB1747,#REF!,2,FALSE)</f>
        <v>#REF!</v>
      </c>
      <c r="AE1747" t="e">
        <f>RIGHT(#REF!,(FIND("Complex",#REF!,1)-6))</f>
        <v>#REF!</v>
      </c>
    </row>
    <row r="1748" spans="1:31" x14ac:dyDescent="0.25">
      <c r="A1748">
        <v>2091</v>
      </c>
      <c r="B1748" t="s">
        <v>284</v>
      </c>
      <c r="C1748">
        <v>114</v>
      </c>
      <c r="D1748">
        <v>635</v>
      </c>
      <c r="E1748">
        <v>2091</v>
      </c>
      <c r="F1748">
        <v>6174001</v>
      </c>
      <c r="G1748">
        <v>6262200</v>
      </c>
      <c r="H1748">
        <f t="shared" si="54"/>
        <v>140.00002267573697</v>
      </c>
      <c r="I1748">
        <f t="shared" si="55"/>
        <v>142</v>
      </c>
      <c r="J1748" t="s">
        <v>22</v>
      </c>
      <c r="K1748">
        <v>4</v>
      </c>
      <c r="L1748" t="e">
        <f t="array" ref="L1748">VLOOKUP(J1748:$J$3871&amp;K1748:$K$3871,CHOOSE({1,2},#REF!&amp;#REF!,#REF!),2,0)</f>
        <v>#N/A</v>
      </c>
      <c r="M1748">
        <v>0</v>
      </c>
      <c r="N1748">
        <v>1</v>
      </c>
      <c r="O1748" t="s">
        <v>23</v>
      </c>
      <c r="P1748">
        <v>0</v>
      </c>
      <c r="Q1748">
        <v>1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1</v>
      </c>
      <c r="X1748">
        <v>1</v>
      </c>
      <c r="Y1748">
        <v>0</v>
      </c>
      <c r="Z1748">
        <v>0</v>
      </c>
      <c r="AA1748" t="s">
        <v>4603</v>
      </c>
      <c r="AB1748" t="s">
        <v>6995</v>
      </c>
      <c r="AC1748" t="s">
        <v>4603</v>
      </c>
      <c r="AD1748" t="e">
        <f>VLOOKUP(AB1748,#REF!,2,FALSE)</f>
        <v>#REF!</v>
      </c>
      <c r="AE1748" t="e">
        <f>RIGHT(#REF!,(FIND("Complex",#REF!,1)-6))</f>
        <v>#REF!</v>
      </c>
    </row>
    <row r="1749" spans="1:31" x14ac:dyDescent="0.25">
      <c r="A1749">
        <v>1130</v>
      </c>
      <c r="B1749" t="s">
        <v>284</v>
      </c>
      <c r="C1749">
        <v>114</v>
      </c>
      <c r="D1749">
        <v>338</v>
      </c>
      <c r="E1749">
        <v>1130</v>
      </c>
      <c r="F1749">
        <v>5733001</v>
      </c>
      <c r="G1749">
        <v>5821200</v>
      </c>
      <c r="H1749">
        <f t="shared" si="54"/>
        <v>130.00002267573697</v>
      </c>
      <c r="I1749">
        <f t="shared" si="55"/>
        <v>132</v>
      </c>
      <c r="J1749" t="s">
        <v>22</v>
      </c>
      <c r="K1749">
        <v>4</v>
      </c>
      <c r="L1749" t="e">
        <f t="array" ref="L1749">VLOOKUP(J1749:$J$3871&amp;K1749:$K$3871,CHOOSE({1,2},#REF!&amp;#REF!,#REF!),2,0)</f>
        <v>#N/A</v>
      </c>
      <c r="M1749">
        <v>0</v>
      </c>
      <c r="N1749">
        <v>1</v>
      </c>
      <c r="O1749" t="s">
        <v>23</v>
      </c>
      <c r="P1749">
        <v>0</v>
      </c>
      <c r="Q1749">
        <v>1</v>
      </c>
      <c r="R1749">
        <v>0</v>
      </c>
      <c r="S1749">
        <v>0</v>
      </c>
      <c r="T1749">
        <v>1</v>
      </c>
      <c r="U1749">
        <v>0</v>
      </c>
      <c r="V1749">
        <v>0</v>
      </c>
      <c r="W1749">
        <v>1</v>
      </c>
      <c r="X1749">
        <v>1</v>
      </c>
      <c r="Y1749">
        <v>0</v>
      </c>
      <c r="Z1749">
        <v>0</v>
      </c>
      <c r="AA1749" t="s">
        <v>4677</v>
      </c>
      <c r="AB1749" t="s">
        <v>7039</v>
      </c>
      <c r="AC1749" t="s">
        <v>4677</v>
      </c>
      <c r="AD1749" t="e">
        <f>VLOOKUP(AB1749,#REF!,2,FALSE)</f>
        <v>#REF!</v>
      </c>
      <c r="AE1749" t="e">
        <f>RIGHT(#REF!,(FIND("Complex",#REF!,1)-6))</f>
        <v>#REF!</v>
      </c>
    </row>
    <row r="1750" spans="1:31" x14ac:dyDescent="0.25">
      <c r="A1750">
        <v>2021</v>
      </c>
      <c r="B1750" t="s">
        <v>285</v>
      </c>
      <c r="C1750">
        <v>116</v>
      </c>
      <c r="D1750">
        <v>614</v>
      </c>
      <c r="E1750">
        <v>2021</v>
      </c>
      <c r="F1750">
        <v>3439801</v>
      </c>
      <c r="G1750">
        <v>3528000</v>
      </c>
      <c r="H1750">
        <f t="shared" si="54"/>
        <v>78.000022675736957</v>
      </c>
      <c r="I1750">
        <f t="shared" si="55"/>
        <v>80</v>
      </c>
      <c r="J1750" t="s">
        <v>22</v>
      </c>
      <c r="K1750">
        <v>4</v>
      </c>
      <c r="L1750" t="e">
        <f t="array" ref="L1750">VLOOKUP(J1750:$J$3871&amp;K1750:$K$3871,CHOOSE({1,2},#REF!&amp;#REF!,#REF!),2,0)</f>
        <v>#N/A</v>
      </c>
      <c r="M1750">
        <v>0</v>
      </c>
      <c r="N1750">
        <v>1</v>
      </c>
      <c r="O1750" t="s">
        <v>23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1</v>
      </c>
      <c r="Y1750">
        <v>0</v>
      </c>
      <c r="Z1750">
        <v>0</v>
      </c>
      <c r="AA1750" t="s">
        <v>3658</v>
      </c>
      <c r="AB1750" t="s">
        <v>6399</v>
      </c>
      <c r="AC1750" t="s">
        <v>3658</v>
      </c>
      <c r="AD1750" t="e">
        <f>VLOOKUP(AB1750,#REF!,2,FALSE)</f>
        <v>#REF!</v>
      </c>
      <c r="AE1750" t="e">
        <f>RIGHT(#REF!,(FIND("Complex",#REF!,1)-7))</f>
        <v>#REF!</v>
      </c>
    </row>
    <row r="1751" spans="1:31" x14ac:dyDescent="0.25">
      <c r="A1751">
        <v>2223</v>
      </c>
      <c r="B1751" t="s">
        <v>285</v>
      </c>
      <c r="C1751">
        <v>116</v>
      </c>
      <c r="D1751">
        <v>688</v>
      </c>
      <c r="E1751">
        <v>2223</v>
      </c>
      <c r="F1751">
        <v>9966601</v>
      </c>
      <c r="G1751">
        <v>10054800</v>
      </c>
      <c r="H1751">
        <f t="shared" si="54"/>
        <v>226.00002267573697</v>
      </c>
      <c r="I1751">
        <f t="shared" si="55"/>
        <v>228</v>
      </c>
      <c r="J1751" t="s">
        <v>22</v>
      </c>
      <c r="K1751">
        <v>4</v>
      </c>
      <c r="L1751" t="e">
        <f t="array" ref="L1751">VLOOKUP(J1751:$J$3871&amp;K1751:$K$3871,CHOOSE({1,2},#REF!&amp;#REF!,#REF!),2,0)</f>
        <v>#N/A</v>
      </c>
      <c r="M1751">
        <v>0</v>
      </c>
      <c r="N1751">
        <v>1</v>
      </c>
      <c r="O1751" t="s">
        <v>23</v>
      </c>
      <c r="P1751">
        <v>1</v>
      </c>
      <c r="Q1751">
        <v>1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1</v>
      </c>
      <c r="Y1751">
        <v>0</v>
      </c>
      <c r="Z1751">
        <v>0</v>
      </c>
      <c r="AA1751" t="s">
        <v>4223</v>
      </c>
      <c r="AB1751" t="s">
        <v>6758</v>
      </c>
      <c r="AC1751" t="s">
        <v>4223</v>
      </c>
      <c r="AD1751" t="e">
        <f>VLOOKUP(AB1751,#REF!,2,FALSE)</f>
        <v>#REF!</v>
      </c>
      <c r="AE1751" t="e">
        <f>RIGHT(#REF!,(FIND("Complex",#REF!,1)-6))</f>
        <v>#REF!</v>
      </c>
    </row>
    <row r="1752" spans="1:31" x14ac:dyDescent="0.25">
      <c r="A1752">
        <v>1161</v>
      </c>
      <c r="B1752" t="s">
        <v>285</v>
      </c>
      <c r="C1752">
        <v>116</v>
      </c>
      <c r="D1752">
        <v>348</v>
      </c>
      <c r="E1752">
        <v>1161</v>
      </c>
      <c r="F1752">
        <v>9613801</v>
      </c>
      <c r="G1752">
        <v>9702000</v>
      </c>
      <c r="H1752">
        <f t="shared" si="54"/>
        <v>218.00002267573697</v>
      </c>
      <c r="I1752">
        <f t="shared" si="55"/>
        <v>220</v>
      </c>
      <c r="J1752" t="s">
        <v>22</v>
      </c>
      <c r="K1752">
        <v>4</v>
      </c>
      <c r="L1752" t="e">
        <f t="array" ref="L1752">VLOOKUP(J1752:$J$3871&amp;K1752:$K$3871,CHOOSE({1,2},#REF!&amp;#REF!,#REF!),2,0)</f>
        <v>#N/A</v>
      </c>
      <c r="M1752">
        <v>0</v>
      </c>
      <c r="N1752">
        <v>1</v>
      </c>
      <c r="O1752" t="s">
        <v>23</v>
      </c>
      <c r="P1752">
        <v>1</v>
      </c>
      <c r="Q1752">
        <v>1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1</v>
      </c>
      <c r="Y1752">
        <v>0</v>
      </c>
      <c r="Z1752">
        <v>0</v>
      </c>
      <c r="AA1752" t="s">
        <v>4257</v>
      </c>
      <c r="AB1752" t="s">
        <v>6773</v>
      </c>
      <c r="AC1752" t="s">
        <v>4257</v>
      </c>
      <c r="AD1752" t="e">
        <f>VLOOKUP(AB1752,#REF!,2,FALSE)</f>
        <v>#REF!</v>
      </c>
      <c r="AE1752" t="e">
        <f>RIGHT(#REF!,(FIND("Complex",#REF!,1)-6))</f>
        <v>#REF!</v>
      </c>
    </row>
    <row r="1753" spans="1:31" x14ac:dyDescent="0.25">
      <c r="A1753">
        <v>2338</v>
      </c>
      <c r="B1753" t="s">
        <v>285</v>
      </c>
      <c r="C1753">
        <v>116</v>
      </c>
      <c r="D1753">
        <v>739</v>
      </c>
      <c r="E1753">
        <v>2338</v>
      </c>
      <c r="F1753">
        <v>9437401</v>
      </c>
      <c r="G1753">
        <v>9525600</v>
      </c>
      <c r="H1753">
        <f t="shared" si="54"/>
        <v>214.00002267573697</v>
      </c>
      <c r="I1753">
        <f t="shared" si="55"/>
        <v>216</v>
      </c>
      <c r="J1753" t="s">
        <v>22</v>
      </c>
      <c r="K1753">
        <v>4</v>
      </c>
      <c r="L1753" t="e">
        <f t="array" ref="L1753">VLOOKUP(J1753:$J$3871&amp;K1753:$K$3871,CHOOSE({1,2},#REF!&amp;#REF!,#REF!),2,0)</f>
        <v>#N/A</v>
      </c>
      <c r="M1753">
        <v>0</v>
      </c>
      <c r="N1753">
        <v>1</v>
      </c>
      <c r="O1753" t="s">
        <v>23</v>
      </c>
      <c r="P1753">
        <v>1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1</v>
      </c>
      <c r="Y1753">
        <v>0</v>
      </c>
      <c r="Z1753">
        <v>0</v>
      </c>
      <c r="AA1753" t="s">
        <v>4267</v>
      </c>
      <c r="AB1753" t="s">
        <v>2270</v>
      </c>
      <c r="AC1753" t="s">
        <v>4267</v>
      </c>
      <c r="AD1753" t="e">
        <f>VLOOKUP(AB1753,#REF!,2,FALSE)</f>
        <v>#REF!</v>
      </c>
      <c r="AE1753" t="e">
        <f>RIGHT(#REF!,(FIND("Complex",#REF!,1)-6))</f>
        <v>#REF!</v>
      </c>
    </row>
    <row r="1754" spans="1:31" x14ac:dyDescent="0.25">
      <c r="A1754">
        <v>860</v>
      </c>
      <c r="B1754" t="s">
        <v>44</v>
      </c>
      <c r="C1754">
        <v>117</v>
      </c>
      <c r="D1754">
        <v>260</v>
      </c>
      <c r="E1754">
        <v>860</v>
      </c>
      <c r="F1754">
        <v>88201</v>
      </c>
      <c r="G1754">
        <v>176400</v>
      </c>
      <c r="H1754">
        <f t="shared" si="54"/>
        <v>2.0000226757369615</v>
      </c>
      <c r="I1754">
        <f t="shared" si="55"/>
        <v>4</v>
      </c>
      <c r="J1754" t="s">
        <v>22</v>
      </c>
      <c r="K1754">
        <v>4</v>
      </c>
      <c r="L1754" t="e">
        <f t="array" ref="L1754">VLOOKUP(J1754:$J$3871&amp;K1754:$K$3871,CHOOSE({1,2},#REF!&amp;#REF!,#REF!),2,0)</f>
        <v>#N/A</v>
      </c>
      <c r="M1754">
        <v>0</v>
      </c>
      <c r="N1754">
        <v>1</v>
      </c>
      <c r="O1754" t="s">
        <v>23</v>
      </c>
      <c r="P1754">
        <v>1</v>
      </c>
      <c r="Q1754">
        <v>1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1</v>
      </c>
      <c r="Y1754">
        <v>0</v>
      </c>
      <c r="Z1754">
        <v>0</v>
      </c>
      <c r="AA1754" t="s">
        <v>4338</v>
      </c>
      <c r="AB1754" t="s">
        <v>2276</v>
      </c>
      <c r="AC1754" t="s">
        <v>4338</v>
      </c>
      <c r="AD1754" t="e">
        <f>VLOOKUP(AB1754,#REF!,2,FALSE)</f>
        <v>#REF!</v>
      </c>
      <c r="AE1754" t="e">
        <f>RIGHT(#REF!,(FIND("Complex",#REF!,1)-7))</f>
        <v>#REF!</v>
      </c>
    </row>
    <row r="1755" spans="1:31" x14ac:dyDescent="0.25">
      <c r="A1755">
        <v>502</v>
      </c>
      <c r="B1755" t="s">
        <v>48</v>
      </c>
      <c r="C1755">
        <v>2</v>
      </c>
      <c r="D1755">
        <v>165</v>
      </c>
      <c r="E1755">
        <v>502</v>
      </c>
      <c r="F1755">
        <v>1058401</v>
      </c>
      <c r="G1755">
        <v>1146600</v>
      </c>
      <c r="H1755">
        <f t="shared" si="54"/>
        <v>24.000022675736961</v>
      </c>
      <c r="I1755">
        <f t="shared" si="55"/>
        <v>26</v>
      </c>
      <c r="J1755" t="s">
        <v>22</v>
      </c>
      <c r="K1755">
        <v>3</v>
      </c>
      <c r="L1755" t="e">
        <f t="array" ref="L1755">VLOOKUP(J1755:$J$3871&amp;K1755:$K$3871,CHOOSE({1,2},#REF!&amp;#REF!,#REF!),2,0)</f>
        <v>#N/A</v>
      </c>
      <c r="M1755">
        <v>-15</v>
      </c>
      <c r="N1755">
        <v>0</v>
      </c>
      <c r="O1755" t="s">
        <v>7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1</v>
      </c>
      <c r="Y1755">
        <v>0</v>
      </c>
      <c r="Z1755">
        <v>0</v>
      </c>
      <c r="AA1755" t="s">
        <v>5528</v>
      </c>
      <c r="AB1755" t="s">
        <v>353</v>
      </c>
      <c r="AC1755" t="s">
        <v>5528</v>
      </c>
      <c r="AD1755" t="e">
        <f>VLOOKUP(AB1755,#REF!,2,FALSE)</f>
        <v>#REF!</v>
      </c>
      <c r="AE1755" t="e">
        <f>RIGHT(#REF!,(FIND("Complex",#REF!,1)-10))</f>
        <v>#REF!</v>
      </c>
    </row>
    <row r="1756" spans="1:31" x14ac:dyDescent="0.25">
      <c r="A1756">
        <v>2104</v>
      </c>
      <c r="B1756" t="s">
        <v>48</v>
      </c>
      <c r="C1756">
        <v>2</v>
      </c>
      <c r="D1756">
        <v>639</v>
      </c>
      <c r="E1756">
        <v>2104</v>
      </c>
      <c r="F1756">
        <v>793801</v>
      </c>
      <c r="G1756">
        <v>882000</v>
      </c>
      <c r="H1756">
        <f t="shared" si="54"/>
        <v>18.000022675736961</v>
      </c>
      <c r="I1756">
        <f t="shared" si="55"/>
        <v>20</v>
      </c>
      <c r="J1756" t="s">
        <v>22</v>
      </c>
      <c r="K1756">
        <v>3</v>
      </c>
      <c r="L1756" t="e">
        <f t="array" ref="L1756">VLOOKUP(J1756:$J$3871&amp;K1756:$K$3871,CHOOSE({1,2},#REF!&amp;#REF!,#REF!),2,0)</f>
        <v>#N/A</v>
      </c>
      <c r="M1756">
        <v>-15</v>
      </c>
      <c r="N1756">
        <v>0</v>
      </c>
      <c r="O1756" t="s">
        <v>7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1</v>
      </c>
      <c r="Y1756">
        <v>0</v>
      </c>
      <c r="Z1756">
        <v>0</v>
      </c>
      <c r="AA1756" t="s">
        <v>5714</v>
      </c>
      <c r="AB1756" t="s">
        <v>354</v>
      </c>
      <c r="AC1756" t="s">
        <v>5714</v>
      </c>
      <c r="AD1756" t="e">
        <f>VLOOKUP(AB1756,#REF!,2,FALSE)</f>
        <v>#REF!</v>
      </c>
      <c r="AE1756" t="e">
        <f>RIGHT(#REF!,(FIND("Complex",#REF!,1)-11))</f>
        <v>#REF!</v>
      </c>
    </row>
    <row r="1757" spans="1:31" x14ac:dyDescent="0.25">
      <c r="A1757">
        <v>2554</v>
      </c>
      <c r="B1757" t="s">
        <v>96</v>
      </c>
      <c r="C1757">
        <v>3</v>
      </c>
      <c r="D1757">
        <v>827</v>
      </c>
      <c r="E1757">
        <v>2554</v>
      </c>
      <c r="F1757">
        <v>3263401</v>
      </c>
      <c r="G1757">
        <v>3351600</v>
      </c>
      <c r="H1757">
        <f t="shared" si="54"/>
        <v>74.000022675736957</v>
      </c>
      <c r="I1757">
        <f t="shared" si="55"/>
        <v>76</v>
      </c>
      <c r="J1757" t="s">
        <v>22</v>
      </c>
      <c r="K1757">
        <v>3</v>
      </c>
      <c r="L1757" t="e">
        <f t="array" ref="L1757">VLOOKUP(J1757:$J$3871&amp;K1757:$K$3871,CHOOSE({1,2},#REF!&amp;#REF!,#REF!),2,0)</f>
        <v>#N/A</v>
      </c>
      <c r="M1757">
        <v>-15</v>
      </c>
      <c r="N1757">
        <v>0</v>
      </c>
      <c r="O1757" t="s">
        <v>7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1</v>
      </c>
      <c r="Y1757">
        <v>0</v>
      </c>
      <c r="Z1757">
        <v>0</v>
      </c>
      <c r="AA1757" t="s">
        <v>5034</v>
      </c>
      <c r="AB1757" t="s">
        <v>7234</v>
      </c>
      <c r="AC1757" t="s">
        <v>5034</v>
      </c>
      <c r="AD1757" t="e">
        <f>VLOOKUP(AB1757,#REF!,2,FALSE)</f>
        <v>#REF!</v>
      </c>
      <c r="AE1757" t="e">
        <f>RIGHT(#REF!,(FIND("Complex",#REF!,1)-11))</f>
        <v>#REF!</v>
      </c>
    </row>
    <row r="1758" spans="1:31" x14ac:dyDescent="0.25">
      <c r="A1758">
        <v>1822</v>
      </c>
      <c r="B1758" t="s">
        <v>96</v>
      </c>
      <c r="C1758">
        <v>3</v>
      </c>
      <c r="D1758">
        <v>550</v>
      </c>
      <c r="E1758">
        <v>1822</v>
      </c>
      <c r="F1758">
        <v>2028601</v>
      </c>
      <c r="G1758">
        <v>2116800</v>
      </c>
      <c r="H1758">
        <f t="shared" si="54"/>
        <v>46.000022675736965</v>
      </c>
      <c r="I1758">
        <f t="shared" si="55"/>
        <v>48</v>
      </c>
      <c r="J1758" t="s">
        <v>22</v>
      </c>
      <c r="K1758">
        <v>3</v>
      </c>
      <c r="L1758" t="e">
        <f t="array" ref="L1758">VLOOKUP(J1758:$J$3871&amp;K1758:$K$3871,CHOOSE({1,2},#REF!&amp;#REF!,#REF!),2,0)</f>
        <v>#N/A</v>
      </c>
      <c r="M1758">
        <v>-15</v>
      </c>
      <c r="N1758">
        <v>0</v>
      </c>
      <c r="O1758" t="s">
        <v>7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1</v>
      </c>
      <c r="Y1758">
        <v>0</v>
      </c>
      <c r="Z1758">
        <v>0</v>
      </c>
      <c r="AA1758" t="s">
        <v>5220</v>
      </c>
      <c r="AB1758" t="s">
        <v>7323</v>
      </c>
      <c r="AC1758" t="s">
        <v>5220</v>
      </c>
      <c r="AD1758" t="e">
        <f>VLOOKUP(AB1758,#REF!,2,FALSE)</f>
        <v>#REF!</v>
      </c>
      <c r="AE1758" t="e">
        <f>RIGHT(#REF!,(FIND("Complex",#REF!,1)-11))</f>
        <v>#REF!</v>
      </c>
    </row>
    <row r="1759" spans="1:31" x14ac:dyDescent="0.25">
      <c r="A1759">
        <v>2380</v>
      </c>
      <c r="B1759" t="s">
        <v>96</v>
      </c>
      <c r="C1759">
        <v>3</v>
      </c>
      <c r="D1759">
        <v>758</v>
      </c>
      <c r="E1759">
        <v>2380</v>
      </c>
      <c r="F1759">
        <v>1940401</v>
      </c>
      <c r="G1759">
        <v>2028600</v>
      </c>
      <c r="H1759">
        <f t="shared" si="54"/>
        <v>44.000022675736965</v>
      </c>
      <c r="I1759">
        <f t="shared" si="55"/>
        <v>46</v>
      </c>
      <c r="J1759" t="s">
        <v>22</v>
      </c>
      <c r="K1759">
        <v>3</v>
      </c>
      <c r="L1759" t="e">
        <f t="array" ref="L1759">VLOOKUP(J1759:$J$3871&amp;K1759:$K$3871,CHOOSE({1,2},#REF!&amp;#REF!,#REF!),2,0)</f>
        <v>#N/A</v>
      </c>
      <c r="M1759">
        <v>-15</v>
      </c>
      <c r="N1759">
        <v>0</v>
      </c>
      <c r="O1759" t="s">
        <v>7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1</v>
      </c>
      <c r="Y1759">
        <v>0</v>
      </c>
      <c r="Z1759">
        <v>0</v>
      </c>
      <c r="AA1759" t="s">
        <v>5237</v>
      </c>
      <c r="AB1759" t="s">
        <v>7330</v>
      </c>
      <c r="AC1759" t="s">
        <v>5237</v>
      </c>
      <c r="AD1759" t="e">
        <f>VLOOKUP(AB1759,#REF!,2,FALSE)</f>
        <v>#REF!</v>
      </c>
      <c r="AE1759" t="e">
        <f>RIGHT(#REF!,(FIND("Complex",#REF!,1)-11))</f>
        <v>#REF!</v>
      </c>
    </row>
    <row r="1760" spans="1:31" x14ac:dyDescent="0.25">
      <c r="A1760">
        <v>123</v>
      </c>
      <c r="B1760" t="s">
        <v>96</v>
      </c>
      <c r="C1760">
        <v>3</v>
      </c>
      <c r="D1760">
        <v>36</v>
      </c>
      <c r="E1760">
        <v>123</v>
      </c>
      <c r="F1760">
        <v>1675801</v>
      </c>
      <c r="G1760">
        <v>1764000</v>
      </c>
      <c r="H1760">
        <f t="shared" si="54"/>
        <v>38.000022675736965</v>
      </c>
      <c r="I1760">
        <f t="shared" si="55"/>
        <v>40</v>
      </c>
      <c r="J1760" t="s">
        <v>22</v>
      </c>
      <c r="K1760">
        <v>3</v>
      </c>
      <c r="L1760" t="e">
        <f t="array" ref="L1760">VLOOKUP(J1760:$J$3871&amp;K1760:$K$3871,CHOOSE({1,2},#REF!&amp;#REF!,#REF!),2,0)</f>
        <v>#N/A</v>
      </c>
      <c r="M1760">
        <v>-15</v>
      </c>
      <c r="N1760">
        <v>0</v>
      </c>
      <c r="O1760" t="s">
        <v>7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1</v>
      </c>
      <c r="Y1760">
        <v>0</v>
      </c>
      <c r="Z1760">
        <v>0</v>
      </c>
      <c r="AA1760" t="s">
        <v>5295</v>
      </c>
      <c r="AB1760" t="s">
        <v>371</v>
      </c>
      <c r="AC1760" t="s">
        <v>5295</v>
      </c>
      <c r="AD1760" t="e">
        <f>VLOOKUP(AB1760,#REF!,2,FALSE)</f>
        <v>#REF!</v>
      </c>
      <c r="AE1760" t="e">
        <f>RIGHT(#REF!,(FIND("Complex",#REF!,1)-10))</f>
        <v>#REF!</v>
      </c>
    </row>
    <row r="1761" spans="1:31" x14ac:dyDescent="0.25">
      <c r="A1761">
        <v>2326</v>
      </c>
      <c r="B1761" t="s">
        <v>96</v>
      </c>
      <c r="C1761">
        <v>3</v>
      </c>
      <c r="D1761">
        <v>734</v>
      </c>
      <c r="E1761">
        <v>2326</v>
      </c>
      <c r="F1761">
        <v>1058401</v>
      </c>
      <c r="G1761">
        <v>1146600</v>
      </c>
      <c r="H1761">
        <f t="shared" si="54"/>
        <v>24.000022675736961</v>
      </c>
      <c r="I1761">
        <f t="shared" si="55"/>
        <v>26</v>
      </c>
      <c r="J1761" t="s">
        <v>22</v>
      </c>
      <c r="K1761">
        <v>3</v>
      </c>
      <c r="L1761" t="e">
        <f t="array" ref="L1761">VLOOKUP(J1761:$J$3871&amp;K1761:$K$3871,CHOOSE({1,2},#REF!&amp;#REF!,#REF!),2,0)</f>
        <v>#N/A</v>
      </c>
      <c r="M1761">
        <v>-15</v>
      </c>
      <c r="N1761">
        <v>0</v>
      </c>
      <c r="O1761" t="s">
        <v>7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1</v>
      </c>
      <c r="Y1761">
        <v>0</v>
      </c>
      <c r="Z1761">
        <v>0</v>
      </c>
      <c r="AA1761" t="s">
        <v>5525</v>
      </c>
      <c r="AB1761" t="s">
        <v>7508</v>
      </c>
      <c r="AC1761" t="s">
        <v>5525</v>
      </c>
      <c r="AD1761" t="e">
        <f>VLOOKUP(AB1761,#REF!,2,FALSE)</f>
        <v>#REF!</v>
      </c>
      <c r="AE1761" t="e">
        <f>RIGHT(#REF!,(FIND("Complex",#REF!,1)-11))</f>
        <v>#REF!</v>
      </c>
    </row>
    <row r="1762" spans="1:31" x14ac:dyDescent="0.25">
      <c r="A1762">
        <v>908</v>
      </c>
      <c r="B1762" t="s">
        <v>96</v>
      </c>
      <c r="C1762">
        <v>3</v>
      </c>
      <c r="D1762">
        <v>276</v>
      </c>
      <c r="E1762">
        <v>908</v>
      </c>
      <c r="F1762">
        <v>7232401</v>
      </c>
      <c r="G1762">
        <v>7320600</v>
      </c>
      <c r="H1762">
        <f t="shared" si="54"/>
        <v>164.00002267573697</v>
      </c>
      <c r="I1762">
        <f t="shared" si="55"/>
        <v>166</v>
      </c>
      <c r="J1762" t="s">
        <v>22</v>
      </c>
      <c r="K1762">
        <v>3</v>
      </c>
      <c r="L1762" t="e">
        <f t="array" ref="L1762">VLOOKUP(J1762:$J$3871&amp;K1762:$K$3871,CHOOSE({1,2},#REF!&amp;#REF!,#REF!),2,0)</f>
        <v>#N/A</v>
      </c>
      <c r="M1762">
        <v>-15</v>
      </c>
      <c r="N1762">
        <v>0</v>
      </c>
      <c r="O1762" t="s">
        <v>7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1</v>
      </c>
      <c r="Y1762">
        <v>0</v>
      </c>
      <c r="Z1762">
        <v>0</v>
      </c>
      <c r="AA1762" t="s">
        <v>5777</v>
      </c>
      <c r="AB1762" t="s">
        <v>7665</v>
      </c>
      <c r="AC1762" t="s">
        <v>5777</v>
      </c>
      <c r="AD1762" t="e">
        <f>VLOOKUP(AB1762,#REF!,2,FALSE)</f>
        <v>#REF!</v>
      </c>
      <c r="AE1762" t="e">
        <f>RIGHT(#REF!,(FIND("Complex",#REF!,1)-9))</f>
        <v>#REF!</v>
      </c>
    </row>
    <row r="1763" spans="1:31" x14ac:dyDescent="0.25">
      <c r="A1763">
        <v>1493</v>
      </c>
      <c r="B1763" t="s">
        <v>96</v>
      </c>
      <c r="C1763">
        <v>3</v>
      </c>
      <c r="D1763">
        <v>455</v>
      </c>
      <c r="E1763">
        <v>1493</v>
      </c>
      <c r="F1763">
        <v>7056001</v>
      </c>
      <c r="G1763">
        <v>7144200</v>
      </c>
      <c r="H1763">
        <f t="shared" si="54"/>
        <v>160.00002267573697</v>
      </c>
      <c r="I1763">
        <f t="shared" si="55"/>
        <v>162</v>
      </c>
      <c r="J1763" t="s">
        <v>22</v>
      </c>
      <c r="K1763">
        <v>3</v>
      </c>
      <c r="L1763" t="e">
        <f t="array" ref="L1763">VLOOKUP(J1763:$J$3871&amp;K1763:$K$3871,CHOOSE({1,2},#REF!&amp;#REF!,#REF!),2,0)</f>
        <v>#N/A</v>
      </c>
      <c r="M1763">
        <v>-15</v>
      </c>
      <c r="N1763">
        <v>0</v>
      </c>
      <c r="O1763" t="s">
        <v>7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1</v>
      </c>
      <c r="Y1763">
        <v>0</v>
      </c>
      <c r="Z1763">
        <v>0</v>
      </c>
      <c r="AA1763" t="s">
        <v>5801</v>
      </c>
      <c r="AB1763" t="s">
        <v>7682</v>
      </c>
      <c r="AC1763" t="s">
        <v>5801</v>
      </c>
      <c r="AD1763" t="e">
        <f>VLOOKUP(AB1763,#REF!,2,FALSE)</f>
        <v>#REF!</v>
      </c>
      <c r="AE1763" t="e">
        <f>RIGHT(#REF!,(FIND("Complex",#REF!,1)-10))</f>
        <v>#REF!</v>
      </c>
    </row>
    <row r="1764" spans="1:31" x14ac:dyDescent="0.25">
      <c r="A1764">
        <v>2156</v>
      </c>
      <c r="B1764" t="s">
        <v>68</v>
      </c>
      <c r="C1764">
        <v>4</v>
      </c>
      <c r="D1764">
        <v>659</v>
      </c>
      <c r="E1764">
        <v>2156</v>
      </c>
      <c r="F1764">
        <v>705601</v>
      </c>
      <c r="G1764">
        <v>793800</v>
      </c>
      <c r="H1764">
        <f t="shared" si="54"/>
        <v>16.000022675736961</v>
      </c>
      <c r="I1764">
        <f t="shared" si="55"/>
        <v>18</v>
      </c>
      <c r="J1764" t="s">
        <v>22</v>
      </c>
      <c r="K1764">
        <v>3</v>
      </c>
      <c r="L1764" t="e">
        <f t="array" ref="L1764">VLOOKUP(J1764:$J$3871&amp;K1764:$K$3871,CHOOSE({1,2},#REF!&amp;#REF!,#REF!),2,0)</f>
        <v>#N/A</v>
      </c>
      <c r="M1764">
        <v>-15</v>
      </c>
      <c r="N1764">
        <v>0</v>
      </c>
      <c r="O1764" t="s">
        <v>7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1</v>
      </c>
      <c r="Y1764">
        <v>0</v>
      </c>
      <c r="Z1764">
        <v>0</v>
      </c>
      <c r="AA1764" t="s">
        <v>5820</v>
      </c>
      <c r="AB1764" t="s">
        <v>7688</v>
      </c>
      <c r="AC1764" t="s">
        <v>5820</v>
      </c>
      <c r="AD1764" t="e">
        <f>VLOOKUP(AB1764,#REF!,2,FALSE)</f>
        <v>#REF!</v>
      </c>
      <c r="AE1764" t="e">
        <f>RIGHT(#REF!,(FIND("Complex",#REF!,1)-11))</f>
        <v>#REF!</v>
      </c>
    </row>
    <row r="1765" spans="1:31" x14ac:dyDescent="0.25">
      <c r="A1765">
        <v>2296</v>
      </c>
      <c r="B1765" t="s">
        <v>68</v>
      </c>
      <c r="C1765">
        <v>4</v>
      </c>
      <c r="D1765">
        <v>720</v>
      </c>
      <c r="E1765">
        <v>2296</v>
      </c>
      <c r="F1765">
        <v>6879601</v>
      </c>
      <c r="G1765">
        <v>6967800</v>
      </c>
      <c r="H1765">
        <f t="shared" si="54"/>
        <v>156.00002267573697</v>
      </c>
      <c r="I1765">
        <f t="shared" si="55"/>
        <v>158</v>
      </c>
      <c r="J1765" t="s">
        <v>22</v>
      </c>
      <c r="K1765">
        <v>3</v>
      </c>
      <c r="L1765" t="e">
        <f t="array" ref="L1765">VLOOKUP(J1765:$J$3871&amp;K1765:$K$3871,CHOOSE({1,2},#REF!&amp;#REF!,#REF!),2,0)</f>
        <v>#N/A</v>
      </c>
      <c r="M1765">
        <v>-15</v>
      </c>
      <c r="N1765">
        <v>0</v>
      </c>
      <c r="O1765" t="s">
        <v>7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1</v>
      </c>
      <c r="Y1765">
        <v>0</v>
      </c>
      <c r="Z1765">
        <v>0</v>
      </c>
      <c r="AA1765" t="s">
        <v>5844</v>
      </c>
      <c r="AB1765" t="s">
        <v>7705</v>
      </c>
      <c r="AC1765" t="s">
        <v>5844</v>
      </c>
      <c r="AD1765" t="e">
        <f>VLOOKUP(AB1765,#REF!,2,FALSE)</f>
        <v>#REF!</v>
      </c>
      <c r="AE1765" t="e">
        <f>RIGHT(#REF!,(FIND("Complex",#REF!,1)-10))</f>
        <v>#REF!</v>
      </c>
    </row>
    <row r="1766" spans="1:31" x14ac:dyDescent="0.25">
      <c r="A1766">
        <v>2048</v>
      </c>
      <c r="B1766" t="s">
        <v>81</v>
      </c>
      <c r="C1766">
        <v>5</v>
      </c>
      <c r="D1766">
        <v>620</v>
      </c>
      <c r="E1766">
        <v>2048</v>
      </c>
      <c r="F1766">
        <v>17199001</v>
      </c>
      <c r="G1766">
        <v>17287200</v>
      </c>
      <c r="H1766">
        <f t="shared" si="54"/>
        <v>390.00002267573694</v>
      </c>
      <c r="I1766">
        <f t="shared" si="55"/>
        <v>392</v>
      </c>
      <c r="J1766" t="s">
        <v>22</v>
      </c>
      <c r="K1766">
        <v>3</v>
      </c>
      <c r="L1766" t="e">
        <f t="array" ref="L1766">VLOOKUP(J1766:$J$3871&amp;K1766:$K$3871,CHOOSE({1,2},#REF!&amp;#REF!,#REF!),2,0)</f>
        <v>#N/A</v>
      </c>
      <c r="M1766">
        <v>-15</v>
      </c>
      <c r="N1766">
        <v>0</v>
      </c>
      <c r="O1766" t="s">
        <v>7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1</v>
      </c>
      <c r="Y1766">
        <v>0</v>
      </c>
      <c r="Z1766">
        <v>0</v>
      </c>
      <c r="AA1766" t="s">
        <v>5285</v>
      </c>
      <c r="AB1766" t="s">
        <v>7357</v>
      </c>
      <c r="AC1766" t="s">
        <v>5285</v>
      </c>
      <c r="AD1766" t="e">
        <f>VLOOKUP(AB1766,#REF!,2,FALSE)</f>
        <v>#REF!</v>
      </c>
      <c r="AE1766" t="e">
        <f>RIGHT(#REF!,(FIND("Complex",#REF!,1)-10))</f>
        <v>#REF!</v>
      </c>
    </row>
    <row r="1767" spans="1:31" x14ac:dyDescent="0.25">
      <c r="A1767">
        <v>605</v>
      </c>
      <c r="B1767" t="s">
        <v>81</v>
      </c>
      <c r="C1767">
        <v>5</v>
      </c>
      <c r="D1767">
        <v>193</v>
      </c>
      <c r="E1767">
        <v>605</v>
      </c>
      <c r="F1767">
        <v>16669801</v>
      </c>
      <c r="G1767">
        <v>16758000</v>
      </c>
      <c r="H1767">
        <f t="shared" si="54"/>
        <v>378.00002267573694</v>
      </c>
      <c r="I1767">
        <f t="shared" si="55"/>
        <v>380</v>
      </c>
      <c r="J1767" t="s">
        <v>22</v>
      </c>
      <c r="K1767">
        <v>3</v>
      </c>
      <c r="L1767" t="e">
        <f t="array" ref="L1767">VLOOKUP(J1767:$J$3871&amp;K1767:$K$3871,CHOOSE({1,2},#REF!&amp;#REF!,#REF!),2,0)</f>
        <v>#N/A</v>
      </c>
      <c r="M1767">
        <v>-15</v>
      </c>
      <c r="N1767">
        <v>0</v>
      </c>
      <c r="O1767" t="s">
        <v>7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1</v>
      </c>
      <c r="Y1767">
        <v>0</v>
      </c>
      <c r="Z1767">
        <v>0</v>
      </c>
      <c r="AA1767" t="s">
        <v>5301</v>
      </c>
      <c r="AB1767" t="s">
        <v>7362</v>
      </c>
      <c r="AC1767" t="s">
        <v>5301</v>
      </c>
      <c r="AD1767" t="e">
        <f>VLOOKUP(AB1767,#REF!,2,FALSE)</f>
        <v>#REF!</v>
      </c>
      <c r="AE1767" t="e">
        <f>RIGHT(#REF!,(FIND("Complex",#REF!,1)-9))</f>
        <v>#REF!</v>
      </c>
    </row>
    <row r="1768" spans="1:31" x14ac:dyDescent="0.25">
      <c r="A1768">
        <v>178</v>
      </c>
      <c r="B1768" t="s">
        <v>81</v>
      </c>
      <c r="C1768">
        <v>5</v>
      </c>
      <c r="D1768">
        <v>56</v>
      </c>
      <c r="E1768">
        <v>178</v>
      </c>
      <c r="F1768">
        <v>15876001</v>
      </c>
      <c r="G1768">
        <v>15964200</v>
      </c>
      <c r="H1768">
        <f t="shared" si="54"/>
        <v>360.00002267573694</v>
      </c>
      <c r="I1768">
        <f t="shared" si="55"/>
        <v>362</v>
      </c>
      <c r="J1768" t="s">
        <v>22</v>
      </c>
      <c r="K1768">
        <v>3</v>
      </c>
      <c r="L1768" t="e">
        <f t="array" ref="L1768">VLOOKUP(J1768:$J$3871&amp;K1768:$K$3871,CHOOSE({1,2},#REF!&amp;#REF!,#REF!),2,0)</f>
        <v>#N/A</v>
      </c>
      <c r="M1768">
        <v>-15</v>
      </c>
      <c r="N1768">
        <v>0</v>
      </c>
      <c r="O1768" t="s">
        <v>7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1</v>
      </c>
      <c r="Y1768">
        <v>0</v>
      </c>
      <c r="Z1768">
        <v>0</v>
      </c>
      <c r="AA1768" t="s">
        <v>5310</v>
      </c>
      <c r="AB1768" t="s">
        <v>439</v>
      </c>
      <c r="AC1768" t="s">
        <v>5310</v>
      </c>
      <c r="AD1768" t="e">
        <f>VLOOKUP(AB1768,#REF!,2,FALSE)</f>
        <v>#REF!</v>
      </c>
      <c r="AE1768" t="e">
        <f>RIGHT(#REF!,(FIND("Complex",#REF!,1)-9))</f>
        <v>#REF!</v>
      </c>
    </row>
    <row r="1769" spans="1:31" x14ac:dyDescent="0.25">
      <c r="A1769">
        <v>1605</v>
      </c>
      <c r="B1769" t="s">
        <v>94</v>
      </c>
      <c r="C1769">
        <v>7</v>
      </c>
      <c r="D1769">
        <v>488</v>
      </c>
      <c r="E1769">
        <v>1605</v>
      </c>
      <c r="F1769">
        <v>1234801</v>
      </c>
      <c r="G1769">
        <v>1323000</v>
      </c>
      <c r="H1769">
        <f t="shared" si="54"/>
        <v>28.000022675736961</v>
      </c>
      <c r="I1769">
        <f t="shared" si="55"/>
        <v>30</v>
      </c>
      <c r="J1769" t="s">
        <v>22</v>
      </c>
      <c r="K1769">
        <v>3</v>
      </c>
      <c r="L1769" t="e">
        <f t="array" ref="L1769">VLOOKUP(J1769:$J$3871&amp;K1769:$K$3871,CHOOSE({1,2},#REF!&amp;#REF!,#REF!),2,0)</f>
        <v>#N/A</v>
      </c>
      <c r="M1769">
        <v>-15</v>
      </c>
      <c r="N1769">
        <v>0</v>
      </c>
      <c r="O1769" t="s">
        <v>7</v>
      </c>
      <c r="P1769">
        <v>0</v>
      </c>
      <c r="Q1769">
        <v>1</v>
      </c>
      <c r="R1769">
        <v>0</v>
      </c>
      <c r="S1769">
        <v>0</v>
      </c>
      <c r="T1769">
        <v>1</v>
      </c>
      <c r="U1769">
        <v>0</v>
      </c>
      <c r="V1769">
        <v>1</v>
      </c>
      <c r="W1769">
        <v>0</v>
      </c>
      <c r="X1769">
        <v>0</v>
      </c>
      <c r="Y1769">
        <v>0</v>
      </c>
      <c r="Z1769">
        <v>0</v>
      </c>
      <c r="AA1769" t="s">
        <v>5410</v>
      </c>
      <c r="AB1769" t="s">
        <v>7428</v>
      </c>
      <c r="AC1769" t="s">
        <v>5410</v>
      </c>
      <c r="AD1769" t="e">
        <f>VLOOKUP(AB1769,#REF!,2,FALSE)</f>
        <v>#REF!</v>
      </c>
      <c r="AE1769" t="e">
        <f>RIGHT(#REF!,(FIND("Complex",#REF!,1)-11))</f>
        <v>#REF!</v>
      </c>
    </row>
    <row r="1770" spans="1:31" x14ac:dyDescent="0.25">
      <c r="A1770">
        <v>212</v>
      </c>
      <c r="B1770" t="s">
        <v>94</v>
      </c>
      <c r="C1770">
        <v>7</v>
      </c>
      <c r="D1770">
        <v>66</v>
      </c>
      <c r="E1770">
        <v>212</v>
      </c>
      <c r="F1770">
        <v>1058401</v>
      </c>
      <c r="G1770">
        <v>1146600</v>
      </c>
      <c r="H1770">
        <f t="shared" si="54"/>
        <v>24.000022675736961</v>
      </c>
      <c r="I1770">
        <f t="shared" si="55"/>
        <v>26</v>
      </c>
      <c r="J1770" t="s">
        <v>22</v>
      </c>
      <c r="K1770">
        <v>3</v>
      </c>
      <c r="L1770" t="e">
        <f t="array" ref="L1770">VLOOKUP(J1770:$J$3871&amp;K1770:$K$3871,CHOOSE({1,2},#REF!&amp;#REF!,#REF!),2,0)</f>
        <v>#N/A</v>
      </c>
      <c r="M1770">
        <v>-15</v>
      </c>
      <c r="N1770">
        <v>0</v>
      </c>
      <c r="O1770" t="s">
        <v>7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0</v>
      </c>
      <c r="V1770">
        <v>1</v>
      </c>
      <c r="W1770">
        <v>0</v>
      </c>
      <c r="X1770">
        <v>0</v>
      </c>
      <c r="Y1770">
        <v>0</v>
      </c>
      <c r="Z1770">
        <v>1</v>
      </c>
      <c r="AA1770" t="s">
        <v>5523</v>
      </c>
      <c r="AB1770" t="s">
        <v>466</v>
      </c>
      <c r="AC1770" t="s">
        <v>5523</v>
      </c>
      <c r="AD1770" t="e">
        <f>VLOOKUP(AB1770,#REF!,2,FALSE)</f>
        <v>#REF!</v>
      </c>
      <c r="AE1770" t="e">
        <f>RIGHT(#REF!,(FIND("Complex",#REF!,1)-10))</f>
        <v>#REF!</v>
      </c>
    </row>
    <row r="1771" spans="1:31" x14ac:dyDescent="0.25">
      <c r="A1771">
        <v>1864</v>
      </c>
      <c r="B1771" t="s">
        <v>89</v>
      </c>
      <c r="C1771">
        <v>8</v>
      </c>
      <c r="D1771">
        <v>560</v>
      </c>
      <c r="E1771">
        <v>1864</v>
      </c>
      <c r="F1771">
        <v>4057201</v>
      </c>
      <c r="G1771">
        <v>4145400</v>
      </c>
      <c r="H1771">
        <f t="shared" si="54"/>
        <v>92.000022675736957</v>
      </c>
      <c r="I1771">
        <f t="shared" si="55"/>
        <v>94</v>
      </c>
      <c r="J1771" t="s">
        <v>22</v>
      </c>
      <c r="K1771">
        <v>3</v>
      </c>
      <c r="L1771" t="e">
        <f t="array" ref="L1771">VLOOKUP(J1771:$J$3871&amp;K1771:$K$3871,CHOOSE({1,2},#REF!&amp;#REF!,#REF!),2,0)</f>
        <v>#N/A</v>
      </c>
      <c r="M1771">
        <v>-15</v>
      </c>
      <c r="N1771">
        <v>0</v>
      </c>
      <c r="O1771" t="s">
        <v>7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1</v>
      </c>
      <c r="AA1771" t="s">
        <v>4914</v>
      </c>
      <c r="AB1771" t="s">
        <v>7169</v>
      </c>
      <c r="AC1771" t="s">
        <v>4914</v>
      </c>
      <c r="AD1771" t="e">
        <f>VLOOKUP(AB1771,#REF!,2,FALSE)</f>
        <v>#REF!</v>
      </c>
      <c r="AE1771" t="e">
        <f>RIGHT(#REF!,(FIND("Complex",#REF!,1)-11))</f>
        <v>#REF!</v>
      </c>
    </row>
    <row r="1772" spans="1:31" x14ac:dyDescent="0.25">
      <c r="A1772">
        <v>2155</v>
      </c>
      <c r="B1772" t="s">
        <v>89</v>
      </c>
      <c r="C1772">
        <v>8</v>
      </c>
      <c r="D1772">
        <v>658</v>
      </c>
      <c r="E1772">
        <v>2155</v>
      </c>
      <c r="F1772">
        <v>6791401</v>
      </c>
      <c r="G1772">
        <v>6879600</v>
      </c>
      <c r="H1772">
        <f t="shared" si="54"/>
        <v>154.00002267573697</v>
      </c>
      <c r="I1772">
        <f t="shared" si="55"/>
        <v>156</v>
      </c>
      <c r="J1772" t="s">
        <v>22</v>
      </c>
      <c r="K1772">
        <v>3</v>
      </c>
      <c r="L1772" t="e">
        <f t="array" ref="L1772">VLOOKUP(J1772:$J$3871&amp;K1772:$K$3871,CHOOSE({1,2},#REF!&amp;#REF!,#REF!),2,0)</f>
        <v>#N/A</v>
      </c>
      <c r="M1772">
        <v>-15</v>
      </c>
      <c r="N1772">
        <v>0</v>
      </c>
      <c r="O1772" t="s">
        <v>7</v>
      </c>
      <c r="P1772">
        <v>0</v>
      </c>
      <c r="Q1772">
        <v>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 t="s">
        <v>5856</v>
      </c>
      <c r="AB1772" t="s">
        <v>508</v>
      </c>
      <c r="AC1772" t="s">
        <v>5856</v>
      </c>
      <c r="AD1772" t="e">
        <f>VLOOKUP(AB1772,#REF!,2,FALSE)</f>
        <v>#REF!</v>
      </c>
      <c r="AE1772" t="e">
        <f>RIGHT(#REF!,(FIND("Complex",#REF!,1)-10))</f>
        <v>#REF!</v>
      </c>
    </row>
    <row r="1773" spans="1:31" x14ac:dyDescent="0.25">
      <c r="A1773">
        <v>1334</v>
      </c>
      <c r="B1773" t="s">
        <v>89</v>
      </c>
      <c r="C1773">
        <v>8</v>
      </c>
      <c r="D1773">
        <v>406</v>
      </c>
      <c r="E1773">
        <v>1334</v>
      </c>
      <c r="F1773">
        <v>6350401</v>
      </c>
      <c r="G1773">
        <v>6438600</v>
      </c>
      <c r="H1773">
        <f t="shared" si="54"/>
        <v>144.00002267573697</v>
      </c>
      <c r="I1773">
        <f t="shared" si="55"/>
        <v>146</v>
      </c>
      <c r="J1773" t="s">
        <v>22</v>
      </c>
      <c r="K1773">
        <v>3</v>
      </c>
      <c r="L1773" t="e">
        <f t="array" ref="L1773">VLOOKUP(J1773:$J$3871&amp;K1773:$K$3871,CHOOSE({1,2},#REF!&amp;#REF!,#REF!),2,0)</f>
        <v>#N/A</v>
      </c>
      <c r="M1773">
        <v>-15</v>
      </c>
      <c r="N1773">
        <v>0</v>
      </c>
      <c r="O1773" t="s">
        <v>7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1</v>
      </c>
      <c r="Y1773">
        <v>0</v>
      </c>
      <c r="Z1773">
        <v>0</v>
      </c>
      <c r="AA1773" t="s">
        <v>5903</v>
      </c>
      <c r="AB1773" t="s">
        <v>509</v>
      </c>
      <c r="AC1773" t="s">
        <v>5903</v>
      </c>
      <c r="AD1773" t="e">
        <f>VLOOKUP(AB1773,#REF!,2,FALSE)</f>
        <v>#REF!</v>
      </c>
      <c r="AE1773" t="e">
        <f>RIGHT(#REF!,(FIND("Complex",#REF!,1)-10))</f>
        <v>#REF!</v>
      </c>
    </row>
    <row r="1774" spans="1:31" x14ac:dyDescent="0.25">
      <c r="A1774">
        <v>378</v>
      </c>
      <c r="B1774" t="s">
        <v>89</v>
      </c>
      <c r="C1774">
        <v>8</v>
      </c>
      <c r="D1774">
        <v>121</v>
      </c>
      <c r="E1774">
        <v>378</v>
      </c>
      <c r="F1774">
        <v>4851001</v>
      </c>
      <c r="G1774">
        <v>4939200</v>
      </c>
      <c r="H1774">
        <f t="shared" si="54"/>
        <v>110.00002267573696</v>
      </c>
      <c r="I1774">
        <f t="shared" si="55"/>
        <v>112</v>
      </c>
      <c r="J1774" t="s">
        <v>22</v>
      </c>
      <c r="K1774">
        <v>3</v>
      </c>
      <c r="L1774" t="e">
        <f t="array" ref="L1774">VLOOKUP(J1774:$J$3871&amp;K1774:$K$3871,CHOOSE({1,2},#REF!&amp;#REF!,#REF!),2,0)</f>
        <v>#N/A</v>
      </c>
      <c r="M1774">
        <v>-15</v>
      </c>
      <c r="N1774">
        <v>0</v>
      </c>
      <c r="O1774" t="s">
        <v>7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1</v>
      </c>
      <c r="AA1774" t="s">
        <v>6075</v>
      </c>
      <c r="AB1774" t="s">
        <v>7837</v>
      </c>
      <c r="AC1774" t="s">
        <v>6075</v>
      </c>
      <c r="AD1774" t="e">
        <f>VLOOKUP(AB1774,#REF!,2,FALSE)</f>
        <v>#REF!</v>
      </c>
      <c r="AE1774" t="e">
        <f>RIGHT(#REF!,(FIND("Complex",#REF!,1)-9))</f>
        <v>#REF!</v>
      </c>
    </row>
    <row r="1775" spans="1:31" x14ac:dyDescent="0.25">
      <c r="A1775">
        <v>1796</v>
      </c>
      <c r="B1775" t="s">
        <v>234</v>
      </c>
      <c r="C1775">
        <v>10</v>
      </c>
      <c r="D1775">
        <v>541</v>
      </c>
      <c r="E1775">
        <v>1796</v>
      </c>
      <c r="F1775">
        <v>2822401</v>
      </c>
      <c r="G1775">
        <v>2910600</v>
      </c>
      <c r="H1775">
        <f t="shared" si="54"/>
        <v>64.000022675736957</v>
      </c>
      <c r="I1775">
        <f t="shared" si="55"/>
        <v>66</v>
      </c>
      <c r="J1775" t="s">
        <v>22</v>
      </c>
      <c r="K1775">
        <v>3</v>
      </c>
      <c r="L1775" t="e">
        <f t="array" ref="L1775">VLOOKUP(J1775:$J$3871&amp;K1775:$K$3871,CHOOSE({1,2},#REF!&amp;#REF!,#REF!),2,0)</f>
        <v>#N/A</v>
      </c>
      <c r="M1775">
        <v>-15</v>
      </c>
      <c r="N1775">
        <v>0</v>
      </c>
      <c r="O1775" t="s">
        <v>7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1</v>
      </c>
      <c r="Y1775">
        <v>0</v>
      </c>
      <c r="Z1775">
        <v>0</v>
      </c>
      <c r="AA1775" t="s">
        <v>5094</v>
      </c>
      <c r="AB1775" t="s">
        <v>518</v>
      </c>
      <c r="AC1775" t="s">
        <v>5094</v>
      </c>
      <c r="AD1775" t="e">
        <f>VLOOKUP(AB1775,#REF!,2,FALSE)</f>
        <v>#REF!</v>
      </c>
      <c r="AE1775" t="e">
        <f>RIGHT(#REF!,(FIND("Complex",#REF!,1)-10))</f>
        <v>#REF!</v>
      </c>
    </row>
    <row r="1776" spans="1:31" x14ac:dyDescent="0.25">
      <c r="A1776">
        <v>2221</v>
      </c>
      <c r="B1776" t="s">
        <v>234</v>
      </c>
      <c r="C1776">
        <v>10</v>
      </c>
      <c r="D1776">
        <v>687</v>
      </c>
      <c r="E1776">
        <v>2221</v>
      </c>
      <c r="F1776">
        <v>264601</v>
      </c>
      <c r="G1776">
        <v>352800</v>
      </c>
      <c r="H1776">
        <f t="shared" si="54"/>
        <v>6.000022675736961</v>
      </c>
      <c r="I1776">
        <f t="shared" si="55"/>
        <v>8</v>
      </c>
      <c r="J1776" t="s">
        <v>22</v>
      </c>
      <c r="K1776">
        <v>3</v>
      </c>
      <c r="L1776" t="e">
        <f t="array" ref="L1776">VLOOKUP(J1776:$J$3871&amp;K1776:$K$3871,CHOOSE({1,2},#REF!&amp;#REF!,#REF!),2,0)</f>
        <v>#N/A</v>
      </c>
      <c r="M1776">
        <v>-15</v>
      </c>
      <c r="N1776">
        <v>0</v>
      </c>
      <c r="O1776" t="s">
        <v>7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1</v>
      </c>
      <c r="Y1776">
        <v>0</v>
      </c>
      <c r="Z1776">
        <v>0</v>
      </c>
      <c r="AA1776" t="s">
        <v>5136</v>
      </c>
      <c r="AB1776" t="s">
        <v>7284</v>
      </c>
      <c r="AC1776" t="s">
        <v>5136</v>
      </c>
      <c r="AD1776" t="e">
        <f>VLOOKUP(AB1776,#REF!,2,FALSE)</f>
        <v>#REF!</v>
      </c>
      <c r="AE1776" t="e">
        <f>RIGHT(#REF!,(FIND("Complex",#REF!,1)-11))</f>
        <v>#REF!</v>
      </c>
    </row>
    <row r="1777" spans="1:31" x14ac:dyDescent="0.25">
      <c r="A1777">
        <v>519</v>
      </c>
      <c r="B1777" t="s">
        <v>234</v>
      </c>
      <c r="C1777">
        <v>10</v>
      </c>
      <c r="D1777">
        <v>167</v>
      </c>
      <c r="E1777">
        <v>519</v>
      </c>
      <c r="F1777">
        <v>2557801</v>
      </c>
      <c r="G1777">
        <v>2646000</v>
      </c>
      <c r="H1777">
        <f t="shared" si="54"/>
        <v>58.000022675736965</v>
      </c>
      <c r="I1777">
        <f t="shared" si="55"/>
        <v>60</v>
      </c>
      <c r="J1777" t="s">
        <v>22</v>
      </c>
      <c r="K1777">
        <v>3</v>
      </c>
      <c r="L1777" t="e">
        <f t="array" ref="L1777">VLOOKUP(J1777:$J$3871&amp;K1777:$K$3871,CHOOSE({1,2},#REF!&amp;#REF!,#REF!),2,0)</f>
        <v>#N/A</v>
      </c>
      <c r="M1777">
        <v>-15</v>
      </c>
      <c r="N1777">
        <v>0</v>
      </c>
      <c r="O1777" t="s">
        <v>7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1</v>
      </c>
      <c r="Y1777">
        <v>0</v>
      </c>
      <c r="Z1777">
        <v>0</v>
      </c>
      <c r="AA1777" t="s">
        <v>5149</v>
      </c>
      <c r="AB1777" t="s">
        <v>7291</v>
      </c>
      <c r="AC1777" t="s">
        <v>5149</v>
      </c>
      <c r="AD1777" t="e">
        <f>VLOOKUP(AB1777,#REF!,2,FALSE)</f>
        <v>#REF!</v>
      </c>
      <c r="AE1777" t="e">
        <f>RIGHT(#REF!,(FIND("Complex",#REF!,1)-9))</f>
        <v>#REF!</v>
      </c>
    </row>
    <row r="1778" spans="1:31" x14ac:dyDescent="0.25">
      <c r="A1778">
        <v>275</v>
      </c>
      <c r="B1778" t="s">
        <v>234</v>
      </c>
      <c r="C1778">
        <v>10</v>
      </c>
      <c r="D1778">
        <v>82</v>
      </c>
      <c r="E1778">
        <v>275</v>
      </c>
      <c r="F1778">
        <v>1411201</v>
      </c>
      <c r="G1778">
        <v>1499400</v>
      </c>
      <c r="H1778">
        <f t="shared" si="54"/>
        <v>32.000022675736965</v>
      </c>
      <c r="I1778">
        <f t="shared" si="55"/>
        <v>34</v>
      </c>
      <c r="J1778" t="s">
        <v>22</v>
      </c>
      <c r="K1778">
        <v>3</v>
      </c>
      <c r="L1778" t="e">
        <f t="array" ref="L1778">VLOOKUP(J1778:$J$3871&amp;K1778:$K$3871,CHOOSE({1,2},#REF!&amp;#REF!,#REF!),2,0)</f>
        <v>#N/A</v>
      </c>
      <c r="M1778">
        <v>-15</v>
      </c>
      <c r="N1778">
        <v>0</v>
      </c>
      <c r="O1778" t="s">
        <v>7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1</v>
      </c>
      <c r="Y1778">
        <v>0</v>
      </c>
      <c r="Z1778">
        <v>0</v>
      </c>
      <c r="AA1778" t="s">
        <v>5368</v>
      </c>
      <c r="AB1778" t="s">
        <v>7401</v>
      </c>
      <c r="AC1778" t="s">
        <v>5368</v>
      </c>
      <c r="AD1778" t="e">
        <f>VLOOKUP(AB1778,#REF!,2,FALSE)</f>
        <v>#REF!</v>
      </c>
      <c r="AE1778" t="e">
        <f>RIGHT(#REF!,(FIND("Complex",#REF!,1)-9))</f>
        <v>#REF!</v>
      </c>
    </row>
    <row r="1779" spans="1:31" x14ac:dyDescent="0.25">
      <c r="A1779">
        <v>2024</v>
      </c>
      <c r="B1779" t="s">
        <v>234</v>
      </c>
      <c r="C1779">
        <v>10</v>
      </c>
      <c r="D1779">
        <v>615</v>
      </c>
      <c r="E1779">
        <v>2024</v>
      </c>
      <c r="F1779">
        <v>6262201</v>
      </c>
      <c r="G1779">
        <v>6350400</v>
      </c>
      <c r="H1779">
        <f t="shared" si="54"/>
        <v>142.00002267573697</v>
      </c>
      <c r="I1779">
        <f t="shared" si="55"/>
        <v>144</v>
      </c>
      <c r="J1779" t="s">
        <v>22</v>
      </c>
      <c r="K1779">
        <v>3</v>
      </c>
      <c r="L1779" t="e">
        <f t="array" ref="L1779">VLOOKUP(J1779:$J$3871&amp;K1779:$K$3871,CHOOSE({1,2},#REF!&amp;#REF!,#REF!),2,0)</f>
        <v>#N/A</v>
      </c>
      <c r="M1779">
        <v>-15</v>
      </c>
      <c r="N1779">
        <v>0</v>
      </c>
      <c r="O1779" t="s">
        <v>7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1</v>
      </c>
      <c r="Y1779">
        <v>0</v>
      </c>
      <c r="Z1779">
        <v>0</v>
      </c>
      <c r="AA1779" t="s">
        <v>5923</v>
      </c>
      <c r="AB1779" t="s">
        <v>7755</v>
      </c>
      <c r="AC1779" t="s">
        <v>5923</v>
      </c>
      <c r="AD1779" t="e">
        <f>VLOOKUP(AB1779,#REF!,2,FALSE)</f>
        <v>#REF!</v>
      </c>
      <c r="AE1779" t="e">
        <f>RIGHT(#REF!,(FIND("Complex",#REF!,1)-9))</f>
        <v>#REF!</v>
      </c>
    </row>
    <row r="1780" spans="1:31" x14ac:dyDescent="0.25">
      <c r="A1780">
        <v>2314</v>
      </c>
      <c r="B1780" t="s">
        <v>234</v>
      </c>
      <c r="C1780">
        <v>10</v>
      </c>
      <c r="D1780">
        <v>728</v>
      </c>
      <c r="E1780">
        <v>2314</v>
      </c>
      <c r="F1780">
        <v>6174001</v>
      </c>
      <c r="G1780">
        <v>6262200</v>
      </c>
      <c r="H1780">
        <f t="shared" si="54"/>
        <v>140.00002267573697</v>
      </c>
      <c r="I1780">
        <f t="shared" si="55"/>
        <v>142</v>
      </c>
      <c r="J1780" t="s">
        <v>22</v>
      </c>
      <c r="K1780">
        <v>3</v>
      </c>
      <c r="L1780" t="e">
        <f t="array" ref="L1780">VLOOKUP(J1780:$J$3871&amp;K1780:$K$3871,CHOOSE({1,2},#REF!&amp;#REF!,#REF!),2,0)</f>
        <v>#N/A</v>
      </c>
      <c r="M1780">
        <v>-15</v>
      </c>
      <c r="N1780">
        <v>0</v>
      </c>
      <c r="O1780" t="s">
        <v>7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1</v>
      </c>
      <c r="Y1780">
        <v>0</v>
      </c>
      <c r="Z1780">
        <v>0</v>
      </c>
      <c r="AA1780" t="s">
        <v>5929</v>
      </c>
      <c r="AB1780" t="s">
        <v>7757</v>
      </c>
      <c r="AC1780" t="s">
        <v>5929</v>
      </c>
      <c r="AD1780" t="e">
        <f>VLOOKUP(AB1780,#REF!,2,FALSE)</f>
        <v>#REF!</v>
      </c>
      <c r="AE1780" t="e">
        <f>RIGHT(#REF!,(FIND("Complex",#REF!,1)-9))</f>
        <v>#REF!</v>
      </c>
    </row>
    <row r="1781" spans="1:31" x14ac:dyDescent="0.25">
      <c r="A1781">
        <v>1096</v>
      </c>
      <c r="B1781" t="s">
        <v>234</v>
      </c>
      <c r="C1781">
        <v>10</v>
      </c>
      <c r="D1781">
        <v>330</v>
      </c>
      <c r="E1781">
        <v>1096</v>
      </c>
      <c r="F1781">
        <v>5292001</v>
      </c>
      <c r="G1781">
        <v>5380200</v>
      </c>
      <c r="H1781">
        <f t="shared" si="54"/>
        <v>120.00002267573696</v>
      </c>
      <c r="I1781">
        <f t="shared" si="55"/>
        <v>122</v>
      </c>
      <c r="J1781" t="s">
        <v>22</v>
      </c>
      <c r="K1781">
        <v>3</v>
      </c>
      <c r="L1781" t="e">
        <f t="array" ref="L1781">VLOOKUP(J1781:$J$3871&amp;K1781:$K$3871,CHOOSE({1,2},#REF!&amp;#REF!,#REF!),2,0)</f>
        <v>#N/A</v>
      </c>
      <c r="M1781">
        <v>-15</v>
      </c>
      <c r="N1781">
        <v>0</v>
      </c>
      <c r="O1781" t="s">
        <v>7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1</v>
      </c>
      <c r="Y1781">
        <v>0</v>
      </c>
      <c r="Z1781">
        <v>0</v>
      </c>
      <c r="AA1781" t="s">
        <v>6023</v>
      </c>
      <c r="AB1781" t="s">
        <v>7808</v>
      </c>
      <c r="AC1781" t="s">
        <v>6023</v>
      </c>
      <c r="AD1781" t="e">
        <f>VLOOKUP(AB1781,#REF!,2,FALSE)</f>
        <v>#REF!</v>
      </c>
      <c r="AE1781" t="e">
        <f>RIGHT(#REF!,(FIND("Complex",#REF!,1)-9))</f>
        <v>#REF!</v>
      </c>
    </row>
    <row r="1782" spans="1:31" x14ac:dyDescent="0.25">
      <c r="A1782">
        <v>715</v>
      </c>
      <c r="B1782" t="s">
        <v>234</v>
      </c>
      <c r="C1782">
        <v>10</v>
      </c>
      <c r="D1782">
        <v>220</v>
      </c>
      <c r="E1782">
        <v>715</v>
      </c>
      <c r="F1782">
        <v>4410001</v>
      </c>
      <c r="G1782">
        <v>4498200</v>
      </c>
      <c r="H1782">
        <f t="shared" si="54"/>
        <v>100.00002267573696</v>
      </c>
      <c r="I1782">
        <f t="shared" si="55"/>
        <v>102</v>
      </c>
      <c r="J1782" t="s">
        <v>22</v>
      </c>
      <c r="K1782">
        <v>3</v>
      </c>
      <c r="L1782" t="e">
        <f t="array" ref="L1782">VLOOKUP(J1782:$J$3871&amp;K1782:$K$3871,CHOOSE({1,2},#REF!&amp;#REF!,#REF!),2,0)</f>
        <v>#N/A</v>
      </c>
      <c r="M1782">
        <v>-15</v>
      </c>
      <c r="N1782">
        <v>0</v>
      </c>
      <c r="O1782" t="s">
        <v>7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1</v>
      </c>
      <c r="Y1782">
        <v>0</v>
      </c>
      <c r="Z1782">
        <v>0</v>
      </c>
      <c r="AA1782" t="s">
        <v>6128</v>
      </c>
      <c r="AB1782" t="s">
        <v>519</v>
      </c>
      <c r="AC1782" t="s">
        <v>6128</v>
      </c>
      <c r="AD1782" t="e">
        <f>VLOOKUP(AB1782,#REF!,2,FALSE)</f>
        <v>#REF!</v>
      </c>
      <c r="AE1782" t="e">
        <f>RIGHT(#REF!,(FIND("Complex",#REF!,1)-8))</f>
        <v>#REF!</v>
      </c>
    </row>
    <row r="1783" spans="1:31" x14ac:dyDescent="0.25">
      <c r="A1783">
        <v>1913</v>
      </c>
      <c r="B1783" t="s">
        <v>79</v>
      </c>
      <c r="C1783">
        <v>13</v>
      </c>
      <c r="D1783">
        <v>581</v>
      </c>
      <c r="E1783">
        <v>1913</v>
      </c>
      <c r="F1783">
        <v>2734201</v>
      </c>
      <c r="G1783">
        <v>2822400</v>
      </c>
      <c r="H1783">
        <f t="shared" si="54"/>
        <v>62.000022675736965</v>
      </c>
      <c r="I1783">
        <f t="shared" si="55"/>
        <v>64</v>
      </c>
      <c r="J1783" t="s">
        <v>22</v>
      </c>
      <c r="K1783">
        <v>3</v>
      </c>
      <c r="L1783" t="e">
        <f t="array" ref="L1783">VLOOKUP(J1783:$J$3871&amp;K1783:$K$3871,CHOOSE({1,2},#REF!&amp;#REF!,#REF!),2,0)</f>
        <v>#N/A</v>
      </c>
      <c r="M1783">
        <v>-15</v>
      </c>
      <c r="N1783">
        <v>0</v>
      </c>
      <c r="O1783" t="s">
        <v>7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1</v>
      </c>
      <c r="Z1783">
        <v>0</v>
      </c>
      <c r="AA1783" t="s">
        <v>5103</v>
      </c>
      <c r="AB1783" t="s">
        <v>7265</v>
      </c>
      <c r="AC1783" t="s">
        <v>5103</v>
      </c>
      <c r="AD1783" t="e">
        <f>VLOOKUP(AB1783,#REF!,2,FALSE)</f>
        <v>#REF!</v>
      </c>
      <c r="AE1783" t="e">
        <f>RIGHT(#REF!,(FIND("Complex",#REF!,1)-10))</f>
        <v>#REF!</v>
      </c>
    </row>
    <row r="1784" spans="1:31" x14ac:dyDescent="0.25">
      <c r="A1784">
        <v>1828</v>
      </c>
      <c r="B1784" t="s">
        <v>28</v>
      </c>
      <c r="C1784">
        <v>14</v>
      </c>
      <c r="D1784">
        <v>553</v>
      </c>
      <c r="E1784">
        <v>1828</v>
      </c>
      <c r="F1784">
        <v>1499401</v>
      </c>
      <c r="G1784">
        <v>1587600</v>
      </c>
      <c r="H1784">
        <f t="shared" si="54"/>
        <v>34.000022675736965</v>
      </c>
      <c r="I1784">
        <f t="shared" si="55"/>
        <v>36</v>
      </c>
      <c r="J1784" t="s">
        <v>22</v>
      </c>
      <c r="K1784">
        <v>3</v>
      </c>
      <c r="L1784" t="e">
        <f t="array" ref="L1784">VLOOKUP(J1784:$J$3871&amp;K1784:$K$3871,CHOOSE({1,2},#REF!&amp;#REF!,#REF!),2,0)</f>
        <v>#N/A</v>
      </c>
      <c r="M1784">
        <v>-15</v>
      </c>
      <c r="N1784">
        <v>0</v>
      </c>
      <c r="O1784" t="s">
        <v>7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0</v>
      </c>
      <c r="AA1784" t="s">
        <v>5342</v>
      </c>
      <c r="AB1784" t="s">
        <v>616</v>
      </c>
      <c r="AC1784" t="s">
        <v>5342</v>
      </c>
      <c r="AD1784" t="e">
        <f>VLOOKUP(AB1784,#REF!,2,FALSE)</f>
        <v>#REF!</v>
      </c>
      <c r="AE1784" t="e">
        <f>RIGHT(#REF!,(FIND("Complex",#REF!,1)-10))</f>
        <v>#REF!</v>
      </c>
    </row>
    <row r="1785" spans="1:31" x14ac:dyDescent="0.25">
      <c r="A1785">
        <v>706</v>
      </c>
      <c r="B1785" t="s">
        <v>28</v>
      </c>
      <c r="C1785">
        <v>14</v>
      </c>
      <c r="D1785">
        <v>215</v>
      </c>
      <c r="E1785">
        <v>706</v>
      </c>
      <c r="F1785">
        <v>4498201</v>
      </c>
      <c r="G1785">
        <v>4586400</v>
      </c>
      <c r="H1785">
        <f t="shared" si="54"/>
        <v>102.00002267573696</v>
      </c>
      <c r="I1785">
        <f t="shared" si="55"/>
        <v>104</v>
      </c>
      <c r="J1785" t="s">
        <v>22</v>
      </c>
      <c r="K1785">
        <v>3</v>
      </c>
      <c r="L1785" t="e">
        <f t="array" ref="L1785">VLOOKUP(J1785:$J$3871&amp;K1785:$K$3871,CHOOSE({1,2},#REF!&amp;#REF!,#REF!),2,0)</f>
        <v>#N/A</v>
      </c>
      <c r="M1785">
        <v>-15</v>
      </c>
      <c r="N1785">
        <v>0</v>
      </c>
      <c r="O1785" t="s">
        <v>7</v>
      </c>
      <c r="P1785">
        <v>0</v>
      </c>
      <c r="Q1785">
        <v>1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 t="s">
        <v>6114</v>
      </c>
      <c r="AB1785" t="s">
        <v>7857</v>
      </c>
      <c r="AC1785" t="s">
        <v>6114</v>
      </c>
      <c r="AD1785" t="e">
        <f>VLOOKUP(AB1785,#REF!,2,FALSE)</f>
        <v>#REF!</v>
      </c>
      <c r="AE1785" t="e">
        <f>RIGHT(#REF!,(FIND("Complex",#REF!,1)-8))</f>
        <v>#REF!</v>
      </c>
    </row>
    <row r="1786" spans="1:31" x14ac:dyDescent="0.25">
      <c r="A1786">
        <v>555</v>
      </c>
      <c r="B1786" t="s">
        <v>236</v>
      </c>
      <c r="C1786">
        <v>15</v>
      </c>
      <c r="D1786">
        <v>179</v>
      </c>
      <c r="E1786">
        <v>555</v>
      </c>
      <c r="F1786">
        <v>2998801</v>
      </c>
      <c r="G1786">
        <v>3087000</v>
      </c>
      <c r="H1786">
        <f t="shared" si="54"/>
        <v>68.000022675736957</v>
      </c>
      <c r="I1786">
        <f t="shared" si="55"/>
        <v>70</v>
      </c>
      <c r="J1786" t="s">
        <v>22</v>
      </c>
      <c r="K1786">
        <v>3</v>
      </c>
      <c r="L1786" t="e">
        <f t="array" ref="L1786">VLOOKUP(J1786:$J$3871&amp;K1786:$K$3871,CHOOSE({1,2},#REF!&amp;#REF!,#REF!),2,0)</f>
        <v>#N/A</v>
      </c>
      <c r="M1786">
        <v>-15</v>
      </c>
      <c r="N1786">
        <v>0</v>
      </c>
      <c r="O1786" t="s">
        <v>7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1</v>
      </c>
      <c r="Y1786">
        <v>0</v>
      </c>
      <c r="Z1786">
        <v>0</v>
      </c>
      <c r="AA1786" t="s">
        <v>5076</v>
      </c>
      <c r="AB1786" t="s">
        <v>7254</v>
      </c>
      <c r="AC1786" t="s">
        <v>5076</v>
      </c>
      <c r="AD1786" t="e">
        <f>VLOOKUP(AB1786,#REF!,2,FALSE)</f>
        <v>#REF!</v>
      </c>
      <c r="AE1786" t="e">
        <f>RIGHT(#REF!,(FIND("Complex",#REF!,1)-9))</f>
        <v>#REF!</v>
      </c>
    </row>
    <row r="1787" spans="1:31" x14ac:dyDescent="0.25">
      <c r="A1787">
        <v>1831</v>
      </c>
      <c r="B1787" t="s">
        <v>236</v>
      </c>
      <c r="C1787">
        <v>15</v>
      </c>
      <c r="D1787">
        <v>554</v>
      </c>
      <c r="E1787">
        <v>1831</v>
      </c>
      <c r="F1787">
        <v>2381401</v>
      </c>
      <c r="G1787">
        <v>2469600</v>
      </c>
      <c r="H1787">
        <f t="shared" si="54"/>
        <v>54.000022675736965</v>
      </c>
      <c r="I1787">
        <f t="shared" si="55"/>
        <v>56</v>
      </c>
      <c r="J1787" t="s">
        <v>22</v>
      </c>
      <c r="K1787">
        <v>3</v>
      </c>
      <c r="L1787" t="e">
        <f t="array" ref="L1787">VLOOKUP(J1787:$J$3871&amp;K1787:$K$3871,CHOOSE({1,2},#REF!&amp;#REF!,#REF!),2,0)</f>
        <v>#N/A</v>
      </c>
      <c r="M1787">
        <v>-15</v>
      </c>
      <c r="N1787">
        <v>0</v>
      </c>
      <c r="O1787" t="s">
        <v>7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1</v>
      </c>
      <c r="Y1787">
        <v>0</v>
      </c>
      <c r="Z1787">
        <v>0</v>
      </c>
      <c r="AA1787" t="s">
        <v>5174</v>
      </c>
      <c r="AB1787" t="s">
        <v>7304</v>
      </c>
      <c r="AC1787" t="s">
        <v>5174</v>
      </c>
      <c r="AD1787" t="e">
        <f>VLOOKUP(AB1787,#REF!,2,FALSE)</f>
        <v>#REF!</v>
      </c>
      <c r="AE1787" t="e">
        <f>RIGHT(#REF!,(FIND("Complex",#REF!,1)-10))</f>
        <v>#REF!</v>
      </c>
    </row>
    <row r="1788" spans="1:31" x14ac:dyDescent="0.25">
      <c r="A1788">
        <v>2854</v>
      </c>
      <c r="B1788" t="s">
        <v>236</v>
      </c>
      <c r="C1788">
        <v>15</v>
      </c>
      <c r="D1788">
        <v>938</v>
      </c>
      <c r="E1788">
        <v>2854</v>
      </c>
      <c r="F1788">
        <v>9613801</v>
      </c>
      <c r="G1788">
        <v>9702000</v>
      </c>
      <c r="H1788">
        <f t="shared" si="54"/>
        <v>218.00002267573697</v>
      </c>
      <c r="I1788">
        <f t="shared" si="55"/>
        <v>220</v>
      </c>
      <c r="J1788" t="s">
        <v>22</v>
      </c>
      <c r="K1788">
        <v>3</v>
      </c>
      <c r="L1788" t="e">
        <f t="array" ref="L1788">VLOOKUP(J1788:$J$3871&amp;K1788:$K$3871,CHOOSE({1,2},#REF!&amp;#REF!,#REF!),2,0)</f>
        <v>#N/A</v>
      </c>
      <c r="M1788">
        <v>-15</v>
      </c>
      <c r="N1788">
        <v>0</v>
      </c>
      <c r="O1788" t="s">
        <v>7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1</v>
      </c>
      <c r="Y1788">
        <v>0</v>
      </c>
      <c r="Z1788">
        <v>0</v>
      </c>
      <c r="AA1788" t="s">
        <v>5590</v>
      </c>
      <c r="AB1788" t="s">
        <v>7545</v>
      </c>
      <c r="AC1788" t="s">
        <v>5590</v>
      </c>
      <c r="AD1788" t="e">
        <f>VLOOKUP(AB1788,#REF!,2,FALSE)</f>
        <v>#REF!</v>
      </c>
      <c r="AE1788" t="e">
        <f>RIGHT(#REF!,(FIND("Complex",#REF!,1)-9))</f>
        <v>#REF!</v>
      </c>
    </row>
    <row r="1789" spans="1:31" x14ac:dyDescent="0.25">
      <c r="A1789">
        <v>2668</v>
      </c>
      <c r="B1789" t="s">
        <v>236</v>
      </c>
      <c r="C1789">
        <v>15</v>
      </c>
      <c r="D1789">
        <v>886</v>
      </c>
      <c r="E1789">
        <v>2668</v>
      </c>
      <c r="F1789">
        <v>9349201</v>
      </c>
      <c r="G1789">
        <v>9437400</v>
      </c>
      <c r="H1789">
        <f t="shared" si="54"/>
        <v>212.00002267573697</v>
      </c>
      <c r="I1789">
        <f t="shared" si="55"/>
        <v>214</v>
      </c>
      <c r="J1789" t="s">
        <v>22</v>
      </c>
      <c r="K1789">
        <v>3</v>
      </c>
      <c r="L1789" t="e">
        <f t="array" ref="L1789">VLOOKUP(J1789:$J$3871&amp;K1789:$K$3871,CHOOSE({1,2},#REF!&amp;#REF!,#REF!),2,0)</f>
        <v>#N/A</v>
      </c>
      <c r="M1789">
        <v>-15</v>
      </c>
      <c r="N1789">
        <v>0</v>
      </c>
      <c r="O1789" t="s">
        <v>7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1</v>
      </c>
      <c r="Y1789">
        <v>0</v>
      </c>
      <c r="Z1789">
        <v>0</v>
      </c>
      <c r="AA1789" t="s">
        <v>5605</v>
      </c>
      <c r="AB1789" t="s">
        <v>636</v>
      </c>
      <c r="AC1789" t="s">
        <v>5605</v>
      </c>
      <c r="AD1789" t="e">
        <f>VLOOKUP(AB1789,#REF!,2,FALSE)</f>
        <v>#REF!</v>
      </c>
      <c r="AE1789" t="e">
        <f>RIGHT(#REF!,(FIND("Complex",#REF!,1)-9))</f>
        <v>#REF!</v>
      </c>
    </row>
    <row r="1790" spans="1:31" x14ac:dyDescent="0.25">
      <c r="A1790">
        <v>141</v>
      </c>
      <c r="B1790" t="s">
        <v>236</v>
      </c>
      <c r="C1790">
        <v>15</v>
      </c>
      <c r="D1790">
        <v>46</v>
      </c>
      <c r="E1790">
        <v>141</v>
      </c>
      <c r="F1790">
        <v>8996401</v>
      </c>
      <c r="G1790">
        <v>9084600</v>
      </c>
      <c r="H1790">
        <f t="shared" si="54"/>
        <v>204.00002267573697</v>
      </c>
      <c r="I1790">
        <f t="shared" si="55"/>
        <v>206</v>
      </c>
      <c r="J1790" t="s">
        <v>22</v>
      </c>
      <c r="K1790">
        <v>3</v>
      </c>
      <c r="L1790" t="e">
        <f t="array" ref="L1790">VLOOKUP(J1790:$J$3871&amp;K1790:$K$3871,CHOOSE({1,2},#REF!&amp;#REF!,#REF!),2,0)</f>
        <v>#N/A</v>
      </c>
      <c r="M1790">
        <v>-15</v>
      </c>
      <c r="N1790">
        <v>0</v>
      </c>
      <c r="O1790" t="s">
        <v>7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1</v>
      </c>
      <c r="Y1790">
        <v>0</v>
      </c>
      <c r="Z1790">
        <v>0</v>
      </c>
      <c r="AA1790" t="s">
        <v>5625</v>
      </c>
      <c r="AB1790" t="s">
        <v>637</v>
      </c>
      <c r="AC1790" t="s">
        <v>5625</v>
      </c>
      <c r="AD1790" t="e">
        <f>VLOOKUP(AB1790,#REF!,2,FALSE)</f>
        <v>#REF!</v>
      </c>
      <c r="AE1790" t="e">
        <f>RIGHT(#REF!,(FIND("Complex",#REF!,1)-8))</f>
        <v>#REF!</v>
      </c>
    </row>
    <row r="1791" spans="1:31" x14ac:dyDescent="0.25">
      <c r="A1791">
        <v>2005</v>
      </c>
      <c r="B1791" t="s">
        <v>237</v>
      </c>
      <c r="C1791">
        <v>16</v>
      </c>
      <c r="D1791">
        <v>609</v>
      </c>
      <c r="E1791">
        <v>2005</v>
      </c>
      <c r="F1791">
        <v>11466001</v>
      </c>
      <c r="G1791">
        <v>11554200</v>
      </c>
      <c r="H1791">
        <f t="shared" si="54"/>
        <v>260.00002267573694</v>
      </c>
      <c r="I1791">
        <f t="shared" si="55"/>
        <v>262</v>
      </c>
      <c r="J1791" t="s">
        <v>22</v>
      </c>
      <c r="K1791">
        <v>3</v>
      </c>
      <c r="L1791" t="e">
        <f t="array" ref="L1791">VLOOKUP(J1791:$J$3871&amp;K1791:$K$3871,CHOOSE({1,2},#REF!&amp;#REF!,#REF!),2,0)</f>
        <v>#N/A</v>
      </c>
      <c r="M1791">
        <v>-15</v>
      </c>
      <c r="N1791">
        <v>0</v>
      </c>
      <c r="O1791" t="s">
        <v>7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1</v>
      </c>
      <c r="Y1791">
        <v>0</v>
      </c>
      <c r="Z1791">
        <v>0</v>
      </c>
      <c r="AA1791" t="s">
        <v>5454</v>
      </c>
      <c r="AB1791" t="s">
        <v>7457</v>
      </c>
      <c r="AC1791" t="s">
        <v>5454</v>
      </c>
      <c r="AD1791" t="e">
        <f>VLOOKUP(AB1791,#REF!,2,FALSE)</f>
        <v>#REF!</v>
      </c>
      <c r="AE1791" t="e">
        <f>RIGHT(#REF!,(FIND("Complex",#REF!,1)-9))</f>
        <v>#REF!</v>
      </c>
    </row>
    <row r="1792" spans="1:31" x14ac:dyDescent="0.25">
      <c r="A1792">
        <v>2742</v>
      </c>
      <c r="B1792" t="s">
        <v>237</v>
      </c>
      <c r="C1792">
        <v>16</v>
      </c>
      <c r="D1792">
        <v>907</v>
      </c>
      <c r="E1792">
        <v>2742</v>
      </c>
      <c r="F1792">
        <v>11201401</v>
      </c>
      <c r="G1792">
        <v>11289600</v>
      </c>
      <c r="H1792">
        <f t="shared" si="54"/>
        <v>254.00002267573697</v>
      </c>
      <c r="I1792">
        <f t="shared" si="55"/>
        <v>256</v>
      </c>
      <c r="J1792" t="s">
        <v>22</v>
      </c>
      <c r="K1792">
        <v>3</v>
      </c>
      <c r="L1792" t="e">
        <f t="array" ref="L1792">VLOOKUP(J1792:$J$3871&amp;K1792:$K$3871,CHOOSE({1,2},#REF!&amp;#REF!,#REF!),2,0)</f>
        <v>#N/A</v>
      </c>
      <c r="M1792">
        <v>-15</v>
      </c>
      <c r="N1792">
        <v>0</v>
      </c>
      <c r="O1792" t="s">
        <v>7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1</v>
      </c>
      <c r="Y1792">
        <v>0</v>
      </c>
      <c r="Z1792">
        <v>0</v>
      </c>
      <c r="AA1792" t="s">
        <v>5484</v>
      </c>
      <c r="AB1792" t="s">
        <v>7476</v>
      </c>
      <c r="AC1792" t="s">
        <v>5484</v>
      </c>
      <c r="AD1792" t="e">
        <f>VLOOKUP(AB1792,#REF!,2,FALSE)</f>
        <v>#REF!</v>
      </c>
      <c r="AE1792" t="e">
        <f>RIGHT(#REF!,(FIND("Complex",#REF!,1)-9))</f>
        <v>#REF!</v>
      </c>
    </row>
    <row r="1793" spans="1:31" x14ac:dyDescent="0.25">
      <c r="A1793">
        <v>2585</v>
      </c>
      <c r="B1793" t="s">
        <v>237</v>
      </c>
      <c r="C1793">
        <v>16</v>
      </c>
      <c r="D1793">
        <v>842</v>
      </c>
      <c r="E1793">
        <v>2585</v>
      </c>
      <c r="F1793">
        <v>10848601</v>
      </c>
      <c r="G1793">
        <v>10936800</v>
      </c>
      <c r="H1793">
        <f t="shared" si="54"/>
        <v>246.00002267573697</v>
      </c>
      <c r="I1793">
        <f t="shared" si="55"/>
        <v>248</v>
      </c>
      <c r="J1793" t="s">
        <v>22</v>
      </c>
      <c r="K1793">
        <v>3</v>
      </c>
      <c r="L1793" t="e">
        <f t="array" ref="L1793">VLOOKUP(J1793:$J$3871&amp;K1793:$K$3871,CHOOSE({1,2},#REF!&amp;#REF!,#REF!),2,0)</f>
        <v>#N/A</v>
      </c>
      <c r="M1793">
        <v>-15</v>
      </c>
      <c r="N1793">
        <v>0</v>
      </c>
      <c r="O1793" t="s">
        <v>7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1</v>
      </c>
      <c r="Y1793">
        <v>0</v>
      </c>
      <c r="Z1793">
        <v>0</v>
      </c>
      <c r="AA1793" t="s">
        <v>5500</v>
      </c>
      <c r="AB1793" t="s">
        <v>7490</v>
      </c>
      <c r="AC1793" t="s">
        <v>5500</v>
      </c>
      <c r="AD1793" t="e">
        <f>VLOOKUP(AB1793,#REF!,2,FALSE)</f>
        <v>#REF!</v>
      </c>
      <c r="AE1793" t="e">
        <f>RIGHT(#REF!,(FIND("Complex",#REF!,1)-9))</f>
        <v>#REF!</v>
      </c>
    </row>
    <row r="1794" spans="1:31" x14ac:dyDescent="0.25">
      <c r="A1794">
        <v>2342</v>
      </c>
      <c r="B1794" t="s">
        <v>237</v>
      </c>
      <c r="C1794">
        <v>16</v>
      </c>
      <c r="D1794">
        <v>742</v>
      </c>
      <c r="E1794">
        <v>2342</v>
      </c>
      <c r="F1794">
        <v>10584001</v>
      </c>
      <c r="G1794">
        <v>10672200</v>
      </c>
      <c r="H1794">
        <f t="shared" ref="H1794:H1857" si="56">F1794/44100</f>
        <v>240.00002267573697</v>
      </c>
      <c r="I1794">
        <f t="shared" ref="I1794:I1857" si="57">G1794/44100</f>
        <v>242</v>
      </c>
      <c r="J1794" t="s">
        <v>22</v>
      </c>
      <c r="K1794">
        <v>3</v>
      </c>
      <c r="L1794" t="e">
        <f t="array" ref="L1794">VLOOKUP(J1794:$J$3871&amp;K1794:$K$3871,CHOOSE({1,2},#REF!&amp;#REF!,#REF!),2,0)</f>
        <v>#N/A</v>
      </c>
      <c r="M1794">
        <v>-15</v>
      </c>
      <c r="N1794">
        <v>0</v>
      </c>
      <c r="O1794" t="s">
        <v>7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1</v>
      </c>
      <c r="Y1794">
        <v>0</v>
      </c>
      <c r="Z1794">
        <v>0</v>
      </c>
      <c r="AA1794" t="s">
        <v>5514</v>
      </c>
      <c r="AB1794" t="s">
        <v>639</v>
      </c>
      <c r="AC1794" t="s">
        <v>5514</v>
      </c>
      <c r="AD1794" t="e">
        <f>VLOOKUP(AB1794,#REF!,2,FALSE)</f>
        <v>#REF!</v>
      </c>
      <c r="AE1794" t="e">
        <f>RIGHT(#REF!,(FIND("Complex",#REF!,1)-9))</f>
        <v>#REF!</v>
      </c>
    </row>
    <row r="1795" spans="1:31" x14ac:dyDescent="0.25">
      <c r="A1795">
        <v>2825</v>
      </c>
      <c r="B1795" t="s">
        <v>237</v>
      </c>
      <c r="C1795">
        <v>16</v>
      </c>
      <c r="D1795">
        <v>928</v>
      </c>
      <c r="E1795">
        <v>2825</v>
      </c>
      <c r="F1795">
        <v>10495801</v>
      </c>
      <c r="G1795">
        <v>10584000</v>
      </c>
      <c r="H1795">
        <f t="shared" si="56"/>
        <v>238.00002267573697</v>
      </c>
      <c r="I1795">
        <f t="shared" si="57"/>
        <v>240</v>
      </c>
      <c r="J1795" t="s">
        <v>22</v>
      </c>
      <c r="K1795">
        <v>3</v>
      </c>
      <c r="L1795" t="e">
        <f t="array" ref="L1795">VLOOKUP(J1795:$J$3871&amp;K1795:$K$3871,CHOOSE({1,2},#REF!&amp;#REF!,#REF!),2,0)</f>
        <v>#N/A</v>
      </c>
      <c r="M1795">
        <v>-15</v>
      </c>
      <c r="N1795">
        <v>0</v>
      </c>
      <c r="O1795" t="s">
        <v>7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1</v>
      </c>
      <c r="Y1795">
        <v>0</v>
      </c>
      <c r="Z1795">
        <v>0</v>
      </c>
      <c r="AA1795" t="s">
        <v>5534</v>
      </c>
      <c r="AB1795" t="s">
        <v>640</v>
      </c>
      <c r="AC1795" t="s">
        <v>5534</v>
      </c>
      <c r="AD1795" t="e">
        <f>VLOOKUP(AB1795,#REF!,2,FALSE)</f>
        <v>#REF!</v>
      </c>
      <c r="AE1795" t="e">
        <f>RIGHT(#REF!,(FIND("Complex",#REF!,1)-9))</f>
        <v>#REF!</v>
      </c>
    </row>
    <row r="1796" spans="1:31" x14ac:dyDescent="0.25">
      <c r="A1796">
        <v>2397</v>
      </c>
      <c r="B1796" t="s">
        <v>237</v>
      </c>
      <c r="C1796">
        <v>16</v>
      </c>
      <c r="D1796">
        <v>765</v>
      </c>
      <c r="E1796">
        <v>2397</v>
      </c>
      <c r="F1796">
        <v>10319401</v>
      </c>
      <c r="G1796">
        <v>10407600</v>
      </c>
      <c r="H1796">
        <f t="shared" si="56"/>
        <v>234.00002267573697</v>
      </c>
      <c r="I1796">
        <f t="shared" si="57"/>
        <v>236</v>
      </c>
      <c r="J1796" t="s">
        <v>22</v>
      </c>
      <c r="K1796">
        <v>3</v>
      </c>
      <c r="L1796" t="e">
        <f t="array" ref="L1796">VLOOKUP(J1796:$J$3871&amp;K1796:$K$3871,CHOOSE({1,2},#REF!&amp;#REF!,#REF!),2,0)</f>
        <v>#N/A</v>
      </c>
      <c r="M1796">
        <v>-15</v>
      </c>
      <c r="N1796">
        <v>0</v>
      </c>
      <c r="O1796" t="s">
        <v>7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1</v>
      </c>
      <c r="Y1796">
        <v>0</v>
      </c>
      <c r="Z1796">
        <v>0</v>
      </c>
      <c r="AA1796" t="s">
        <v>5541</v>
      </c>
      <c r="AB1796" t="s">
        <v>641</v>
      </c>
      <c r="AC1796" t="s">
        <v>5541</v>
      </c>
      <c r="AD1796" t="e">
        <f>VLOOKUP(AB1796,#REF!,2,FALSE)</f>
        <v>#REF!</v>
      </c>
      <c r="AE1796" t="e">
        <f>RIGHT(#REF!,(FIND("Complex",#REF!,1)-9))</f>
        <v>#REF!</v>
      </c>
    </row>
    <row r="1797" spans="1:31" x14ac:dyDescent="0.25">
      <c r="A1797">
        <v>2613</v>
      </c>
      <c r="B1797" t="s">
        <v>237</v>
      </c>
      <c r="C1797">
        <v>16</v>
      </c>
      <c r="D1797">
        <v>860</v>
      </c>
      <c r="E1797">
        <v>2613</v>
      </c>
      <c r="F1797">
        <v>10143001</v>
      </c>
      <c r="G1797">
        <v>10231200</v>
      </c>
      <c r="H1797">
        <f t="shared" si="56"/>
        <v>230.00002267573697</v>
      </c>
      <c r="I1797">
        <f t="shared" si="57"/>
        <v>232</v>
      </c>
      <c r="J1797" t="s">
        <v>22</v>
      </c>
      <c r="K1797">
        <v>3</v>
      </c>
      <c r="L1797" t="e">
        <f t="array" ref="L1797">VLOOKUP(J1797:$J$3871&amp;K1797:$K$3871,CHOOSE({1,2},#REF!&amp;#REF!,#REF!),2,0)</f>
        <v>#N/A</v>
      </c>
      <c r="M1797">
        <v>-15</v>
      </c>
      <c r="N1797">
        <v>0</v>
      </c>
      <c r="O1797" t="s">
        <v>7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1</v>
      </c>
      <c r="Y1797">
        <v>0</v>
      </c>
      <c r="Z1797">
        <v>0</v>
      </c>
      <c r="AA1797" t="s">
        <v>5547</v>
      </c>
      <c r="AB1797" t="s">
        <v>7522</v>
      </c>
      <c r="AC1797" t="s">
        <v>5547</v>
      </c>
      <c r="AD1797" t="e">
        <f>VLOOKUP(AB1797,#REF!,2,FALSE)</f>
        <v>#REF!</v>
      </c>
      <c r="AE1797" t="e">
        <f>RIGHT(#REF!,(FIND("Complex",#REF!,1)-9))</f>
        <v>#REF!</v>
      </c>
    </row>
    <row r="1798" spans="1:31" x14ac:dyDescent="0.25">
      <c r="A1798">
        <v>1801</v>
      </c>
      <c r="B1798" t="s">
        <v>237</v>
      </c>
      <c r="C1798">
        <v>16</v>
      </c>
      <c r="D1798">
        <v>543</v>
      </c>
      <c r="E1798">
        <v>1801</v>
      </c>
      <c r="F1798">
        <v>9966601</v>
      </c>
      <c r="G1798">
        <v>10054800</v>
      </c>
      <c r="H1798">
        <f t="shared" si="56"/>
        <v>226.00002267573697</v>
      </c>
      <c r="I1798">
        <f t="shared" si="57"/>
        <v>228</v>
      </c>
      <c r="J1798" t="s">
        <v>22</v>
      </c>
      <c r="K1798">
        <v>3</v>
      </c>
      <c r="L1798" t="e">
        <f t="array" ref="L1798">VLOOKUP(J1798:$J$3871&amp;K1798:$K$3871,CHOOSE({1,2},#REF!&amp;#REF!,#REF!),2,0)</f>
        <v>#N/A</v>
      </c>
      <c r="M1798">
        <v>-15</v>
      </c>
      <c r="N1798">
        <v>0</v>
      </c>
      <c r="O1798" t="s">
        <v>7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1</v>
      </c>
      <c r="Y1798">
        <v>0</v>
      </c>
      <c r="Z1798">
        <v>0</v>
      </c>
      <c r="AA1798" t="s">
        <v>5557</v>
      </c>
      <c r="AB1798" t="s">
        <v>642</v>
      </c>
      <c r="AC1798" t="s">
        <v>5557</v>
      </c>
      <c r="AD1798" t="e">
        <f>VLOOKUP(AB1798,#REF!,2,FALSE)</f>
        <v>#REF!</v>
      </c>
      <c r="AE1798" t="e">
        <f>RIGHT(#REF!,(FIND("Complex",#REF!,1)-9))</f>
        <v>#REF!</v>
      </c>
    </row>
    <row r="1799" spans="1:31" x14ac:dyDescent="0.25">
      <c r="A1799">
        <v>563</v>
      </c>
      <c r="B1799" t="s">
        <v>237</v>
      </c>
      <c r="C1799">
        <v>16</v>
      </c>
      <c r="D1799">
        <v>181</v>
      </c>
      <c r="E1799">
        <v>563</v>
      </c>
      <c r="F1799">
        <v>9878401</v>
      </c>
      <c r="G1799">
        <v>9966600</v>
      </c>
      <c r="H1799">
        <f t="shared" si="56"/>
        <v>224.00002267573697</v>
      </c>
      <c r="I1799">
        <f t="shared" si="57"/>
        <v>226</v>
      </c>
      <c r="J1799" t="s">
        <v>22</v>
      </c>
      <c r="K1799">
        <v>3</v>
      </c>
      <c r="L1799" t="e">
        <f t="array" ref="L1799">VLOOKUP(J1799:$J$3871&amp;K1799:$K$3871,CHOOSE({1,2},#REF!&amp;#REF!,#REF!),2,0)</f>
        <v>#N/A</v>
      </c>
      <c r="M1799">
        <v>-15</v>
      </c>
      <c r="N1799">
        <v>0</v>
      </c>
      <c r="O1799" t="s">
        <v>7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1</v>
      </c>
      <c r="Y1799">
        <v>0</v>
      </c>
      <c r="Z1799">
        <v>0</v>
      </c>
      <c r="AA1799" t="s">
        <v>5562</v>
      </c>
      <c r="AB1799" t="s">
        <v>643</v>
      </c>
      <c r="AC1799" t="s">
        <v>5562</v>
      </c>
      <c r="AD1799" t="e">
        <f>VLOOKUP(AB1799,#REF!,2,FALSE)</f>
        <v>#REF!</v>
      </c>
      <c r="AE1799" t="e">
        <f>RIGHT(#REF!,(FIND("Complex",#REF!,1)-8))</f>
        <v>#REF!</v>
      </c>
    </row>
    <row r="1800" spans="1:31" x14ac:dyDescent="0.25">
      <c r="A1800">
        <v>890</v>
      </c>
      <c r="B1800" t="s">
        <v>237</v>
      </c>
      <c r="C1800">
        <v>16</v>
      </c>
      <c r="D1800">
        <v>271</v>
      </c>
      <c r="E1800">
        <v>890</v>
      </c>
      <c r="F1800">
        <v>9349201</v>
      </c>
      <c r="G1800">
        <v>9437400</v>
      </c>
      <c r="H1800">
        <f t="shared" si="56"/>
        <v>212.00002267573697</v>
      </c>
      <c r="I1800">
        <f t="shared" si="57"/>
        <v>214</v>
      </c>
      <c r="J1800" t="s">
        <v>22</v>
      </c>
      <c r="K1800">
        <v>3</v>
      </c>
      <c r="L1800" t="e">
        <f t="array" ref="L1800">VLOOKUP(J1800:$J$3871&amp;K1800:$K$3871,CHOOSE({1,2},#REF!&amp;#REF!,#REF!),2,0)</f>
        <v>#N/A</v>
      </c>
      <c r="M1800">
        <v>-15</v>
      </c>
      <c r="N1800">
        <v>0</v>
      </c>
      <c r="O1800" t="s">
        <v>7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1</v>
      </c>
      <c r="Y1800">
        <v>0</v>
      </c>
      <c r="Z1800">
        <v>0</v>
      </c>
      <c r="AA1800" t="s">
        <v>5604</v>
      </c>
      <c r="AB1800" t="s">
        <v>7555</v>
      </c>
      <c r="AC1800" t="s">
        <v>5604</v>
      </c>
      <c r="AD1800" t="e">
        <f>VLOOKUP(AB1800,#REF!,2,FALSE)</f>
        <v>#REF!</v>
      </c>
      <c r="AE1800" t="e">
        <f>RIGHT(#REF!,(FIND("Complex",#REF!,1)-8))</f>
        <v>#REF!</v>
      </c>
    </row>
    <row r="1801" spans="1:31" x14ac:dyDescent="0.25">
      <c r="A1801">
        <v>1007</v>
      </c>
      <c r="B1801" t="s">
        <v>237</v>
      </c>
      <c r="C1801">
        <v>16</v>
      </c>
      <c r="D1801">
        <v>304</v>
      </c>
      <c r="E1801">
        <v>1007</v>
      </c>
      <c r="F1801">
        <v>9172801</v>
      </c>
      <c r="G1801">
        <v>9261000</v>
      </c>
      <c r="H1801">
        <f t="shared" si="56"/>
        <v>208.00002267573697</v>
      </c>
      <c r="I1801">
        <f t="shared" si="57"/>
        <v>210</v>
      </c>
      <c r="J1801" t="s">
        <v>22</v>
      </c>
      <c r="K1801">
        <v>3</v>
      </c>
      <c r="L1801" t="e">
        <f t="array" ref="L1801">VLOOKUP(J1801:$J$3871&amp;K1801:$K$3871,CHOOSE({1,2},#REF!&amp;#REF!,#REF!),2,0)</f>
        <v>#N/A</v>
      </c>
      <c r="M1801">
        <v>-15</v>
      </c>
      <c r="N1801">
        <v>0</v>
      </c>
      <c r="O1801" t="s">
        <v>7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1</v>
      </c>
      <c r="Y1801">
        <v>0</v>
      </c>
      <c r="Z1801">
        <v>0</v>
      </c>
      <c r="AA1801" t="s">
        <v>5613</v>
      </c>
      <c r="AB1801" t="s">
        <v>7561</v>
      </c>
      <c r="AC1801" t="s">
        <v>5613</v>
      </c>
      <c r="AD1801" t="e">
        <f>VLOOKUP(AB1801,#REF!,2,FALSE)</f>
        <v>#REF!</v>
      </c>
      <c r="AE1801" t="e">
        <f>RIGHT(#REF!,(FIND("Complex",#REF!,1)-9))</f>
        <v>#REF!</v>
      </c>
    </row>
    <row r="1802" spans="1:31" x14ac:dyDescent="0.25">
      <c r="A1802">
        <v>2289</v>
      </c>
      <c r="B1802" t="s">
        <v>237</v>
      </c>
      <c r="C1802">
        <v>16</v>
      </c>
      <c r="D1802">
        <v>717</v>
      </c>
      <c r="E1802">
        <v>2289</v>
      </c>
      <c r="F1802">
        <v>8908201</v>
      </c>
      <c r="G1802">
        <v>8996400</v>
      </c>
      <c r="H1802">
        <f t="shared" si="56"/>
        <v>202.00002267573697</v>
      </c>
      <c r="I1802">
        <f t="shared" si="57"/>
        <v>204</v>
      </c>
      <c r="J1802" t="s">
        <v>22</v>
      </c>
      <c r="K1802">
        <v>3</v>
      </c>
      <c r="L1802" t="e">
        <f t="array" ref="L1802">VLOOKUP(J1802:$J$3871&amp;K1802:$K$3871,CHOOSE({1,2},#REF!&amp;#REF!,#REF!),2,0)</f>
        <v>#N/A</v>
      </c>
      <c r="M1802">
        <v>-15</v>
      </c>
      <c r="N1802">
        <v>0</v>
      </c>
      <c r="O1802" t="s">
        <v>7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1</v>
      </c>
      <c r="Y1802">
        <v>0</v>
      </c>
      <c r="Z1802">
        <v>0</v>
      </c>
      <c r="AA1802" t="s">
        <v>5630</v>
      </c>
      <c r="AB1802" t="s">
        <v>644</v>
      </c>
      <c r="AC1802" t="s">
        <v>5630</v>
      </c>
      <c r="AD1802" t="e">
        <f>VLOOKUP(AB1802,#REF!,2,FALSE)</f>
        <v>#REF!</v>
      </c>
      <c r="AE1802" t="e">
        <f>RIGHT(#REF!,(FIND("Complex",#REF!,1)-9))</f>
        <v>#REF!</v>
      </c>
    </row>
    <row r="1803" spans="1:31" x14ac:dyDescent="0.25">
      <c r="A1803">
        <v>1381</v>
      </c>
      <c r="B1803" t="s">
        <v>237</v>
      </c>
      <c r="C1803">
        <v>16</v>
      </c>
      <c r="D1803">
        <v>421</v>
      </c>
      <c r="E1803">
        <v>1381</v>
      </c>
      <c r="F1803">
        <v>8026201</v>
      </c>
      <c r="G1803">
        <v>8114400</v>
      </c>
      <c r="H1803">
        <f t="shared" si="56"/>
        <v>182.00002267573697</v>
      </c>
      <c r="I1803">
        <f t="shared" si="57"/>
        <v>184</v>
      </c>
      <c r="J1803" t="s">
        <v>22</v>
      </c>
      <c r="K1803">
        <v>3</v>
      </c>
      <c r="L1803" t="e">
        <f t="array" ref="L1803">VLOOKUP(J1803:$J$3871&amp;K1803:$K$3871,CHOOSE({1,2},#REF!&amp;#REF!,#REF!),2,0)</f>
        <v>#N/A</v>
      </c>
      <c r="M1803">
        <v>-15</v>
      </c>
      <c r="N1803">
        <v>0</v>
      </c>
      <c r="O1803" t="s">
        <v>7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1</v>
      </c>
      <c r="Y1803">
        <v>0</v>
      </c>
      <c r="Z1803">
        <v>0</v>
      </c>
      <c r="AA1803" t="s">
        <v>5698</v>
      </c>
      <c r="AB1803" t="s">
        <v>7620</v>
      </c>
      <c r="AC1803" t="s">
        <v>5698</v>
      </c>
      <c r="AD1803" t="e">
        <f>VLOOKUP(AB1803,#REF!,2,FALSE)</f>
        <v>#REF!</v>
      </c>
      <c r="AE1803" t="e">
        <f>RIGHT(#REF!,(FIND("Complex",#REF!,1)-9))</f>
        <v>#REF!</v>
      </c>
    </row>
    <row r="1804" spans="1:31" x14ac:dyDescent="0.25">
      <c r="A1804">
        <v>2830</v>
      </c>
      <c r="B1804" t="s">
        <v>237</v>
      </c>
      <c r="C1804">
        <v>16</v>
      </c>
      <c r="D1804">
        <v>930</v>
      </c>
      <c r="E1804">
        <v>2830</v>
      </c>
      <c r="F1804">
        <v>7673401</v>
      </c>
      <c r="G1804">
        <v>7761600</v>
      </c>
      <c r="H1804">
        <f t="shared" si="56"/>
        <v>174.00002267573697</v>
      </c>
      <c r="I1804">
        <f t="shared" si="57"/>
        <v>176</v>
      </c>
      <c r="J1804" t="s">
        <v>22</v>
      </c>
      <c r="K1804">
        <v>3</v>
      </c>
      <c r="L1804" t="e">
        <f t="array" ref="L1804">VLOOKUP(J1804:$J$3871&amp;K1804:$K$3871,CHOOSE({1,2},#REF!&amp;#REF!,#REF!),2,0)</f>
        <v>#N/A</v>
      </c>
      <c r="M1804">
        <v>-15</v>
      </c>
      <c r="N1804">
        <v>0</v>
      </c>
      <c r="O1804" t="s">
        <v>7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1</v>
      </c>
      <c r="Y1804">
        <v>0</v>
      </c>
      <c r="Z1804">
        <v>0</v>
      </c>
      <c r="AA1804" t="s">
        <v>5741</v>
      </c>
      <c r="AB1804" t="s">
        <v>7642</v>
      </c>
      <c r="AC1804" t="s">
        <v>5741</v>
      </c>
      <c r="AD1804" t="e">
        <f>VLOOKUP(AB1804,#REF!,2,FALSE)</f>
        <v>#REF!</v>
      </c>
      <c r="AE1804" t="e">
        <f>RIGHT(#REF!,(FIND("Complex",#REF!,1)-9))</f>
        <v>#REF!</v>
      </c>
    </row>
    <row r="1805" spans="1:31" x14ac:dyDescent="0.25">
      <c r="A1805">
        <v>1999</v>
      </c>
      <c r="B1805" t="s">
        <v>237</v>
      </c>
      <c r="C1805">
        <v>16</v>
      </c>
      <c r="D1805">
        <v>605</v>
      </c>
      <c r="E1805">
        <v>1999</v>
      </c>
      <c r="F1805">
        <v>6879601</v>
      </c>
      <c r="G1805">
        <v>6967800</v>
      </c>
      <c r="H1805">
        <f t="shared" si="56"/>
        <v>156.00002267573697</v>
      </c>
      <c r="I1805">
        <f t="shared" si="57"/>
        <v>158</v>
      </c>
      <c r="J1805" t="s">
        <v>22</v>
      </c>
      <c r="K1805">
        <v>3</v>
      </c>
      <c r="L1805" t="e">
        <f t="array" ref="L1805">VLOOKUP(J1805:$J$3871&amp;K1805:$K$3871,CHOOSE({1,2},#REF!&amp;#REF!,#REF!),2,0)</f>
        <v>#N/A</v>
      </c>
      <c r="M1805">
        <v>-15</v>
      </c>
      <c r="N1805">
        <v>0</v>
      </c>
      <c r="O1805" t="s">
        <v>7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1</v>
      </c>
      <c r="Y1805">
        <v>0</v>
      </c>
      <c r="Z1805">
        <v>0</v>
      </c>
      <c r="AA1805" t="s">
        <v>5849</v>
      </c>
      <c r="AB1805" t="s">
        <v>7709</v>
      </c>
      <c r="AC1805" t="s">
        <v>5849</v>
      </c>
      <c r="AD1805" t="e">
        <f>VLOOKUP(AB1805,#REF!,2,FALSE)</f>
        <v>#REF!</v>
      </c>
      <c r="AE1805" t="e">
        <f>RIGHT(#REF!,(FIND("Complex",#REF!,1)-9))</f>
        <v>#REF!</v>
      </c>
    </row>
    <row r="1806" spans="1:31" x14ac:dyDescent="0.25">
      <c r="A1806">
        <v>500</v>
      </c>
      <c r="B1806" t="s">
        <v>237</v>
      </c>
      <c r="C1806">
        <v>16</v>
      </c>
      <c r="D1806">
        <v>164</v>
      </c>
      <c r="E1806">
        <v>500</v>
      </c>
      <c r="F1806">
        <v>6703201</v>
      </c>
      <c r="G1806">
        <v>6791400</v>
      </c>
      <c r="H1806">
        <f t="shared" si="56"/>
        <v>152.00002267573697</v>
      </c>
      <c r="I1806">
        <f t="shared" si="57"/>
        <v>154</v>
      </c>
      <c r="J1806" t="s">
        <v>22</v>
      </c>
      <c r="K1806">
        <v>3</v>
      </c>
      <c r="L1806" t="e">
        <f t="array" ref="L1806">VLOOKUP(J1806:$J$3871&amp;K1806:$K$3871,CHOOSE({1,2},#REF!&amp;#REF!,#REF!),2,0)</f>
        <v>#N/A</v>
      </c>
      <c r="M1806">
        <v>-15</v>
      </c>
      <c r="N1806">
        <v>0</v>
      </c>
      <c r="O1806" t="s">
        <v>7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1</v>
      </c>
      <c r="Y1806">
        <v>0</v>
      </c>
      <c r="Z1806">
        <v>0</v>
      </c>
      <c r="AA1806" t="s">
        <v>5871</v>
      </c>
      <c r="AB1806" t="s">
        <v>7722</v>
      </c>
      <c r="AC1806" t="s">
        <v>5871</v>
      </c>
      <c r="AD1806" t="e">
        <f>VLOOKUP(AB1806,#REF!,2,FALSE)</f>
        <v>#REF!</v>
      </c>
      <c r="AE1806" t="e">
        <f>RIGHT(#REF!,(FIND("Complex",#REF!,1)-8))</f>
        <v>#REF!</v>
      </c>
    </row>
    <row r="1807" spans="1:31" x14ac:dyDescent="0.25">
      <c r="A1807">
        <v>2598</v>
      </c>
      <c r="B1807" t="s">
        <v>240</v>
      </c>
      <c r="C1807">
        <v>24</v>
      </c>
      <c r="D1807">
        <v>851</v>
      </c>
      <c r="E1807">
        <v>2598</v>
      </c>
      <c r="F1807">
        <v>12965401</v>
      </c>
      <c r="G1807">
        <v>13053600</v>
      </c>
      <c r="H1807">
        <f t="shared" si="56"/>
        <v>294.00002267573694</v>
      </c>
      <c r="I1807">
        <f t="shared" si="57"/>
        <v>296</v>
      </c>
      <c r="J1807" t="s">
        <v>22</v>
      </c>
      <c r="K1807">
        <v>3</v>
      </c>
      <c r="L1807" t="e">
        <f t="array" ref="L1807">VLOOKUP(J1807:$J$3871&amp;K1807:$K$3871,CHOOSE({1,2},#REF!&amp;#REF!,#REF!),2,0)</f>
        <v>#N/A</v>
      </c>
      <c r="M1807">
        <v>-15</v>
      </c>
      <c r="N1807">
        <v>0</v>
      </c>
      <c r="O1807" t="s">
        <v>7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1</v>
      </c>
      <c r="Y1807">
        <v>1</v>
      </c>
      <c r="Z1807">
        <v>0</v>
      </c>
      <c r="AA1807" t="s">
        <v>5392</v>
      </c>
      <c r="AB1807" t="s">
        <v>7415</v>
      </c>
      <c r="AC1807" t="s">
        <v>5392</v>
      </c>
      <c r="AD1807" t="e">
        <f>VLOOKUP(AB1807,#REF!,2,FALSE)</f>
        <v>#REF!</v>
      </c>
      <c r="AE1807" t="e">
        <f>RIGHT(#REF!,(FIND("Complex",#REF!,1)-9))</f>
        <v>#REF!</v>
      </c>
    </row>
    <row r="1808" spans="1:31" x14ac:dyDescent="0.25">
      <c r="A1808">
        <v>101</v>
      </c>
      <c r="B1808" t="s">
        <v>240</v>
      </c>
      <c r="C1808">
        <v>24</v>
      </c>
      <c r="D1808">
        <v>29</v>
      </c>
      <c r="E1808">
        <v>101</v>
      </c>
      <c r="F1808">
        <v>11289601</v>
      </c>
      <c r="G1808">
        <v>11377800</v>
      </c>
      <c r="H1808">
        <f t="shared" si="56"/>
        <v>256.00002267573694</v>
      </c>
      <c r="I1808">
        <f t="shared" si="57"/>
        <v>258</v>
      </c>
      <c r="J1808" t="s">
        <v>22</v>
      </c>
      <c r="K1808">
        <v>3</v>
      </c>
      <c r="L1808" t="e">
        <f t="array" ref="L1808">VLOOKUP(J1808:$J$3871&amp;K1808:$K$3871,CHOOSE({1,2},#REF!&amp;#REF!,#REF!),2,0)</f>
        <v>#N/A</v>
      </c>
      <c r="M1808">
        <v>-15</v>
      </c>
      <c r="N1808">
        <v>0</v>
      </c>
      <c r="O1808" t="s">
        <v>7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1</v>
      </c>
      <c r="Z1808">
        <v>0</v>
      </c>
      <c r="AA1808" t="s">
        <v>5478</v>
      </c>
      <c r="AB1808" t="s">
        <v>780</v>
      </c>
      <c r="AC1808" t="s">
        <v>5478</v>
      </c>
      <c r="AD1808" t="e">
        <f>VLOOKUP(AB1808,#REF!,2,FALSE)</f>
        <v>#REF!</v>
      </c>
      <c r="AE1808" t="e">
        <f>RIGHT(#REF!,(FIND("Complex",#REF!,1)-8))</f>
        <v>#REF!</v>
      </c>
    </row>
    <row r="1809" spans="1:31" x14ac:dyDescent="0.25">
      <c r="A1809">
        <v>862</v>
      </c>
      <c r="B1809" t="s">
        <v>240</v>
      </c>
      <c r="C1809">
        <v>24</v>
      </c>
      <c r="D1809">
        <v>261</v>
      </c>
      <c r="E1809">
        <v>862</v>
      </c>
      <c r="F1809">
        <v>10936801</v>
      </c>
      <c r="G1809">
        <v>11025000</v>
      </c>
      <c r="H1809">
        <f t="shared" si="56"/>
        <v>248.00002267573697</v>
      </c>
      <c r="I1809">
        <f t="shared" si="57"/>
        <v>250</v>
      </c>
      <c r="J1809" t="s">
        <v>22</v>
      </c>
      <c r="K1809">
        <v>3</v>
      </c>
      <c r="L1809" t="e">
        <f t="array" ref="L1809">VLOOKUP(J1809:$J$3871&amp;K1809:$K$3871,CHOOSE({1,2},#REF!&amp;#REF!,#REF!),2,0)</f>
        <v>#N/A</v>
      </c>
      <c r="M1809">
        <v>-15</v>
      </c>
      <c r="N1809">
        <v>0</v>
      </c>
      <c r="O1809" t="s">
        <v>7</v>
      </c>
      <c r="P1809">
        <v>0</v>
      </c>
      <c r="Q1809">
        <v>1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1</v>
      </c>
      <c r="Y1809">
        <v>0</v>
      </c>
      <c r="Z1809">
        <v>0</v>
      </c>
      <c r="AA1809" t="s">
        <v>5492</v>
      </c>
      <c r="AB1809" t="s">
        <v>7482</v>
      </c>
      <c r="AC1809" t="s">
        <v>5492</v>
      </c>
      <c r="AD1809" t="e">
        <f>VLOOKUP(AB1809,#REF!,2,FALSE)</f>
        <v>#REF!</v>
      </c>
      <c r="AE1809" t="e">
        <f>RIGHT(#REF!,(FIND("Complex",#REF!,1)-8))</f>
        <v>#REF!</v>
      </c>
    </row>
    <row r="1810" spans="1:31" x14ac:dyDescent="0.25">
      <c r="A1810">
        <v>1649</v>
      </c>
      <c r="B1810" t="s">
        <v>240</v>
      </c>
      <c r="C1810">
        <v>24</v>
      </c>
      <c r="D1810">
        <v>496</v>
      </c>
      <c r="E1810">
        <v>1649</v>
      </c>
      <c r="F1810">
        <v>10760401</v>
      </c>
      <c r="G1810">
        <v>10848600</v>
      </c>
      <c r="H1810">
        <f t="shared" si="56"/>
        <v>244.00002267573697</v>
      </c>
      <c r="I1810">
        <f t="shared" si="57"/>
        <v>246</v>
      </c>
      <c r="J1810" t="s">
        <v>22</v>
      </c>
      <c r="K1810">
        <v>3</v>
      </c>
      <c r="L1810" t="e">
        <f t="array" ref="L1810">VLOOKUP(J1810:$J$3871&amp;K1810:$K$3871,CHOOSE({1,2},#REF!&amp;#REF!,#REF!),2,0)</f>
        <v>#N/A</v>
      </c>
      <c r="M1810">
        <v>-15</v>
      </c>
      <c r="N1810">
        <v>0</v>
      </c>
      <c r="O1810" t="s">
        <v>7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1</v>
      </c>
      <c r="Y1810">
        <v>1</v>
      </c>
      <c r="Z1810">
        <v>0</v>
      </c>
      <c r="AA1810" t="s">
        <v>5505</v>
      </c>
      <c r="AB1810" t="s">
        <v>7494</v>
      </c>
      <c r="AC1810" t="s">
        <v>5505</v>
      </c>
      <c r="AD1810" t="e">
        <f>VLOOKUP(AB1810,#REF!,2,FALSE)</f>
        <v>#REF!</v>
      </c>
      <c r="AE1810" t="e">
        <f>RIGHT(#REF!,(FIND("Complex",#REF!,1)-9))</f>
        <v>#REF!</v>
      </c>
    </row>
    <row r="1811" spans="1:31" x14ac:dyDescent="0.25">
      <c r="A1811">
        <v>1827</v>
      </c>
      <c r="B1811" t="s">
        <v>240</v>
      </c>
      <c r="C1811">
        <v>24</v>
      </c>
      <c r="D1811">
        <v>552</v>
      </c>
      <c r="E1811">
        <v>1827</v>
      </c>
      <c r="F1811">
        <v>10407601</v>
      </c>
      <c r="G1811">
        <v>10495800</v>
      </c>
      <c r="H1811">
        <f t="shared" si="56"/>
        <v>236.00002267573697</v>
      </c>
      <c r="I1811">
        <f t="shared" si="57"/>
        <v>238</v>
      </c>
      <c r="J1811" t="s">
        <v>22</v>
      </c>
      <c r="K1811">
        <v>3</v>
      </c>
      <c r="L1811" t="e">
        <f t="array" ref="L1811">VLOOKUP(J1811:$J$3871&amp;K1811:$K$3871,CHOOSE({1,2},#REF!&amp;#REF!,#REF!),2,0)</f>
        <v>#N/A</v>
      </c>
      <c r="M1811">
        <v>-15</v>
      </c>
      <c r="N1811">
        <v>0</v>
      </c>
      <c r="O1811" t="s">
        <v>7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1</v>
      </c>
      <c r="Z1811">
        <v>0</v>
      </c>
      <c r="AA1811" t="s">
        <v>5537</v>
      </c>
      <c r="AB1811" t="s">
        <v>7514</v>
      </c>
      <c r="AC1811" t="s">
        <v>5537</v>
      </c>
      <c r="AD1811" t="e">
        <f>VLOOKUP(AB1811,#REF!,2,FALSE)</f>
        <v>#REF!</v>
      </c>
      <c r="AE1811" t="e">
        <f>RIGHT(#REF!,(FIND("Complex",#REF!,1)-9))</f>
        <v>#REF!</v>
      </c>
    </row>
    <row r="1812" spans="1:31" x14ac:dyDescent="0.25">
      <c r="A1812">
        <v>1023</v>
      </c>
      <c r="B1812" t="s">
        <v>240</v>
      </c>
      <c r="C1812">
        <v>24</v>
      </c>
      <c r="D1812">
        <v>307</v>
      </c>
      <c r="E1812">
        <v>1023</v>
      </c>
      <c r="F1812">
        <v>10231201</v>
      </c>
      <c r="G1812">
        <v>10319400</v>
      </c>
      <c r="H1812">
        <f t="shared" si="56"/>
        <v>232.00002267573697</v>
      </c>
      <c r="I1812">
        <f t="shared" si="57"/>
        <v>234</v>
      </c>
      <c r="J1812" t="s">
        <v>22</v>
      </c>
      <c r="K1812">
        <v>3</v>
      </c>
      <c r="L1812" t="e">
        <f t="array" ref="L1812">VLOOKUP(J1812:$J$3871&amp;K1812:$K$3871,CHOOSE({1,2},#REF!&amp;#REF!,#REF!),2,0)</f>
        <v>#N/A</v>
      </c>
      <c r="M1812">
        <v>-15</v>
      </c>
      <c r="N1812">
        <v>0</v>
      </c>
      <c r="O1812" t="s">
        <v>7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1</v>
      </c>
      <c r="Z1812">
        <v>0</v>
      </c>
      <c r="AA1812" t="s">
        <v>5544</v>
      </c>
      <c r="AB1812" t="s">
        <v>7520</v>
      </c>
      <c r="AC1812" t="s">
        <v>5544</v>
      </c>
      <c r="AD1812" t="e">
        <f>VLOOKUP(AB1812,#REF!,2,FALSE)</f>
        <v>#REF!</v>
      </c>
      <c r="AE1812" t="e">
        <f>RIGHT(#REF!,(FIND("Complex",#REF!,1)-9))</f>
        <v>#REF!</v>
      </c>
    </row>
    <row r="1813" spans="1:31" x14ac:dyDescent="0.25">
      <c r="A1813">
        <v>1219</v>
      </c>
      <c r="B1813" t="s">
        <v>240</v>
      </c>
      <c r="C1813">
        <v>24</v>
      </c>
      <c r="D1813">
        <v>368</v>
      </c>
      <c r="E1813">
        <v>1219</v>
      </c>
      <c r="F1813">
        <v>10143001</v>
      </c>
      <c r="G1813">
        <v>10231200</v>
      </c>
      <c r="H1813">
        <f t="shared" si="56"/>
        <v>230.00002267573697</v>
      </c>
      <c r="I1813">
        <f t="shared" si="57"/>
        <v>232</v>
      </c>
      <c r="J1813" t="s">
        <v>22</v>
      </c>
      <c r="K1813">
        <v>3</v>
      </c>
      <c r="L1813" t="e">
        <f t="array" ref="L1813">VLOOKUP(J1813:$J$3871&amp;K1813:$K$3871,CHOOSE({1,2},#REF!&amp;#REF!,#REF!),2,0)</f>
        <v>#N/A</v>
      </c>
      <c r="M1813">
        <v>-15</v>
      </c>
      <c r="N1813">
        <v>0</v>
      </c>
      <c r="O1813" t="s">
        <v>7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1</v>
      </c>
      <c r="Z1813">
        <v>0</v>
      </c>
      <c r="AA1813" t="s">
        <v>5546</v>
      </c>
      <c r="AB1813" t="s">
        <v>781</v>
      </c>
      <c r="AC1813" t="s">
        <v>5546</v>
      </c>
      <c r="AD1813" t="e">
        <f>VLOOKUP(AB1813,#REF!,2,FALSE)</f>
        <v>#REF!</v>
      </c>
      <c r="AE1813" t="e">
        <f>RIGHT(#REF!,(FIND("Complex",#REF!,1)-9))</f>
        <v>#REF!</v>
      </c>
    </row>
    <row r="1814" spans="1:31" x14ac:dyDescent="0.25">
      <c r="A1814">
        <v>2336</v>
      </c>
      <c r="B1814" t="s">
        <v>240</v>
      </c>
      <c r="C1814">
        <v>24</v>
      </c>
      <c r="D1814">
        <v>738</v>
      </c>
      <c r="E1814">
        <v>2336</v>
      </c>
      <c r="F1814">
        <v>9966601</v>
      </c>
      <c r="G1814">
        <v>10054800</v>
      </c>
      <c r="H1814">
        <f t="shared" si="56"/>
        <v>226.00002267573697</v>
      </c>
      <c r="I1814">
        <f t="shared" si="57"/>
        <v>228</v>
      </c>
      <c r="J1814" t="s">
        <v>22</v>
      </c>
      <c r="K1814">
        <v>3</v>
      </c>
      <c r="L1814" t="e">
        <f t="array" ref="L1814">VLOOKUP(J1814:$J$3871&amp;K1814:$K$3871,CHOOSE({1,2},#REF!&amp;#REF!,#REF!),2,0)</f>
        <v>#N/A</v>
      </c>
      <c r="M1814">
        <v>-15</v>
      </c>
      <c r="N1814">
        <v>0</v>
      </c>
      <c r="O1814" t="s">
        <v>7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1</v>
      </c>
      <c r="Z1814">
        <v>0</v>
      </c>
      <c r="AA1814" t="s">
        <v>5556</v>
      </c>
      <c r="AB1814" t="s">
        <v>7527</v>
      </c>
      <c r="AC1814" t="s">
        <v>5556</v>
      </c>
      <c r="AD1814" t="e">
        <f>VLOOKUP(AB1814,#REF!,2,FALSE)</f>
        <v>#REF!</v>
      </c>
      <c r="AE1814" t="e">
        <f>RIGHT(#REF!,(FIND("Complex",#REF!,1)-9))</f>
        <v>#REF!</v>
      </c>
    </row>
    <row r="1815" spans="1:31" x14ac:dyDescent="0.25">
      <c r="A1815">
        <v>2787</v>
      </c>
      <c r="B1815" t="s">
        <v>240</v>
      </c>
      <c r="C1815">
        <v>24</v>
      </c>
      <c r="D1815">
        <v>918</v>
      </c>
      <c r="E1815">
        <v>2787</v>
      </c>
      <c r="F1815">
        <v>9878401</v>
      </c>
      <c r="G1815">
        <v>9966600</v>
      </c>
      <c r="H1815">
        <f t="shared" si="56"/>
        <v>224.00002267573697</v>
      </c>
      <c r="I1815">
        <f t="shared" si="57"/>
        <v>226</v>
      </c>
      <c r="J1815" t="s">
        <v>22</v>
      </c>
      <c r="K1815">
        <v>3</v>
      </c>
      <c r="L1815" t="e">
        <f t="array" ref="L1815">VLOOKUP(J1815:$J$3871&amp;K1815:$K$3871,CHOOSE({1,2},#REF!&amp;#REF!,#REF!),2,0)</f>
        <v>#N/A</v>
      </c>
      <c r="M1815">
        <v>-15</v>
      </c>
      <c r="N1815">
        <v>0</v>
      </c>
      <c r="O1815" t="s">
        <v>7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</v>
      </c>
      <c r="Y1815">
        <v>1</v>
      </c>
      <c r="Z1815">
        <v>0</v>
      </c>
      <c r="AA1815" t="s">
        <v>5561</v>
      </c>
      <c r="AB1815" t="s">
        <v>7530</v>
      </c>
      <c r="AC1815" t="s">
        <v>5561</v>
      </c>
      <c r="AD1815" t="e">
        <f>VLOOKUP(AB1815,#REF!,2,FALSE)</f>
        <v>#REF!</v>
      </c>
      <c r="AE1815" t="e">
        <f>RIGHT(#REF!,(FIND("Complex",#REF!,1)-9))</f>
        <v>#REF!</v>
      </c>
    </row>
    <row r="1816" spans="1:31" x14ac:dyDescent="0.25">
      <c r="A1816">
        <v>1355</v>
      </c>
      <c r="B1816" t="s">
        <v>240</v>
      </c>
      <c r="C1816">
        <v>24</v>
      </c>
      <c r="D1816">
        <v>412</v>
      </c>
      <c r="E1816">
        <v>1355</v>
      </c>
      <c r="F1816">
        <v>9790201</v>
      </c>
      <c r="G1816">
        <v>9878400</v>
      </c>
      <c r="H1816">
        <f t="shared" si="56"/>
        <v>222.00002267573697</v>
      </c>
      <c r="I1816">
        <f t="shared" si="57"/>
        <v>224</v>
      </c>
      <c r="J1816" t="s">
        <v>22</v>
      </c>
      <c r="K1816">
        <v>3</v>
      </c>
      <c r="L1816" t="e">
        <f t="array" ref="L1816">VLOOKUP(J1816:$J$3871&amp;K1816:$K$3871,CHOOSE({1,2},#REF!&amp;#REF!,#REF!),2,0)</f>
        <v>#N/A</v>
      </c>
      <c r="M1816">
        <v>-15</v>
      </c>
      <c r="N1816">
        <v>0</v>
      </c>
      <c r="O1816" t="s">
        <v>7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1</v>
      </c>
      <c r="Y1816">
        <v>1</v>
      </c>
      <c r="Z1816">
        <v>0</v>
      </c>
      <c r="AA1816" t="s">
        <v>5568</v>
      </c>
      <c r="AB1816" t="s">
        <v>782</v>
      </c>
      <c r="AC1816" t="s">
        <v>5568</v>
      </c>
      <c r="AD1816" t="e">
        <f>VLOOKUP(AB1816,#REF!,2,FALSE)</f>
        <v>#REF!</v>
      </c>
      <c r="AE1816" t="e">
        <f>RIGHT(#REF!,(FIND("Complex",#REF!,1)-9))</f>
        <v>#REF!</v>
      </c>
    </row>
    <row r="1817" spans="1:31" x14ac:dyDescent="0.25">
      <c r="A1817">
        <v>2055</v>
      </c>
      <c r="B1817" t="s">
        <v>240</v>
      </c>
      <c r="C1817">
        <v>24</v>
      </c>
      <c r="D1817">
        <v>623</v>
      </c>
      <c r="E1817">
        <v>2055</v>
      </c>
      <c r="F1817">
        <v>9702001</v>
      </c>
      <c r="G1817">
        <v>9790200</v>
      </c>
      <c r="H1817">
        <f t="shared" si="56"/>
        <v>220.00002267573697</v>
      </c>
      <c r="I1817">
        <f t="shared" si="57"/>
        <v>222</v>
      </c>
      <c r="J1817" t="s">
        <v>22</v>
      </c>
      <c r="K1817">
        <v>3</v>
      </c>
      <c r="L1817" t="e">
        <f t="array" ref="L1817">VLOOKUP(J1817:$J$3871&amp;K1817:$K$3871,CHOOSE({1,2},#REF!&amp;#REF!,#REF!),2,0)</f>
        <v>#N/A</v>
      </c>
      <c r="M1817">
        <v>-15</v>
      </c>
      <c r="N1817">
        <v>0</v>
      </c>
      <c r="O1817" t="s">
        <v>7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1</v>
      </c>
      <c r="Y1817">
        <v>1</v>
      </c>
      <c r="Z1817">
        <v>0</v>
      </c>
      <c r="AA1817" t="s">
        <v>5571</v>
      </c>
      <c r="AB1817" t="s">
        <v>783</v>
      </c>
      <c r="AC1817" t="s">
        <v>5571</v>
      </c>
      <c r="AD1817" t="e">
        <f>VLOOKUP(AB1817,#REF!,2,FALSE)</f>
        <v>#REF!</v>
      </c>
      <c r="AE1817" t="e">
        <f>RIGHT(#REF!,(FIND("Complex",#REF!,1)-9))</f>
        <v>#REF!</v>
      </c>
    </row>
    <row r="1818" spans="1:31" x14ac:dyDescent="0.25">
      <c r="A1818">
        <v>2665</v>
      </c>
      <c r="B1818" t="s">
        <v>240</v>
      </c>
      <c r="C1818">
        <v>24</v>
      </c>
      <c r="D1818">
        <v>884</v>
      </c>
      <c r="E1818">
        <v>2665</v>
      </c>
      <c r="F1818">
        <v>9613801</v>
      </c>
      <c r="G1818">
        <v>9702000</v>
      </c>
      <c r="H1818">
        <f t="shared" si="56"/>
        <v>218.00002267573697</v>
      </c>
      <c r="I1818">
        <f t="shared" si="57"/>
        <v>220</v>
      </c>
      <c r="J1818" t="s">
        <v>22</v>
      </c>
      <c r="K1818">
        <v>3</v>
      </c>
      <c r="L1818" t="e">
        <f t="array" ref="L1818">VLOOKUP(J1818:$J$3871&amp;K1818:$K$3871,CHOOSE({1,2},#REF!&amp;#REF!,#REF!),2,0)</f>
        <v>#N/A</v>
      </c>
      <c r="M1818">
        <v>-15</v>
      </c>
      <c r="N1818">
        <v>0</v>
      </c>
      <c r="O1818" t="s">
        <v>7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1</v>
      </c>
      <c r="Z1818">
        <v>0</v>
      </c>
      <c r="AA1818" t="s">
        <v>5589</v>
      </c>
      <c r="AB1818" t="s">
        <v>7544</v>
      </c>
      <c r="AC1818" t="s">
        <v>5589</v>
      </c>
      <c r="AD1818" t="e">
        <f>VLOOKUP(AB1818,#REF!,2,FALSE)</f>
        <v>#REF!</v>
      </c>
      <c r="AE1818" t="e">
        <f>RIGHT(#REF!,(FIND("Complex",#REF!,1)-9))</f>
        <v>#REF!</v>
      </c>
    </row>
    <row r="1819" spans="1:31" x14ac:dyDescent="0.25">
      <c r="A1819">
        <v>2580</v>
      </c>
      <c r="B1819" t="s">
        <v>240</v>
      </c>
      <c r="C1819">
        <v>24</v>
      </c>
      <c r="D1819">
        <v>840</v>
      </c>
      <c r="E1819">
        <v>2580</v>
      </c>
      <c r="F1819">
        <v>9525601</v>
      </c>
      <c r="G1819">
        <v>9613800</v>
      </c>
      <c r="H1819">
        <f t="shared" si="56"/>
        <v>216.00002267573697</v>
      </c>
      <c r="I1819">
        <f t="shared" si="57"/>
        <v>218</v>
      </c>
      <c r="J1819" t="s">
        <v>22</v>
      </c>
      <c r="K1819">
        <v>3</v>
      </c>
      <c r="L1819" t="e">
        <f t="array" ref="L1819">VLOOKUP(J1819:$J$3871&amp;K1819:$K$3871,CHOOSE({1,2},#REF!&amp;#REF!,#REF!),2,0)</f>
        <v>#N/A</v>
      </c>
      <c r="M1819">
        <v>-15</v>
      </c>
      <c r="N1819">
        <v>0</v>
      </c>
      <c r="O1819" t="s">
        <v>7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1</v>
      </c>
      <c r="Y1819">
        <v>1</v>
      </c>
      <c r="Z1819">
        <v>0</v>
      </c>
      <c r="AA1819" t="s">
        <v>5593</v>
      </c>
      <c r="AB1819" t="s">
        <v>7547</v>
      </c>
      <c r="AC1819" t="s">
        <v>5593</v>
      </c>
      <c r="AD1819" t="e">
        <f>VLOOKUP(AB1819,#REF!,2,FALSE)</f>
        <v>#REF!</v>
      </c>
      <c r="AE1819" t="e">
        <f>RIGHT(#REF!,(FIND("Complex",#REF!,1)-9))</f>
        <v>#REF!</v>
      </c>
    </row>
    <row r="1820" spans="1:31" x14ac:dyDescent="0.25">
      <c r="A1820">
        <v>2505</v>
      </c>
      <c r="B1820" t="s">
        <v>240</v>
      </c>
      <c r="C1820">
        <v>24</v>
      </c>
      <c r="D1820">
        <v>811</v>
      </c>
      <c r="E1820">
        <v>2505</v>
      </c>
      <c r="F1820">
        <v>8026201</v>
      </c>
      <c r="G1820">
        <v>8114400</v>
      </c>
      <c r="H1820">
        <f t="shared" si="56"/>
        <v>182.00002267573697</v>
      </c>
      <c r="I1820">
        <f t="shared" si="57"/>
        <v>184</v>
      </c>
      <c r="J1820" t="s">
        <v>22</v>
      </c>
      <c r="K1820">
        <v>3</v>
      </c>
      <c r="L1820" t="e">
        <f t="array" ref="L1820">VLOOKUP(J1820:$J$3871&amp;K1820:$K$3871,CHOOSE({1,2},#REF!&amp;#REF!,#REF!),2,0)</f>
        <v>#N/A</v>
      </c>
      <c r="M1820">
        <v>-15</v>
      </c>
      <c r="N1820">
        <v>0</v>
      </c>
      <c r="O1820" t="s">
        <v>7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1</v>
      </c>
      <c r="Y1820">
        <v>1</v>
      </c>
      <c r="Z1820">
        <v>0</v>
      </c>
      <c r="AA1820" t="s">
        <v>5697</v>
      </c>
      <c r="AB1820" t="s">
        <v>7619</v>
      </c>
      <c r="AC1820" t="s">
        <v>5697</v>
      </c>
      <c r="AD1820" t="e">
        <f>VLOOKUP(AB1820,#REF!,2,FALSE)</f>
        <v>#REF!</v>
      </c>
      <c r="AE1820" t="e">
        <f>RIGHT(#REF!,(FIND("Complex",#REF!,1)-9))</f>
        <v>#REF!</v>
      </c>
    </row>
    <row r="1821" spans="1:31" x14ac:dyDescent="0.25">
      <c r="A1821">
        <v>1807</v>
      </c>
      <c r="B1821" t="s">
        <v>240</v>
      </c>
      <c r="C1821">
        <v>24</v>
      </c>
      <c r="D1821">
        <v>546</v>
      </c>
      <c r="E1821">
        <v>1807</v>
      </c>
      <c r="F1821">
        <v>7585201</v>
      </c>
      <c r="G1821">
        <v>7673400</v>
      </c>
      <c r="H1821">
        <f t="shared" si="56"/>
        <v>172.00002267573697</v>
      </c>
      <c r="I1821">
        <f t="shared" si="57"/>
        <v>174</v>
      </c>
      <c r="J1821" t="s">
        <v>22</v>
      </c>
      <c r="K1821">
        <v>3</v>
      </c>
      <c r="L1821" t="e">
        <f t="array" ref="L1821">VLOOKUP(J1821:$J$3871&amp;K1821:$K$3871,CHOOSE({1,2},#REF!&amp;#REF!,#REF!),2,0)</f>
        <v>#N/A</v>
      </c>
      <c r="M1821">
        <v>-15</v>
      </c>
      <c r="N1821">
        <v>0</v>
      </c>
      <c r="O1821" t="s">
        <v>7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1</v>
      </c>
      <c r="Y1821">
        <v>1</v>
      </c>
      <c r="Z1821">
        <v>0</v>
      </c>
      <c r="AA1821" t="s">
        <v>5748</v>
      </c>
      <c r="AB1821" t="s">
        <v>7648</v>
      </c>
      <c r="AC1821" t="s">
        <v>5748</v>
      </c>
      <c r="AD1821" t="e">
        <f>VLOOKUP(AB1821,#REF!,2,FALSE)</f>
        <v>#REF!</v>
      </c>
      <c r="AE1821" t="e">
        <f>RIGHT(#REF!,(FIND("Complex",#REF!,1)-9))</f>
        <v>#REF!</v>
      </c>
    </row>
    <row r="1822" spans="1:31" x14ac:dyDescent="0.25">
      <c r="A1822">
        <v>2239</v>
      </c>
      <c r="B1822" t="s">
        <v>240</v>
      </c>
      <c r="C1822">
        <v>24</v>
      </c>
      <c r="D1822">
        <v>694</v>
      </c>
      <c r="E1822">
        <v>2239</v>
      </c>
      <c r="F1822">
        <v>7497001</v>
      </c>
      <c r="G1822">
        <v>7585200</v>
      </c>
      <c r="H1822">
        <f t="shared" si="56"/>
        <v>170.00002267573697</v>
      </c>
      <c r="I1822">
        <f t="shared" si="57"/>
        <v>172</v>
      </c>
      <c r="J1822" t="s">
        <v>22</v>
      </c>
      <c r="K1822">
        <v>3</v>
      </c>
      <c r="L1822" t="e">
        <f t="array" ref="L1822">VLOOKUP(J1822:$J$3871&amp;K1822:$K$3871,CHOOSE({1,2},#REF!&amp;#REF!,#REF!),2,0)</f>
        <v>#N/A</v>
      </c>
      <c r="M1822">
        <v>-15</v>
      </c>
      <c r="N1822">
        <v>0</v>
      </c>
      <c r="O1822" t="s">
        <v>7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1</v>
      </c>
      <c r="Z1822">
        <v>0</v>
      </c>
      <c r="AA1822" t="s">
        <v>5757</v>
      </c>
      <c r="AB1822" t="s">
        <v>784</v>
      </c>
      <c r="AC1822" t="s">
        <v>5757</v>
      </c>
      <c r="AD1822" t="e">
        <f>VLOOKUP(AB1822,#REF!,2,FALSE)</f>
        <v>#REF!</v>
      </c>
      <c r="AE1822" t="e">
        <f>RIGHT(#REF!,(FIND("Complex",#REF!,1)-9))</f>
        <v>#REF!</v>
      </c>
    </row>
    <row r="1823" spans="1:31" x14ac:dyDescent="0.25">
      <c r="A1823">
        <v>2113</v>
      </c>
      <c r="B1823" t="s">
        <v>240</v>
      </c>
      <c r="C1823">
        <v>24</v>
      </c>
      <c r="D1823">
        <v>646</v>
      </c>
      <c r="E1823">
        <v>2113</v>
      </c>
      <c r="F1823">
        <v>7320601</v>
      </c>
      <c r="G1823">
        <v>7408800</v>
      </c>
      <c r="H1823">
        <f t="shared" si="56"/>
        <v>166.00002267573697</v>
      </c>
      <c r="I1823">
        <f t="shared" si="57"/>
        <v>168</v>
      </c>
      <c r="J1823" t="s">
        <v>22</v>
      </c>
      <c r="K1823">
        <v>3</v>
      </c>
      <c r="L1823" t="e">
        <f t="array" ref="L1823">VLOOKUP(J1823:$J$3871&amp;K1823:$K$3871,CHOOSE({1,2},#REF!&amp;#REF!,#REF!),2,0)</f>
        <v>#N/A</v>
      </c>
      <c r="M1823">
        <v>-15</v>
      </c>
      <c r="N1823">
        <v>0</v>
      </c>
      <c r="O1823" t="s">
        <v>7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1</v>
      </c>
      <c r="Y1823">
        <v>1</v>
      </c>
      <c r="Z1823">
        <v>0</v>
      </c>
      <c r="AA1823" t="s">
        <v>5770</v>
      </c>
      <c r="AB1823" t="s">
        <v>785</v>
      </c>
      <c r="AC1823" t="s">
        <v>5770</v>
      </c>
      <c r="AD1823" t="e">
        <f>VLOOKUP(AB1823,#REF!,2,FALSE)</f>
        <v>#REF!</v>
      </c>
      <c r="AE1823" t="e">
        <f>RIGHT(#REF!,(FIND("Complex",#REF!,1)-9))</f>
        <v>#REF!</v>
      </c>
    </row>
    <row r="1824" spans="1:31" x14ac:dyDescent="0.25">
      <c r="A1824">
        <v>2159</v>
      </c>
      <c r="B1824" t="s">
        <v>240</v>
      </c>
      <c r="C1824">
        <v>24</v>
      </c>
      <c r="D1824">
        <v>662</v>
      </c>
      <c r="E1824">
        <v>2159</v>
      </c>
      <c r="F1824">
        <v>7232401</v>
      </c>
      <c r="G1824">
        <v>7320600</v>
      </c>
      <c r="H1824">
        <f t="shared" si="56"/>
        <v>164.00002267573697</v>
      </c>
      <c r="I1824">
        <f t="shared" si="57"/>
        <v>166</v>
      </c>
      <c r="J1824" t="s">
        <v>22</v>
      </c>
      <c r="K1824">
        <v>3</v>
      </c>
      <c r="L1824" t="e">
        <f t="array" ref="L1824">VLOOKUP(J1824:$J$3871&amp;K1824:$K$3871,CHOOSE({1,2},#REF!&amp;#REF!,#REF!),2,0)</f>
        <v>#N/A</v>
      </c>
      <c r="M1824">
        <v>-15</v>
      </c>
      <c r="N1824">
        <v>0</v>
      </c>
      <c r="O1824" t="s">
        <v>7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1</v>
      </c>
      <c r="Z1824">
        <v>0</v>
      </c>
      <c r="AA1824" t="s">
        <v>5779</v>
      </c>
      <c r="AB1824" t="s">
        <v>7667</v>
      </c>
      <c r="AC1824" t="s">
        <v>5779</v>
      </c>
      <c r="AD1824" t="e">
        <f>VLOOKUP(AB1824,#REF!,2,FALSE)</f>
        <v>#REF!</v>
      </c>
      <c r="AE1824" t="e">
        <f>RIGHT(#REF!,(FIND("Complex",#REF!,1)-9))</f>
        <v>#REF!</v>
      </c>
    </row>
    <row r="1825" spans="1:31" x14ac:dyDescent="0.25">
      <c r="A1825">
        <v>478</v>
      </c>
      <c r="B1825" t="s">
        <v>240</v>
      </c>
      <c r="C1825">
        <v>24</v>
      </c>
      <c r="D1825">
        <v>152</v>
      </c>
      <c r="E1825">
        <v>478</v>
      </c>
      <c r="F1825">
        <v>6879601</v>
      </c>
      <c r="G1825">
        <v>6967800</v>
      </c>
      <c r="H1825">
        <f t="shared" si="56"/>
        <v>156.00002267573697</v>
      </c>
      <c r="I1825">
        <f t="shared" si="57"/>
        <v>158</v>
      </c>
      <c r="J1825" t="s">
        <v>22</v>
      </c>
      <c r="K1825">
        <v>3</v>
      </c>
      <c r="L1825" t="e">
        <f t="array" ref="L1825">VLOOKUP(J1825:$J$3871&amp;K1825:$K$3871,CHOOSE({1,2},#REF!&amp;#REF!,#REF!),2,0)</f>
        <v>#N/A</v>
      </c>
      <c r="M1825">
        <v>-15</v>
      </c>
      <c r="N1825">
        <v>0</v>
      </c>
      <c r="O1825" t="s">
        <v>7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1</v>
      </c>
      <c r="Z1825">
        <v>0</v>
      </c>
      <c r="AA1825" t="s">
        <v>5846</v>
      </c>
      <c r="AB1825" t="s">
        <v>7707</v>
      </c>
      <c r="AC1825" t="s">
        <v>5846</v>
      </c>
      <c r="AD1825" t="e">
        <f>VLOOKUP(AB1825,#REF!,2,FALSE)</f>
        <v>#REF!</v>
      </c>
      <c r="AE1825" t="e">
        <f>RIGHT(#REF!,(FIND("Complex",#REF!,1)-8))</f>
        <v>#REF!</v>
      </c>
    </row>
    <row r="1826" spans="1:31" x14ac:dyDescent="0.25">
      <c r="A1826">
        <v>1132</v>
      </c>
      <c r="B1826" t="s">
        <v>240</v>
      </c>
      <c r="C1826">
        <v>24</v>
      </c>
      <c r="D1826">
        <v>340</v>
      </c>
      <c r="E1826">
        <v>1132</v>
      </c>
      <c r="F1826">
        <v>6791401</v>
      </c>
      <c r="G1826">
        <v>6879600</v>
      </c>
      <c r="H1826">
        <f t="shared" si="56"/>
        <v>154.00002267573697</v>
      </c>
      <c r="I1826">
        <f t="shared" si="57"/>
        <v>156</v>
      </c>
      <c r="J1826" t="s">
        <v>22</v>
      </c>
      <c r="K1826">
        <v>3</v>
      </c>
      <c r="L1826" t="e">
        <f t="array" ref="L1826">VLOOKUP(J1826:$J$3871&amp;K1826:$K$3871,CHOOSE({1,2},#REF!&amp;#REF!,#REF!),2,0)</f>
        <v>#N/A</v>
      </c>
      <c r="M1826">
        <v>-15</v>
      </c>
      <c r="N1826">
        <v>0</v>
      </c>
      <c r="O1826" t="s">
        <v>7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1</v>
      </c>
      <c r="Z1826">
        <v>0</v>
      </c>
      <c r="AA1826" t="s">
        <v>5861</v>
      </c>
      <c r="AB1826" t="s">
        <v>7716</v>
      </c>
      <c r="AC1826" t="s">
        <v>5861</v>
      </c>
      <c r="AD1826" t="e">
        <f>VLOOKUP(AB1826,#REF!,2,FALSE)</f>
        <v>#REF!</v>
      </c>
      <c r="AE1826" t="e">
        <f>RIGHT(#REF!,(FIND("Complex",#REF!,1)-9))</f>
        <v>#REF!</v>
      </c>
    </row>
    <row r="1827" spans="1:31" x14ac:dyDescent="0.25">
      <c r="A1827">
        <v>1121</v>
      </c>
      <c r="B1827" t="s">
        <v>242</v>
      </c>
      <c r="C1827">
        <v>25</v>
      </c>
      <c r="D1827">
        <v>335</v>
      </c>
      <c r="E1827">
        <v>1121</v>
      </c>
      <c r="F1827">
        <v>176401</v>
      </c>
      <c r="G1827">
        <v>264600</v>
      </c>
      <c r="H1827">
        <f t="shared" si="56"/>
        <v>4.000022675736961</v>
      </c>
      <c r="I1827">
        <f t="shared" si="57"/>
        <v>6</v>
      </c>
      <c r="J1827" t="s">
        <v>22</v>
      </c>
      <c r="K1827">
        <v>3</v>
      </c>
      <c r="L1827" t="e">
        <f t="array" ref="L1827">VLOOKUP(J1827:$J$3871&amp;K1827:$K$3871,CHOOSE({1,2},#REF!&amp;#REF!,#REF!),2,0)</f>
        <v>#N/A</v>
      </c>
      <c r="M1827">
        <v>-15</v>
      </c>
      <c r="N1827">
        <v>0</v>
      </c>
      <c r="O1827" t="s">
        <v>7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1</v>
      </c>
      <c r="Y1827">
        <v>0</v>
      </c>
      <c r="Z1827">
        <v>0</v>
      </c>
      <c r="AA1827" t="s">
        <v>5279</v>
      </c>
      <c r="AB1827" t="s">
        <v>7352</v>
      </c>
      <c r="AC1827" t="s">
        <v>5279</v>
      </c>
      <c r="AD1827" t="e">
        <f>VLOOKUP(AB1827,#REF!,2,FALSE)</f>
        <v>#REF!</v>
      </c>
      <c r="AE1827" t="e">
        <f>RIGHT(#REF!,(FIND("Complex",#REF!,1)-11))</f>
        <v>#REF!</v>
      </c>
    </row>
    <row r="1828" spans="1:31" x14ac:dyDescent="0.25">
      <c r="A1828">
        <v>1034</v>
      </c>
      <c r="B1828" t="s">
        <v>62</v>
      </c>
      <c r="C1828">
        <v>26</v>
      </c>
      <c r="D1828">
        <v>311</v>
      </c>
      <c r="E1828">
        <v>1034</v>
      </c>
      <c r="F1828">
        <v>1323001</v>
      </c>
      <c r="G1828">
        <v>1411200</v>
      </c>
      <c r="H1828">
        <f t="shared" si="56"/>
        <v>30.000022675736961</v>
      </c>
      <c r="I1828">
        <f t="shared" si="57"/>
        <v>32</v>
      </c>
      <c r="J1828" t="s">
        <v>22</v>
      </c>
      <c r="K1828">
        <v>3</v>
      </c>
      <c r="L1828" t="e">
        <f t="array" ref="L1828">VLOOKUP(J1828:$J$3871&amp;K1828:$K$3871,CHOOSE({1,2},#REF!&amp;#REF!,#REF!),2,0)</f>
        <v>#N/A</v>
      </c>
      <c r="M1828">
        <v>-15</v>
      </c>
      <c r="N1828">
        <v>0</v>
      </c>
      <c r="O1828" t="s">
        <v>7</v>
      </c>
      <c r="P1828">
        <v>0</v>
      </c>
      <c r="Q1828">
        <v>1</v>
      </c>
      <c r="R1828">
        <v>0</v>
      </c>
      <c r="S1828">
        <v>1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 t="s">
        <v>5387</v>
      </c>
      <c r="AB1828" t="s">
        <v>7412</v>
      </c>
      <c r="AC1828" t="s">
        <v>5387</v>
      </c>
      <c r="AD1828" t="e">
        <f>VLOOKUP(AB1828,#REF!,2,FALSE)</f>
        <v>#REF!</v>
      </c>
      <c r="AE1828" t="e">
        <f>RIGHT(#REF!,(FIND("Complex",#REF!,1)-10))</f>
        <v>#REF!</v>
      </c>
    </row>
    <row r="1829" spans="1:31" x14ac:dyDescent="0.25">
      <c r="A1829">
        <v>414</v>
      </c>
      <c r="B1829" t="s">
        <v>62</v>
      </c>
      <c r="C1829">
        <v>26</v>
      </c>
      <c r="D1829">
        <v>131</v>
      </c>
      <c r="E1829">
        <v>414</v>
      </c>
      <c r="F1829">
        <v>1234801</v>
      </c>
      <c r="G1829">
        <v>1323000</v>
      </c>
      <c r="H1829">
        <f t="shared" si="56"/>
        <v>28.000022675736961</v>
      </c>
      <c r="I1829">
        <f t="shared" si="57"/>
        <v>30</v>
      </c>
      <c r="J1829" t="s">
        <v>22</v>
      </c>
      <c r="K1829">
        <v>3</v>
      </c>
      <c r="L1829" t="e">
        <f t="array" ref="L1829">VLOOKUP(J1829:$J$3871&amp;K1829:$K$3871,CHOOSE({1,2},#REF!&amp;#REF!,#REF!),2,0)</f>
        <v>#N/A</v>
      </c>
      <c r="M1829">
        <v>-15</v>
      </c>
      <c r="N1829">
        <v>0</v>
      </c>
      <c r="O1829" t="s">
        <v>7</v>
      </c>
      <c r="P1829">
        <v>0</v>
      </c>
      <c r="Q1829">
        <v>1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 t="s">
        <v>5418</v>
      </c>
      <c r="AB1829" t="s">
        <v>801</v>
      </c>
      <c r="AC1829" t="s">
        <v>5418</v>
      </c>
      <c r="AD1829" t="e">
        <f>VLOOKUP(AB1829,#REF!,2,FALSE)</f>
        <v>#REF!</v>
      </c>
      <c r="AE1829" t="e">
        <f>RIGHT(#REF!,(FIND("Complex",#REF!,1)-9))</f>
        <v>#REF!</v>
      </c>
    </row>
    <row r="1830" spans="1:31" x14ac:dyDescent="0.25">
      <c r="A1830">
        <v>2355</v>
      </c>
      <c r="B1830" t="s">
        <v>62</v>
      </c>
      <c r="C1830">
        <v>26</v>
      </c>
      <c r="D1830">
        <v>748</v>
      </c>
      <c r="E1830">
        <v>2355</v>
      </c>
      <c r="F1830">
        <v>1146601</v>
      </c>
      <c r="G1830">
        <v>1234800</v>
      </c>
      <c r="H1830">
        <f t="shared" si="56"/>
        <v>26.000022675736961</v>
      </c>
      <c r="I1830">
        <f t="shared" si="57"/>
        <v>28</v>
      </c>
      <c r="J1830" t="s">
        <v>22</v>
      </c>
      <c r="K1830">
        <v>3</v>
      </c>
      <c r="L1830" t="e">
        <f t="array" ref="L1830">VLOOKUP(J1830:$J$3871&amp;K1830:$K$3871,CHOOSE({1,2},#REF!&amp;#REF!,#REF!),2,0)</f>
        <v>#N/A</v>
      </c>
      <c r="M1830">
        <v>-15</v>
      </c>
      <c r="N1830">
        <v>0</v>
      </c>
      <c r="O1830" t="s">
        <v>7</v>
      </c>
      <c r="P1830">
        <v>0</v>
      </c>
      <c r="Q1830">
        <v>1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 t="s">
        <v>5469</v>
      </c>
      <c r="AB1830" t="s">
        <v>7466</v>
      </c>
      <c r="AC1830" t="s">
        <v>5469</v>
      </c>
      <c r="AD1830" t="e">
        <f>VLOOKUP(AB1830,#REF!,2,FALSE)</f>
        <v>#REF!</v>
      </c>
      <c r="AE1830" t="e">
        <f>RIGHT(#REF!,(FIND("Complex",#REF!,1)-10))</f>
        <v>#REF!</v>
      </c>
    </row>
    <row r="1831" spans="1:31" x14ac:dyDescent="0.25">
      <c r="A1831">
        <v>2492</v>
      </c>
      <c r="B1831" t="s">
        <v>62</v>
      </c>
      <c r="C1831">
        <v>26</v>
      </c>
      <c r="D1831">
        <v>807</v>
      </c>
      <c r="E1831">
        <v>2492</v>
      </c>
      <c r="F1831">
        <v>1058401</v>
      </c>
      <c r="G1831">
        <v>1146600</v>
      </c>
      <c r="H1831">
        <f t="shared" si="56"/>
        <v>24.000022675736961</v>
      </c>
      <c r="I1831">
        <f t="shared" si="57"/>
        <v>26</v>
      </c>
      <c r="J1831" t="s">
        <v>22</v>
      </c>
      <c r="K1831">
        <v>3</v>
      </c>
      <c r="L1831" t="e">
        <f t="array" ref="L1831">VLOOKUP(J1831:$J$3871&amp;K1831:$K$3871,CHOOSE({1,2},#REF!&amp;#REF!,#REF!),2,0)</f>
        <v>#N/A</v>
      </c>
      <c r="M1831">
        <v>-15</v>
      </c>
      <c r="N1831">
        <v>0</v>
      </c>
      <c r="O1831" t="s">
        <v>7</v>
      </c>
      <c r="P1831">
        <v>0</v>
      </c>
      <c r="Q1831">
        <v>1</v>
      </c>
      <c r="R1831">
        <v>0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1</v>
      </c>
      <c r="Y1831">
        <v>0</v>
      </c>
      <c r="Z1831">
        <v>0</v>
      </c>
      <c r="AA1831" t="s">
        <v>5526</v>
      </c>
      <c r="AB1831" t="s">
        <v>7509</v>
      </c>
      <c r="AC1831" t="s">
        <v>5526</v>
      </c>
      <c r="AD1831" t="e">
        <f>VLOOKUP(AB1831,#REF!,2,FALSE)</f>
        <v>#REF!</v>
      </c>
      <c r="AE1831" t="e">
        <f>RIGHT(#REF!,(FIND("Complex",#REF!,1)-10))</f>
        <v>#REF!</v>
      </c>
    </row>
    <row r="1832" spans="1:31" x14ac:dyDescent="0.25">
      <c r="A1832">
        <v>2189</v>
      </c>
      <c r="B1832" t="s">
        <v>54</v>
      </c>
      <c r="C1832">
        <v>31</v>
      </c>
      <c r="D1832">
        <v>673</v>
      </c>
      <c r="E1832">
        <v>2189</v>
      </c>
      <c r="F1832">
        <v>3792601</v>
      </c>
      <c r="G1832">
        <v>3880800</v>
      </c>
      <c r="H1832">
        <f t="shared" si="56"/>
        <v>86.000022675736957</v>
      </c>
      <c r="I1832">
        <f t="shared" si="57"/>
        <v>88</v>
      </c>
      <c r="J1832" t="s">
        <v>22</v>
      </c>
      <c r="K1832">
        <v>3</v>
      </c>
      <c r="L1832" t="e">
        <f t="array" ref="L1832">VLOOKUP(J1832:$J$3871&amp;K1832:$K$3871,CHOOSE({1,2},#REF!&amp;#REF!,#REF!),2,0)</f>
        <v>#N/A</v>
      </c>
      <c r="M1832">
        <v>-15</v>
      </c>
      <c r="N1832">
        <v>0</v>
      </c>
      <c r="O1832" t="s">
        <v>7</v>
      </c>
      <c r="P1832">
        <v>1</v>
      </c>
      <c r="Q1832">
        <v>1</v>
      </c>
      <c r="R1832">
        <v>0</v>
      </c>
      <c r="S1832">
        <v>1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 t="s">
        <v>4952</v>
      </c>
      <c r="AB1832" t="s">
        <v>7190</v>
      </c>
      <c r="AC1832" t="s">
        <v>4952</v>
      </c>
      <c r="AD1832" t="e">
        <f>VLOOKUP(AB1832,#REF!,2,FALSE)</f>
        <v>#REF!</v>
      </c>
      <c r="AE1832" t="e">
        <f>RIGHT(#REF!,(FIND("Complex",#REF!,1)-10))</f>
        <v>#REF!</v>
      </c>
    </row>
    <row r="1833" spans="1:31" x14ac:dyDescent="0.25">
      <c r="A1833">
        <v>853</v>
      </c>
      <c r="B1833" t="s">
        <v>54</v>
      </c>
      <c r="C1833">
        <v>31</v>
      </c>
      <c r="D1833">
        <v>258</v>
      </c>
      <c r="E1833">
        <v>853</v>
      </c>
      <c r="F1833">
        <v>3439801</v>
      </c>
      <c r="G1833">
        <v>3528000</v>
      </c>
      <c r="H1833">
        <f t="shared" si="56"/>
        <v>78.000022675736957</v>
      </c>
      <c r="I1833">
        <f t="shared" si="57"/>
        <v>80</v>
      </c>
      <c r="J1833" t="s">
        <v>22</v>
      </c>
      <c r="K1833">
        <v>3</v>
      </c>
      <c r="L1833" t="e">
        <f t="array" ref="L1833">VLOOKUP(J1833:$J$3871&amp;K1833:$K$3871,CHOOSE({1,2},#REF!&amp;#REF!,#REF!),2,0)</f>
        <v>#N/A</v>
      </c>
      <c r="M1833">
        <v>-15</v>
      </c>
      <c r="N1833">
        <v>0</v>
      </c>
      <c r="O1833" t="s">
        <v>7</v>
      </c>
      <c r="P1833">
        <v>1</v>
      </c>
      <c r="Q1833">
        <v>1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 t="s">
        <v>5008</v>
      </c>
      <c r="AB1833" t="s">
        <v>7222</v>
      </c>
      <c r="AC1833" t="s">
        <v>5008</v>
      </c>
      <c r="AD1833" t="e">
        <f>VLOOKUP(AB1833,#REF!,2,FALSE)</f>
        <v>#REF!</v>
      </c>
      <c r="AE1833" t="e">
        <f>RIGHT(#REF!,(FIND("Complex",#REF!,1)-9))</f>
        <v>#REF!</v>
      </c>
    </row>
    <row r="1834" spans="1:31" x14ac:dyDescent="0.25">
      <c r="A1834">
        <v>770</v>
      </c>
      <c r="B1834" t="s">
        <v>54</v>
      </c>
      <c r="C1834">
        <v>31</v>
      </c>
      <c r="D1834">
        <v>236</v>
      </c>
      <c r="E1834">
        <v>770</v>
      </c>
      <c r="F1834">
        <v>2998801</v>
      </c>
      <c r="G1834">
        <v>3087000</v>
      </c>
      <c r="H1834">
        <f t="shared" si="56"/>
        <v>68.000022675736957</v>
      </c>
      <c r="I1834">
        <f t="shared" si="57"/>
        <v>70</v>
      </c>
      <c r="J1834" t="s">
        <v>22</v>
      </c>
      <c r="K1834">
        <v>3</v>
      </c>
      <c r="L1834" t="e">
        <f t="array" ref="L1834">VLOOKUP(J1834:$J$3871&amp;K1834:$K$3871,CHOOSE({1,2},#REF!&amp;#REF!,#REF!),2,0)</f>
        <v>#N/A</v>
      </c>
      <c r="M1834">
        <v>-15</v>
      </c>
      <c r="N1834">
        <v>0</v>
      </c>
      <c r="O1834" t="s">
        <v>7</v>
      </c>
      <c r="P1834">
        <v>1</v>
      </c>
      <c r="Q1834">
        <v>1</v>
      </c>
      <c r="R1834">
        <v>0</v>
      </c>
      <c r="S1834">
        <v>1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 t="s">
        <v>5073</v>
      </c>
      <c r="AB1834" t="s">
        <v>952</v>
      </c>
      <c r="AC1834" t="s">
        <v>5073</v>
      </c>
      <c r="AD1834" t="e">
        <f>VLOOKUP(AB1834,#REF!,2,FALSE)</f>
        <v>#REF!</v>
      </c>
      <c r="AE1834" t="e">
        <f>RIGHT(#REF!,(FIND("Complex",#REF!,1)-9))</f>
        <v>#REF!</v>
      </c>
    </row>
    <row r="1835" spans="1:31" x14ac:dyDescent="0.25">
      <c r="A1835">
        <v>2460</v>
      </c>
      <c r="B1835" t="s">
        <v>54</v>
      </c>
      <c r="C1835">
        <v>31</v>
      </c>
      <c r="D1835">
        <v>798</v>
      </c>
      <c r="E1835">
        <v>2460</v>
      </c>
      <c r="F1835">
        <v>2469601</v>
      </c>
      <c r="G1835">
        <v>2557800</v>
      </c>
      <c r="H1835">
        <f t="shared" si="56"/>
        <v>56.000022675736965</v>
      </c>
      <c r="I1835">
        <f t="shared" si="57"/>
        <v>58</v>
      </c>
      <c r="J1835" t="s">
        <v>22</v>
      </c>
      <c r="K1835">
        <v>3</v>
      </c>
      <c r="L1835" t="e">
        <f t="array" ref="L1835">VLOOKUP(J1835:$J$3871&amp;K1835:$K$3871,CHOOSE({1,2},#REF!&amp;#REF!,#REF!),2,0)</f>
        <v>#N/A</v>
      </c>
      <c r="M1835">
        <v>-15</v>
      </c>
      <c r="N1835">
        <v>0</v>
      </c>
      <c r="O1835" t="s">
        <v>7</v>
      </c>
      <c r="P1835">
        <v>0</v>
      </c>
      <c r="Q1835">
        <v>1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1</v>
      </c>
      <c r="Z1835">
        <v>0</v>
      </c>
      <c r="AA1835" t="s">
        <v>5158</v>
      </c>
      <c r="AB1835" t="s">
        <v>953</v>
      </c>
      <c r="AC1835" t="s">
        <v>5158</v>
      </c>
      <c r="AD1835" t="e">
        <f>VLOOKUP(AB1835,#REF!,2,FALSE)</f>
        <v>#REF!</v>
      </c>
      <c r="AE1835" t="e">
        <f>RIGHT(#REF!,(FIND("Complex",#REF!,1)-10))</f>
        <v>#REF!</v>
      </c>
    </row>
    <row r="1836" spans="1:31" x14ac:dyDescent="0.25">
      <c r="A1836">
        <v>2754</v>
      </c>
      <c r="B1836" t="s">
        <v>54</v>
      </c>
      <c r="C1836">
        <v>31</v>
      </c>
      <c r="D1836">
        <v>910</v>
      </c>
      <c r="E1836">
        <v>2754</v>
      </c>
      <c r="F1836">
        <v>2381401</v>
      </c>
      <c r="G1836">
        <v>2469600</v>
      </c>
      <c r="H1836">
        <f t="shared" si="56"/>
        <v>54.000022675736965</v>
      </c>
      <c r="I1836">
        <f t="shared" si="57"/>
        <v>56</v>
      </c>
      <c r="J1836" t="s">
        <v>22</v>
      </c>
      <c r="K1836">
        <v>3</v>
      </c>
      <c r="L1836" t="e">
        <f t="array" ref="L1836">VLOOKUP(J1836:$J$3871&amp;K1836:$K$3871,CHOOSE({1,2},#REF!&amp;#REF!,#REF!),2,0)</f>
        <v>#N/A</v>
      </c>
      <c r="M1836">
        <v>-15</v>
      </c>
      <c r="N1836">
        <v>0</v>
      </c>
      <c r="O1836" t="s">
        <v>7</v>
      </c>
      <c r="P1836">
        <v>0</v>
      </c>
      <c r="Q1836">
        <v>1</v>
      </c>
      <c r="R1836">
        <v>0</v>
      </c>
      <c r="S1836">
        <v>0</v>
      </c>
      <c r="T1836">
        <v>1</v>
      </c>
      <c r="U1836">
        <v>0</v>
      </c>
      <c r="V1836">
        <v>0</v>
      </c>
      <c r="W1836">
        <v>0</v>
      </c>
      <c r="X1836">
        <v>0</v>
      </c>
      <c r="Y1836">
        <v>1</v>
      </c>
      <c r="Z1836">
        <v>0</v>
      </c>
      <c r="AA1836" t="s">
        <v>5170</v>
      </c>
      <c r="AB1836" t="s">
        <v>7303</v>
      </c>
      <c r="AC1836" t="s">
        <v>5170</v>
      </c>
      <c r="AD1836" t="e">
        <f>VLOOKUP(AB1836,#REF!,2,FALSE)</f>
        <v>#REF!</v>
      </c>
      <c r="AE1836" t="e">
        <f>RIGHT(#REF!,(FIND("Complex",#REF!,1)-10))</f>
        <v>#REF!</v>
      </c>
    </row>
    <row r="1837" spans="1:31" x14ac:dyDescent="0.25">
      <c r="A1837">
        <v>2657</v>
      </c>
      <c r="B1837" t="s">
        <v>54</v>
      </c>
      <c r="C1837">
        <v>31</v>
      </c>
      <c r="D1837">
        <v>881</v>
      </c>
      <c r="E1837">
        <v>2657</v>
      </c>
      <c r="F1837">
        <v>1940401</v>
      </c>
      <c r="G1837">
        <v>2028600</v>
      </c>
      <c r="H1837">
        <f t="shared" si="56"/>
        <v>44.000022675736965</v>
      </c>
      <c r="I1837">
        <f t="shared" si="57"/>
        <v>46</v>
      </c>
      <c r="J1837" t="s">
        <v>22</v>
      </c>
      <c r="K1837">
        <v>3</v>
      </c>
      <c r="L1837" t="e">
        <f t="array" ref="L1837">VLOOKUP(J1837:$J$3871&amp;K1837:$K$3871,CHOOSE({1,2},#REF!&amp;#REF!,#REF!),2,0)</f>
        <v>#N/A</v>
      </c>
      <c r="M1837">
        <v>-15</v>
      </c>
      <c r="N1837">
        <v>0</v>
      </c>
      <c r="O1837" t="s">
        <v>7</v>
      </c>
      <c r="P1837">
        <v>0</v>
      </c>
      <c r="Q1837">
        <v>1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1</v>
      </c>
      <c r="Z1837">
        <v>0</v>
      </c>
      <c r="AA1837" t="s">
        <v>5236</v>
      </c>
      <c r="AB1837" t="s">
        <v>7329</v>
      </c>
      <c r="AC1837" t="s">
        <v>5236</v>
      </c>
      <c r="AD1837" t="e">
        <f>VLOOKUP(AB1837,#REF!,2,FALSE)</f>
        <v>#REF!</v>
      </c>
      <c r="AE1837" t="e">
        <f>RIGHT(#REF!,(FIND("Complex",#REF!,1)-10))</f>
        <v>#REF!</v>
      </c>
    </row>
    <row r="1838" spans="1:31" x14ac:dyDescent="0.25">
      <c r="A1838">
        <v>1917</v>
      </c>
      <c r="B1838" t="s">
        <v>63</v>
      </c>
      <c r="C1838">
        <v>32</v>
      </c>
      <c r="D1838">
        <v>583</v>
      </c>
      <c r="E1838">
        <v>1917</v>
      </c>
      <c r="F1838">
        <v>3792601</v>
      </c>
      <c r="G1838">
        <v>3880800</v>
      </c>
      <c r="H1838">
        <f t="shared" si="56"/>
        <v>86.000022675736957</v>
      </c>
      <c r="I1838">
        <f t="shared" si="57"/>
        <v>88</v>
      </c>
      <c r="J1838" t="s">
        <v>22</v>
      </c>
      <c r="K1838">
        <v>3</v>
      </c>
      <c r="L1838" t="e">
        <f t="array" ref="L1838">VLOOKUP(J1838:$J$3871&amp;K1838:$K$3871,CHOOSE({1,2},#REF!&amp;#REF!,#REF!),2,0)</f>
        <v>#N/A</v>
      </c>
      <c r="M1838">
        <v>-15</v>
      </c>
      <c r="N1838">
        <v>0</v>
      </c>
      <c r="O1838" t="s">
        <v>7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1</v>
      </c>
      <c r="Y1838">
        <v>0</v>
      </c>
      <c r="Z1838">
        <v>0</v>
      </c>
      <c r="AA1838" t="s">
        <v>4951</v>
      </c>
      <c r="AB1838" t="s">
        <v>7189</v>
      </c>
      <c r="AC1838" t="s">
        <v>4951</v>
      </c>
      <c r="AD1838" t="e">
        <f>VLOOKUP(AB1838,#REF!,2,FALSE)</f>
        <v>#REF!</v>
      </c>
      <c r="AE1838" t="e">
        <f>RIGHT(#REF!,(FIND("Complex",#REF!,1)-10))</f>
        <v>#REF!</v>
      </c>
    </row>
    <row r="1839" spans="1:31" x14ac:dyDescent="0.25">
      <c r="A1839">
        <v>2165</v>
      </c>
      <c r="B1839" t="s">
        <v>63</v>
      </c>
      <c r="C1839">
        <v>32</v>
      </c>
      <c r="D1839">
        <v>663</v>
      </c>
      <c r="E1839">
        <v>2165</v>
      </c>
      <c r="F1839">
        <v>3087001</v>
      </c>
      <c r="G1839">
        <v>3175200</v>
      </c>
      <c r="H1839">
        <f t="shared" si="56"/>
        <v>70.000022675736957</v>
      </c>
      <c r="I1839">
        <f t="shared" si="57"/>
        <v>72</v>
      </c>
      <c r="J1839" t="s">
        <v>22</v>
      </c>
      <c r="K1839">
        <v>3</v>
      </c>
      <c r="L1839" t="e">
        <f t="array" ref="L1839">VLOOKUP(J1839:$J$3871&amp;K1839:$K$3871,CHOOSE({1,2},#REF!&amp;#REF!,#REF!),2,0)</f>
        <v>#N/A</v>
      </c>
      <c r="M1839">
        <v>-15</v>
      </c>
      <c r="N1839">
        <v>0</v>
      </c>
      <c r="O1839" t="s">
        <v>7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1</v>
      </c>
      <c r="Y1839">
        <v>0</v>
      </c>
      <c r="Z1839">
        <v>0</v>
      </c>
      <c r="AA1839" t="s">
        <v>5061</v>
      </c>
      <c r="AB1839" t="s">
        <v>1003</v>
      </c>
      <c r="AC1839" t="s">
        <v>5061</v>
      </c>
      <c r="AD1839" t="e">
        <f>VLOOKUP(AB1839,#REF!,2,FALSE)</f>
        <v>#REF!</v>
      </c>
      <c r="AE1839" t="e">
        <f>RIGHT(#REF!,(FIND("Complex",#REF!,1)-10))</f>
        <v>#REF!</v>
      </c>
    </row>
    <row r="1840" spans="1:31" x14ac:dyDescent="0.25">
      <c r="A1840">
        <v>2661</v>
      </c>
      <c r="B1840" t="s">
        <v>63</v>
      </c>
      <c r="C1840">
        <v>32</v>
      </c>
      <c r="D1840">
        <v>883</v>
      </c>
      <c r="E1840">
        <v>2661</v>
      </c>
      <c r="F1840">
        <v>2998801</v>
      </c>
      <c r="G1840">
        <v>3087000</v>
      </c>
      <c r="H1840">
        <f t="shared" si="56"/>
        <v>68.000022675736957</v>
      </c>
      <c r="I1840">
        <f t="shared" si="57"/>
        <v>70</v>
      </c>
      <c r="J1840" t="s">
        <v>22</v>
      </c>
      <c r="K1840">
        <v>3</v>
      </c>
      <c r="L1840" t="e">
        <f t="array" ref="L1840">VLOOKUP(J1840:$J$3871&amp;K1840:$K$3871,CHOOSE({1,2},#REF!&amp;#REF!,#REF!),2,0)</f>
        <v>#N/A</v>
      </c>
      <c r="M1840">
        <v>-15</v>
      </c>
      <c r="N1840">
        <v>0</v>
      </c>
      <c r="O1840" t="s">
        <v>7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1</v>
      </c>
      <c r="Y1840">
        <v>0</v>
      </c>
      <c r="Z1840">
        <v>0</v>
      </c>
      <c r="AA1840" t="s">
        <v>5072</v>
      </c>
      <c r="AB1840" t="s">
        <v>7253</v>
      </c>
      <c r="AC1840" t="s">
        <v>5072</v>
      </c>
      <c r="AD1840" t="e">
        <f>VLOOKUP(AB1840,#REF!,2,FALSE)</f>
        <v>#REF!</v>
      </c>
      <c r="AE1840" t="e">
        <f>RIGHT(#REF!,(FIND("Complex",#REF!,1)-10))</f>
        <v>#REF!</v>
      </c>
    </row>
    <row r="1841" spans="1:31" x14ac:dyDescent="0.25">
      <c r="A1841">
        <v>2046</v>
      </c>
      <c r="B1841" t="s">
        <v>63</v>
      </c>
      <c r="C1841">
        <v>32</v>
      </c>
      <c r="D1841">
        <v>619</v>
      </c>
      <c r="E1841">
        <v>2046</v>
      </c>
      <c r="F1841">
        <v>1940401</v>
      </c>
      <c r="G1841">
        <v>2028600</v>
      </c>
      <c r="H1841">
        <f t="shared" si="56"/>
        <v>44.000022675736965</v>
      </c>
      <c r="I1841">
        <f t="shared" si="57"/>
        <v>46</v>
      </c>
      <c r="J1841" t="s">
        <v>22</v>
      </c>
      <c r="K1841">
        <v>3</v>
      </c>
      <c r="L1841" t="e">
        <f t="array" ref="L1841">VLOOKUP(J1841:$J$3871&amp;K1841:$K$3871,CHOOSE({1,2},#REF!&amp;#REF!,#REF!),2,0)</f>
        <v>#N/A</v>
      </c>
      <c r="M1841">
        <v>-15</v>
      </c>
      <c r="N1841">
        <v>0</v>
      </c>
      <c r="O1841" t="s">
        <v>7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1</v>
      </c>
      <c r="Y1841">
        <v>0</v>
      </c>
      <c r="Z1841">
        <v>0</v>
      </c>
      <c r="AA1841" t="s">
        <v>5235</v>
      </c>
      <c r="AB1841" t="s">
        <v>7328</v>
      </c>
      <c r="AC1841" t="s">
        <v>5235</v>
      </c>
      <c r="AD1841" t="e">
        <f>VLOOKUP(AB1841,#REF!,2,FALSE)</f>
        <v>#REF!</v>
      </c>
      <c r="AE1841" t="e">
        <f>RIGHT(#REF!,(FIND("Complex",#REF!,1)-10))</f>
        <v>#REF!</v>
      </c>
    </row>
    <row r="1842" spans="1:31" x14ac:dyDescent="0.25">
      <c r="A1842">
        <v>1697</v>
      </c>
      <c r="B1842" t="s">
        <v>63</v>
      </c>
      <c r="C1842">
        <v>32</v>
      </c>
      <c r="D1842">
        <v>513</v>
      </c>
      <c r="E1842">
        <v>1697</v>
      </c>
      <c r="F1842">
        <v>705601</v>
      </c>
      <c r="G1842">
        <v>793800</v>
      </c>
      <c r="H1842">
        <f t="shared" si="56"/>
        <v>16.000022675736961</v>
      </c>
      <c r="I1842">
        <f t="shared" si="57"/>
        <v>18</v>
      </c>
      <c r="J1842" t="s">
        <v>22</v>
      </c>
      <c r="K1842">
        <v>3</v>
      </c>
      <c r="L1842" t="e">
        <f t="array" ref="L1842">VLOOKUP(J1842:$J$3871&amp;K1842:$K$3871,CHOOSE({1,2},#REF!&amp;#REF!,#REF!),2,0)</f>
        <v>#N/A</v>
      </c>
      <c r="M1842">
        <v>-15</v>
      </c>
      <c r="N1842">
        <v>0</v>
      </c>
      <c r="O1842" t="s">
        <v>7</v>
      </c>
      <c r="P1842">
        <v>1</v>
      </c>
      <c r="Q1842">
        <v>1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0</v>
      </c>
      <c r="Z1842">
        <v>0</v>
      </c>
      <c r="AA1842" t="s">
        <v>5823</v>
      </c>
      <c r="AB1842" t="s">
        <v>7691</v>
      </c>
      <c r="AC1842" t="s">
        <v>5823</v>
      </c>
      <c r="AD1842" t="e">
        <f>VLOOKUP(AB1842,#REF!,2,FALSE)</f>
        <v>#REF!</v>
      </c>
      <c r="AE1842" t="e">
        <f>RIGHT(#REF!,(FIND("Complex",#REF!,1)-10))</f>
        <v>#REF!</v>
      </c>
    </row>
    <row r="1843" spans="1:31" x14ac:dyDescent="0.25">
      <c r="A1843">
        <v>1077</v>
      </c>
      <c r="B1843" t="s">
        <v>64</v>
      </c>
      <c r="C1843">
        <v>33</v>
      </c>
      <c r="D1843">
        <v>323</v>
      </c>
      <c r="E1843">
        <v>1077</v>
      </c>
      <c r="F1843">
        <v>6791401</v>
      </c>
      <c r="G1843">
        <v>6879600</v>
      </c>
      <c r="H1843">
        <f t="shared" si="56"/>
        <v>154.00002267573697</v>
      </c>
      <c r="I1843">
        <f t="shared" si="57"/>
        <v>156</v>
      </c>
      <c r="J1843" t="s">
        <v>22</v>
      </c>
      <c r="K1843">
        <v>3</v>
      </c>
      <c r="L1843" t="e">
        <f t="array" ref="L1843">VLOOKUP(J1843:$J$3871&amp;K1843:$K$3871,CHOOSE({1,2},#REF!&amp;#REF!,#REF!),2,0)</f>
        <v>#N/A</v>
      </c>
      <c r="M1843">
        <v>-15</v>
      </c>
      <c r="N1843">
        <v>0</v>
      </c>
      <c r="O1843" t="s">
        <v>7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1</v>
      </c>
      <c r="Y1843">
        <v>0</v>
      </c>
      <c r="Z1843">
        <v>0</v>
      </c>
      <c r="AA1843" t="s">
        <v>5860</v>
      </c>
      <c r="AB1843" t="s">
        <v>7715</v>
      </c>
      <c r="AC1843" t="s">
        <v>5860</v>
      </c>
      <c r="AD1843" t="e">
        <f>VLOOKUP(AB1843,#REF!,2,FALSE)</f>
        <v>#REF!</v>
      </c>
      <c r="AE1843" t="e">
        <f>RIGHT(#REF!,(FIND("Complex",#REF!,1)-9))</f>
        <v>#REF!</v>
      </c>
    </row>
    <row r="1844" spans="1:31" x14ac:dyDescent="0.25">
      <c r="A1844">
        <v>1660</v>
      </c>
      <c r="B1844" t="s">
        <v>64</v>
      </c>
      <c r="C1844">
        <v>33</v>
      </c>
      <c r="D1844">
        <v>499</v>
      </c>
      <c r="E1844">
        <v>1660</v>
      </c>
      <c r="F1844">
        <v>6438601</v>
      </c>
      <c r="G1844">
        <v>6526800</v>
      </c>
      <c r="H1844">
        <f t="shared" si="56"/>
        <v>146.00002267573697</v>
      </c>
      <c r="I1844">
        <f t="shared" si="57"/>
        <v>148</v>
      </c>
      <c r="J1844" t="s">
        <v>22</v>
      </c>
      <c r="K1844">
        <v>3</v>
      </c>
      <c r="L1844" t="e">
        <f t="array" ref="L1844">VLOOKUP(J1844:$J$3871&amp;K1844:$K$3871,CHOOSE({1,2},#REF!&amp;#REF!,#REF!),2,0)</f>
        <v>#N/A</v>
      </c>
      <c r="M1844">
        <v>-15</v>
      </c>
      <c r="N1844">
        <v>0</v>
      </c>
      <c r="O1844" t="s">
        <v>7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1</v>
      </c>
      <c r="Y1844">
        <v>0</v>
      </c>
      <c r="Z1844">
        <v>0</v>
      </c>
      <c r="AA1844" t="s">
        <v>5899</v>
      </c>
      <c r="AB1844" t="s">
        <v>7740</v>
      </c>
      <c r="AC1844" t="s">
        <v>5899</v>
      </c>
      <c r="AD1844" t="e">
        <f>VLOOKUP(AB1844,#REF!,2,FALSE)</f>
        <v>#REF!</v>
      </c>
      <c r="AE1844" t="e">
        <f>RIGHT(#REF!,(FIND("Complex",#REF!,1)-9))</f>
        <v>#REF!</v>
      </c>
    </row>
    <row r="1845" spans="1:31" x14ac:dyDescent="0.25">
      <c r="A1845">
        <v>847</v>
      </c>
      <c r="B1845" t="s">
        <v>64</v>
      </c>
      <c r="C1845">
        <v>33</v>
      </c>
      <c r="D1845">
        <v>256</v>
      </c>
      <c r="E1845">
        <v>847</v>
      </c>
      <c r="F1845">
        <v>4674601</v>
      </c>
      <c r="G1845">
        <v>4762800</v>
      </c>
      <c r="H1845">
        <f t="shared" si="56"/>
        <v>106.00002267573696</v>
      </c>
      <c r="I1845">
        <f t="shared" si="57"/>
        <v>108</v>
      </c>
      <c r="J1845" t="s">
        <v>22</v>
      </c>
      <c r="K1845">
        <v>3</v>
      </c>
      <c r="L1845" t="e">
        <f t="array" ref="L1845">VLOOKUP(J1845:$J$3871&amp;K1845:$K$3871,CHOOSE({1,2},#REF!&amp;#REF!,#REF!),2,0)</f>
        <v>#N/A</v>
      </c>
      <c r="M1845">
        <v>-15</v>
      </c>
      <c r="N1845">
        <v>0</v>
      </c>
      <c r="O1845" t="s">
        <v>7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1</v>
      </c>
      <c r="Y1845">
        <v>0</v>
      </c>
      <c r="Z1845">
        <v>0</v>
      </c>
      <c r="AA1845" t="s">
        <v>6094</v>
      </c>
      <c r="AB1845" t="s">
        <v>7849</v>
      </c>
      <c r="AC1845" t="s">
        <v>6094</v>
      </c>
      <c r="AD1845" t="e">
        <f>VLOOKUP(AB1845,#REF!,2,FALSE)</f>
        <v>#REF!</v>
      </c>
      <c r="AE1845" t="e">
        <f>RIGHT(#REF!,(FIND("Complex",#REF!,1)-8))</f>
        <v>#REF!</v>
      </c>
    </row>
    <row r="1846" spans="1:31" x14ac:dyDescent="0.25">
      <c r="A1846">
        <v>1915</v>
      </c>
      <c r="B1846" t="s">
        <v>92</v>
      </c>
      <c r="C1846">
        <v>34</v>
      </c>
      <c r="D1846">
        <v>582</v>
      </c>
      <c r="E1846">
        <v>1915</v>
      </c>
      <c r="F1846">
        <v>1852201</v>
      </c>
      <c r="G1846">
        <v>1940400</v>
      </c>
      <c r="H1846">
        <f t="shared" si="56"/>
        <v>42.000022675736965</v>
      </c>
      <c r="I1846">
        <f t="shared" si="57"/>
        <v>44</v>
      </c>
      <c r="J1846" t="s">
        <v>22</v>
      </c>
      <c r="K1846">
        <v>3</v>
      </c>
      <c r="L1846" t="e">
        <f t="array" ref="L1846">VLOOKUP(J1846:$J$3871&amp;K1846:$K$3871,CHOOSE({1,2},#REF!&amp;#REF!,#REF!),2,0)</f>
        <v>#N/A</v>
      </c>
      <c r="M1846">
        <v>-15</v>
      </c>
      <c r="N1846">
        <v>0</v>
      </c>
      <c r="O1846" t="s">
        <v>7</v>
      </c>
      <c r="P1846">
        <v>1</v>
      </c>
      <c r="Q1846">
        <v>1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 t="s">
        <v>5248</v>
      </c>
      <c r="AB1846" t="s">
        <v>7335</v>
      </c>
      <c r="AC1846" t="s">
        <v>5248</v>
      </c>
      <c r="AD1846" t="e">
        <f>VLOOKUP(AB1846,#REF!,2,FALSE)</f>
        <v>#REF!</v>
      </c>
      <c r="AE1846" t="e">
        <f>RIGHT(#REF!,(FIND("Complex",#REF!,1)-10))</f>
        <v>#REF!</v>
      </c>
    </row>
    <row r="1847" spans="1:31" x14ac:dyDescent="0.25">
      <c r="A1847">
        <v>922</v>
      </c>
      <c r="B1847" t="s">
        <v>92</v>
      </c>
      <c r="C1847">
        <v>34</v>
      </c>
      <c r="D1847">
        <v>282</v>
      </c>
      <c r="E1847">
        <v>922</v>
      </c>
      <c r="F1847">
        <v>970201</v>
      </c>
      <c r="G1847">
        <v>1058400</v>
      </c>
      <c r="H1847">
        <f t="shared" si="56"/>
        <v>22.000022675736961</v>
      </c>
      <c r="I1847">
        <f t="shared" si="57"/>
        <v>24</v>
      </c>
      <c r="J1847" t="s">
        <v>22</v>
      </c>
      <c r="K1847">
        <v>3</v>
      </c>
      <c r="L1847" t="e">
        <f t="array" ref="L1847">VLOOKUP(J1847:$J$3871&amp;K1847:$K$3871,CHOOSE({1,2},#REF!&amp;#REF!,#REF!),2,0)</f>
        <v>#N/A</v>
      </c>
      <c r="M1847">
        <v>-15</v>
      </c>
      <c r="N1847">
        <v>0</v>
      </c>
      <c r="O1847" t="s">
        <v>7</v>
      </c>
      <c r="P1847">
        <v>1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 t="s">
        <v>5583</v>
      </c>
      <c r="AB1847" t="s">
        <v>7542</v>
      </c>
      <c r="AC1847" t="s">
        <v>5583</v>
      </c>
      <c r="AD1847" t="e">
        <f>VLOOKUP(AB1847,#REF!,2,FALSE)</f>
        <v>#REF!</v>
      </c>
      <c r="AE1847" t="e">
        <f>RIGHT(#REF!,(FIND("Complex",#REF!,1)-9))</f>
        <v>#REF!</v>
      </c>
    </row>
    <row r="1848" spans="1:31" x14ac:dyDescent="0.25">
      <c r="A1848">
        <v>1480</v>
      </c>
      <c r="B1848" t="s">
        <v>38</v>
      </c>
      <c r="C1848">
        <v>37</v>
      </c>
      <c r="D1848">
        <v>450</v>
      </c>
      <c r="E1848">
        <v>1480</v>
      </c>
      <c r="F1848">
        <v>1</v>
      </c>
      <c r="G1848">
        <v>88200</v>
      </c>
      <c r="H1848">
        <f t="shared" si="56"/>
        <v>2.2675736961451248E-5</v>
      </c>
      <c r="I1848">
        <f t="shared" si="57"/>
        <v>2</v>
      </c>
      <c r="J1848" t="s">
        <v>22</v>
      </c>
      <c r="K1848">
        <v>3</v>
      </c>
      <c r="L1848" t="e">
        <f t="array" ref="L1848">VLOOKUP(J1848:$J$3871&amp;K1848:$K$3871,CHOOSE({1,2},#REF!&amp;#REF!,#REF!),2,0)</f>
        <v>#N/A</v>
      </c>
      <c r="M1848">
        <v>-15</v>
      </c>
      <c r="N1848">
        <v>0</v>
      </c>
      <c r="O1848" t="s">
        <v>7</v>
      </c>
      <c r="P1848">
        <v>1</v>
      </c>
      <c r="Q1848">
        <v>1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</v>
      </c>
      <c r="Y1848">
        <v>0</v>
      </c>
      <c r="Z1848">
        <v>0</v>
      </c>
      <c r="AA1848" t="s">
        <v>6149</v>
      </c>
      <c r="AB1848" t="s">
        <v>7877</v>
      </c>
      <c r="AC1848" t="s">
        <v>6149</v>
      </c>
      <c r="AD1848" t="e">
        <f>VLOOKUP(AB1848,#REF!,2,FALSE)</f>
        <v>#REF!</v>
      </c>
      <c r="AE1848" t="e">
        <f>RIGHT(#REF!,(FIND("Complex",#REF!,1)-11))</f>
        <v>#REF!</v>
      </c>
    </row>
    <row r="1849" spans="1:31" x14ac:dyDescent="0.25">
      <c r="A1849">
        <v>2344</v>
      </c>
      <c r="B1849" t="s">
        <v>50</v>
      </c>
      <c r="C1849">
        <v>38</v>
      </c>
      <c r="D1849">
        <v>743</v>
      </c>
      <c r="E1849">
        <v>2344</v>
      </c>
      <c r="F1849">
        <v>352801</v>
      </c>
      <c r="G1849">
        <v>441000</v>
      </c>
      <c r="H1849">
        <f t="shared" si="56"/>
        <v>8.000022675736961</v>
      </c>
      <c r="I1849">
        <f t="shared" si="57"/>
        <v>10</v>
      </c>
      <c r="J1849" t="s">
        <v>22</v>
      </c>
      <c r="K1849">
        <v>3</v>
      </c>
      <c r="L1849" t="e">
        <f t="array" ref="L1849">VLOOKUP(J1849:$J$3871&amp;K1849:$K$3871,CHOOSE({1,2},#REF!&amp;#REF!,#REF!),2,0)</f>
        <v>#N/A</v>
      </c>
      <c r="M1849">
        <v>-15</v>
      </c>
      <c r="N1849">
        <v>0</v>
      </c>
      <c r="O1849" t="s">
        <v>7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1</v>
      </c>
      <c r="Y1849">
        <v>0</v>
      </c>
      <c r="Z1849">
        <v>0</v>
      </c>
      <c r="AA1849" t="s">
        <v>4994</v>
      </c>
      <c r="AB1849" t="s">
        <v>7212</v>
      </c>
      <c r="AC1849" t="s">
        <v>4994</v>
      </c>
      <c r="AD1849" t="e">
        <f>VLOOKUP(AB1849,#REF!,2,FALSE)</f>
        <v>#REF!</v>
      </c>
      <c r="AE1849" t="e">
        <f>RIGHT(#REF!,(FIND("Complex",#REF!,1)-11))</f>
        <v>#REF!</v>
      </c>
    </row>
    <row r="1850" spans="1:31" x14ac:dyDescent="0.25">
      <c r="A1850">
        <v>2141</v>
      </c>
      <c r="B1850" t="s">
        <v>50</v>
      </c>
      <c r="C1850">
        <v>38</v>
      </c>
      <c r="D1850">
        <v>653</v>
      </c>
      <c r="E1850">
        <v>2141</v>
      </c>
      <c r="F1850">
        <v>11201401</v>
      </c>
      <c r="G1850">
        <v>11289600</v>
      </c>
      <c r="H1850">
        <f t="shared" si="56"/>
        <v>254.00002267573697</v>
      </c>
      <c r="I1850">
        <f t="shared" si="57"/>
        <v>256</v>
      </c>
      <c r="J1850" t="s">
        <v>22</v>
      </c>
      <c r="K1850">
        <v>3</v>
      </c>
      <c r="L1850" t="e">
        <f t="array" ref="L1850">VLOOKUP(J1850:$J$3871&amp;K1850:$K$3871,CHOOSE({1,2},#REF!&amp;#REF!,#REF!),2,0)</f>
        <v>#N/A</v>
      </c>
      <c r="M1850">
        <v>-15</v>
      </c>
      <c r="N1850">
        <v>0</v>
      </c>
      <c r="O1850" t="s">
        <v>7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1</v>
      </c>
      <c r="Y1850">
        <v>0</v>
      </c>
      <c r="Z1850">
        <v>0</v>
      </c>
      <c r="AA1850" t="s">
        <v>5482</v>
      </c>
      <c r="AB1850" t="s">
        <v>7475</v>
      </c>
      <c r="AC1850" t="s">
        <v>5482</v>
      </c>
      <c r="AD1850" t="e">
        <f>VLOOKUP(AB1850,#REF!,2,FALSE)</f>
        <v>#REF!</v>
      </c>
      <c r="AE1850" t="e">
        <f>RIGHT(#REF!,(FIND("Complex",#REF!,1)-9))</f>
        <v>#REF!</v>
      </c>
    </row>
    <row r="1851" spans="1:31" x14ac:dyDescent="0.25">
      <c r="A1851">
        <v>2659</v>
      </c>
      <c r="B1851" t="s">
        <v>50</v>
      </c>
      <c r="C1851">
        <v>38</v>
      </c>
      <c r="D1851">
        <v>882</v>
      </c>
      <c r="E1851">
        <v>2659</v>
      </c>
      <c r="F1851">
        <v>10584001</v>
      </c>
      <c r="G1851">
        <v>10672200</v>
      </c>
      <c r="H1851">
        <f t="shared" si="56"/>
        <v>240.00002267573697</v>
      </c>
      <c r="I1851">
        <f t="shared" si="57"/>
        <v>242</v>
      </c>
      <c r="J1851" t="s">
        <v>22</v>
      </c>
      <c r="K1851">
        <v>3</v>
      </c>
      <c r="L1851" t="e">
        <f t="array" ref="L1851">VLOOKUP(J1851:$J$3871&amp;K1851:$K$3871,CHOOSE({1,2},#REF!&amp;#REF!,#REF!),2,0)</f>
        <v>#N/A</v>
      </c>
      <c r="M1851">
        <v>-15</v>
      </c>
      <c r="N1851">
        <v>0</v>
      </c>
      <c r="O1851" t="s">
        <v>7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1</v>
      </c>
      <c r="Y1851">
        <v>0</v>
      </c>
      <c r="Z1851">
        <v>0</v>
      </c>
      <c r="AA1851" t="s">
        <v>5511</v>
      </c>
      <c r="AB1851" t="s">
        <v>7498</v>
      </c>
      <c r="AC1851" t="s">
        <v>5511</v>
      </c>
      <c r="AD1851" t="e">
        <f>VLOOKUP(AB1851,#REF!,2,FALSE)</f>
        <v>#REF!</v>
      </c>
      <c r="AE1851" t="e">
        <f>RIGHT(#REF!,(FIND("Complex",#REF!,1)-9))</f>
        <v>#REF!</v>
      </c>
    </row>
    <row r="1852" spans="1:31" x14ac:dyDescent="0.25">
      <c r="A1852">
        <v>265</v>
      </c>
      <c r="B1852" t="s">
        <v>50</v>
      </c>
      <c r="C1852">
        <v>38</v>
      </c>
      <c r="D1852">
        <v>78</v>
      </c>
      <c r="E1852">
        <v>265</v>
      </c>
      <c r="F1852">
        <v>9790201</v>
      </c>
      <c r="G1852">
        <v>9878400</v>
      </c>
      <c r="H1852">
        <f t="shared" si="56"/>
        <v>222.00002267573697</v>
      </c>
      <c r="I1852">
        <f t="shared" si="57"/>
        <v>224</v>
      </c>
      <c r="J1852" t="s">
        <v>22</v>
      </c>
      <c r="K1852">
        <v>3</v>
      </c>
      <c r="L1852" t="e">
        <f t="array" ref="L1852">VLOOKUP(J1852:$J$3871&amp;K1852:$K$3871,CHOOSE({1,2},#REF!&amp;#REF!,#REF!),2,0)</f>
        <v>#N/A</v>
      </c>
      <c r="M1852">
        <v>-15</v>
      </c>
      <c r="N1852">
        <v>0</v>
      </c>
      <c r="O1852" t="s">
        <v>7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1</v>
      </c>
      <c r="Y1852">
        <v>0</v>
      </c>
      <c r="Z1852">
        <v>0</v>
      </c>
      <c r="AA1852" t="s">
        <v>5567</v>
      </c>
      <c r="AB1852" t="s">
        <v>7533</v>
      </c>
      <c r="AC1852" t="s">
        <v>5567</v>
      </c>
      <c r="AD1852" t="e">
        <f>VLOOKUP(AB1852,#REF!,2,FALSE)</f>
        <v>#REF!</v>
      </c>
      <c r="AE1852" t="e">
        <f>RIGHT(#REF!,(FIND("Complex",#REF!,1)-8))</f>
        <v>#REF!</v>
      </c>
    </row>
    <row r="1853" spans="1:31" x14ac:dyDescent="0.25">
      <c r="A1853">
        <v>2795</v>
      </c>
      <c r="B1853" t="s">
        <v>50</v>
      </c>
      <c r="C1853">
        <v>38</v>
      </c>
      <c r="D1853">
        <v>920</v>
      </c>
      <c r="E1853">
        <v>2795</v>
      </c>
      <c r="F1853">
        <v>7408801</v>
      </c>
      <c r="G1853">
        <v>7497000</v>
      </c>
      <c r="H1853">
        <f t="shared" si="56"/>
        <v>168.00002267573697</v>
      </c>
      <c r="I1853">
        <f t="shared" si="57"/>
        <v>170</v>
      </c>
      <c r="J1853" t="s">
        <v>22</v>
      </c>
      <c r="K1853">
        <v>3</v>
      </c>
      <c r="L1853" t="e">
        <f t="array" ref="L1853">VLOOKUP(J1853:$J$3871&amp;K1853:$K$3871,CHOOSE({1,2},#REF!&amp;#REF!,#REF!),2,0)</f>
        <v>#N/A</v>
      </c>
      <c r="M1853">
        <v>-15</v>
      </c>
      <c r="N1853">
        <v>0</v>
      </c>
      <c r="O1853" t="s">
        <v>7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1</v>
      </c>
      <c r="Y1853">
        <v>0</v>
      </c>
      <c r="Z1853">
        <v>0</v>
      </c>
      <c r="AA1853" t="s">
        <v>5764</v>
      </c>
      <c r="AB1853" t="s">
        <v>7658</v>
      </c>
      <c r="AC1853" t="s">
        <v>5764</v>
      </c>
      <c r="AD1853" t="e">
        <f>VLOOKUP(AB1853,#REF!,2,FALSE)</f>
        <v>#REF!</v>
      </c>
      <c r="AE1853" t="e">
        <f>RIGHT(#REF!,(FIND("Complex",#REF!,1)-9))</f>
        <v>#REF!</v>
      </c>
    </row>
    <row r="1854" spans="1:31" x14ac:dyDescent="0.25">
      <c r="A1854">
        <v>2466</v>
      </c>
      <c r="B1854" t="s">
        <v>50</v>
      </c>
      <c r="C1854">
        <v>38</v>
      </c>
      <c r="D1854">
        <v>800</v>
      </c>
      <c r="E1854">
        <v>2466</v>
      </c>
      <c r="F1854">
        <v>4586401</v>
      </c>
      <c r="G1854">
        <v>4674600</v>
      </c>
      <c r="H1854">
        <f t="shared" si="56"/>
        <v>104.00002267573696</v>
      </c>
      <c r="I1854">
        <f t="shared" si="57"/>
        <v>106</v>
      </c>
      <c r="J1854" t="s">
        <v>22</v>
      </c>
      <c r="K1854">
        <v>3</v>
      </c>
      <c r="L1854" t="e">
        <f t="array" ref="L1854">VLOOKUP(J1854:$J$3871&amp;K1854:$K$3871,CHOOSE({1,2},#REF!&amp;#REF!,#REF!),2,0)</f>
        <v>#N/A</v>
      </c>
      <c r="M1854">
        <v>-15</v>
      </c>
      <c r="N1854">
        <v>0</v>
      </c>
      <c r="O1854" t="s">
        <v>7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1</v>
      </c>
      <c r="Y1854">
        <v>0</v>
      </c>
      <c r="Z1854">
        <v>0</v>
      </c>
      <c r="AA1854" t="s">
        <v>6100</v>
      </c>
      <c r="AB1854" t="s">
        <v>1144</v>
      </c>
      <c r="AC1854" t="s">
        <v>6100</v>
      </c>
      <c r="AD1854" t="e">
        <f>VLOOKUP(AB1854,#REF!,2,FALSE)</f>
        <v>#REF!</v>
      </c>
      <c r="AE1854" t="e">
        <f>RIGHT(#REF!,(FIND("Complex",#REF!,1)-9))</f>
        <v>#REF!</v>
      </c>
    </row>
    <row r="1855" spans="1:31" x14ac:dyDescent="0.25">
      <c r="A1855">
        <v>981</v>
      </c>
      <c r="B1855" t="s">
        <v>50</v>
      </c>
      <c r="C1855">
        <v>38</v>
      </c>
      <c r="D1855">
        <v>296</v>
      </c>
      <c r="E1855">
        <v>981</v>
      </c>
      <c r="F1855">
        <v>441001</v>
      </c>
      <c r="G1855">
        <v>529200</v>
      </c>
      <c r="H1855">
        <f t="shared" si="56"/>
        <v>10.000022675736961</v>
      </c>
      <c r="I1855">
        <f t="shared" si="57"/>
        <v>12</v>
      </c>
      <c r="J1855" t="s">
        <v>22</v>
      </c>
      <c r="K1855">
        <v>3</v>
      </c>
      <c r="L1855" t="e">
        <f t="array" ref="L1855">VLOOKUP(J1855:$J$3871&amp;K1855:$K$3871,CHOOSE({1,2},#REF!&amp;#REF!,#REF!),2,0)</f>
        <v>#N/A</v>
      </c>
      <c r="M1855">
        <v>-15</v>
      </c>
      <c r="N1855">
        <v>0</v>
      </c>
      <c r="O1855" t="s">
        <v>7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1</v>
      </c>
      <c r="Y1855">
        <v>0</v>
      </c>
      <c r="Z1855">
        <v>0</v>
      </c>
      <c r="AA1855" t="s">
        <v>6138</v>
      </c>
      <c r="AB1855" t="s">
        <v>7871</v>
      </c>
      <c r="AC1855" t="s">
        <v>6138</v>
      </c>
      <c r="AD1855" t="e">
        <f>VLOOKUP(AB1855,#REF!,2,FALSE)</f>
        <v>#REF!</v>
      </c>
      <c r="AE1855" t="e">
        <f>RIGHT(#REF!,(FIND("Complex",#REF!,1)-9))</f>
        <v>#REF!</v>
      </c>
    </row>
    <row r="1856" spans="1:31" x14ac:dyDescent="0.25">
      <c r="A1856">
        <v>991</v>
      </c>
      <c r="B1856" t="s">
        <v>88</v>
      </c>
      <c r="C1856">
        <v>39</v>
      </c>
      <c r="D1856">
        <v>299</v>
      </c>
      <c r="E1856">
        <v>991</v>
      </c>
      <c r="F1856">
        <v>2205001</v>
      </c>
      <c r="G1856">
        <v>2293200</v>
      </c>
      <c r="H1856">
        <f t="shared" si="56"/>
        <v>50.000022675736965</v>
      </c>
      <c r="I1856">
        <f t="shared" si="57"/>
        <v>52</v>
      </c>
      <c r="J1856" t="s">
        <v>22</v>
      </c>
      <c r="K1856">
        <v>3</v>
      </c>
      <c r="L1856" t="e">
        <f t="array" ref="L1856">VLOOKUP(J1856:$J$3871&amp;K1856:$K$3871,CHOOSE({1,2},#REF!&amp;#REF!,#REF!),2,0)</f>
        <v>#N/A</v>
      </c>
      <c r="M1856">
        <v>-15</v>
      </c>
      <c r="N1856">
        <v>0</v>
      </c>
      <c r="O1856" t="s">
        <v>7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1</v>
      </c>
      <c r="Y1856">
        <v>0</v>
      </c>
      <c r="Z1856">
        <v>0</v>
      </c>
      <c r="AA1856" t="s">
        <v>5196</v>
      </c>
      <c r="AB1856" t="s">
        <v>1167</v>
      </c>
      <c r="AC1856" t="s">
        <v>5196</v>
      </c>
      <c r="AD1856" t="e">
        <f>VLOOKUP(AB1856,#REF!,2,FALSE)</f>
        <v>#REF!</v>
      </c>
      <c r="AE1856" t="e">
        <f>RIGHT(#REF!,(FIND("Complex",#REF!,1)-9))</f>
        <v>#REF!</v>
      </c>
    </row>
    <row r="1857" spans="1:31" x14ac:dyDescent="0.25">
      <c r="A1857">
        <v>2597</v>
      </c>
      <c r="B1857" t="s">
        <v>40</v>
      </c>
      <c r="C1857">
        <v>40</v>
      </c>
      <c r="D1857">
        <v>850</v>
      </c>
      <c r="E1857">
        <v>2597</v>
      </c>
      <c r="F1857">
        <v>7144201</v>
      </c>
      <c r="G1857">
        <v>7232400</v>
      </c>
      <c r="H1857">
        <f t="shared" si="56"/>
        <v>162.00002267573697</v>
      </c>
      <c r="I1857">
        <f t="shared" si="57"/>
        <v>164</v>
      </c>
      <c r="J1857" t="s">
        <v>22</v>
      </c>
      <c r="K1857">
        <v>3</v>
      </c>
      <c r="L1857" t="e">
        <f t="array" ref="L1857">VLOOKUP(J1857:$J$3871&amp;K1857:$K$3871,CHOOSE({1,2},#REF!&amp;#REF!,#REF!),2,0)</f>
        <v>#N/A</v>
      </c>
      <c r="M1857">
        <v>-15</v>
      </c>
      <c r="N1857">
        <v>0</v>
      </c>
      <c r="O1857" t="s">
        <v>7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1</v>
      </c>
      <c r="Z1857">
        <v>0</v>
      </c>
      <c r="AA1857" t="s">
        <v>5791</v>
      </c>
      <c r="AB1857" t="s">
        <v>7676</v>
      </c>
      <c r="AC1857" t="s">
        <v>5791</v>
      </c>
      <c r="AD1857" t="e">
        <f>VLOOKUP(AB1857,#REF!,2,FALSE)</f>
        <v>#REF!</v>
      </c>
      <c r="AE1857" t="e">
        <f>RIGHT(#REF!,(FIND("Complex",#REF!,1)-9))</f>
        <v>#REF!</v>
      </c>
    </row>
    <row r="1858" spans="1:31" x14ac:dyDescent="0.25">
      <c r="A1858">
        <v>95</v>
      </c>
      <c r="B1858" t="s">
        <v>40</v>
      </c>
      <c r="C1858">
        <v>40</v>
      </c>
      <c r="D1858">
        <v>27</v>
      </c>
      <c r="E1858">
        <v>95</v>
      </c>
      <c r="F1858">
        <v>7056001</v>
      </c>
      <c r="G1858">
        <v>7144200</v>
      </c>
      <c r="H1858">
        <f t="shared" ref="H1858:H1921" si="58">F1858/44100</f>
        <v>160.00002267573697</v>
      </c>
      <c r="I1858">
        <f t="shared" ref="I1858:I1921" si="59">G1858/44100</f>
        <v>162</v>
      </c>
      <c r="J1858" t="s">
        <v>22</v>
      </c>
      <c r="K1858">
        <v>3</v>
      </c>
      <c r="L1858" t="e">
        <f t="array" ref="L1858">VLOOKUP(J1858:$J$3871&amp;K1858:$K$3871,CHOOSE({1,2},#REF!&amp;#REF!,#REF!),2,0)</f>
        <v>#N/A</v>
      </c>
      <c r="M1858">
        <v>-15</v>
      </c>
      <c r="N1858">
        <v>0</v>
      </c>
      <c r="O1858" t="s">
        <v>7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1</v>
      </c>
      <c r="Y1858">
        <v>1</v>
      </c>
      <c r="Z1858">
        <v>0</v>
      </c>
      <c r="AA1858" t="s">
        <v>5800</v>
      </c>
      <c r="AB1858" t="s">
        <v>7681</v>
      </c>
      <c r="AC1858" t="s">
        <v>5800</v>
      </c>
      <c r="AD1858" t="e">
        <f>VLOOKUP(AB1858,#REF!,2,FALSE)</f>
        <v>#REF!</v>
      </c>
      <c r="AE1858" t="e">
        <f>RIGHT(#REF!,(FIND("Complex",#REF!,1)-7))</f>
        <v>#REF!</v>
      </c>
    </row>
    <row r="1859" spans="1:31" x14ac:dyDescent="0.25">
      <c r="A1859">
        <v>2213</v>
      </c>
      <c r="B1859" t="s">
        <v>40</v>
      </c>
      <c r="C1859">
        <v>40</v>
      </c>
      <c r="D1859">
        <v>684</v>
      </c>
      <c r="E1859">
        <v>2213</v>
      </c>
      <c r="F1859">
        <v>6967801</v>
      </c>
      <c r="G1859">
        <v>7056000</v>
      </c>
      <c r="H1859">
        <f t="shared" si="58"/>
        <v>158.00002267573697</v>
      </c>
      <c r="I1859">
        <f t="shared" si="59"/>
        <v>160</v>
      </c>
      <c r="J1859" t="s">
        <v>22</v>
      </c>
      <c r="K1859">
        <v>3</v>
      </c>
      <c r="L1859" t="e">
        <f t="array" ref="L1859">VLOOKUP(J1859:$J$3871&amp;K1859:$K$3871,CHOOSE({1,2},#REF!&amp;#REF!,#REF!),2,0)</f>
        <v>#N/A</v>
      </c>
      <c r="M1859">
        <v>-15</v>
      </c>
      <c r="N1859">
        <v>0</v>
      </c>
      <c r="O1859" t="s">
        <v>7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1</v>
      </c>
      <c r="Z1859">
        <v>0</v>
      </c>
      <c r="AA1859" t="s">
        <v>5833</v>
      </c>
      <c r="AB1859" t="s">
        <v>7697</v>
      </c>
      <c r="AC1859" t="s">
        <v>5833</v>
      </c>
      <c r="AD1859" t="e">
        <f>VLOOKUP(AB1859,#REF!,2,FALSE)</f>
        <v>#REF!</v>
      </c>
      <c r="AE1859" t="e">
        <f>RIGHT(#REF!,(FIND("Complex",#REF!,1)-9))</f>
        <v>#REF!</v>
      </c>
    </row>
    <row r="1860" spans="1:31" x14ac:dyDescent="0.25">
      <c r="A1860">
        <v>2057</v>
      </c>
      <c r="B1860" t="s">
        <v>40</v>
      </c>
      <c r="C1860">
        <v>40</v>
      </c>
      <c r="D1860">
        <v>624</v>
      </c>
      <c r="E1860">
        <v>2057</v>
      </c>
      <c r="F1860">
        <v>6879601</v>
      </c>
      <c r="G1860">
        <v>6967800</v>
      </c>
      <c r="H1860">
        <f t="shared" si="58"/>
        <v>156.00002267573697</v>
      </c>
      <c r="I1860">
        <f t="shared" si="59"/>
        <v>158</v>
      </c>
      <c r="J1860" t="s">
        <v>22</v>
      </c>
      <c r="K1860">
        <v>3</v>
      </c>
      <c r="L1860" t="e">
        <f t="array" ref="L1860">VLOOKUP(J1860:$J$3871&amp;K1860:$K$3871,CHOOSE({1,2},#REF!&amp;#REF!,#REF!),2,0)</f>
        <v>#N/A</v>
      </c>
      <c r="M1860">
        <v>-15</v>
      </c>
      <c r="N1860">
        <v>0</v>
      </c>
      <c r="O1860" t="s">
        <v>7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1</v>
      </c>
      <c r="Z1860">
        <v>0</v>
      </c>
      <c r="AA1860" t="s">
        <v>5843</v>
      </c>
      <c r="AB1860" t="s">
        <v>7704</v>
      </c>
      <c r="AC1860" t="s">
        <v>5843</v>
      </c>
      <c r="AD1860" t="e">
        <f>VLOOKUP(AB1860,#REF!,2,FALSE)</f>
        <v>#REF!</v>
      </c>
      <c r="AE1860" t="e">
        <f>RIGHT(#REF!,(FIND("Complex",#REF!,1)-9))</f>
        <v>#REF!</v>
      </c>
    </row>
    <row r="1861" spans="1:31" x14ac:dyDescent="0.25">
      <c r="A1861">
        <v>1992</v>
      </c>
      <c r="B1861" t="s">
        <v>40</v>
      </c>
      <c r="C1861">
        <v>40</v>
      </c>
      <c r="D1861">
        <v>603</v>
      </c>
      <c r="E1861">
        <v>1992</v>
      </c>
      <c r="F1861">
        <v>6703201</v>
      </c>
      <c r="G1861">
        <v>6791400</v>
      </c>
      <c r="H1861">
        <f t="shared" si="58"/>
        <v>152.00002267573697</v>
      </c>
      <c r="I1861">
        <f t="shared" si="59"/>
        <v>154</v>
      </c>
      <c r="J1861" t="s">
        <v>22</v>
      </c>
      <c r="K1861">
        <v>3</v>
      </c>
      <c r="L1861" t="e">
        <f t="array" ref="L1861">VLOOKUP(J1861:$J$3871&amp;K1861:$K$3871,CHOOSE({1,2},#REF!&amp;#REF!,#REF!),2,0)</f>
        <v>#N/A</v>
      </c>
      <c r="M1861">
        <v>-15</v>
      </c>
      <c r="N1861">
        <v>0</v>
      </c>
      <c r="O1861" t="s">
        <v>7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1</v>
      </c>
      <c r="Z1861">
        <v>0</v>
      </c>
      <c r="AA1861" t="s">
        <v>5868</v>
      </c>
      <c r="AB1861" t="s">
        <v>7720</v>
      </c>
      <c r="AC1861" t="s">
        <v>5868</v>
      </c>
      <c r="AD1861" t="e">
        <f>VLOOKUP(AB1861,#REF!,2,FALSE)</f>
        <v>#REF!</v>
      </c>
      <c r="AE1861" t="e">
        <f>RIGHT(#REF!,(FIND("Complex",#REF!,1)-9))</f>
        <v>#REF!</v>
      </c>
    </row>
    <row r="1862" spans="1:31" x14ac:dyDescent="0.25">
      <c r="A1862">
        <v>1556</v>
      </c>
      <c r="B1862" t="s">
        <v>40</v>
      </c>
      <c r="C1862">
        <v>40</v>
      </c>
      <c r="D1862">
        <v>476</v>
      </c>
      <c r="E1862">
        <v>1556</v>
      </c>
      <c r="F1862">
        <v>6350401</v>
      </c>
      <c r="G1862">
        <v>6438600</v>
      </c>
      <c r="H1862">
        <f t="shared" si="58"/>
        <v>144.00002267573697</v>
      </c>
      <c r="I1862">
        <f t="shared" si="59"/>
        <v>146</v>
      </c>
      <c r="J1862" t="s">
        <v>22</v>
      </c>
      <c r="K1862">
        <v>3</v>
      </c>
      <c r="L1862" t="e">
        <f t="array" ref="L1862">VLOOKUP(J1862:$J$3871&amp;K1862:$K$3871,CHOOSE({1,2},#REF!&amp;#REF!,#REF!),2,0)</f>
        <v>#N/A</v>
      </c>
      <c r="M1862">
        <v>-15</v>
      </c>
      <c r="N1862">
        <v>0</v>
      </c>
      <c r="O1862" t="s">
        <v>7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1</v>
      </c>
      <c r="Z1862">
        <v>0</v>
      </c>
      <c r="AA1862" t="s">
        <v>5905</v>
      </c>
      <c r="AB1862" t="s">
        <v>7744</v>
      </c>
      <c r="AC1862" t="s">
        <v>5905</v>
      </c>
      <c r="AD1862" t="e">
        <f>VLOOKUP(AB1862,#REF!,2,FALSE)</f>
        <v>#REF!</v>
      </c>
      <c r="AE1862" t="e">
        <f>RIGHT(#REF!,(FIND("Complex",#REF!,1)-9))</f>
        <v>#REF!</v>
      </c>
    </row>
    <row r="1863" spans="1:31" x14ac:dyDescent="0.25">
      <c r="A1863">
        <v>408</v>
      </c>
      <c r="B1863" t="s">
        <v>40</v>
      </c>
      <c r="C1863">
        <v>40</v>
      </c>
      <c r="D1863">
        <v>128</v>
      </c>
      <c r="E1863">
        <v>408</v>
      </c>
      <c r="F1863">
        <v>6262201</v>
      </c>
      <c r="G1863">
        <v>6350400</v>
      </c>
      <c r="H1863">
        <f t="shared" si="58"/>
        <v>142.00002267573697</v>
      </c>
      <c r="I1863">
        <f t="shared" si="59"/>
        <v>144</v>
      </c>
      <c r="J1863" t="s">
        <v>22</v>
      </c>
      <c r="K1863">
        <v>3</v>
      </c>
      <c r="L1863" t="e">
        <f t="array" ref="L1863">VLOOKUP(J1863:$J$3871&amp;K1863:$K$3871,CHOOSE({1,2},#REF!&amp;#REF!,#REF!),2,0)</f>
        <v>#N/A</v>
      </c>
      <c r="M1863">
        <v>-15</v>
      </c>
      <c r="N1863">
        <v>0</v>
      </c>
      <c r="O1863" t="s">
        <v>7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1</v>
      </c>
      <c r="Z1863">
        <v>0</v>
      </c>
      <c r="AA1863" t="s">
        <v>5917</v>
      </c>
      <c r="AB1863" t="s">
        <v>1198</v>
      </c>
      <c r="AC1863" t="s">
        <v>5917</v>
      </c>
      <c r="AD1863" t="e">
        <f>VLOOKUP(AB1863,#REF!,2,FALSE)</f>
        <v>#REF!</v>
      </c>
      <c r="AE1863" t="e">
        <f>RIGHT(#REF!,(FIND("Complex",#REF!,1)-8))</f>
        <v>#REF!</v>
      </c>
    </row>
    <row r="1864" spans="1:31" x14ac:dyDescent="0.25">
      <c r="A1864">
        <v>1803</v>
      </c>
      <c r="B1864" t="s">
        <v>40</v>
      </c>
      <c r="C1864">
        <v>40</v>
      </c>
      <c r="D1864">
        <v>544</v>
      </c>
      <c r="E1864">
        <v>1803</v>
      </c>
      <c r="F1864">
        <v>5997601</v>
      </c>
      <c r="G1864">
        <v>6085800</v>
      </c>
      <c r="H1864">
        <f t="shared" si="58"/>
        <v>136.00002267573697</v>
      </c>
      <c r="I1864">
        <f t="shared" si="59"/>
        <v>138</v>
      </c>
      <c r="J1864" t="s">
        <v>22</v>
      </c>
      <c r="K1864">
        <v>3</v>
      </c>
      <c r="L1864" t="e">
        <f t="array" ref="L1864">VLOOKUP(J1864:$J$3871&amp;K1864:$K$3871,CHOOSE({1,2},#REF!&amp;#REF!,#REF!),2,0)</f>
        <v>#N/A</v>
      </c>
      <c r="M1864">
        <v>-15</v>
      </c>
      <c r="N1864">
        <v>0</v>
      </c>
      <c r="O1864" t="s">
        <v>7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1</v>
      </c>
      <c r="Z1864">
        <v>0</v>
      </c>
      <c r="AA1864" t="s">
        <v>5960</v>
      </c>
      <c r="AB1864" t="s">
        <v>7775</v>
      </c>
      <c r="AC1864" t="s">
        <v>5960</v>
      </c>
      <c r="AD1864" t="e">
        <f>VLOOKUP(AB1864,#REF!,2,FALSE)</f>
        <v>#REF!</v>
      </c>
      <c r="AE1864" t="e">
        <f>RIGHT(#REF!,(FIND("Complex",#REF!,1)-9))</f>
        <v>#REF!</v>
      </c>
    </row>
    <row r="1865" spans="1:31" x14ac:dyDescent="0.25">
      <c r="A1865">
        <v>2279</v>
      </c>
      <c r="B1865" t="s">
        <v>246</v>
      </c>
      <c r="C1865">
        <v>41</v>
      </c>
      <c r="D1865">
        <v>714</v>
      </c>
      <c r="E1865">
        <v>2279</v>
      </c>
      <c r="F1865">
        <v>8731801</v>
      </c>
      <c r="G1865">
        <v>8820000</v>
      </c>
      <c r="H1865">
        <f t="shared" si="58"/>
        <v>198.00002267573697</v>
      </c>
      <c r="I1865">
        <f t="shared" si="59"/>
        <v>200</v>
      </c>
      <c r="J1865" t="s">
        <v>22</v>
      </c>
      <c r="K1865">
        <v>3</v>
      </c>
      <c r="L1865" t="e">
        <f t="array" ref="L1865">VLOOKUP(J1865:$J$3871&amp;K1865:$K$3871,CHOOSE({1,2},#REF!&amp;#REF!,#REF!),2,0)</f>
        <v>#N/A</v>
      </c>
      <c r="M1865">
        <v>-15</v>
      </c>
      <c r="N1865">
        <v>0</v>
      </c>
      <c r="O1865" t="s">
        <v>7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1</v>
      </c>
      <c r="Y1865">
        <v>0</v>
      </c>
      <c r="Z1865">
        <v>0</v>
      </c>
      <c r="AA1865" t="s">
        <v>5661</v>
      </c>
      <c r="AB1865" t="s">
        <v>7592</v>
      </c>
      <c r="AC1865" t="s">
        <v>5661</v>
      </c>
      <c r="AD1865" t="e">
        <f>VLOOKUP(AB1865,#REF!,2,FALSE)</f>
        <v>#REF!</v>
      </c>
      <c r="AE1865" t="e">
        <f>RIGHT(#REF!,(FIND("Complex",#REF!,1)-9))</f>
        <v>#REF!</v>
      </c>
    </row>
    <row r="1866" spans="1:31" x14ac:dyDescent="0.25">
      <c r="A1866">
        <v>2848</v>
      </c>
      <c r="B1866" t="s">
        <v>246</v>
      </c>
      <c r="C1866">
        <v>41</v>
      </c>
      <c r="D1866">
        <v>936</v>
      </c>
      <c r="E1866">
        <v>2848</v>
      </c>
      <c r="F1866">
        <v>8643601</v>
      </c>
      <c r="G1866">
        <v>8731800</v>
      </c>
      <c r="H1866">
        <f t="shared" si="58"/>
        <v>196.00002267573697</v>
      </c>
      <c r="I1866">
        <f t="shared" si="59"/>
        <v>198</v>
      </c>
      <c r="J1866" t="s">
        <v>22</v>
      </c>
      <c r="K1866">
        <v>3</v>
      </c>
      <c r="L1866" t="e">
        <f t="array" ref="L1866">VLOOKUP(J1866:$J$3871&amp;K1866:$K$3871,CHOOSE({1,2},#REF!&amp;#REF!,#REF!),2,0)</f>
        <v>#N/A</v>
      </c>
      <c r="M1866">
        <v>-15</v>
      </c>
      <c r="N1866">
        <v>0</v>
      </c>
      <c r="O1866" t="s">
        <v>7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0</v>
      </c>
      <c r="Z1866">
        <v>0</v>
      </c>
      <c r="AA1866" t="s">
        <v>5663</v>
      </c>
      <c r="AB1866" t="s">
        <v>7593</v>
      </c>
      <c r="AC1866" t="s">
        <v>5663</v>
      </c>
      <c r="AD1866" t="e">
        <f>VLOOKUP(AB1866,#REF!,2,FALSE)</f>
        <v>#REF!</v>
      </c>
      <c r="AE1866" t="e">
        <f>RIGHT(#REF!,(FIND("Complex",#REF!,1)-9))</f>
        <v>#REF!</v>
      </c>
    </row>
    <row r="1867" spans="1:31" x14ac:dyDescent="0.25">
      <c r="A1867">
        <v>1601</v>
      </c>
      <c r="B1867" t="s">
        <v>246</v>
      </c>
      <c r="C1867">
        <v>41</v>
      </c>
      <c r="D1867">
        <v>486</v>
      </c>
      <c r="E1867">
        <v>1601</v>
      </c>
      <c r="F1867">
        <v>8555401</v>
      </c>
      <c r="G1867">
        <v>8643600</v>
      </c>
      <c r="H1867">
        <f t="shared" si="58"/>
        <v>194.00002267573697</v>
      </c>
      <c r="I1867">
        <f t="shared" si="59"/>
        <v>196</v>
      </c>
      <c r="J1867" t="s">
        <v>22</v>
      </c>
      <c r="K1867">
        <v>3</v>
      </c>
      <c r="L1867" t="e">
        <f t="array" ref="L1867">VLOOKUP(J1867:$J$3871&amp;K1867:$K$3871,CHOOSE({1,2},#REF!&amp;#REF!,#REF!),2,0)</f>
        <v>#N/A</v>
      </c>
      <c r="M1867">
        <v>-15</v>
      </c>
      <c r="N1867">
        <v>0</v>
      </c>
      <c r="O1867" t="s">
        <v>7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1</v>
      </c>
      <c r="Y1867">
        <v>0</v>
      </c>
      <c r="Z1867">
        <v>0</v>
      </c>
      <c r="AA1867" t="s">
        <v>5670</v>
      </c>
      <c r="AB1867" t="s">
        <v>7600</v>
      </c>
      <c r="AC1867" t="s">
        <v>5670</v>
      </c>
      <c r="AD1867" t="e">
        <f>VLOOKUP(AB1867,#REF!,2,FALSE)</f>
        <v>#REF!</v>
      </c>
      <c r="AE1867" t="e">
        <f>RIGHT(#REF!,(FIND("Complex",#REF!,1)-9))</f>
        <v>#REF!</v>
      </c>
    </row>
    <row r="1868" spans="1:31" x14ac:dyDescent="0.25">
      <c r="A1868">
        <v>820</v>
      </c>
      <c r="B1868" t="s">
        <v>246</v>
      </c>
      <c r="C1868">
        <v>41</v>
      </c>
      <c r="D1868">
        <v>249</v>
      </c>
      <c r="E1868">
        <v>820</v>
      </c>
      <c r="F1868">
        <v>8026201</v>
      </c>
      <c r="G1868">
        <v>8114400</v>
      </c>
      <c r="H1868">
        <f t="shared" si="58"/>
        <v>182.00002267573697</v>
      </c>
      <c r="I1868">
        <f t="shared" si="59"/>
        <v>184</v>
      </c>
      <c r="J1868" t="s">
        <v>22</v>
      </c>
      <c r="K1868">
        <v>3</v>
      </c>
      <c r="L1868" t="e">
        <f t="array" ref="L1868">VLOOKUP(J1868:$J$3871&amp;K1868:$K$3871,CHOOSE({1,2},#REF!&amp;#REF!,#REF!),2,0)</f>
        <v>#N/A</v>
      </c>
      <c r="M1868">
        <v>-15</v>
      </c>
      <c r="N1868">
        <v>0</v>
      </c>
      <c r="O1868" t="s">
        <v>7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1</v>
      </c>
      <c r="Y1868">
        <v>0</v>
      </c>
      <c r="Z1868">
        <v>0</v>
      </c>
      <c r="AA1868" t="s">
        <v>5696</v>
      </c>
      <c r="AB1868" t="s">
        <v>7618</v>
      </c>
      <c r="AC1868" t="s">
        <v>5696</v>
      </c>
      <c r="AD1868" t="e">
        <f>VLOOKUP(AB1868,#REF!,2,FALSE)</f>
        <v>#REF!</v>
      </c>
      <c r="AE1868" t="e">
        <f>RIGHT(#REF!,(FIND("Complex",#REF!,1)-8))</f>
        <v>#REF!</v>
      </c>
    </row>
    <row r="1869" spans="1:31" x14ac:dyDescent="0.25">
      <c r="A1869">
        <v>1001</v>
      </c>
      <c r="B1869" t="s">
        <v>246</v>
      </c>
      <c r="C1869">
        <v>41</v>
      </c>
      <c r="D1869">
        <v>301</v>
      </c>
      <c r="E1869">
        <v>1001</v>
      </c>
      <c r="F1869">
        <v>7761601</v>
      </c>
      <c r="G1869">
        <v>7849800</v>
      </c>
      <c r="H1869">
        <f t="shared" si="58"/>
        <v>176.00002267573697</v>
      </c>
      <c r="I1869">
        <f t="shared" si="59"/>
        <v>178</v>
      </c>
      <c r="J1869" t="s">
        <v>22</v>
      </c>
      <c r="K1869">
        <v>3</v>
      </c>
      <c r="L1869" t="e">
        <f t="array" ref="L1869">VLOOKUP(J1869:$J$3871&amp;K1869:$K$3871,CHOOSE({1,2},#REF!&amp;#REF!,#REF!),2,0)</f>
        <v>#N/A</v>
      </c>
      <c r="M1869">
        <v>-15</v>
      </c>
      <c r="N1869">
        <v>0</v>
      </c>
      <c r="O1869" t="s">
        <v>7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1</v>
      </c>
      <c r="Y1869">
        <v>0</v>
      </c>
      <c r="Z1869">
        <v>0</v>
      </c>
      <c r="AA1869" t="s">
        <v>5731</v>
      </c>
      <c r="AB1869" t="s">
        <v>7637</v>
      </c>
      <c r="AC1869" t="s">
        <v>5731</v>
      </c>
      <c r="AD1869" t="e">
        <f>VLOOKUP(AB1869,#REF!,2,FALSE)</f>
        <v>#REF!</v>
      </c>
      <c r="AE1869" t="e">
        <f>RIGHT(#REF!,(FIND("Complex",#REF!,1)-9))</f>
        <v>#REF!</v>
      </c>
    </row>
    <row r="1870" spans="1:31" x14ac:dyDescent="0.25">
      <c r="A1870">
        <v>1688</v>
      </c>
      <c r="B1870" t="s">
        <v>246</v>
      </c>
      <c r="C1870">
        <v>41</v>
      </c>
      <c r="D1870">
        <v>511</v>
      </c>
      <c r="E1870">
        <v>1688</v>
      </c>
      <c r="F1870">
        <v>7673401</v>
      </c>
      <c r="G1870">
        <v>7761600</v>
      </c>
      <c r="H1870">
        <f t="shared" si="58"/>
        <v>174.00002267573697</v>
      </c>
      <c r="I1870">
        <f t="shared" si="59"/>
        <v>176</v>
      </c>
      <c r="J1870" t="s">
        <v>22</v>
      </c>
      <c r="K1870">
        <v>3</v>
      </c>
      <c r="L1870" t="e">
        <f t="array" ref="L1870">VLOOKUP(J1870:$J$3871&amp;K1870:$K$3871,CHOOSE({1,2},#REF!&amp;#REF!,#REF!),2,0)</f>
        <v>#N/A</v>
      </c>
      <c r="M1870">
        <v>-15</v>
      </c>
      <c r="N1870">
        <v>0</v>
      </c>
      <c r="O1870" t="s">
        <v>7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1</v>
      </c>
      <c r="Y1870">
        <v>0</v>
      </c>
      <c r="Z1870">
        <v>0</v>
      </c>
      <c r="AA1870" t="s">
        <v>5740</v>
      </c>
      <c r="AB1870" t="s">
        <v>1225</v>
      </c>
      <c r="AC1870" t="s">
        <v>5740</v>
      </c>
      <c r="AD1870" t="e">
        <f>VLOOKUP(AB1870,#REF!,2,FALSE)</f>
        <v>#REF!</v>
      </c>
      <c r="AE1870" t="e">
        <f>RIGHT(#REF!,(FIND("Complex",#REF!,1)-9))</f>
        <v>#REF!</v>
      </c>
    </row>
    <row r="1871" spans="1:31" x14ac:dyDescent="0.25">
      <c r="A1871">
        <v>2328</v>
      </c>
      <c r="B1871" t="s">
        <v>246</v>
      </c>
      <c r="C1871">
        <v>41</v>
      </c>
      <c r="D1871">
        <v>735</v>
      </c>
      <c r="E1871">
        <v>2328</v>
      </c>
      <c r="F1871">
        <v>617401</v>
      </c>
      <c r="G1871">
        <v>705600</v>
      </c>
      <c r="H1871">
        <f t="shared" si="58"/>
        <v>14.000022675736961</v>
      </c>
      <c r="I1871">
        <f t="shared" si="59"/>
        <v>16</v>
      </c>
      <c r="J1871" t="s">
        <v>22</v>
      </c>
      <c r="K1871">
        <v>3</v>
      </c>
      <c r="L1871" t="e">
        <f t="array" ref="L1871">VLOOKUP(J1871:$J$3871&amp;K1871:$K$3871,CHOOSE({1,2},#REF!&amp;#REF!,#REF!),2,0)</f>
        <v>#N/A</v>
      </c>
      <c r="M1871">
        <v>-15</v>
      </c>
      <c r="N1871">
        <v>0</v>
      </c>
      <c r="O1871" t="s">
        <v>7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1</v>
      </c>
      <c r="Y1871">
        <v>0</v>
      </c>
      <c r="Z1871">
        <v>0</v>
      </c>
      <c r="AA1871" t="s">
        <v>5941</v>
      </c>
      <c r="AB1871" t="s">
        <v>7763</v>
      </c>
      <c r="AC1871" t="s">
        <v>5941</v>
      </c>
      <c r="AD1871" t="e">
        <f>VLOOKUP(AB1871,#REF!,2,FALSE)</f>
        <v>#REF!</v>
      </c>
      <c r="AE1871" t="e">
        <f>RIGHT(#REF!,(FIND("Complex",#REF!,1)-10))</f>
        <v>#REF!</v>
      </c>
    </row>
    <row r="1872" spans="1:31" x14ac:dyDescent="0.25">
      <c r="A1872">
        <v>1297</v>
      </c>
      <c r="B1872" t="s">
        <v>246</v>
      </c>
      <c r="C1872">
        <v>41</v>
      </c>
      <c r="D1872">
        <v>396</v>
      </c>
      <c r="E1872">
        <v>1297</v>
      </c>
      <c r="F1872">
        <v>5997601</v>
      </c>
      <c r="G1872">
        <v>6085800</v>
      </c>
      <c r="H1872">
        <f t="shared" si="58"/>
        <v>136.00002267573697</v>
      </c>
      <c r="I1872">
        <f t="shared" si="59"/>
        <v>138</v>
      </c>
      <c r="J1872" t="s">
        <v>22</v>
      </c>
      <c r="K1872">
        <v>3</v>
      </c>
      <c r="L1872" t="e">
        <f t="array" ref="L1872">VLOOKUP(J1872:$J$3871&amp;K1872:$K$3871,CHOOSE({1,2},#REF!&amp;#REF!,#REF!),2,0)</f>
        <v>#N/A</v>
      </c>
      <c r="M1872">
        <v>-15</v>
      </c>
      <c r="N1872">
        <v>0</v>
      </c>
      <c r="O1872" t="s">
        <v>7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1</v>
      </c>
      <c r="Y1872">
        <v>0</v>
      </c>
      <c r="Z1872">
        <v>0</v>
      </c>
      <c r="AA1872" t="s">
        <v>5959</v>
      </c>
      <c r="AB1872" t="s">
        <v>7774</v>
      </c>
      <c r="AC1872" t="s">
        <v>5959</v>
      </c>
      <c r="AD1872" t="e">
        <f>VLOOKUP(AB1872,#REF!,2,FALSE)</f>
        <v>#REF!</v>
      </c>
      <c r="AE1872" t="e">
        <f>RIGHT(#REF!,(FIND("Complex",#REF!,1)-9))</f>
        <v>#REF!</v>
      </c>
    </row>
    <row r="1873" spans="1:31" x14ac:dyDescent="0.25">
      <c r="A1873">
        <v>2607</v>
      </c>
      <c r="B1873" t="s">
        <v>37</v>
      </c>
      <c r="C1873">
        <v>43</v>
      </c>
      <c r="D1873">
        <v>855</v>
      </c>
      <c r="E1873">
        <v>2607</v>
      </c>
      <c r="F1873">
        <v>3616201</v>
      </c>
      <c r="G1873">
        <v>3704400</v>
      </c>
      <c r="H1873">
        <f t="shared" si="58"/>
        <v>82.000022675736957</v>
      </c>
      <c r="I1873">
        <f t="shared" si="59"/>
        <v>84</v>
      </c>
      <c r="J1873" t="s">
        <v>22</v>
      </c>
      <c r="K1873">
        <v>3</v>
      </c>
      <c r="L1873" t="e">
        <f t="array" ref="L1873">VLOOKUP(J1873:$J$3871&amp;K1873:$K$3871,CHOOSE({1,2},#REF!&amp;#REF!,#REF!),2,0)</f>
        <v>#N/A</v>
      </c>
      <c r="M1873">
        <v>-15</v>
      </c>
      <c r="N1873">
        <v>0</v>
      </c>
      <c r="O1873" t="s">
        <v>7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1</v>
      </c>
      <c r="Y1873">
        <v>0</v>
      </c>
      <c r="Z1873">
        <v>0</v>
      </c>
      <c r="AA1873" t="s">
        <v>4970</v>
      </c>
      <c r="AB1873" t="s">
        <v>7200</v>
      </c>
      <c r="AC1873" t="s">
        <v>4970</v>
      </c>
      <c r="AD1873" t="e">
        <f>VLOOKUP(AB1873,#REF!,2,FALSE)</f>
        <v>#REF!</v>
      </c>
      <c r="AE1873" t="e">
        <f>RIGHT(#REF!,(FIND("Complex",#REF!,1)-10))</f>
        <v>#REF!</v>
      </c>
    </row>
    <row r="1874" spans="1:31" x14ac:dyDescent="0.25">
      <c r="A1874">
        <v>269</v>
      </c>
      <c r="B1874" t="s">
        <v>37</v>
      </c>
      <c r="C1874">
        <v>43</v>
      </c>
      <c r="D1874">
        <v>79</v>
      </c>
      <c r="E1874">
        <v>269</v>
      </c>
      <c r="F1874">
        <v>3528001</v>
      </c>
      <c r="G1874">
        <v>3616200</v>
      </c>
      <c r="H1874">
        <f t="shared" si="58"/>
        <v>80.000022675736957</v>
      </c>
      <c r="I1874">
        <f t="shared" si="59"/>
        <v>82</v>
      </c>
      <c r="J1874" t="s">
        <v>22</v>
      </c>
      <c r="K1874">
        <v>3</v>
      </c>
      <c r="L1874" t="e">
        <f t="array" ref="L1874">VLOOKUP(J1874:$J$3871&amp;K1874:$K$3871,CHOOSE({1,2},#REF!&amp;#REF!,#REF!),2,0)</f>
        <v>#N/A</v>
      </c>
      <c r="M1874">
        <v>-15</v>
      </c>
      <c r="N1874">
        <v>0</v>
      </c>
      <c r="O1874" t="s">
        <v>7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1</v>
      </c>
      <c r="Y1874">
        <v>0</v>
      </c>
      <c r="Z1874">
        <v>0</v>
      </c>
      <c r="AA1874" t="s">
        <v>4981</v>
      </c>
      <c r="AB1874" t="s">
        <v>208</v>
      </c>
      <c r="AC1874" t="s">
        <v>4981</v>
      </c>
      <c r="AD1874" t="e">
        <f>VLOOKUP(AB1874,#REF!,2,FALSE)</f>
        <v>#REF!</v>
      </c>
      <c r="AE1874" t="e">
        <f>RIGHT(#REF!,(FIND("Complex",#REF!,1)-9))</f>
        <v>#REF!</v>
      </c>
    </row>
    <row r="1875" spans="1:31" x14ac:dyDescent="0.25">
      <c r="A1875">
        <v>1015</v>
      </c>
      <c r="B1875" t="s">
        <v>37</v>
      </c>
      <c r="C1875">
        <v>43</v>
      </c>
      <c r="D1875">
        <v>306</v>
      </c>
      <c r="E1875">
        <v>1015</v>
      </c>
      <c r="F1875">
        <v>3087001</v>
      </c>
      <c r="G1875">
        <v>3175200</v>
      </c>
      <c r="H1875">
        <f t="shared" si="58"/>
        <v>70.000022675736957</v>
      </c>
      <c r="I1875">
        <f t="shared" si="59"/>
        <v>72</v>
      </c>
      <c r="J1875" t="s">
        <v>22</v>
      </c>
      <c r="K1875">
        <v>3</v>
      </c>
      <c r="L1875" t="e">
        <f t="array" ref="L1875">VLOOKUP(J1875:$J$3871&amp;K1875:$K$3871,CHOOSE({1,2},#REF!&amp;#REF!,#REF!),2,0)</f>
        <v>#N/A</v>
      </c>
      <c r="M1875">
        <v>-15</v>
      </c>
      <c r="N1875">
        <v>0</v>
      </c>
      <c r="O1875" t="s">
        <v>7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1</v>
      </c>
      <c r="Y1875">
        <v>0</v>
      </c>
      <c r="Z1875">
        <v>0</v>
      </c>
      <c r="AA1875" t="s">
        <v>5059</v>
      </c>
      <c r="AB1875" t="s">
        <v>7248</v>
      </c>
      <c r="AC1875" t="s">
        <v>5059</v>
      </c>
      <c r="AD1875" t="e">
        <f>VLOOKUP(AB1875,#REF!,2,FALSE)</f>
        <v>#REF!</v>
      </c>
      <c r="AE1875" t="e">
        <f>RIGHT(#REF!,(FIND("Complex",#REF!,1)-10))</f>
        <v>#REF!</v>
      </c>
    </row>
    <row r="1876" spans="1:31" x14ac:dyDescent="0.25">
      <c r="A1876">
        <v>2726</v>
      </c>
      <c r="B1876" t="s">
        <v>37</v>
      </c>
      <c r="C1876">
        <v>43</v>
      </c>
      <c r="D1876">
        <v>903</v>
      </c>
      <c r="E1876">
        <v>2726</v>
      </c>
      <c r="F1876">
        <v>2557801</v>
      </c>
      <c r="G1876">
        <v>2646000</v>
      </c>
      <c r="H1876">
        <f t="shared" si="58"/>
        <v>58.000022675736965</v>
      </c>
      <c r="I1876">
        <f t="shared" si="59"/>
        <v>60</v>
      </c>
      <c r="J1876" t="s">
        <v>22</v>
      </c>
      <c r="K1876">
        <v>3</v>
      </c>
      <c r="L1876" t="e">
        <f t="array" ref="L1876">VLOOKUP(J1876:$J$3871&amp;K1876:$K$3871,CHOOSE({1,2},#REF!&amp;#REF!,#REF!),2,0)</f>
        <v>#N/A</v>
      </c>
      <c r="M1876">
        <v>-15</v>
      </c>
      <c r="N1876">
        <v>0</v>
      </c>
      <c r="O1876" t="s">
        <v>7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0</v>
      </c>
      <c r="X1876">
        <v>1</v>
      </c>
      <c r="Y1876">
        <v>0</v>
      </c>
      <c r="Z1876">
        <v>0</v>
      </c>
      <c r="AA1876" t="s">
        <v>5142</v>
      </c>
      <c r="AB1876" t="s">
        <v>1252</v>
      </c>
      <c r="AC1876" t="s">
        <v>5142</v>
      </c>
      <c r="AD1876" t="e">
        <f>VLOOKUP(AB1876,#REF!,2,FALSE)</f>
        <v>#REF!</v>
      </c>
      <c r="AE1876" t="e">
        <f>RIGHT(#REF!,(FIND("Complex",#REF!,1)-10))</f>
        <v>#REF!</v>
      </c>
    </row>
    <row r="1877" spans="1:31" x14ac:dyDescent="0.25">
      <c r="A1877">
        <v>1981</v>
      </c>
      <c r="B1877" t="s">
        <v>37</v>
      </c>
      <c r="C1877">
        <v>43</v>
      </c>
      <c r="D1877">
        <v>599</v>
      </c>
      <c r="E1877">
        <v>1981</v>
      </c>
      <c r="F1877">
        <v>2469601</v>
      </c>
      <c r="G1877">
        <v>2557800</v>
      </c>
      <c r="H1877">
        <f t="shared" si="58"/>
        <v>56.000022675736965</v>
      </c>
      <c r="I1877">
        <f t="shared" si="59"/>
        <v>58</v>
      </c>
      <c r="J1877" t="s">
        <v>22</v>
      </c>
      <c r="K1877">
        <v>3</v>
      </c>
      <c r="L1877" t="e">
        <f t="array" ref="L1877">VLOOKUP(J1877:$J$3871&amp;K1877:$K$3871,CHOOSE({1,2},#REF!&amp;#REF!,#REF!),2,0)</f>
        <v>#N/A</v>
      </c>
      <c r="M1877">
        <v>-15</v>
      </c>
      <c r="N1877">
        <v>0</v>
      </c>
      <c r="O1877" t="s">
        <v>7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1</v>
      </c>
      <c r="Y1877">
        <v>0</v>
      </c>
      <c r="Z1877">
        <v>0</v>
      </c>
      <c r="AA1877" t="s">
        <v>5154</v>
      </c>
      <c r="AB1877" t="s">
        <v>7294</v>
      </c>
      <c r="AC1877" t="s">
        <v>5154</v>
      </c>
      <c r="AD1877" t="e">
        <f>VLOOKUP(AB1877,#REF!,2,FALSE)</f>
        <v>#REF!</v>
      </c>
      <c r="AE1877" t="e">
        <f>RIGHT(#REF!,(FIND("Complex",#REF!,1)-10))</f>
        <v>#REF!</v>
      </c>
    </row>
    <row r="1878" spans="1:31" x14ac:dyDescent="0.25">
      <c r="A1878">
        <v>2110</v>
      </c>
      <c r="B1878" t="s">
        <v>37</v>
      </c>
      <c r="C1878">
        <v>43</v>
      </c>
      <c r="D1878">
        <v>643</v>
      </c>
      <c r="E1878">
        <v>2110</v>
      </c>
      <c r="F1878">
        <v>5556601</v>
      </c>
      <c r="G1878">
        <v>5644800</v>
      </c>
      <c r="H1878">
        <f t="shared" si="58"/>
        <v>126.00002267573696</v>
      </c>
      <c r="I1878">
        <f t="shared" si="59"/>
        <v>128</v>
      </c>
      <c r="J1878" t="s">
        <v>22</v>
      </c>
      <c r="K1878">
        <v>3</v>
      </c>
      <c r="L1878" t="e">
        <f t="array" ref="L1878">VLOOKUP(J1878:$J$3871&amp;K1878:$K$3871,CHOOSE({1,2},#REF!&amp;#REF!,#REF!),2,0)</f>
        <v>#N/A</v>
      </c>
      <c r="M1878">
        <v>-15</v>
      </c>
      <c r="N1878">
        <v>0</v>
      </c>
      <c r="O1878" t="s">
        <v>7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1</v>
      </c>
      <c r="Y1878">
        <v>0</v>
      </c>
      <c r="Z1878">
        <v>0</v>
      </c>
      <c r="AA1878" t="s">
        <v>5990</v>
      </c>
      <c r="AB1878" t="s">
        <v>7791</v>
      </c>
      <c r="AC1878" t="s">
        <v>5990</v>
      </c>
      <c r="AD1878" t="e">
        <f>VLOOKUP(AB1878,#REF!,2,FALSE)</f>
        <v>#REF!</v>
      </c>
      <c r="AE1878" t="e">
        <f>RIGHT(#REF!,(FIND("Complex",#REF!,1)-9))</f>
        <v>#REF!</v>
      </c>
    </row>
    <row r="1879" spans="1:31" x14ac:dyDescent="0.25">
      <c r="A1879">
        <v>2506</v>
      </c>
      <c r="B1879" t="s">
        <v>37</v>
      </c>
      <c r="C1879">
        <v>43</v>
      </c>
      <c r="D1879">
        <v>812</v>
      </c>
      <c r="E1879">
        <v>2506</v>
      </c>
      <c r="F1879">
        <v>5203801</v>
      </c>
      <c r="G1879">
        <v>5292000</v>
      </c>
      <c r="H1879">
        <f t="shared" si="58"/>
        <v>118.00002267573696</v>
      </c>
      <c r="I1879">
        <f t="shared" si="59"/>
        <v>120</v>
      </c>
      <c r="J1879" t="s">
        <v>22</v>
      </c>
      <c r="K1879">
        <v>3</v>
      </c>
      <c r="L1879" t="e">
        <f t="array" ref="L1879">VLOOKUP(J1879:$J$3871&amp;K1879:$K$3871,CHOOSE({1,2},#REF!&amp;#REF!,#REF!),2,0)</f>
        <v>#N/A</v>
      </c>
      <c r="M1879">
        <v>-15</v>
      </c>
      <c r="N1879">
        <v>0</v>
      </c>
      <c r="O1879" t="s">
        <v>7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1</v>
      </c>
      <c r="Y1879">
        <v>0</v>
      </c>
      <c r="Z1879">
        <v>0</v>
      </c>
      <c r="AA1879" t="s">
        <v>6048</v>
      </c>
      <c r="AB1879" t="s">
        <v>1253</v>
      </c>
      <c r="AC1879" t="s">
        <v>6048</v>
      </c>
      <c r="AD1879" t="e">
        <f>VLOOKUP(AB1879,#REF!,2,FALSE)</f>
        <v>#REF!</v>
      </c>
      <c r="AE1879" t="e">
        <f>RIGHT(#REF!,(FIND("Complex",#REF!,1)-9))</f>
        <v>#REF!</v>
      </c>
    </row>
    <row r="1880" spans="1:31" x14ac:dyDescent="0.25">
      <c r="A1880">
        <v>1292</v>
      </c>
      <c r="B1880" t="s">
        <v>248</v>
      </c>
      <c r="C1880">
        <v>45</v>
      </c>
      <c r="D1880">
        <v>394</v>
      </c>
      <c r="E1880">
        <v>1292</v>
      </c>
      <c r="F1880">
        <v>12700801</v>
      </c>
      <c r="G1880">
        <v>12789000</v>
      </c>
      <c r="H1880">
        <f t="shared" si="58"/>
        <v>288.00002267573694</v>
      </c>
      <c r="I1880">
        <f t="shared" si="59"/>
        <v>290</v>
      </c>
      <c r="J1880" t="s">
        <v>22</v>
      </c>
      <c r="K1880">
        <v>3</v>
      </c>
      <c r="L1880" t="e">
        <f t="array" ref="L1880">VLOOKUP(J1880:$J$3871&amp;K1880:$K$3871,CHOOSE({1,2},#REF!&amp;#REF!,#REF!),2,0)</f>
        <v>#N/A</v>
      </c>
      <c r="M1880">
        <v>-15</v>
      </c>
      <c r="N1880">
        <v>0</v>
      </c>
      <c r="O1880" t="s">
        <v>7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1</v>
      </c>
      <c r="AA1880" t="s">
        <v>5398</v>
      </c>
      <c r="AB1880" t="s">
        <v>7421</v>
      </c>
      <c r="AC1880" t="s">
        <v>5398</v>
      </c>
      <c r="AD1880" t="e">
        <f>VLOOKUP(AB1880,#REF!,2,FALSE)</f>
        <v>#REF!</v>
      </c>
      <c r="AE1880" t="e">
        <f>RIGHT(#REF!,(FIND("Complex",#REF!,1)-9))</f>
        <v>#REF!</v>
      </c>
    </row>
    <row r="1881" spans="1:31" x14ac:dyDescent="0.25">
      <c r="A1881">
        <v>2270</v>
      </c>
      <c r="B1881" t="s">
        <v>248</v>
      </c>
      <c r="C1881">
        <v>45</v>
      </c>
      <c r="D1881">
        <v>708</v>
      </c>
      <c r="E1881">
        <v>2270</v>
      </c>
      <c r="F1881">
        <v>8290801</v>
      </c>
      <c r="G1881">
        <v>8379000</v>
      </c>
      <c r="H1881">
        <f t="shared" si="58"/>
        <v>188.00002267573697</v>
      </c>
      <c r="I1881">
        <f t="shared" si="59"/>
        <v>190</v>
      </c>
      <c r="J1881" t="s">
        <v>22</v>
      </c>
      <c r="K1881">
        <v>3</v>
      </c>
      <c r="L1881" t="e">
        <f t="array" ref="L1881">VLOOKUP(J1881:$J$3871&amp;K1881:$K$3871,CHOOSE({1,2},#REF!&amp;#REF!,#REF!),2,0)</f>
        <v>#N/A</v>
      </c>
      <c r="M1881">
        <v>-15</v>
      </c>
      <c r="N1881">
        <v>0</v>
      </c>
      <c r="O1881" t="s">
        <v>7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1</v>
      </c>
      <c r="Z1881">
        <v>0</v>
      </c>
      <c r="AA1881" t="s">
        <v>5679</v>
      </c>
      <c r="AB1881" t="s">
        <v>1258</v>
      </c>
      <c r="AC1881" t="s">
        <v>5679</v>
      </c>
      <c r="AD1881" t="e">
        <f>VLOOKUP(AB1881,#REF!,2,FALSE)</f>
        <v>#REF!</v>
      </c>
      <c r="AE1881" t="e">
        <f>RIGHT(#REF!,(FIND("Complex",#REF!,1)-9))</f>
        <v>#REF!</v>
      </c>
    </row>
    <row r="1882" spans="1:31" x14ac:dyDescent="0.25">
      <c r="A1882">
        <v>2195</v>
      </c>
      <c r="B1882" t="s">
        <v>248</v>
      </c>
      <c r="C1882">
        <v>45</v>
      </c>
      <c r="D1882">
        <v>676</v>
      </c>
      <c r="E1882">
        <v>2195</v>
      </c>
      <c r="F1882">
        <v>7408801</v>
      </c>
      <c r="G1882">
        <v>7497000</v>
      </c>
      <c r="H1882">
        <f t="shared" si="58"/>
        <v>168.00002267573697</v>
      </c>
      <c r="I1882">
        <f t="shared" si="59"/>
        <v>170</v>
      </c>
      <c r="J1882" t="s">
        <v>22</v>
      </c>
      <c r="K1882">
        <v>3</v>
      </c>
      <c r="L1882" t="e">
        <f t="array" ref="L1882">VLOOKUP(J1882:$J$3871&amp;K1882:$K$3871,CHOOSE({1,2},#REF!&amp;#REF!,#REF!),2,0)</f>
        <v>#N/A</v>
      </c>
      <c r="M1882">
        <v>-15</v>
      </c>
      <c r="N1882">
        <v>0</v>
      </c>
      <c r="O1882" t="s">
        <v>7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1</v>
      </c>
      <c r="AA1882" t="s">
        <v>5763</v>
      </c>
      <c r="AB1882" t="s">
        <v>7657</v>
      </c>
      <c r="AC1882" t="s">
        <v>5763</v>
      </c>
      <c r="AD1882" t="e">
        <f>VLOOKUP(AB1882,#REF!,2,FALSE)</f>
        <v>#REF!</v>
      </c>
      <c r="AE1882" t="e">
        <f>RIGHT(#REF!,(FIND("Complex",#REF!,1)-9))</f>
        <v>#REF!</v>
      </c>
    </row>
    <row r="1883" spans="1:31" x14ac:dyDescent="0.25">
      <c r="A1883">
        <v>2588</v>
      </c>
      <c r="B1883" t="s">
        <v>248</v>
      </c>
      <c r="C1883">
        <v>45</v>
      </c>
      <c r="D1883">
        <v>844</v>
      </c>
      <c r="E1883">
        <v>2588</v>
      </c>
      <c r="F1883">
        <v>6967801</v>
      </c>
      <c r="G1883">
        <v>7056000</v>
      </c>
      <c r="H1883">
        <f t="shared" si="58"/>
        <v>158.00002267573697</v>
      </c>
      <c r="I1883">
        <f t="shared" si="59"/>
        <v>160</v>
      </c>
      <c r="J1883" t="s">
        <v>22</v>
      </c>
      <c r="K1883">
        <v>3</v>
      </c>
      <c r="L1883" t="e">
        <f t="array" ref="L1883">VLOOKUP(J1883:$J$3871&amp;K1883:$K$3871,CHOOSE({1,2},#REF!&amp;#REF!,#REF!),2,0)</f>
        <v>#N/A</v>
      </c>
      <c r="M1883">
        <v>-15</v>
      </c>
      <c r="N1883">
        <v>0</v>
      </c>
      <c r="O1883" t="s">
        <v>7</v>
      </c>
      <c r="P1883">
        <v>0</v>
      </c>
      <c r="Q1883">
        <v>1</v>
      </c>
      <c r="R1883">
        <v>0</v>
      </c>
      <c r="S1883">
        <v>1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 t="s">
        <v>5831</v>
      </c>
      <c r="AB1883" t="s">
        <v>7696</v>
      </c>
      <c r="AC1883" t="s">
        <v>5831</v>
      </c>
      <c r="AD1883" t="e">
        <f>VLOOKUP(AB1883,#REF!,2,FALSE)</f>
        <v>#REF!</v>
      </c>
      <c r="AE1883" t="e">
        <f>RIGHT(#REF!,(FIND("Complex",#REF!,1)-9))</f>
        <v>#REF!</v>
      </c>
    </row>
    <row r="1884" spans="1:31" x14ac:dyDescent="0.25">
      <c r="A1884">
        <v>525</v>
      </c>
      <c r="B1884" t="s">
        <v>248</v>
      </c>
      <c r="C1884">
        <v>45</v>
      </c>
      <c r="D1884">
        <v>169</v>
      </c>
      <c r="E1884">
        <v>525</v>
      </c>
      <c r="F1884">
        <v>6879601</v>
      </c>
      <c r="G1884">
        <v>6967800</v>
      </c>
      <c r="H1884">
        <f t="shared" si="58"/>
        <v>156.00002267573697</v>
      </c>
      <c r="I1884">
        <f t="shared" si="59"/>
        <v>158</v>
      </c>
      <c r="J1884" t="s">
        <v>22</v>
      </c>
      <c r="K1884">
        <v>3</v>
      </c>
      <c r="L1884" t="e">
        <f t="array" ref="L1884">VLOOKUP(J1884:$J$3871&amp;K1884:$K$3871,CHOOSE({1,2},#REF!&amp;#REF!,#REF!),2,0)</f>
        <v>#N/A</v>
      </c>
      <c r="M1884">
        <v>-15</v>
      </c>
      <c r="N1884">
        <v>0</v>
      </c>
      <c r="O1884" t="s">
        <v>7</v>
      </c>
      <c r="P1884">
        <v>0</v>
      </c>
      <c r="Q1884">
        <v>1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 t="s">
        <v>5841</v>
      </c>
      <c r="AB1884" t="s">
        <v>7703</v>
      </c>
      <c r="AC1884" t="s">
        <v>5841</v>
      </c>
      <c r="AD1884" t="e">
        <f>VLOOKUP(AB1884,#REF!,2,FALSE)</f>
        <v>#REF!</v>
      </c>
      <c r="AE1884" t="e">
        <f>RIGHT(#REF!,(FIND("Complex",#REF!,1)-8))</f>
        <v>#REF!</v>
      </c>
    </row>
    <row r="1885" spans="1:31" x14ac:dyDescent="0.25">
      <c r="A1885">
        <v>1188</v>
      </c>
      <c r="B1885" t="s">
        <v>249</v>
      </c>
      <c r="C1885">
        <v>46</v>
      </c>
      <c r="D1885">
        <v>358</v>
      </c>
      <c r="E1885">
        <v>1188</v>
      </c>
      <c r="F1885">
        <v>7849801</v>
      </c>
      <c r="G1885">
        <v>7938000</v>
      </c>
      <c r="H1885">
        <f t="shared" si="58"/>
        <v>178.00002267573697</v>
      </c>
      <c r="I1885">
        <f t="shared" si="59"/>
        <v>180</v>
      </c>
      <c r="J1885" t="s">
        <v>22</v>
      </c>
      <c r="K1885">
        <v>3</v>
      </c>
      <c r="L1885" t="e">
        <f t="array" ref="L1885">VLOOKUP(J1885:$J$3871&amp;K1885:$K$3871,CHOOSE({1,2},#REF!&amp;#REF!,#REF!),2,0)</f>
        <v>#N/A</v>
      </c>
      <c r="M1885">
        <v>-15</v>
      </c>
      <c r="N1885">
        <v>0</v>
      </c>
      <c r="O1885" t="s">
        <v>7</v>
      </c>
      <c r="P1885">
        <v>0</v>
      </c>
      <c r="Q1885">
        <v>1</v>
      </c>
      <c r="R1885">
        <v>0</v>
      </c>
      <c r="S1885">
        <v>1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 t="s">
        <v>5722</v>
      </c>
      <c r="AB1885" t="s">
        <v>7632</v>
      </c>
      <c r="AC1885" t="s">
        <v>5722</v>
      </c>
      <c r="AD1885" t="e">
        <f>VLOOKUP(AB1885,#REF!,2,FALSE)</f>
        <v>#REF!</v>
      </c>
      <c r="AE1885" t="e">
        <f>RIGHT(#REF!,(FIND("Complex",#REF!,1)-9))</f>
        <v>#REF!</v>
      </c>
    </row>
    <row r="1886" spans="1:31" x14ac:dyDescent="0.25">
      <c r="A1886">
        <v>1536</v>
      </c>
      <c r="B1886" t="s">
        <v>249</v>
      </c>
      <c r="C1886">
        <v>46</v>
      </c>
      <c r="D1886">
        <v>469</v>
      </c>
      <c r="E1886">
        <v>1536</v>
      </c>
      <c r="F1886">
        <v>6967801</v>
      </c>
      <c r="G1886">
        <v>7056000</v>
      </c>
      <c r="H1886">
        <f t="shared" si="58"/>
        <v>158.00002267573697</v>
      </c>
      <c r="I1886">
        <f t="shared" si="59"/>
        <v>160</v>
      </c>
      <c r="J1886" t="s">
        <v>22</v>
      </c>
      <c r="K1886">
        <v>3</v>
      </c>
      <c r="L1886" t="e">
        <f t="array" ref="L1886">VLOOKUP(J1886:$J$3871&amp;K1886:$K$3871,CHOOSE({1,2},#REF!&amp;#REF!,#REF!),2,0)</f>
        <v>#N/A</v>
      </c>
      <c r="M1886">
        <v>-15</v>
      </c>
      <c r="N1886">
        <v>0</v>
      </c>
      <c r="O1886" t="s">
        <v>7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1</v>
      </c>
      <c r="Z1886">
        <v>0</v>
      </c>
      <c r="AA1886" t="s">
        <v>5830</v>
      </c>
      <c r="AB1886" t="s">
        <v>7695</v>
      </c>
      <c r="AC1886" t="s">
        <v>5830</v>
      </c>
      <c r="AD1886" t="e">
        <f>VLOOKUP(AB1886,#REF!,2,FALSE)</f>
        <v>#REF!</v>
      </c>
      <c r="AE1886" t="e">
        <f>RIGHT(#REF!,(FIND("Complex",#REF!,1)-9))</f>
        <v>#REF!</v>
      </c>
    </row>
    <row r="1887" spans="1:31" x14ac:dyDescent="0.25">
      <c r="A1887">
        <v>1647</v>
      </c>
      <c r="B1887" t="s">
        <v>249</v>
      </c>
      <c r="C1887">
        <v>46</v>
      </c>
      <c r="D1887">
        <v>495</v>
      </c>
      <c r="E1887">
        <v>1647</v>
      </c>
      <c r="F1887">
        <v>5380201</v>
      </c>
      <c r="G1887">
        <v>5468400</v>
      </c>
      <c r="H1887">
        <f t="shared" si="58"/>
        <v>122.00002267573696</v>
      </c>
      <c r="I1887">
        <f t="shared" si="59"/>
        <v>124</v>
      </c>
      <c r="J1887" t="s">
        <v>22</v>
      </c>
      <c r="K1887">
        <v>3</v>
      </c>
      <c r="L1887" t="e">
        <f t="array" ref="L1887">VLOOKUP(J1887:$J$3871&amp;K1887:$K$3871,CHOOSE({1,2},#REF!&amp;#REF!,#REF!),2,0)</f>
        <v>#N/A</v>
      </c>
      <c r="M1887">
        <v>-15</v>
      </c>
      <c r="N1887">
        <v>0</v>
      </c>
      <c r="O1887" t="s">
        <v>7</v>
      </c>
      <c r="P1887">
        <v>0</v>
      </c>
      <c r="Q1887">
        <v>1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1</v>
      </c>
      <c r="Z1887">
        <v>0</v>
      </c>
      <c r="AA1887" t="s">
        <v>6006</v>
      </c>
      <c r="AB1887" t="s">
        <v>7801</v>
      </c>
      <c r="AC1887" t="s">
        <v>6006</v>
      </c>
      <c r="AD1887" t="e">
        <f>VLOOKUP(AB1887,#REF!,2,FALSE)</f>
        <v>#REF!</v>
      </c>
      <c r="AE1887" t="e">
        <f>RIGHT(#REF!,(FIND("Complex",#REF!,1)-9))</f>
        <v>#REF!</v>
      </c>
    </row>
    <row r="1888" spans="1:31" x14ac:dyDescent="0.25">
      <c r="A1888">
        <v>958</v>
      </c>
      <c r="B1888" t="s">
        <v>87</v>
      </c>
      <c r="C1888">
        <v>47</v>
      </c>
      <c r="D1888">
        <v>291</v>
      </c>
      <c r="E1888">
        <v>958</v>
      </c>
      <c r="F1888">
        <v>529201</v>
      </c>
      <c r="G1888">
        <v>617400</v>
      </c>
      <c r="H1888">
        <f t="shared" si="58"/>
        <v>12.000022675736961</v>
      </c>
      <c r="I1888">
        <f t="shared" si="59"/>
        <v>14</v>
      </c>
      <c r="J1888" t="s">
        <v>22</v>
      </c>
      <c r="K1888">
        <v>3</v>
      </c>
      <c r="L1888" t="e">
        <f t="array" ref="L1888">VLOOKUP(J1888:$J$3871&amp;K1888:$K$3871,CHOOSE({1,2},#REF!&amp;#REF!,#REF!),2,0)</f>
        <v>#N/A</v>
      </c>
      <c r="M1888">
        <v>-15</v>
      </c>
      <c r="N1888">
        <v>0</v>
      </c>
      <c r="O1888" t="s">
        <v>7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1</v>
      </c>
      <c r="Y1888">
        <v>0</v>
      </c>
      <c r="Z1888">
        <v>0</v>
      </c>
      <c r="AA1888" t="s">
        <v>6032</v>
      </c>
      <c r="AB1888" t="s">
        <v>1266</v>
      </c>
      <c r="AC1888" t="s">
        <v>6032</v>
      </c>
      <c r="AD1888" t="e">
        <f>VLOOKUP(AB1888,#REF!,2,FALSE)</f>
        <v>#REF!</v>
      </c>
      <c r="AE1888" t="e">
        <f>RIGHT(#REF!,(FIND("Complex",#REF!,1)-9))</f>
        <v>#REF!</v>
      </c>
    </row>
    <row r="1889" spans="1:31" x14ac:dyDescent="0.25">
      <c r="A1889">
        <v>225</v>
      </c>
      <c r="B1889" t="s">
        <v>87</v>
      </c>
      <c r="C1889">
        <v>47</v>
      </c>
      <c r="D1889">
        <v>68</v>
      </c>
      <c r="E1889">
        <v>225</v>
      </c>
      <c r="F1889">
        <v>441001</v>
      </c>
      <c r="G1889">
        <v>529200</v>
      </c>
      <c r="H1889">
        <f t="shared" si="58"/>
        <v>10.000022675736961</v>
      </c>
      <c r="I1889">
        <f t="shared" si="59"/>
        <v>12</v>
      </c>
      <c r="J1889" t="s">
        <v>22</v>
      </c>
      <c r="K1889">
        <v>3</v>
      </c>
      <c r="L1889" t="e">
        <f t="array" ref="L1889">VLOOKUP(J1889:$J$3871&amp;K1889:$K$3871,CHOOSE({1,2},#REF!&amp;#REF!,#REF!),2,0)</f>
        <v>#N/A</v>
      </c>
      <c r="M1889">
        <v>-15</v>
      </c>
      <c r="N1889">
        <v>0</v>
      </c>
      <c r="O1889" t="s">
        <v>7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1</v>
      </c>
      <c r="Y1889">
        <v>0</v>
      </c>
      <c r="Z1889">
        <v>0</v>
      </c>
      <c r="AA1889" t="s">
        <v>6137</v>
      </c>
      <c r="AB1889" t="s">
        <v>1267</v>
      </c>
      <c r="AC1889" t="s">
        <v>6137</v>
      </c>
      <c r="AD1889" t="e">
        <f>VLOOKUP(AB1889,#REF!,2,FALSE)</f>
        <v>#REF!</v>
      </c>
      <c r="AE1889" t="e">
        <f>RIGHT(#REF!,(FIND("Complex",#REF!,1)-9))</f>
        <v>#REF!</v>
      </c>
    </row>
    <row r="1890" spans="1:31" x14ac:dyDescent="0.25">
      <c r="A1890">
        <v>2307</v>
      </c>
      <c r="B1890" t="s">
        <v>24</v>
      </c>
      <c r="C1890">
        <v>49</v>
      </c>
      <c r="D1890">
        <v>723</v>
      </c>
      <c r="E1890">
        <v>2307</v>
      </c>
      <c r="F1890">
        <v>7761601</v>
      </c>
      <c r="G1890">
        <v>7849800</v>
      </c>
      <c r="H1890">
        <f t="shared" si="58"/>
        <v>176.00002267573697</v>
      </c>
      <c r="I1890">
        <f t="shared" si="59"/>
        <v>178</v>
      </c>
      <c r="J1890" t="s">
        <v>22</v>
      </c>
      <c r="K1890">
        <v>3</v>
      </c>
      <c r="L1890" t="e">
        <f t="array" ref="L1890">VLOOKUP(J1890:$J$3871&amp;K1890:$K$3871,CHOOSE({1,2},#REF!&amp;#REF!,#REF!),2,0)</f>
        <v>#N/A</v>
      </c>
      <c r="M1890">
        <v>-15</v>
      </c>
      <c r="N1890">
        <v>0</v>
      </c>
      <c r="O1890" t="s">
        <v>7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1</v>
      </c>
      <c r="Y1890">
        <v>0</v>
      </c>
      <c r="Z1890">
        <v>0</v>
      </c>
      <c r="AA1890" t="s">
        <v>5729</v>
      </c>
      <c r="AB1890" t="s">
        <v>7636</v>
      </c>
      <c r="AC1890" t="s">
        <v>5729</v>
      </c>
      <c r="AD1890" t="e">
        <f>VLOOKUP(AB1890,#REF!,2,FALSE)</f>
        <v>#REF!</v>
      </c>
      <c r="AE1890" t="e">
        <f>RIGHT(#REF!,(FIND("Complex",#REF!,1)-9))</f>
        <v>#REF!</v>
      </c>
    </row>
    <row r="1891" spans="1:31" x14ac:dyDescent="0.25">
      <c r="A1891">
        <v>2676</v>
      </c>
      <c r="B1891" t="s">
        <v>24</v>
      </c>
      <c r="C1891">
        <v>49</v>
      </c>
      <c r="D1891">
        <v>890</v>
      </c>
      <c r="E1891">
        <v>2676</v>
      </c>
      <c r="F1891">
        <v>705601</v>
      </c>
      <c r="G1891">
        <v>793800</v>
      </c>
      <c r="H1891">
        <f t="shared" si="58"/>
        <v>16.000022675736961</v>
      </c>
      <c r="I1891">
        <f t="shared" si="59"/>
        <v>18</v>
      </c>
      <c r="J1891" t="s">
        <v>22</v>
      </c>
      <c r="K1891">
        <v>3</v>
      </c>
      <c r="L1891" t="e">
        <f t="array" ref="L1891">VLOOKUP(J1891:$J$3871&amp;K1891:$K$3871,CHOOSE({1,2},#REF!&amp;#REF!,#REF!),2,0)</f>
        <v>#N/A</v>
      </c>
      <c r="M1891">
        <v>-15</v>
      </c>
      <c r="N1891">
        <v>0</v>
      </c>
      <c r="O1891" t="s">
        <v>7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1</v>
      </c>
      <c r="Y1891">
        <v>0</v>
      </c>
      <c r="Z1891">
        <v>0</v>
      </c>
      <c r="AA1891" t="s">
        <v>5819</v>
      </c>
      <c r="AB1891" t="s">
        <v>1306</v>
      </c>
      <c r="AC1891" t="s">
        <v>5819</v>
      </c>
      <c r="AD1891" t="e">
        <f>VLOOKUP(AB1891,#REF!,2,FALSE)</f>
        <v>#REF!</v>
      </c>
      <c r="AE1891" t="e">
        <f>RIGHT(#REF!,(FIND("Complex",#REF!,1)-10))</f>
        <v>#REF!</v>
      </c>
    </row>
    <row r="1892" spans="1:31" x14ac:dyDescent="0.25">
      <c r="A1892">
        <v>893</v>
      </c>
      <c r="B1892" t="s">
        <v>75</v>
      </c>
      <c r="C1892">
        <v>51</v>
      </c>
      <c r="D1892">
        <v>272</v>
      </c>
      <c r="E1892">
        <v>893</v>
      </c>
      <c r="F1892">
        <v>3792601</v>
      </c>
      <c r="G1892">
        <v>3880800</v>
      </c>
      <c r="H1892">
        <f t="shared" si="58"/>
        <v>86.000022675736957</v>
      </c>
      <c r="I1892">
        <f t="shared" si="59"/>
        <v>88</v>
      </c>
      <c r="J1892" t="s">
        <v>22</v>
      </c>
      <c r="K1892">
        <v>3</v>
      </c>
      <c r="L1892" t="e">
        <f t="array" ref="L1892">VLOOKUP(J1892:$J$3871&amp;K1892:$K$3871,CHOOSE({1,2},#REF!&amp;#REF!,#REF!),2,0)</f>
        <v>#N/A</v>
      </c>
      <c r="M1892">
        <v>-15</v>
      </c>
      <c r="N1892">
        <v>0</v>
      </c>
      <c r="O1892" t="s">
        <v>7</v>
      </c>
      <c r="P1892">
        <v>1</v>
      </c>
      <c r="Q1892">
        <v>1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 t="s">
        <v>4946</v>
      </c>
      <c r="AB1892" t="s">
        <v>1341</v>
      </c>
      <c r="AC1892" t="s">
        <v>4946</v>
      </c>
      <c r="AD1892" t="e">
        <f>VLOOKUP(AB1892,#REF!,2,FALSE)</f>
        <v>#REF!</v>
      </c>
      <c r="AE1892" t="e">
        <f>RIGHT(#REF!,(FIND("Complex",#REF!,1)-9))</f>
        <v>#REF!</v>
      </c>
    </row>
    <row r="1893" spans="1:31" x14ac:dyDescent="0.25">
      <c r="A1893">
        <v>1415</v>
      </c>
      <c r="B1893" t="s">
        <v>75</v>
      </c>
      <c r="C1893">
        <v>51</v>
      </c>
      <c r="D1893">
        <v>428</v>
      </c>
      <c r="E1893">
        <v>1415</v>
      </c>
      <c r="F1893">
        <v>3528001</v>
      </c>
      <c r="G1893">
        <v>3616200</v>
      </c>
      <c r="H1893">
        <f t="shared" si="58"/>
        <v>80.000022675736957</v>
      </c>
      <c r="I1893">
        <f t="shared" si="59"/>
        <v>82</v>
      </c>
      <c r="J1893" t="s">
        <v>22</v>
      </c>
      <c r="K1893">
        <v>3</v>
      </c>
      <c r="L1893" t="e">
        <f t="array" ref="L1893">VLOOKUP(J1893:$J$3871&amp;K1893:$K$3871,CHOOSE({1,2},#REF!&amp;#REF!,#REF!),2,0)</f>
        <v>#N/A</v>
      </c>
      <c r="M1893">
        <v>-15</v>
      </c>
      <c r="N1893">
        <v>0</v>
      </c>
      <c r="O1893" t="s">
        <v>7</v>
      </c>
      <c r="P1893">
        <v>1</v>
      </c>
      <c r="Q1893">
        <v>1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 t="s">
        <v>4979</v>
      </c>
      <c r="AB1893" t="s">
        <v>7206</v>
      </c>
      <c r="AC1893" t="s">
        <v>4979</v>
      </c>
      <c r="AD1893" t="e">
        <f>VLOOKUP(AB1893,#REF!,2,FALSE)</f>
        <v>#REF!</v>
      </c>
      <c r="AE1893" t="e">
        <f>RIGHT(#REF!,(FIND("Complex",#REF!,1)-10))</f>
        <v>#REF!</v>
      </c>
    </row>
    <row r="1894" spans="1:31" x14ac:dyDescent="0.25">
      <c r="A1894">
        <v>2507</v>
      </c>
      <c r="B1894" t="s">
        <v>75</v>
      </c>
      <c r="C1894">
        <v>51</v>
      </c>
      <c r="D1894">
        <v>813</v>
      </c>
      <c r="E1894">
        <v>2507</v>
      </c>
      <c r="F1894">
        <v>3439801</v>
      </c>
      <c r="G1894">
        <v>3528000</v>
      </c>
      <c r="H1894">
        <f t="shared" si="58"/>
        <v>78.000022675736957</v>
      </c>
      <c r="I1894">
        <f t="shared" si="59"/>
        <v>80</v>
      </c>
      <c r="J1894" t="s">
        <v>22</v>
      </c>
      <c r="K1894">
        <v>3</v>
      </c>
      <c r="L1894" t="e">
        <f t="array" ref="L1894">VLOOKUP(J1894:$J$3871&amp;K1894:$K$3871,CHOOSE({1,2},#REF!&amp;#REF!,#REF!),2,0)</f>
        <v>#N/A</v>
      </c>
      <c r="M1894">
        <v>-15</v>
      </c>
      <c r="N1894">
        <v>0</v>
      </c>
      <c r="O1894" t="s">
        <v>7</v>
      </c>
      <c r="P1894">
        <v>1</v>
      </c>
      <c r="Q1894">
        <v>1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 t="s">
        <v>5006</v>
      </c>
      <c r="AB1894" t="s">
        <v>7220</v>
      </c>
      <c r="AC1894" t="s">
        <v>5006</v>
      </c>
      <c r="AD1894" t="e">
        <f>VLOOKUP(AB1894,#REF!,2,FALSE)</f>
        <v>#REF!</v>
      </c>
      <c r="AE1894" t="e">
        <f>RIGHT(#REF!,(FIND("Complex",#REF!,1)-10))</f>
        <v>#REF!</v>
      </c>
    </row>
    <row r="1895" spans="1:31" x14ac:dyDescent="0.25">
      <c r="A1895">
        <v>2684</v>
      </c>
      <c r="B1895" t="s">
        <v>75</v>
      </c>
      <c r="C1895">
        <v>51</v>
      </c>
      <c r="D1895">
        <v>893</v>
      </c>
      <c r="E1895">
        <v>2684</v>
      </c>
      <c r="F1895">
        <v>2293201</v>
      </c>
      <c r="G1895">
        <v>2381400</v>
      </c>
      <c r="H1895">
        <f t="shared" si="58"/>
        <v>52.000022675736965</v>
      </c>
      <c r="I1895">
        <f t="shared" si="59"/>
        <v>54</v>
      </c>
      <c r="J1895" t="s">
        <v>22</v>
      </c>
      <c r="K1895">
        <v>3</v>
      </c>
      <c r="L1895" t="e">
        <f t="array" ref="L1895">VLOOKUP(J1895:$J$3871&amp;K1895:$K$3871,CHOOSE({1,2},#REF!&amp;#REF!,#REF!),2,0)</f>
        <v>#N/A</v>
      </c>
      <c r="M1895">
        <v>-15</v>
      </c>
      <c r="N1895">
        <v>0</v>
      </c>
      <c r="O1895" t="s">
        <v>7</v>
      </c>
      <c r="P1895">
        <v>1</v>
      </c>
      <c r="Q1895">
        <v>1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 t="s">
        <v>5179</v>
      </c>
      <c r="AB1895" t="s">
        <v>1342</v>
      </c>
      <c r="AC1895" t="s">
        <v>5179</v>
      </c>
      <c r="AD1895" t="e">
        <f>VLOOKUP(AB1895,#REF!,2,FALSE)</f>
        <v>#REF!</v>
      </c>
      <c r="AE1895" t="e">
        <f>RIGHT(#REF!,(FIND("Complex",#REF!,1)-10))</f>
        <v>#REF!</v>
      </c>
    </row>
    <row r="1896" spans="1:31" x14ac:dyDescent="0.25">
      <c r="A1896">
        <v>1761</v>
      </c>
      <c r="B1896" t="s">
        <v>75</v>
      </c>
      <c r="C1896">
        <v>51</v>
      </c>
      <c r="D1896">
        <v>529</v>
      </c>
      <c r="E1896">
        <v>1761</v>
      </c>
      <c r="F1896">
        <v>11730601</v>
      </c>
      <c r="G1896">
        <v>11818800</v>
      </c>
      <c r="H1896">
        <f t="shared" si="58"/>
        <v>266.00002267573694</v>
      </c>
      <c r="I1896">
        <f t="shared" si="59"/>
        <v>268</v>
      </c>
      <c r="J1896" t="s">
        <v>22</v>
      </c>
      <c r="K1896">
        <v>3</v>
      </c>
      <c r="L1896" t="e">
        <f t="array" ref="L1896">VLOOKUP(J1896:$J$3871&amp;K1896:$K$3871,CHOOSE({1,2},#REF!&amp;#REF!,#REF!),2,0)</f>
        <v>#N/A</v>
      </c>
      <c r="M1896">
        <v>-15</v>
      </c>
      <c r="N1896">
        <v>0</v>
      </c>
      <c r="O1896" t="s">
        <v>7</v>
      </c>
      <c r="P1896">
        <v>1</v>
      </c>
      <c r="Q1896">
        <v>1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 t="s">
        <v>5445</v>
      </c>
      <c r="AB1896" t="s">
        <v>7449</v>
      </c>
      <c r="AC1896" t="s">
        <v>5445</v>
      </c>
      <c r="AD1896" t="e">
        <f>VLOOKUP(AB1896,#REF!,2,FALSE)</f>
        <v>#REF!</v>
      </c>
      <c r="AE1896" t="e">
        <f>RIGHT(#REF!,(FIND("Complex",#REF!,1)-9))</f>
        <v>#REF!</v>
      </c>
    </row>
    <row r="1897" spans="1:31" x14ac:dyDescent="0.25">
      <c r="A1897">
        <v>970</v>
      </c>
      <c r="B1897" t="s">
        <v>75</v>
      </c>
      <c r="C1897">
        <v>51</v>
      </c>
      <c r="D1897">
        <v>293</v>
      </c>
      <c r="E1897">
        <v>970</v>
      </c>
      <c r="F1897">
        <v>11289601</v>
      </c>
      <c r="G1897">
        <v>11377800</v>
      </c>
      <c r="H1897">
        <f t="shared" si="58"/>
        <v>256.00002267573694</v>
      </c>
      <c r="I1897">
        <f t="shared" si="59"/>
        <v>258</v>
      </c>
      <c r="J1897" t="s">
        <v>22</v>
      </c>
      <c r="K1897">
        <v>3</v>
      </c>
      <c r="L1897" t="e">
        <f t="array" ref="L1897">VLOOKUP(J1897:$J$3871&amp;K1897:$K$3871,CHOOSE({1,2},#REF!&amp;#REF!,#REF!),2,0)</f>
        <v>#N/A</v>
      </c>
      <c r="M1897">
        <v>-15</v>
      </c>
      <c r="N1897">
        <v>0</v>
      </c>
      <c r="O1897" t="s">
        <v>7</v>
      </c>
      <c r="P1897">
        <v>1</v>
      </c>
      <c r="Q1897">
        <v>1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 t="s">
        <v>5476</v>
      </c>
      <c r="AB1897" t="s">
        <v>7470</v>
      </c>
      <c r="AC1897" t="s">
        <v>5476</v>
      </c>
      <c r="AD1897" t="e">
        <f>VLOOKUP(AB1897,#REF!,2,FALSE)</f>
        <v>#REF!</v>
      </c>
      <c r="AE1897" t="e">
        <f>RIGHT(#REF!,(FIND("Complex",#REF!,1)-8))</f>
        <v>#REF!</v>
      </c>
    </row>
    <row r="1898" spans="1:31" x14ac:dyDescent="0.25">
      <c r="A1898">
        <v>2533</v>
      </c>
      <c r="B1898" t="s">
        <v>75</v>
      </c>
      <c r="C1898">
        <v>51</v>
      </c>
      <c r="D1898">
        <v>823</v>
      </c>
      <c r="E1898">
        <v>2533</v>
      </c>
      <c r="F1898">
        <v>11201401</v>
      </c>
      <c r="G1898">
        <v>11289600</v>
      </c>
      <c r="H1898">
        <f t="shared" si="58"/>
        <v>254.00002267573697</v>
      </c>
      <c r="I1898">
        <f t="shared" si="59"/>
        <v>256</v>
      </c>
      <c r="J1898" t="s">
        <v>22</v>
      </c>
      <c r="K1898">
        <v>3</v>
      </c>
      <c r="L1898" t="e">
        <f t="array" ref="L1898">VLOOKUP(J1898:$J$3871&amp;K1898:$K$3871,CHOOSE({1,2},#REF!&amp;#REF!,#REF!),2,0)</f>
        <v>#N/A</v>
      </c>
      <c r="M1898">
        <v>-15</v>
      </c>
      <c r="N1898">
        <v>0</v>
      </c>
      <c r="O1898" t="s">
        <v>7</v>
      </c>
      <c r="P1898">
        <v>1</v>
      </c>
      <c r="Q1898">
        <v>1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 t="s">
        <v>5481</v>
      </c>
      <c r="AB1898" t="s">
        <v>7474</v>
      </c>
      <c r="AC1898" t="s">
        <v>5481</v>
      </c>
      <c r="AD1898" t="e">
        <f>VLOOKUP(AB1898,#REF!,2,FALSE)</f>
        <v>#REF!</v>
      </c>
      <c r="AE1898" t="e">
        <f>RIGHT(#REF!,(FIND("Complex",#REF!,1)-9))</f>
        <v>#REF!</v>
      </c>
    </row>
    <row r="1899" spans="1:31" x14ac:dyDescent="0.25">
      <c r="A1899">
        <v>2026</v>
      </c>
      <c r="B1899" t="s">
        <v>75</v>
      </c>
      <c r="C1899">
        <v>51</v>
      </c>
      <c r="D1899">
        <v>616</v>
      </c>
      <c r="E1899">
        <v>2026</v>
      </c>
      <c r="F1899">
        <v>10848601</v>
      </c>
      <c r="G1899">
        <v>10936800</v>
      </c>
      <c r="H1899">
        <f t="shared" si="58"/>
        <v>246.00002267573697</v>
      </c>
      <c r="I1899">
        <f t="shared" si="59"/>
        <v>248</v>
      </c>
      <c r="J1899" t="s">
        <v>22</v>
      </c>
      <c r="K1899">
        <v>3</v>
      </c>
      <c r="L1899" t="e">
        <f t="array" ref="L1899">VLOOKUP(J1899:$J$3871&amp;K1899:$K$3871,CHOOSE({1,2},#REF!&amp;#REF!,#REF!),2,0)</f>
        <v>#N/A</v>
      </c>
      <c r="M1899">
        <v>-15</v>
      </c>
      <c r="N1899">
        <v>0</v>
      </c>
      <c r="O1899" t="s">
        <v>7</v>
      </c>
      <c r="P1899">
        <v>1</v>
      </c>
      <c r="Q1899">
        <v>1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 t="s">
        <v>5498</v>
      </c>
      <c r="AB1899" t="s">
        <v>7488</v>
      </c>
      <c r="AC1899" t="s">
        <v>5498</v>
      </c>
      <c r="AD1899" t="e">
        <f>VLOOKUP(AB1899,#REF!,2,FALSE)</f>
        <v>#REF!</v>
      </c>
      <c r="AE1899" t="e">
        <f>RIGHT(#REF!,(FIND("Complex",#REF!,1)-9))</f>
        <v>#REF!</v>
      </c>
    </row>
    <row r="1900" spans="1:31" x14ac:dyDescent="0.25">
      <c r="A1900">
        <v>432</v>
      </c>
      <c r="B1900" t="s">
        <v>75</v>
      </c>
      <c r="C1900">
        <v>51</v>
      </c>
      <c r="D1900">
        <v>136</v>
      </c>
      <c r="E1900">
        <v>432</v>
      </c>
      <c r="F1900">
        <v>10584001</v>
      </c>
      <c r="G1900">
        <v>10672200</v>
      </c>
      <c r="H1900">
        <f t="shared" si="58"/>
        <v>240.00002267573697</v>
      </c>
      <c r="I1900">
        <f t="shared" si="59"/>
        <v>242</v>
      </c>
      <c r="J1900" t="s">
        <v>22</v>
      </c>
      <c r="K1900">
        <v>3</v>
      </c>
      <c r="L1900" t="e">
        <f t="array" ref="L1900">VLOOKUP(J1900:$J$3871&amp;K1900:$K$3871,CHOOSE({1,2},#REF!&amp;#REF!,#REF!),2,0)</f>
        <v>#N/A</v>
      </c>
      <c r="M1900">
        <v>-15</v>
      </c>
      <c r="N1900">
        <v>0</v>
      </c>
      <c r="O1900" t="s">
        <v>7</v>
      </c>
      <c r="P1900">
        <v>1</v>
      </c>
      <c r="Q1900">
        <v>1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 t="s">
        <v>5509</v>
      </c>
      <c r="AB1900" t="s">
        <v>7496</v>
      </c>
      <c r="AC1900" t="s">
        <v>5509</v>
      </c>
      <c r="AD1900" t="e">
        <f>VLOOKUP(AB1900,#REF!,2,FALSE)</f>
        <v>#REF!</v>
      </c>
      <c r="AE1900" t="e">
        <f>RIGHT(#REF!,(FIND("Complex",#REF!,1)-8))</f>
        <v>#REF!</v>
      </c>
    </row>
    <row r="1901" spans="1:31" x14ac:dyDescent="0.25">
      <c r="A1901">
        <v>1119</v>
      </c>
      <c r="B1901" t="s">
        <v>75</v>
      </c>
      <c r="C1901">
        <v>51</v>
      </c>
      <c r="D1901">
        <v>333</v>
      </c>
      <c r="E1901">
        <v>1119</v>
      </c>
      <c r="F1901">
        <v>10054801</v>
      </c>
      <c r="G1901">
        <v>10143000</v>
      </c>
      <c r="H1901">
        <f t="shared" si="58"/>
        <v>228.00002267573697</v>
      </c>
      <c r="I1901">
        <f t="shared" si="59"/>
        <v>230</v>
      </c>
      <c r="J1901" t="s">
        <v>22</v>
      </c>
      <c r="K1901">
        <v>3</v>
      </c>
      <c r="L1901" t="e">
        <f t="array" ref="L1901">VLOOKUP(J1901:$J$3871&amp;K1901:$K$3871,CHOOSE({1,2},#REF!&amp;#REF!,#REF!),2,0)</f>
        <v>#N/A</v>
      </c>
      <c r="M1901">
        <v>-15</v>
      </c>
      <c r="N1901">
        <v>0</v>
      </c>
      <c r="O1901" t="s">
        <v>7</v>
      </c>
      <c r="P1901">
        <v>1</v>
      </c>
      <c r="Q1901">
        <v>1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 t="s">
        <v>5550</v>
      </c>
      <c r="AB1901" t="s">
        <v>7525</v>
      </c>
      <c r="AC1901" t="s">
        <v>5550</v>
      </c>
      <c r="AD1901" t="e">
        <f>VLOOKUP(AB1901,#REF!,2,FALSE)</f>
        <v>#REF!</v>
      </c>
      <c r="AE1901" t="e">
        <f>RIGHT(#REF!,(FIND("Complex",#REF!,1)-9))</f>
        <v>#REF!</v>
      </c>
    </row>
    <row r="1902" spans="1:31" x14ac:dyDescent="0.25">
      <c r="A1902">
        <v>713</v>
      </c>
      <c r="B1902" t="s">
        <v>75</v>
      </c>
      <c r="C1902">
        <v>51</v>
      </c>
      <c r="D1902">
        <v>218</v>
      </c>
      <c r="E1902">
        <v>713</v>
      </c>
      <c r="F1902">
        <v>9790201</v>
      </c>
      <c r="G1902">
        <v>9878400</v>
      </c>
      <c r="H1902">
        <f t="shared" si="58"/>
        <v>222.00002267573697</v>
      </c>
      <c r="I1902">
        <f t="shared" si="59"/>
        <v>224</v>
      </c>
      <c r="J1902" t="s">
        <v>22</v>
      </c>
      <c r="K1902">
        <v>3</v>
      </c>
      <c r="L1902" t="e">
        <f t="array" ref="L1902">VLOOKUP(J1902:$J$3871&amp;K1902:$K$3871,CHOOSE({1,2},#REF!&amp;#REF!,#REF!),2,0)</f>
        <v>#N/A</v>
      </c>
      <c r="M1902">
        <v>-15</v>
      </c>
      <c r="N1902">
        <v>0</v>
      </c>
      <c r="O1902" t="s">
        <v>7</v>
      </c>
      <c r="P1902">
        <v>1</v>
      </c>
      <c r="Q1902">
        <v>1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 t="s">
        <v>5565</v>
      </c>
      <c r="AB1902" t="s">
        <v>1343</v>
      </c>
      <c r="AC1902" t="s">
        <v>5565</v>
      </c>
      <c r="AD1902" t="e">
        <f>VLOOKUP(AB1902,#REF!,2,FALSE)</f>
        <v>#REF!</v>
      </c>
      <c r="AE1902" t="e">
        <f>RIGHT(#REF!,(FIND("Complex",#REF!,1)-8))</f>
        <v>#REF!</v>
      </c>
    </row>
    <row r="1903" spans="1:31" x14ac:dyDescent="0.25">
      <c r="A1903">
        <v>2232</v>
      </c>
      <c r="B1903" t="s">
        <v>75</v>
      </c>
      <c r="C1903">
        <v>51</v>
      </c>
      <c r="D1903">
        <v>691</v>
      </c>
      <c r="E1903">
        <v>2232</v>
      </c>
      <c r="F1903">
        <v>7144201</v>
      </c>
      <c r="G1903">
        <v>7232400</v>
      </c>
      <c r="H1903">
        <f t="shared" si="58"/>
        <v>162.00002267573697</v>
      </c>
      <c r="I1903">
        <f t="shared" si="59"/>
        <v>164</v>
      </c>
      <c r="J1903" t="s">
        <v>22</v>
      </c>
      <c r="K1903">
        <v>3</v>
      </c>
      <c r="L1903" t="e">
        <f t="array" ref="L1903">VLOOKUP(J1903:$J$3871&amp;K1903:$K$3871,CHOOSE({1,2},#REF!&amp;#REF!,#REF!),2,0)</f>
        <v>#N/A</v>
      </c>
      <c r="M1903">
        <v>-15</v>
      </c>
      <c r="N1903">
        <v>0</v>
      </c>
      <c r="O1903" t="s">
        <v>7</v>
      </c>
      <c r="P1903">
        <v>1</v>
      </c>
      <c r="Q1903">
        <v>1</v>
      </c>
      <c r="R1903">
        <v>0</v>
      </c>
      <c r="S1903">
        <v>0</v>
      </c>
      <c r="T1903">
        <v>1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 t="s">
        <v>5788</v>
      </c>
      <c r="AB1903" t="s">
        <v>7674</v>
      </c>
      <c r="AC1903" t="s">
        <v>5788</v>
      </c>
      <c r="AD1903" t="e">
        <f>VLOOKUP(AB1903,#REF!,2,FALSE)</f>
        <v>#REF!</v>
      </c>
      <c r="AE1903" t="e">
        <f>RIGHT(#REF!,(FIND("Complex",#REF!,1)-9))</f>
        <v>#REF!</v>
      </c>
    </row>
    <row r="1904" spans="1:31" x14ac:dyDescent="0.25">
      <c r="A1904">
        <v>1877</v>
      </c>
      <c r="B1904" t="s">
        <v>75</v>
      </c>
      <c r="C1904">
        <v>51</v>
      </c>
      <c r="D1904">
        <v>568</v>
      </c>
      <c r="E1904">
        <v>1877</v>
      </c>
      <c r="F1904">
        <v>7056001</v>
      </c>
      <c r="G1904">
        <v>7144200</v>
      </c>
      <c r="H1904">
        <f t="shared" si="58"/>
        <v>160.00002267573697</v>
      </c>
      <c r="I1904">
        <f t="shared" si="59"/>
        <v>162</v>
      </c>
      <c r="J1904" t="s">
        <v>22</v>
      </c>
      <c r="K1904">
        <v>3</v>
      </c>
      <c r="L1904" t="e">
        <f t="array" ref="L1904">VLOOKUP(J1904:$J$3871&amp;K1904:$K$3871,CHOOSE({1,2},#REF!&amp;#REF!,#REF!),2,0)</f>
        <v>#N/A</v>
      </c>
      <c r="M1904">
        <v>-15</v>
      </c>
      <c r="N1904">
        <v>0</v>
      </c>
      <c r="O1904" t="s">
        <v>7</v>
      </c>
      <c r="P1904">
        <v>1</v>
      </c>
      <c r="Q1904">
        <v>1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 t="s">
        <v>5798</v>
      </c>
      <c r="AB1904" t="s">
        <v>7680</v>
      </c>
      <c r="AC1904" t="s">
        <v>5798</v>
      </c>
      <c r="AD1904" t="e">
        <f>VLOOKUP(AB1904,#REF!,2,FALSE)</f>
        <v>#REF!</v>
      </c>
      <c r="AE1904" t="e">
        <f>RIGHT(#REF!,(FIND("Complex",#REF!,1)-9))</f>
        <v>#REF!</v>
      </c>
    </row>
    <row r="1905" spans="1:31" x14ac:dyDescent="0.25">
      <c r="A1905">
        <v>102</v>
      </c>
      <c r="B1905" t="s">
        <v>75</v>
      </c>
      <c r="C1905">
        <v>51</v>
      </c>
      <c r="D1905">
        <v>30</v>
      </c>
      <c r="E1905">
        <v>102</v>
      </c>
      <c r="F1905">
        <v>6262201</v>
      </c>
      <c r="G1905">
        <v>6350400</v>
      </c>
      <c r="H1905">
        <f t="shared" si="58"/>
        <v>142.00002267573697</v>
      </c>
      <c r="I1905">
        <f t="shared" si="59"/>
        <v>144</v>
      </c>
      <c r="J1905" t="s">
        <v>22</v>
      </c>
      <c r="K1905">
        <v>3</v>
      </c>
      <c r="L1905" t="e">
        <f t="array" ref="L1905">VLOOKUP(J1905:$J$3871&amp;K1905:$K$3871,CHOOSE({1,2},#REF!&amp;#REF!,#REF!),2,0)</f>
        <v>#N/A</v>
      </c>
      <c r="M1905">
        <v>-15</v>
      </c>
      <c r="N1905">
        <v>0</v>
      </c>
      <c r="O1905" t="s">
        <v>7</v>
      </c>
      <c r="P1905">
        <v>1</v>
      </c>
      <c r="Q1905">
        <v>1</v>
      </c>
      <c r="R1905">
        <v>0</v>
      </c>
      <c r="S1905">
        <v>0</v>
      </c>
      <c r="T1905">
        <v>1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 t="s">
        <v>5915</v>
      </c>
      <c r="AB1905" t="s">
        <v>7750</v>
      </c>
      <c r="AC1905" t="s">
        <v>5915</v>
      </c>
      <c r="AD1905" t="e">
        <f>VLOOKUP(AB1905,#REF!,2,FALSE)</f>
        <v>#REF!</v>
      </c>
      <c r="AE1905" t="e">
        <f>RIGHT(#REF!,(FIND("Complex",#REF!,1)-8))</f>
        <v>#REF!</v>
      </c>
    </row>
    <row r="1906" spans="1:31" x14ac:dyDescent="0.25">
      <c r="A1906">
        <v>1682</v>
      </c>
      <c r="B1906" t="s">
        <v>75</v>
      </c>
      <c r="C1906">
        <v>51</v>
      </c>
      <c r="D1906">
        <v>507</v>
      </c>
      <c r="E1906">
        <v>1682</v>
      </c>
      <c r="F1906">
        <v>5821201</v>
      </c>
      <c r="G1906">
        <v>5909400</v>
      </c>
      <c r="H1906">
        <f t="shared" si="58"/>
        <v>132.00002267573697</v>
      </c>
      <c r="I1906">
        <f t="shared" si="59"/>
        <v>134</v>
      </c>
      <c r="J1906" t="s">
        <v>22</v>
      </c>
      <c r="K1906">
        <v>3</v>
      </c>
      <c r="L1906" t="e">
        <f t="array" ref="L1906">VLOOKUP(J1906:$J$3871&amp;K1906:$K$3871,CHOOSE({1,2},#REF!&amp;#REF!,#REF!),2,0)</f>
        <v>#N/A</v>
      </c>
      <c r="M1906">
        <v>-15</v>
      </c>
      <c r="N1906">
        <v>0</v>
      </c>
      <c r="O1906" t="s">
        <v>7</v>
      </c>
      <c r="P1906">
        <v>1</v>
      </c>
      <c r="Q1906">
        <v>1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 t="s">
        <v>5971</v>
      </c>
      <c r="AB1906" t="s">
        <v>1344</v>
      </c>
      <c r="AC1906" t="s">
        <v>5971</v>
      </c>
      <c r="AD1906" t="e">
        <f>VLOOKUP(AB1906,#REF!,2,FALSE)</f>
        <v>#REF!</v>
      </c>
      <c r="AE1906" t="e">
        <f>RIGHT(#REF!,(FIND("Complex",#REF!,1)-9))</f>
        <v>#REF!</v>
      </c>
    </row>
    <row r="1907" spans="1:31" x14ac:dyDescent="0.25">
      <c r="A1907">
        <v>875</v>
      </c>
      <c r="B1907" t="s">
        <v>27</v>
      </c>
      <c r="C1907">
        <v>52</v>
      </c>
      <c r="D1907">
        <v>265</v>
      </c>
      <c r="E1907">
        <v>875</v>
      </c>
      <c r="F1907">
        <v>8026201</v>
      </c>
      <c r="G1907">
        <v>8114400</v>
      </c>
      <c r="H1907">
        <f t="shared" si="58"/>
        <v>182.00002267573697</v>
      </c>
      <c r="I1907">
        <f t="shared" si="59"/>
        <v>184</v>
      </c>
      <c r="J1907" t="s">
        <v>22</v>
      </c>
      <c r="K1907">
        <v>3</v>
      </c>
      <c r="L1907" t="e">
        <f t="array" ref="L1907">VLOOKUP(J1907:$J$3871&amp;K1907:$K$3871,CHOOSE({1,2},#REF!&amp;#REF!,#REF!),2,0)</f>
        <v>#N/A</v>
      </c>
      <c r="M1907">
        <v>-15</v>
      </c>
      <c r="N1907">
        <v>0</v>
      </c>
      <c r="O1907" t="s">
        <v>7</v>
      </c>
      <c r="P1907">
        <v>1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 t="s">
        <v>5694</v>
      </c>
      <c r="AB1907" t="s">
        <v>7617</v>
      </c>
      <c r="AC1907" t="s">
        <v>5694</v>
      </c>
      <c r="AD1907" t="e">
        <f>VLOOKUP(AB1907,#REF!,2,FALSE)</f>
        <v>#REF!</v>
      </c>
      <c r="AE1907" t="e">
        <f>RIGHT(#REF!,(FIND("Complex",#REF!,1)-8))</f>
        <v>#REF!</v>
      </c>
    </row>
    <row r="1908" spans="1:31" x14ac:dyDescent="0.25">
      <c r="A1908">
        <v>2514</v>
      </c>
      <c r="B1908" t="s">
        <v>253</v>
      </c>
      <c r="C1908">
        <v>55</v>
      </c>
      <c r="D1908">
        <v>817</v>
      </c>
      <c r="E1908">
        <v>2514</v>
      </c>
      <c r="F1908">
        <v>11642401</v>
      </c>
      <c r="G1908">
        <v>11730600</v>
      </c>
      <c r="H1908">
        <f t="shared" si="58"/>
        <v>264.00002267573694</v>
      </c>
      <c r="I1908">
        <f t="shared" si="59"/>
        <v>266</v>
      </c>
      <c r="J1908" t="s">
        <v>22</v>
      </c>
      <c r="K1908">
        <v>3</v>
      </c>
      <c r="L1908" t="e">
        <f t="array" ref="L1908">VLOOKUP(J1908:$J$3871&amp;K1908:$K$3871,CHOOSE({1,2},#REF!&amp;#REF!,#REF!),2,0)</f>
        <v>#N/A</v>
      </c>
      <c r="M1908">
        <v>-15</v>
      </c>
      <c r="N1908">
        <v>0</v>
      </c>
      <c r="O1908" t="s">
        <v>7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1</v>
      </c>
      <c r="Y1908">
        <v>0</v>
      </c>
      <c r="Z1908">
        <v>0</v>
      </c>
      <c r="AA1908" t="s">
        <v>5447</v>
      </c>
      <c r="AB1908" t="s">
        <v>7451</v>
      </c>
      <c r="AC1908" t="s">
        <v>5447</v>
      </c>
      <c r="AD1908" t="e">
        <f>VLOOKUP(AB1908,#REF!,2,FALSE)</f>
        <v>#REF!</v>
      </c>
      <c r="AE1908" t="e">
        <f>RIGHT(#REF!,(FIND("Complex",#REF!,1)-9))</f>
        <v>#REF!</v>
      </c>
    </row>
    <row r="1909" spans="1:31" x14ac:dyDescent="0.25">
      <c r="A1909">
        <v>2020</v>
      </c>
      <c r="B1909" t="s">
        <v>253</v>
      </c>
      <c r="C1909">
        <v>55</v>
      </c>
      <c r="D1909">
        <v>613</v>
      </c>
      <c r="E1909">
        <v>2020</v>
      </c>
      <c r="F1909">
        <v>11025001</v>
      </c>
      <c r="G1909">
        <v>11113200</v>
      </c>
      <c r="H1909">
        <f t="shared" si="58"/>
        <v>250.00002267573697</v>
      </c>
      <c r="I1909">
        <f t="shared" si="59"/>
        <v>252</v>
      </c>
      <c r="J1909" t="s">
        <v>22</v>
      </c>
      <c r="K1909">
        <v>3</v>
      </c>
      <c r="L1909" t="e">
        <f t="array" ref="L1909">VLOOKUP(J1909:$J$3871&amp;K1909:$K$3871,CHOOSE({1,2},#REF!&amp;#REF!,#REF!),2,0)</f>
        <v>#N/A</v>
      </c>
      <c r="M1909">
        <v>-15</v>
      </c>
      <c r="N1909">
        <v>0</v>
      </c>
      <c r="O1909" t="s">
        <v>7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1</v>
      </c>
      <c r="Y1909">
        <v>0</v>
      </c>
      <c r="Z1909">
        <v>0</v>
      </c>
      <c r="AA1909" t="s">
        <v>5487</v>
      </c>
      <c r="AB1909" t="s">
        <v>7479</v>
      </c>
      <c r="AC1909" t="s">
        <v>5487</v>
      </c>
      <c r="AD1909" t="e">
        <f>VLOOKUP(AB1909,#REF!,2,FALSE)</f>
        <v>#REF!</v>
      </c>
      <c r="AE1909" t="e">
        <f>RIGHT(#REF!,(FIND("Complex",#REF!,1)-9))</f>
        <v>#REF!</v>
      </c>
    </row>
    <row r="1910" spans="1:31" x14ac:dyDescent="0.25">
      <c r="A1910">
        <v>1425</v>
      </c>
      <c r="B1910" t="s">
        <v>253</v>
      </c>
      <c r="C1910">
        <v>55</v>
      </c>
      <c r="D1910">
        <v>431</v>
      </c>
      <c r="E1910">
        <v>1425</v>
      </c>
      <c r="F1910">
        <v>8026201</v>
      </c>
      <c r="G1910">
        <v>8114400</v>
      </c>
      <c r="H1910">
        <f t="shared" si="58"/>
        <v>182.00002267573697</v>
      </c>
      <c r="I1910">
        <f t="shared" si="59"/>
        <v>184</v>
      </c>
      <c r="J1910" t="s">
        <v>22</v>
      </c>
      <c r="K1910">
        <v>3</v>
      </c>
      <c r="L1910" t="e">
        <f t="array" ref="L1910">VLOOKUP(J1910:$J$3871&amp;K1910:$K$3871,CHOOSE({1,2},#REF!&amp;#REF!,#REF!),2,0)</f>
        <v>#N/A</v>
      </c>
      <c r="M1910">
        <v>-15</v>
      </c>
      <c r="N1910">
        <v>0</v>
      </c>
      <c r="O1910" t="s">
        <v>7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1</v>
      </c>
      <c r="Y1910">
        <v>0</v>
      </c>
      <c r="Z1910">
        <v>0</v>
      </c>
      <c r="AA1910" t="s">
        <v>5693</v>
      </c>
      <c r="AB1910" t="s">
        <v>1393</v>
      </c>
      <c r="AC1910" t="s">
        <v>5693</v>
      </c>
      <c r="AD1910" t="e">
        <f>VLOOKUP(AB1910,#REF!,2,FALSE)</f>
        <v>#REF!</v>
      </c>
      <c r="AE1910" t="e">
        <f>RIGHT(#REF!,(FIND("Complex",#REF!,1)-9))</f>
        <v>#REF!</v>
      </c>
    </row>
    <row r="1911" spans="1:31" x14ac:dyDescent="0.25">
      <c r="A1911">
        <v>1300</v>
      </c>
      <c r="B1911" t="s">
        <v>253</v>
      </c>
      <c r="C1911">
        <v>55</v>
      </c>
      <c r="D1911">
        <v>397</v>
      </c>
      <c r="E1911">
        <v>1300</v>
      </c>
      <c r="F1911">
        <v>7585201</v>
      </c>
      <c r="G1911">
        <v>7673400</v>
      </c>
      <c r="H1911">
        <f t="shared" si="58"/>
        <v>172.00002267573697</v>
      </c>
      <c r="I1911">
        <f t="shared" si="59"/>
        <v>174</v>
      </c>
      <c r="J1911" t="s">
        <v>22</v>
      </c>
      <c r="K1911">
        <v>3</v>
      </c>
      <c r="L1911" t="e">
        <f t="array" ref="L1911">VLOOKUP(J1911:$J$3871&amp;K1911:$K$3871,CHOOSE({1,2},#REF!&amp;#REF!,#REF!),2,0)</f>
        <v>#N/A</v>
      </c>
      <c r="M1911">
        <v>-15</v>
      </c>
      <c r="N1911">
        <v>0</v>
      </c>
      <c r="O1911" t="s">
        <v>7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1</v>
      </c>
      <c r="Y1911">
        <v>0</v>
      </c>
      <c r="Z1911">
        <v>0</v>
      </c>
      <c r="AA1911" t="s">
        <v>5745</v>
      </c>
      <c r="AB1911" t="s">
        <v>7645</v>
      </c>
      <c r="AC1911" t="s">
        <v>5745</v>
      </c>
      <c r="AD1911" t="e">
        <f>VLOOKUP(AB1911,#REF!,2,FALSE)</f>
        <v>#REF!</v>
      </c>
      <c r="AE1911" t="e">
        <f>RIGHT(#REF!,(FIND("Complex",#REF!,1)-9))</f>
        <v>#REF!</v>
      </c>
    </row>
    <row r="1912" spans="1:31" x14ac:dyDescent="0.25">
      <c r="A1912">
        <v>804</v>
      </c>
      <c r="B1912" t="s">
        <v>253</v>
      </c>
      <c r="C1912">
        <v>55</v>
      </c>
      <c r="D1912">
        <v>245</v>
      </c>
      <c r="E1912">
        <v>804</v>
      </c>
      <c r="F1912">
        <v>6879601</v>
      </c>
      <c r="G1912">
        <v>6967800</v>
      </c>
      <c r="H1912">
        <f t="shared" si="58"/>
        <v>156.00002267573697</v>
      </c>
      <c r="I1912">
        <f t="shared" si="59"/>
        <v>158</v>
      </c>
      <c r="J1912" t="s">
        <v>22</v>
      </c>
      <c r="K1912">
        <v>3</v>
      </c>
      <c r="L1912" t="e">
        <f t="array" ref="L1912">VLOOKUP(J1912:$J$3871&amp;K1912:$K$3871,CHOOSE({1,2},#REF!&amp;#REF!,#REF!),2,0)</f>
        <v>#N/A</v>
      </c>
      <c r="M1912">
        <v>-15</v>
      </c>
      <c r="N1912">
        <v>0</v>
      </c>
      <c r="O1912" t="s">
        <v>7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1</v>
      </c>
      <c r="Y1912">
        <v>0</v>
      </c>
      <c r="Z1912">
        <v>0</v>
      </c>
      <c r="AA1912" t="s">
        <v>5839</v>
      </c>
      <c r="AB1912" t="s">
        <v>7702</v>
      </c>
      <c r="AC1912" t="s">
        <v>5839</v>
      </c>
      <c r="AD1912" t="e">
        <f>VLOOKUP(AB1912,#REF!,2,FALSE)</f>
        <v>#REF!</v>
      </c>
      <c r="AE1912" t="e">
        <f>RIGHT(#REF!,(FIND("Complex",#REF!,1)-8))</f>
        <v>#REF!</v>
      </c>
    </row>
    <row r="1913" spans="1:31" x14ac:dyDescent="0.25">
      <c r="A1913">
        <v>1236</v>
      </c>
      <c r="B1913" t="s">
        <v>255</v>
      </c>
      <c r="C1913">
        <v>56</v>
      </c>
      <c r="D1913">
        <v>374</v>
      </c>
      <c r="E1913">
        <v>1236</v>
      </c>
      <c r="F1913">
        <v>16669801</v>
      </c>
      <c r="G1913">
        <v>16758000</v>
      </c>
      <c r="H1913">
        <f t="shared" si="58"/>
        <v>378.00002267573694</v>
      </c>
      <c r="I1913">
        <f t="shared" si="59"/>
        <v>380</v>
      </c>
      <c r="J1913" t="s">
        <v>22</v>
      </c>
      <c r="K1913">
        <v>3</v>
      </c>
      <c r="L1913" t="e">
        <f t="array" ref="L1913">VLOOKUP(J1913:$J$3871&amp;K1913:$K$3871,CHOOSE({1,2},#REF!&amp;#REF!,#REF!),2,0)</f>
        <v>#N/A</v>
      </c>
      <c r="M1913">
        <v>-15</v>
      </c>
      <c r="N1913">
        <v>0</v>
      </c>
      <c r="O1913" t="s">
        <v>7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1</v>
      </c>
      <c r="Y1913">
        <v>0</v>
      </c>
      <c r="Z1913">
        <v>0</v>
      </c>
      <c r="AA1913" t="s">
        <v>5300</v>
      </c>
      <c r="AB1913" t="s">
        <v>7361</v>
      </c>
      <c r="AC1913" t="s">
        <v>5300</v>
      </c>
      <c r="AD1913" t="e">
        <f>VLOOKUP(AB1913,#REF!,2,FALSE)</f>
        <v>#REF!</v>
      </c>
      <c r="AE1913" t="e">
        <f>RIGHT(#REF!,(FIND("Complex",#REF!,1)-9))</f>
        <v>#REF!</v>
      </c>
    </row>
    <row r="1914" spans="1:31" x14ac:dyDescent="0.25">
      <c r="A1914">
        <v>1089</v>
      </c>
      <c r="B1914" t="s">
        <v>255</v>
      </c>
      <c r="C1914">
        <v>56</v>
      </c>
      <c r="D1914">
        <v>327</v>
      </c>
      <c r="E1914">
        <v>1089</v>
      </c>
      <c r="F1914">
        <v>15523201</v>
      </c>
      <c r="G1914">
        <v>15611400</v>
      </c>
      <c r="H1914">
        <f t="shared" si="58"/>
        <v>352.00002267573694</v>
      </c>
      <c r="I1914">
        <f t="shared" si="59"/>
        <v>354</v>
      </c>
      <c r="J1914" t="s">
        <v>22</v>
      </c>
      <c r="K1914">
        <v>3</v>
      </c>
      <c r="L1914" t="e">
        <f t="array" ref="L1914">VLOOKUP(J1914:$J$3871&amp;K1914:$K$3871,CHOOSE({1,2},#REF!&amp;#REF!,#REF!),2,0)</f>
        <v>#N/A</v>
      </c>
      <c r="M1914">
        <v>-15</v>
      </c>
      <c r="N1914">
        <v>0</v>
      </c>
      <c r="O1914" t="s">
        <v>7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1</v>
      </c>
      <c r="Y1914">
        <v>0</v>
      </c>
      <c r="Z1914">
        <v>0</v>
      </c>
      <c r="AA1914" t="s">
        <v>5323</v>
      </c>
      <c r="AB1914" t="s">
        <v>1398</v>
      </c>
      <c r="AC1914" t="s">
        <v>5323</v>
      </c>
      <c r="AD1914" t="e">
        <f>VLOOKUP(AB1914,#REF!,2,FALSE)</f>
        <v>#REF!</v>
      </c>
      <c r="AE1914" t="e">
        <f>RIGHT(#REF!,(FIND("Complex",#REF!,1)-9))</f>
        <v>#REF!</v>
      </c>
    </row>
    <row r="1915" spans="1:31" x14ac:dyDescent="0.25">
      <c r="A1915">
        <v>328</v>
      </c>
      <c r="B1915" t="s">
        <v>255</v>
      </c>
      <c r="C1915">
        <v>56</v>
      </c>
      <c r="D1915">
        <v>104</v>
      </c>
      <c r="E1915">
        <v>328</v>
      </c>
      <c r="F1915">
        <v>14994001</v>
      </c>
      <c r="G1915">
        <v>15082200</v>
      </c>
      <c r="H1915">
        <f t="shared" si="58"/>
        <v>340.00002267573694</v>
      </c>
      <c r="I1915">
        <f t="shared" si="59"/>
        <v>342</v>
      </c>
      <c r="J1915" t="s">
        <v>22</v>
      </c>
      <c r="K1915">
        <v>3</v>
      </c>
      <c r="L1915" t="e">
        <f t="array" ref="L1915">VLOOKUP(J1915:$J$3871&amp;K1915:$K$3871,CHOOSE({1,2},#REF!&amp;#REF!,#REF!),2,0)</f>
        <v>#N/A</v>
      </c>
      <c r="M1915">
        <v>-15</v>
      </c>
      <c r="N1915">
        <v>0</v>
      </c>
      <c r="O1915" t="s">
        <v>7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1</v>
      </c>
      <c r="Y1915">
        <v>0</v>
      </c>
      <c r="Z1915">
        <v>0</v>
      </c>
      <c r="AA1915" t="s">
        <v>5329</v>
      </c>
      <c r="AB1915" t="s">
        <v>7384</v>
      </c>
      <c r="AC1915" t="s">
        <v>5329</v>
      </c>
      <c r="AD1915" t="e">
        <f>VLOOKUP(AB1915,#REF!,2,FALSE)</f>
        <v>#REF!</v>
      </c>
      <c r="AE1915" t="e">
        <f>RIGHT(#REF!,(FIND("Complex",#REF!,1)-8))</f>
        <v>#REF!</v>
      </c>
    </row>
    <row r="1916" spans="1:31" x14ac:dyDescent="0.25">
      <c r="A1916">
        <v>2819</v>
      </c>
      <c r="B1916" t="s">
        <v>255</v>
      </c>
      <c r="C1916">
        <v>56</v>
      </c>
      <c r="D1916">
        <v>926</v>
      </c>
      <c r="E1916">
        <v>2819</v>
      </c>
      <c r="F1916">
        <v>14817601</v>
      </c>
      <c r="G1916">
        <v>14905800</v>
      </c>
      <c r="H1916">
        <f t="shared" si="58"/>
        <v>336.00002267573694</v>
      </c>
      <c r="I1916">
        <f t="shared" si="59"/>
        <v>338</v>
      </c>
      <c r="J1916" t="s">
        <v>22</v>
      </c>
      <c r="K1916">
        <v>3</v>
      </c>
      <c r="L1916" t="e">
        <f t="array" ref="L1916">VLOOKUP(J1916:$J$3871&amp;K1916:$K$3871,CHOOSE({1,2},#REF!&amp;#REF!,#REF!),2,0)</f>
        <v>#N/A</v>
      </c>
      <c r="M1916">
        <v>-15</v>
      </c>
      <c r="N1916">
        <v>0</v>
      </c>
      <c r="O1916" t="s">
        <v>7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1</v>
      </c>
      <c r="Y1916">
        <v>0</v>
      </c>
      <c r="Z1916">
        <v>0</v>
      </c>
      <c r="AA1916" t="s">
        <v>5345</v>
      </c>
      <c r="AB1916" t="s">
        <v>7392</v>
      </c>
      <c r="AC1916" t="s">
        <v>5345</v>
      </c>
      <c r="AD1916" t="e">
        <f>VLOOKUP(AB1916,#REF!,2,FALSE)</f>
        <v>#REF!</v>
      </c>
      <c r="AE1916" t="e">
        <f>RIGHT(#REF!,(FIND("Complex",#REF!,1)-9))</f>
        <v>#REF!</v>
      </c>
    </row>
    <row r="1917" spans="1:31" x14ac:dyDescent="0.25">
      <c r="A1917">
        <v>1500</v>
      </c>
      <c r="B1917" t="s">
        <v>255</v>
      </c>
      <c r="C1917">
        <v>56</v>
      </c>
      <c r="D1917">
        <v>456</v>
      </c>
      <c r="E1917">
        <v>1500</v>
      </c>
      <c r="F1917">
        <v>14729401</v>
      </c>
      <c r="G1917">
        <v>14817600</v>
      </c>
      <c r="H1917">
        <f t="shared" si="58"/>
        <v>334.00002267573694</v>
      </c>
      <c r="I1917">
        <f t="shared" si="59"/>
        <v>336</v>
      </c>
      <c r="J1917" t="s">
        <v>22</v>
      </c>
      <c r="K1917">
        <v>3</v>
      </c>
      <c r="L1917" t="e">
        <f t="array" ref="L1917">VLOOKUP(J1917:$J$3871&amp;K1917:$K$3871,CHOOSE({1,2},#REF!&amp;#REF!,#REF!),2,0)</f>
        <v>#N/A</v>
      </c>
      <c r="M1917">
        <v>-15</v>
      </c>
      <c r="N1917">
        <v>0</v>
      </c>
      <c r="O1917" t="s">
        <v>7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1</v>
      </c>
      <c r="Y1917">
        <v>0</v>
      </c>
      <c r="Z1917">
        <v>0</v>
      </c>
      <c r="AA1917" t="s">
        <v>5348</v>
      </c>
      <c r="AB1917" t="s">
        <v>7394</v>
      </c>
      <c r="AC1917" t="s">
        <v>5348</v>
      </c>
      <c r="AD1917" t="e">
        <f>VLOOKUP(AB1917,#REF!,2,FALSE)</f>
        <v>#REF!</v>
      </c>
      <c r="AE1917" t="e">
        <f>RIGHT(#REF!,(FIND("Complex",#REF!,1)-9))</f>
        <v>#REF!</v>
      </c>
    </row>
    <row r="1918" spans="1:31" x14ac:dyDescent="0.25">
      <c r="A1918">
        <v>2458</v>
      </c>
      <c r="B1918" t="s">
        <v>255</v>
      </c>
      <c r="C1918">
        <v>56</v>
      </c>
      <c r="D1918">
        <v>796</v>
      </c>
      <c r="E1918">
        <v>2458</v>
      </c>
      <c r="F1918">
        <v>11730601</v>
      </c>
      <c r="G1918">
        <v>11818800</v>
      </c>
      <c r="H1918">
        <f t="shared" si="58"/>
        <v>266.00002267573694</v>
      </c>
      <c r="I1918">
        <f t="shared" si="59"/>
        <v>268</v>
      </c>
      <c r="J1918" t="s">
        <v>22</v>
      </c>
      <c r="K1918">
        <v>3</v>
      </c>
      <c r="L1918" t="e">
        <f t="array" ref="L1918">VLOOKUP(J1918:$J$3871&amp;K1918:$K$3871,CHOOSE({1,2},#REF!&amp;#REF!,#REF!),2,0)</f>
        <v>#N/A</v>
      </c>
      <c r="M1918">
        <v>-15</v>
      </c>
      <c r="N1918">
        <v>0</v>
      </c>
      <c r="O1918" t="s">
        <v>7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1</v>
      </c>
      <c r="Y1918">
        <v>0</v>
      </c>
      <c r="Z1918">
        <v>0</v>
      </c>
      <c r="AA1918" t="s">
        <v>5444</v>
      </c>
      <c r="AB1918" t="s">
        <v>7448</v>
      </c>
      <c r="AC1918" t="s">
        <v>5444</v>
      </c>
      <c r="AD1918" t="e">
        <f>VLOOKUP(AB1918,#REF!,2,FALSE)</f>
        <v>#REF!</v>
      </c>
      <c r="AE1918" t="e">
        <f>RIGHT(#REF!,(FIND("Complex",#REF!,1)-9))</f>
        <v>#REF!</v>
      </c>
    </row>
    <row r="1919" spans="1:31" x14ac:dyDescent="0.25">
      <c r="A1919">
        <v>1373</v>
      </c>
      <c r="B1919" t="s">
        <v>255</v>
      </c>
      <c r="C1919">
        <v>56</v>
      </c>
      <c r="D1919">
        <v>417</v>
      </c>
      <c r="E1919">
        <v>1373</v>
      </c>
      <c r="F1919">
        <v>8731801</v>
      </c>
      <c r="G1919">
        <v>8820000</v>
      </c>
      <c r="H1919">
        <f t="shared" si="58"/>
        <v>198.00002267573697</v>
      </c>
      <c r="I1919">
        <f t="shared" si="59"/>
        <v>200</v>
      </c>
      <c r="J1919" t="s">
        <v>22</v>
      </c>
      <c r="K1919">
        <v>3</v>
      </c>
      <c r="L1919" t="e">
        <f t="array" ref="L1919">VLOOKUP(J1919:$J$3871&amp;K1919:$K$3871,CHOOSE({1,2},#REF!&amp;#REF!,#REF!),2,0)</f>
        <v>#N/A</v>
      </c>
      <c r="M1919">
        <v>-15</v>
      </c>
      <c r="N1919">
        <v>0</v>
      </c>
      <c r="O1919" t="s">
        <v>7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1</v>
      </c>
      <c r="Y1919">
        <v>0</v>
      </c>
      <c r="Z1919">
        <v>0</v>
      </c>
      <c r="AA1919" t="s">
        <v>5660</v>
      </c>
      <c r="AB1919" t="s">
        <v>7591</v>
      </c>
      <c r="AC1919" t="s">
        <v>5660</v>
      </c>
      <c r="AD1919" t="e">
        <f>VLOOKUP(AB1919,#REF!,2,FALSE)</f>
        <v>#REF!</v>
      </c>
      <c r="AE1919" t="e">
        <f>RIGHT(#REF!,(FIND("Complex",#REF!,1)-9))</f>
        <v>#REF!</v>
      </c>
    </row>
    <row r="1920" spans="1:31" x14ac:dyDescent="0.25">
      <c r="A1920">
        <v>1646</v>
      </c>
      <c r="B1920" t="s">
        <v>255</v>
      </c>
      <c r="C1920">
        <v>56</v>
      </c>
      <c r="D1920">
        <v>494</v>
      </c>
      <c r="E1920">
        <v>1646</v>
      </c>
      <c r="F1920">
        <v>8114401</v>
      </c>
      <c r="G1920">
        <v>8202600</v>
      </c>
      <c r="H1920">
        <f t="shared" si="58"/>
        <v>184.00002267573697</v>
      </c>
      <c r="I1920">
        <f t="shared" si="59"/>
        <v>186</v>
      </c>
      <c r="J1920" t="s">
        <v>22</v>
      </c>
      <c r="K1920">
        <v>3</v>
      </c>
      <c r="L1920" t="e">
        <f t="array" ref="L1920">VLOOKUP(J1920:$J$3871&amp;K1920:$K$3871,CHOOSE({1,2},#REF!&amp;#REF!,#REF!),2,0)</f>
        <v>#N/A</v>
      </c>
      <c r="M1920">
        <v>-15</v>
      </c>
      <c r="N1920">
        <v>0</v>
      </c>
      <c r="O1920" t="s">
        <v>7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1</v>
      </c>
      <c r="Y1920">
        <v>0</v>
      </c>
      <c r="Z1920">
        <v>0</v>
      </c>
      <c r="AA1920" t="s">
        <v>5687</v>
      </c>
      <c r="AB1920" t="s">
        <v>7614</v>
      </c>
      <c r="AC1920" t="s">
        <v>5687</v>
      </c>
      <c r="AD1920" t="e">
        <f>VLOOKUP(AB1920,#REF!,2,FALSE)</f>
        <v>#REF!</v>
      </c>
      <c r="AE1920" t="e">
        <f>RIGHT(#REF!,(FIND("Complex",#REF!,1)-9))</f>
        <v>#REF!</v>
      </c>
    </row>
    <row r="1921" spans="1:31" x14ac:dyDescent="0.25">
      <c r="A1921">
        <v>407</v>
      </c>
      <c r="B1921" t="s">
        <v>30</v>
      </c>
      <c r="C1921">
        <v>57</v>
      </c>
      <c r="D1921">
        <v>127</v>
      </c>
      <c r="E1921">
        <v>407</v>
      </c>
      <c r="F1921">
        <v>7938001</v>
      </c>
      <c r="G1921">
        <v>8026200</v>
      </c>
      <c r="H1921">
        <f t="shared" si="58"/>
        <v>180.00002267573697</v>
      </c>
      <c r="I1921">
        <f t="shared" si="59"/>
        <v>182</v>
      </c>
      <c r="J1921" t="s">
        <v>22</v>
      </c>
      <c r="K1921">
        <v>3</v>
      </c>
      <c r="L1921" t="e">
        <f t="array" ref="L1921">VLOOKUP(J1921:$J$3871&amp;K1921:$K$3871,CHOOSE({1,2},#REF!&amp;#REF!,#REF!),2,0)</f>
        <v>#N/A</v>
      </c>
      <c r="M1921">
        <v>-15</v>
      </c>
      <c r="N1921">
        <v>0</v>
      </c>
      <c r="O1921" t="s">
        <v>7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1</v>
      </c>
      <c r="Y1921">
        <v>0</v>
      </c>
      <c r="Z1921">
        <v>0</v>
      </c>
      <c r="AA1921" t="s">
        <v>5703</v>
      </c>
      <c r="AB1921" t="s">
        <v>7625</v>
      </c>
      <c r="AC1921" t="s">
        <v>5703</v>
      </c>
      <c r="AD1921" t="e">
        <f>VLOOKUP(AB1921,#REF!,2,FALSE)</f>
        <v>#REF!</v>
      </c>
      <c r="AE1921" t="e">
        <f>RIGHT(#REF!,(FIND("Complex",#REF!,1)-8))</f>
        <v>#REF!</v>
      </c>
    </row>
    <row r="1922" spans="1:31" x14ac:dyDescent="0.25">
      <c r="A1922">
        <v>1874</v>
      </c>
      <c r="B1922" t="s">
        <v>30</v>
      </c>
      <c r="C1922">
        <v>57</v>
      </c>
      <c r="D1922">
        <v>566</v>
      </c>
      <c r="E1922">
        <v>1874</v>
      </c>
      <c r="F1922">
        <v>7673401</v>
      </c>
      <c r="G1922">
        <v>7761600</v>
      </c>
      <c r="H1922">
        <f t="shared" ref="H1922:H1985" si="60">F1922/44100</f>
        <v>174.00002267573697</v>
      </c>
      <c r="I1922">
        <f t="shared" ref="I1922:I1985" si="61">G1922/44100</f>
        <v>176</v>
      </c>
      <c r="J1922" t="s">
        <v>22</v>
      </c>
      <c r="K1922">
        <v>3</v>
      </c>
      <c r="L1922" t="e">
        <f t="array" ref="L1922">VLOOKUP(J1922:$J$3871&amp;K1922:$K$3871,CHOOSE({1,2},#REF!&amp;#REF!,#REF!),2,0)</f>
        <v>#N/A</v>
      </c>
      <c r="M1922">
        <v>-15</v>
      </c>
      <c r="N1922">
        <v>0</v>
      </c>
      <c r="O1922" t="s">
        <v>7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1</v>
      </c>
      <c r="Y1922">
        <v>0</v>
      </c>
      <c r="Z1922">
        <v>0</v>
      </c>
      <c r="AA1922" t="s">
        <v>5737</v>
      </c>
      <c r="AB1922" t="s">
        <v>7641</v>
      </c>
      <c r="AC1922" t="s">
        <v>5737</v>
      </c>
      <c r="AD1922" t="e">
        <f>VLOOKUP(AB1922,#REF!,2,FALSE)</f>
        <v>#REF!</v>
      </c>
      <c r="AE1922" t="e">
        <f>RIGHT(#REF!,(FIND("Complex",#REF!,1)-9))</f>
        <v>#REF!</v>
      </c>
    </row>
    <row r="1923" spans="1:31" x14ac:dyDescent="0.25">
      <c r="A1923">
        <v>1220</v>
      </c>
      <c r="B1923" t="s">
        <v>30</v>
      </c>
      <c r="C1923">
        <v>57</v>
      </c>
      <c r="D1923">
        <v>369</v>
      </c>
      <c r="E1923">
        <v>1220</v>
      </c>
      <c r="F1923">
        <v>7408801</v>
      </c>
      <c r="G1923">
        <v>7497000</v>
      </c>
      <c r="H1923">
        <f t="shared" si="60"/>
        <v>168.00002267573697</v>
      </c>
      <c r="I1923">
        <f t="shared" si="61"/>
        <v>170</v>
      </c>
      <c r="J1923" t="s">
        <v>22</v>
      </c>
      <c r="K1923">
        <v>3</v>
      </c>
      <c r="L1923" t="e">
        <f t="array" ref="L1923">VLOOKUP(J1923:$J$3871&amp;K1923:$K$3871,CHOOSE({1,2},#REF!&amp;#REF!,#REF!),2,0)</f>
        <v>#N/A</v>
      </c>
      <c r="M1923">
        <v>-15</v>
      </c>
      <c r="N1923">
        <v>0</v>
      </c>
      <c r="O1923" t="s">
        <v>7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1</v>
      </c>
      <c r="Y1923">
        <v>0</v>
      </c>
      <c r="Z1923">
        <v>0</v>
      </c>
      <c r="AA1923" t="s">
        <v>5761</v>
      </c>
      <c r="AB1923" t="s">
        <v>1402</v>
      </c>
      <c r="AC1923" t="s">
        <v>5761</v>
      </c>
      <c r="AD1923" t="e">
        <f>VLOOKUP(AB1923,#REF!,2,FALSE)</f>
        <v>#REF!</v>
      </c>
      <c r="AE1923" t="e">
        <f>RIGHT(#REF!,(FIND("Complex",#REF!,1)-9))</f>
        <v>#REF!</v>
      </c>
    </row>
    <row r="1924" spans="1:31" x14ac:dyDescent="0.25">
      <c r="A1924">
        <v>1766</v>
      </c>
      <c r="B1924" t="s">
        <v>30</v>
      </c>
      <c r="C1924">
        <v>57</v>
      </c>
      <c r="D1924">
        <v>530</v>
      </c>
      <c r="E1924">
        <v>1766</v>
      </c>
      <c r="F1924">
        <v>5644801</v>
      </c>
      <c r="G1924">
        <v>5733000</v>
      </c>
      <c r="H1924">
        <f t="shared" si="60"/>
        <v>128.00002267573697</v>
      </c>
      <c r="I1924">
        <f t="shared" si="61"/>
        <v>130</v>
      </c>
      <c r="J1924" t="s">
        <v>22</v>
      </c>
      <c r="K1924">
        <v>3</v>
      </c>
      <c r="L1924" t="e">
        <f t="array" ref="L1924">VLOOKUP(J1924:$J$3871&amp;K1924:$K$3871,CHOOSE({1,2},#REF!&amp;#REF!,#REF!),2,0)</f>
        <v>#N/A</v>
      </c>
      <c r="M1924">
        <v>-15</v>
      </c>
      <c r="N1924">
        <v>0</v>
      </c>
      <c r="O1924" t="s">
        <v>7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1</v>
      </c>
      <c r="Y1924">
        <v>0</v>
      </c>
      <c r="Z1924">
        <v>0</v>
      </c>
      <c r="AA1924" t="s">
        <v>5980</v>
      </c>
      <c r="AB1924" t="s">
        <v>7786</v>
      </c>
      <c r="AC1924" t="s">
        <v>5980</v>
      </c>
      <c r="AD1924" t="e">
        <f>VLOOKUP(AB1924,#REF!,2,FALSE)</f>
        <v>#REF!</v>
      </c>
      <c r="AE1924" t="e">
        <f>RIGHT(#REF!,(FIND("Complex",#REF!,1)-9))</f>
        <v>#REF!</v>
      </c>
    </row>
    <row r="1925" spans="1:31" x14ac:dyDescent="0.25">
      <c r="A1925">
        <v>2720</v>
      </c>
      <c r="B1925" t="s">
        <v>30</v>
      </c>
      <c r="C1925">
        <v>57</v>
      </c>
      <c r="D1925">
        <v>900</v>
      </c>
      <c r="E1925">
        <v>2720</v>
      </c>
      <c r="F1925">
        <v>5203801</v>
      </c>
      <c r="G1925">
        <v>5292000</v>
      </c>
      <c r="H1925">
        <f t="shared" si="60"/>
        <v>118.00002267573696</v>
      </c>
      <c r="I1925">
        <f t="shared" si="61"/>
        <v>120</v>
      </c>
      <c r="J1925" t="s">
        <v>22</v>
      </c>
      <c r="K1925">
        <v>3</v>
      </c>
      <c r="L1925" t="e">
        <f t="array" ref="L1925">VLOOKUP(J1925:$J$3871&amp;K1925:$K$3871,CHOOSE({1,2},#REF!&amp;#REF!,#REF!),2,0)</f>
        <v>#N/A</v>
      </c>
      <c r="M1925">
        <v>-15</v>
      </c>
      <c r="N1925">
        <v>0</v>
      </c>
      <c r="O1925" t="s">
        <v>7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1</v>
      </c>
      <c r="Y1925">
        <v>0</v>
      </c>
      <c r="Z1925">
        <v>0</v>
      </c>
      <c r="AA1925" t="s">
        <v>6045</v>
      </c>
      <c r="AB1925" t="s">
        <v>7820</v>
      </c>
      <c r="AC1925" t="s">
        <v>6045</v>
      </c>
      <c r="AD1925" t="e">
        <f>VLOOKUP(AB1925,#REF!,2,FALSE)</f>
        <v>#REF!</v>
      </c>
      <c r="AE1925" t="e">
        <f>RIGHT(#REF!,(FIND("Complex",#REF!,1)-9))</f>
        <v>#REF!</v>
      </c>
    </row>
    <row r="1926" spans="1:31" x14ac:dyDescent="0.25">
      <c r="A1926">
        <v>2648</v>
      </c>
      <c r="B1926" t="s">
        <v>30</v>
      </c>
      <c r="C1926">
        <v>57</v>
      </c>
      <c r="D1926">
        <v>877</v>
      </c>
      <c r="E1926">
        <v>2648</v>
      </c>
      <c r="F1926">
        <v>4939201</v>
      </c>
      <c r="G1926">
        <v>5027400</v>
      </c>
      <c r="H1926">
        <f t="shared" si="60"/>
        <v>112.00002267573696</v>
      </c>
      <c r="I1926">
        <f t="shared" si="61"/>
        <v>114</v>
      </c>
      <c r="J1926" t="s">
        <v>22</v>
      </c>
      <c r="K1926">
        <v>3</v>
      </c>
      <c r="L1926" t="e">
        <f t="array" ref="L1926">VLOOKUP(J1926:$J$3871&amp;K1926:$K$3871,CHOOSE({1,2},#REF!&amp;#REF!,#REF!),2,0)</f>
        <v>#N/A</v>
      </c>
      <c r="M1926">
        <v>-15</v>
      </c>
      <c r="N1926">
        <v>0</v>
      </c>
      <c r="O1926" t="s">
        <v>7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1</v>
      </c>
      <c r="Y1926">
        <v>0</v>
      </c>
      <c r="Z1926">
        <v>0</v>
      </c>
      <c r="AA1926" t="s">
        <v>6067</v>
      </c>
      <c r="AB1926" t="s">
        <v>7834</v>
      </c>
      <c r="AC1926" t="s">
        <v>6067</v>
      </c>
      <c r="AD1926" t="e">
        <f>VLOOKUP(AB1926,#REF!,2,FALSE)</f>
        <v>#REF!</v>
      </c>
      <c r="AE1926" t="e">
        <f>RIGHT(#REF!,(FIND("Complex",#REF!,1)-9))</f>
        <v>#REF!</v>
      </c>
    </row>
    <row r="1927" spans="1:31" x14ac:dyDescent="0.25">
      <c r="A1927">
        <v>2784</v>
      </c>
      <c r="B1927" t="s">
        <v>257</v>
      </c>
      <c r="C1927">
        <v>58</v>
      </c>
      <c r="D1927">
        <v>916</v>
      </c>
      <c r="E1927">
        <v>2784</v>
      </c>
      <c r="F1927">
        <v>1323001</v>
      </c>
      <c r="G1927">
        <v>1411200</v>
      </c>
      <c r="H1927">
        <f t="shared" si="60"/>
        <v>30.000022675736961</v>
      </c>
      <c r="I1927">
        <f t="shared" si="61"/>
        <v>32</v>
      </c>
      <c r="J1927" t="s">
        <v>22</v>
      </c>
      <c r="K1927">
        <v>3</v>
      </c>
      <c r="L1927" t="e">
        <f t="array" ref="L1927">VLOOKUP(J1927:$J$3871&amp;K1927:$K$3871,CHOOSE({1,2},#REF!&amp;#REF!,#REF!),2,0)</f>
        <v>#N/A</v>
      </c>
      <c r="M1927">
        <v>-15</v>
      </c>
      <c r="N1927">
        <v>0</v>
      </c>
      <c r="O1927" t="s">
        <v>7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1</v>
      </c>
      <c r="Y1927">
        <v>0</v>
      </c>
      <c r="Z1927">
        <v>0</v>
      </c>
      <c r="AA1927" t="s">
        <v>5380</v>
      </c>
      <c r="AB1927" t="s">
        <v>7410</v>
      </c>
      <c r="AC1927" t="s">
        <v>5380</v>
      </c>
      <c r="AD1927" t="e">
        <f>VLOOKUP(AB1927,#REF!,2,FALSE)</f>
        <v>#REF!</v>
      </c>
      <c r="AE1927" t="e">
        <f>RIGHT(#REF!,(FIND("Complex",#REF!,1)-10))</f>
        <v>#REF!</v>
      </c>
    </row>
    <row r="1928" spans="1:31" x14ac:dyDescent="0.25">
      <c r="A1928">
        <v>1218</v>
      </c>
      <c r="B1928" t="s">
        <v>257</v>
      </c>
      <c r="C1928">
        <v>58</v>
      </c>
      <c r="D1928">
        <v>367</v>
      </c>
      <c r="E1928">
        <v>1218</v>
      </c>
      <c r="F1928">
        <v>1146601</v>
      </c>
      <c r="G1928">
        <v>1234800</v>
      </c>
      <c r="H1928">
        <f t="shared" si="60"/>
        <v>26.000022675736961</v>
      </c>
      <c r="I1928">
        <f t="shared" si="61"/>
        <v>28</v>
      </c>
      <c r="J1928" t="s">
        <v>22</v>
      </c>
      <c r="K1928">
        <v>3</v>
      </c>
      <c r="L1928" t="e">
        <f t="array" ref="L1928">VLOOKUP(J1928:$J$3871&amp;K1928:$K$3871,CHOOSE({1,2},#REF!&amp;#REF!,#REF!),2,0)</f>
        <v>#N/A</v>
      </c>
      <c r="M1928">
        <v>-15</v>
      </c>
      <c r="N1928">
        <v>0</v>
      </c>
      <c r="O1928" t="s">
        <v>7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1</v>
      </c>
      <c r="Y1928">
        <v>0</v>
      </c>
      <c r="Z1928">
        <v>0</v>
      </c>
      <c r="AA1928" t="s">
        <v>5463</v>
      </c>
      <c r="AB1928" t="s">
        <v>7463</v>
      </c>
      <c r="AC1928" t="s">
        <v>5463</v>
      </c>
      <c r="AD1928" t="e">
        <f>VLOOKUP(AB1928,#REF!,2,FALSE)</f>
        <v>#REF!</v>
      </c>
      <c r="AE1928" t="e">
        <f>RIGHT(#REF!,(FIND("Complex",#REF!,1)-10))</f>
        <v>#REF!</v>
      </c>
    </row>
    <row r="1929" spans="1:31" x14ac:dyDescent="0.25">
      <c r="A1929">
        <v>1867</v>
      </c>
      <c r="B1929" t="s">
        <v>257</v>
      </c>
      <c r="C1929">
        <v>58</v>
      </c>
      <c r="D1929">
        <v>563</v>
      </c>
      <c r="E1929">
        <v>1867</v>
      </c>
      <c r="F1929">
        <v>9437401</v>
      </c>
      <c r="G1929">
        <v>9525600</v>
      </c>
      <c r="H1929">
        <f t="shared" si="60"/>
        <v>214.00002267573697</v>
      </c>
      <c r="I1929">
        <f t="shared" si="61"/>
        <v>216</v>
      </c>
      <c r="J1929" t="s">
        <v>22</v>
      </c>
      <c r="K1929">
        <v>3</v>
      </c>
      <c r="L1929" t="e">
        <f t="array" ref="L1929">VLOOKUP(J1929:$J$3871&amp;K1929:$K$3871,CHOOSE({1,2},#REF!&amp;#REF!,#REF!),2,0)</f>
        <v>#N/A</v>
      </c>
      <c r="M1929">
        <v>-15</v>
      </c>
      <c r="N1929">
        <v>0</v>
      </c>
      <c r="O1929" t="s">
        <v>7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1</v>
      </c>
      <c r="Y1929">
        <v>0</v>
      </c>
      <c r="Z1929">
        <v>0</v>
      </c>
      <c r="AA1929" t="s">
        <v>5597</v>
      </c>
      <c r="AB1929" t="s">
        <v>7551</v>
      </c>
      <c r="AC1929" t="s">
        <v>5597</v>
      </c>
      <c r="AD1929" t="e">
        <f>VLOOKUP(AB1929,#REF!,2,FALSE)</f>
        <v>#REF!</v>
      </c>
      <c r="AE1929" t="e">
        <f>RIGHT(#REF!,(FIND("Complex",#REF!,1)-9))</f>
        <v>#REF!</v>
      </c>
    </row>
    <row r="1930" spans="1:31" x14ac:dyDescent="0.25">
      <c r="A1930">
        <v>409</v>
      </c>
      <c r="B1930" t="s">
        <v>257</v>
      </c>
      <c r="C1930">
        <v>58</v>
      </c>
      <c r="D1930">
        <v>129</v>
      </c>
      <c r="E1930">
        <v>409</v>
      </c>
      <c r="F1930">
        <v>9172801</v>
      </c>
      <c r="G1930">
        <v>9261000</v>
      </c>
      <c r="H1930">
        <f t="shared" si="60"/>
        <v>208.00002267573697</v>
      </c>
      <c r="I1930">
        <f t="shared" si="61"/>
        <v>210</v>
      </c>
      <c r="J1930" t="s">
        <v>22</v>
      </c>
      <c r="K1930">
        <v>3</v>
      </c>
      <c r="L1930" t="e">
        <f t="array" ref="L1930">VLOOKUP(J1930:$J$3871&amp;K1930:$K$3871,CHOOSE({1,2},#REF!&amp;#REF!,#REF!),2,0)</f>
        <v>#N/A</v>
      </c>
      <c r="M1930">
        <v>-15</v>
      </c>
      <c r="N1930">
        <v>0</v>
      </c>
      <c r="O1930" t="s">
        <v>7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1</v>
      </c>
      <c r="Y1930">
        <v>0</v>
      </c>
      <c r="Z1930">
        <v>0</v>
      </c>
      <c r="AA1930" t="s">
        <v>5611</v>
      </c>
      <c r="AB1930" t="s">
        <v>1423</v>
      </c>
      <c r="AC1930" t="s">
        <v>5611</v>
      </c>
      <c r="AD1930" t="e">
        <f>VLOOKUP(AB1930,#REF!,2,FALSE)</f>
        <v>#REF!</v>
      </c>
      <c r="AE1930" t="e">
        <f>RIGHT(#REF!,(FIND("Complex",#REF!,1)-8))</f>
        <v>#REF!</v>
      </c>
    </row>
    <row r="1931" spans="1:31" x14ac:dyDescent="0.25">
      <c r="A1931">
        <v>2001</v>
      </c>
      <c r="B1931" t="s">
        <v>257</v>
      </c>
      <c r="C1931">
        <v>58</v>
      </c>
      <c r="D1931">
        <v>607</v>
      </c>
      <c r="E1931">
        <v>2001</v>
      </c>
      <c r="F1931">
        <v>793801</v>
      </c>
      <c r="G1931">
        <v>882000</v>
      </c>
      <c r="H1931">
        <f t="shared" si="60"/>
        <v>18.000022675736961</v>
      </c>
      <c r="I1931">
        <f t="shared" si="61"/>
        <v>20</v>
      </c>
      <c r="J1931" t="s">
        <v>22</v>
      </c>
      <c r="K1931">
        <v>3</v>
      </c>
      <c r="L1931" t="e">
        <f t="array" ref="L1931">VLOOKUP(J1931:$J$3871&amp;K1931:$K$3871,CHOOSE({1,2},#REF!&amp;#REF!,#REF!),2,0)</f>
        <v>#N/A</v>
      </c>
      <c r="M1931">
        <v>-15</v>
      </c>
      <c r="N1931">
        <v>0</v>
      </c>
      <c r="O1931" t="s">
        <v>7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1</v>
      </c>
      <c r="Y1931">
        <v>0</v>
      </c>
      <c r="Z1931">
        <v>0</v>
      </c>
      <c r="AA1931" t="s">
        <v>5712</v>
      </c>
      <c r="AB1931" t="s">
        <v>7627</v>
      </c>
      <c r="AC1931" t="s">
        <v>5712</v>
      </c>
      <c r="AD1931" t="e">
        <f>VLOOKUP(AB1931,#REF!,2,FALSE)</f>
        <v>#REF!</v>
      </c>
      <c r="AE1931" t="e">
        <f>RIGHT(#REF!,(FIND("Complex",#REF!,1)-10))</f>
        <v>#REF!</v>
      </c>
    </row>
    <row r="1932" spans="1:31" x14ac:dyDescent="0.25">
      <c r="A1932">
        <v>2381</v>
      </c>
      <c r="B1932" t="s">
        <v>257</v>
      </c>
      <c r="C1932">
        <v>58</v>
      </c>
      <c r="D1932">
        <v>759</v>
      </c>
      <c r="E1932">
        <v>2381</v>
      </c>
      <c r="F1932">
        <v>705601</v>
      </c>
      <c r="G1932">
        <v>793800</v>
      </c>
      <c r="H1932">
        <f t="shared" si="60"/>
        <v>16.000022675736961</v>
      </c>
      <c r="I1932">
        <f t="shared" si="61"/>
        <v>18</v>
      </c>
      <c r="J1932" t="s">
        <v>22</v>
      </c>
      <c r="K1932">
        <v>3</v>
      </c>
      <c r="L1932" t="e">
        <f t="array" ref="L1932">VLOOKUP(J1932:$J$3871&amp;K1932:$K$3871,CHOOSE({1,2},#REF!&amp;#REF!,#REF!),2,0)</f>
        <v>#N/A</v>
      </c>
      <c r="M1932">
        <v>-15</v>
      </c>
      <c r="N1932">
        <v>0</v>
      </c>
      <c r="O1932" t="s">
        <v>7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1</v>
      </c>
      <c r="Y1932">
        <v>0</v>
      </c>
      <c r="Z1932">
        <v>0</v>
      </c>
      <c r="AA1932" t="s">
        <v>5817</v>
      </c>
      <c r="AB1932" t="s">
        <v>7687</v>
      </c>
      <c r="AC1932" t="s">
        <v>5817</v>
      </c>
      <c r="AD1932" t="e">
        <f>VLOOKUP(AB1932,#REF!,2,FALSE)</f>
        <v>#REF!</v>
      </c>
      <c r="AE1932" t="e">
        <f>RIGHT(#REF!,(FIND("Complex",#REF!,1)-10))</f>
        <v>#REF!</v>
      </c>
    </row>
    <row r="1933" spans="1:31" x14ac:dyDescent="0.25">
      <c r="A1933">
        <v>1340</v>
      </c>
      <c r="B1933" t="s">
        <v>257</v>
      </c>
      <c r="C1933">
        <v>58</v>
      </c>
      <c r="D1933">
        <v>407</v>
      </c>
      <c r="E1933">
        <v>1340</v>
      </c>
      <c r="F1933">
        <v>1</v>
      </c>
      <c r="G1933">
        <v>88200</v>
      </c>
      <c r="H1933">
        <f t="shared" si="60"/>
        <v>2.2675736961451248E-5</v>
      </c>
      <c r="I1933">
        <f t="shared" si="61"/>
        <v>2</v>
      </c>
      <c r="J1933" t="s">
        <v>22</v>
      </c>
      <c r="K1933">
        <v>3</v>
      </c>
      <c r="L1933" t="e">
        <f t="array" ref="L1933">VLOOKUP(J1933:$J$3871&amp;K1933:$K$3871,CHOOSE({1,2},#REF!&amp;#REF!,#REF!),2,0)</f>
        <v>#N/A</v>
      </c>
      <c r="M1933">
        <v>-15</v>
      </c>
      <c r="N1933">
        <v>0</v>
      </c>
      <c r="O1933" t="s">
        <v>7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1</v>
      </c>
      <c r="Y1933">
        <v>0</v>
      </c>
      <c r="Z1933">
        <v>0</v>
      </c>
      <c r="AA1933" t="s">
        <v>6148</v>
      </c>
      <c r="AB1933" t="s">
        <v>7876</v>
      </c>
      <c r="AC1933" t="s">
        <v>6148</v>
      </c>
      <c r="AD1933" t="e">
        <f>VLOOKUP(AB1933,#REF!,2,FALSE)</f>
        <v>#REF!</v>
      </c>
      <c r="AE1933" t="e">
        <f>RIGHT(#REF!,(FIND("Complex",#REF!,1)-11))</f>
        <v>#REF!</v>
      </c>
    </row>
    <row r="1934" spans="1:31" x14ac:dyDescent="0.25">
      <c r="A1934">
        <v>932</v>
      </c>
      <c r="B1934" t="s">
        <v>51</v>
      </c>
      <c r="C1934">
        <v>60</v>
      </c>
      <c r="D1934">
        <v>285</v>
      </c>
      <c r="E1934">
        <v>932</v>
      </c>
      <c r="F1934">
        <v>1411201</v>
      </c>
      <c r="G1934">
        <v>1499400</v>
      </c>
      <c r="H1934">
        <f t="shared" si="60"/>
        <v>32.000022675736965</v>
      </c>
      <c r="I1934">
        <f t="shared" si="61"/>
        <v>34</v>
      </c>
      <c r="J1934" t="s">
        <v>22</v>
      </c>
      <c r="K1934">
        <v>3</v>
      </c>
      <c r="L1934" t="e">
        <f t="array" ref="L1934">VLOOKUP(J1934:$J$3871&amp;K1934:$K$3871,CHOOSE({1,2},#REF!&amp;#REF!,#REF!),2,0)</f>
        <v>#N/A</v>
      </c>
      <c r="M1934">
        <v>-15</v>
      </c>
      <c r="N1934">
        <v>0</v>
      </c>
      <c r="O1934" t="s">
        <v>7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1</v>
      </c>
      <c r="Y1934">
        <v>0</v>
      </c>
      <c r="Z1934">
        <v>0</v>
      </c>
      <c r="AA1934" t="s">
        <v>5362</v>
      </c>
      <c r="AB1934" t="s">
        <v>1444</v>
      </c>
      <c r="AC1934" t="s">
        <v>5362</v>
      </c>
      <c r="AD1934" t="e">
        <f>VLOOKUP(AB1934,#REF!,2,FALSE)</f>
        <v>#REF!</v>
      </c>
      <c r="AE1934" t="e">
        <f>RIGHT(#REF!,(FIND("Complex",#REF!,1)-9))</f>
        <v>#REF!</v>
      </c>
    </row>
    <row r="1935" spans="1:31" x14ac:dyDescent="0.25">
      <c r="A1935">
        <v>1490</v>
      </c>
      <c r="B1935" t="s">
        <v>21</v>
      </c>
      <c r="C1935">
        <v>64</v>
      </c>
      <c r="D1935">
        <v>453</v>
      </c>
      <c r="E1935">
        <v>1490</v>
      </c>
      <c r="F1935">
        <v>1411201</v>
      </c>
      <c r="G1935">
        <v>1499400</v>
      </c>
      <c r="H1935">
        <f t="shared" si="60"/>
        <v>32.000022675736965</v>
      </c>
      <c r="I1935">
        <f t="shared" si="61"/>
        <v>34</v>
      </c>
      <c r="J1935" t="s">
        <v>22</v>
      </c>
      <c r="K1935">
        <v>3</v>
      </c>
      <c r="L1935" t="e">
        <f t="array" ref="L1935">VLOOKUP(J1935:$J$3871&amp;K1935:$K$3871,CHOOSE({1,2},#REF!&amp;#REF!,#REF!),2,0)</f>
        <v>#N/A</v>
      </c>
      <c r="M1935">
        <v>-15</v>
      </c>
      <c r="N1935">
        <v>0</v>
      </c>
      <c r="O1935" t="s">
        <v>7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1</v>
      </c>
      <c r="Y1935">
        <v>0</v>
      </c>
      <c r="Z1935">
        <v>0</v>
      </c>
      <c r="AA1935" t="s">
        <v>5361</v>
      </c>
      <c r="AB1935" t="s">
        <v>217</v>
      </c>
      <c r="AC1935" t="s">
        <v>5361</v>
      </c>
      <c r="AD1935" t="e">
        <f>VLOOKUP(AB1935,#REF!,2,FALSE)</f>
        <v>#REF!</v>
      </c>
      <c r="AE1935" t="e">
        <f>RIGHT(#REF!,(FIND("Complex",#REF!,1)-10))</f>
        <v>#REF!</v>
      </c>
    </row>
    <row r="1936" spans="1:31" x14ac:dyDescent="0.25">
      <c r="A1936">
        <v>15</v>
      </c>
      <c r="B1936" t="s">
        <v>21</v>
      </c>
      <c r="C1936">
        <v>64</v>
      </c>
      <c r="D1936">
        <v>5</v>
      </c>
      <c r="E1936">
        <v>15</v>
      </c>
      <c r="F1936">
        <v>705601</v>
      </c>
      <c r="G1936">
        <v>793800</v>
      </c>
      <c r="H1936">
        <f t="shared" si="60"/>
        <v>16.000022675736961</v>
      </c>
      <c r="I1936">
        <f t="shared" si="61"/>
        <v>18</v>
      </c>
      <c r="J1936" t="s">
        <v>22</v>
      </c>
      <c r="K1936">
        <v>3</v>
      </c>
      <c r="L1936" t="e">
        <f t="array" ref="L1936">VLOOKUP(J1936:$J$3871&amp;K1936:$K$3871,CHOOSE({1,2},#REF!&amp;#REF!,#REF!),2,0)</f>
        <v>#N/A</v>
      </c>
      <c r="M1936">
        <v>-15</v>
      </c>
      <c r="N1936">
        <v>0</v>
      </c>
      <c r="O1936" t="s">
        <v>7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1</v>
      </c>
      <c r="Y1936">
        <v>0</v>
      </c>
      <c r="Z1936">
        <v>0</v>
      </c>
      <c r="AA1936" t="s">
        <v>5816</v>
      </c>
      <c r="AB1936" t="s">
        <v>1513</v>
      </c>
      <c r="AC1936" t="s">
        <v>5816</v>
      </c>
      <c r="AD1936" t="e">
        <f>VLOOKUP(AB1936,#REF!,2,FALSE)</f>
        <v>#REF!</v>
      </c>
      <c r="AE1936" t="e">
        <f>RIGHT(#REF!,(FIND("Complex",#REF!,1)-8))</f>
        <v>#REF!</v>
      </c>
    </row>
    <row r="1937" spans="1:31" x14ac:dyDescent="0.25">
      <c r="A1937">
        <v>1288</v>
      </c>
      <c r="B1937" t="s">
        <v>21</v>
      </c>
      <c r="C1937">
        <v>64</v>
      </c>
      <c r="D1937">
        <v>391</v>
      </c>
      <c r="E1937">
        <v>1288</v>
      </c>
      <c r="F1937">
        <v>617401</v>
      </c>
      <c r="G1937">
        <v>705600</v>
      </c>
      <c r="H1937">
        <f t="shared" si="60"/>
        <v>14.000022675736961</v>
      </c>
      <c r="I1937">
        <f t="shared" si="61"/>
        <v>16</v>
      </c>
      <c r="J1937" t="s">
        <v>22</v>
      </c>
      <c r="K1937">
        <v>3</v>
      </c>
      <c r="L1937" t="e">
        <f t="array" ref="L1937">VLOOKUP(J1937:$J$3871&amp;K1937:$K$3871,CHOOSE({1,2},#REF!&amp;#REF!,#REF!),2,0)</f>
        <v>#N/A</v>
      </c>
      <c r="M1937">
        <v>-15</v>
      </c>
      <c r="N1937">
        <v>0</v>
      </c>
      <c r="O1937" t="s">
        <v>7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1</v>
      </c>
      <c r="Y1937">
        <v>0</v>
      </c>
      <c r="Z1937">
        <v>0</v>
      </c>
      <c r="AA1937" t="s">
        <v>5939</v>
      </c>
      <c r="AB1937" t="s">
        <v>1514</v>
      </c>
      <c r="AC1937" t="s">
        <v>5939</v>
      </c>
      <c r="AD1937" t="e">
        <f>VLOOKUP(AB1937,#REF!,2,FALSE)</f>
        <v>#REF!</v>
      </c>
      <c r="AE1937" t="e">
        <f>RIGHT(#REF!,(FIND("Complex",#REF!,1)-10))</f>
        <v>#REF!</v>
      </c>
    </row>
    <row r="1938" spans="1:31" x14ac:dyDescent="0.25">
      <c r="A1938">
        <v>488</v>
      </c>
      <c r="B1938" t="s">
        <v>259</v>
      </c>
      <c r="C1938">
        <v>66</v>
      </c>
      <c r="D1938">
        <v>157</v>
      </c>
      <c r="E1938">
        <v>488</v>
      </c>
      <c r="F1938">
        <v>3528001</v>
      </c>
      <c r="G1938">
        <v>3616200</v>
      </c>
      <c r="H1938">
        <f t="shared" si="60"/>
        <v>80.000022675736957</v>
      </c>
      <c r="I1938">
        <f t="shared" si="61"/>
        <v>82</v>
      </c>
      <c r="J1938" t="s">
        <v>22</v>
      </c>
      <c r="K1938">
        <v>3</v>
      </c>
      <c r="L1938" t="e">
        <f t="array" ref="L1938">VLOOKUP(J1938:$J$3871&amp;K1938:$K$3871,CHOOSE({1,2},#REF!&amp;#REF!,#REF!),2,0)</f>
        <v>#N/A</v>
      </c>
      <c r="M1938">
        <v>-15</v>
      </c>
      <c r="N1938">
        <v>0</v>
      </c>
      <c r="O1938" t="s">
        <v>7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1</v>
      </c>
      <c r="Y1938">
        <v>0</v>
      </c>
      <c r="Z1938">
        <v>0</v>
      </c>
      <c r="AA1938" t="s">
        <v>4977</v>
      </c>
      <c r="AB1938" t="s">
        <v>7205</v>
      </c>
      <c r="AC1938" t="s">
        <v>4977</v>
      </c>
      <c r="AD1938" t="e">
        <f>VLOOKUP(AB1938,#REF!,2,FALSE)</f>
        <v>#REF!</v>
      </c>
      <c r="AE1938" t="e">
        <f>RIGHT(#REF!,(FIND("Complex",#REF!,1)-9))</f>
        <v>#REF!</v>
      </c>
    </row>
    <row r="1939" spans="1:31" x14ac:dyDescent="0.25">
      <c r="A1939">
        <v>122</v>
      </c>
      <c r="B1939" t="s">
        <v>259</v>
      </c>
      <c r="C1939">
        <v>66</v>
      </c>
      <c r="D1939">
        <v>35</v>
      </c>
      <c r="E1939">
        <v>122</v>
      </c>
      <c r="F1939">
        <v>1764001</v>
      </c>
      <c r="G1939">
        <v>1852200</v>
      </c>
      <c r="H1939">
        <f t="shared" si="60"/>
        <v>40.000022675736965</v>
      </c>
      <c r="I1939">
        <f t="shared" si="61"/>
        <v>42</v>
      </c>
      <c r="J1939" t="s">
        <v>22</v>
      </c>
      <c r="K1939">
        <v>3</v>
      </c>
      <c r="L1939" t="e">
        <f t="array" ref="L1939">VLOOKUP(J1939:$J$3871&amp;K1939:$K$3871,CHOOSE({1,2},#REF!&amp;#REF!,#REF!),2,0)</f>
        <v>#N/A</v>
      </c>
      <c r="M1939">
        <v>-15</v>
      </c>
      <c r="N1939">
        <v>0</v>
      </c>
      <c r="O1939" t="s">
        <v>7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1</v>
      </c>
      <c r="Y1939">
        <v>0</v>
      </c>
      <c r="Z1939">
        <v>0</v>
      </c>
      <c r="AA1939" t="s">
        <v>5256</v>
      </c>
      <c r="AB1939" t="s">
        <v>7341</v>
      </c>
      <c r="AC1939" t="s">
        <v>5256</v>
      </c>
      <c r="AD1939" t="e">
        <f>VLOOKUP(AB1939,#REF!,2,FALSE)</f>
        <v>#REF!</v>
      </c>
      <c r="AE1939" t="e">
        <f>RIGHT(#REF!,(FIND("Complex",#REF!,1)-9))</f>
        <v>#REF!</v>
      </c>
    </row>
    <row r="1940" spans="1:31" x14ac:dyDescent="0.25">
      <c r="A1940">
        <v>2522</v>
      </c>
      <c r="B1940" t="s">
        <v>259</v>
      </c>
      <c r="C1940">
        <v>66</v>
      </c>
      <c r="D1940">
        <v>821</v>
      </c>
      <c r="E1940">
        <v>2522</v>
      </c>
      <c r="F1940">
        <v>5292001</v>
      </c>
      <c r="G1940">
        <v>5380200</v>
      </c>
      <c r="H1940">
        <f t="shared" si="60"/>
        <v>120.00002267573696</v>
      </c>
      <c r="I1940">
        <f t="shared" si="61"/>
        <v>122</v>
      </c>
      <c r="J1940" t="s">
        <v>22</v>
      </c>
      <c r="K1940">
        <v>3</v>
      </c>
      <c r="L1940" t="e">
        <f t="array" ref="L1940">VLOOKUP(J1940:$J$3871&amp;K1940:$K$3871,CHOOSE({1,2},#REF!&amp;#REF!,#REF!),2,0)</f>
        <v>#N/A</v>
      </c>
      <c r="M1940">
        <v>-15</v>
      </c>
      <c r="N1940">
        <v>0</v>
      </c>
      <c r="O1940" t="s">
        <v>7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1</v>
      </c>
      <c r="Y1940">
        <v>0</v>
      </c>
      <c r="Z1940">
        <v>0</v>
      </c>
      <c r="AA1940" t="s">
        <v>6018</v>
      </c>
      <c r="AB1940" t="s">
        <v>7806</v>
      </c>
      <c r="AC1940" t="s">
        <v>6018</v>
      </c>
      <c r="AD1940" t="e">
        <f>VLOOKUP(AB1940,#REF!,2,FALSE)</f>
        <v>#REF!</v>
      </c>
      <c r="AE1940" t="e">
        <f>RIGHT(#REF!,(FIND("Complex",#REF!,1)-9))</f>
        <v>#REF!</v>
      </c>
    </row>
    <row r="1941" spans="1:31" x14ac:dyDescent="0.25">
      <c r="A1941">
        <v>229</v>
      </c>
      <c r="B1941" t="s">
        <v>42</v>
      </c>
      <c r="C1941">
        <v>71</v>
      </c>
      <c r="D1941">
        <v>69</v>
      </c>
      <c r="E1941">
        <v>229</v>
      </c>
      <c r="F1941">
        <v>705601</v>
      </c>
      <c r="G1941">
        <v>793800</v>
      </c>
      <c r="H1941">
        <f t="shared" si="60"/>
        <v>16.000022675736961</v>
      </c>
      <c r="I1941">
        <f t="shared" si="61"/>
        <v>18</v>
      </c>
      <c r="J1941" t="s">
        <v>22</v>
      </c>
      <c r="K1941">
        <v>3</v>
      </c>
      <c r="L1941" t="e">
        <f t="array" ref="L1941">VLOOKUP(J1941:$J$3871&amp;K1941:$K$3871,CHOOSE({1,2},#REF!&amp;#REF!,#REF!),2,0)</f>
        <v>#N/A</v>
      </c>
      <c r="M1941">
        <v>-15</v>
      </c>
      <c r="N1941">
        <v>0</v>
      </c>
      <c r="O1941" t="s">
        <v>7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1</v>
      </c>
      <c r="Y1941">
        <v>0</v>
      </c>
      <c r="Z1941">
        <v>0</v>
      </c>
      <c r="AA1941" t="s">
        <v>5814</v>
      </c>
      <c r="AB1941" t="s">
        <v>1559</v>
      </c>
      <c r="AC1941" t="s">
        <v>5814</v>
      </c>
      <c r="AD1941" t="e">
        <f>VLOOKUP(AB1941,#REF!,2,FALSE)</f>
        <v>#REF!</v>
      </c>
      <c r="AE1941" t="e">
        <f>RIGHT(#REF!,(FIND("Complex",#REF!,1)-9))</f>
        <v>#REF!</v>
      </c>
    </row>
    <row r="1942" spans="1:31" x14ac:dyDescent="0.25">
      <c r="A1942">
        <v>252</v>
      </c>
      <c r="B1942" t="s">
        <v>59</v>
      </c>
      <c r="C1942">
        <v>75</v>
      </c>
      <c r="D1942">
        <v>73</v>
      </c>
      <c r="E1942">
        <v>252</v>
      </c>
      <c r="F1942">
        <v>1</v>
      </c>
      <c r="G1942">
        <v>88200</v>
      </c>
      <c r="H1942">
        <f t="shared" si="60"/>
        <v>2.2675736961451248E-5</v>
      </c>
      <c r="I1942">
        <f t="shared" si="61"/>
        <v>2</v>
      </c>
      <c r="J1942" t="s">
        <v>22</v>
      </c>
      <c r="K1942">
        <v>3</v>
      </c>
      <c r="L1942" t="e">
        <f t="array" ref="L1942">VLOOKUP(J1942:$J$3871&amp;K1942:$K$3871,CHOOSE({1,2},#REF!&amp;#REF!,#REF!),2,0)</f>
        <v>#N/A</v>
      </c>
      <c r="M1942">
        <v>-15</v>
      </c>
      <c r="N1942">
        <v>0</v>
      </c>
      <c r="O1942" t="s">
        <v>7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1</v>
      </c>
      <c r="Y1942">
        <v>0</v>
      </c>
      <c r="Z1942">
        <v>0</v>
      </c>
      <c r="AA1942" t="s">
        <v>6145</v>
      </c>
      <c r="AB1942" t="s">
        <v>1583</v>
      </c>
      <c r="AC1942" t="s">
        <v>6145</v>
      </c>
      <c r="AD1942" t="e">
        <f>VLOOKUP(AB1942,#REF!,2,FALSE)</f>
        <v>#REF!</v>
      </c>
      <c r="AE1942" t="e">
        <f>RIGHT(#REF!,(FIND("Complex",#REF!,1)-10))</f>
        <v>#REF!</v>
      </c>
    </row>
    <row r="1943" spans="1:31" x14ac:dyDescent="0.25">
      <c r="A1943">
        <v>39</v>
      </c>
      <c r="B1943" t="s">
        <v>80</v>
      </c>
      <c r="C1943">
        <v>76</v>
      </c>
      <c r="D1943">
        <v>11</v>
      </c>
      <c r="E1943">
        <v>39</v>
      </c>
      <c r="F1943">
        <v>88201</v>
      </c>
      <c r="G1943">
        <v>176400</v>
      </c>
      <c r="H1943">
        <f t="shared" si="60"/>
        <v>2.0000226757369615</v>
      </c>
      <c r="I1943">
        <f t="shared" si="61"/>
        <v>4</v>
      </c>
      <c r="J1943" t="s">
        <v>22</v>
      </c>
      <c r="K1943">
        <v>3</v>
      </c>
      <c r="L1943" t="e">
        <f t="array" ref="L1943">VLOOKUP(J1943:$J$3871&amp;K1943:$K$3871,CHOOSE({1,2},#REF!&amp;#REF!,#REF!),2,0)</f>
        <v>#N/A</v>
      </c>
      <c r="M1943">
        <v>-15</v>
      </c>
      <c r="N1943">
        <v>0</v>
      </c>
      <c r="O1943" t="s">
        <v>7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1</v>
      </c>
      <c r="Y1943">
        <v>0</v>
      </c>
      <c r="Z1943">
        <v>0</v>
      </c>
      <c r="AA1943" t="s">
        <v>5652</v>
      </c>
      <c r="AB1943" t="s">
        <v>1593</v>
      </c>
      <c r="AC1943" t="s">
        <v>5652</v>
      </c>
      <c r="AD1943" t="e">
        <f>VLOOKUP(AB1943,#REF!,2,FALSE)</f>
        <v>#REF!</v>
      </c>
      <c r="AE1943" t="e">
        <f>RIGHT(#REF!,(FIND("Complex",#REF!,1)-9))</f>
        <v>#REF!</v>
      </c>
    </row>
    <row r="1944" spans="1:31" x14ac:dyDescent="0.25">
      <c r="A1944">
        <v>124</v>
      </c>
      <c r="B1944" t="s">
        <v>80</v>
      </c>
      <c r="C1944">
        <v>76</v>
      </c>
      <c r="D1944">
        <v>37</v>
      </c>
      <c r="E1944">
        <v>124</v>
      </c>
      <c r="F1944">
        <v>529201</v>
      </c>
      <c r="G1944">
        <v>617400</v>
      </c>
      <c r="H1944">
        <f t="shared" si="60"/>
        <v>12.000022675736961</v>
      </c>
      <c r="I1944">
        <f t="shared" si="61"/>
        <v>14</v>
      </c>
      <c r="J1944" t="s">
        <v>22</v>
      </c>
      <c r="K1944">
        <v>3</v>
      </c>
      <c r="L1944" t="e">
        <f t="array" ref="L1944">VLOOKUP(J1944:$J$3871&amp;K1944:$K$3871,CHOOSE({1,2},#REF!&amp;#REF!,#REF!),2,0)</f>
        <v>#N/A</v>
      </c>
      <c r="M1944">
        <v>-15</v>
      </c>
      <c r="N1944">
        <v>0</v>
      </c>
      <c r="O1944" t="s">
        <v>7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1</v>
      </c>
      <c r="Y1944">
        <v>0</v>
      </c>
      <c r="Z1944">
        <v>0</v>
      </c>
      <c r="AA1944" t="s">
        <v>6030</v>
      </c>
      <c r="AB1944" t="s">
        <v>1594</v>
      </c>
      <c r="AC1944" t="s">
        <v>6030</v>
      </c>
      <c r="AD1944" t="e">
        <f>VLOOKUP(AB1944,#REF!,2,FALSE)</f>
        <v>#REF!</v>
      </c>
      <c r="AE1944" t="e">
        <f>RIGHT(#REF!,(FIND("Complex",#REF!,1)-9))</f>
        <v>#REF!</v>
      </c>
    </row>
    <row r="1945" spans="1:31" x14ac:dyDescent="0.25">
      <c r="A1945">
        <v>643</v>
      </c>
      <c r="B1945" t="s">
        <v>56</v>
      </c>
      <c r="C1945">
        <v>78</v>
      </c>
      <c r="D1945">
        <v>201</v>
      </c>
      <c r="E1945">
        <v>643</v>
      </c>
      <c r="F1945">
        <v>441001</v>
      </c>
      <c r="G1945">
        <v>529200</v>
      </c>
      <c r="H1945">
        <f t="shared" si="60"/>
        <v>10.000022675736961</v>
      </c>
      <c r="I1945">
        <f t="shared" si="61"/>
        <v>12</v>
      </c>
      <c r="J1945" t="s">
        <v>22</v>
      </c>
      <c r="K1945">
        <v>3</v>
      </c>
      <c r="L1945" t="e">
        <f t="array" ref="L1945">VLOOKUP(J1945:$J$3871&amp;K1945:$K$3871,CHOOSE({1,2},#REF!&amp;#REF!,#REF!),2,0)</f>
        <v>#N/A</v>
      </c>
      <c r="M1945">
        <v>-15</v>
      </c>
      <c r="N1945">
        <v>0</v>
      </c>
      <c r="O1945" t="s">
        <v>7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1</v>
      </c>
      <c r="Y1945">
        <v>0</v>
      </c>
      <c r="Z1945">
        <v>0</v>
      </c>
      <c r="AA1945" t="s">
        <v>6135</v>
      </c>
      <c r="AB1945" t="s">
        <v>1610</v>
      </c>
      <c r="AC1945" t="s">
        <v>6135</v>
      </c>
      <c r="AD1945" t="e">
        <f>VLOOKUP(AB1945,#REF!,2,FALSE)</f>
        <v>#REF!</v>
      </c>
      <c r="AE1945" t="e">
        <f>RIGHT(#REF!,(FIND("Complex",#REF!,1)-9))</f>
        <v>#REF!</v>
      </c>
    </row>
    <row r="1946" spans="1:31" x14ac:dyDescent="0.25">
      <c r="A1946">
        <v>987</v>
      </c>
      <c r="B1946" t="s">
        <v>41</v>
      </c>
      <c r="C1946">
        <v>79</v>
      </c>
      <c r="D1946">
        <v>297</v>
      </c>
      <c r="E1946">
        <v>987</v>
      </c>
      <c r="F1946">
        <v>264601</v>
      </c>
      <c r="G1946">
        <v>352800</v>
      </c>
      <c r="H1946">
        <f t="shared" si="60"/>
        <v>6.000022675736961</v>
      </c>
      <c r="I1946">
        <f t="shared" si="61"/>
        <v>8</v>
      </c>
      <c r="J1946" t="s">
        <v>22</v>
      </c>
      <c r="K1946">
        <v>3</v>
      </c>
      <c r="L1946" t="e">
        <f t="array" ref="L1946">VLOOKUP(J1946:$J$3871&amp;K1946:$K$3871,CHOOSE({1,2},#REF!&amp;#REF!,#REF!),2,0)</f>
        <v>#N/A</v>
      </c>
      <c r="M1946">
        <v>-15</v>
      </c>
      <c r="N1946">
        <v>0</v>
      </c>
      <c r="O1946" t="s">
        <v>7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1</v>
      </c>
      <c r="Y1946">
        <v>0</v>
      </c>
      <c r="Z1946">
        <v>0</v>
      </c>
      <c r="AA1946" t="s">
        <v>5128</v>
      </c>
      <c r="AB1946" t="s">
        <v>1614</v>
      </c>
      <c r="AC1946" t="s">
        <v>5128</v>
      </c>
      <c r="AD1946" t="e">
        <f>VLOOKUP(AB1946,#REF!,2,FALSE)</f>
        <v>#REF!</v>
      </c>
      <c r="AE1946" t="e">
        <f>RIGHT(#REF!,(FIND("Complex",#REF!,1)-10))</f>
        <v>#REF!</v>
      </c>
    </row>
    <row r="1947" spans="1:31" x14ac:dyDescent="0.25">
      <c r="A1947">
        <v>126</v>
      </c>
      <c r="B1947" t="s">
        <v>41</v>
      </c>
      <c r="C1947">
        <v>79</v>
      </c>
      <c r="D1947">
        <v>39</v>
      </c>
      <c r="E1947">
        <v>126</v>
      </c>
      <c r="F1947">
        <v>1146601</v>
      </c>
      <c r="G1947">
        <v>1234800</v>
      </c>
      <c r="H1947">
        <f t="shared" si="60"/>
        <v>26.000022675736961</v>
      </c>
      <c r="I1947">
        <f t="shared" si="61"/>
        <v>28</v>
      </c>
      <c r="J1947" t="s">
        <v>22</v>
      </c>
      <c r="K1947">
        <v>3</v>
      </c>
      <c r="L1947" t="e">
        <f t="array" ref="L1947">VLOOKUP(J1947:$J$3871&amp;K1947:$K$3871,CHOOSE({1,2},#REF!&amp;#REF!,#REF!),2,0)</f>
        <v>#N/A</v>
      </c>
      <c r="M1947">
        <v>-15</v>
      </c>
      <c r="N1947">
        <v>0</v>
      </c>
      <c r="O1947" t="s">
        <v>7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1</v>
      </c>
      <c r="Y1947">
        <v>0</v>
      </c>
      <c r="Z1947">
        <v>0</v>
      </c>
      <c r="AA1947" t="s">
        <v>5462</v>
      </c>
      <c r="AB1947" t="s">
        <v>1615</v>
      </c>
      <c r="AC1947" t="s">
        <v>5462</v>
      </c>
      <c r="AD1947" t="e">
        <f>VLOOKUP(AB1947,#REF!,2,FALSE)</f>
        <v>#REF!</v>
      </c>
      <c r="AE1947" t="e">
        <f>RIGHT(#REF!,(FIND("Complex",#REF!,1)-9))</f>
        <v>#REF!</v>
      </c>
    </row>
    <row r="1948" spans="1:31" x14ac:dyDescent="0.25">
      <c r="A1948">
        <v>1173</v>
      </c>
      <c r="B1948" t="s">
        <v>41</v>
      </c>
      <c r="C1948">
        <v>79</v>
      </c>
      <c r="D1948">
        <v>354</v>
      </c>
      <c r="E1948">
        <v>1173</v>
      </c>
      <c r="F1948">
        <v>1058401</v>
      </c>
      <c r="G1948">
        <v>1146600</v>
      </c>
      <c r="H1948">
        <f t="shared" si="60"/>
        <v>24.000022675736961</v>
      </c>
      <c r="I1948">
        <f t="shared" si="61"/>
        <v>26</v>
      </c>
      <c r="J1948" t="s">
        <v>22</v>
      </c>
      <c r="K1948">
        <v>3</v>
      </c>
      <c r="L1948" t="e">
        <f t="array" ref="L1948">VLOOKUP(J1948:$J$3871&amp;K1948:$K$3871,CHOOSE({1,2},#REF!&amp;#REF!,#REF!),2,0)</f>
        <v>#N/A</v>
      </c>
      <c r="M1948">
        <v>-15</v>
      </c>
      <c r="N1948">
        <v>0</v>
      </c>
      <c r="O1948" t="s">
        <v>7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1</v>
      </c>
      <c r="Y1948">
        <v>0</v>
      </c>
      <c r="Z1948">
        <v>0</v>
      </c>
      <c r="AA1948" t="s">
        <v>5522</v>
      </c>
      <c r="AB1948" t="s">
        <v>1616</v>
      </c>
      <c r="AC1948" t="s">
        <v>5522</v>
      </c>
      <c r="AD1948" t="e">
        <f>VLOOKUP(AB1948,#REF!,2,FALSE)</f>
        <v>#REF!</v>
      </c>
      <c r="AE1948" t="e">
        <f>RIGHT(#REF!,(FIND("Complex",#REF!,1)-10))</f>
        <v>#REF!</v>
      </c>
    </row>
    <row r="1949" spans="1:31" x14ac:dyDescent="0.25">
      <c r="A1949">
        <v>1476</v>
      </c>
      <c r="B1949" t="s">
        <v>41</v>
      </c>
      <c r="C1949">
        <v>79</v>
      </c>
      <c r="D1949">
        <v>447</v>
      </c>
      <c r="E1949">
        <v>1476</v>
      </c>
      <c r="F1949">
        <v>970201</v>
      </c>
      <c r="G1949">
        <v>1058400</v>
      </c>
      <c r="H1949">
        <f t="shared" si="60"/>
        <v>22.000022675736961</v>
      </c>
      <c r="I1949">
        <f t="shared" si="61"/>
        <v>24</v>
      </c>
      <c r="J1949" t="s">
        <v>22</v>
      </c>
      <c r="K1949">
        <v>3</v>
      </c>
      <c r="L1949" t="e">
        <f t="array" ref="L1949">VLOOKUP(J1949:$J$3871&amp;K1949:$K$3871,CHOOSE({1,2},#REF!&amp;#REF!,#REF!),2,0)</f>
        <v>#N/A</v>
      </c>
      <c r="M1949">
        <v>-15</v>
      </c>
      <c r="N1949">
        <v>0</v>
      </c>
      <c r="O1949" t="s">
        <v>7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1</v>
      </c>
      <c r="Y1949">
        <v>0</v>
      </c>
      <c r="Z1949">
        <v>0</v>
      </c>
      <c r="AA1949" t="s">
        <v>5577</v>
      </c>
      <c r="AB1949" t="s">
        <v>1617</v>
      </c>
      <c r="AC1949" t="s">
        <v>5577</v>
      </c>
      <c r="AD1949" t="e">
        <f>VLOOKUP(AB1949,#REF!,2,FALSE)</f>
        <v>#REF!</v>
      </c>
      <c r="AE1949" t="e">
        <f>RIGHT(#REF!,(FIND("Complex",#REF!,1)-10))</f>
        <v>#REF!</v>
      </c>
    </row>
    <row r="1950" spans="1:31" x14ac:dyDescent="0.25">
      <c r="A1950">
        <v>672</v>
      </c>
      <c r="B1950" t="s">
        <v>41</v>
      </c>
      <c r="C1950">
        <v>79</v>
      </c>
      <c r="D1950">
        <v>209</v>
      </c>
      <c r="E1950">
        <v>672</v>
      </c>
      <c r="F1950">
        <v>793801</v>
      </c>
      <c r="G1950">
        <v>882000</v>
      </c>
      <c r="H1950">
        <f t="shared" si="60"/>
        <v>18.000022675736961</v>
      </c>
      <c r="I1950">
        <f t="shared" si="61"/>
        <v>20</v>
      </c>
      <c r="J1950" t="s">
        <v>22</v>
      </c>
      <c r="K1950">
        <v>3</v>
      </c>
      <c r="L1950" t="e">
        <f t="array" ref="L1950">VLOOKUP(J1950:$J$3871&amp;K1950:$K$3871,CHOOSE({1,2},#REF!&amp;#REF!,#REF!),2,0)</f>
        <v>#N/A</v>
      </c>
      <c r="M1950">
        <v>-15</v>
      </c>
      <c r="N1950">
        <v>0</v>
      </c>
      <c r="O1950" t="s">
        <v>7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1</v>
      </c>
      <c r="Y1950">
        <v>0</v>
      </c>
      <c r="Z1950">
        <v>0</v>
      </c>
      <c r="AA1950" t="s">
        <v>5709</v>
      </c>
      <c r="AB1950" t="s">
        <v>1618</v>
      </c>
      <c r="AC1950" t="s">
        <v>5709</v>
      </c>
      <c r="AD1950" t="e">
        <f>VLOOKUP(AB1950,#REF!,2,FALSE)</f>
        <v>#REF!</v>
      </c>
      <c r="AE1950" t="e">
        <f>RIGHT(#REF!,(FIND("Complex",#REF!,1)-9))</f>
        <v>#REF!</v>
      </c>
    </row>
    <row r="1951" spans="1:31" x14ac:dyDescent="0.25">
      <c r="A1951">
        <v>1582</v>
      </c>
      <c r="B1951" t="s">
        <v>41</v>
      </c>
      <c r="C1951">
        <v>79</v>
      </c>
      <c r="D1951">
        <v>481</v>
      </c>
      <c r="E1951">
        <v>1582</v>
      </c>
      <c r="F1951">
        <v>705601</v>
      </c>
      <c r="G1951">
        <v>793800</v>
      </c>
      <c r="H1951">
        <f t="shared" si="60"/>
        <v>16.000022675736961</v>
      </c>
      <c r="I1951">
        <f t="shared" si="61"/>
        <v>18</v>
      </c>
      <c r="J1951" t="s">
        <v>22</v>
      </c>
      <c r="K1951">
        <v>3</v>
      </c>
      <c r="L1951" t="e">
        <f t="array" ref="L1951">VLOOKUP(J1951:$J$3871&amp;K1951:$K$3871,CHOOSE({1,2},#REF!&amp;#REF!,#REF!),2,0)</f>
        <v>#N/A</v>
      </c>
      <c r="M1951">
        <v>-15</v>
      </c>
      <c r="N1951">
        <v>0</v>
      </c>
      <c r="O1951" t="s">
        <v>7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1</v>
      </c>
      <c r="Y1951">
        <v>0</v>
      </c>
      <c r="Z1951">
        <v>0</v>
      </c>
      <c r="AA1951" t="s">
        <v>5813</v>
      </c>
      <c r="AB1951" t="s">
        <v>1619</v>
      </c>
      <c r="AC1951" t="s">
        <v>5813</v>
      </c>
      <c r="AD1951" t="e">
        <f>VLOOKUP(AB1951,#REF!,2,FALSE)</f>
        <v>#REF!</v>
      </c>
      <c r="AE1951" t="e">
        <f>RIGHT(#REF!,(FIND("Complex",#REF!,1)-10))</f>
        <v>#REF!</v>
      </c>
    </row>
    <row r="1952" spans="1:31" x14ac:dyDescent="0.25">
      <c r="A1952">
        <v>315</v>
      </c>
      <c r="B1952" t="s">
        <v>41</v>
      </c>
      <c r="C1952">
        <v>79</v>
      </c>
      <c r="D1952">
        <v>97</v>
      </c>
      <c r="E1952">
        <v>315</v>
      </c>
      <c r="F1952">
        <v>441001</v>
      </c>
      <c r="G1952">
        <v>529200</v>
      </c>
      <c r="H1952">
        <f t="shared" si="60"/>
        <v>10.000022675736961</v>
      </c>
      <c r="I1952">
        <f t="shared" si="61"/>
        <v>12</v>
      </c>
      <c r="J1952" t="s">
        <v>22</v>
      </c>
      <c r="K1952">
        <v>3</v>
      </c>
      <c r="L1952" t="e">
        <f t="array" ref="L1952">VLOOKUP(J1952:$J$3871&amp;K1952:$K$3871,CHOOSE({1,2},#REF!&amp;#REF!,#REF!),2,0)</f>
        <v>#N/A</v>
      </c>
      <c r="M1952">
        <v>-15</v>
      </c>
      <c r="N1952">
        <v>0</v>
      </c>
      <c r="O1952" t="s">
        <v>7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1</v>
      </c>
      <c r="Y1952">
        <v>0</v>
      </c>
      <c r="Z1952">
        <v>0</v>
      </c>
      <c r="AA1952" t="s">
        <v>6134</v>
      </c>
      <c r="AB1952" t="s">
        <v>1620</v>
      </c>
      <c r="AC1952" t="s">
        <v>6134</v>
      </c>
      <c r="AD1952" t="e">
        <f>VLOOKUP(AB1952,#REF!,2,FALSE)</f>
        <v>#REF!</v>
      </c>
      <c r="AE1952" t="e">
        <f>RIGHT(#REF!,(FIND("Complex",#REF!,1)-9))</f>
        <v>#REF!</v>
      </c>
    </row>
    <row r="1953" spans="1:31" x14ac:dyDescent="0.25">
      <c r="A1953">
        <v>60</v>
      </c>
      <c r="B1953" t="s">
        <v>41</v>
      </c>
      <c r="C1953">
        <v>79</v>
      </c>
      <c r="D1953">
        <v>18</v>
      </c>
      <c r="E1953">
        <v>60</v>
      </c>
      <c r="F1953">
        <v>1</v>
      </c>
      <c r="G1953">
        <v>88200</v>
      </c>
      <c r="H1953">
        <f t="shared" si="60"/>
        <v>2.2675736961451248E-5</v>
      </c>
      <c r="I1953">
        <f t="shared" si="61"/>
        <v>2</v>
      </c>
      <c r="J1953" t="s">
        <v>22</v>
      </c>
      <c r="K1953">
        <v>3</v>
      </c>
      <c r="L1953" t="e">
        <f t="array" ref="L1953">VLOOKUP(J1953:$J$3871&amp;K1953:$K$3871,CHOOSE({1,2},#REF!&amp;#REF!,#REF!),2,0)</f>
        <v>#N/A</v>
      </c>
      <c r="M1953">
        <v>-15</v>
      </c>
      <c r="N1953">
        <v>0</v>
      </c>
      <c r="O1953" t="s">
        <v>7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1</v>
      </c>
      <c r="Y1953">
        <v>0</v>
      </c>
      <c r="Z1953">
        <v>0</v>
      </c>
      <c r="AA1953" t="s">
        <v>6144</v>
      </c>
      <c r="AB1953" t="s">
        <v>1621</v>
      </c>
      <c r="AC1953" t="s">
        <v>6144</v>
      </c>
      <c r="AD1953" t="e">
        <f>VLOOKUP(AB1953,#REF!,2,FALSE)</f>
        <v>#REF!</v>
      </c>
      <c r="AE1953" t="e">
        <f>RIGHT(#REF!,(FIND("Complex",#REF!,1)-9))</f>
        <v>#REF!</v>
      </c>
    </row>
    <row r="1954" spans="1:31" x14ac:dyDescent="0.25">
      <c r="A1954">
        <v>216</v>
      </c>
      <c r="B1954" t="s">
        <v>84</v>
      </c>
      <c r="C1954">
        <v>80</v>
      </c>
      <c r="D1954">
        <v>67</v>
      </c>
      <c r="E1954">
        <v>216</v>
      </c>
      <c r="F1954">
        <v>1411201</v>
      </c>
      <c r="G1954">
        <v>1499400</v>
      </c>
      <c r="H1954">
        <f t="shared" si="60"/>
        <v>32.000022675736965</v>
      </c>
      <c r="I1954">
        <f t="shared" si="61"/>
        <v>34</v>
      </c>
      <c r="J1954" t="s">
        <v>22</v>
      </c>
      <c r="K1954">
        <v>3</v>
      </c>
      <c r="L1954" t="e">
        <f t="array" ref="L1954">VLOOKUP(J1954:$J$3871&amp;K1954:$K$3871,CHOOSE({1,2},#REF!&amp;#REF!,#REF!),2,0)</f>
        <v>#N/A</v>
      </c>
      <c r="M1954">
        <v>-15</v>
      </c>
      <c r="N1954">
        <v>0</v>
      </c>
      <c r="O1954" t="s">
        <v>7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1</v>
      </c>
      <c r="Y1954">
        <v>0</v>
      </c>
      <c r="Z1954">
        <v>0</v>
      </c>
      <c r="AA1954" t="s">
        <v>5359</v>
      </c>
      <c r="AB1954" t="s">
        <v>1628</v>
      </c>
      <c r="AC1954" t="s">
        <v>5359</v>
      </c>
      <c r="AD1954" t="e">
        <f>VLOOKUP(AB1954,#REF!,2,FALSE)</f>
        <v>#REF!</v>
      </c>
      <c r="AE1954" t="e">
        <f>RIGHT(#REF!,(FIND("Complex",#REF!,1)-9))</f>
        <v>#REF!</v>
      </c>
    </row>
    <row r="1955" spans="1:31" x14ac:dyDescent="0.25">
      <c r="A1955">
        <v>451</v>
      </c>
      <c r="B1955" t="s">
        <v>84</v>
      </c>
      <c r="C1955">
        <v>80</v>
      </c>
      <c r="D1955">
        <v>141</v>
      </c>
      <c r="E1955">
        <v>451</v>
      </c>
      <c r="F1955">
        <v>1058401</v>
      </c>
      <c r="G1955">
        <v>1146600</v>
      </c>
      <c r="H1955">
        <f t="shared" si="60"/>
        <v>24.000022675736961</v>
      </c>
      <c r="I1955">
        <f t="shared" si="61"/>
        <v>26</v>
      </c>
      <c r="J1955" t="s">
        <v>22</v>
      </c>
      <c r="K1955">
        <v>3</v>
      </c>
      <c r="L1955" t="e">
        <f t="array" ref="L1955">VLOOKUP(J1955:$J$3871&amp;K1955:$K$3871,CHOOSE({1,2},#REF!&amp;#REF!,#REF!),2,0)</f>
        <v>#N/A</v>
      </c>
      <c r="M1955">
        <v>-15</v>
      </c>
      <c r="N1955">
        <v>0</v>
      </c>
      <c r="O1955" t="s">
        <v>7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1</v>
      </c>
      <c r="Y1955">
        <v>0</v>
      </c>
      <c r="Z1955">
        <v>0</v>
      </c>
      <c r="AA1955" t="s">
        <v>5521</v>
      </c>
      <c r="AB1955" t="s">
        <v>1629</v>
      </c>
      <c r="AC1955" t="s">
        <v>5521</v>
      </c>
      <c r="AD1955" t="e">
        <f>VLOOKUP(AB1955,#REF!,2,FALSE)</f>
        <v>#REF!</v>
      </c>
      <c r="AE1955" t="e">
        <f>RIGHT(#REF!,(FIND("Complex",#REF!,1)-9))</f>
        <v>#REF!</v>
      </c>
    </row>
    <row r="1956" spans="1:31" x14ac:dyDescent="0.25">
      <c r="A1956">
        <v>1434</v>
      </c>
      <c r="B1956" t="s">
        <v>84</v>
      </c>
      <c r="C1956">
        <v>80</v>
      </c>
      <c r="D1956">
        <v>434</v>
      </c>
      <c r="E1956">
        <v>1434</v>
      </c>
      <c r="F1956">
        <v>882001</v>
      </c>
      <c r="G1956">
        <v>970200</v>
      </c>
      <c r="H1956">
        <f t="shared" si="60"/>
        <v>20.000022675736961</v>
      </c>
      <c r="I1956">
        <f t="shared" si="61"/>
        <v>22</v>
      </c>
      <c r="J1956" t="s">
        <v>22</v>
      </c>
      <c r="K1956">
        <v>3</v>
      </c>
      <c r="L1956" t="e">
        <f t="array" ref="L1956">VLOOKUP(J1956:$J$3871&amp;K1956:$K$3871,CHOOSE({1,2},#REF!&amp;#REF!,#REF!),2,0)</f>
        <v>#N/A</v>
      </c>
      <c r="M1956">
        <v>-15</v>
      </c>
      <c r="N1956">
        <v>0</v>
      </c>
      <c r="O1956" t="s">
        <v>7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1</v>
      </c>
      <c r="Y1956">
        <v>0</v>
      </c>
      <c r="Z1956">
        <v>0</v>
      </c>
      <c r="AA1956" t="s">
        <v>5639</v>
      </c>
      <c r="AB1956" t="s">
        <v>1630</v>
      </c>
      <c r="AC1956" t="s">
        <v>5639</v>
      </c>
      <c r="AD1956" t="e">
        <f>VLOOKUP(AB1956,#REF!,2,FALSE)</f>
        <v>#REF!</v>
      </c>
      <c r="AE1956" t="e">
        <f>RIGHT(#REF!,(FIND("Complex",#REF!,1)-10))</f>
        <v>#REF!</v>
      </c>
    </row>
    <row r="1957" spans="1:31" x14ac:dyDescent="0.25">
      <c r="A1957">
        <v>40</v>
      </c>
      <c r="B1957" t="s">
        <v>84</v>
      </c>
      <c r="C1957">
        <v>80</v>
      </c>
      <c r="D1957">
        <v>12</v>
      </c>
      <c r="E1957">
        <v>40</v>
      </c>
      <c r="F1957">
        <v>88201</v>
      </c>
      <c r="G1957">
        <v>176400</v>
      </c>
      <c r="H1957">
        <f t="shared" si="60"/>
        <v>2.0000226757369615</v>
      </c>
      <c r="I1957">
        <f t="shared" si="61"/>
        <v>4</v>
      </c>
      <c r="J1957" t="s">
        <v>22</v>
      </c>
      <c r="K1957">
        <v>3</v>
      </c>
      <c r="L1957" t="e">
        <f t="array" ref="L1957">VLOOKUP(J1957:$J$3871&amp;K1957:$K$3871,CHOOSE({1,2},#REF!&amp;#REF!,#REF!),2,0)</f>
        <v>#N/A</v>
      </c>
      <c r="M1957">
        <v>-15</v>
      </c>
      <c r="N1957">
        <v>0</v>
      </c>
      <c r="O1957" t="s">
        <v>7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1</v>
      </c>
      <c r="Y1957">
        <v>0</v>
      </c>
      <c r="Z1957">
        <v>0</v>
      </c>
      <c r="AA1957" t="s">
        <v>5650</v>
      </c>
      <c r="AB1957" t="s">
        <v>1631</v>
      </c>
      <c r="AC1957" t="s">
        <v>5650</v>
      </c>
      <c r="AD1957" t="e">
        <f>VLOOKUP(AB1957,#REF!,2,FALSE)</f>
        <v>#REF!</v>
      </c>
      <c r="AE1957" t="e">
        <f>RIGHT(#REF!,(FIND("Complex",#REF!,1)-9))</f>
        <v>#REF!</v>
      </c>
    </row>
    <row r="1958" spans="1:31" x14ac:dyDescent="0.25">
      <c r="A1958">
        <v>1043</v>
      </c>
      <c r="B1958" t="s">
        <v>84</v>
      </c>
      <c r="C1958">
        <v>80</v>
      </c>
      <c r="D1958">
        <v>313</v>
      </c>
      <c r="E1958">
        <v>1043</v>
      </c>
      <c r="F1958">
        <v>705601</v>
      </c>
      <c r="G1958">
        <v>793800</v>
      </c>
      <c r="H1958">
        <f t="shared" si="60"/>
        <v>16.000022675736961</v>
      </c>
      <c r="I1958">
        <f t="shared" si="61"/>
        <v>18</v>
      </c>
      <c r="J1958" t="s">
        <v>22</v>
      </c>
      <c r="K1958">
        <v>3</v>
      </c>
      <c r="L1958" t="e">
        <f t="array" ref="L1958">VLOOKUP(J1958:$J$3871&amp;K1958:$K$3871,CHOOSE({1,2},#REF!&amp;#REF!,#REF!),2,0)</f>
        <v>#N/A</v>
      </c>
      <c r="M1958">
        <v>-15</v>
      </c>
      <c r="N1958">
        <v>0</v>
      </c>
      <c r="O1958" t="s">
        <v>7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0</v>
      </c>
      <c r="AA1958" t="s">
        <v>5812</v>
      </c>
      <c r="AB1958" t="s">
        <v>1632</v>
      </c>
      <c r="AC1958" t="s">
        <v>5812</v>
      </c>
      <c r="AD1958" t="e">
        <f>VLOOKUP(AB1958,#REF!,2,FALSE)</f>
        <v>#REF!</v>
      </c>
      <c r="AE1958" t="e">
        <f>RIGHT(#REF!,(FIND("Complex",#REF!,1)-10))</f>
        <v>#REF!</v>
      </c>
    </row>
    <row r="1959" spans="1:31" x14ac:dyDescent="0.25">
      <c r="A1959">
        <v>609</v>
      </c>
      <c r="B1959" t="s">
        <v>84</v>
      </c>
      <c r="C1959">
        <v>80</v>
      </c>
      <c r="D1959">
        <v>195</v>
      </c>
      <c r="E1959">
        <v>609</v>
      </c>
      <c r="F1959">
        <v>529201</v>
      </c>
      <c r="G1959">
        <v>617400</v>
      </c>
      <c r="H1959">
        <f t="shared" si="60"/>
        <v>12.000022675736961</v>
      </c>
      <c r="I1959">
        <f t="shared" si="61"/>
        <v>14</v>
      </c>
      <c r="J1959" t="s">
        <v>22</v>
      </c>
      <c r="K1959">
        <v>3</v>
      </c>
      <c r="L1959" t="e">
        <f t="array" ref="L1959">VLOOKUP(J1959:$J$3871&amp;K1959:$K$3871,CHOOSE({1,2},#REF!&amp;#REF!,#REF!),2,0)</f>
        <v>#N/A</v>
      </c>
      <c r="M1959">
        <v>-15</v>
      </c>
      <c r="N1959">
        <v>0</v>
      </c>
      <c r="O1959" t="s">
        <v>7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1</v>
      </c>
      <c r="Y1959">
        <v>0</v>
      </c>
      <c r="Z1959">
        <v>0</v>
      </c>
      <c r="AA1959" t="s">
        <v>6028</v>
      </c>
      <c r="AB1959" t="s">
        <v>1633</v>
      </c>
      <c r="AC1959" t="s">
        <v>6028</v>
      </c>
      <c r="AD1959" t="e">
        <f>VLOOKUP(AB1959,#REF!,2,FALSE)</f>
        <v>#REF!</v>
      </c>
      <c r="AE1959" t="e">
        <f>RIGHT(#REF!,(FIND("Complex",#REF!,1)-9))</f>
        <v>#REF!</v>
      </c>
    </row>
    <row r="1960" spans="1:31" x14ac:dyDescent="0.25">
      <c r="A1960">
        <v>1580</v>
      </c>
      <c r="B1960" t="s">
        <v>84</v>
      </c>
      <c r="C1960">
        <v>80</v>
      </c>
      <c r="D1960">
        <v>480</v>
      </c>
      <c r="E1960">
        <v>1580</v>
      </c>
      <c r="F1960">
        <v>441001</v>
      </c>
      <c r="G1960">
        <v>529200</v>
      </c>
      <c r="H1960">
        <f t="shared" si="60"/>
        <v>10.000022675736961</v>
      </c>
      <c r="I1960">
        <f t="shared" si="61"/>
        <v>12</v>
      </c>
      <c r="J1960" t="s">
        <v>22</v>
      </c>
      <c r="K1960">
        <v>3</v>
      </c>
      <c r="L1960" t="e">
        <f t="array" ref="L1960">VLOOKUP(J1960:$J$3871&amp;K1960:$K$3871,CHOOSE({1,2},#REF!&amp;#REF!,#REF!),2,0)</f>
        <v>#N/A</v>
      </c>
      <c r="M1960">
        <v>-15</v>
      </c>
      <c r="N1960">
        <v>0</v>
      </c>
      <c r="O1960" t="s">
        <v>7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1</v>
      </c>
      <c r="Y1960">
        <v>0</v>
      </c>
      <c r="Z1960">
        <v>0</v>
      </c>
      <c r="AA1960" t="s">
        <v>6133</v>
      </c>
      <c r="AB1960" t="s">
        <v>1634</v>
      </c>
      <c r="AC1960" t="s">
        <v>6133</v>
      </c>
      <c r="AD1960" t="e">
        <f>VLOOKUP(AB1960,#REF!,2,FALSE)</f>
        <v>#REF!</v>
      </c>
      <c r="AE1960" t="e">
        <f>RIGHT(#REF!,(FIND("Complex",#REF!,1)-10))</f>
        <v>#REF!</v>
      </c>
    </row>
    <row r="1961" spans="1:31" x14ac:dyDescent="0.25">
      <c r="A1961">
        <v>410</v>
      </c>
      <c r="B1961" t="s">
        <v>93</v>
      </c>
      <c r="C1961">
        <v>82</v>
      </c>
      <c r="D1961">
        <v>130</v>
      </c>
      <c r="E1961">
        <v>410</v>
      </c>
      <c r="F1961">
        <v>264601</v>
      </c>
      <c r="G1961">
        <v>352800</v>
      </c>
      <c r="H1961">
        <f t="shared" si="60"/>
        <v>6.000022675736961</v>
      </c>
      <c r="I1961">
        <f t="shared" si="61"/>
        <v>8</v>
      </c>
      <c r="J1961" t="s">
        <v>22</v>
      </c>
      <c r="K1961">
        <v>3</v>
      </c>
      <c r="L1961" t="e">
        <f t="array" ref="L1961">VLOOKUP(J1961:$J$3871&amp;K1961:$K$3871,CHOOSE({1,2},#REF!&amp;#REF!,#REF!),2,0)</f>
        <v>#N/A</v>
      </c>
      <c r="M1961">
        <v>-15</v>
      </c>
      <c r="N1961">
        <v>0</v>
      </c>
      <c r="O1961" t="s">
        <v>7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1</v>
      </c>
      <c r="Y1961">
        <v>0</v>
      </c>
      <c r="Z1961">
        <v>0</v>
      </c>
      <c r="AA1961" t="s">
        <v>5125</v>
      </c>
      <c r="AB1961" t="s">
        <v>1662</v>
      </c>
      <c r="AC1961" t="s">
        <v>5125</v>
      </c>
      <c r="AD1961" t="e">
        <f>VLOOKUP(AB1961,#REF!,2,FALSE)</f>
        <v>#REF!</v>
      </c>
      <c r="AE1961" t="e">
        <f>RIGHT(#REF!,(FIND("Complex",#REF!,1)-10))</f>
        <v>#REF!</v>
      </c>
    </row>
    <row r="1962" spans="1:31" x14ac:dyDescent="0.25">
      <c r="A1962">
        <v>533</v>
      </c>
      <c r="B1962" t="s">
        <v>93</v>
      </c>
      <c r="C1962">
        <v>82</v>
      </c>
      <c r="D1962">
        <v>172</v>
      </c>
      <c r="E1962">
        <v>533</v>
      </c>
      <c r="F1962">
        <v>176401</v>
      </c>
      <c r="G1962">
        <v>264600</v>
      </c>
      <c r="H1962">
        <f t="shared" si="60"/>
        <v>4.000022675736961</v>
      </c>
      <c r="I1962">
        <f t="shared" si="61"/>
        <v>6</v>
      </c>
      <c r="J1962" t="s">
        <v>22</v>
      </c>
      <c r="K1962">
        <v>3</v>
      </c>
      <c r="L1962" t="e">
        <f t="array" ref="L1962">VLOOKUP(J1962:$J$3871&amp;K1962:$K$3871,CHOOSE({1,2},#REF!&amp;#REF!,#REF!),2,0)</f>
        <v>#N/A</v>
      </c>
      <c r="M1962">
        <v>-15</v>
      </c>
      <c r="N1962">
        <v>0</v>
      </c>
      <c r="O1962" t="s">
        <v>7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1</v>
      </c>
      <c r="Y1962">
        <v>0</v>
      </c>
      <c r="Z1962">
        <v>0</v>
      </c>
      <c r="AA1962" t="s">
        <v>5268</v>
      </c>
      <c r="AB1962" t="s">
        <v>1663</v>
      </c>
      <c r="AC1962" t="s">
        <v>5268</v>
      </c>
      <c r="AD1962" t="e">
        <f>VLOOKUP(AB1962,#REF!,2,FALSE)</f>
        <v>#REF!</v>
      </c>
      <c r="AE1962" t="e">
        <f>RIGHT(#REF!,(FIND("Complex",#REF!,1)-10))</f>
        <v>#REF!</v>
      </c>
    </row>
    <row r="1963" spans="1:31" x14ac:dyDescent="0.25">
      <c r="A1963">
        <v>1254</v>
      </c>
      <c r="B1963" t="s">
        <v>31</v>
      </c>
      <c r="C1963">
        <v>83</v>
      </c>
      <c r="D1963">
        <v>380</v>
      </c>
      <c r="E1963">
        <v>1254</v>
      </c>
      <c r="F1963">
        <v>3704401</v>
      </c>
      <c r="G1963">
        <v>3792600</v>
      </c>
      <c r="H1963">
        <f t="shared" si="60"/>
        <v>84.000022675736957</v>
      </c>
      <c r="I1963">
        <f t="shared" si="61"/>
        <v>86</v>
      </c>
      <c r="J1963" t="s">
        <v>22</v>
      </c>
      <c r="K1963">
        <v>3</v>
      </c>
      <c r="L1963" t="e">
        <f t="array" ref="L1963">VLOOKUP(J1963:$J$3871&amp;K1963:$K$3871,CHOOSE({1,2},#REF!&amp;#REF!,#REF!),2,0)</f>
        <v>#N/A</v>
      </c>
      <c r="M1963">
        <v>-15</v>
      </c>
      <c r="N1963">
        <v>0</v>
      </c>
      <c r="O1963" t="s">
        <v>7</v>
      </c>
      <c r="P1963">
        <v>1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 t="s">
        <v>4955</v>
      </c>
      <c r="AB1963" t="s">
        <v>7192</v>
      </c>
      <c r="AC1963" t="s">
        <v>4955</v>
      </c>
      <c r="AD1963" t="e">
        <f>VLOOKUP(AB1963,#REF!,2,FALSE)</f>
        <v>#REF!</v>
      </c>
      <c r="AE1963" t="e">
        <f>RIGHT(#REF!,(FIND("Complex",#REF!,1)-10))</f>
        <v>#REF!</v>
      </c>
    </row>
    <row r="1964" spans="1:31" x14ac:dyDescent="0.25">
      <c r="A1964">
        <v>2094</v>
      </c>
      <c r="B1964" t="s">
        <v>77</v>
      </c>
      <c r="C1964">
        <v>87</v>
      </c>
      <c r="D1964">
        <v>636</v>
      </c>
      <c r="E1964">
        <v>2094</v>
      </c>
      <c r="F1964">
        <v>3439801</v>
      </c>
      <c r="G1964">
        <v>3528000</v>
      </c>
      <c r="H1964">
        <f t="shared" si="60"/>
        <v>78.000022675736957</v>
      </c>
      <c r="I1964">
        <f t="shared" si="61"/>
        <v>80</v>
      </c>
      <c r="J1964" t="s">
        <v>22</v>
      </c>
      <c r="K1964">
        <v>3</v>
      </c>
      <c r="L1964" t="e">
        <f t="array" ref="L1964">VLOOKUP(J1964:$J$3871&amp;K1964:$K$3871,CHOOSE({1,2},#REF!&amp;#REF!,#REF!),2,0)</f>
        <v>#N/A</v>
      </c>
      <c r="M1964">
        <v>-15</v>
      </c>
      <c r="N1964">
        <v>0</v>
      </c>
      <c r="O1964" t="s">
        <v>7</v>
      </c>
      <c r="P1964">
        <v>1</v>
      </c>
      <c r="Q1964">
        <v>1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 t="s">
        <v>5003</v>
      </c>
      <c r="AB1964" t="s">
        <v>7219</v>
      </c>
      <c r="AC1964" t="s">
        <v>5003</v>
      </c>
      <c r="AD1964" t="e">
        <f>VLOOKUP(AB1964,#REF!,2,FALSE)</f>
        <v>#REF!</v>
      </c>
      <c r="AE1964" t="e">
        <f>RIGHT(#REF!,(FIND("Complex",#REF!,1)-10))</f>
        <v>#REF!</v>
      </c>
    </row>
    <row r="1965" spans="1:31" x14ac:dyDescent="0.25">
      <c r="A1965">
        <v>496</v>
      </c>
      <c r="B1965" t="s">
        <v>77</v>
      </c>
      <c r="C1965">
        <v>87</v>
      </c>
      <c r="D1965">
        <v>162</v>
      </c>
      <c r="E1965">
        <v>496</v>
      </c>
      <c r="F1965">
        <v>1675801</v>
      </c>
      <c r="G1965">
        <v>1764000</v>
      </c>
      <c r="H1965">
        <f t="shared" si="60"/>
        <v>38.000022675736965</v>
      </c>
      <c r="I1965">
        <f t="shared" si="61"/>
        <v>40</v>
      </c>
      <c r="J1965" t="s">
        <v>22</v>
      </c>
      <c r="K1965">
        <v>3</v>
      </c>
      <c r="L1965" t="e">
        <f t="array" ref="L1965">VLOOKUP(J1965:$J$3871&amp;K1965:$K$3871,CHOOSE({1,2},#REF!&amp;#REF!,#REF!),2,0)</f>
        <v>#N/A</v>
      </c>
      <c r="M1965">
        <v>-15</v>
      </c>
      <c r="N1965">
        <v>0</v>
      </c>
      <c r="O1965" t="s">
        <v>7</v>
      </c>
      <c r="P1965">
        <v>0</v>
      </c>
      <c r="Q1965">
        <v>1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 t="s">
        <v>5289</v>
      </c>
      <c r="AB1965" t="s">
        <v>7359</v>
      </c>
      <c r="AC1965" t="s">
        <v>5289</v>
      </c>
      <c r="AD1965" t="e">
        <f>VLOOKUP(AB1965,#REF!,2,FALSE)</f>
        <v>#REF!</v>
      </c>
      <c r="AE1965" t="e">
        <f>RIGHT(#REF!,(FIND("Complex",#REF!,1)-9))</f>
        <v>#REF!</v>
      </c>
    </row>
    <row r="1966" spans="1:31" x14ac:dyDescent="0.25">
      <c r="A1966">
        <v>1255</v>
      </c>
      <c r="B1966" t="s">
        <v>77</v>
      </c>
      <c r="C1966">
        <v>87</v>
      </c>
      <c r="D1966">
        <v>381</v>
      </c>
      <c r="E1966">
        <v>1255</v>
      </c>
      <c r="F1966">
        <v>8820001</v>
      </c>
      <c r="G1966">
        <v>8908200</v>
      </c>
      <c r="H1966">
        <f t="shared" si="60"/>
        <v>200.00002267573697</v>
      </c>
      <c r="I1966">
        <f t="shared" si="61"/>
        <v>202</v>
      </c>
      <c r="J1966" t="s">
        <v>22</v>
      </c>
      <c r="K1966">
        <v>3</v>
      </c>
      <c r="L1966" t="e">
        <f t="array" ref="L1966">VLOOKUP(J1966:$J$3871&amp;K1966:$K$3871,CHOOSE({1,2},#REF!&amp;#REF!,#REF!),2,0)</f>
        <v>#N/A</v>
      </c>
      <c r="M1966">
        <v>-15</v>
      </c>
      <c r="N1966">
        <v>0</v>
      </c>
      <c r="O1966" t="s">
        <v>7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1</v>
      </c>
      <c r="Z1966">
        <v>0</v>
      </c>
      <c r="AA1966" t="s">
        <v>5633</v>
      </c>
      <c r="AB1966" t="s">
        <v>7577</v>
      </c>
      <c r="AC1966" t="s">
        <v>5633</v>
      </c>
      <c r="AD1966" t="e">
        <f>VLOOKUP(AB1966,#REF!,2,FALSE)</f>
        <v>#REF!</v>
      </c>
      <c r="AE1966" t="e">
        <f>RIGHT(#REF!,(FIND("Complex",#REF!,1)-9))</f>
        <v>#REF!</v>
      </c>
    </row>
    <row r="1967" spans="1:31" x14ac:dyDescent="0.25">
      <c r="A1967">
        <v>2250</v>
      </c>
      <c r="B1967" t="s">
        <v>77</v>
      </c>
      <c r="C1967">
        <v>87</v>
      </c>
      <c r="D1967">
        <v>699</v>
      </c>
      <c r="E1967">
        <v>2250</v>
      </c>
      <c r="F1967">
        <v>7144201</v>
      </c>
      <c r="G1967">
        <v>7232400</v>
      </c>
      <c r="H1967">
        <f t="shared" si="60"/>
        <v>162.00002267573697</v>
      </c>
      <c r="I1967">
        <f t="shared" si="61"/>
        <v>164</v>
      </c>
      <c r="J1967" t="s">
        <v>22</v>
      </c>
      <c r="K1967">
        <v>3</v>
      </c>
      <c r="L1967" t="e">
        <f t="array" ref="L1967">VLOOKUP(J1967:$J$3871&amp;K1967:$K$3871,CHOOSE({1,2},#REF!&amp;#REF!,#REF!),2,0)</f>
        <v>#N/A</v>
      </c>
      <c r="M1967">
        <v>-15</v>
      </c>
      <c r="N1967">
        <v>0</v>
      </c>
      <c r="O1967" t="s">
        <v>7</v>
      </c>
      <c r="P1967">
        <v>0</v>
      </c>
      <c r="Q1967">
        <v>1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 t="s">
        <v>5786</v>
      </c>
      <c r="AB1967" t="s">
        <v>7672</v>
      </c>
      <c r="AC1967" t="s">
        <v>5786</v>
      </c>
      <c r="AD1967" t="e">
        <f>VLOOKUP(AB1967,#REF!,2,FALSE)</f>
        <v>#REF!</v>
      </c>
      <c r="AE1967" t="e">
        <f>RIGHT(#REF!,(FIND("Complex",#REF!,1)-9))</f>
        <v>#REF!</v>
      </c>
    </row>
    <row r="1968" spans="1:31" x14ac:dyDescent="0.25">
      <c r="A1968">
        <v>2072</v>
      </c>
      <c r="B1968" t="s">
        <v>77</v>
      </c>
      <c r="C1968">
        <v>87</v>
      </c>
      <c r="D1968">
        <v>630</v>
      </c>
      <c r="E1968">
        <v>2072</v>
      </c>
      <c r="F1968">
        <v>6703201</v>
      </c>
      <c r="G1968">
        <v>6791400</v>
      </c>
      <c r="H1968">
        <f t="shared" si="60"/>
        <v>152.00002267573697</v>
      </c>
      <c r="I1968">
        <f t="shared" si="61"/>
        <v>154</v>
      </c>
      <c r="J1968" t="s">
        <v>22</v>
      </c>
      <c r="K1968">
        <v>3</v>
      </c>
      <c r="L1968" t="e">
        <f t="array" ref="L1968">VLOOKUP(J1968:$J$3871&amp;K1968:$K$3871,CHOOSE({1,2},#REF!&amp;#REF!,#REF!),2,0)</f>
        <v>#N/A</v>
      </c>
      <c r="M1968">
        <v>-15</v>
      </c>
      <c r="N1968">
        <v>0</v>
      </c>
      <c r="O1968" t="s">
        <v>7</v>
      </c>
      <c r="P1968">
        <v>0</v>
      </c>
      <c r="Q1968">
        <v>1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 t="s">
        <v>5866</v>
      </c>
      <c r="AB1968" t="s">
        <v>7719</v>
      </c>
      <c r="AC1968" t="s">
        <v>5866</v>
      </c>
      <c r="AD1968" t="e">
        <f>VLOOKUP(AB1968,#REF!,2,FALSE)</f>
        <v>#REF!</v>
      </c>
      <c r="AE1968" t="e">
        <f>RIGHT(#REF!,(FIND("Complex",#REF!,1)-9))</f>
        <v>#REF!</v>
      </c>
    </row>
    <row r="1969" spans="1:31" x14ac:dyDescent="0.25">
      <c r="A1969">
        <v>2294</v>
      </c>
      <c r="B1969" t="s">
        <v>7880</v>
      </c>
      <c r="C1969">
        <v>88</v>
      </c>
      <c r="D1969">
        <v>718</v>
      </c>
      <c r="E1969">
        <v>2294</v>
      </c>
      <c r="F1969">
        <v>4233601</v>
      </c>
      <c r="G1969">
        <v>4321800</v>
      </c>
      <c r="H1969">
        <f t="shared" si="60"/>
        <v>96.000022675736957</v>
      </c>
      <c r="I1969">
        <f t="shared" si="61"/>
        <v>98</v>
      </c>
      <c r="J1969" t="s">
        <v>22</v>
      </c>
      <c r="K1969">
        <v>3</v>
      </c>
      <c r="L1969" t="e">
        <f t="array" ref="L1969">VLOOKUP(J1969:$J$3871&amp;K1969:$K$3871,CHOOSE({1,2},#REF!&amp;#REF!,#REF!),2,0)</f>
        <v>#N/A</v>
      </c>
      <c r="M1969">
        <v>-15</v>
      </c>
      <c r="N1969">
        <v>0</v>
      </c>
      <c r="O1969" t="s">
        <v>7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 t="s">
        <v>4893</v>
      </c>
      <c r="AB1969" t="s">
        <v>7156</v>
      </c>
      <c r="AC1969" t="s">
        <v>4893</v>
      </c>
      <c r="AD1969" t="e">
        <f>VLOOKUP(AB1969,#REF!,2,FALSE)</f>
        <v>#REF!</v>
      </c>
      <c r="AE1969" t="e">
        <f>RIGHT(#REF!,(FIND("Complex",#REF!,1)-10))</f>
        <v>#REF!</v>
      </c>
    </row>
    <row r="1970" spans="1:31" x14ac:dyDescent="0.25">
      <c r="A1970">
        <v>1627</v>
      </c>
      <c r="B1970" t="s">
        <v>7880</v>
      </c>
      <c r="C1970">
        <v>88</v>
      </c>
      <c r="D1970">
        <v>493</v>
      </c>
      <c r="E1970">
        <v>1627</v>
      </c>
      <c r="F1970">
        <v>4057201</v>
      </c>
      <c r="G1970">
        <v>4145400</v>
      </c>
      <c r="H1970">
        <f t="shared" si="60"/>
        <v>92.000022675736957</v>
      </c>
      <c r="I1970">
        <f t="shared" si="61"/>
        <v>94</v>
      </c>
      <c r="J1970" t="s">
        <v>22</v>
      </c>
      <c r="K1970">
        <v>3</v>
      </c>
      <c r="L1970" t="e">
        <f t="array" ref="L1970">VLOOKUP(J1970:$J$3871&amp;K1970:$K$3871,CHOOSE({1,2},#REF!&amp;#REF!,#REF!),2,0)</f>
        <v>#N/A</v>
      </c>
      <c r="M1970">
        <v>-15</v>
      </c>
      <c r="N1970">
        <v>0</v>
      </c>
      <c r="O1970" t="s">
        <v>7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 t="s">
        <v>4912</v>
      </c>
      <c r="AB1970" t="s">
        <v>7168</v>
      </c>
      <c r="AC1970" t="s">
        <v>4912</v>
      </c>
      <c r="AD1970" t="e">
        <f>VLOOKUP(AB1970,#REF!,2,FALSE)</f>
        <v>#REF!</v>
      </c>
      <c r="AE1970" t="e">
        <f>RIGHT(#REF!,(FIND("Complex",#REF!,1)-10))</f>
        <v>#REF!</v>
      </c>
    </row>
    <row r="1971" spans="1:31" x14ac:dyDescent="0.25">
      <c r="A1971">
        <v>2630</v>
      </c>
      <c r="B1971" t="s">
        <v>7880</v>
      </c>
      <c r="C1971">
        <v>88</v>
      </c>
      <c r="D1971">
        <v>868</v>
      </c>
      <c r="E1971">
        <v>2630</v>
      </c>
      <c r="F1971">
        <v>3969001</v>
      </c>
      <c r="G1971">
        <v>4057200</v>
      </c>
      <c r="H1971">
        <f t="shared" si="60"/>
        <v>90.000022675736957</v>
      </c>
      <c r="I1971">
        <f t="shared" si="61"/>
        <v>92</v>
      </c>
      <c r="J1971" t="s">
        <v>22</v>
      </c>
      <c r="K1971">
        <v>3</v>
      </c>
      <c r="L1971" t="e">
        <f t="array" ref="L1971">VLOOKUP(J1971:$J$3871&amp;K1971:$K$3871,CHOOSE({1,2},#REF!&amp;#REF!,#REF!),2,0)</f>
        <v>#N/A</v>
      </c>
      <c r="M1971">
        <v>-15</v>
      </c>
      <c r="N1971">
        <v>0</v>
      </c>
      <c r="O1971" t="s">
        <v>7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 t="s">
        <v>4926</v>
      </c>
      <c r="AB1971" t="s">
        <v>7177</v>
      </c>
      <c r="AC1971" t="s">
        <v>4926</v>
      </c>
      <c r="AD1971" t="e">
        <f>VLOOKUP(AB1971,#REF!,2,FALSE)</f>
        <v>#REF!</v>
      </c>
      <c r="AE1971" t="e">
        <f>RIGHT(#REF!,(FIND("Complex",#REF!,1)-10))</f>
        <v>#REF!</v>
      </c>
    </row>
    <row r="1972" spans="1:31" x14ac:dyDescent="0.25">
      <c r="A1972">
        <v>2865</v>
      </c>
      <c r="B1972" t="s">
        <v>7880</v>
      </c>
      <c r="C1972">
        <v>88</v>
      </c>
      <c r="D1972">
        <v>941</v>
      </c>
      <c r="E1972">
        <v>2865</v>
      </c>
      <c r="F1972">
        <v>3704401</v>
      </c>
      <c r="G1972">
        <v>3792600</v>
      </c>
      <c r="H1972">
        <f t="shared" si="60"/>
        <v>84.000022675736957</v>
      </c>
      <c r="I1972">
        <f t="shared" si="61"/>
        <v>86</v>
      </c>
      <c r="J1972" t="s">
        <v>22</v>
      </c>
      <c r="K1972">
        <v>3</v>
      </c>
      <c r="L1972" t="e">
        <f t="array" ref="L1972">VLOOKUP(J1972:$J$3871&amp;K1972:$K$3871,CHOOSE({1,2},#REF!&amp;#REF!,#REF!),2,0)</f>
        <v>#N/A</v>
      </c>
      <c r="M1972">
        <v>-15</v>
      </c>
      <c r="N1972">
        <v>0</v>
      </c>
      <c r="O1972" t="s">
        <v>7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 t="s">
        <v>4954</v>
      </c>
      <c r="AB1972" t="s">
        <v>7191</v>
      </c>
      <c r="AC1972" t="s">
        <v>4954</v>
      </c>
      <c r="AD1972" t="e">
        <f>VLOOKUP(AB1972,#REF!,2,FALSE)</f>
        <v>#REF!</v>
      </c>
      <c r="AE1972" t="e">
        <f>RIGHT(#REF!,(FIND("Complex",#REF!,1)-10))</f>
        <v>#REF!</v>
      </c>
    </row>
    <row r="1973" spans="1:31" x14ac:dyDescent="0.25">
      <c r="A1973">
        <v>2566</v>
      </c>
      <c r="B1973" t="s">
        <v>7880</v>
      </c>
      <c r="C1973">
        <v>88</v>
      </c>
      <c r="D1973">
        <v>834</v>
      </c>
      <c r="E1973">
        <v>2566</v>
      </c>
      <c r="F1973">
        <v>3528001</v>
      </c>
      <c r="G1973">
        <v>3616200</v>
      </c>
      <c r="H1973">
        <f t="shared" si="60"/>
        <v>80.000022675736957</v>
      </c>
      <c r="I1973">
        <f t="shared" si="61"/>
        <v>82</v>
      </c>
      <c r="J1973" t="s">
        <v>22</v>
      </c>
      <c r="K1973">
        <v>3</v>
      </c>
      <c r="L1973" t="e">
        <f t="array" ref="L1973">VLOOKUP(J1973:$J$3871&amp;K1973:$K$3871,CHOOSE({1,2},#REF!&amp;#REF!,#REF!),2,0)</f>
        <v>#N/A</v>
      </c>
      <c r="M1973">
        <v>-15</v>
      </c>
      <c r="N1973">
        <v>0</v>
      </c>
      <c r="O1973" t="s">
        <v>7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 t="s">
        <v>4974</v>
      </c>
      <c r="AB1973" t="s">
        <v>7203</v>
      </c>
      <c r="AC1973" t="s">
        <v>4974</v>
      </c>
      <c r="AD1973" t="e">
        <f>VLOOKUP(AB1973,#REF!,2,FALSE)</f>
        <v>#REF!</v>
      </c>
      <c r="AE1973" t="e">
        <f>RIGHT(#REF!,(FIND("Complex",#REF!,1)-10))</f>
        <v>#REF!</v>
      </c>
    </row>
    <row r="1974" spans="1:31" x14ac:dyDescent="0.25">
      <c r="A1974">
        <v>1293</v>
      </c>
      <c r="B1974" t="s">
        <v>7880</v>
      </c>
      <c r="C1974">
        <v>88</v>
      </c>
      <c r="D1974">
        <v>395</v>
      </c>
      <c r="E1974">
        <v>1293</v>
      </c>
      <c r="F1974">
        <v>352801</v>
      </c>
      <c r="G1974">
        <v>441000</v>
      </c>
      <c r="H1974">
        <f t="shared" si="60"/>
        <v>8.000022675736961</v>
      </c>
      <c r="I1974">
        <f t="shared" si="61"/>
        <v>10</v>
      </c>
      <c r="J1974" t="s">
        <v>22</v>
      </c>
      <c r="K1974">
        <v>3</v>
      </c>
      <c r="L1974" t="e">
        <f t="array" ref="L1974">VLOOKUP(J1974:$J$3871&amp;K1974:$K$3871,CHOOSE({1,2},#REF!&amp;#REF!,#REF!),2,0)</f>
        <v>#N/A</v>
      </c>
      <c r="M1974">
        <v>-15</v>
      </c>
      <c r="N1974">
        <v>0</v>
      </c>
      <c r="O1974" t="s">
        <v>7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 t="s">
        <v>4987</v>
      </c>
      <c r="AB1974" t="s">
        <v>1794</v>
      </c>
      <c r="AC1974" t="s">
        <v>4987</v>
      </c>
      <c r="AD1974" t="e">
        <f>VLOOKUP(AB1974,#REF!,2,FALSE)</f>
        <v>#REF!</v>
      </c>
      <c r="AE1974" t="e">
        <f>RIGHT(#REF!,(FIND("Complex",#REF!,1)-11))</f>
        <v>#REF!</v>
      </c>
    </row>
    <row r="1975" spans="1:31" x14ac:dyDescent="0.25">
      <c r="A1975">
        <v>2066</v>
      </c>
      <c r="B1975" t="s">
        <v>7880</v>
      </c>
      <c r="C1975">
        <v>88</v>
      </c>
      <c r="D1975">
        <v>627</v>
      </c>
      <c r="E1975">
        <v>2066</v>
      </c>
      <c r="F1975">
        <v>3087001</v>
      </c>
      <c r="G1975">
        <v>3175200</v>
      </c>
      <c r="H1975">
        <f t="shared" si="60"/>
        <v>70.000022675736957</v>
      </c>
      <c r="I1975">
        <f t="shared" si="61"/>
        <v>72</v>
      </c>
      <c r="J1975" t="s">
        <v>22</v>
      </c>
      <c r="K1975">
        <v>3</v>
      </c>
      <c r="L1975" t="e">
        <f t="array" ref="L1975">VLOOKUP(J1975:$J$3871&amp;K1975:$K$3871,CHOOSE({1,2},#REF!&amp;#REF!,#REF!),2,0)</f>
        <v>#N/A</v>
      </c>
      <c r="M1975">
        <v>-15</v>
      </c>
      <c r="N1975">
        <v>0</v>
      </c>
      <c r="O1975" t="s">
        <v>7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 t="s">
        <v>5054</v>
      </c>
      <c r="AB1975" t="s">
        <v>7246</v>
      </c>
      <c r="AC1975" t="s">
        <v>5054</v>
      </c>
      <c r="AD1975" t="e">
        <f>VLOOKUP(AB1975,#REF!,2,FALSE)</f>
        <v>#REF!</v>
      </c>
      <c r="AE1975" t="e">
        <f>RIGHT(#REF!,(FIND("Complex",#REF!,1)-10))</f>
        <v>#REF!</v>
      </c>
    </row>
    <row r="1976" spans="1:31" x14ac:dyDescent="0.25">
      <c r="A1976">
        <v>784</v>
      </c>
      <c r="B1976" t="s">
        <v>7880</v>
      </c>
      <c r="C1976">
        <v>88</v>
      </c>
      <c r="D1976">
        <v>240</v>
      </c>
      <c r="E1976">
        <v>784</v>
      </c>
      <c r="F1976">
        <v>2822401</v>
      </c>
      <c r="G1976">
        <v>2910600</v>
      </c>
      <c r="H1976">
        <f t="shared" si="60"/>
        <v>64.000022675736957</v>
      </c>
      <c r="I1976">
        <f t="shared" si="61"/>
        <v>66</v>
      </c>
      <c r="J1976" t="s">
        <v>22</v>
      </c>
      <c r="K1976">
        <v>3</v>
      </c>
      <c r="L1976" t="e">
        <f t="array" ref="L1976">VLOOKUP(J1976:$J$3871&amp;K1976:$K$3871,CHOOSE({1,2},#REF!&amp;#REF!,#REF!),2,0)</f>
        <v>#N/A</v>
      </c>
      <c r="M1976">
        <v>-15</v>
      </c>
      <c r="N1976">
        <v>0</v>
      </c>
      <c r="O1976" t="s">
        <v>7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 t="s">
        <v>5085</v>
      </c>
      <c r="AB1976" t="s">
        <v>1795</v>
      </c>
      <c r="AC1976" t="s">
        <v>5085</v>
      </c>
      <c r="AD1976" t="e">
        <f>VLOOKUP(AB1976,#REF!,2,FALSE)</f>
        <v>#REF!</v>
      </c>
      <c r="AE1976" t="e">
        <f>RIGHT(#REF!,(FIND("Complex",#REF!,1)-9))</f>
        <v>#REF!</v>
      </c>
    </row>
    <row r="1977" spans="1:31" x14ac:dyDescent="0.25">
      <c r="A1977">
        <v>1183</v>
      </c>
      <c r="B1977" t="s">
        <v>7880</v>
      </c>
      <c r="C1977">
        <v>88</v>
      </c>
      <c r="D1977">
        <v>356</v>
      </c>
      <c r="E1977">
        <v>1183</v>
      </c>
      <c r="F1977">
        <v>2646001</v>
      </c>
      <c r="G1977">
        <v>2734200</v>
      </c>
      <c r="H1977">
        <f t="shared" si="60"/>
        <v>60.000022675736965</v>
      </c>
      <c r="I1977">
        <f t="shared" si="61"/>
        <v>62</v>
      </c>
      <c r="J1977" t="s">
        <v>22</v>
      </c>
      <c r="K1977">
        <v>3</v>
      </c>
      <c r="L1977" t="e">
        <f t="array" ref="L1977">VLOOKUP(J1977:$J$3871&amp;K1977:$K$3871,CHOOSE({1,2},#REF!&amp;#REF!,#REF!),2,0)</f>
        <v>#N/A</v>
      </c>
      <c r="M1977">
        <v>-15</v>
      </c>
      <c r="N1977">
        <v>0</v>
      </c>
      <c r="O1977" t="s">
        <v>7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 t="s">
        <v>5109</v>
      </c>
      <c r="AB1977" t="s">
        <v>7270</v>
      </c>
      <c r="AC1977" t="s">
        <v>5109</v>
      </c>
      <c r="AD1977" t="e">
        <f>VLOOKUP(AB1977,#REF!,2,FALSE)</f>
        <v>#REF!</v>
      </c>
      <c r="AE1977" t="e">
        <f>RIGHT(#REF!,(FIND("Complex",#REF!,1)-10))</f>
        <v>#REF!</v>
      </c>
    </row>
    <row r="1978" spans="1:31" x14ac:dyDescent="0.25">
      <c r="A1978">
        <v>449</v>
      </c>
      <c r="B1978" t="s">
        <v>7880</v>
      </c>
      <c r="C1978">
        <v>88</v>
      </c>
      <c r="D1978">
        <v>140</v>
      </c>
      <c r="E1978">
        <v>449</v>
      </c>
      <c r="F1978">
        <v>264601</v>
      </c>
      <c r="G1978">
        <v>352800</v>
      </c>
      <c r="H1978">
        <f t="shared" si="60"/>
        <v>6.000022675736961</v>
      </c>
      <c r="I1978">
        <f t="shared" si="61"/>
        <v>8</v>
      </c>
      <c r="J1978" t="s">
        <v>22</v>
      </c>
      <c r="K1978">
        <v>3</v>
      </c>
      <c r="L1978" t="e">
        <f t="array" ref="L1978">VLOOKUP(J1978:$J$3871&amp;K1978:$K$3871,CHOOSE({1,2},#REF!&amp;#REF!,#REF!),2,0)</f>
        <v>#N/A</v>
      </c>
      <c r="M1978">
        <v>-15</v>
      </c>
      <c r="N1978">
        <v>0</v>
      </c>
      <c r="O1978" t="s">
        <v>7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 t="s">
        <v>5123</v>
      </c>
      <c r="AB1978" t="s">
        <v>7279</v>
      </c>
      <c r="AC1978" t="s">
        <v>5123</v>
      </c>
      <c r="AD1978" t="e">
        <f>VLOOKUP(AB1978,#REF!,2,FALSE)</f>
        <v>#REF!</v>
      </c>
      <c r="AE1978" t="e">
        <f>RIGHT(#REF!,(FIND("Complex",#REF!,1)-10))</f>
        <v>#REF!</v>
      </c>
    </row>
    <row r="1979" spans="1:31" x14ac:dyDescent="0.25">
      <c r="A1979">
        <v>914</v>
      </c>
      <c r="B1979" t="s">
        <v>7880</v>
      </c>
      <c r="C1979">
        <v>88</v>
      </c>
      <c r="D1979">
        <v>278</v>
      </c>
      <c r="E1979">
        <v>914</v>
      </c>
      <c r="F1979">
        <v>2293201</v>
      </c>
      <c r="G1979">
        <v>2381400</v>
      </c>
      <c r="H1979">
        <f t="shared" si="60"/>
        <v>52.000022675736965</v>
      </c>
      <c r="I1979">
        <f t="shared" si="61"/>
        <v>54</v>
      </c>
      <c r="J1979" t="s">
        <v>22</v>
      </c>
      <c r="K1979">
        <v>3</v>
      </c>
      <c r="L1979" t="e">
        <f t="array" ref="L1979">VLOOKUP(J1979:$J$3871&amp;K1979:$K$3871,CHOOSE({1,2},#REF!&amp;#REF!,#REF!),2,0)</f>
        <v>#N/A</v>
      </c>
      <c r="M1979">
        <v>-15</v>
      </c>
      <c r="N1979">
        <v>0</v>
      </c>
      <c r="O1979" t="s">
        <v>7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 t="s">
        <v>5177</v>
      </c>
      <c r="AB1979" t="s">
        <v>7305</v>
      </c>
      <c r="AC1979" t="s">
        <v>5177</v>
      </c>
      <c r="AD1979" t="e">
        <f>VLOOKUP(AB1979,#REF!,2,FALSE)</f>
        <v>#REF!</v>
      </c>
      <c r="AE1979" t="e">
        <f>RIGHT(#REF!,(FIND("Complex",#REF!,1)-9))</f>
        <v>#REF!</v>
      </c>
    </row>
    <row r="1980" spans="1:31" x14ac:dyDescent="0.25">
      <c r="A1980">
        <v>2811</v>
      </c>
      <c r="B1980" t="s">
        <v>7880</v>
      </c>
      <c r="C1980">
        <v>88</v>
      </c>
      <c r="D1980">
        <v>924</v>
      </c>
      <c r="E1980">
        <v>2811</v>
      </c>
      <c r="F1980">
        <v>2205001</v>
      </c>
      <c r="G1980">
        <v>2293200</v>
      </c>
      <c r="H1980">
        <f t="shared" si="60"/>
        <v>50.000022675736965</v>
      </c>
      <c r="I1980">
        <f t="shared" si="61"/>
        <v>52</v>
      </c>
      <c r="J1980" t="s">
        <v>22</v>
      </c>
      <c r="K1980">
        <v>3</v>
      </c>
      <c r="L1980" t="e">
        <f t="array" ref="L1980">VLOOKUP(J1980:$J$3871&amp;K1980:$K$3871,CHOOSE({1,2},#REF!&amp;#REF!,#REF!),2,0)</f>
        <v>#N/A</v>
      </c>
      <c r="M1980">
        <v>-15</v>
      </c>
      <c r="N1980">
        <v>0</v>
      </c>
      <c r="O1980" t="s">
        <v>7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 t="s">
        <v>5190</v>
      </c>
      <c r="AB1980" t="s">
        <v>7309</v>
      </c>
      <c r="AC1980" t="s">
        <v>5190</v>
      </c>
      <c r="AD1980" t="e">
        <f>VLOOKUP(AB1980,#REF!,2,FALSE)</f>
        <v>#REF!</v>
      </c>
      <c r="AE1980" t="e">
        <f>RIGHT(#REF!,(FIND("Complex",#REF!,1)-10))</f>
        <v>#REF!</v>
      </c>
    </row>
    <row r="1981" spans="1:31" x14ac:dyDescent="0.25">
      <c r="A1981">
        <v>1068</v>
      </c>
      <c r="B1981" t="s">
        <v>7880</v>
      </c>
      <c r="C1981">
        <v>88</v>
      </c>
      <c r="D1981">
        <v>320</v>
      </c>
      <c r="E1981">
        <v>1068</v>
      </c>
      <c r="F1981">
        <v>2028601</v>
      </c>
      <c r="G1981">
        <v>2116800</v>
      </c>
      <c r="H1981">
        <f t="shared" si="60"/>
        <v>46.000022675736965</v>
      </c>
      <c r="I1981">
        <f t="shared" si="61"/>
        <v>48</v>
      </c>
      <c r="J1981" t="s">
        <v>22</v>
      </c>
      <c r="K1981">
        <v>3</v>
      </c>
      <c r="L1981" t="e">
        <f t="array" ref="L1981">VLOOKUP(J1981:$J$3871&amp;K1981:$K$3871,CHOOSE({1,2},#REF!&amp;#REF!,#REF!),2,0)</f>
        <v>#N/A</v>
      </c>
      <c r="M1981">
        <v>-15</v>
      </c>
      <c r="N1981">
        <v>0</v>
      </c>
      <c r="O1981" t="s">
        <v>7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 t="s">
        <v>5215</v>
      </c>
      <c r="AB1981" t="s">
        <v>7321</v>
      </c>
      <c r="AC1981" t="s">
        <v>5215</v>
      </c>
      <c r="AD1981" t="e">
        <f>VLOOKUP(AB1981,#REF!,2,FALSE)</f>
        <v>#REF!</v>
      </c>
      <c r="AE1981" t="e">
        <f>RIGHT(#REF!,(FIND("Complex",#REF!,1)-10))</f>
        <v>#REF!</v>
      </c>
    </row>
    <row r="1982" spans="1:31" x14ac:dyDescent="0.25">
      <c r="A1982">
        <v>1778</v>
      </c>
      <c r="B1982" t="s">
        <v>7880</v>
      </c>
      <c r="C1982">
        <v>88</v>
      </c>
      <c r="D1982">
        <v>535</v>
      </c>
      <c r="E1982">
        <v>1778</v>
      </c>
      <c r="F1982">
        <v>1852201</v>
      </c>
      <c r="G1982">
        <v>1940400</v>
      </c>
      <c r="H1982">
        <f t="shared" si="60"/>
        <v>42.000022675736965</v>
      </c>
      <c r="I1982">
        <f t="shared" si="61"/>
        <v>44</v>
      </c>
      <c r="J1982" t="s">
        <v>22</v>
      </c>
      <c r="K1982">
        <v>3</v>
      </c>
      <c r="L1982" t="e">
        <f t="array" ref="L1982">VLOOKUP(J1982:$J$3871&amp;K1982:$K$3871,CHOOSE({1,2},#REF!&amp;#REF!,#REF!),2,0)</f>
        <v>#N/A</v>
      </c>
      <c r="M1982">
        <v>-15</v>
      </c>
      <c r="N1982">
        <v>0</v>
      </c>
      <c r="O1982" t="s">
        <v>7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 t="s">
        <v>5240</v>
      </c>
      <c r="AB1982" t="s">
        <v>7331</v>
      </c>
      <c r="AC1982" t="s">
        <v>5240</v>
      </c>
      <c r="AD1982" t="e">
        <f>VLOOKUP(AB1982,#REF!,2,FALSE)</f>
        <v>#REF!</v>
      </c>
      <c r="AE1982" t="e">
        <f>RIGHT(#REF!,(FIND("Complex",#REF!,1)-10))</f>
        <v>#REF!</v>
      </c>
    </row>
    <row r="1983" spans="1:31" x14ac:dyDescent="0.25">
      <c r="A1983">
        <v>2206</v>
      </c>
      <c r="B1983" t="s">
        <v>7880</v>
      </c>
      <c r="C1983">
        <v>88</v>
      </c>
      <c r="D1983">
        <v>683</v>
      </c>
      <c r="E1983">
        <v>2206</v>
      </c>
      <c r="F1983">
        <v>176401</v>
      </c>
      <c r="G1983">
        <v>264600</v>
      </c>
      <c r="H1983">
        <f t="shared" si="60"/>
        <v>4.000022675736961</v>
      </c>
      <c r="I1983">
        <f t="shared" si="61"/>
        <v>6</v>
      </c>
      <c r="J1983" t="s">
        <v>22</v>
      </c>
      <c r="K1983">
        <v>3</v>
      </c>
      <c r="L1983" t="e">
        <f t="array" ref="L1983">VLOOKUP(J1983:$J$3871&amp;K1983:$K$3871,CHOOSE({1,2},#REF!&amp;#REF!,#REF!),2,0)</f>
        <v>#N/A</v>
      </c>
      <c r="M1983">
        <v>-15</v>
      </c>
      <c r="N1983">
        <v>0</v>
      </c>
      <c r="O1983" t="s">
        <v>7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 t="s">
        <v>5267</v>
      </c>
      <c r="AB1983" t="s">
        <v>7348</v>
      </c>
      <c r="AC1983" t="s">
        <v>5267</v>
      </c>
      <c r="AD1983" t="e">
        <f>VLOOKUP(AB1983,#REF!,2,FALSE)</f>
        <v>#REF!</v>
      </c>
      <c r="AE1983" t="e">
        <f>RIGHT(#REF!,(FIND("Complex",#REF!,1)-11))</f>
        <v>#REF!</v>
      </c>
    </row>
    <row r="1984" spans="1:31" x14ac:dyDescent="0.25">
      <c r="A1984">
        <v>2761</v>
      </c>
      <c r="B1984" t="s">
        <v>7880</v>
      </c>
      <c r="C1984">
        <v>88</v>
      </c>
      <c r="D1984">
        <v>912</v>
      </c>
      <c r="E1984">
        <v>2761</v>
      </c>
      <c r="F1984">
        <v>1499401</v>
      </c>
      <c r="G1984">
        <v>1587600</v>
      </c>
      <c r="H1984">
        <f t="shared" si="60"/>
        <v>34.000022675736965</v>
      </c>
      <c r="I1984">
        <f t="shared" si="61"/>
        <v>36</v>
      </c>
      <c r="J1984" t="s">
        <v>22</v>
      </c>
      <c r="K1984">
        <v>3</v>
      </c>
      <c r="L1984" t="e">
        <f t="array" ref="L1984">VLOOKUP(J1984:$J$3871&amp;K1984:$K$3871,CHOOSE({1,2},#REF!&amp;#REF!,#REF!),2,0)</f>
        <v>#N/A</v>
      </c>
      <c r="M1984">
        <v>-15</v>
      </c>
      <c r="N1984">
        <v>0</v>
      </c>
      <c r="O1984" t="s">
        <v>7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 t="s">
        <v>5333</v>
      </c>
      <c r="AB1984" t="s">
        <v>7388</v>
      </c>
      <c r="AC1984" t="s">
        <v>5333</v>
      </c>
      <c r="AD1984" t="e">
        <f>VLOOKUP(AB1984,#REF!,2,FALSE)</f>
        <v>#REF!</v>
      </c>
      <c r="AE1984" t="e">
        <f>RIGHT(#REF!,(FIND("Complex",#REF!,1)-10))</f>
        <v>#REF!</v>
      </c>
    </row>
    <row r="1985" spans="1:31" x14ac:dyDescent="0.25">
      <c r="A1985">
        <v>2710</v>
      </c>
      <c r="B1985" t="s">
        <v>7880</v>
      </c>
      <c r="C1985">
        <v>88</v>
      </c>
      <c r="D1985">
        <v>899</v>
      </c>
      <c r="E1985">
        <v>2710</v>
      </c>
      <c r="F1985">
        <v>1411201</v>
      </c>
      <c r="G1985">
        <v>1499400</v>
      </c>
      <c r="H1985">
        <f t="shared" si="60"/>
        <v>32.000022675736965</v>
      </c>
      <c r="I1985">
        <f t="shared" si="61"/>
        <v>34</v>
      </c>
      <c r="J1985" t="s">
        <v>22</v>
      </c>
      <c r="K1985">
        <v>3</v>
      </c>
      <c r="L1985" t="e">
        <f t="array" ref="L1985">VLOOKUP(J1985:$J$3871&amp;K1985:$K$3871,CHOOSE({1,2},#REF!&amp;#REF!,#REF!),2,0)</f>
        <v>#N/A</v>
      </c>
      <c r="M1985">
        <v>-15</v>
      </c>
      <c r="N1985">
        <v>0</v>
      </c>
      <c r="O1985" t="s">
        <v>7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 t="s">
        <v>5358</v>
      </c>
      <c r="AB1985" t="s">
        <v>7397</v>
      </c>
      <c r="AC1985" t="s">
        <v>5358</v>
      </c>
      <c r="AD1985" t="e">
        <f>VLOOKUP(AB1985,#REF!,2,FALSE)</f>
        <v>#REF!</v>
      </c>
      <c r="AE1985" t="e">
        <f>RIGHT(#REF!,(FIND("Complex",#REF!,1)-10))</f>
        <v>#REF!</v>
      </c>
    </row>
    <row r="1986" spans="1:31" x14ac:dyDescent="0.25">
      <c r="A1986">
        <v>2346</v>
      </c>
      <c r="B1986" t="s">
        <v>7880</v>
      </c>
      <c r="C1986">
        <v>88</v>
      </c>
      <c r="D1986">
        <v>744</v>
      </c>
      <c r="E1986">
        <v>2346</v>
      </c>
      <c r="F1986">
        <v>1323001</v>
      </c>
      <c r="G1986">
        <v>1411200</v>
      </c>
      <c r="H1986">
        <f t="shared" ref="H1986:H2049" si="62">F1986/44100</f>
        <v>30.000022675736961</v>
      </c>
      <c r="I1986">
        <f t="shared" ref="I1986:I2049" si="63">G1986/44100</f>
        <v>32</v>
      </c>
      <c r="J1986" t="s">
        <v>22</v>
      </c>
      <c r="K1986">
        <v>3</v>
      </c>
      <c r="L1986" t="e">
        <f t="array" ref="L1986">VLOOKUP(J1986:$J$3871&amp;K1986:$K$3871,CHOOSE({1,2},#REF!&amp;#REF!,#REF!),2,0)</f>
        <v>#N/A</v>
      </c>
      <c r="M1986">
        <v>-15</v>
      </c>
      <c r="N1986">
        <v>0</v>
      </c>
      <c r="O1986" t="s">
        <v>7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 t="s">
        <v>5377</v>
      </c>
      <c r="AB1986" t="s">
        <v>7409</v>
      </c>
      <c r="AC1986" t="s">
        <v>5377</v>
      </c>
      <c r="AD1986" t="e">
        <f>VLOOKUP(AB1986,#REF!,2,FALSE)</f>
        <v>#REF!</v>
      </c>
      <c r="AE1986" t="e">
        <f>RIGHT(#REF!,(FIND("Complex",#REF!,1)-10))</f>
        <v>#REF!</v>
      </c>
    </row>
    <row r="1987" spans="1:31" x14ac:dyDescent="0.25">
      <c r="A1987">
        <v>2128</v>
      </c>
      <c r="B1987" t="s">
        <v>7880</v>
      </c>
      <c r="C1987">
        <v>88</v>
      </c>
      <c r="D1987">
        <v>650</v>
      </c>
      <c r="E1987">
        <v>2128</v>
      </c>
      <c r="F1987">
        <v>1146601</v>
      </c>
      <c r="G1987">
        <v>1234800</v>
      </c>
      <c r="H1987">
        <f t="shared" si="62"/>
        <v>26.000022675736961</v>
      </c>
      <c r="I1987">
        <f t="shared" si="63"/>
        <v>28</v>
      </c>
      <c r="J1987" t="s">
        <v>22</v>
      </c>
      <c r="K1987">
        <v>3</v>
      </c>
      <c r="L1987" t="e">
        <f t="array" ref="L1987">VLOOKUP(J1987:$J$3871&amp;K1987:$K$3871,CHOOSE({1,2},#REF!&amp;#REF!,#REF!),2,0)</f>
        <v>#N/A</v>
      </c>
      <c r="M1987">
        <v>-15</v>
      </c>
      <c r="N1987">
        <v>0</v>
      </c>
      <c r="O1987" t="s">
        <v>7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 t="s">
        <v>5459</v>
      </c>
      <c r="AB1987" t="s">
        <v>7460</v>
      </c>
      <c r="AC1987" t="s">
        <v>5459</v>
      </c>
      <c r="AD1987" t="e">
        <f>VLOOKUP(AB1987,#REF!,2,FALSE)</f>
        <v>#REF!</v>
      </c>
      <c r="AE1987" t="e">
        <f>RIGHT(#REF!,(FIND("Complex",#REF!,1)-10))</f>
        <v>#REF!</v>
      </c>
    </row>
    <row r="1988" spans="1:31" x14ac:dyDescent="0.25">
      <c r="A1988">
        <v>1980</v>
      </c>
      <c r="B1988" t="s">
        <v>7880</v>
      </c>
      <c r="C1988">
        <v>88</v>
      </c>
      <c r="D1988">
        <v>598</v>
      </c>
      <c r="E1988">
        <v>1980</v>
      </c>
      <c r="F1988">
        <v>1058401</v>
      </c>
      <c r="G1988">
        <v>1146600</v>
      </c>
      <c r="H1988">
        <f t="shared" si="62"/>
        <v>24.000022675736961</v>
      </c>
      <c r="I1988">
        <f t="shared" si="63"/>
        <v>26</v>
      </c>
      <c r="J1988" t="s">
        <v>22</v>
      </c>
      <c r="K1988">
        <v>3</v>
      </c>
      <c r="L1988" t="e">
        <f t="array" ref="L1988">VLOOKUP(J1988:$J$3871&amp;K1988:$K$3871,CHOOSE({1,2},#REF!&amp;#REF!,#REF!),2,0)</f>
        <v>#N/A</v>
      </c>
      <c r="M1988">
        <v>-15</v>
      </c>
      <c r="N1988">
        <v>0</v>
      </c>
      <c r="O1988" t="s">
        <v>7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 t="s">
        <v>5520</v>
      </c>
      <c r="AB1988" t="s">
        <v>7506</v>
      </c>
      <c r="AC1988" t="s">
        <v>5520</v>
      </c>
      <c r="AD1988" t="e">
        <f>VLOOKUP(AB1988,#REF!,2,FALSE)</f>
        <v>#REF!</v>
      </c>
      <c r="AE1988" t="e">
        <f>RIGHT(#REF!,(FIND("Complex",#REF!,1)-10))</f>
        <v>#REF!</v>
      </c>
    </row>
    <row r="1989" spans="1:31" x14ac:dyDescent="0.25">
      <c r="A1989">
        <v>1410</v>
      </c>
      <c r="B1989" t="s">
        <v>7880</v>
      </c>
      <c r="C1989">
        <v>88</v>
      </c>
      <c r="D1989">
        <v>427</v>
      </c>
      <c r="E1989">
        <v>1410</v>
      </c>
      <c r="F1989">
        <v>88201</v>
      </c>
      <c r="G1989">
        <v>176400</v>
      </c>
      <c r="H1989">
        <f t="shared" si="62"/>
        <v>2.0000226757369615</v>
      </c>
      <c r="I1989">
        <f t="shared" si="63"/>
        <v>4</v>
      </c>
      <c r="J1989" t="s">
        <v>22</v>
      </c>
      <c r="K1989">
        <v>3</v>
      </c>
      <c r="L1989" t="e">
        <f t="array" ref="L1989">VLOOKUP(J1989:$J$3871&amp;K1989:$K$3871,CHOOSE({1,2},#REF!&amp;#REF!,#REF!),2,0)</f>
        <v>#N/A</v>
      </c>
      <c r="M1989">
        <v>-15</v>
      </c>
      <c r="N1989">
        <v>0</v>
      </c>
      <c r="O1989" t="s">
        <v>7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 t="s">
        <v>5647</v>
      </c>
      <c r="AB1989" t="s">
        <v>7586</v>
      </c>
      <c r="AC1989" t="s">
        <v>5647</v>
      </c>
      <c r="AD1989" t="e">
        <f>VLOOKUP(AB1989,#REF!,2,FALSE)</f>
        <v>#REF!</v>
      </c>
      <c r="AE1989" t="e">
        <f>RIGHT(#REF!,(FIND("Complex",#REF!,1)-11))</f>
        <v>#REF!</v>
      </c>
    </row>
    <row r="1990" spans="1:31" x14ac:dyDescent="0.25">
      <c r="A1990">
        <v>714</v>
      </c>
      <c r="B1990" t="s">
        <v>7880</v>
      </c>
      <c r="C1990">
        <v>88</v>
      </c>
      <c r="D1990">
        <v>219</v>
      </c>
      <c r="E1990">
        <v>714</v>
      </c>
      <c r="F1990">
        <v>7408801</v>
      </c>
      <c r="G1990">
        <v>7497000</v>
      </c>
      <c r="H1990">
        <f t="shared" si="62"/>
        <v>168.00002267573697</v>
      </c>
      <c r="I1990">
        <f t="shared" si="63"/>
        <v>170</v>
      </c>
      <c r="J1990" t="s">
        <v>22</v>
      </c>
      <c r="K1990">
        <v>3</v>
      </c>
      <c r="L1990" t="e">
        <f t="array" ref="L1990">VLOOKUP(J1990:$J$3871&amp;K1990:$K$3871,CHOOSE({1,2},#REF!&amp;#REF!,#REF!),2,0)</f>
        <v>#N/A</v>
      </c>
      <c r="M1990">
        <v>-15</v>
      </c>
      <c r="N1990">
        <v>0</v>
      </c>
      <c r="O1990" t="s">
        <v>7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 t="s">
        <v>5760</v>
      </c>
      <c r="AB1990" t="s">
        <v>7656</v>
      </c>
      <c r="AC1990" t="s">
        <v>5760</v>
      </c>
      <c r="AD1990" t="e">
        <f>VLOOKUP(AB1990,#REF!,2,FALSE)</f>
        <v>#REF!</v>
      </c>
      <c r="AE1990" t="e">
        <f>RIGHT(#REF!,(FIND("Complex",#REF!,1)-8))</f>
        <v>#REF!</v>
      </c>
    </row>
    <row r="1991" spans="1:31" x14ac:dyDescent="0.25">
      <c r="A1991">
        <v>6</v>
      </c>
      <c r="B1991" t="s">
        <v>7880</v>
      </c>
      <c r="C1991">
        <v>88</v>
      </c>
      <c r="D1991">
        <v>2</v>
      </c>
      <c r="E1991">
        <v>6</v>
      </c>
      <c r="F1991">
        <v>7320601</v>
      </c>
      <c r="G1991">
        <v>7408800</v>
      </c>
      <c r="H1991">
        <f t="shared" si="62"/>
        <v>166.00002267573697</v>
      </c>
      <c r="I1991">
        <f t="shared" si="63"/>
        <v>168</v>
      </c>
      <c r="J1991" t="s">
        <v>22</v>
      </c>
      <c r="K1991">
        <v>3</v>
      </c>
      <c r="L1991" t="e">
        <f t="array" ref="L1991">VLOOKUP(J1991:$J$3871&amp;K1991:$K$3871,CHOOSE({1,2},#REF!&amp;#REF!,#REF!),2,0)</f>
        <v>#N/A</v>
      </c>
      <c r="M1991">
        <v>-15</v>
      </c>
      <c r="N1991">
        <v>0</v>
      </c>
      <c r="O1991" t="s">
        <v>7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 t="s">
        <v>5767</v>
      </c>
      <c r="AB1991" t="s">
        <v>7660</v>
      </c>
      <c r="AC1991" t="s">
        <v>5767</v>
      </c>
      <c r="AD1991" t="e">
        <f>VLOOKUP(AB1991,#REF!,2,FALSE)</f>
        <v>#REF!</v>
      </c>
      <c r="AE1991" t="e">
        <f>RIGHT(#REF!,(FIND("Complex",#REF!,1)-6))</f>
        <v>#REF!</v>
      </c>
    </row>
    <row r="1992" spans="1:31" x14ac:dyDescent="0.25">
      <c r="A1992">
        <v>1881</v>
      </c>
      <c r="B1992" t="s">
        <v>7880</v>
      </c>
      <c r="C1992">
        <v>88</v>
      </c>
      <c r="D1992">
        <v>570</v>
      </c>
      <c r="E1992">
        <v>1881</v>
      </c>
      <c r="F1992">
        <v>7232401</v>
      </c>
      <c r="G1992">
        <v>7320600</v>
      </c>
      <c r="H1992">
        <f t="shared" si="62"/>
        <v>164.00002267573697</v>
      </c>
      <c r="I1992">
        <f t="shared" si="63"/>
        <v>166</v>
      </c>
      <c r="J1992" t="s">
        <v>22</v>
      </c>
      <c r="K1992">
        <v>3</v>
      </c>
      <c r="L1992" t="e">
        <f t="array" ref="L1992">VLOOKUP(J1992:$J$3871&amp;K1992:$K$3871,CHOOSE({1,2},#REF!&amp;#REF!,#REF!),2,0)</f>
        <v>#N/A</v>
      </c>
      <c r="M1992">
        <v>-15</v>
      </c>
      <c r="N1992">
        <v>0</v>
      </c>
      <c r="O1992" t="s">
        <v>7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 t="s">
        <v>5775</v>
      </c>
      <c r="AB1992" t="s">
        <v>7664</v>
      </c>
      <c r="AC1992" t="s">
        <v>5775</v>
      </c>
      <c r="AD1992" t="e">
        <f>VLOOKUP(AB1992,#REF!,2,FALSE)</f>
        <v>#REF!</v>
      </c>
      <c r="AE1992" t="e">
        <f>RIGHT(#REF!,(FIND("Complex",#REF!,1)-9))</f>
        <v>#REF!</v>
      </c>
    </row>
    <row r="1993" spans="1:31" x14ac:dyDescent="0.25">
      <c r="A1993">
        <v>2411</v>
      </c>
      <c r="B1993" t="s">
        <v>7880</v>
      </c>
      <c r="C1993">
        <v>88</v>
      </c>
      <c r="D1993">
        <v>773</v>
      </c>
      <c r="E1993">
        <v>2411</v>
      </c>
      <c r="F1993">
        <v>6615001</v>
      </c>
      <c r="G1993">
        <v>6703200</v>
      </c>
      <c r="H1993">
        <f t="shared" si="62"/>
        <v>150.00002267573697</v>
      </c>
      <c r="I1993">
        <f t="shared" si="63"/>
        <v>152</v>
      </c>
      <c r="J1993" t="s">
        <v>22</v>
      </c>
      <c r="K1993">
        <v>3</v>
      </c>
      <c r="L1993" t="e">
        <f t="array" ref="L1993">VLOOKUP(J1993:$J$3871&amp;K1993:$K$3871,CHOOSE({1,2},#REF!&amp;#REF!,#REF!),2,0)</f>
        <v>#N/A</v>
      </c>
      <c r="M1993">
        <v>-15</v>
      </c>
      <c r="N1993">
        <v>0</v>
      </c>
      <c r="O1993" t="s">
        <v>7</v>
      </c>
      <c r="P1993">
        <v>0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 t="s">
        <v>5875</v>
      </c>
      <c r="AB1993" t="s">
        <v>1796</v>
      </c>
      <c r="AC1993" t="s">
        <v>5875</v>
      </c>
      <c r="AD1993" t="e">
        <f>VLOOKUP(AB1993,#REF!,2,FALSE)</f>
        <v>#REF!</v>
      </c>
      <c r="AE1993" t="e">
        <f>RIGHT(#REF!,(FIND("Complex",#REF!,1)-9))</f>
        <v>#REF!</v>
      </c>
    </row>
    <row r="1994" spans="1:31" x14ac:dyDescent="0.25">
      <c r="A1994">
        <v>1009</v>
      </c>
      <c r="B1994" t="s">
        <v>7880</v>
      </c>
      <c r="C1994">
        <v>88</v>
      </c>
      <c r="D1994">
        <v>305</v>
      </c>
      <c r="E1994">
        <v>1009</v>
      </c>
      <c r="F1994">
        <v>6350401</v>
      </c>
      <c r="G1994">
        <v>6438600</v>
      </c>
      <c r="H1994">
        <f t="shared" si="62"/>
        <v>144.00002267573697</v>
      </c>
      <c r="I1994">
        <f t="shared" si="63"/>
        <v>146</v>
      </c>
      <c r="J1994" t="s">
        <v>22</v>
      </c>
      <c r="K1994">
        <v>3</v>
      </c>
      <c r="L1994" t="e">
        <f t="array" ref="L1994">VLOOKUP(J1994:$J$3871&amp;K1994:$K$3871,CHOOSE({1,2},#REF!&amp;#REF!,#REF!),2,0)</f>
        <v>#N/A</v>
      </c>
      <c r="M1994">
        <v>-15</v>
      </c>
      <c r="N1994">
        <v>0</v>
      </c>
      <c r="O1994" t="s">
        <v>7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 t="s">
        <v>5902</v>
      </c>
      <c r="AB1994" t="s">
        <v>7743</v>
      </c>
      <c r="AC1994" t="s">
        <v>5902</v>
      </c>
      <c r="AD1994" t="e">
        <f>VLOOKUP(AB1994,#REF!,2,FALSE)</f>
        <v>#REF!</v>
      </c>
      <c r="AE1994" t="e">
        <f>RIGHT(#REF!,(FIND("Complex",#REF!,1)-9))</f>
        <v>#REF!</v>
      </c>
    </row>
    <row r="1995" spans="1:31" x14ac:dyDescent="0.25">
      <c r="A1995">
        <v>585</v>
      </c>
      <c r="B1995" t="s">
        <v>7880</v>
      </c>
      <c r="C1995">
        <v>88</v>
      </c>
      <c r="D1995">
        <v>188</v>
      </c>
      <c r="E1995">
        <v>585</v>
      </c>
      <c r="F1995">
        <v>6085801</v>
      </c>
      <c r="G1995">
        <v>6174000</v>
      </c>
      <c r="H1995">
        <f t="shared" si="62"/>
        <v>138.00002267573697</v>
      </c>
      <c r="I1995">
        <f t="shared" si="63"/>
        <v>140</v>
      </c>
      <c r="J1995" t="s">
        <v>22</v>
      </c>
      <c r="K1995">
        <v>3</v>
      </c>
      <c r="L1995" t="e">
        <f t="array" ref="L1995">VLOOKUP(J1995:$J$3871&amp;K1995:$K$3871,CHOOSE({1,2},#REF!&amp;#REF!,#REF!),2,0)</f>
        <v>#N/A</v>
      </c>
      <c r="M1995">
        <v>-15</v>
      </c>
      <c r="N1995">
        <v>0</v>
      </c>
      <c r="O1995" t="s">
        <v>7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 t="s">
        <v>5950</v>
      </c>
      <c r="AB1995" t="s">
        <v>7769</v>
      </c>
      <c r="AC1995" t="s">
        <v>5950</v>
      </c>
      <c r="AD1995" t="e">
        <f>VLOOKUP(AB1995,#REF!,2,FALSE)</f>
        <v>#REF!</v>
      </c>
      <c r="AE1995" t="e">
        <f>RIGHT(#REF!,(FIND("Complex",#REF!,1)-8))</f>
        <v>#REF!</v>
      </c>
    </row>
    <row r="1996" spans="1:31" x14ac:dyDescent="0.25">
      <c r="A1996">
        <v>187</v>
      </c>
      <c r="B1996" t="s">
        <v>7880</v>
      </c>
      <c r="C1996">
        <v>88</v>
      </c>
      <c r="D1996">
        <v>57</v>
      </c>
      <c r="E1996">
        <v>187</v>
      </c>
      <c r="F1996">
        <v>5733001</v>
      </c>
      <c r="G1996">
        <v>5821200</v>
      </c>
      <c r="H1996">
        <f t="shared" si="62"/>
        <v>130.00002267573697</v>
      </c>
      <c r="I1996">
        <f t="shared" si="63"/>
        <v>132</v>
      </c>
      <c r="J1996" t="s">
        <v>22</v>
      </c>
      <c r="K1996">
        <v>3</v>
      </c>
      <c r="L1996" t="e">
        <f t="array" ref="L1996">VLOOKUP(J1996:$J$3871&amp;K1996:$K$3871,CHOOSE({1,2},#REF!&amp;#REF!,#REF!),2,0)</f>
        <v>#N/A</v>
      </c>
      <c r="M1996">
        <v>-15</v>
      </c>
      <c r="N1996">
        <v>0</v>
      </c>
      <c r="O1996" t="s">
        <v>7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 t="s">
        <v>5975</v>
      </c>
      <c r="AB1996" t="s">
        <v>7782</v>
      </c>
      <c r="AC1996" t="s">
        <v>5975</v>
      </c>
      <c r="AD1996" t="e">
        <f>VLOOKUP(AB1996,#REF!,2,FALSE)</f>
        <v>#REF!</v>
      </c>
      <c r="AE1996" t="e">
        <f>RIGHT(#REF!,(FIND("Complex",#REF!,1)-8))</f>
        <v>#REF!</v>
      </c>
    </row>
    <row r="1997" spans="1:31" x14ac:dyDescent="0.25">
      <c r="A1997">
        <v>2474</v>
      </c>
      <c r="B1997" t="s">
        <v>7880</v>
      </c>
      <c r="C1997">
        <v>88</v>
      </c>
      <c r="D1997">
        <v>802</v>
      </c>
      <c r="E1997">
        <v>2474</v>
      </c>
      <c r="F1997">
        <v>5468401</v>
      </c>
      <c r="G1997">
        <v>5556600</v>
      </c>
      <c r="H1997">
        <f t="shared" si="62"/>
        <v>124.00002267573696</v>
      </c>
      <c r="I1997">
        <f t="shared" si="63"/>
        <v>126</v>
      </c>
      <c r="J1997" t="s">
        <v>22</v>
      </c>
      <c r="K1997">
        <v>3</v>
      </c>
      <c r="L1997" t="e">
        <f t="array" ref="L1997">VLOOKUP(J1997:$J$3871&amp;K1997:$K$3871,CHOOSE({1,2},#REF!&amp;#REF!,#REF!),2,0)</f>
        <v>#N/A</v>
      </c>
      <c r="M1997">
        <v>-15</v>
      </c>
      <c r="N1997">
        <v>0</v>
      </c>
      <c r="O1997" t="s">
        <v>7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 t="s">
        <v>5997</v>
      </c>
      <c r="AB1997" t="s">
        <v>1797</v>
      </c>
      <c r="AC1997" t="s">
        <v>5997</v>
      </c>
      <c r="AD1997" t="e">
        <f>VLOOKUP(AB1997,#REF!,2,FALSE)</f>
        <v>#REF!</v>
      </c>
      <c r="AE1997" t="e">
        <f>RIGHT(#REF!,(FIND("Complex",#REF!,1)-9))</f>
        <v>#REF!</v>
      </c>
    </row>
    <row r="1998" spans="1:31" x14ac:dyDescent="0.25">
      <c r="A1998">
        <v>363</v>
      </c>
      <c r="B1998" t="s">
        <v>7880</v>
      </c>
      <c r="C1998">
        <v>88</v>
      </c>
      <c r="D1998">
        <v>115</v>
      </c>
      <c r="E1998">
        <v>363</v>
      </c>
      <c r="F1998">
        <v>5292001</v>
      </c>
      <c r="G1998">
        <v>5380200</v>
      </c>
      <c r="H1998">
        <f t="shared" si="62"/>
        <v>120.00002267573696</v>
      </c>
      <c r="I1998">
        <f t="shared" si="63"/>
        <v>122</v>
      </c>
      <c r="J1998" t="s">
        <v>22</v>
      </c>
      <c r="K1998">
        <v>3</v>
      </c>
      <c r="L1998" t="e">
        <f t="array" ref="L1998">VLOOKUP(J1998:$J$3871&amp;K1998:$K$3871,CHOOSE({1,2},#REF!&amp;#REF!,#REF!),2,0)</f>
        <v>#N/A</v>
      </c>
      <c r="M1998">
        <v>-15</v>
      </c>
      <c r="N1998">
        <v>0</v>
      </c>
      <c r="O1998" t="s">
        <v>7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 t="s">
        <v>6016</v>
      </c>
      <c r="AB1998" t="s">
        <v>7805</v>
      </c>
      <c r="AC1998" t="s">
        <v>6016</v>
      </c>
      <c r="AD1998" t="e">
        <f>VLOOKUP(AB1998,#REF!,2,FALSE)</f>
        <v>#REF!</v>
      </c>
      <c r="AE1998" t="e">
        <f>RIGHT(#REF!,(FIND("Complex",#REF!,1)-8))</f>
        <v>#REF!</v>
      </c>
    </row>
    <row r="1999" spans="1:31" x14ac:dyDescent="0.25">
      <c r="A1999">
        <v>1721</v>
      </c>
      <c r="B1999" t="s">
        <v>7880</v>
      </c>
      <c r="C1999">
        <v>88</v>
      </c>
      <c r="D1999">
        <v>523</v>
      </c>
      <c r="E1999">
        <v>1721</v>
      </c>
      <c r="F1999">
        <v>5203801</v>
      </c>
      <c r="G1999">
        <v>5292000</v>
      </c>
      <c r="H1999">
        <f t="shared" si="62"/>
        <v>118.00002267573696</v>
      </c>
      <c r="I1999">
        <f t="shared" si="63"/>
        <v>120</v>
      </c>
      <c r="J1999" t="s">
        <v>22</v>
      </c>
      <c r="K1999">
        <v>3</v>
      </c>
      <c r="L1999" t="e">
        <f t="array" ref="L1999">VLOOKUP(J1999:$J$3871&amp;K1999:$K$3871,CHOOSE({1,2},#REF!&amp;#REF!,#REF!),2,0)</f>
        <v>#N/A</v>
      </c>
      <c r="M1999">
        <v>-15</v>
      </c>
      <c r="N1999">
        <v>0</v>
      </c>
      <c r="O1999" t="s">
        <v>7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 t="s">
        <v>6041</v>
      </c>
      <c r="AB1999" t="s">
        <v>7817</v>
      </c>
      <c r="AC1999" t="s">
        <v>6041</v>
      </c>
      <c r="AD1999" t="e">
        <f>VLOOKUP(AB1999,#REF!,2,FALSE)</f>
        <v>#REF!</v>
      </c>
      <c r="AE1999" t="e">
        <f>RIGHT(#REF!,(FIND("Complex",#REF!,1)-9))</f>
        <v>#REF!</v>
      </c>
    </row>
    <row r="2000" spans="1:31" x14ac:dyDescent="0.25">
      <c r="A2000">
        <v>2673</v>
      </c>
      <c r="B2000" t="s">
        <v>7880</v>
      </c>
      <c r="C2000">
        <v>88</v>
      </c>
      <c r="D2000">
        <v>889</v>
      </c>
      <c r="E2000">
        <v>2673</v>
      </c>
      <c r="F2000">
        <v>4939201</v>
      </c>
      <c r="G2000">
        <v>5027400</v>
      </c>
      <c r="H2000">
        <f t="shared" si="62"/>
        <v>112.00002267573696</v>
      </c>
      <c r="I2000">
        <f t="shared" si="63"/>
        <v>114</v>
      </c>
      <c r="J2000" t="s">
        <v>22</v>
      </c>
      <c r="K2000">
        <v>3</v>
      </c>
      <c r="L2000" t="e">
        <f t="array" ref="L2000">VLOOKUP(J2000:$J$3871&amp;K2000:$K$3871,CHOOSE({1,2},#REF!&amp;#REF!,#REF!),2,0)</f>
        <v>#N/A</v>
      </c>
      <c r="M2000">
        <v>-15</v>
      </c>
      <c r="N2000">
        <v>0</v>
      </c>
      <c r="O2000" t="s">
        <v>7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 t="s">
        <v>6066</v>
      </c>
      <c r="AB2000" t="s">
        <v>7833</v>
      </c>
      <c r="AC2000" t="s">
        <v>6066</v>
      </c>
      <c r="AD2000" t="e">
        <f>VLOOKUP(AB2000,#REF!,2,FALSE)</f>
        <v>#REF!</v>
      </c>
      <c r="AE2000" t="e">
        <f>RIGHT(#REF!,(FIND("Complex",#REF!,1)-9))</f>
        <v>#REF!</v>
      </c>
    </row>
    <row r="2001" spans="1:31" x14ac:dyDescent="0.25">
      <c r="A2001">
        <v>278</v>
      </c>
      <c r="B2001" t="s">
        <v>7880</v>
      </c>
      <c r="C2001">
        <v>88</v>
      </c>
      <c r="D2001">
        <v>84</v>
      </c>
      <c r="E2001">
        <v>278</v>
      </c>
      <c r="F2001">
        <v>4851001</v>
      </c>
      <c r="G2001">
        <v>4939200</v>
      </c>
      <c r="H2001">
        <f t="shared" si="62"/>
        <v>110.00002267573696</v>
      </c>
      <c r="I2001">
        <f t="shared" si="63"/>
        <v>112</v>
      </c>
      <c r="J2001" t="s">
        <v>22</v>
      </c>
      <c r="K2001">
        <v>3</v>
      </c>
      <c r="L2001" t="e">
        <f t="array" ref="L2001">VLOOKUP(J2001:$J$3871&amp;K2001:$K$3871,CHOOSE({1,2},#REF!&amp;#REF!,#REF!),2,0)</f>
        <v>#N/A</v>
      </c>
      <c r="M2001">
        <v>-15</v>
      </c>
      <c r="N2001">
        <v>0</v>
      </c>
      <c r="O2001" t="s">
        <v>7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 t="s">
        <v>6074</v>
      </c>
      <c r="AB2001" t="s">
        <v>7836</v>
      </c>
      <c r="AC2001" t="s">
        <v>6074</v>
      </c>
      <c r="AD2001" t="e">
        <f>VLOOKUP(AB2001,#REF!,2,FALSE)</f>
        <v>#REF!</v>
      </c>
      <c r="AE2001" t="e">
        <f>RIGHT(#REF!,(FIND("Complex",#REF!,1)-8))</f>
        <v>#REF!</v>
      </c>
    </row>
    <row r="2002" spans="1:31" x14ac:dyDescent="0.25">
      <c r="A2002">
        <v>2478</v>
      </c>
      <c r="B2002" t="s">
        <v>7880</v>
      </c>
      <c r="C2002">
        <v>88</v>
      </c>
      <c r="D2002">
        <v>803</v>
      </c>
      <c r="E2002">
        <v>2478</v>
      </c>
      <c r="F2002">
        <v>4762801</v>
      </c>
      <c r="G2002">
        <v>4851000</v>
      </c>
      <c r="H2002">
        <f t="shared" si="62"/>
        <v>108.00002267573696</v>
      </c>
      <c r="I2002">
        <f t="shared" si="63"/>
        <v>110</v>
      </c>
      <c r="J2002" t="s">
        <v>22</v>
      </c>
      <c r="K2002">
        <v>3</v>
      </c>
      <c r="L2002" t="e">
        <f t="array" ref="L2002">VLOOKUP(J2002:$J$3871&amp;K2002:$K$3871,CHOOSE({1,2},#REF!&amp;#REF!,#REF!),2,0)</f>
        <v>#N/A</v>
      </c>
      <c r="M2002">
        <v>-15</v>
      </c>
      <c r="N2002">
        <v>0</v>
      </c>
      <c r="O2002" t="s">
        <v>7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 t="s">
        <v>6085</v>
      </c>
      <c r="AB2002" t="s">
        <v>7843</v>
      </c>
      <c r="AC2002" t="s">
        <v>6085</v>
      </c>
      <c r="AD2002" t="e">
        <f>VLOOKUP(AB2002,#REF!,2,FALSE)</f>
        <v>#REF!</v>
      </c>
      <c r="AE2002" t="e">
        <f>RIGHT(#REF!,(FIND("Complex",#REF!,1)-9))</f>
        <v>#REF!</v>
      </c>
    </row>
    <row r="2003" spans="1:31" x14ac:dyDescent="0.25">
      <c r="A2003">
        <v>1525</v>
      </c>
      <c r="B2003" t="s">
        <v>7880</v>
      </c>
      <c r="C2003">
        <v>88</v>
      </c>
      <c r="D2003">
        <v>465</v>
      </c>
      <c r="E2003">
        <v>1525</v>
      </c>
      <c r="F2003">
        <v>4498201</v>
      </c>
      <c r="G2003">
        <v>4586400</v>
      </c>
      <c r="H2003">
        <f t="shared" si="62"/>
        <v>102.00002267573696</v>
      </c>
      <c r="I2003">
        <f t="shared" si="63"/>
        <v>104</v>
      </c>
      <c r="J2003" t="s">
        <v>22</v>
      </c>
      <c r="K2003">
        <v>3</v>
      </c>
      <c r="L2003" t="e">
        <f t="array" ref="L2003">VLOOKUP(J2003:$J$3871&amp;K2003:$K$3871,CHOOSE({1,2},#REF!&amp;#REF!,#REF!),2,0)</f>
        <v>#N/A</v>
      </c>
      <c r="M2003">
        <v>-15</v>
      </c>
      <c r="N2003">
        <v>0</v>
      </c>
      <c r="O2003" t="s">
        <v>7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 t="s">
        <v>6109</v>
      </c>
      <c r="AB2003" t="s">
        <v>7856</v>
      </c>
      <c r="AC2003" t="s">
        <v>6109</v>
      </c>
      <c r="AD2003" t="e">
        <f>VLOOKUP(AB2003,#REF!,2,FALSE)</f>
        <v>#REF!</v>
      </c>
      <c r="AE2003" t="e">
        <f>RIGHT(#REF!,(FIND("Complex",#REF!,1)-9))</f>
        <v>#REF!</v>
      </c>
    </row>
    <row r="2004" spans="1:31" x14ac:dyDescent="0.25">
      <c r="A2004">
        <v>1994</v>
      </c>
      <c r="B2004" t="s">
        <v>267</v>
      </c>
      <c r="C2004">
        <v>89</v>
      </c>
      <c r="D2004">
        <v>604</v>
      </c>
      <c r="E2004">
        <v>1994</v>
      </c>
      <c r="F2004">
        <v>4321801</v>
      </c>
      <c r="G2004">
        <v>4410000</v>
      </c>
      <c r="H2004">
        <f t="shared" si="62"/>
        <v>98.000022675736957</v>
      </c>
      <c r="I2004">
        <f t="shared" si="63"/>
        <v>100</v>
      </c>
      <c r="J2004" t="s">
        <v>22</v>
      </c>
      <c r="K2004">
        <v>3</v>
      </c>
      <c r="L2004" t="e">
        <f t="array" ref="L2004">VLOOKUP(J2004:$J$3871&amp;K2004:$K$3871,CHOOSE({1,2},#REF!&amp;#REF!,#REF!),2,0)</f>
        <v>#N/A</v>
      </c>
      <c r="M2004">
        <v>-15</v>
      </c>
      <c r="N2004">
        <v>0</v>
      </c>
      <c r="O2004" t="s">
        <v>7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0</v>
      </c>
      <c r="W2004">
        <v>1</v>
      </c>
      <c r="X2004">
        <v>0</v>
      </c>
      <c r="Y2004">
        <v>0</v>
      </c>
      <c r="Z2004">
        <v>0</v>
      </c>
      <c r="AA2004" t="s">
        <v>4883</v>
      </c>
      <c r="AB2004" t="s">
        <v>7150</v>
      </c>
      <c r="AC2004" t="s">
        <v>4883</v>
      </c>
      <c r="AD2004" t="e">
        <f>VLOOKUP(AB2004,#REF!,2,FALSE)</f>
        <v>#REF!</v>
      </c>
      <c r="AE2004" t="e">
        <f>RIGHT(#REF!,(FIND("Complex",#REF!,1)-10))</f>
        <v>#REF!</v>
      </c>
    </row>
    <row r="2005" spans="1:31" x14ac:dyDescent="0.25">
      <c r="A2005">
        <v>2238</v>
      </c>
      <c r="B2005" t="s">
        <v>267</v>
      </c>
      <c r="C2005">
        <v>89</v>
      </c>
      <c r="D2005">
        <v>693</v>
      </c>
      <c r="E2005">
        <v>2238</v>
      </c>
      <c r="F2005">
        <v>1058401</v>
      </c>
      <c r="G2005">
        <v>1146600</v>
      </c>
      <c r="H2005">
        <f t="shared" si="62"/>
        <v>24.000022675736961</v>
      </c>
      <c r="I2005">
        <f t="shared" si="63"/>
        <v>26</v>
      </c>
      <c r="J2005" t="s">
        <v>22</v>
      </c>
      <c r="K2005">
        <v>3</v>
      </c>
      <c r="L2005" t="e">
        <f t="array" ref="L2005">VLOOKUP(J2005:$J$3871&amp;K2005:$K$3871,CHOOSE({1,2},#REF!&amp;#REF!,#REF!),2,0)</f>
        <v>#N/A</v>
      </c>
      <c r="M2005">
        <v>-15</v>
      </c>
      <c r="N2005">
        <v>0</v>
      </c>
      <c r="O2005" t="s">
        <v>7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 t="s">
        <v>5519</v>
      </c>
      <c r="AB2005" t="s">
        <v>7505</v>
      </c>
      <c r="AC2005" t="s">
        <v>5519</v>
      </c>
      <c r="AD2005" t="e">
        <f>VLOOKUP(AB2005,#REF!,2,FALSE)</f>
        <v>#REF!</v>
      </c>
      <c r="AE2005" t="e">
        <f>RIGHT(#REF!,(FIND("Complex",#REF!,1)-10))</f>
        <v>#REF!</v>
      </c>
    </row>
    <row r="2006" spans="1:31" x14ac:dyDescent="0.25">
      <c r="A2006">
        <v>1370</v>
      </c>
      <c r="B2006" t="s">
        <v>267</v>
      </c>
      <c r="C2006">
        <v>89</v>
      </c>
      <c r="D2006">
        <v>415</v>
      </c>
      <c r="E2006">
        <v>1370</v>
      </c>
      <c r="F2006">
        <v>7938001</v>
      </c>
      <c r="G2006">
        <v>8026200</v>
      </c>
      <c r="H2006">
        <f t="shared" si="62"/>
        <v>180.00002267573697</v>
      </c>
      <c r="I2006">
        <f t="shared" si="63"/>
        <v>182</v>
      </c>
      <c r="J2006" t="s">
        <v>22</v>
      </c>
      <c r="K2006">
        <v>3</v>
      </c>
      <c r="L2006" t="e">
        <f t="array" ref="L2006">VLOOKUP(J2006:$J$3871&amp;K2006:$K$3871,CHOOSE({1,2},#REF!&amp;#REF!,#REF!),2,0)</f>
        <v>#N/A</v>
      </c>
      <c r="M2006">
        <v>-15</v>
      </c>
      <c r="N2006">
        <v>0</v>
      </c>
      <c r="O2006" t="s">
        <v>7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0</v>
      </c>
      <c r="W2006">
        <v>1</v>
      </c>
      <c r="X2006">
        <v>0</v>
      </c>
      <c r="Y2006">
        <v>0</v>
      </c>
      <c r="Z2006">
        <v>0</v>
      </c>
      <c r="AA2006" t="s">
        <v>5702</v>
      </c>
      <c r="AB2006" t="s">
        <v>7624</v>
      </c>
      <c r="AC2006" t="s">
        <v>5702</v>
      </c>
      <c r="AD2006" t="e">
        <f>VLOOKUP(AB2006,#REF!,2,FALSE)</f>
        <v>#REF!</v>
      </c>
      <c r="AE2006" t="e">
        <f>RIGHT(#REF!,(FIND("Complex",#REF!,1)-9))</f>
        <v>#REF!</v>
      </c>
    </row>
    <row r="2007" spans="1:31" x14ac:dyDescent="0.25">
      <c r="A2007">
        <v>2700</v>
      </c>
      <c r="B2007" t="s">
        <v>267</v>
      </c>
      <c r="C2007">
        <v>89</v>
      </c>
      <c r="D2007">
        <v>896</v>
      </c>
      <c r="E2007">
        <v>2700</v>
      </c>
      <c r="F2007">
        <v>705601</v>
      </c>
      <c r="G2007">
        <v>793800</v>
      </c>
      <c r="H2007">
        <f t="shared" si="62"/>
        <v>16.000022675736961</v>
      </c>
      <c r="I2007">
        <f t="shared" si="63"/>
        <v>18</v>
      </c>
      <c r="J2007" t="s">
        <v>22</v>
      </c>
      <c r="K2007">
        <v>3</v>
      </c>
      <c r="L2007" t="e">
        <f t="array" ref="L2007">VLOOKUP(J2007:$J$3871&amp;K2007:$K$3871,CHOOSE({1,2},#REF!&amp;#REF!,#REF!),2,0)</f>
        <v>#N/A</v>
      </c>
      <c r="M2007">
        <v>-15</v>
      </c>
      <c r="N2007">
        <v>0</v>
      </c>
      <c r="O2007" t="s">
        <v>7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1</v>
      </c>
      <c r="X2007">
        <v>0</v>
      </c>
      <c r="Y2007">
        <v>0</v>
      </c>
      <c r="Z2007">
        <v>0</v>
      </c>
      <c r="AA2007" t="s">
        <v>5810</v>
      </c>
      <c r="AB2007" t="s">
        <v>1798</v>
      </c>
      <c r="AC2007" t="s">
        <v>5810</v>
      </c>
      <c r="AD2007" t="e">
        <f>VLOOKUP(AB2007,#REF!,2,FALSE)</f>
        <v>#REF!</v>
      </c>
      <c r="AE2007" t="e">
        <f>RIGHT(#REF!,(FIND("Complex",#REF!,1)-10))</f>
        <v>#REF!</v>
      </c>
    </row>
    <row r="2008" spans="1:31" x14ac:dyDescent="0.25">
      <c r="A2008">
        <v>436</v>
      </c>
      <c r="B2008" t="s">
        <v>267</v>
      </c>
      <c r="C2008">
        <v>89</v>
      </c>
      <c r="D2008">
        <v>138</v>
      </c>
      <c r="E2008">
        <v>436</v>
      </c>
      <c r="F2008">
        <v>617401</v>
      </c>
      <c r="G2008">
        <v>705600</v>
      </c>
      <c r="H2008">
        <f t="shared" si="62"/>
        <v>14.000022675736961</v>
      </c>
      <c r="I2008">
        <f t="shared" si="63"/>
        <v>16</v>
      </c>
      <c r="J2008" t="s">
        <v>22</v>
      </c>
      <c r="K2008">
        <v>3</v>
      </c>
      <c r="L2008" t="e">
        <f t="array" ref="L2008">VLOOKUP(J2008:$J$3871&amp;K2008:$K$3871,CHOOSE({1,2},#REF!&amp;#REF!,#REF!),2,0)</f>
        <v>#N/A</v>
      </c>
      <c r="M2008">
        <v>-15</v>
      </c>
      <c r="N2008">
        <v>0</v>
      </c>
      <c r="O2008" t="s">
        <v>7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1</v>
      </c>
      <c r="X2008">
        <v>0</v>
      </c>
      <c r="Y2008">
        <v>0</v>
      </c>
      <c r="Z2008">
        <v>0</v>
      </c>
      <c r="AA2008" t="s">
        <v>5933</v>
      </c>
      <c r="AB2008" t="s">
        <v>7760</v>
      </c>
      <c r="AC2008" t="s">
        <v>5933</v>
      </c>
      <c r="AD2008" t="e">
        <f>VLOOKUP(AB2008,#REF!,2,FALSE)</f>
        <v>#REF!</v>
      </c>
      <c r="AE2008" t="e">
        <f>RIGHT(#REF!,(FIND("Complex",#REF!,1)-9))</f>
        <v>#REF!</v>
      </c>
    </row>
    <row r="2009" spans="1:31" x14ac:dyDescent="0.25">
      <c r="A2009">
        <v>326</v>
      </c>
      <c r="B2009" t="s">
        <v>267</v>
      </c>
      <c r="C2009">
        <v>89</v>
      </c>
      <c r="D2009">
        <v>103</v>
      </c>
      <c r="E2009">
        <v>326</v>
      </c>
      <c r="F2009">
        <v>4410001</v>
      </c>
      <c r="G2009">
        <v>4498200</v>
      </c>
      <c r="H2009">
        <f t="shared" si="62"/>
        <v>100.00002267573696</v>
      </c>
      <c r="I2009">
        <f t="shared" si="63"/>
        <v>102</v>
      </c>
      <c r="J2009" t="s">
        <v>22</v>
      </c>
      <c r="K2009">
        <v>3</v>
      </c>
      <c r="L2009" t="e">
        <f t="array" ref="L2009">VLOOKUP(J2009:$J$3871&amp;K2009:$K$3871,CHOOSE({1,2},#REF!&amp;#REF!,#REF!),2,0)</f>
        <v>#N/A</v>
      </c>
      <c r="M2009">
        <v>-15</v>
      </c>
      <c r="N2009">
        <v>0</v>
      </c>
      <c r="O2009" t="s">
        <v>7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0</v>
      </c>
      <c r="W2009">
        <v>1</v>
      </c>
      <c r="X2009">
        <v>0</v>
      </c>
      <c r="Y2009">
        <v>0</v>
      </c>
      <c r="Z2009">
        <v>0</v>
      </c>
      <c r="AA2009" t="s">
        <v>6121</v>
      </c>
      <c r="AB2009" t="s">
        <v>7863</v>
      </c>
      <c r="AC2009" t="s">
        <v>6121</v>
      </c>
      <c r="AD2009" t="e">
        <f>VLOOKUP(AB2009,#REF!,2,FALSE)</f>
        <v>#REF!</v>
      </c>
      <c r="AE2009" t="e">
        <f>RIGHT(#REF!,(FIND("Complex",#REF!,1)-8))</f>
        <v>#REF!</v>
      </c>
    </row>
    <row r="2010" spans="1:31" x14ac:dyDescent="0.25">
      <c r="A2010">
        <v>1518</v>
      </c>
      <c r="B2010" t="s">
        <v>7881</v>
      </c>
      <c r="C2010">
        <v>91</v>
      </c>
      <c r="D2010">
        <v>463</v>
      </c>
      <c r="E2010">
        <v>1518</v>
      </c>
      <c r="F2010">
        <v>4233601</v>
      </c>
      <c r="G2010">
        <v>4321800</v>
      </c>
      <c r="H2010">
        <f t="shared" si="62"/>
        <v>96.000022675736957</v>
      </c>
      <c r="I2010">
        <f t="shared" si="63"/>
        <v>98</v>
      </c>
      <c r="J2010" t="s">
        <v>22</v>
      </c>
      <c r="K2010">
        <v>3</v>
      </c>
      <c r="L2010" t="e">
        <f t="array" ref="L2010">VLOOKUP(J2010:$J$3871&amp;K2010:$K$3871,CHOOSE({1,2},#REF!&amp;#REF!,#REF!),2,0)</f>
        <v>#N/A</v>
      </c>
      <c r="M2010">
        <v>-15</v>
      </c>
      <c r="N2010">
        <v>0</v>
      </c>
      <c r="O2010" t="s">
        <v>7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 t="s">
        <v>4892</v>
      </c>
      <c r="AB2010" t="s">
        <v>7155</v>
      </c>
      <c r="AC2010" t="s">
        <v>4892</v>
      </c>
      <c r="AD2010" t="e">
        <f>VLOOKUP(AB2010,#REF!,2,FALSE)</f>
        <v>#REF!</v>
      </c>
      <c r="AE2010" t="e">
        <f>RIGHT(#REF!,(FIND("Complex",#REF!,1)-10))</f>
        <v>#REF!</v>
      </c>
    </row>
    <row r="2011" spans="1:31" x14ac:dyDescent="0.25">
      <c r="A2011">
        <v>455</v>
      </c>
      <c r="B2011" t="s">
        <v>7881</v>
      </c>
      <c r="C2011">
        <v>91</v>
      </c>
      <c r="D2011">
        <v>143</v>
      </c>
      <c r="E2011">
        <v>455</v>
      </c>
      <c r="F2011">
        <v>3969001</v>
      </c>
      <c r="G2011">
        <v>4057200</v>
      </c>
      <c r="H2011">
        <f t="shared" si="62"/>
        <v>90.000022675736957</v>
      </c>
      <c r="I2011">
        <f t="shared" si="63"/>
        <v>92</v>
      </c>
      <c r="J2011" t="s">
        <v>22</v>
      </c>
      <c r="K2011">
        <v>3</v>
      </c>
      <c r="L2011" t="e">
        <f t="array" ref="L2011">VLOOKUP(J2011:$J$3871&amp;K2011:$K$3871,CHOOSE({1,2},#REF!&amp;#REF!,#REF!),2,0)</f>
        <v>#N/A</v>
      </c>
      <c r="M2011">
        <v>-15</v>
      </c>
      <c r="N2011">
        <v>0</v>
      </c>
      <c r="O2011" t="s">
        <v>7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 t="s">
        <v>4924</v>
      </c>
      <c r="AB2011" t="s">
        <v>7175</v>
      </c>
      <c r="AC2011" t="s">
        <v>4924</v>
      </c>
      <c r="AD2011" t="e">
        <f>VLOOKUP(AB2011,#REF!,2,FALSE)</f>
        <v>#REF!</v>
      </c>
      <c r="AE2011" t="e">
        <f>RIGHT(#REF!,(FIND("Complex",#REF!,1)-9))</f>
        <v>#REF!</v>
      </c>
    </row>
    <row r="2012" spans="1:31" x14ac:dyDescent="0.25">
      <c r="A2012">
        <v>980</v>
      </c>
      <c r="B2012" t="s">
        <v>7881</v>
      </c>
      <c r="C2012">
        <v>91</v>
      </c>
      <c r="D2012">
        <v>295</v>
      </c>
      <c r="E2012">
        <v>980</v>
      </c>
      <c r="F2012">
        <v>3880801</v>
      </c>
      <c r="G2012">
        <v>3969000</v>
      </c>
      <c r="H2012">
        <f t="shared" si="62"/>
        <v>88.000022675736957</v>
      </c>
      <c r="I2012">
        <f t="shared" si="63"/>
        <v>90</v>
      </c>
      <c r="J2012" t="s">
        <v>22</v>
      </c>
      <c r="K2012">
        <v>3</v>
      </c>
      <c r="L2012" t="e">
        <f t="array" ref="L2012">VLOOKUP(J2012:$J$3871&amp;K2012:$K$3871,CHOOSE({1,2},#REF!&amp;#REF!,#REF!),2,0)</f>
        <v>#N/A</v>
      </c>
      <c r="M2012">
        <v>-15</v>
      </c>
      <c r="N2012">
        <v>0</v>
      </c>
      <c r="O2012" t="s">
        <v>7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 t="s">
        <v>4936</v>
      </c>
      <c r="AB2012" t="s">
        <v>1801</v>
      </c>
      <c r="AC2012" t="s">
        <v>4936</v>
      </c>
      <c r="AD2012" t="e">
        <f>VLOOKUP(AB2012,#REF!,2,FALSE)</f>
        <v>#REF!</v>
      </c>
      <c r="AE2012" t="e">
        <f>RIGHT(#REF!,(FIND("Complex",#REF!,1)-9))</f>
        <v>#REF!</v>
      </c>
    </row>
    <row r="2013" spans="1:31" x14ac:dyDescent="0.25">
      <c r="A2013">
        <v>2647</v>
      </c>
      <c r="B2013" t="s">
        <v>7881</v>
      </c>
      <c r="C2013">
        <v>91</v>
      </c>
      <c r="D2013">
        <v>876</v>
      </c>
      <c r="E2013">
        <v>2647</v>
      </c>
      <c r="F2013">
        <v>3616201</v>
      </c>
      <c r="G2013">
        <v>3704400</v>
      </c>
      <c r="H2013">
        <f t="shared" si="62"/>
        <v>82.000022675736957</v>
      </c>
      <c r="I2013">
        <f t="shared" si="63"/>
        <v>84</v>
      </c>
      <c r="J2013" t="s">
        <v>22</v>
      </c>
      <c r="K2013">
        <v>3</v>
      </c>
      <c r="L2013" t="e">
        <f t="array" ref="L2013">VLOOKUP(J2013:$J$3871&amp;K2013:$K$3871,CHOOSE({1,2},#REF!&amp;#REF!,#REF!),2,0)</f>
        <v>#N/A</v>
      </c>
      <c r="M2013">
        <v>-15</v>
      </c>
      <c r="N2013">
        <v>0</v>
      </c>
      <c r="O2013" t="s">
        <v>7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 t="s">
        <v>4966</v>
      </c>
      <c r="AB2013" t="s">
        <v>1802</v>
      </c>
      <c r="AC2013" t="s">
        <v>4966</v>
      </c>
      <c r="AD2013" t="e">
        <f>VLOOKUP(AB2013,#REF!,2,FALSE)</f>
        <v>#REF!</v>
      </c>
      <c r="AE2013" t="e">
        <f>RIGHT(#REF!,(FIND("Complex",#REF!,1)-10))</f>
        <v>#REF!</v>
      </c>
    </row>
    <row r="2014" spans="1:31" x14ac:dyDescent="0.25">
      <c r="A2014">
        <v>2073</v>
      </c>
      <c r="B2014" t="s">
        <v>7881</v>
      </c>
      <c r="C2014">
        <v>91</v>
      </c>
      <c r="D2014">
        <v>631</v>
      </c>
      <c r="E2014">
        <v>2073</v>
      </c>
      <c r="F2014">
        <v>3351601</v>
      </c>
      <c r="G2014">
        <v>3439800</v>
      </c>
      <c r="H2014">
        <f t="shared" si="62"/>
        <v>76.000022675736957</v>
      </c>
      <c r="I2014">
        <f t="shared" si="63"/>
        <v>78</v>
      </c>
      <c r="J2014" t="s">
        <v>22</v>
      </c>
      <c r="K2014">
        <v>3</v>
      </c>
      <c r="L2014" t="e">
        <f t="array" ref="L2014">VLOOKUP(J2014:$J$3871&amp;K2014:$K$3871,CHOOSE({1,2},#REF!&amp;#REF!,#REF!),2,0)</f>
        <v>#N/A</v>
      </c>
      <c r="M2014">
        <v>-15</v>
      </c>
      <c r="N2014">
        <v>0</v>
      </c>
      <c r="O2014" t="s">
        <v>7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 t="s">
        <v>5015</v>
      </c>
      <c r="AB2014" t="s">
        <v>1803</v>
      </c>
      <c r="AC2014" t="s">
        <v>5015</v>
      </c>
      <c r="AD2014" t="e">
        <f>VLOOKUP(AB2014,#REF!,2,FALSE)</f>
        <v>#REF!</v>
      </c>
      <c r="AE2014" t="e">
        <f>RIGHT(#REF!,(FIND("Complex",#REF!,1)-10))</f>
        <v>#REF!</v>
      </c>
    </row>
    <row r="2015" spans="1:31" x14ac:dyDescent="0.25">
      <c r="A2015">
        <v>2168</v>
      </c>
      <c r="B2015" t="s">
        <v>7881</v>
      </c>
      <c r="C2015">
        <v>91</v>
      </c>
      <c r="D2015">
        <v>664</v>
      </c>
      <c r="E2015">
        <v>2168</v>
      </c>
      <c r="F2015">
        <v>3175201</v>
      </c>
      <c r="G2015">
        <v>3263400</v>
      </c>
      <c r="H2015">
        <f t="shared" si="62"/>
        <v>72.000022675736957</v>
      </c>
      <c r="I2015">
        <f t="shared" si="63"/>
        <v>74</v>
      </c>
      <c r="J2015" t="s">
        <v>22</v>
      </c>
      <c r="K2015">
        <v>3</v>
      </c>
      <c r="L2015" t="e">
        <f t="array" ref="L2015">VLOOKUP(J2015:$J$3871&amp;K2015:$K$3871,CHOOSE({1,2},#REF!&amp;#REF!,#REF!),2,0)</f>
        <v>#N/A</v>
      </c>
      <c r="M2015">
        <v>-15</v>
      </c>
      <c r="N2015">
        <v>0</v>
      </c>
      <c r="O2015" t="s">
        <v>7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 t="s">
        <v>5039</v>
      </c>
      <c r="AB2015" t="s">
        <v>7237</v>
      </c>
      <c r="AC2015" t="s">
        <v>5039</v>
      </c>
      <c r="AD2015" t="e">
        <f>VLOOKUP(AB2015,#REF!,2,FALSE)</f>
        <v>#REF!</v>
      </c>
      <c r="AE2015" t="e">
        <f>RIGHT(#REF!,(FIND("Complex",#REF!,1)-10))</f>
        <v>#REF!</v>
      </c>
    </row>
    <row r="2016" spans="1:31" x14ac:dyDescent="0.25">
      <c r="A2016">
        <v>2706</v>
      </c>
      <c r="B2016" t="s">
        <v>7881</v>
      </c>
      <c r="C2016">
        <v>91</v>
      </c>
      <c r="D2016">
        <v>898</v>
      </c>
      <c r="E2016">
        <v>2706</v>
      </c>
      <c r="F2016">
        <v>3087001</v>
      </c>
      <c r="G2016">
        <v>3175200</v>
      </c>
      <c r="H2016">
        <f t="shared" si="62"/>
        <v>70.000022675736957</v>
      </c>
      <c r="I2016">
        <f t="shared" si="63"/>
        <v>72</v>
      </c>
      <c r="J2016" t="s">
        <v>22</v>
      </c>
      <c r="K2016">
        <v>3</v>
      </c>
      <c r="L2016" t="e">
        <f t="array" ref="L2016">VLOOKUP(J2016:$J$3871&amp;K2016:$K$3871,CHOOSE({1,2},#REF!&amp;#REF!,#REF!),2,0)</f>
        <v>#N/A</v>
      </c>
      <c r="M2016">
        <v>-15</v>
      </c>
      <c r="N2016">
        <v>0</v>
      </c>
      <c r="O2016" t="s">
        <v>7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 t="s">
        <v>5053</v>
      </c>
      <c r="AB2016" t="s">
        <v>7245</v>
      </c>
      <c r="AC2016" t="s">
        <v>5053</v>
      </c>
      <c r="AD2016" t="e">
        <f>VLOOKUP(AB2016,#REF!,2,FALSE)</f>
        <v>#REF!</v>
      </c>
      <c r="AE2016" t="e">
        <f>RIGHT(#REF!,(FIND("Complex",#REF!,1)-10))</f>
        <v>#REF!</v>
      </c>
    </row>
    <row r="2017" spans="1:31" x14ac:dyDescent="0.25">
      <c r="A2017">
        <v>2450</v>
      </c>
      <c r="B2017" t="s">
        <v>7881</v>
      </c>
      <c r="C2017">
        <v>91</v>
      </c>
      <c r="D2017">
        <v>790</v>
      </c>
      <c r="E2017">
        <v>2450</v>
      </c>
      <c r="F2017">
        <v>2910601</v>
      </c>
      <c r="G2017">
        <v>2998800</v>
      </c>
      <c r="H2017">
        <f t="shared" si="62"/>
        <v>66.000022675736957</v>
      </c>
      <c r="I2017">
        <f t="shared" si="63"/>
        <v>68</v>
      </c>
      <c r="J2017" t="s">
        <v>22</v>
      </c>
      <c r="K2017">
        <v>3</v>
      </c>
      <c r="L2017" t="e">
        <f t="array" ref="L2017">VLOOKUP(J2017:$J$3871&amp;K2017:$K$3871,CHOOSE({1,2},#REF!&amp;#REF!,#REF!),2,0)</f>
        <v>#N/A</v>
      </c>
      <c r="M2017">
        <v>-15</v>
      </c>
      <c r="N2017">
        <v>0</v>
      </c>
      <c r="O2017" t="s">
        <v>7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 t="s">
        <v>5078</v>
      </c>
      <c r="AB2017" t="s">
        <v>1804</v>
      </c>
      <c r="AC2017" t="s">
        <v>5078</v>
      </c>
      <c r="AD2017" t="e">
        <f>VLOOKUP(AB2017,#REF!,2,FALSE)</f>
        <v>#REF!</v>
      </c>
      <c r="AE2017" t="e">
        <f>RIGHT(#REF!,(FIND("Complex",#REF!,1)-10))</f>
        <v>#REF!</v>
      </c>
    </row>
    <row r="2018" spans="1:31" x14ac:dyDescent="0.25">
      <c r="A2018">
        <v>2135</v>
      </c>
      <c r="B2018" t="s">
        <v>7881</v>
      </c>
      <c r="C2018">
        <v>91</v>
      </c>
      <c r="D2018">
        <v>652</v>
      </c>
      <c r="E2018">
        <v>2135</v>
      </c>
      <c r="F2018">
        <v>2822401</v>
      </c>
      <c r="G2018">
        <v>2910600</v>
      </c>
      <c r="H2018">
        <f t="shared" si="62"/>
        <v>64.000022675736957</v>
      </c>
      <c r="I2018">
        <f t="shared" si="63"/>
        <v>66</v>
      </c>
      <c r="J2018" t="s">
        <v>22</v>
      </c>
      <c r="K2018">
        <v>3</v>
      </c>
      <c r="L2018" t="e">
        <f t="array" ref="L2018">VLOOKUP(J2018:$J$3871&amp;K2018:$K$3871,CHOOSE({1,2},#REF!&amp;#REF!,#REF!),2,0)</f>
        <v>#N/A</v>
      </c>
      <c r="M2018">
        <v>-15</v>
      </c>
      <c r="N2018">
        <v>0</v>
      </c>
      <c r="O2018" t="s">
        <v>7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 t="s">
        <v>5084</v>
      </c>
      <c r="AB2018" t="s">
        <v>7259</v>
      </c>
      <c r="AC2018" t="s">
        <v>5084</v>
      </c>
      <c r="AD2018" t="e">
        <f>VLOOKUP(AB2018,#REF!,2,FALSE)</f>
        <v>#REF!</v>
      </c>
      <c r="AE2018" t="e">
        <f>RIGHT(#REF!,(FIND("Complex",#REF!,1)-10))</f>
        <v>#REF!</v>
      </c>
    </row>
    <row r="2019" spans="1:31" x14ac:dyDescent="0.25">
      <c r="A2019">
        <v>1900</v>
      </c>
      <c r="B2019" t="s">
        <v>7881</v>
      </c>
      <c r="C2019">
        <v>91</v>
      </c>
      <c r="D2019">
        <v>575</v>
      </c>
      <c r="E2019">
        <v>1900</v>
      </c>
      <c r="F2019">
        <v>2734201</v>
      </c>
      <c r="G2019">
        <v>2822400</v>
      </c>
      <c r="H2019">
        <f t="shared" si="62"/>
        <v>62.000022675736965</v>
      </c>
      <c r="I2019">
        <f t="shared" si="63"/>
        <v>64</v>
      </c>
      <c r="J2019" t="s">
        <v>22</v>
      </c>
      <c r="K2019">
        <v>3</v>
      </c>
      <c r="L2019" t="e">
        <f t="array" ref="L2019">VLOOKUP(J2019:$J$3871&amp;K2019:$K$3871,CHOOSE({1,2},#REF!&amp;#REF!,#REF!),2,0)</f>
        <v>#N/A</v>
      </c>
      <c r="M2019">
        <v>-15</v>
      </c>
      <c r="N2019">
        <v>0</v>
      </c>
      <c r="O2019" t="s">
        <v>7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 t="s">
        <v>5097</v>
      </c>
      <c r="AB2019" t="s">
        <v>7263</v>
      </c>
      <c r="AC2019" t="s">
        <v>5097</v>
      </c>
      <c r="AD2019" t="e">
        <f>VLOOKUP(AB2019,#REF!,2,FALSE)</f>
        <v>#REF!</v>
      </c>
      <c r="AE2019" t="e">
        <f>RIGHT(#REF!,(FIND("Complex",#REF!,1)-10))</f>
        <v>#REF!</v>
      </c>
    </row>
    <row r="2020" spans="1:31" x14ac:dyDescent="0.25">
      <c r="A2020">
        <v>1153</v>
      </c>
      <c r="B2020" t="s">
        <v>7881</v>
      </c>
      <c r="C2020">
        <v>91</v>
      </c>
      <c r="D2020">
        <v>345</v>
      </c>
      <c r="E2020">
        <v>1153</v>
      </c>
      <c r="F2020">
        <v>2646001</v>
      </c>
      <c r="G2020">
        <v>2734200</v>
      </c>
      <c r="H2020">
        <f t="shared" si="62"/>
        <v>60.000022675736965</v>
      </c>
      <c r="I2020">
        <f t="shared" si="63"/>
        <v>62</v>
      </c>
      <c r="J2020" t="s">
        <v>22</v>
      </c>
      <c r="K2020">
        <v>3</v>
      </c>
      <c r="L2020" t="e">
        <f t="array" ref="L2020">VLOOKUP(J2020:$J$3871&amp;K2020:$K$3871,CHOOSE({1,2},#REF!&amp;#REF!,#REF!),2,0)</f>
        <v>#N/A</v>
      </c>
      <c r="M2020">
        <v>-15</v>
      </c>
      <c r="N2020">
        <v>0</v>
      </c>
      <c r="O2020" t="s">
        <v>7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 t="s">
        <v>5108</v>
      </c>
      <c r="AB2020" t="s">
        <v>7269</v>
      </c>
      <c r="AC2020" t="s">
        <v>5108</v>
      </c>
      <c r="AD2020" t="e">
        <f>VLOOKUP(AB2020,#REF!,2,FALSE)</f>
        <v>#REF!</v>
      </c>
      <c r="AE2020" t="e">
        <f>RIGHT(#REF!,(FIND("Complex",#REF!,1)-10))</f>
        <v>#REF!</v>
      </c>
    </row>
    <row r="2021" spans="1:31" x14ac:dyDescent="0.25">
      <c r="A2021">
        <v>276</v>
      </c>
      <c r="B2021" t="s">
        <v>7881</v>
      </c>
      <c r="C2021">
        <v>91</v>
      </c>
      <c r="D2021">
        <v>83</v>
      </c>
      <c r="E2021">
        <v>276</v>
      </c>
      <c r="F2021">
        <v>264601</v>
      </c>
      <c r="G2021">
        <v>352800</v>
      </c>
      <c r="H2021">
        <f t="shared" si="62"/>
        <v>6.000022675736961</v>
      </c>
      <c r="I2021">
        <f t="shared" si="63"/>
        <v>8</v>
      </c>
      <c r="J2021" t="s">
        <v>22</v>
      </c>
      <c r="K2021">
        <v>3</v>
      </c>
      <c r="L2021" t="e">
        <f t="array" ref="L2021">VLOOKUP(J2021:$J$3871&amp;K2021:$K$3871,CHOOSE({1,2},#REF!&amp;#REF!,#REF!),2,0)</f>
        <v>#N/A</v>
      </c>
      <c r="M2021">
        <v>-15</v>
      </c>
      <c r="N2021">
        <v>0</v>
      </c>
      <c r="O2021" t="s">
        <v>7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 t="s">
        <v>5122</v>
      </c>
      <c r="AB2021" t="s">
        <v>7278</v>
      </c>
      <c r="AC2021" t="s">
        <v>5122</v>
      </c>
      <c r="AD2021" t="e">
        <f>VLOOKUP(AB2021,#REF!,2,FALSE)</f>
        <v>#REF!</v>
      </c>
      <c r="AE2021" t="e">
        <f>RIGHT(#REF!,(FIND("Complex",#REF!,1)-10))</f>
        <v>#REF!</v>
      </c>
    </row>
    <row r="2022" spans="1:31" x14ac:dyDescent="0.25">
      <c r="A2022">
        <v>2633</v>
      </c>
      <c r="B2022" t="s">
        <v>7881</v>
      </c>
      <c r="C2022">
        <v>91</v>
      </c>
      <c r="D2022">
        <v>870</v>
      </c>
      <c r="E2022">
        <v>2633</v>
      </c>
      <c r="F2022">
        <v>2557801</v>
      </c>
      <c r="G2022">
        <v>2646000</v>
      </c>
      <c r="H2022">
        <f t="shared" si="62"/>
        <v>58.000022675736965</v>
      </c>
      <c r="I2022">
        <f t="shared" si="63"/>
        <v>60</v>
      </c>
      <c r="J2022" t="s">
        <v>22</v>
      </c>
      <c r="K2022">
        <v>3</v>
      </c>
      <c r="L2022" t="e">
        <f t="array" ref="L2022">VLOOKUP(J2022:$J$3871&amp;K2022:$K$3871,CHOOSE({1,2},#REF!&amp;#REF!,#REF!),2,0)</f>
        <v>#N/A</v>
      </c>
      <c r="M2022">
        <v>-15</v>
      </c>
      <c r="N2022">
        <v>0</v>
      </c>
      <c r="O2022" t="s">
        <v>7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 t="s">
        <v>5139</v>
      </c>
      <c r="AB2022" t="s">
        <v>7286</v>
      </c>
      <c r="AC2022" t="s">
        <v>5139</v>
      </c>
      <c r="AD2022" t="e">
        <f>VLOOKUP(AB2022,#REF!,2,FALSE)</f>
        <v>#REF!</v>
      </c>
      <c r="AE2022" t="e">
        <f>RIGHT(#REF!,(FIND("Complex",#REF!,1)-10))</f>
        <v>#REF!</v>
      </c>
    </row>
    <row r="2023" spans="1:31" x14ac:dyDescent="0.25">
      <c r="A2023">
        <v>1053</v>
      </c>
      <c r="B2023" t="s">
        <v>7881</v>
      </c>
      <c r="C2023">
        <v>91</v>
      </c>
      <c r="D2023">
        <v>315</v>
      </c>
      <c r="E2023">
        <v>1053</v>
      </c>
      <c r="F2023">
        <v>2381401</v>
      </c>
      <c r="G2023">
        <v>2469600</v>
      </c>
      <c r="H2023">
        <f t="shared" si="62"/>
        <v>54.000022675736965</v>
      </c>
      <c r="I2023">
        <f t="shared" si="63"/>
        <v>56</v>
      </c>
      <c r="J2023" t="s">
        <v>22</v>
      </c>
      <c r="K2023">
        <v>3</v>
      </c>
      <c r="L2023" t="e">
        <f t="array" ref="L2023">VLOOKUP(J2023:$J$3871&amp;K2023:$K$3871,CHOOSE({1,2},#REF!&amp;#REF!,#REF!),2,0)</f>
        <v>#N/A</v>
      </c>
      <c r="M2023">
        <v>-15</v>
      </c>
      <c r="N2023">
        <v>0</v>
      </c>
      <c r="O2023" t="s">
        <v>7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 t="s">
        <v>5164</v>
      </c>
      <c r="AB2023" t="s">
        <v>1805</v>
      </c>
      <c r="AC2023" t="s">
        <v>5164</v>
      </c>
      <c r="AD2023" t="e">
        <f>VLOOKUP(AB2023,#REF!,2,FALSE)</f>
        <v>#REF!</v>
      </c>
      <c r="AE2023" t="e">
        <f>RIGHT(#REF!,(FIND("Complex",#REF!,1)-10))</f>
        <v>#REF!</v>
      </c>
    </row>
    <row r="2024" spans="1:31" x14ac:dyDescent="0.25">
      <c r="A2024">
        <v>364</v>
      </c>
      <c r="B2024" t="s">
        <v>7881</v>
      </c>
      <c r="C2024">
        <v>91</v>
      </c>
      <c r="D2024">
        <v>116</v>
      </c>
      <c r="E2024">
        <v>364</v>
      </c>
      <c r="F2024">
        <v>2293201</v>
      </c>
      <c r="G2024">
        <v>2381400</v>
      </c>
      <c r="H2024">
        <f t="shared" si="62"/>
        <v>52.000022675736965</v>
      </c>
      <c r="I2024">
        <f t="shared" si="63"/>
        <v>54</v>
      </c>
      <c r="J2024" t="s">
        <v>22</v>
      </c>
      <c r="K2024">
        <v>3</v>
      </c>
      <c r="L2024" t="e">
        <f t="array" ref="L2024">VLOOKUP(J2024:$J$3871&amp;K2024:$K$3871,CHOOSE({1,2},#REF!&amp;#REF!,#REF!),2,0)</f>
        <v>#N/A</v>
      </c>
      <c r="M2024">
        <v>-15</v>
      </c>
      <c r="N2024">
        <v>0</v>
      </c>
      <c r="O2024" t="s">
        <v>7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 t="s">
        <v>5176</v>
      </c>
      <c r="AB2024" t="s">
        <v>1806</v>
      </c>
      <c r="AC2024" t="s">
        <v>5176</v>
      </c>
      <c r="AD2024" t="e">
        <f>VLOOKUP(AB2024,#REF!,2,FALSE)</f>
        <v>#REF!</v>
      </c>
      <c r="AE2024" t="e">
        <f>RIGHT(#REF!,(FIND("Complex",#REF!,1)-9))</f>
        <v>#REF!</v>
      </c>
    </row>
    <row r="2025" spans="1:31" x14ac:dyDescent="0.25">
      <c r="A2025">
        <v>888</v>
      </c>
      <c r="B2025" t="s">
        <v>7881</v>
      </c>
      <c r="C2025">
        <v>91</v>
      </c>
      <c r="D2025">
        <v>270</v>
      </c>
      <c r="E2025">
        <v>888</v>
      </c>
      <c r="F2025">
        <v>1940401</v>
      </c>
      <c r="G2025">
        <v>2028600</v>
      </c>
      <c r="H2025">
        <f t="shared" si="62"/>
        <v>44.000022675736965</v>
      </c>
      <c r="I2025">
        <f t="shared" si="63"/>
        <v>46</v>
      </c>
      <c r="J2025" t="s">
        <v>22</v>
      </c>
      <c r="K2025">
        <v>3</v>
      </c>
      <c r="L2025" t="e">
        <f t="array" ref="L2025">VLOOKUP(J2025:$J$3871&amp;K2025:$K$3871,CHOOSE({1,2},#REF!&amp;#REF!,#REF!),2,0)</f>
        <v>#N/A</v>
      </c>
      <c r="M2025">
        <v>-15</v>
      </c>
      <c r="N2025">
        <v>0</v>
      </c>
      <c r="O2025" t="s">
        <v>7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 t="s">
        <v>5228</v>
      </c>
      <c r="AB2025" t="s">
        <v>1800</v>
      </c>
      <c r="AC2025" t="s">
        <v>5228</v>
      </c>
      <c r="AD2025" t="e">
        <f>VLOOKUP(AB2025,#REF!,2,FALSE)</f>
        <v>#REF!</v>
      </c>
      <c r="AE2025" t="e">
        <f>RIGHT(#REF!,(FIND("Complex",#REF!,1)-9))</f>
        <v>#REF!</v>
      </c>
    </row>
    <row r="2026" spans="1:31" x14ac:dyDescent="0.25">
      <c r="A2026">
        <v>2556</v>
      </c>
      <c r="B2026" t="s">
        <v>7881</v>
      </c>
      <c r="C2026">
        <v>91</v>
      </c>
      <c r="D2026">
        <v>829</v>
      </c>
      <c r="E2026">
        <v>2556</v>
      </c>
      <c r="F2026">
        <v>1675801</v>
      </c>
      <c r="G2026">
        <v>1764000</v>
      </c>
      <c r="H2026">
        <f t="shared" si="62"/>
        <v>38.000022675736965</v>
      </c>
      <c r="I2026">
        <f t="shared" si="63"/>
        <v>40</v>
      </c>
      <c r="J2026" t="s">
        <v>22</v>
      </c>
      <c r="K2026">
        <v>3</v>
      </c>
      <c r="L2026" t="e">
        <f t="array" ref="L2026">VLOOKUP(J2026:$J$3871&amp;K2026:$K$3871,CHOOSE({1,2},#REF!&amp;#REF!,#REF!),2,0)</f>
        <v>#N/A</v>
      </c>
      <c r="M2026">
        <v>-15</v>
      </c>
      <c r="N2026">
        <v>0</v>
      </c>
      <c r="O2026" t="s">
        <v>7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 t="s">
        <v>5288</v>
      </c>
      <c r="AB2026" t="s">
        <v>1807</v>
      </c>
      <c r="AC2026" t="s">
        <v>5288</v>
      </c>
      <c r="AD2026" t="e">
        <f>VLOOKUP(AB2026,#REF!,2,FALSE)</f>
        <v>#REF!</v>
      </c>
      <c r="AE2026" t="e">
        <f>RIGHT(#REF!,(FIND("Complex",#REF!,1)-10))</f>
        <v>#REF!</v>
      </c>
    </row>
    <row r="2027" spans="1:31" x14ac:dyDescent="0.25">
      <c r="A2027">
        <v>1920</v>
      </c>
      <c r="B2027" t="s">
        <v>7881</v>
      </c>
      <c r="C2027">
        <v>91</v>
      </c>
      <c r="D2027">
        <v>584</v>
      </c>
      <c r="E2027">
        <v>1920</v>
      </c>
      <c r="F2027">
        <v>1587601</v>
      </c>
      <c r="G2027">
        <v>1675800</v>
      </c>
      <c r="H2027">
        <f t="shared" si="62"/>
        <v>36.000022675736965</v>
      </c>
      <c r="I2027">
        <f t="shared" si="63"/>
        <v>38</v>
      </c>
      <c r="J2027" t="s">
        <v>22</v>
      </c>
      <c r="K2027">
        <v>3</v>
      </c>
      <c r="L2027" t="e">
        <f t="array" ref="L2027">VLOOKUP(J2027:$J$3871&amp;K2027:$K$3871,CHOOSE({1,2},#REF!&amp;#REF!,#REF!),2,0)</f>
        <v>#N/A</v>
      </c>
      <c r="M2027">
        <v>-15</v>
      </c>
      <c r="N2027">
        <v>0</v>
      </c>
      <c r="O2027" t="s">
        <v>7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 t="s">
        <v>5313</v>
      </c>
      <c r="AB2027" t="s">
        <v>7372</v>
      </c>
      <c r="AC2027" t="s">
        <v>5313</v>
      </c>
      <c r="AD2027" t="e">
        <f>VLOOKUP(AB2027,#REF!,2,FALSE)</f>
        <v>#REF!</v>
      </c>
      <c r="AE2027" t="e">
        <f>RIGHT(#REF!,(FIND("Complex",#REF!,1)-10))</f>
        <v>#REF!</v>
      </c>
    </row>
    <row r="2028" spans="1:31" x14ac:dyDescent="0.25">
      <c r="A2028">
        <v>1565</v>
      </c>
      <c r="B2028" t="s">
        <v>7881</v>
      </c>
      <c r="C2028">
        <v>91</v>
      </c>
      <c r="D2028">
        <v>478</v>
      </c>
      <c r="E2028">
        <v>1565</v>
      </c>
      <c r="F2028">
        <v>1499401</v>
      </c>
      <c r="G2028">
        <v>1587600</v>
      </c>
      <c r="H2028">
        <f t="shared" si="62"/>
        <v>34.000022675736965</v>
      </c>
      <c r="I2028">
        <f t="shared" si="63"/>
        <v>36</v>
      </c>
      <c r="J2028" t="s">
        <v>22</v>
      </c>
      <c r="K2028">
        <v>3</v>
      </c>
      <c r="L2028" t="e">
        <f t="array" ref="L2028">VLOOKUP(J2028:$J$3871&amp;K2028:$K$3871,CHOOSE({1,2},#REF!&amp;#REF!,#REF!),2,0)</f>
        <v>#N/A</v>
      </c>
      <c r="M2028">
        <v>-15</v>
      </c>
      <c r="N2028">
        <v>0</v>
      </c>
      <c r="O2028" t="s">
        <v>7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 t="s">
        <v>5332</v>
      </c>
      <c r="AB2028" t="s">
        <v>7387</v>
      </c>
      <c r="AC2028" t="s">
        <v>5332</v>
      </c>
      <c r="AD2028" t="e">
        <f>VLOOKUP(AB2028,#REF!,2,FALSE)</f>
        <v>#REF!</v>
      </c>
      <c r="AE2028" t="e">
        <f>RIGHT(#REF!,(FIND("Complex",#REF!,1)-10))</f>
        <v>#REF!</v>
      </c>
    </row>
    <row r="2029" spans="1:31" x14ac:dyDescent="0.25">
      <c r="A2029">
        <v>1711</v>
      </c>
      <c r="B2029" t="s">
        <v>7881</v>
      </c>
      <c r="C2029">
        <v>91</v>
      </c>
      <c r="D2029">
        <v>517</v>
      </c>
      <c r="E2029">
        <v>1711</v>
      </c>
      <c r="F2029">
        <v>1234801</v>
      </c>
      <c r="G2029">
        <v>1323000</v>
      </c>
      <c r="H2029">
        <f t="shared" si="62"/>
        <v>28.000022675736961</v>
      </c>
      <c r="I2029">
        <f t="shared" si="63"/>
        <v>30</v>
      </c>
      <c r="J2029" t="s">
        <v>22</v>
      </c>
      <c r="K2029">
        <v>3</v>
      </c>
      <c r="L2029" t="e">
        <f t="array" ref="L2029">VLOOKUP(J2029:$J$3871&amp;K2029:$K$3871,CHOOSE({1,2},#REF!&amp;#REF!,#REF!),2,0)</f>
        <v>#N/A</v>
      </c>
      <c r="M2029">
        <v>-15</v>
      </c>
      <c r="N2029">
        <v>0</v>
      </c>
      <c r="O2029" t="s">
        <v>7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 t="s">
        <v>5406</v>
      </c>
      <c r="AB2029" t="s">
        <v>7427</v>
      </c>
      <c r="AC2029" t="s">
        <v>5406</v>
      </c>
      <c r="AD2029" t="e">
        <f>VLOOKUP(AB2029,#REF!,2,FALSE)</f>
        <v>#REF!</v>
      </c>
      <c r="AE2029" t="e">
        <f>RIGHT(#REF!,(FIND("Complex",#REF!,1)-10))</f>
        <v>#REF!</v>
      </c>
    </row>
    <row r="2030" spans="1:31" x14ac:dyDescent="0.25">
      <c r="A2030">
        <v>1772</v>
      </c>
      <c r="B2030" t="s">
        <v>7881</v>
      </c>
      <c r="C2030">
        <v>91</v>
      </c>
      <c r="D2030">
        <v>532</v>
      </c>
      <c r="E2030">
        <v>1772</v>
      </c>
      <c r="F2030">
        <v>1146601</v>
      </c>
      <c r="G2030">
        <v>1234800</v>
      </c>
      <c r="H2030">
        <f t="shared" si="62"/>
        <v>26.000022675736961</v>
      </c>
      <c r="I2030">
        <f t="shared" si="63"/>
        <v>28</v>
      </c>
      <c r="J2030" t="s">
        <v>22</v>
      </c>
      <c r="K2030">
        <v>3</v>
      </c>
      <c r="L2030" t="e">
        <f t="array" ref="L2030">VLOOKUP(J2030:$J$3871&amp;K2030:$K$3871,CHOOSE({1,2},#REF!&amp;#REF!,#REF!),2,0)</f>
        <v>#N/A</v>
      </c>
      <c r="M2030">
        <v>-15</v>
      </c>
      <c r="N2030">
        <v>0</v>
      </c>
      <c r="O2030" t="s">
        <v>7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 t="s">
        <v>5458</v>
      </c>
      <c r="AB2030" t="s">
        <v>1808</v>
      </c>
      <c r="AC2030" t="s">
        <v>5458</v>
      </c>
      <c r="AD2030" t="e">
        <f>VLOOKUP(AB2030,#REF!,2,FALSE)</f>
        <v>#REF!</v>
      </c>
      <c r="AE2030" t="e">
        <f>RIGHT(#REF!,(FIND("Complex",#REF!,1)-10))</f>
        <v>#REF!</v>
      </c>
    </row>
    <row r="2031" spans="1:31" x14ac:dyDescent="0.25">
      <c r="A2031">
        <v>2369</v>
      </c>
      <c r="B2031" t="s">
        <v>7881</v>
      </c>
      <c r="C2031">
        <v>91</v>
      </c>
      <c r="D2031">
        <v>756</v>
      </c>
      <c r="E2031">
        <v>2369</v>
      </c>
      <c r="F2031">
        <v>1058401</v>
      </c>
      <c r="G2031">
        <v>1146600</v>
      </c>
      <c r="H2031">
        <f t="shared" si="62"/>
        <v>24.000022675736961</v>
      </c>
      <c r="I2031">
        <f t="shared" si="63"/>
        <v>26</v>
      </c>
      <c r="J2031" t="s">
        <v>22</v>
      </c>
      <c r="K2031">
        <v>3</v>
      </c>
      <c r="L2031" t="e">
        <f t="array" ref="L2031">VLOOKUP(J2031:$J$3871&amp;K2031:$K$3871,CHOOSE({1,2},#REF!&amp;#REF!,#REF!),2,0)</f>
        <v>#N/A</v>
      </c>
      <c r="M2031">
        <v>-15</v>
      </c>
      <c r="N2031">
        <v>0</v>
      </c>
      <c r="O2031" t="s">
        <v>7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 t="s">
        <v>5518</v>
      </c>
      <c r="AB2031" t="s">
        <v>7504</v>
      </c>
      <c r="AC2031" t="s">
        <v>5518</v>
      </c>
      <c r="AD2031" t="e">
        <f>VLOOKUP(AB2031,#REF!,2,FALSE)</f>
        <v>#REF!</v>
      </c>
      <c r="AE2031" t="e">
        <f>RIGHT(#REF!,(FIND("Complex",#REF!,1)-10))</f>
        <v>#REF!</v>
      </c>
    </row>
    <row r="2032" spans="1:31" x14ac:dyDescent="0.25">
      <c r="A2032">
        <v>2319</v>
      </c>
      <c r="B2032" t="s">
        <v>7881</v>
      </c>
      <c r="C2032">
        <v>91</v>
      </c>
      <c r="D2032">
        <v>731</v>
      </c>
      <c r="E2032">
        <v>2319</v>
      </c>
      <c r="F2032">
        <v>705601</v>
      </c>
      <c r="G2032">
        <v>793800</v>
      </c>
      <c r="H2032">
        <f t="shared" si="62"/>
        <v>16.000022675736961</v>
      </c>
      <c r="I2032">
        <f t="shared" si="63"/>
        <v>18</v>
      </c>
      <c r="J2032" t="s">
        <v>22</v>
      </c>
      <c r="K2032">
        <v>3</v>
      </c>
      <c r="L2032" t="e">
        <f t="array" ref="L2032">VLOOKUP(J2032:$J$3871&amp;K2032:$K$3871,CHOOSE({1,2},#REF!&amp;#REF!,#REF!),2,0)</f>
        <v>#N/A</v>
      </c>
      <c r="M2032">
        <v>-15</v>
      </c>
      <c r="N2032">
        <v>0</v>
      </c>
      <c r="O2032" t="s">
        <v>7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 t="s">
        <v>5809</v>
      </c>
      <c r="AB2032" t="s">
        <v>1809</v>
      </c>
      <c r="AC2032" t="s">
        <v>5809</v>
      </c>
      <c r="AD2032" t="e">
        <f>VLOOKUP(AB2032,#REF!,2,FALSE)</f>
        <v>#REF!</v>
      </c>
      <c r="AE2032" t="e">
        <f>RIGHT(#REF!,(FIND("Complex",#REF!,1)-10))</f>
        <v>#REF!</v>
      </c>
    </row>
    <row r="2033" spans="1:31" x14ac:dyDescent="0.25">
      <c r="A2033">
        <v>22</v>
      </c>
      <c r="B2033" t="s">
        <v>7881</v>
      </c>
      <c r="C2033">
        <v>91</v>
      </c>
      <c r="D2033">
        <v>8</v>
      </c>
      <c r="E2033">
        <v>22</v>
      </c>
      <c r="F2033">
        <v>6526801</v>
      </c>
      <c r="G2033">
        <v>6615000</v>
      </c>
      <c r="H2033">
        <f t="shared" si="62"/>
        <v>148.00002267573697</v>
      </c>
      <c r="I2033">
        <f t="shared" si="63"/>
        <v>150</v>
      </c>
      <c r="J2033" t="s">
        <v>22</v>
      </c>
      <c r="K2033">
        <v>3</v>
      </c>
      <c r="L2033" t="e">
        <f t="array" ref="L2033">VLOOKUP(J2033:$J$3871&amp;K2033:$K$3871,CHOOSE({1,2},#REF!&amp;#REF!,#REF!),2,0)</f>
        <v>#N/A</v>
      </c>
      <c r="M2033">
        <v>-15</v>
      </c>
      <c r="N2033">
        <v>0</v>
      </c>
      <c r="O2033" t="s">
        <v>7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 t="s">
        <v>5883</v>
      </c>
      <c r="AB2033" t="s">
        <v>1810</v>
      </c>
      <c r="AC2033" t="s">
        <v>5883</v>
      </c>
      <c r="AD2033" t="e">
        <f>VLOOKUP(AB2033,#REF!,2,FALSE)</f>
        <v>#REF!</v>
      </c>
      <c r="AE2033" t="e">
        <f>RIGHT(#REF!,(FIND("Complex",#REF!,1)-7))</f>
        <v>#REF!</v>
      </c>
    </row>
    <row r="2034" spans="1:31" x14ac:dyDescent="0.25">
      <c r="A2034">
        <v>1378</v>
      </c>
      <c r="B2034" t="s">
        <v>7881</v>
      </c>
      <c r="C2034">
        <v>91</v>
      </c>
      <c r="D2034">
        <v>419</v>
      </c>
      <c r="E2034">
        <v>1378</v>
      </c>
      <c r="F2034">
        <v>5733001</v>
      </c>
      <c r="G2034">
        <v>5821200</v>
      </c>
      <c r="H2034">
        <f t="shared" si="62"/>
        <v>130.00002267573697</v>
      </c>
      <c r="I2034">
        <f t="shared" si="63"/>
        <v>132</v>
      </c>
      <c r="J2034" t="s">
        <v>22</v>
      </c>
      <c r="K2034">
        <v>3</v>
      </c>
      <c r="L2034" t="e">
        <f t="array" ref="L2034">VLOOKUP(J2034:$J$3871&amp;K2034:$K$3871,CHOOSE({1,2},#REF!&amp;#REF!,#REF!),2,0)</f>
        <v>#N/A</v>
      </c>
      <c r="M2034">
        <v>-15</v>
      </c>
      <c r="N2034">
        <v>0</v>
      </c>
      <c r="O2034" t="s">
        <v>7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 t="s">
        <v>5974</v>
      </c>
      <c r="AB2034" t="s">
        <v>7781</v>
      </c>
      <c r="AC2034" t="s">
        <v>5974</v>
      </c>
      <c r="AD2034" t="e">
        <f>VLOOKUP(AB2034,#REF!,2,FALSE)</f>
        <v>#REF!</v>
      </c>
      <c r="AE2034" t="e">
        <f>RIGHT(#REF!,(FIND("Complex",#REF!,1)-9))</f>
        <v>#REF!</v>
      </c>
    </row>
    <row r="2035" spans="1:31" x14ac:dyDescent="0.25">
      <c r="A2035">
        <v>2745</v>
      </c>
      <c r="B2035" t="s">
        <v>7881</v>
      </c>
      <c r="C2035">
        <v>91</v>
      </c>
      <c r="D2035">
        <v>908</v>
      </c>
      <c r="E2035">
        <v>2745</v>
      </c>
      <c r="F2035">
        <v>5644801</v>
      </c>
      <c r="G2035">
        <v>5733000</v>
      </c>
      <c r="H2035">
        <f t="shared" si="62"/>
        <v>128.00002267573697</v>
      </c>
      <c r="I2035">
        <f t="shared" si="63"/>
        <v>130</v>
      </c>
      <c r="J2035" t="s">
        <v>22</v>
      </c>
      <c r="K2035">
        <v>3</v>
      </c>
      <c r="L2035" t="e">
        <f t="array" ref="L2035">VLOOKUP(J2035:$J$3871&amp;K2035:$K$3871,CHOOSE({1,2},#REF!&amp;#REF!,#REF!),2,0)</f>
        <v>#N/A</v>
      </c>
      <c r="M2035">
        <v>-15</v>
      </c>
      <c r="N2035">
        <v>0</v>
      </c>
      <c r="O2035" t="s">
        <v>7</v>
      </c>
      <c r="P2035">
        <v>0</v>
      </c>
      <c r="Q2035">
        <v>1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 t="s">
        <v>5978</v>
      </c>
      <c r="AB2035" t="s">
        <v>7785</v>
      </c>
      <c r="AC2035" t="s">
        <v>5978</v>
      </c>
      <c r="AD2035" t="e">
        <f>VLOOKUP(AB2035,#REF!,2,FALSE)</f>
        <v>#REF!</v>
      </c>
      <c r="AE2035" t="e">
        <f>RIGHT(#REF!,(FIND("Complex",#REF!,1)-9))</f>
        <v>#REF!</v>
      </c>
    </row>
    <row r="2036" spans="1:31" x14ac:dyDescent="0.25">
      <c r="A2036">
        <v>791</v>
      </c>
      <c r="B2036" t="s">
        <v>7881</v>
      </c>
      <c r="C2036">
        <v>91</v>
      </c>
      <c r="D2036">
        <v>243</v>
      </c>
      <c r="E2036">
        <v>791</v>
      </c>
      <c r="F2036">
        <v>5556601</v>
      </c>
      <c r="G2036">
        <v>5644800</v>
      </c>
      <c r="H2036">
        <f t="shared" si="62"/>
        <v>126.00002267573696</v>
      </c>
      <c r="I2036">
        <f t="shared" si="63"/>
        <v>128</v>
      </c>
      <c r="J2036" t="s">
        <v>22</v>
      </c>
      <c r="K2036">
        <v>3</v>
      </c>
      <c r="L2036" t="e">
        <f t="array" ref="L2036">VLOOKUP(J2036:$J$3871&amp;K2036:$K$3871,CHOOSE({1,2},#REF!&amp;#REF!,#REF!),2,0)</f>
        <v>#N/A</v>
      </c>
      <c r="M2036">
        <v>-15</v>
      </c>
      <c r="N2036">
        <v>0</v>
      </c>
      <c r="O2036" t="s">
        <v>7</v>
      </c>
      <c r="P2036">
        <v>0</v>
      </c>
      <c r="Q2036">
        <v>1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 t="s">
        <v>5986</v>
      </c>
      <c r="AB2036" t="s">
        <v>7789</v>
      </c>
      <c r="AC2036" t="s">
        <v>5986</v>
      </c>
      <c r="AD2036" t="e">
        <f>VLOOKUP(AB2036,#REF!,2,FALSE)</f>
        <v>#REF!</v>
      </c>
      <c r="AE2036" t="e">
        <f>RIGHT(#REF!,(FIND("Complex",#REF!,1)-8))</f>
        <v>#REF!</v>
      </c>
    </row>
    <row r="2037" spans="1:31" x14ac:dyDescent="0.25">
      <c r="A2037">
        <v>663</v>
      </c>
      <c r="B2037" t="s">
        <v>7881</v>
      </c>
      <c r="C2037">
        <v>91</v>
      </c>
      <c r="D2037">
        <v>207</v>
      </c>
      <c r="E2037">
        <v>663</v>
      </c>
      <c r="F2037">
        <v>5380201</v>
      </c>
      <c r="G2037">
        <v>5468400</v>
      </c>
      <c r="H2037">
        <f t="shared" si="62"/>
        <v>122.00002267573696</v>
      </c>
      <c r="I2037">
        <f t="shared" si="63"/>
        <v>124</v>
      </c>
      <c r="J2037" t="s">
        <v>22</v>
      </c>
      <c r="K2037">
        <v>3</v>
      </c>
      <c r="L2037" t="e">
        <f t="array" ref="L2037">VLOOKUP(J2037:$J$3871&amp;K2037:$K$3871,CHOOSE({1,2},#REF!&amp;#REF!,#REF!),2,0)</f>
        <v>#N/A</v>
      </c>
      <c r="M2037">
        <v>-15</v>
      </c>
      <c r="N2037">
        <v>0</v>
      </c>
      <c r="O2037" t="s">
        <v>7</v>
      </c>
      <c r="P2037">
        <v>0</v>
      </c>
      <c r="Q2037">
        <v>1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 t="s">
        <v>6005</v>
      </c>
      <c r="AB2037" t="s">
        <v>7800</v>
      </c>
      <c r="AC2037" t="s">
        <v>6005</v>
      </c>
      <c r="AD2037" t="e">
        <f>VLOOKUP(AB2037,#REF!,2,FALSE)</f>
        <v>#REF!</v>
      </c>
      <c r="AE2037" t="e">
        <f>RIGHT(#REF!,(FIND("Complex",#REF!,1)-8))</f>
        <v>#REF!</v>
      </c>
    </row>
    <row r="2038" spans="1:31" x14ac:dyDescent="0.25">
      <c r="A2038">
        <v>2828</v>
      </c>
      <c r="B2038" t="s">
        <v>7881</v>
      </c>
      <c r="C2038">
        <v>91</v>
      </c>
      <c r="D2038">
        <v>929</v>
      </c>
      <c r="E2038">
        <v>2828</v>
      </c>
      <c r="F2038">
        <v>5292001</v>
      </c>
      <c r="G2038">
        <v>5380200</v>
      </c>
      <c r="H2038">
        <f t="shared" si="62"/>
        <v>120.00002267573696</v>
      </c>
      <c r="I2038">
        <f t="shared" si="63"/>
        <v>122</v>
      </c>
      <c r="J2038" t="s">
        <v>22</v>
      </c>
      <c r="K2038">
        <v>3</v>
      </c>
      <c r="L2038" t="e">
        <f t="array" ref="L2038">VLOOKUP(J2038:$J$3871&amp;K2038:$K$3871,CHOOSE({1,2},#REF!&amp;#REF!,#REF!),2,0)</f>
        <v>#N/A</v>
      </c>
      <c r="M2038">
        <v>-15</v>
      </c>
      <c r="N2038">
        <v>0</v>
      </c>
      <c r="O2038" t="s">
        <v>7</v>
      </c>
      <c r="P2038">
        <v>0</v>
      </c>
      <c r="Q2038">
        <v>1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 t="s">
        <v>6015</v>
      </c>
      <c r="AB2038" t="s">
        <v>7804</v>
      </c>
      <c r="AC2038" t="s">
        <v>6015</v>
      </c>
      <c r="AD2038" t="e">
        <f>VLOOKUP(AB2038,#REF!,2,FALSE)</f>
        <v>#REF!</v>
      </c>
      <c r="AE2038" t="e">
        <f>RIGHT(#REF!,(FIND("Complex",#REF!,1)-9))</f>
        <v>#REF!</v>
      </c>
    </row>
    <row r="2039" spans="1:31" x14ac:dyDescent="0.25">
      <c r="A2039">
        <v>2520</v>
      </c>
      <c r="B2039" t="s">
        <v>7881</v>
      </c>
      <c r="C2039">
        <v>91</v>
      </c>
      <c r="D2039">
        <v>820</v>
      </c>
      <c r="E2039">
        <v>2520</v>
      </c>
      <c r="F2039">
        <v>4939201</v>
      </c>
      <c r="G2039">
        <v>5027400</v>
      </c>
      <c r="H2039">
        <f t="shared" si="62"/>
        <v>112.00002267573696</v>
      </c>
      <c r="I2039">
        <f t="shared" si="63"/>
        <v>114</v>
      </c>
      <c r="J2039" t="s">
        <v>22</v>
      </c>
      <c r="K2039">
        <v>3</v>
      </c>
      <c r="L2039" t="e">
        <f t="array" ref="L2039">VLOOKUP(J2039:$J$3871&amp;K2039:$K$3871,CHOOSE({1,2},#REF!&amp;#REF!,#REF!),2,0)</f>
        <v>#N/A</v>
      </c>
      <c r="M2039">
        <v>-15</v>
      </c>
      <c r="N2039">
        <v>0</v>
      </c>
      <c r="O2039" t="s">
        <v>7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1</v>
      </c>
      <c r="W2039">
        <v>0</v>
      </c>
      <c r="X2039">
        <v>0</v>
      </c>
      <c r="Y2039">
        <v>0</v>
      </c>
      <c r="Z2039">
        <v>0</v>
      </c>
      <c r="AA2039" t="s">
        <v>6065</v>
      </c>
      <c r="AB2039" t="s">
        <v>7832</v>
      </c>
      <c r="AC2039" t="s">
        <v>6065</v>
      </c>
      <c r="AD2039" t="e">
        <f>VLOOKUP(AB2039,#REF!,2,FALSE)</f>
        <v>#REF!</v>
      </c>
      <c r="AE2039" t="e">
        <f>RIGHT(#REF!,(FIND("Complex",#REF!,1)-9))</f>
        <v>#REF!</v>
      </c>
    </row>
    <row r="2040" spans="1:31" x14ac:dyDescent="0.25">
      <c r="A2040">
        <v>152</v>
      </c>
      <c r="B2040" t="s">
        <v>7881</v>
      </c>
      <c r="C2040">
        <v>91</v>
      </c>
      <c r="D2040">
        <v>47</v>
      </c>
      <c r="E2040">
        <v>152</v>
      </c>
      <c r="F2040">
        <v>4851001</v>
      </c>
      <c r="G2040">
        <v>4939200</v>
      </c>
      <c r="H2040">
        <f t="shared" si="62"/>
        <v>110.00002267573696</v>
      </c>
      <c r="I2040">
        <f t="shared" si="63"/>
        <v>112</v>
      </c>
      <c r="J2040" t="s">
        <v>22</v>
      </c>
      <c r="K2040">
        <v>3</v>
      </c>
      <c r="L2040" t="e">
        <f t="array" ref="L2040">VLOOKUP(J2040:$J$3871&amp;K2040:$K$3871,CHOOSE({1,2},#REF!&amp;#REF!,#REF!),2,0)</f>
        <v>#N/A</v>
      </c>
      <c r="M2040">
        <v>-15</v>
      </c>
      <c r="N2040">
        <v>0</v>
      </c>
      <c r="O2040" t="s">
        <v>7</v>
      </c>
      <c r="P2040">
        <v>0</v>
      </c>
      <c r="Q2040">
        <v>1</v>
      </c>
      <c r="R2040">
        <v>0</v>
      </c>
      <c r="S2040">
        <v>0</v>
      </c>
      <c r="T2040">
        <v>0</v>
      </c>
      <c r="U2040">
        <v>1</v>
      </c>
      <c r="V2040">
        <v>1</v>
      </c>
      <c r="W2040">
        <v>0</v>
      </c>
      <c r="X2040">
        <v>0</v>
      </c>
      <c r="Y2040">
        <v>0</v>
      </c>
      <c r="Z2040">
        <v>0</v>
      </c>
      <c r="AA2040" t="s">
        <v>6073</v>
      </c>
      <c r="AB2040" t="s">
        <v>7835</v>
      </c>
      <c r="AC2040" t="s">
        <v>6073</v>
      </c>
      <c r="AD2040" t="e">
        <f>VLOOKUP(AB2040,#REF!,2,FALSE)</f>
        <v>#REF!</v>
      </c>
      <c r="AE2040" t="e">
        <f>RIGHT(#REF!,(FIND("Complex",#REF!,1)-8))</f>
        <v>#REF!</v>
      </c>
    </row>
    <row r="2041" spans="1:31" x14ac:dyDescent="0.25">
      <c r="A2041">
        <v>538</v>
      </c>
      <c r="B2041" t="s">
        <v>7881</v>
      </c>
      <c r="C2041">
        <v>91</v>
      </c>
      <c r="D2041">
        <v>174</v>
      </c>
      <c r="E2041">
        <v>538</v>
      </c>
      <c r="F2041">
        <v>4762801</v>
      </c>
      <c r="G2041">
        <v>4851000</v>
      </c>
      <c r="H2041">
        <f t="shared" si="62"/>
        <v>108.00002267573696</v>
      </c>
      <c r="I2041">
        <f t="shared" si="63"/>
        <v>110</v>
      </c>
      <c r="J2041" t="s">
        <v>22</v>
      </c>
      <c r="K2041">
        <v>3</v>
      </c>
      <c r="L2041" t="e">
        <f t="array" ref="L2041">VLOOKUP(J2041:$J$3871&amp;K2041:$K$3871,CHOOSE({1,2},#REF!&amp;#REF!,#REF!),2,0)</f>
        <v>#N/A</v>
      </c>
      <c r="M2041">
        <v>-15</v>
      </c>
      <c r="N2041">
        <v>0</v>
      </c>
      <c r="O2041" t="s">
        <v>7</v>
      </c>
      <c r="P2041">
        <v>0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 t="s">
        <v>6084</v>
      </c>
      <c r="AB2041" t="s">
        <v>7842</v>
      </c>
      <c r="AC2041" t="s">
        <v>6084</v>
      </c>
      <c r="AD2041" t="e">
        <f>VLOOKUP(AB2041,#REF!,2,FALSE)</f>
        <v>#REF!</v>
      </c>
      <c r="AE2041" t="e">
        <f>RIGHT(#REF!,(FIND("Complex",#REF!,1)-8))</f>
        <v>#REF!</v>
      </c>
    </row>
    <row r="2042" spans="1:31" x14ac:dyDescent="0.25">
      <c r="A2042">
        <v>2276</v>
      </c>
      <c r="B2042" t="s">
        <v>7881</v>
      </c>
      <c r="C2042">
        <v>91</v>
      </c>
      <c r="D2042">
        <v>711</v>
      </c>
      <c r="E2042">
        <v>2276</v>
      </c>
      <c r="F2042">
        <v>4674601</v>
      </c>
      <c r="G2042">
        <v>4762800</v>
      </c>
      <c r="H2042">
        <f t="shared" si="62"/>
        <v>106.00002267573696</v>
      </c>
      <c r="I2042">
        <f t="shared" si="63"/>
        <v>108</v>
      </c>
      <c r="J2042" t="s">
        <v>22</v>
      </c>
      <c r="K2042">
        <v>3</v>
      </c>
      <c r="L2042" t="e">
        <f t="array" ref="L2042">VLOOKUP(J2042:$J$3871&amp;K2042:$K$3871,CHOOSE({1,2},#REF!&amp;#REF!,#REF!),2,0)</f>
        <v>#N/A</v>
      </c>
      <c r="M2042">
        <v>-15</v>
      </c>
      <c r="N2042">
        <v>0</v>
      </c>
      <c r="O2042" t="s">
        <v>7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 t="s">
        <v>6091</v>
      </c>
      <c r="AB2042" t="s">
        <v>7847</v>
      </c>
      <c r="AC2042" t="s">
        <v>6091</v>
      </c>
      <c r="AD2042" t="e">
        <f>VLOOKUP(AB2042,#REF!,2,FALSE)</f>
        <v>#REF!</v>
      </c>
      <c r="AE2042" t="e">
        <f>RIGHT(#REF!,(FIND("Complex",#REF!,1)-9))</f>
        <v>#REF!</v>
      </c>
    </row>
    <row r="2043" spans="1:31" x14ac:dyDescent="0.25">
      <c r="A2043">
        <v>1315</v>
      </c>
      <c r="B2043" t="s">
        <v>7881</v>
      </c>
      <c r="C2043">
        <v>91</v>
      </c>
      <c r="D2043">
        <v>402</v>
      </c>
      <c r="E2043">
        <v>1315</v>
      </c>
      <c r="F2043">
        <v>4586401</v>
      </c>
      <c r="G2043">
        <v>4674600</v>
      </c>
      <c r="H2043">
        <f t="shared" si="62"/>
        <v>104.00002267573696</v>
      </c>
      <c r="I2043">
        <f t="shared" si="63"/>
        <v>106</v>
      </c>
      <c r="J2043" t="s">
        <v>22</v>
      </c>
      <c r="K2043">
        <v>3</v>
      </c>
      <c r="L2043" t="e">
        <f t="array" ref="L2043">VLOOKUP(J2043:$J$3871&amp;K2043:$K$3871,CHOOSE({1,2},#REF!&amp;#REF!,#REF!),2,0)</f>
        <v>#N/A</v>
      </c>
      <c r="M2043">
        <v>-15</v>
      </c>
      <c r="N2043">
        <v>0</v>
      </c>
      <c r="O2043" t="s">
        <v>7</v>
      </c>
      <c r="P2043">
        <v>0</v>
      </c>
      <c r="Q2043">
        <v>1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 t="s">
        <v>6098</v>
      </c>
      <c r="AB2043" t="s">
        <v>7852</v>
      </c>
      <c r="AC2043" t="s">
        <v>6098</v>
      </c>
      <c r="AD2043" t="e">
        <f>VLOOKUP(AB2043,#REF!,2,FALSE)</f>
        <v>#REF!</v>
      </c>
      <c r="AE2043" t="e">
        <f>RIGHT(#REF!,(FIND("Complex",#REF!,1)-9))</f>
        <v>#REF!</v>
      </c>
    </row>
    <row r="2044" spans="1:31" x14ac:dyDescent="0.25">
      <c r="A2044">
        <v>2175</v>
      </c>
      <c r="B2044" t="s">
        <v>268</v>
      </c>
      <c r="C2044">
        <v>92</v>
      </c>
      <c r="D2044">
        <v>668</v>
      </c>
      <c r="E2044">
        <v>2175</v>
      </c>
      <c r="F2044">
        <v>4057201</v>
      </c>
      <c r="G2044">
        <v>4145400</v>
      </c>
      <c r="H2044">
        <f t="shared" si="62"/>
        <v>92.000022675736957</v>
      </c>
      <c r="I2044">
        <f t="shared" si="63"/>
        <v>94</v>
      </c>
      <c r="J2044" t="s">
        <v>22</v>
      </c>
      <c r="K2044">
        <v>3</v>
      </c>
      <c r="L2044" t="e">
        <f t="array" ref="L2044">VLOOKUP(J2044:$J$3871&amp;K2044:$K$3871,CHOOSE({1,2},#REF!&amp;#REF!,#REF!),2,0)</f>
        <v>#N/A</v>
      </c>
      <c r="M2044">
        <v>-15</v>
      </c>
      <c r="N2044">
        <v>0</v>
      </c>
      <c r="O2044" t="s">
        <v>7</v>
      </c>
      <c r="P2044">
        <v>0</v>
      </c>
      <c r="Q2044">
        <v>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1</v>
      </c>
      <c r="Y2044">
        <v>0</v>
      </c>
      <c r="Z2044">
        <v>0</v>
      </c>
      <c r="AA2044" t="s">
        <v>4911</v>
      </c>
      <c r="AB2044" t="s">
        <v>7167</v>
      </c>
      <c r="AC2044" t="s">
        <v>4911</v>
      </c>
      <c r="AD2044" t="e">
        <f>VLOOKUP(AB2044,#REF!,2,FALSE)</f>
        <v>#REF!</v>
      </c>
      <c r="AE2044" t="e">
        <f>RIGHT(#REF!,(FIND("Complex",#REF!,1)-10))</f>
        <v>#REF!</v>
      </c>
    </row>
    <row r="2045" spans="1:31" x14ac:dyDescent="0.25">
      <c r="A2045">
        <v>1168</v>
      </c>
      <c r="B2045" t="s">
        <v>268</v>
      </c>
      <c r="C2045">
        <v>92</v>
      </c>
      <c r="D2045">
        <v>352</v>
      </c>
      <c r="E2045">
        <v>1168</v>
      </c>
      <c r="F2045">
        <v>3792601</v>
      </c>
      <c r="G2045">
        <v>3880800</v>
      </c>
      <c r="H2045">
        <f t="shared" si="62"/>
        <v>86.000022675736957</v>
      </c>
      <c r="I2045">
        <f t="shared" si="63"/>
        <v>88</v>
      </c>
      <c r="J2045" t="s">
        <v>22</v>
      </c>
      <c r="K2045">
        <v>3</v>
      </c>
      <c r="L2045" t="e">
        <f t="array" ref="L2045">VLOOKUP(J2045:$J$3871&amp;K2045:$K$3871,CHOOSE({1,2},#REF!&amp;#REF!,#REF!),2,0)</f>
        <v>#N/A</v>
      </c>
      <c r="M2045">
        <v>-15</v>
      </c>
      <c r="N2045">
        <v>0</v>
      </c>
      <c r="O2045" t="s">
        <v>7</v>
      </c>
      <c r="P2045">
        <v>0</v>
      </c>
      <c r="Q2045">
        <v>1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1</v>
      </c>
      <c r="Y2045">
        <v>0</v>
      </c>
      <c r="Z2045">
        <v>0</v>
      </c>
      <c r="AA2045" t="s">
        <v>4943</v>
      </c>
      <c r="AB2045" t="s">
        <v>7187</v>
      </c>
      <c r="AC2045" t="s">
        <v>4943</v>
      </c>
      <c r="AD2045" t="e">
        <f>VLOOKUP(AB2045,#REF!,2,FALSE)</f>
        <v>#REF!</v>
      </c>
      <c r="AE2045" t="e">
        <f>RIGHT(#REF!,(FIND("Complex",#REF!,1)-10))</f>
        <v>#REF!</v>
      </c>
    </row>
    <row r="2046" spans="1:31" x14ac:dyDescent="0.25">
      <c r="A2046">
        <v>2316</v>
      </c>
      <c r="B2046" t="s">
        <v>268</v>
      </c>
      <c r="C2046">
        <v>92</v>
      </c>
      <c r="D2046">
        <v>729</v>
      </c>
      <c r="E2046">
        <v>2316</v>
      </c>
      <c r="F2046">
        <v>2734201</v>
      </c>
      <c r="G2046">
        <v>2822400</v>
      </c>
      <c r="H2046">
        <f t="shared" si="62"/>
        <v>62.000022675736965</v>
      </c>
      <c r="I2046">
        <f t="shared" si="63"/>
        <v>64</v>
      </c>
      <c r="J2046" t="s">
        <v>22</v>
      </c>
      <c r="K2046">
        <v>3</v>
      </c>
      <c r="L2046" t="e">
        <f t="array" ref="L2046">VLOOKUP(J2046:$J$3871&amp;K2046:$K$3871,CHOOSE({1,2},#REF!&amp;#REF!,#REF!),2,0)</f>
        <v>#N/A</v>
      </c>
      <c r="M2046">
        <v>-15</v>
      </c>
      <c r="N2046">
        <v>0</v>
      </c>
      <c r="O2046" t="s">
        <v>7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1</v>
      </c>
      <c r="Y2046">
        <v>0</v>
      </c>
      <c r="Z2046">
        <v>0</v>
      </c>
      <c r="AA2046" t="s">
        <v>5096</v>
      </c>
      <c r="AB2046" t="s">
        <v>7262</v>
      </c>
      <c r="AC2046" t="s">
        <v>5096</v>
      </c>
      <c r="AD2046" t="e">
        <f>VLOOKUP(AB2046,#REF!,2,FALSE)</f>
        <v>#REF!</v>
      </c>
      <c r="AE2046" t="e">
        <f>RIGHT(#REF!,(FIND("Complex",#REF!,1)-10))</f>
        <v>#REF!</v>
      </c>
    </row>
    <row r="2047" spans="1:31" x14ac:dyDescent="0.25">
      <c r="A2047">
        <v>164</v>
      </c>
      <c r="B2047" t="s">
        <v>268</v>
      </c>
      <c r="C2047">
        <v>92</v>
      </c>
      <c r="D2047">
        <v>52</v>
      </c>
      <c r="E2047">
        <v>164</v>
      </c>
      <c r="F2047">
        <v>2646001</v>
      </c>
      <c r="G2047">
        <v>2734200</v>
      </c>
      <c r="H2047">
        <f t="shared" si="62"/>
        <v>60.000022675736965</v>
      </c>
      <c r="I2047">
        <f t="shared" si="63"/>
        <v>62</v>
      </c>
      <c r="J2047" t="s">
        <v>22</v>
      </c>
      <c r="K2047">
        <v>3</v>
      </c>
      <c r="L2047" t="e">
        <f t="array" ref="L2047">VLOOKUP(J2047:$J$3871&amp;K2047:$K$3871,CHOOSE({1,2},#REF!&amp;#REF!,#REF!),2,0)</f>
        <v>#N/A</v>
      </c>
      <c r="M2047">
        <v>-15</v>
      </c>
      <c r="N2047">
        <v>0</v>
      </c>
      <c r="O2047" t="s">
        <v>7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1</v>
      </c>
      <c r="Y2047">
        <v>0</v>
      </c>
      <c r="Z2047">
        <v>0</v>
      </c>
      <c r="AA2047" t="s">
        <v>5107</v>
      </c>
      <c r="AB2047" t="s">
        <v>7268</v>
      </c>
      <c r="AC2047" t="s">
        <v>5107</v>
      </c>
      <c r="AD2047" t="e">
        <f>VLOOKUP(AB2047,#REF!,2,FALSE)</f>
        <v>#REF!</v>
      </c>
      <c r="AE2047" t="e">
        <f>RIGHT(#REF!,(FIND("Complex",#REF!,1)-9))</f>
        <v>#REF!</v>
      </c>
    </row>
    <row r="2048" spans="1:31" x14ac:dyDescent="0.25">
      <c r="A2048">
        <v>2844</v>
      </c>
      <c r="B2048" t="s">
        <v>268</v>
      </c>
      <c r="C2048">
        <v>92</v>
      </c>
      <c r="D2048">
        <v>935</v>
      </c>
      <c r="E2048">
        <v>2844</v>
      </c>
      <c r="F2048">
        <v>264601</v>
      </c>
      <c r="G2048">
        <v>352800</v>
      </c>
      <c r="H2048">
        <f t="shared" si="62"/>
        <v>6.000022675736961</v>
      </c>
      <c r="I2048">
        <f t="shared" si="63"/>
        <v>8</v>
      </c>
      <c r="J2048" t="s">
        <v>22</v>
      </c>
      <c r="K2048">
        <v>3</v>
      </c>
      <c r="L2048" t="e">
        <f t="array" ref="L2048">VLOOKUP(J2048:$J$3871&amp;K2048:$K$3871,CHOOSE({1,2},#REF!&amp;#REF!,#REF!),2,0)</f>
        <v>#N/A</v>
      </c>
      <c r="M2048">
        <v>-15</v>
      </c>
      <c r="N2048">
        <v>0</v>
      </c>
      <c r="O2048" t="s">
        <v>7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1</v>
      </c>
      <c r="Y2048">
        <v>0</v>
      </c>
      <c r="Z2048">
        <v>0</v>
      </c>
      <c r="AA2048" t="s">
        <v>5121</v>
      </c>
      <c r="AB2048" t="s">
        <v>7277</v>
      </c>
      <c r="AC2048" t="s">
        <v>5121</v>
      </c>
      <c r="AD2048" t="e">
        <f>VLOOKUP(AB2048,#REF!,2,FALSE)</f>
        <v>#REF!</v>
      </c>
      <c r="AE2048" t="e">
        <f>RIGHT(#REF!,(FIND("Complex",#REF!,1)-11))</f>
        <v>#REF!</v>
      </c>
    </row>
    <row r="2049" spans="1:31" x14ac:dyDescent="0.25">
      <c r="A2049">
        <v>570</v>
      </c>
      <c r="B2049" t="s">
        <v>268</v>
      </c>
      <c r="C2049">
        <v>92</v>
      </c>
      <c r="D2049">
        <v>184</v>
      </c>
      <c r="E2049">
        <v>570</v>
      </c>
      <c r="F2049">
        <v>1940401</v>
      </c>
      <c r="G2049">
        <v>2028600</v>
      </c>
      <c r="H2049">
        <f t="shared" si="62"/>
        <v>44.000022675736965</v>
      </c>
      <c r="I2049">
        <f t="shared" si="63"/>
        <v>46</v>
      </c>
      <c r="J2049" t="s">
        <v>22</v>
      </c>
      <c r="K2049">
        <v>3</v>
      </c>
      <c r="L2049" t="e">
        <f t="array" ref="L2049">VLOOKUP(J2049:$J$3871&amp;K2049:$K$3871,CHOOSE({1,2},#REF!&amp;#REF!,#REF!),2,0)</f>
        <v>#N/A</v>
      </c>
      <c r="M2049">
        <v>-15</v>
      </c>
      <c r="N2049">
        <v>0</v>
      </c>
      <c r="O2049" t="s">
        <v>7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 t="s">
        <v>5227</v>
      </c>
      <c r="AB2049" t="s">
        <v>7326</v>
      </c>
      <c r="AC2049" t="s">
        <v>5227</v>
      </c>
      <c r="AD2049" t="e">
        <f>VLOOKUP(AB2049,#REF!,2,FALSE)</f>
        <v>#REF!</v>
      </c>
      <c r="AE2049" t="e">
        <f>RIGHT(#REF!,(FIND("Complex",#REF!,1)-9))</f>
        <v>#REF!</v>
      </c>
    </row>
    <row r="2050" spans="1:31" x14ac:dyDescent="0.25">
      <c r="A2050">
        <v>1716</v>
      </c>
      <c r="B2050" t="s">
        <v>268</v>
      </c>
      <c r="C2050">
        <v>92</v>
      </c>
      <c r="D2050">
        <v>520</v>
      </c>
      <c r="E2050">
        <v>1716</v>
      </c>
      <c r="F2050">
        <v>176401</v>
      </c>
      <c r="G2050">
        <v>264600</v>
      </c>
      <c r="H2050">
        <f t="shared" ref="H2050:H2113" si="64">F2050/44100</f>
        <v>4.000022675736961</v>
      </c>
      <c r="I2050">
        <f t="shared" ref="I2050:I2113" si="65">G2050/44100</f>
        <v>6</v>
      </c>
      <c r="J2050" t="s">
        <v>22</v>
      </c>
      <c r="K2050">
        <v>3</v>
      </c>
      <c r="L2050" t="e">
        <f t="array" ref="L2050">VLOOKUP(J2050:$J$3871&amp;K2050:$K$3871,CHOOSE({1,2},#REF!&amp;#REF!,#REF!),2,0)</f>
        <v>#N/A</v>
      </c>
      <c r="M2050">
        <v>-15</v>
      </c>
      <c r="N2050">
        <v>0</v>
      </c>
      <c r="O2050" t="s">
        <v>7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1</v>
      </c>
      <c r="Y2050">
        <v>0</v>
      </c>
      <c r="Z2050">
        <v>0</v>
      </c>
      <c r="AA2050" t="s">
        <v>5266</v>
      </c>
      <c r="AB2050" t="s">
        <v>7347</v>
      </c>
      <c r="AC2050" t="s">
        <v>5266</v>
      </c>
      <c r="AD2050" t="e">
        <f>VLOOKUP(AB2050,#REF!,2,FALSE)</f>
        <v>#REF!</v>
      </c>
      <c r="AE2050" t="e">
        <f>RIGHT(#REF!,(FIND("Complex",#REF!,1)-11))</f>
        <v>#REF!</v>
      </c>
    </row>
    <row r="2051" spans="1:31" x14ac:dyDescent="0.25">
      <c r="A2051">
        <v>2747</v>
      </c>
      <c r="B2051" t="s">
        <v>268</v>
      </c>
      <c r="C2051">
        <v>92</v>
      </c>
      <c r="D2051">
        <v>909</v>
      </c>
      <c r="E2051">
        <v>2747</v>
      </c>
      <c r="F2051">
        <v>1499401</v>
      </c>
      <c r="G2051">
        <v>1587600</v>
      </c>
      <c r="H2051">
        <f t="shared" si="64"/>
        <v>34.000022675736965</v>
      </c>
      <c r="I2051">
        <f t="shared" si="65"/>
        <v>36</v>
      </c>
      <c r="J2051" t="s">
        <v>22</v>
      </c>
      <c r="K2051">
        <v>3</v>
      </c>
      <c r="L2051" t="e">
        <f t="array" ref="L2051">VLOOKUP(J2051:$J$3871&amp;K2051:$K$3871,CHOOSE({1,2},#REF!&amp;#REF!,#REF!),2,0)</f>
        <v>#N/A</v>
      </c>
      <c r="M2051">
        <v>-15</v>
      </c>
      <c r="N2051">
        <v>0</v>
      </c>
      <c r="O2051" t="s">
        <v>7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1</v>
      </c>
      <c r="Y2051">
        <v>0</v>
      </c>
      <c r="Z2051">
        <v>0</v>
      </c>
      <c r="AA2051" t="s">
        <v>5331</v>
      </c>
      <c r="AB2051" t="s">
        <v>7386</v>
      </c>
      <c r="AC2051" t="s">
        <v>5331</v>
      </c>
      <c r="AD2051" t="e">
        <f>VLOOKUP(AB2051,#REF!,2,FALSE)</f>
        <v>#REF!</v>
      </c>
      <c r="AE2051" t="e">
        <f>RIGHT(#REF!,(FIND("Complex",#REF!,1)-10))</f>
        <v>#REF!</v>
      </c>
    </row>
    <row r="2052" spans="1:31" x14ac:dyDescent="0.25">
      <c r="A2052">
        <v>1866</v>
      </c>
      <c r="B2052" t="s">
        <v>268</v>
      </c>
      <c r="C2052">
        <v>92</v>
      </c>
      <c r="D2052">
        <v>562</v>
      </c>
      <c r="E2052">
        <v>1866</v>
      </c>
      <c r="F2052">
        <v>9437401</v>
      </c>
      <c r="G2052">
        <v>9525600</v>
      </c>
      <c r="H2052">
        <f t="shared" si="64"/>
        <v>214.00002267573697</v>
      </c>
      <c r="I2052">
        <f t="shared" si="65"/>
        <v>216</v>
      </c>
      <c r="J2052" t="s">
        <v>22</v>
      </c>
      <c r="K2052">
        <v>3</v>
      </c>
      <c r="L2052" t="e">
        <f t="array" ref="L2052">VLOOKUP(J2052:$J$3871&amp;K2052:$K$3871,CHOOSE({1,2},#REF!&amp;#REF!,#REF!),2,0)</f>
        <v>#N/A</v>
      </c>
      <c r="M2052">
        <v>-15</v>
      </c>
      <c r="N2052">
        <v>0</v>
      </c>
      <c r="O2052" t="s">
        <v>7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1</v>
      </c>
      <c r="Y2052">
        <v>0</v>
      </c>
      <c r="Z2052">
        <v>0</v>
      </c>
      <c r="AA2052" t="s">
        <v>5596</v>
      </c>
      <c r="AB2052" t="s">
        <v>7550</v>
      </c>
      <c r="AC2052" t="s">
        <v>5596</v>
      </c>
      <c r="AD2052" t="e">
        <f>VLOOKUP(AB2052,#REF!,2,FALSE)</f>
        <v>#REF!</v>
      </c>
      <c r="AE2052" t="e">
        <f>RIGHT(#REF!,(FIND("Complex",#REF!,1)-9))</f>
        <v>#REF!</v>
      </c>
    </row>
    <row r="2053" spans="1:31" x14ac:dyDescent="0.25">
      <c r="A2053">
        <v>34</v>
      </c>
      <c r="B2053" t="s">
        <v>268</v>
      </c>
      <c r="C2053">
        <v>92</v>
      </c>
      <c r="D2053">
        <v>10</v>
      </c>
      <c r="E2053">
        <v>34</v>
      </c>
      <c r="F2053">
        <v>9084601</v>
      </c>
      <c r="G2053">
        <v>9172800</v>
      </c>
      <c r="H2053">
        <f t="shared" si="64"/>
        <v>206.00002267573697</v>
      </c>
      <c r="I2053">
        <f t="shared" si="65"/>
        <v>208</v>
      </c>
      <c r="J2053" t="s">
        <v>22</v>
      </c>
      <c r="K2053">
        <v>3</v>
      </c>
      <c r="L2053" t="e">
        <f t="array" ref="L2053">VLOOKUP(J2053:$J$3871&amp;K2053:$K$3871,CHOOSE({1,2},#REF!&amp;#REF!,#REF!),2,0)</f>
        <v>#N/A</v>
      </c>
      <c r="M2053">
        <v>-15</v>
      </c>
      <c r="N2053">
        <v>0</v>
      </c>
      <c r="O2053" t="s">
        <v>7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1</v>
      </c>
      <c r="Y2053">
        <v>0</v>
      </c>
      <c r="Z2053">
        <v>0</v>
      </c>
      <c r="AA2053" t="s">
        <v>5616</v>
      </c>
      <c r="AB2053" t="s">
        <v>7564</v>
      </c>
      <c r="AC2053" t="s">
        <v>5616</v>
      </c>
      <c r="AD2053" t="e">
        <f>VLOOKUP(AB2053,#REF!,2,FALSE)</f>
        <v>#REF!</v>
      </c>
      <c r="AE2053" t="e">
        <f>RIGHT(#REF!,(FIND("Complex",#REF!,1)-7))</f>
        <v>#REF!</v>
      </c>
    </row>
    <row r="2054" spans="1:31" x14ac:dyDescent="0.25">
      <c r="A2054">
        <v>1452</v>
      </c>
      <c r="B2054" t="s">
        <v>268</v>
      </c>
      <c r="C2054">
        <v>92</v>
      </c>
      <c r="D2054">
        <v>441</v>
      </c>
      <c r="E2054">
        <v>1452</v>
      </c>
      <c r="F2054">
        <v>8202601</v>
      </c>
      <c r="G2054">
        <v>8290800</v>
      </c>
      <c r="H2054">
        <f t="shared" si="64"/>
        <v>186.00002267573697</v>
      </c>
      <c r="I2054">
        <f t="shared" si="65"/>
        <v>188</v>
      </c>
      <c r="J2054" t="s">
        <v>22</v>
      </c>
      <c r="K2054">
        <v>3</v>
      </c>
      <c r="L2054" t="e">
        <f t="array" ref="L2054">VLOOKUP(J2054:$J$3871&amp;K2054:$K$3871,CHOOSE({1,2},#REF!&amp;#REF!,#REF!),2,0)</f>
        <v>#N/A</v>
      </c>
      <c r="M2054">
        <v>-15</v>
      </c>
      <c r="N2054">
        <v>0</v>
      </c>
      <c r="O2054" t="s">
        <v>7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1</v>
      </c>
      <c r="Y2054">
        <v>0</v>
      </c>
      <c r="Z2054">
        <v>0</v>
      </c>
      <c r="AA2054" t="s">
        <v>5683</v>
      </c>
      <c r="AB2054" t="s">
        <v>7611</v>
      </c>
      <c r="AC2054" t="s">
        <v>5683</v>
      </c>
      <c r="AD2054" t="e">
        <f>VLOOKUP(AB2054,#REF!,2,FALSE)</f>
        <v>#REF!</v>
      </c>
      <c r="AE2054" t="e">
        <f>RIGHT(#REF!,(FIND("Complex",#REF!,1)-9))</f>
        <v>#REF!</v>
      </c>
    </row>
    <row r="2055" spans="1:31" x14ac:dyDescent="0.25">
      <c r="A2055">
        <v>1123</v>
      </c>
      <c r="B2055" t="s">
        <v>268</v>
      </c>
      <c r="C2055">
        <v>92</v>
      </c>
      <c r="D2055">
        <v>336</v>
      </c>
      <c r="E2055">
        <v>1123</v>
      </c>
      <c r="F2055">
        <v>8114401</v>
      </c>
      <c r="G2055">
        <v>8202600</v>
      </c>
      <c r="H2055">
        <f t="shared" si="64"/>
        <v>184.00002267573697</v>
      </c>
      <c r="I2055">
        <f t="shared" si="65"/>
        <v>186</v>
      </c>
      <c r="J2055" t="s">
        <v>22</v>
      </c>
      <c r="K2055">
        <v>3</v>
      </c>
      <c r="L2055" t="e">
        <f t="array" ref="L2055">VLOOKUP(J2055:$J$3871&amp;K2055:$K$3871,CHOOSE({1,2},#REF!&amp;#REF!,#REF!),2,0)</f>
        <v>#N/A</v>
      </c>
      <c r="M2055">
        <v>-15</v>
      </c>
      <c r="N2055">
        <v>0</v>
      </c>
      <c r="O2055" t="s">
        <v>7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1</v>
      </c>
      <c r="Y2055">
        <v>0</v>
      </c>
      <c r="Z2055">
        <v>0</v>
      </c>
      <c r="AA2055" t="s">
        <v>5686</v>
      </c>
      <c r="AB2055" t="s">
        <v>7613</v>
      </c>
      <c r="AC2055" t="s">
        <v>5686</v>
      </c>
      <c r="AD2055" t="e">
        <f>VLOOKUP(AB2055,#REF!,2,FALSE)</f>
        <v>#REF!</v>
      </c>
      <c r="AE2055" t="e">
        <f>RIGHT(#REF!,(FIND("Complex",#REF!,1)-9))</f>
        <v>#REF!</v>
      </c>
    </row>
    <row r="2056" spans="1:31" x14ac:dyDescent="0.25">
      <c r="A2056">
        <v>2143</v>
      </c>
      <c r="B2056" t="s">
        <v>268</v>
      </c>
      <c r="C2056">
        <v>92</v>
      </c>
      <c r="D2056">
        <v>654</v>
      </c>
      <c r="E2056">
        <v>2143</v>
      </c>
      <c r="F2056">
        <v>7232401</v>
      </c>
      <c r="G2056">
        <v>7320600</v>
      </c>
      <c r="H2056">
        <f t="shared" si="64"/>
        <v>164.00002267573697</v>
      </c>
      <c r="I2056">
        <f t="shared" si="65"/>
        <v>166</v>
      </c>
      <c r="J2056" t="s">
        <v>22</v>
      </c>
      <c r="K2056">
        <v>3</v>
      </c>
      <c r="L2056" t="e">
        <f t="array" ref="L2056">VLOOKUP(J2056:$J$3871&amp;K2056:$K$3871,CHOOSE({1,2},#REF!&amp;#REF!,#REF!),2,0)</f>
        <v>#N/A</v>
      </c>
      <c r="M2056">
        <v>-15</v>
      </c>
      <c r="N2056">
        <v>0</v>
      </c>
      <c r="O2056" t="s">
        <v>7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1</v>
      </c>
      <c r="Y2056">
        <v>0</v>
      </c>
      <c r="Z2056">
        <v>0</v>
      </c>
      <c r="AA2056" t="s">
        <v>5774</v>
      </c>
      <c r="AB2056" t="s">
        <v>1811</v>
      </c>
      <c r="AC2056" t="s">
        <v>5774</v>
      </c>
      <c r="AD2056" t="e">
        <f>VLOOKUP(AB2056,#REF!,2,FALSE)</f>
        <v>#REF!</v>
      </c>
      <c r="AE2056" t="e">
        <f>RIGHT(#REF!,(FIND("Complex",#REF!,1)-9))</f>
        <v>#REF!</v>
      </c>
    </row>
    <row r="2057" spans="1:31" x14ac:dyDescent="0.25">
      <c r="A2057">
        <v>2698</v>
      </c>
      <c r="B2057" t="s">
        <v>268</v>
      </c>
      <c r="C2057">
        <v>92</v>
      </c>
      <c r="D2057">
        <v>895</v>
      </c>
      <c r="E2057">
        <v>2698</v>
      </c>
      <c r="F2057">
        <v>7056001</v>
      </c>
      <c r="G2057">
        <v>7144200</v>
      </c>
      <c r="H2057">
        <f t="shared" si="64"/>
        <v>160.00002267573697</v>
      </c>
      <c r="I2057">
        <f t="shared" si="65"/>
        <v>162</v>
      </c>
      <c r="J2057" t="s">
        <v>22</v>
      </c>
      <c r="K2057">
        <v>3</v>
      </c>
      <c r="L2057" t="e">
        <f t="array" ref="L2057">VLOOKUP(J2057:$J$3871&amp;K2057:$K$3871,CHOOSE({1,2},#REF!&amp;#REF!,#REF!),2,0)</f>
        <v>#N/A</v>
      </c>
      <c r="M2057">
        <v>-15</v>
      </c>
      <c r="N2057">
        <v>0</v>
      </c>
      <c r="O2057" t="s">
        <v>7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 t="s">
        <v>5797</v>
      </c>
      <c r="AB2057" t="s">
        <v>7679</v>
      </c>
      <c r="AC2057" t="s">
        <v>5797</v>
      </c>
      <c r="AD2057" t="e">
        <f>VLOOKUP(AB2057,#REF!,2,FALSE)</f>
        <v>#REF!</v>
      </c>
      <c r="AE2057" t="e">
        <f>RIGHT(#REF!,(FIND("Complex",#REF!,1)-9))</f>
        <v>#REF!</v>
      </c>
    </row>
    <row r="2058" spans="1:31" x14ac:dyDescent="0.25">
      <c r="A2058">
        <v>1052</v>
      </c>
      <c r="B2058" t="s">
        <v>268</v>
      </c>
      <c r="C2058">
        <v>92</v>
      </c>
      <c r="D2058">
        <v>314</v>
      </c>
      <c r="E2058">
        <v>1052</v>
      </c>
      <c r="F2058">
        <v>705601</v>
      </c>
      <c r="G2058">
        <v>793800</v>
      </c>
      <c r="H2058">
        <f t="shared" si="64"/>
        <v>16.000022675736961</v>
      </c>
      <c r="I2058">
        <f t="shared" si="65"/>
        <v>18</v>
      </c>
      <c r="J2058" t="s">
        <v>22</v>
      </c>
      <c r="K2058">
        <v>3</v>
      </c>
      <c r="L2058" t="e">
        <f t="array" ref="L2058">VLOOKUP(J2058:$J$3871&amp;K2058:$K$3871,CHOOSE({1,2},#REF!&amp;#REF!,#REF!),2,0)</f>
        <v>#N/A</v>
      </c>
      <c r="M2058">
        <v>-15</v>
      </c>
      <c r="N2058">
        <v>0</v>
      </c>
      <c r="O2058" t="s">
        <v>7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1</v>
      </c>
      <c r="Y2058">
        <v>0</v>
      </c>
      <c r="Z2058">
        <v>0</v>
      </c>
      <c r="AA2058" t="s">
        <v>5808</v>
      </c>
      <c r="AB2058" t="s">
        <v>7686</v>
      </c>
      <c r="AC2058" t="s">
        <v>5808</v>
      </c>
      <c r="AD2058" t="e">
        <f>VLOOKUP(AB2058,#REF!,2,FALSE)</f>
        <v>#REF!</v>
      </c>
      <c r="AE2058" t="e">
        <f>RIGHT(#REF!,(FIND("Complex",#REF!,1)-10))</f>
        <v>#REF!</v>
      </c>
    </row>
    <row r="2059" spans="1:31" x14ac:dyDescent="0.25">
      <c r="A2059">
        <v>2615</v>
      </c>
      <c r="B2059" t="s">
        <v>268</v>
      </c>
      <c r="C2059">
        <v>92</v>
      </c>
      <c r="D2059">
        <v>862</v>
      </c>
      <c r="E2059">
        <v>2615</v>
      </c>
      <c r="F2059">
        <v>617401</v>
      </c>
      <c r="G2059">
        <v>705600</v>
      </c>
      <c r="H2059">
        <f t="shared" si="64"/>
        <v>14.000022675736961</v>
      </c>
      <c r="I2059">
        <f t="shared" si="65"/>
        <v>16</v>
      </c>
      <c r="J2059" t="s">
        <v>22</v>
      </c>
      <c r="K2059">
        <v>3</v>
      </c>
      <c r="L2059" t="e">
        <f t="array" ref="L2059">VLOOKUP(J2059:$J$3871&amp;K2059:$K$3871,CHOOSE({1,2},#REF!&amp;#REF!,#REF!),2,0)</f>
        <v>#N/A</v>
      </c>
      <c r="M2059">
        <v>-15</v>
      </c>
      <c r="N2059">
        <v>0</v>
      </c>
      <c r="O2059" t="s">
        <v>7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1</v>
      </c>
      <c r="Y2059">
        <v>0</v>
      </c>
      <c r="Z2059">
        <v>0</v>
      </c>
      <c r="AA2059" t="s">
        <v>5932</v>
      </c>
      <c r="AB2059" t="s">
        <v>7759</v>
      </c>
      <c r="AC2059" t="s">
        <v>5932</v>
      </c>
      <c r="AD2059" t="e">
        <f>VLOOKUP(AB2059,#REF!,2,FALSE)</f>
        <v>#REF!</v>
      </c>
      <c r="AE2059" t="e">
        <f>RIGHT(#REF!,(FIND("Complex",#REF!,1)-10))</f>
        <v>#REF!</v>
      </c>
    </row>
    <row r="2060" spans="1:31" x14ac:dyDescent="0.25">
      <c r="A2060">
        <v>2367</v>
      </c>
      <c r="B2060" t="s">
        <v>268</v>
      </c>
      <c r="C2060">
        <v>92</v>
      </c>
      <c r="D2060">
        <v>755</v>
      </c>
      <c r="E2060">
        <v>2367</v>
      </c>
      <c r="F2060">
        <v>4939201</v>
      </c>
      <c r="G2060">
        <v>5027400</v>
      </c>
      <c r="H2060">
        <f t="shared" si="64"/>
        <v>112.00002267573696</v>
      </c>
      <c r="I2060">
        <f t="shared" si="65"/>
        <v>114</v>
      </c>
      <c r="J2060" t="s">
        <v>22</v>
      </c>
      <c r="K2060">
        <v>3</v>
      </c>
      <c r="L2060" t="e">
        <f t="array" ref="L2060">VLOOKUP(J2060:$J$3871&amp;K2060:$K$3871,CHOOSE({1,2},#REF!&amp;#REF!,#REF!),2,0)</f>
        <v>#N/A</v>
      </c>
      <c r="M2060">
        <v>-15</v>
      </c>
      <c r="N2060">
        <v>0</v>
      </c>
      <c r="O2060" t="s">
        <v>7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1</v>
      </c>
      <c r="Y2060">
        <v>0</v>
      </c>
      <c r="Z2060">
        <v>0</v>
      </c>
      <c r="AA2060" t="s">
        <v>6064</v>
      </c>
      <c r="AB2060" t="s">
        <v>7831</v>
      </c>
      <c r="AC2060" t="s">
        <v>6064</v>
      </c>
      <c r="AD2060" t="e">
        <f>VLOOKUP(AB2060,#REF!,2,FALSE)</f>
        <v>#REF!</v>
      </c>
      <c r="AE2060" t="e">
        <f>RIGHT(#REF!,(FIND("Complex",#REF!,1)-9))</f>
        <v>#REF!</v>
      </c>
    </row>
    <row r="2061" spans="1:31" x14ac:dyDescent="0.25">
      <c r="A2061">
        <v>1553</v>
      </c>
      <c r="B2061" t="s">
        <v>268</v>
      </c>
      <c r="C2061">
        <v>92</v>
      </c>
      <c r="D2061">
        <v>474</v>
      </c>
      <c r="E2061">
        <v>1553</v>
      </c>
      <c r="F2061">
        <v>1</v>
      </c>
      <c r="G2061">
        <v>88200</v>
      </c>
      <c r="H2061">
        <f t="shared" si="64"/>
        <v>2.2675736961451248E-5</v>
      </c>
      <c r="I2061">
        <f t="shared" si="65"/>
        <v>2</v>
      </c>
      <c r="J2061" t="s">
        <v>22</v>
      </c>
      <c r="K2061">
        <v>3</v>
      </c>
      <c r="L2061" t="e">
        <f t="array" ref="L2061">VLOOKUP(J2061:$J$3871&amp;K2061:$K$3871,CHOOSE({1,2},#REF!&amp;#REF!,#REF!),2,0)</f>
        <v>#N/A</v>
      </c>
      <c r="M2061">
        <v>-15</v>
      </c>
      <c r="N2061">
        <v>0</v>
      </c>
      <c r="O2061" t="s">
        <v>7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1</v>
      </c>
      <c r="Y2061">
        <v>0</v>
      </c>
      <c r="Z2061">
        <v>0</v>
      </c>
      <c r="AA2061" t="s">
        <v>6141</v>
      </c>
      <c r="AB2061" t="s">
        <v>269</v>
      </c>
      <c r="AC2061" t="s">
        <v>6141</v>
      </c>
      <c r="AD2061" t="e">
        <f>VLOOKUP(AB2061,#REF!,2,FALSE)</f>
        <v>#REF!</v>
      </c>
      <c r="AE2061" t="e">
        <f>RIGHT(#REF!,(FIND("Complex",#REF!,1)-11))</f>
        <v>#REF!</v>
      </c>
    </row>
    <row r="2062" spans="1:31" x14ac:dyDescent="0.25">
      <c r="A2062">
        <v>2442</v>
      </c>
      <c r="B2062" t="s">
        <v>76</v>
      </c>
      <c r="C2062">
        <v>93</v>
      </c>
      <c r="D2062">
        <v>785</v>
      </c>
      <c r="E2062">
        <v>2442</v>
      </c>
      <c r="F2062">
        <v>4233601</v>
      </c>
      <c r="G2062">
        <v>4321800</v>
      </c>
      <c r="H2062">
        <f t="shared" si="64"/>
        <v>96.000022675736957</v>
      </c>
      <c r="I2062">
        <f t="shared" si="65"/>
        <v>98</v>
      </c>
      <c r="J2062" t="s">
        <v>22</v>
      </c>
      <c r="K2062">
        <v>3</v>
      </c>
      <c r="L2062" t="e">
        <f t="array" ref="L2062">VLOOKUP(J2062:$J$3871&amp;K2062:$K$3871,CHOOSE({1,2},#REF!&amp;#REF!,#REF!),2,0)</f>
        <v>#N/A</v>
      </c>
      <c r="M2062">
        <v>-15</v>
      </c>
      <c r="N2062">
        <v>0</v>
      </c>
      <c r="O2062" t="s">
        <v>7</v>
      </c>
      <c r="P2062">
        <v>1</v>
      </c>
      <c r="Q2062">
        <v>1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 t="s">
        <v>4891</v>
      </c>
      <c r="AB2062" t="s">
        <v>7154</v>
      </c>
      <c r="AC2062" t="s">
        <v>4891</v>
      </c>
      <c r="AD2062" t="e">
        <f>VLOOKUP(AB2062,#REF!,2,FALSE)</f>
        <v>#REF!</v>
      </c>
      <c r="AE2062" t="e">
        <f>RIGHT(#REF!,(FIND("Complex",#REF!,1)-10))</f>
        <v>#REF!</v>
      </c>
    </row>
    <row r="2063" spans="1:31" x14ac:dyDescent="0.25">
      <c r="A2063">
        <v>2843</v>
      </c>
      <c r="B2063" t="s">
        <v>76</v>
      </c>
      <c r="C2063">
        <v>93</v>
      </c>
      <c r="D2063">
        <v>934</v>
      </c>
      <c r="E2063">
        <v>2843</v>
      </c>
      <c r="F2063">
        <v>3969001</v>
      </c>
      <c r="G2063">
        <v>4057200</v>
      </c>
      <c r="H2063">
        <f t="shared" si="64"/>
        <v>90.000022675736957</v>
      </c>
      <c r="I2063">
        <f t="shared" si="65"/>
        <v>92</v>
      </c>
      <c r="J2063" t="s">
        <v>22</v>
      </c>
      <c r="K2063">
        <v>3</v>
      </c>
      <c r="L2063" t="e">
        <f t="array" ref="L2063">VLOOKUP(J2063:$J$3871&amp;K2063:$K$3871,CHOOSE({1,2},#REF!&amp;#REF!,#REF!),2,0)</f>
        <v>#N/A</v>
      </c>
      <c r="M2063">
        <v>-15</v>
      </c>
      <c r="N2063">
        <v>0</v>
      </c>
      <c r="O2063" t="s">
        <v>7</v>
      </c>
      <c r="P2063">
        <v>1</v>
      </c>
      <c r="Q2063">
        <v>1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 t="s">
        <v>4923</v>
      </c>
      <c r="AB2063" t="s">
        <v>7174</v>
      </c>
      <c r="AC2063" t="s">
        <v>4923</v>
      </c>
      <c r="AD2063" t="e">
        <f>VLOOKUP(AB2063,#REF!,2,FALSE)</f>
        <v>#REF!</v>
      </c>
      <c r="AE2063" t="e">
        <f>RIGHT(#REF!,(FIND("Complex",#REF!,1)-10))</f>
        <v>#REF!</v>
      </c>
    </row>
    <row r="2064" spans="1:31" x14ac:dyDescent="0.25">
      <c r="A2064">
        <v>1439</v>
      </c>
      <c r="B2064" t="s">
        <v>76</v>
      </c>
      <c r="C2064">
        <v>93</v>
      </c>
      <c r="D2064">
        <v>436</v>
      </c>
      <c r="E2064">
        <v>1439</v>
      </c>
      <c r="F2064">
        <v>3528001</v>
      </c>
      <c r="G2064">
        <v>3616200</v>
      </c>
      <c r="H2064">
        <f t="shared" si="64"/>
        <v>80.000022675736957</v>
      </c>
      <c r="I2064">
        <f t="shared" si="65"/>
        <v>82</v>
      </c>
      <c r="J2064" t="s">
        <v>22</v>
      </c>
      <c r="K2064">
        <v>3</v>
      </c>
      <c r="L2064" t="e">
        <f t="array" ref="L2064">VLOOKUP(J2064:$J$3871&amp;K2064:$K$3871,CHOOSE({1,2},#REF!&amp;#REF!,#REF!),2,0)</f>
        <v>#N/A</v>
      </c>
      <c r="M2064">
        <v>-15</v>
      </c>
      <c r="N2064">
        <v>0</v>
      </c>
      <c r="O2064" t="s">
        <v>7</v>
      </c>
      <c r="P2064">
        <v>0</v>
      </c>
      <c r="Q2064">
        <v>1</v>
      </c>
      <c r="R2064">
        <v>1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0</v>
      </c>
      <c r="Z2064">
        <v>0</v>
      </c>
      <c r="AA2064" t="s">
        <v>4973</v>
      </c>
      <c r="AB2064" t="s">
        <v>7202</v>
      </c>
      <c r="AC2064" t="s">
        <v>4973</v>
      </c>
      <c r="AD2064" t="e">
        <f>VLOOKUP(AB2064,#REF!,2,FALSE)</f>
        <v>#REF!</v>
      </c>
      <c r="AE2064" t="e">
        <f>RIGHT(#REF!,(FIND("Complex",#REF!,1)-10))</f>
        <v>#REF!</v>
      </c>
    </row>
    <row r="2065" spans="1:31" x14ac:dyDescent="0.25">
      <c r="A2065">
        <v>2390</v>
      </c>
      <c r="B2065" t="s">
        <v>76</v>
      </c>
      <c r="C2065">
        <v>93</v>
      </c>
      <c r="D2065">
        <v>762</v>
      </c>
      <c r="E2065">
        <v>2390</v>
      </c>
      <c r="F2065">
        <v>2116801</v>
      </c>
      <c r="G2065">
        <v>2205000</v>
      </c>
      <c r="H2065">
        <f t="shared" si="64"/>
        <v>48.000022675736965</v>
      </c>
      <c r="I2065">
        <f t="shared" si="65"/>
        <v>50</v>
      </c>
      <c r="J2065" t="s">
        <v>22</v>
      </c>
      <c r="K2065">
        <v>3</v>
      </c>
      <c r="L2065" t="e">
        <f t="array" ref="L2065">VLOOKUP(J2065:$J$3871&amp;K2065:$K$3871,CHOOSE({1,2},#REF!&amp;#REF!,#REF!),2,0)</f>
        <v>#N/A</v>
      </c>
      <c r="M2065">
        <v>-15</v>
      </c>
      <c r="N2065">
        <v>0</v>
      </c>
      <c r="O2065" t="s">
        <v>7</v>
      </c>
      <c r="P2065">
        <v>1</v>
      </c>
      <c r="Q2065">
        <v>1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0</v>
      </c>
      <c r="Z2065">
        <v>0</v>
      </c>
      <c r="AA2065" t="s">
        <v>5201</v>
      </c>
      <c r="AB2065" t="s">
        <v>1823</v>
      </c>
      <c r="AC2065" t="s">
        <v>5201</v>
      </c>
      <c r="AD2065" t="e">
        <f>VLOOKUP(AB2065,#REF!,2,FALSE)</f>
        <v>#REF!</v>
      </c>
      <c r="AE2065" t="e">
        <f>RIGHT(#REF!,(FIND("Complex",#REF!,1)-10))</f>
        <v>#REF!</v>
      </c>
    </row>
    <row r="2066" spans="1:31" x14ac:dyDescent="0.25">
      <c r="A2066">
        <v>701</v>
      </c>
      <c r="B2066" t="s">
        <v>76</v>
      </c>
      <c r="C2066">
        <v>93</v>
      </c>
      <c r="D2066">
        <v>214</v>
      </c>
      <c r="E2066">
        <v>701</v>
      </c>
      <c r="F2066">
        <v>1940401</v>
      </c>
      <c r="G2066">
        <v>2028600</v>
      </c>
      <c r="H2066">
        <f t="shared" si="64"/>
        <v>44.000022675736965</v>
      </c>
      <c r="I2066">
        <f t="shared" si="65"/>
        <v>46</v>
      </c>
      <c r="J2066" t="s">
        <v>22</v>
      </c>
      <c r="K2066">
        <v>3</v>
      </c>
      <c r="L2066" t="e">
        <f t="array" ref="L2066">VLOOKUP(J2066:$J$3871&amp;K2066:$K$3871,CHOOSE({1,2},#REF!&amp;#REF!,#REF!),2,0)</f>
        <v>#N/A</v>
      </c>
      <c r="M2066">
        <v>-15</v>
      </c>
      <c r="N2066">
        <v>0</v>
      </c>
      <c r="O2066" t="s">
        <v>7</v>
      </c>
      <c r="P2066">
        <v>1</v>
      </c>
      <c r="Q2066">
        <v>1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 t="s">
        <v>5226</v>
      </c>
      <c r="AB2066" t="s">
        <v>1824</v>
      </c>
      <c r="AC2066" t="s">
        <v>5226</v>
      </c>
      <c r="AD2066" t="e">
        <f>VLOOKUP(AB2066,#REF!,2,FALSE)</f>
        <v>#REF!</v>
      </c>
      <c r="AE2066" t="e">
        <f>RIGHT(#REF!,(FIND("Complex",#REF!,1)-9))</f>
        <v>#REF!</v>
      </c>
    </row>
    <row r="2067" spans="1:31" x14ac:dyDescent="0.25">
      <c r="A2067">
        <v>2317</v>
      </c>
      <c r="B2067" t="s">
        <v>76</v>
      </c>
      <c r="C2067">
        <v>93</v>
      </c>
      <c r="D2067">
        <v>730</v>
      </c>
      <c r="E2067">
        <v>2317</v>
      </c>
      <c r="F2067">
        <v>1234801</v>
      </c>
      <c r="G2067">
        <v>1323000</v>
      </c>
      <c r="H2067">
        <f t="shared" si="64"/>
        <v>28.000022675736961</v>
      </c>
      <c r="I2067">
        <f t="shared" si="65"/>
        <v>30</v>
      </c>
      <c r="J2067" t="s">
        <v>22</v>
      </c>
      <c r="K2067">
        <v>3</v>
      </c>
      <c r="L2067" t="e">
        <f t="array" ref="L2067">VLOOKUP(J2067:$J$3871&amp;K2067:$K$3871,CHOOSE({1,2},#REF!&amp;#REF!,#REF!),2,0)</f>
        <v>#N/A</v>
      </c>
      <c r="M2067">
        <v>-15</v>
      </c>
      <c r="N2067">
        <v>0</v>
      </c>
      <c r="O2067" t="s">
        <v>7</v>
      </c>
      <c r="P2067">
        <v>1</v>
      </c>
      <c r="Q2067">
        <v>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 t="s">
        <v>5405</v>
      </c>
      <c r="AB2067" t="s">
        <v>7426</v>
      </c>
      <c r="AC2067" t="s">
        <v>5405</v>
      </c>
      <c r="AD2067" t="e">
        <f>VLOOKUP(AB2067,#REF!,2,FALSE)</f>
        <v>#REF!</v>
      </c>
      <c r="AE2067" t="e">
        <f>RIGHT(#REF!,(FIND("Complex",#REF!,1)-10))</f>
        <v>#REF!</v>
      </c>
    </row>
    <row r="2068" spans="1:31" x14ac:dyDescent="0.25">
      <c r="A2068">
        <v>1328</v>
      </c>
      <c r="B2068" t="s">
        <v>76</v>
      </c>
      <c r="C2068">
        <v>93</v>
      </c>
      <c r="D2068">
        <v>404</v>
      </c>
      <c r="E2068">
        <v>1328</v>
      </c>
      <c r="F2068">
        <v>1058401</v>
      </c>
      <c r="G2068">
        <v>1146600</v>
      </c>
      <c r="H2068">
        <f t="shared" si="64"/>
        <v>24.000022675736961</v>
      </c>
      <c r="I2068">
        <f t="shared" si="65"/>
        <v>26</v>
      </c>
      <c r="J2068" t="s">
        <v>22</v>
      </c>
      <c r="K2068">
        <v>3</v>
      </c>
      <c r="L2068" t="e">
        <f t="array" ref="L2068">VLOOKUP(J2068:$J$3871&amp;K2068:$K$3871,CHOOSE({1,2},#REF!&amp;#REF!,#REF!),2,0)</f>
        <v>#N/A</v>
      </c>
      <c r="M2068">
        <v>-15</v>
      </c>
      <c r="N2068">
        <v>0</v>
      </c>
      <c r="O2068" t="s">
        <v>7</v>
      </c>
      <c r="P2068">
        <v>1</v>
      </c>
      <c r="Q2068">
        <v>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 t="s">
        <v>5517</v>
      </c>
      <c r="AB2068" t="s">
        <v>7503</v>
      </c>
      <c r="AC2068" t="s">
        <v>5517</v>
      </c>
      <c r="AD2068" t="e">
        <f>VLOOKUP(AB2068,#REF!,2,FALSE)</f>
        <v>#REF!</v>
      </c>
      <c r="AE2068" t="e">
        <f>RIGHT(#REF!,(FIND("Complex",#REF!,1)-10))</f>
        <v>#REF!</v>
      </c>
    </row>
    <row r="2069" spans="1:31" x14ac:dyDescent="0.25">
      <c r="A2069">
        <v>2116</v>
      </c>
      <c r="B2069" t="s">
        <v>76</v>
      </c>
      <c r="C2069">
        <v>93</v>
      </c>
      <c r="D2069">
        <v>647</v>
      </c>
      <c r="E2069">
        <v>2116</v>
      </c>
      <c r="F2069">
        <v>6967801</v>
      </c>
      <c r="G2069">
        <v>7056000</v>
      </c>
      <c r="H2069">
        <f t="shared" si="64"/>
        <v>158.00002267573697</v>
      </c>
      <c r="I2069">
        <f t="shared" si="65"/>
        <v>160</v>
      </c>
      <c r="J2069" t="s">
        <v>22</v>
      </c>
      <c r="K2069">
        <v>3</v>
      </c>
      <c r="L2069" t="e">
        <f t="array" ref="L2069">VLOOKUP(J2069:$J$3871&amp;K2069:$K$3871,CHOOSE({1,2},#REF!&amp;#REF!,#REF!),2,0)</f>
        <v>#N/A</v>
      </c>
      <c r="M2069">
        <v>-15</v>
      </c>
      <c r="N2069">
        <v>0</v>
      </c>
      <c r="O2069" t="s">
        <v>7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1</v>
      </c>
      <c r="Y2069">
        <v>0</v>
      </c>
      <c r="Z2069">
        <v>0</v>
      </c>
      <c r="AA2069" t="s">
        <v>5828</v>
      </c>
      <c r="AB2069" t="s">
        <v>7694</v>
      </c>
      <c r="AC2069" t="s">
        <v>5828</v>
      </c>
      <c r="AD2069" t="e">
        <f>VLOOKUP(AB2069,#REF!,2,FALSE)</f>
        <v>#REF!</v>
      </c>
      <c r="AE2069" t="e">
        <f>RIGHT(#REF!,(FIND("Complex",#REF!,1)-9))</f>
        <v>#REF!</v>
      </c>
    </row>
    <row r="2070" spans="1:31" x14ac:dyDescent="0.25">
      <c r="A2070">
        <v>132</v>
      </c>
      <c r="B2070" t="s">
        <v>76</v>
      </c>
      <c r="C2070">
        <v>93</v>
      </c>
      <c r="D2070">
        <v>40</v>
      </c>
      <c r="E2070">
        <v>132</v>
      </c>
      <c r="F2070">
        <v>529201</v>
      </c>
      <c r="G2070">
        <v>617400</v>
      </c>
      <c r="H2070">
        <f t="shared" si="64"/>
        <v>12.000022675736961</v>
      </c>
      <c r="I2070">
        <f t="shared" si="65"/>
        <v>14</v>
      </c>
      <c r="J2070" t="s">
        <v>22</v>
      </c>
      <c r="K2070">
        <v>3</v>
      </c>
      <c r="L2070" t="e">
        <f t="array" ref="L2070">VLOOKUP(J2070:$J$3871&amp;K2070:$K$3871,CHOOSE({1,2},#REF!&amp;#REF!,#REF!),2,0)</f>
        <v>#N/A</v>
      </c>
      <c r="M2070">
        <v>-15</v>
      </c>
      <c r="N2070">
        <v>0</v>
      </c>
      <c r="O2070" t="s">
        <v>7</v>
      </c>
      <c r="P2070">
        <v>1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0</v>
      </c>
      <c r="AA2070" t="s">
        <v>6024</v>
      </c>
      <c r="AB2070" t="s">
        <v>7809</v>
      </c>
      <c r="AC2070" t="s">
        <v>6024</v>
      </c>
      <c r="AD2070" t="e">
        <f>VLOOKUP(AB2070,#REF!,2,FALSE)</f>
        <v>#REF!</v>
      </c>
      <c r="AE2070" t="e">
        <f>RIGHT(#REF!,(FIND("Complex",#REF!,1)-9))</f>
        <v>#REF!</v>
      </c>
    </row>
    <row r="2071" spans="1:31" x14ac:dyDescent="0.25">
      <c r="A2071">
        <v>1431</v>
      </c>
      <c r="B2071" t="s">
        <v>58</v>
      </c>
      <c r="C2071">
        <v>94</v>
      </c>
      <c r="D2071">
        <v>432</v>
      </c>
      <c r="E2071">
        <v>1431</v>
      </c>
      <c r="F2071">
        <v>4057201</v>
      </c>
      <c r="G2071">
        <v>4145400</v>
      </c>
      <c r="H2071">
        <f t="shared" si="64"/>
        <v>92.000022675736957</v>
      </c>
      <c r="I2071">
        <f t="shared" si="65"/>
        <v>94</v>
      </c>
      <c r="J2071" t="s">
        <v>22</v>
      </c>
      <c r="K2071">
        <v>3</v>
      </c>
      <c r="L2071" t="e">
        <f t="array" ref="L2071">VLOOKUP(J2071:$J$3871&amp;K2071:$K$3871,CHOOSE({1,2},#REF!&amp;#REF!,#REF!),2,0)</f>
        <v>#N/A</v>
      </c>
      <c r="M2071">
        <v>-15</v>
      </c>
      <c r="N2071">
        <v>0</v>
      </c>
      <c r="O2071" t="s">
        <v>7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1</v>
      </c>
      <c r="Y2071">
        <v>0</v>
      </c>
      <c r="Z2071">
        <v>0</v>
      </c>
      <c r="AA2071" t="s">
        <v>4910</v>
      </c>
      <c r="AB2071" t="s">
        <v>7166</v>
      </c>
      <c r="AC2071" t="s">
        <v>4910</v>
      </c>
      <c r="AD2071" t="e">
        <f>VLOOKUP(AB2071,#REF!,2,FALSE)</f>
        <v>#REF!</v>
      </c>
      <c r="AE2071" t="e">
        <f>RIGHT(#REF!,(FIND("Complex",#REF!,1)-10))</f>
        <v>#REF!</v>
      </c>
    </row>
    <row r="2072" spans="1:31" x14ac:dyDescent="0.25">
      <c r="A2072">
        <v>1103</v>
      </c>
      <c r="B2072" t="s">
        <v>58</v>
      </c>
      <c r="C2072">
        <v>94</v>
      </c>
      <c r="D2072">
        <v>332</v>
      </c>
      <c r="E2072">
        <v>1103</v>
      </c>
      <c r="F2072">
        <v>3439801</v>
      </c>
      <c r="G2072">
        <v>3528000</v>
      </c>
      <c r="H2072">
        <f t="shared" si="64"/>
        <v>78.000022675736957</v>
      </c>
      <c r="I2072">
        <f t="shared" si="65"/>
        <v>80</v>
      </c>
      <c r="J2072" t="s">
        <v>22</v>
      </c>
      <c r="K2072">
        <v>3</v>
      </c>
      <c r="L2072" t="e">
        <f t="array" ref="L2072">VLOOKUP(J2072:$J$3871&amp;K2072:$K$3871,CHOOSE({1,2},#REF!&amp;#REF!,#REF!),2,0)</f>
        <v>#N/A</v>
      </c>
      <c r="M2072">
        <v>-15</v>
      </c>
      <c r="N2072">
        <v>0</v>
      </c>
      <c r="O2072" t="s">
        <v>7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1</v>
      </c>
      <c r="Y2072">
        <v>0</v>
      </c>
      <c r="Z2072">
        <v>0</v>
      </c>
      <c r="AA2072" t="s">
        <v>5000</v>
      </c>
      <c r="AB2072" t="s">
        <v>7217</v>
      </c>
      <c r="AC2072" t="s">
        <v>5000</v>
      </c>
      <c r="AD2072" t="e">
        <f>VLOOKUP(AB2072,#REF!,2,FALSE)</f>
        <v>#REF!</v>
      </c>
      <c r="AE2072" t="e">
        <f>RIGHT(#REF!,(FIND("Complex",#REF!,1)-10))</f>
        <v>#REF!</v>
      </c>
    </row>
    <row r="2073" spans="1:31" x14ac:dyDescent="0.25">
      <c r="A2073">
        <v>2268</v>
      </c>
      <c r="B2073" t="s">
        <v>58</v>
      </c>
      <c r="C2073">
        <v>94</v>
      </c>
      <c r="D2073">
        <v>707</v>
      </c>
      <c r="E2073">
        <v>2268</v>
      </c>
      <c r="F2073">
        <v>264601</v>
      </c>
      <c r="G2073">
        <v>352800</v>
      </c>
      <c r="H2073">
        <f t="shared" si="64"/>
        <v>6.000022675736961</v>
      </c>
      <c r="I2073">
        <f t="shared" si="65"/>
        <v>8</v>
      </c>
      <c r="J2073" t="s">
        <v>22</v>
      </c>
      <c r="K2073">
        <v>3</v>
      </c>
      <c r="L2073" t="e">
        <f t="array" ref="L2073">VLOOKUP(J2073:$J$3871&amp;K2073:$K$3871,CHOOSE({1,2},#REF!&amp;#REF!,#REF!),2,0)</f>
        <v>#N/A</v>
      </c>
      <c r="M2073">
        <v>-15</v>
      </c>
      <c r="N2073">
        <v>0</v>
      </c>
      <c r="O2073" t="s">
        <v>7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1</v>
      </c>
      <c r="Y2073">
        <v>0</v>
      </c>
      <c r="Z2073">
        <v>0</v>
      </c>
      <c r="AA2073" t="s">
        <v>5120</v>
      </c>
      <c r="AB2073" t="s">
        <v>7276</v>
      </c>
      <c r="AC2073" t="s">
        <v>5120</v>
      </c>
      <c r="AD2073" t="e">
        <f>VLOOKUP(AB2073,#REF!,2,FALSE)</f>
        <v>#REF!</v>
      </c>
      <c r="AE2073" t="e">
        <f>RIGHT(#REF!,(FIND("Complex",#REF!,1)-11))</f>
        <v>#REF!</v>
      </c>
    </row>
    <row r="2074" spans="1:31" x14ac:dyDescent="0.25">
      <c r="A2074">
        <v>1006</v>
      </c>
      <c r="B2074" t="s">
        <v>58</v>
      </c>
      <c r="C2074">
        <v>94</v>
      </c>
      <c r="D2074">
        <v>303</v>
      </c>
      <c r="E2074">
        <v>1006</v>
      </c>
      <c r="F2074">
        <v>10848601</v>
      </c>
      <c r="G2074">
        <v>10936800</v>
      </c>
      <c r="H2074">
        <f t="shared" si="64"/>
        <v>246.00002267573697</v>
      </c>
      <c r="I2074">
        <f t="shared" si="65"/>
        <v>248</v>
      </c>
      <c r="J2074" t="s">
        <v>22</v>
      </c>
      <c r="K2074">
        <v>3</v>
      </c>
      <c r="L2074" t="e">
        <f t="array" ref="L2074">VLOOKUP(J2074:$J$3871&amp;K2074:$K$3871,CHOOSE({1,2},#REF!&amp;#REF!,#REF!),2,0)</f>
        <v>#N/A</v>
      </c>
      <c r="M2074">
        <v>-15</v>
      </c>
      <c r="N2074">
        <v>0</v>
      </c>
      <c r="O2074" t="s">
        <v>7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1</v>
      </c>
      <c r="Y2074">
        <v>0</v>
      </c>
      <c r="Z2074">
        <v>0</v>
      </c>
      <c r="AA2074" t="s">
        <v>5496</v>
      </c>
      <c r="AB2074" t="s">
        <v>7486</v>
      </c>
      <c r="AC2074" t="s">
        <v>5496</v>
      </c>
      <c r="AD2074" t="e">
        <f>VLOOKUP(AB2074,#REF!,2,FALSE)</f>
        <v>#REF!</v>
      </c>
      <c r="AE2074" t="e">
        <f>RIGHT(#REF!,(FIND("Complex",#REF!,1)-9))</f>
        <v>#REF!</v>
      </c>
    </row>
    <row r="2075" spans="1:31" x14ac:dyDescent="0.25">
      <c r="A2075">
        <v>760</v>
      </c>
      <c r="B2075" t="s">
        <v>58</v>
      </c>
      <c r="C2075">
        <v>94</v>
      </c>
      <c r="D2075">
        <v>234</v>
      </c>
      <c r="E2075">
        <v>760</v>
      </c>
      <c r="F2075">
        <v>88201</v>
      </c>
      <c r="G2075">
        <v>176400</v>
      </c>
      <c r="H2075">
        <f t="shared" si="64"/>
        <v>2.0000226757369615</v>
      </c>
      <c r="I2075">
        <f t="shared" si="65"/>
        <v>4</v>
      </c>
      <c r="J2075" t="s">
        <v>22</v>
      </c>
      <c r="K2075">
        <v>3</v>
      </c>
      <c r="L2075" t="e">
        <f t="array" ref="L2075">VLOOKUP(J2075:$J$3871&amp;K2075:$K$3871,CHOOSE({1,2},#REF!&amp;#REF!,#REF!),2,0)</f>
        <v>#N/A</v>
      </c>
      <c r="M2075">
        <v>-15</v>
      </c>
      <c r="N2075">
        <v>0</v>
      </c>
      <c r="O2075" t="s">
        <v>7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1</v>
      </c>
      <c r="Y2075">
        <v>0</v>
      </c>
      <c r="Z2075">
        <v>0</v>
      </c>
      <c r="AA2075" t="s">
        <v>5646</v>
      </c>
      <c r="AB2075" t="s">
        <v>7585</v>
      </c>
      <c r="AC2075" t="s">
        <v>5646</v>
      </c>
      <c r="AD2075" t="e">
        <f>VLOOKUP(AB2075,#REF!,2,FALSE)</f>
        <v>#REF!</v>
      </c>
      <c r="AE2075" t="e">
        <f>RIGHT(#REF!,(FIND("Complex",#REF!,1)-10))</f>
        <v>#REF!</v>
      </c>
    </row>
    <row r="2076" spans="1:31" x14ac:dyDescent="0.25">
      <c r="A2076">
        <v>2764</v>
      </c>
      <c r="B2076" t="s">
        <v>58</v>
      </c>
      <c r="C2076">
        <v>94</v>
      </c>
      <c r="D2076">
        <v>914</v>
      </c>
      <c r="E2076">
        <v>2764</v>
      </c>
      <c r="F2076">
        <v>8026201</v>
      </c>
      <c r="G2076">
        <v>8114400</v>
      </c>
      <c r="H2076">
        <f t="shared" si="64"/>
        <v>182.00002267573697</v>
      </c>
      <c r="I2076">
        <f t="shared" si="65"/>
        <v>184</v>
      </c>
      <c r="J2076" t="s">
        <v>22</v>
      </c>
      <c r="K2076">
        <v>3</v>
      </c>
      <c r="L2076" t="e">
        <f t="array" ref="L2076">VLOOKUP(J2076:$J$3871&amp;K2076:$K$3871,CHOOSE({1,2},#REF!&amp;#REF!,#REF!),2,0)</f>
        <v>#N/A</v>
      </c>
      <c r="M2076">
        <v>-15</v>
      </c>
      <c r="N2076">
        <v>0</v>
      </c>
      <c r="O2076" t="s">
        <v>7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1</v>
      </c>
      <c r="Y2076">
        <v>0</v>
      </c>
      <c r="Z2076">
        <v>0</v>
      </c>
      <c r="AA2076" t="s">
        <v>5692</v>
      </c>
      <c r="AB2076" t="s">
        <v>7616</v>
      </c>
      <c r="AC2076" t="s">
        <v>5692</v>
      </c>
      <c r="AD2076" t="e">
        <f>VLOOKUP(AB2076,#REF!,2,FALSE)</f>
        <v>#REF!</v>
      </c>
      <c r="AE2076" t="e">
        <f>RIGHT(#REF!,(FIND("Complex",#REF!,1)-9))</f>
        <v>#REF!</v>
      </c>
    </row>
    <row r="2077" spans="1:31" x14ac:dyDescent="0.25">
      <c r="A2077">
        <v>1966</v>
      </c>
      <c r="B2077" t="s">
        <v>58</v>
      </c>
      <c r="C2077">
        <v>94</v>
      </c>
      <c r="D2077">
        <v>595</v>
      </c>
      <c r="E2077">
        <v>1966</v>
      </c>
      <c r="F2077">
        <v>4674601</v>
      </c>
      <c r="G2077">
        <v>4762800</v>
      </c>
      <c r="H2077">
        <f t="shared" si="64"/>
        <v>106.00002267573696</v>
      </c>
      <c r="I2077">
        <f t="shared" si="65"/>
        <v>108</v>
      </c>
      <c r="J2077" t="s">
        <v>22</v>
      </c>
      <c r="K2077">
        <v>3</v>
      </c>
      <c r="L2077" t="e">
        <f t="array" ref="L2077">VLOOKUP(J2077:$J$3871&amp;K2077:$K$3871,CHOOSE({1,2},#REF!&amp;#REF!,#REF!),2,0)</f>
        <v>#N/A</v>
      </c>
      <c r="M2077">
        <v>-15</v>
      </c>
      <c r="N2077">
        <v>0</v>
      </c>
      <c r="O2077" t="s">
        <v>7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1</v>
      </c>
      <c r="Y2077">
        <v>0</v>
      </c>
      <c r="Z2077">
        <v>0</v>
      </c>
      <c r="AA2077" t="s">
        <v>6090</v>
      </c>
      <c r="AB2077" t="s">
        <v>7846</v>
      </c>
      <c r="AC2077" t="s">
        <v>6090</v>
      </c>
      <c r="AD2077" t="e">
        <f>VLOOKUP(AB2077,#REF!,2,FALSE)</f>
        <v>#REF!</v>
      </c>
      <c r="AE2077" t="e">
        <f>RIGHT(#REF!,(FIND("Complex",#REF!,1)-9))</f>
        <v>#REF!</v>
      </c>
    </row>
    <row r="2078" spans="1:31" x14ac:dyDescent="0.25">
      <c r="A2078">
        <v>105</v>
      </c>
      <c r="B2078" t="s">
        <v>58</v>
      </c>
      <c r="C2078">
        <v>94</v>
      </c>
      <c r="D2078">
        <v>32</v>
      </c>
      <c r="E2078">
        <v>105</v>
      </c>
      <c r="F2078">
        <v>441001</v>
      </c>
      <c r="G2078">
        <v>529200</v>
      </c>
      <c r="H2078">
        <f t="shared" si="64"/>
        <v>10.000022675736961</v>
      </c>
      <c r="I2078">
        <f t="shared" si="65"/>
        <v>12</v>
      </c>
      <c r="J2078" t="s">
        <v>22</v>
      </c>
      <c r="K2078">
        <v>3</v>
      </c>
      <c r="L2078" t="e">
        <f t="array" ref="L2078">VLOOKUP(J2078:$J$3871&amp;K2078:$K$3871,CHOOSE({1,2},#REF!&amp;#REF!,#REF!),2,0)</f>
        <v>#N/A</v>
      </c>
      <c r="M2078">
        <v>-15</v>
      </c>
      <c r="N2078">
        <v>0</v>
      </c>
      <c r="O2078" t="s">
        <v>7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1</v>
      </c>
      <c r="Y2078">
        <v>0</v>
      </c>
      <c r="Z2078">
        <v>0</v>
      </c>
      <c r="AA2078" t="s">
        <v>6129</v>
      </c>
      <c r="AB2078" t="s">
        <v>7868</v>
      </c>
      <c r="AC2078" t="s">
        <v>6129</v>
      </c>
      <c r="AD2078" t="e">
        <f>VLOOKUP(AB2078,#REF!,2,FALSE)</f>
        <v>#REF!</v>
      </c>
      <c r="AE2078" t="e">
        <f>RIGHT(#REF!,(FIND("Complex",#REF!,1)-9))</f>
        <v>#REF!</v>
      </c>
    </row>
    <row r="2079" spans="1:31" x14ac:dyDescent="0.25">
      <c r="A2079">
        <v>1793</v>
      </c>
      <c r="B2079" t="s">
        <v>58</v>
      </c>
      <c r="C2079">
        <v>94</v>
      </c>
      <c r="D2079">
        <v>540</v>
      </c>
      <c r="E2079">
        <v>1793</v>
      </c>
      <c r="F2079">
        <v>1</v>
      </c>
      <c r="G2079">
        <v>88200</v>
      </c>
      <c r="H2079">
        <f t="shared" si="64"/>
        <v>2.2675736961451248E-5</v>
      </c>
      <c r="I2079">
        <f t="shared" si="65"/>
        <v>2</v>
      </c>
      <c r="J2079" t="s">
        <v>22</v>
      </c>
      <c r="K2079">
        <v>3</v>
      </c>
      <c r="L2079" t="e">
        <f t="array" ref="L2079">VLOOKUP(J2079:$J$3871&amp;K2079:$K$3871,CHOOSE({1,2},#REF!&amp;#REF!,#REF!),2,0)</f>
        <v>#N/A</v>
      </c>
      <c r="M2079">
        <v>-15</v>
      </c>
      <c r="N2079">
        <v>0</v>
      </c>
      <c r="O2079" t="s">
        <v>7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1</v>
      </c>
      <c r="Y2079">
        <v>0</v>
      </c>
      <c r="Z2079">
        <v>0</v>
      </c>
      <c r="AA2079" t="s">
        <v>6140</v>
      </c>
      <c r="AB2079" t="s">
        <v>7873</v>
      </c>
      <c r="AC2079" t="s">
        <v>6140</v>
      </c>
      <c r="AD2079" t="e">
        <f>VLOOKUP(AB2079,#REF!,2,FALSE)</f>
        <v>#REF!</v>
      </c>
      <c r="AE2079" t="e">
        <f>RIGHT(#REF!,(FIND("Complex",#REF!,1)-11))</f>
        <v>#REF!</v>
      </c>
    </row>
    <row r="2080" spans="1:31" x14ac:dyDescent="0.25">
      <c r="A2080">
        <v>2596</v>
      </c>
      <c r="B2080" t="s">
        <v>270</v>
      </c>
      <c r="C2080">
        <v>95</v>
      </c>
      <c r="D2080">
        <v>849</v>
      </c>
      <c r="E2080">
        <v>2596</v>
      </c>
      <c r="F2080">
        <v>12612601</v>
      </c>
      <c r="G2080">
        <v>12700800</v>
      </c>
      <c r="H2080">
        <f t="shared" si="64"/>
        <v>286.00002267573694</v>
      </c>
      <c r="I2080">
        <f t="shared" si="65"/>
        <v>288</v>
      </c>
      <c r="J2080" t="s">
        <v>22</v>
      </c>
      <c r="K2080">
        <v>3</v>
      </c>
      <c r="L2080" t="e">
        <f t="array" ref="L2080">VLOOKUP(J2080:$J$3871&amp;K2080:$K$3871,CHOOSE({1,2},#REF!&amp;#REF!,#REF!),2,0)</f>
        <v>#N/A</v>
      </c>
      <c r="M2080">
        <v>-15</v>
      </c>
      <c r="N2080">
        <v>0</v>
      </c>
      <c r="O2080" t="s">
        <v>7</v>
      </c>
      <c r="P2080">
        <v>0</v>
      </c>
      <c r="Q2080">
        <v>1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 t="s">
        <v>5399</v>
      </c>
      <c r="AB2080" t="s">
        <v>7422</v>
      </c>
      <c r="AC2080" t="s">
        <v>5399</v>
      </c>
      <c r="AD2080" t="e">
        <f>VLOOKUP(AB2080,#REF!,2,FALSE)</f>
        <v>#REF!</v>
      </c>
      <c r="AE2080" t="e">
        <f>RIGHT(#REF!,(FIND("Complex",#REF!,1)-9))</f>
        <v>#REF!</v>
      </c>
    </row>
    <row r="2081" spans="1:31" x14ac:dyDescent="0.25">
      <c r="A2081">
        <v>1836</v>
      </c>
      <c r="B2081" t="s">
        <v>270</v>
      </c>
      <c r="C2081">
        <v>95</v>
      </c>
      <c r="D2081">
        <v>555</v>
      </c>
      <c r="E2081">
        <v>1836</v>
      </c>
      <c r="F2081">
        <v>970201</v>
      </c>
      <c r="G2081">
        <v>1058400</v>
      </c>
      <c r="H2081">
        <f t="shared" si="64"/>
        <v>22.000022675736961</v>
      </c>
      <c r="I2081">
        <f t="shared" si="65"/>
        <v>24</v>
      </c>
      <c r="J2081" t="s">
        <v>22</v>
      </c>
      <c r="K2081">
        <v>3</v>
      </c>
      <c r="L2081" t="e">
        <f t="array" ref="L2081">VLOOKUP(J2081:$J$3871&amp;K2081:$K$3871,CHOOSE({1,2},#REF!&amp;#REF!,#REF!),2,0)</f>
        <v>#N/A</v>
      </c>
      <c r="M2081">
        <v>-15</v>
      </c>
      <c r="N2081">
        <v>0</v>
      </c>
      <c r="O2081" t="s">
        <v>7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1</v>
      </c>
      <c r="Y2081">
        <v>0</v>
      </c>
      <c r="Z2081">
        <v>0</v>
      </c>
      <c r="AA2081" t="s">
        <v>5575</v>
      </c>
      <c r="AB2081" t="s">
        <v>1850</v>
      </c>
      <c r="AC2081" t="s">
        <v>5575</v>
      </c>
      <c r="AD2081" t="e">
        <f>VLOOKUP(AB2081,#REF!,2,FALSE)</f>
        <v>#REF!</v>
      </c>
      <c r="AE2081" t="e">
        <f>RIGHT(#REF!,(FIND("Complex",#REF!,1)-10))</f>
        <v>#REF!</v>
      </c>
    </row>
    <row r="2082" spans="1:31" x14ac:dyDescent="0.25">
      <c r="A2082">
        <v>372</v>
      </c>
      <c r="B2082" t="s">
        <v>85</v>
      </c>
      <c r="C2082">
        <v>96</v>
      </c>
      <c r="D2082">
        <v>119</v>
      </c>
      <c r="E2082">
        <v>372</v>
      </c>
      <c r="F2082">
        <v>793801</v>
      </c>
      <c r="G2082">
        <v>882000</v>
      </c>
      <c r="H2082">
        <f t="shared" si="64"/>
        <v>18.000022675736961</v>
      </c>
      <c r="I2082">
        <f t="shared" si="65"/>
        <v>20</v>
      </c>
      <c r="J2082" t="s">
        <v>22</v>
      </c>
      <c r="K2082">
        <v>3</v>
      </c>
      <c r="L2082" t="e">
        <f t="array" ref="L2082">VLOOKUP(J2082:$J$3871&amp;K2082:$K$3871,CHOOSE({1,2},#REF!&amp;#REF!,#REF!),2,0)</f>
        <v>#N/A</v>
      </c>
      <c r="M2082">
        <v>-15</v>
      </c>
      <c r="N2082">
        <v>0</v>
      </c>
      <c r="O2082" t="s">
        <v>7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 t="s">
        <v>5706</v>
      </c>
      <c r="AB2082" t="s">
        <v>1851</v>
      </c>
      <c r="AC2082" t="s">
        <v>5706</v>
      </c>
      <c r="AD2082" t="e">
        <f>VLOOKUP(AB2082,#REF!,2,FALSE)</f>
        <v>#REF!</v>
      </c>
      <c r="AE2082" t="e">
        <f>RIGHT(#REF!,(FIND("Complex",#REF!,1)-9))</f>
        <v>#REF!</v>
      </c>
    </row>
    <row r="2083" spans="1:31" x14ac:dyDescent="0.25">
      <c r="A2083">
        <v>251</v>
      </c>
      <c r="B2083" t="s">
        <v>85</v>
      </c>
      <c r="C2083">
        <v>96</v>
      </c>
      <c r="D2083">
        <v>72</v>
      </c>
      <c r="E2083">
        <v>251</v>
      </c>
      <c r="F2083">
        <v>705601</v>
      </c>
      <c r="G2083">
        <v>793800</v>
      </c>
      <c r="H2083">
        <f t="shared" si="64"/>
        <v>16.000022675736961</v>
      </c>
      <c r="I2083">
        <f t="shared" si="65"/>
        <v>18</v>
      </c>
      <c r="J2083" t="s">
        <v>22</v>
      </c>
      <c r="K2083">
        <v>3</v>
      </c>
      <c r="L2083" t="e">
        <f t="array" ref="L2083">VLOOKUP(J2083:$J$3871&amp;K2083:$K$3871,CHOOSE({1,2},#REF!&amp;#REF!,#REF!),2,0)</f>
        <v>#N/A</v>
      </c>
      <c r="M2083">
        <v>-15</v>
      </c>
      <c r="N2083">
        <v>0</v>
      </c>
      <c r="O2083" t="s">
        <v>7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 t="s">
        <v>5806</v>
      </c>
      <c r="AB2083" t="s">
        <v>1852</v>
      </c>
      <c r="AC2083" t="s">
        <v>5806</v>
      </c>
      <c r="AD2083" t="e">
        <f>VLOOKUP(AB2083,#REF!,2,FALSE)</f>
        <v>#REF!</v>
      </c>
      <c r="AE2083" t="e">
        <f>RIGHT(#REF!,(FIND("Complex",#REF!,1)-9))</f>
        <v>#REF!</v>
      </c>
    </row>
    <row r="2084" spans="1:31" x14ac:dyDescent="0.25">
      <c r="A2084">
        <v>136</v>
      </c>
      <c r="B2084" t="s">
        <v>85</v>
      </c>
      <c r="C2084">
        <v>96</v>
      </c>
      <c r="D2084">
        <v>43</v>
      </c>
      <c r="E2084">
        <v>136</v>
      </c>
      <c r="F2084">
        <v>617401</v>
      </c>
      <c r="G2084">
        <v>705600</v>
      </c>
      <c r="H2084">
        <f t="shared" si="64"/>
        <v>14.000022675736961</v>
      </c>
      <c r="I2084">
        <f t="shared" si="65"/>
        <v>16</v>
      </c>
      <c r="J2084" t="s">
        <v>22</v>
      </c>
      <c r="K2084">
        <v>3</v>
      </c>
      <c r="L2084" t="e">
        <f t="array" ref="L2084">VLOOKUP(J2084:$J$3871&amp;K2084:$K$3871,CHOOSE({1,2},#REF!&amp;#REF!,#REF!),2,0)</f>
        <v>#N/A</v>
      </c>
      <c r="M2084">
        <v>-15</v>
      </c>
      <c r="N2084">
        <v>0</v>
      </c>
      <c r="O2084" t="s">
        <v>7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1</v>
      </c>
      <c r="Y2084">
        <v>0</v>
      </c>
      <c r="Z2084">
        <v>0</v>
      </c>
      <c r="AA2084" t="s">
        <v>5930</v>
      </c>
      <c r="AB2084" t="s">
        <v>1853</v>
      </c>
      <c r="AC2084" t="s">
        <v>5930</v>
      </c>
      <c r="AD2084" t="e">
        <f>VLOOKUP(AB2084,#REF!,2,FALSE)</f>
        <v>#REF!</v>
      </c>
      <c r="AE2084" t="e">
        <f>RIGHT(#REF!,(FIND("Complex",#REF!,1)-9))</f>
        <v>#REF!</v>
      </c>
    </row>
    <row r="2085" spans="1:31" x14ac:dyDescent="0.25">
      <c r="A2085">
        <v>2388</v>
      </c>
      <c r="B2085" t="s">
        <v>83</v>
      </c>
      <c r="C2085">
        <v>97</v>
      </c>
      <c r="D2085">
        <v>761</v>
      </c>
      <c r="E2085">
        <v>2388</v>
      </c>
      <c r="F2085">
        <v>9084601</v>
      </c>
      <c r="G2085">
        <v>9172800</v>
      </c>
      <c r="H2085">
        <f t="shared" si="64"/>
        <v>206.00002267573697</v>
      </c>
      <c r="I2085">
        <f t="shared" si="65"/>
        <v>208</v>
      </c>
      <c r="J2085" t="s">
        <v>22</v>
      </c>
      <c r="K2085">
        <v>3</v>
      </c>
      <c r="L2085" t="e">
        <f t="array" ref="L2085">VLOOKUP(J2085:$J$3871&amp;K2085:$K$3871,CHOOSE({1,2},#REF!&amp;#REF!,#REF!),2,0)</f>
        <v>#N/A</v>
      </c>
      <c r="M2085">
        <v>-15</v>
      </c>
      <c r="N2085">
        <v>0</v>
      </c>
      <c r="O2085" t="s">
        <v>7</v>
      </c>
      <c r="P2085">
        <v>1</v>
      </c>
      <c r="Q2085">
        <v>1</v>
      </c>
      <c r="R2085">
        <v>0</v>
      </c>
      <c r="S2085">
        <v>1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 t="s">
        <v>5615</v>
      </c>
      <c r="AB2085" t="s">
        <v>7563</v>
      </c>
      <c r="AC2085" t="s">
        <v>5615</v>
      </c>
      <c r="AD2085" t="e">
        <f>VLOOKUP(AB2085,#REF!,2,FALSE)</f>
        <v>#REF!</v>
      </c>
      <c r="AE2085" t="e">
        <f>RIGHT(#REF!,(FIND("Complex",#REF!,1)-9))</f>
        <v>#REF!</v>
      </c>
    </row>
    <row r="2086" spans="1:31" x14ac:dyDescent="0.25">
      <c r="A2086">
        <v>2333</v>
      </c>
      <c r="B2086" t="s">
        <v>74</v>
      </c>
      <c r="C2086">
        <v>101</v>
      </c>
      <c r="D2086">
        <v>736</v>
      </c>
      <c r="E2086">
        <v>2333</v>
      </c>
      <c r="F2086">
        <v>352801</v>
      </c>
      <c r="G2086">
        <v>441000</v>
      </c>
      <c r="H2086">
        <f t="shared" si="64"/>
        <v>8.000022675736961</v>
      </c>
      <c r="I2086">
        <f t="shared" si="65"/>
        <v>10</v>
      </c>
      <c r="J2086" t="s">
        <v>22</v>
      </c>
      <c r="K2086">
        <v>3</v>
      </c>
      <c r="L2086" t="e">
        <f t="array" ref="L2086">VLOOKUP(J2086:$J$3871&amp;K2086:$K$3871,CHOOSE({1,2},#REF!&amp;#REF!,#REF!),2,0)</f>
        <v>#N/A</v>
      </c>
      <c r="M2086">
        <v>-15</v>
      </c>
      <c r="N2086">
        <v>0</v>
      </c>
      <c r="O2086" t="s">
        <v>7</v>
      </c>
      <c r="P2086">
        <v>0</v>
      </c>
      <c r="Q2086">
        <v>1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1</v>
      </c>
      <c r="Z2086">
        <v>0</v>
      </c>
      <c r="AA2086" t="s">
        <v>4998</v>
      </c>
      <c r="AB2086" t="s">
        <v>7215</v>
      </c>
      <c r="AC2086" t="s">
        <v>4998</v>
      </c>
      <c r="AD2086" t="e">
        <f>VLOOKUP(AB2086,#REF!,2,FALSE)</f>
        <v>#REF!</v>
      </c>
      <c r="AE2086" t="e">
        <f>RIGHT(#REF!,(FIND("Complex",#REF!,1)-10))</f>
        <v>#REF!</v>
      </c>
    </row>
    <row r="2087" spans="1:31" x14ac:dyDescent="0.25">
      <c r="A2087">
        <v>2196</v>
      </c>
      <c r="B2087" t="s">
        <v>74</v>
      </c>
      <c r="C2087">
        <v>101</v>
      </c>
      <c r="D2087">
        <v>677</v>
      </c>
      <c r="E2087">
        <v>2196</v>
      </c>
      <c r="F2087">
        <v>264601</v>
      </c>
      <c r="G2087">
        <v>352800</v>
      </c>
      <c r="H2087">
        <f t="shared" si="64"/>
        <v>6.000022675736961</v>
      </c>
      <c r="I2087">
        <f t="shared" si="65"/>
        <v>8</v>
      </c>
      <c r="J2087" t="s">
        <v>22</v>
      </c>
      <c r="K2087">
        <v>3</v>
      </c>
      <c r="L2087" t="e">
        <f t="array" ref="L2087">VLOOKUP(J2087:$J$3871&amp;K2087:$K$3871,CHOOSE({1,2},#REF!&amp;#REF!,#REF!),2,0)</f>
        <v>#N/A</v>
      </c>
      <c r="M2087">
        <v>-15</v>
      </c>
      <c r="N2087">
        <v>0</v>
      </c>
      <c r="O2087" t="s">
        <v>7</v>
      </c>
      <c r="P2087">
        <v>0</v>
      </c>
      <c r="Q2087">
        <v>1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1</v>
      </c>
      <c r="Z2087">
        <v>0</v>
      </c>
      <c r="AA2087" t="s">
        <v>5135</v>
      </c>
      <c r="AB2087" t="s">
        <v>1941</v>
      </c>
      <c r="AC2087" t="s">
        <v>5135</v>
      </c>
      <c r="AD2087" t="e">
        <f>VLOOKUP(AB2087,#REF!,2,FALSE)</f>
        <v>#REF!</v>
      </c>
      <c r="AE2087" t="e">
        <f>RIGHT(#REF!,(FIND("Complex",#REF!,1)-10))</f>
        <v>#REF!</v>
      </c>
    </row>
    <row r="2088" spans="1:31" x14ac:dyDescent="0.25">
      <c r="A2088">
        <v>1587</v>
      </c>
      <c r="B2088" t="s">
        <v>74</v>
      </c>
      <c r="C2088">
        <v>101</v>
      </c>
      <c r="D2088">
        <v>483</v>
      </c>
      <c r="E2088">
        <v>1587</v>
      </c>
      <c r="F2088">
        <v>176401</v>
      </c>
      <c r="G2088">
        <v>264600</v>
      </c>
      <c r="H2088">
        <f t="shared" si="64"/>
        <v>4.000022675736961</v>
      </c>
      <c r="I2088">
        <f t="shared" si="65"/>
        <v>6</v>
      </c>
      <c r="J2088" t="s">
        <v>22</v>
      </c>
      <c r="K2088">
        <v>3</v>
      </c>
      <c r="L2088" t="e">
        <f t="array" ref="L2088">VLOOKUP(J2088:$J$3871&amp;K2088:$K$3871,CHOOSE({1,2},#REF!&amp;#REF!,#REF!),2,0)</f>
        <v>#N/A</v>
      </c>
      <c r="M2088">
        <v>-15</v>
      </c>
      <c r="N2088">
        <v>0</v>
      </c>
      <c r="O2088" t="s">
        <v>7</v>
      </c>
      <c r="P2088">
        <v>0</v>
      </c>
      <c r="Q2088">
        <v>1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 t="s">
        <v>5281</v>
      </c>
      <c r="AB2088" t="s">
        <v>7354</v>
      </c>
      <c r="AC2088" t="s">
        <v>5281</v>
      </c>
      <c r="AD2088" t="e">
        <f>VLOOKUP(AB2088,#REF!,2,FALSE)</f>
        <v>#REF!</v>
      </c>
      <c r="AE2088" t="e">
        <f>RIGHT(#REF!,(FIND("Complex",#REF!,1)-10))</f>
        <v>#REF!</v>
      </c>
    </row>
    <row r="2089" spans="1:31" x14ac:dyDescent="0.25">
      <c r="A2089">
        <v>2681</v>
      </c>
      <c r="B2089" t="s">
        <v>74</v>
      </c>
      <c r="C2089">
        <v>101</v>
      </c>
      <c r="D2089">
        <v>892</v>
      </c>
      <c r="E2089">
        <v>2681</v>
      </c>
      <c r="F2089">
        <v>10936801</v>
      </c>
      <c r="G2089">
        <v>11025000</v>
      </c>
      <c r="H2089">
        <f t="shared" si="64"/>
        <v>248.00002267573697</v>
      </c>
      <c r="I2089">
        <f t="shared" si="65"/>
        <v>250</v>
      </c>
      <c r="J2089" t="s">
        <v>22</v>
      </c>
      <c r="K2089">
        <v>3</v>
      </c>
      <c r="L2089" t="e">
        <f t="array" ref="L2089">VLOOKUP(J2089:$J$3871&amp;K2089:$K$3871,CHOOSE({1,2},#REF!&amp;#REF!,#REF!),2,0)</f>
        <v>#N/A</v>
      </c>
      <c r="M2089">
        <v>-15</v>
      </c>
      <c r="N2089">
        <v>0</v>
      </c>
      <c r="O2089" t="s">
        <v>7</v>
      </c>
      <c r="P2089">
        <v>1</v>
      </c>
      <c r="Q2089">
        <v>1</v>
      </c>
      <c r="R2089">
        <v>0</v>
      </c>
      <c r="S2089">
        <v>1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 t="s">
        <v>5493</v>
      </c>
      <c r="AB2089" t="s">
        <v>7483</v>
      </c>
      <c r="AC2089" t="s">
        <v>5493</v>
      </c>
      <c r="AD2089" t="e">
        <f>VLOOKUP(AB2089,#REF!,2,FALSE)</f>
        <v>#REF!</v>
      </c>
      <c r="AE2089" t="e">
        <f>RIGHT(#REF!,(FIND("Complex",#REF!,1)-8))</f>
        <v>#REF!</v>
      </c>
    </row>
    <row r="2090" spans="1:31" x14ac:dyDescent="0.25">
      <c r="A2090">
        <v>1029</v>
      </c>
      <c r="B2090" t="s">
        <v>74</v>
      </c>
      <c r="C2090">
        <v>101</v>
      </c>
      <c r="D2090">
        <v>309</v>
      </c>
      <c r="E2090">
        <v>1029</v>
      </c>
      <c r="F2090">
        <v>88201</v>
      </c>
      <c r="G2090">
        <v>176400</v>
      </c>
      <c r="H2090">
        <f t="shared" si="64"/>
        <v>2.0000226757369615</v>
      </c>
      <c r="I2090">
        <f t="shared" si="65"/>
        <v>4</v>
      </c>
      <c r="J2090" t="s">
        <v>22</v>
      </c>
      <c r="K2090">
        <v>3</v>
      </c>
      <c r="L2090" t="e">
        <f t="array" ref="L2090">VLOOKUP(J2090:$J$3871&amp;K2090:$K$3871,CHOOSE({1,2},#REF!&amp;#REF!,#REF!),2,0)</f>
        <v>#N/A</v>
      </c>
      <c r="M2090">
        <v>-15</v>
      </c>
      <c r="N2090">
        <v>0</v>
      </c>
      <c r="O2090" t="s">
        <v>7</v>
      </c>
      <c r="P2090">
        <v>0</v>
      </c>
      <c r="Q2090">
        <v>1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0</v>
      </c>
      <c r="AA2090" t="s">
        <v>5658</v>
      </c>
      <c r="AB2090" t="s">
        <v>7589</v>
      </c>
      <c r="AC2090" t="s">
        <v>5658</v>
      </c>
      <c r="AD2090" t="e">
        <f>VLOOKUP(AB2090,#REF!,2,FALSE)</f>
        <v>#REF!</v>
      </c>
      <c r="AE2090" t="e">
        <f>RIGHT(#REF!,(FIND("Complex",#REF!,1)-10))</f>
        <v>#REF!</v>
      </c>
    </row>
    <row r="2091" spans="1:31" x14ac:dyDescent="0.25">
      <c r="A2091">
        <v>61</v>
      </c>
      <c r="B2091" t="s">
        <v>74</v>
      </c>
      <c r="C2091">
        <v>101</v>
      </c>
      <c r="D2091">
        <v>19</v>
      </c>
      <c r="E2091">
        <v>61</v>
      </c>
      <c r="F2091">
        <v>1</v>
      </c>
      <c r="G2091">
        <v>88200</v>
      </c>
      <c r="H2091">
        <f t="shared" si="64"/>
        <v>2.2675736961451248E-5</v>
      </c>
      <c r="I2091">
        <f t="shared" si="65"/>
        <v>2</v>
      </c>
      <c r="J2091" t="s">
        <v>22</v>
      </c>
      <c r="K2091">
        <v>3</v>
      </c>
      <c r="L2091" t="e">
        <f t="array" ref="L2091">VLOOKUP(J2091:$J$3871&amp;K2091:$K$3871,CHOOSE({1,2},#REF!&amp;#REF!,#REF!),2,0)</f>
        <v>#N/A</v>
      </c>
      <c r="M2091">
        <v>-15</v>
      </c>
      <c r="N2091">
        <v>0</v>
      </c>
      <c r="O2091" t="s">
        <v>7</v>
      </c>
      <c r="P2091">
        <v>0</v>
      </c>
      <c r="Q2091">
        <v>1</v>
      </c>
      <c r="R2091">
        <v>0</v>
      </c>
      <c r="S2091">
        <v>1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1</v>
      </c>
      <c r="Z2091">
        <v>0</v>
      </c>
      <c r="AA2091" t="s">
        <v>6151</v>
      </c>
      <c r="AB2091" t="s">
        <v>7878</v>
      </c>
      <c r="AC2091" t="s">
        <v>6151</v>
      </c>
      <c r="AD2091" t="e">
        <f>VLOOKUP(AB2091,#REF!,2,FALSE)</f>
        <v>#REF!</v>
      </c>
      <c r="AE2091" t="e">
        <f>RIGHT(#REF!,(FIND("Complex",#REF!,1)-8))</f>
        <v>#REF!</v>
      </c>
    </row>
    <row r="2092" spans="1:31" x14ac:dyDescent="0.25">
      <c r="A2092">
        <v>2702</v>
      </c>
      <c r="B2092" t="s">
        <v>274</v>
      </c>
      <c r="C2092">
        <v>105</v>
      </c>
      <c r="D2092">
        <v>897</v>
      </c>
      <c r="E2092">
        <v>2702</v>
      </c>
      <c r="F2092">
        <v>4321801</v>
      </c>
      <c r="G2092">
        <v>4410000</v>
      </c>
      <c r="H2092">
        <f t="shared" si="64"/>
        <v>98.000022675736957</v>
      </c>
      <c r="I2092">
        <f t="shared" si="65"/>
        <v>100</v>
      </c>
      <c r="J2092" t="s">
        <v>22</v>
      </c>
      <c r="K2092">
        <v>3</v>
      </c>
      <c r="L2092" t="e">
        <f t="array" ref="L2092">VLOOKUP(J2092:$J$3871&amp;K2092:$K$3871,CHOOSE({1,2},#REF!&amp;#REF!,#REF!),2,0)</f>
        <v>#N/A</v>
      </c>
      <c r="M2092">
        <v>-15</v>
      </c>
      <c r="N2092">
        <v>0</v>
      </c>
      <c r="O2092" t="s">
        <v>7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1</v>
      </c>
      <c r="Z2092">
        <v>0</v>
      </c>
      <c r="AA2092" t="s">
        <v>4889</v>
      </c>
      <c r="AB2092" t="s">
        <v>7153</v>
      </c>
      <c r="AC2092" t="s">
        <v>4889</v>
      </c>
      <c r="AD2092" t="e">
        <f>VLOOKUP(AB2092,#REF!,2,FALSE)</f>
        <v>#REF!</v>
      </c>
      <c r="AE2092" t="e">
        <f>RIGHT(#REF!,(FIND("Complex",#REF!,1)-9))</f>
        <v>#REF!</v>
      </c>
    </row>
    <row r="2093" spans="1:31" x14ac:dyDescent="0.25">
      <c r="A2093">
        <v>620</v>
      </c>
      <c r="B2093" t="s">
        <v>274</v>
      </c>
      <c r="C2093">
        <v>105</v>
      </c>
      <c r="D2093">
        <v>196</v>
      </c>
      <c r="E2093">
        <v>620</v>
      </c>
      <c r="F2093">
        <v>4233601</v>
      </c>
      <c r="G2093">
        <v>4321800</v>
      </c>
      <c r="H2093">
        <f t="shared" si="64"/>
        <v>96.000022675736957</v>
      </c>
      <c r="I2093">
        <f t="shared" si="65"/>
        <v>98</v>
      </c>
      <c r="J2093" t="s">
        <v>22</v>
      </c>
      <c r="K2093">
        <v>3</v>
      </c>
      <c r="L2093" t="e">
        <f t="array" ref="L2093">VLOOKUP(J2093:$J$3871&amp;K2093:$K$3871,CHOOSE({1,2},#REF!&amp;#REF!,#REF!),2,0)</f>
        <v>#N/A</v>
      </c>
      <c r="M2093">
        <v>-15</v>
      </c>
      <c r="N2093">
        <v>0</v>
      </c>
      <c r="O2093" t="s">
        <v>7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1</v>
      </c>
      <c r="Z2093">
        <v>0</v>
      </c>
      <c r="AA2093" t="s">
        <v>4901</v>
      </c>
      <c r="AB2093" t="s">
        <v>7159</v>
      </c>
      <c r="AC2093" t="s">
        <v>4901</v>
      </c>
      <c r="AD2093" t="e">
        <f>VLOOKUP(AB2093,#REF!,2,FALSE)</f>
        <v>#REF!</v>
      </c>
      <c r="AE2093" t="e">
        <f>RIGHT(#REF!,(FIND("Complex",#REF!,1)-8))</f>
        <v>#REF!</v>
      </c>
    </row>
    <row r="2094" spans="1:31" x14ac:dyDescent="0.25">
      <c r="A2094">
        <v>2606</v>
      </c>
      <c r="B2094" t="s">
        <v>274</v>
      </c>
      <c r="C2094">
        <v>105</v>
      </c>
      <c r="D2094">
        <v>854</v>
      </c>
      <c r="E2094">
        <v>2606</v>
      </c>
      <c r="F2094">
        <v>2028601</v>
      </c>
      <c r="G2094">
        <v>2116800</v>
      </c>
      <c r="H2094">
        <f t="shared" si="64"/>
        <v>46.000022675736965</v>
      </c>
      <c r="I2094">
        <f t="shared" si="65"/>
        <v>48</v>
      </c>
      <c r="J2094" t="s">
        <v>22</v>
      </c>
      <c r="K2094">
        <v>3</v>
      </c>
      <c r="L2094" t="e">
        <f t="array" ref="L2094">VLOOKUP(J2094:$J$3871&amp;K2094:$K$3871,CHOOSE({1,2},#REF!&amp;#REF!,#REF!),2,0)</f>
        <v>#N/A</v>
      </c>
      <c r="M2094">
        <v>-15</v>
      </c>
      <c r="N2094">
        <v>0</v>
      </c>
      <c r="O2094" t="s">
        <v>7</v>
      </c>
      <c r="P2094">
        <v>0</v>
      </c>
      <c r="Q2094">
        <v>1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1</v>
      </c>
      <c r="AA2094" t="s">
        <v>5225</v>
      </c>
      <c r="AB2094" t="s">
        <v>7325</v>
      </c>
      <c r="AC2094" t="s">
        <v>5225</v>
      </c>
      <c r="AD2094" t="e">
        <f>VLOOKUP(AB2094,#REF!,2,FALSE)</f>
        <v>#REF!</v>
      </c>
      <c r="AE2094" t="e">
        <f>RIGHT(#REF!,(FIND("Complex",#REF!,1)-9))</f>
        <v>#REF!</v>
      </c>
    </row>
    <row r="2095" spans="1:31" x14ac:dyDescent="0.25">
      <c r="A2095">
        <v>140</v>
      </c>
      <c r="B2095" t="s">
        <v>274</v>
      </c>
      <c r="C2095">
        <v>105</v>
      </c>
      <c r="D2095">
        <v>45</v>
      </c>
      <c r="E2095">
        <v>140</v>
      </c>
      <c r="F2095">
        <v>12348001</v>
      </c>
      <c r="G2095">
        <v>12436200</v>
      </c>
      <c r="H2095">
        <f t="shared" si="64"/>
        <v>280.00002267573694</v>
      </c>
      <c r="I2095">
        <f t="shared" si="65"/>
        <v>282</v>
      </c>
      <c r="J2095" t="s">
        <v>22</v>
      </c>
      <c r="K2095">
        <v>3</v>
      </c>
      <c r="L2095" t="e">
        <f t="array" ref="L2095">VLOOKUP(J2095:$J$3871&amp;K2095:$K$3871,CHOOSE({1,2},#REF!&amp;#REF!,#REF!),2,0)</f>
        <v>#N/A</v>
      </c>
      <c r="M2095">
        <v>-15</v>
      </c>
      <c r="N2095">
        <v>0</v>
      </c>
      <c r="O2095" t="s">
        <v>7</v>
      </c>
      <c r="P2095">
        <v>0</v>
      </c>
      <c r="Q2095">
        <v>1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1</v>
      </c>
      <c r="Y2095">
        <v>1</v>
      </c>
      <c r="Z2095">
        <v>0</v>
      </c>
      <c r="AA2095" t="s">
        <v>5403</v>
      </c>
      <c r="AB2095" t="s">
        <v>7424</v>
      </c>
      <c r="AC2095" t="s">
        <v>5403</v>
      </c>
      <c r="AD2095" t="e">
        <f>VLOOKUP(AB2095,#REF!,2,FALSE)</f>
        <v>#REF!</v>
      </c>
      <c r="AE2095" t="e">
        <f>RIGHT(#REF!,(FIND("Complex",#REF!,1)-7))</f>
        <v>#REF!</v>
      </c>
    </row>
    <row r="2096" spans="1:31" x14ac:dyDescent="0.25">
      <c r="A2096">
        <v>1942</v>
      </c>
      <c r="B2096" t="s">
        <v>274</v>
      </c>
      <c r="C2096">
        <v>105</v>
      </c>
      <c r="D2096">
        <v>590</v>
      </c>
      <c r="E2096">
        <v>1942</v>
      </c>
      <c r="F2096">
        <v>12259801</v>
      </c>
      <c r="G2096">
        <v>12348000</v>
      </c>
      <c r="H2096">
        <f t="shared" si="64"/>
        <v>278.00002267573694</v>
      </c>
      <c r="I2096">
        <f t="shared" si="65"/>
        <v>280</v>
      </c>
      <c r="J2096" t="s">
        <v>22</v>
      </c>
      <c r="K2096">
        <v>3</v>
      </c>
      <c r="L2096" t="e">
        <f t="array" ref="L2096">VLOOKUP(J2096:$J$3871&amp;K2096:$K$3871,CHOOSE({1,2},#REF!&amp;#REF!,#REF!),2,0)</f>
        <v>#N/A</v>
      </c>
      <c r="M2096">
        <v>-15</v>
      </c>
      <c r="N2096">
        <v>0</v>
      </c>
      <c r="O2096" t="s">
        <v>7</v>
      </c>
      <c r="P2096">
        <v>0</v>
      </c>
      <c r="Q2096">
        <v>1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1</v>
      </c>
      <c r="Y2096">
        <v>1</v>
      </c>
      <c r="Z2096">
        <v>0</v>
      </c>
      <c r="AA2096" t="s">
        <v>5425</v>
      </c>
      <c r="AB2096" t="s">
        <v>7436</v>
      </c>
      <c r="AC2096" t="s">
        <v>5425</v>
      </c>
      <c r="AD2096" t="e">
        <f>VLOOKUP(AB2096,#REF!,2,FALSE)</f>
        <v>#REF!</v>
      </c>
      <c r="AE2096" t="e">
        <f>RIGHT(#REF!,(FIND("Complex",#REF!,1)-8))</f>
        <v>#REF!</v>
      </c>
    </row>
    <row r="2097" spans="1:31" x14ac:dyDescent="0.25">
      <c r="A2097">
        <v>2452</v>
      </c>
      <c r="B2097" t="s">
        <v>274</v>
      </c>
      <c r="C2097">
        <v>105</v>
      </c>
      <c r="D2097">
        <v>792</v>
      </c>
      <c r="E2097">
        <v>2452</v>
      </c>
      <c r="F2097">
        <v>11995201</v>
      </c>
      <c r="G2097">
        <v>12083400</v>
      </c>
      <c r="H2097">
        <f t="shared" si="64"/>
        <v>272.00002267573694</v>
      </c>
      <c r="I2097">
        <f t="shared" si="65"/>
        <v>274</v>
      </c>
      <c r="J2097" t="s">
        <v>22</v>
      </c>
      <c r="K2097">
        <v>3</v>
      </c>
      <c r="L2097" t="e">
        <f t="array" ref="L2097">VLOOKUP(J2097:$J$3871&amp;K2097:$K$3871,CHOOSE({1,2},#REF!&amp;#REF!,#REF!),2,0)</f>
        <v>#N/A</v>
      </c>
      <c r="M2097">
        <v>-15</v>
      </c>
      <c r="N2097">
        <v>0</v>
      </c>
      <c r="O2097" t="s">
        <v>7</v>
      </c>
      <c r="P2097">
        <v>0</v>
      </c>
      <c r="Q2097">
        <v>1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1</v>
      </c>
      <c r="Z2097">
        <v>0</v>
      </c>
      <c r="AA2097" t="s">
        <v>5433</v>
      </c>
      <c r="AB2097" t="s">
        <v>7441</v>
      </c>
      <c r="AC2097" t="s">
        <v>5433</v>
      </c>
      <c r="AD2097" t="e">
        <f>VLOOKUP(AB2097,#REF!,2,FALSE)</f>
        <v>#REF!</v>
      </c>
      <c r="AE2097" t="e">
        <f>RIGHT(#REF!,(FIND("Complex",#REF!,1)-8))</f>
        <v>#REF!</v>
      </c>
    </row>
    <row r="2098" spans="1:31" x14ac:dyDescent="0.25">
      <c r="A2098">
        <v>1269</v>
      </c>
      <c r="B2098" t="s">
        <v>274</v>
      </c>
      <c r="C2098">
        <v>105</v>
      </c>
      <c r="D2098">
        <v>385</v>
      </c>
      <c r="E2098">
        <v>1269</v>
      </c>
      <c r="F2098">
        <v>6615001</v>
      </c>
      <c r="G2098">
        <v>6703200</v>
      </c>
      <c r="H2098">
        <f t="shared" si="64"/>
        <v>150.00002267573697</v>
      </c>
      <c r="I2098">
        <f t="shared" si="65"/>
        <v>152</v>
      </c>
      <c r="J2098" t="s">
        <v>22</v>
      </c>
      <c r="K2098">
        <v>3</v>
      </c>
      <c r="L2098" t="e">
        <f t="array" ref="L2098">VLOOKUP(J2098:$J$3871&amp;K2098:$K$3871,CHOOSE({1,2},#REF!&amp;#REF!,#REF!),2,0)</f>
        <v>#N/A</v>
      </c>
      <c r="M2098">
        <v>-15</v>
      </c>
      <c r="N2098">
        <v>0</v>
      </c>
      <c r="O2098" t="s">
        <v>7</v>
      </c>
      <c r="P2098">
        <v>0</v>
      </c>
      <c r="Q2098">
        <v>1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1</v>
      </c>
      <c r="Y2098">
        <v>1</v>
      </c>
      <c r="Z2098">
        <v>0</v>
      </c>
      <c r="AA2098" t="s">
        <v>5882</v>
      </c>
      <c r="AB2098" t="s">
        <v>7729</v>
      </c>
      <c r="AC2098" t="s">
        <v>5882</v>
      </c>
      <c r="AD2098" t="e">
        <f>VLOOKUP(AB2098,#REF!,2,FALSE)</f>
        <v>#REF!</v>
      </c>
      <c r="AE2098" t="e">
        <f>RIGHT(#REF!,(FIND("Complex",#REF!,1)-8))</f>
        <v>#REF!</v>
      </c>
    </row>
    <row r="2099" spans="1:31" x14ac:dyDescent="0.25">
      <c r="A2099">
        <v>1408</v>
      </c>
      <c r="B2099" t="s">
        <v>274</v>
      </c>
      <c r="C2099">
        <v>105</v>
      </c>
      <c r="D2099">
        <v>426</v>
      </c>
      <c r="E2099">
        <v>1408</v>
      </c>
      <c r="F2099">
        <v>6262201</v>
      </c>
      <c r="G2099">
        <v>6350400</v>
      </c>
      <c r="H2099">
        <f t="shared" si="64"/>
        <v>142.00002267573697</v>
      </c>
      <c r="I2099">
        <f t="shared" si="65"/>
        <v>144</v>
      </c>
      <c r="J2099" t="s">
        <v>22</v>
      </c>
      <c r="K2099">
        <v>3</v>
      </c>
      <c r="L2099" t="e">
        <f t="array" ref="L2099">VLOOKUP(J2099:$J$3871&amp;K2099:$K$3871,CHOOSE({1,2},#REF!&amp;#REF!,#REF!),2,0)</f>
        <v>#N/A</v>
      </c>
      <c r="M2099">
        <v>-15</v>
      </c>
      <c r="N2099">
        <v>0</v>
      </c>
      <c r="O2099" t="s">
        <v>7</v>
      </c>
      <c r="P2099">
        <v>0</v>
      </c>
      <c r="Q2099">
        <v>1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1</v>
      </c>
      <c r="Z2099">
        <v>0</v>
      </c>
      <c r="AA2099" t="s">
        <v>5921</v>
      </c>
      <c r="AB2099" t="s">
        <v>7753</v>
      </c>
      <c r="AC2099" t="s">
        <v>5921</v>
      </c>
      <c r="AD2099" t="e">
        <f>VLOOKUP(AB2099,#REF!,2,FALSE)</f>
        <v>#REF!</v>
      </c>
      <c r="AE2099" t="e">
        <f>RIGHT(#REF!,(FIND("Complex",#REF!,1)-8))</f>
        <v>#REF!</v>
      </c>
    </row>
    <row r="2100" spans="1:31" x14ac:dyDescent="0.25">
      <c r="A2100">
        <v>475</v>
      </c>
      <c r="B2100" t="s">
        <v>274</v>
      </c>
      <c r="C2100">
        <v>105</v>
      </c>
      <c r="D2100">
        <v>151</v>
      </c>
      <c r="E2100">
        <v>475</v>
      </c>
      <c r="F2100">
        <v>5909401</v>
      </c>
      <c r="G2100">
        <v>5997600</v>
      </c>
      <c r="H2100">
        <f t="shared" si="64"/>
        <v>134.00002267573697</v>
      </c>
      <c r="I2100">
        <f t="shared" si="65"/>
        <v>136</v>
      </c>
      <c r="J2100" t="s">
        <v>22</v>
      </c>
      <c r="K2100">
        <v>3</v>
      </c>
      <c r="L2100" t="e">
        <f t="array" ref="L2100">VLOOKUP(J2100:$J$3871&amp;K2100:$K$3871,CHOOSE({1,2},#REF!&amp;#REF!,#REF!),2,0)</f>
        <v>#N/A</v>
      </c>
      <c r="M2100">
        <v>-15</v>
      </c>
      <c r="N2100">
        <v>0</v>
      </c>
      <c r="O2100" t="s">
        <v>7</v>
      </c>
      <c r="P2100">
        <v>0</v>
      </c>
      <c r="Q2100">
        <v>1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1</v>
      </c>
      <c r="Z2100">
        <v>0</v>
      </c>
      <c r="AA2100" t="s">
        <v>5965</v>
      </c>
      <c r="AB2100" t="s">
        <v>7777</v>
      </c>
      <c r="AC2100" t="s">
        <v>5965</v>
      </c>
      <c r="AD2100" t="e">
        <f>VLOOKUP(AB2100,#REF!,2,FALSE)</f>
        <v>#REF!</v>
      </c>
      <c r="AE2100" t="e">
        <f>RIGHT(#REF!,(FIND("Complex",#REF!,1)-7))</f>
        <v>#REF!</v>
      </c>
    </row>
    <row r="2101" spans="1:31" x14ac:dyDescent="0.25">
      <c r="A2101">
        <v>838</v>
      </c>
      <c r="B2101" t="s">
        <v>274</v>
      </c>
      <c r="C2101">
        <v>105</v>
      </c>
      <c r="D2101">
        <v>254</v>
      </c>
      <c r="E2101">
        <v>838</v>
      </c>
      <c r="F2101">
        <v>5821201</v>
      </c>
      <c r="G2101">
        <v>5909400</v>
      </c>
      <c r="H2101">
        <f t="shared" si="64"/>
        <v>132.00002267573697</v>
      </c>
      <c r="I2101">
        <f t="shared" si="65"/>
        <v>134</v>
      </c>
      <c r="J2101" t="s">
        <v>22</v>
      </c>
      <c r="K2101">
        <v>3</v>
      </c>
      <c r="L2101" t="e">
        <f t="array" ref="L2101">VLOOKUP(J2101:$J$3871&amp;K2101:$K$3871,CHOOSE({1,2},#REF!&amp;#REF!,#REF!),2,0)</f>
        <v>#N/A</v>
      </c>
      <c r="M2101">
        <v>-15</v>
      </c>
      <c r="N2101">
        <v>0</v>
      </c>
      <c r="O2101" t="s">
        <v>7</v>
      </c>
      <c r="P2101">
        <v>0</v>
      </c>
      <c r="Q2101">
        <v>1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1</v>
      </c>
      <c r="Y2101">
        <v>1</v>
      </c>
      <c r="Z2101">
        <v>0</v>
      </c>
      <c r="AA2101" t="s">
        <v>5973</v>
      </c>
      <c r="AB2101" t="s">
        <v>7780</v>
      </c>
      <c r="AC2101" t="s">
        <v>5973</v>
      </c>
      <c r="AD2101" t="e">
        <f>VLOOKUP(AB2101,#REF!,2,FALSE)</f>
        <v>#REF!</v>
      </c>
      <c r="AE2101" t="e">
        <f>RIGHT(#REF!,(FIND("Complex",#REF!,1)-7))</f>
        <v>#REF!</v>
      </c>
    </row>
    <row r="2102" spans="1:31" x14ac:dyDescent="0.25">
      <c r="A2102">
        <v>2010</v>
      </c>
      <c r="B2102" t="s">
        <v>274</v>
      </c>
      <c r="C2102">
        <v>105</v>
      </c>
      <c r="D2102">
        <v>612</v>
      </c>
      <c r="E2102">
        <v>2010</v>
      </c>
      <c r="F2102">
        <v>5644801</v>
      </c>
      <c r="G2102">
        <v>5733000</v>
      </c>
      <c r="H2102">
        <f t="shared" si="64"/>
        <v>128.00002267573697</v>
      </c>
      <c r="I2102">
        <f t="shared" si="65"/>
        <v>130</v>
      </c>
      <c r="J2102" t="s">
        <v>22</v>
      </c>
      <c r="K2102">
        <v>3</v>
      </c>
      <c r="L2102" t="e">
        <f t="array" ref="L2102">VLOOKUP(J2102:$J$3871&amp;K2102:$K$3871,CHOOSE({1,2},#REF!&amp;#REF!,#REF!),2,0)</f>
        <v>#N/A</v>
      </c>
      <c r="M2102">
        <v>-15</v>
      </c>
      <c r="N2102">
        <v>0</v>
      </c>
      <c r="O2102" t="s">
        <v>7</v>
      </c>
      <c r="P2102">
        <v>0</v>
      </c>
      <c r="Q2102">
        <v>1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1</v>
      </c>
      <c r="Z2102">
        <v>0</v>
      </c>
      <c r="AA2102" t="s">
        <v>5984</v>
      </c>
      <c r="AB2102" t="s">
        <v>2149</v>
      </c>
      <c r="AC2102" t="s">
        <v>5984</v>
      </c>
      <c r="AD2102" t="e">
        <f>VLOOKUP(AB2102,#REF!,2,FALSE)</f>
        <v>#REF!</v>
      </c>
      <c r="AE2102" t="e">
        <f>RIGHT(#REF!,(FIND("Complex",#REF!,1)-8))</f>
        <v>#REF!</v>
      </c>
    </row>
    <row r="2103" spans="1:31" x14ac:dyDescent="0.25">
      <c r="A2103">
        <v>1908</v>
      </c>
      <c r="B2103" t="s">
        <v>274</v>
      </c>
      <c r="C2103">
        <v>105</v>
      </c>
      <c r="D2103">
        <v>579</v>
      </c>
      <c r="E2103">
        <v>1908</v>
      </c>
      <c r="F2103">
        <v>5556601</v>
      </c>
      <c r="G2103">
        <v>5644800</v>
      </c>
      <c r="H2103">
        <f t="shared" si="64"/>
        <v>126.00002267573696</v>
      </c>
      <c r="I2103">
        <f t="shared" si="65"/>
        <v>128</v>
      </c>
      <c r="J2103" t="s">
        <v>22</v>
      </c>
      <c r="K2103">
        <v>3</v>
      </c>
      <c r="L2103" t="e">
        <f t="array" ref="L2103">VLOOKUP(J2103:$J$3871&amp;K2103:$K$3871,CHOOSE({1,2},#REF!&amp;#REF!,#REF!),2,0)</f>
        <v>#N/A</v>
      </c>
      <c r="M2103">
        <v>-15</v>
      </c>
      <c r="N2103">
        <v>0</v>
      </c>
      <c r="O2103" t="s">
        <v>7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1</v>
      </c>
      <c r="Z2103">
        <v>0</v>
      </c>
      <c r="AA2103" t="s">
        <v>5993</v>
      </c>
      <c r="AB2103" t="s">
        <v>7793</v>
      </c>
      <c r="AC2103" t="s">
        <v>5993</v>
      </c>
      <c r="AD2103" t="e">
        <f>VLOOKUP(AB2103,#REF!,2,FALSE)</f>
        <v>#REF!</v>
      </c>
      <c r="AE2103" t="e">
        <f>RIGHT(#REF!,(FIND("Complex",#REF!,1)-8))</f>
        <v>#REF!</v>
      </c>
    </row>
    <row r="2104" spans="1:31" x14ac:dyDescent="0.25">
      <c r="A2104">
        <v>1537</v>
      </c>
      <c r="B2104" t="s">
        <v>274</v>
      </c>
      <c r="C2104">
        <v>105</v>
      </c>
      <c r="D2104">
        <v>470</v>
      </c>
      <c r="E2104">
        <v>1537</v>
      </c>
      <c r="F2104">
        <v>5468401</v>
      </c>
      <c r="G2104">
        <v>5556600</v>
      </c>
      <c r="H2104">
        <f t="shared" si="64"/>
        <v>124.00002267573696</v>
      </c>
      <c r="I2104">
        <f t="shared" si="65"/>
        <v>126</v>
      </c>
      <c r="J2104" t="s">
        <v>22</v>
      </c>
      <c r="K2104">
        <v>3</v>
      </c>
      <c r="L2104" t="e">
        <f t="array" ref="L2104">VLOOKUP(J2104:$J$3871&amp;K2104:$K$3871,CHOOSE({1,2},#REF!&amp;#REF!,#REF!),2,0)</f>
        <v>#N/A</v>
      </c>
      <c r="M2104">
        <v>-15</v>
      </c>
      <c r="N2104">
        <v>0</v>
      </c>
      <c r="O2104" t="s">
        <v>7</v>
      </c>
      <c r="P2104">
        <v>0</v>
      </c>
      <c r="Q2104">
        <v>1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1</v>
      </c>
      <c r="Z2104">
        <v>0</v>
      </c>
      <c r="AA2104" t="s">
        <v>6003</v>
      </c>
      <c r="AB2104" t="s">
        <v>7798</v>
      </c>
      <c r="AC2104" t="s">
        <v>6003</v>
      </c>
      <c r="AD2104" t="e">
        <f>VLOOKUP(AB2104,#REF!,2,FALSE)</f>
        <v>#REF!</v>
      </c>
      <c r="AE2104" t="e">
        <f>RIGHT(#REF!,(FIND("Complex",#REF!,1)-8))</f>
        <v>#REF!</v>
      </c>
    </row>
    <row r="2105" spans="1:31" x14ac:dyDescent="0.25">
      <c r="A2105">
        <v>2863</v>
      </c>
      <c r="B2105" t="s">
        <v>274</v>
      </c>
      <c r="C2105">
        <v>105</v>
      </c>
      <c r="D2105">
        <v>940</v>
      </c>
      <c r="E2105">
        <v>2863</v>
      </c>
      <c r="F2105">
        <v>5027401</v>
      </c>
      <c r="G2105">
        <v>5115600</v>
      </c>
      <c r="H2105">
        <f t="shared" si="64"/>
        <v>114.00002267573696</v>
      </c>
      <c r="I2105">
        <f t="shared" si="65"/>
        <v>116</v>
      </c>
      <c r="J2105" t="s">
        <v>22</v>
      </c>
      <c r="K2105">
        <v>3</v>
      </c>
      <c r="L2105" t="e">
        <f t="array" ref="L2105">VLOOKUP(J2105:$J$3871&amp;K2105:$K$3871,CHOOSE({1,2},#REF!&amp;#REF!,#REF!),2,0)</f>
        <v>#N/A</v>
      </c>
      <c r="M2105">
        <v>-15</v>
      </c>
      <c r="N2105">
        <v>0</v>
      </c>
      <c r="O2105" t="s">
        <v>7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1</v>
      </c>
      <c r="Z2105">
        <v>0</v>
      </c>
      <c r="AA2105" t="s">
        <v>6062</v>
      </c>
      <c r="AB2105" t="s">
        <v>7829</v>
      </c>
      <c r="AC2105" t="s">
        <v>6062</v>
      </c>
      <c r="AD2105" t="e">
        <f>VLOOKUP(AB2105,#REF!,2,FALSE)</f>
        <v>#REF!</v>
      </c>
      <c r="AE2105" t="e">
        <f>RIGHT(#REF!,(FIND("Complex",#REF!,1)-8))</f>
        <v>#REF!</v>
      </c>
    </row>
    <row r="2106" spans="1:31" x14ac:dyDescent="0.25">
      <c r="A2106">
        <v>2249</v>
      </c>
      <c r="B2106" t="s">
        <v>274</v>
      </c>
      <c r="C2106">
        <v>105</v>
      </c>
      <c r="D2106">
        <v>698</v>
      </c>
      <c r="E2106">
        <v>2249</v>
      </c>
      <c r="F2106">
        <v>4851001</v>
      </c>
      <c r="G2106">
        <v>4939200</v>
      </c>
      <c r="H2106">
        <f t="shared" si="64"/>
        <v>110.00002267573696</v>
      </c>
      <c r="I2106">
        <f t="shared" si="65"/>
        <v>112</v>
      </c>
      <c r="J2106" t="s">
        <v>22</v>
      </c>
      <c r="K2106">
        <v>3</v>
      </c>
      <c r="L2106" t="e">
        <f t="array" ref="L2106">VLOOKUP(J2106:$J$3871&amp;K2106:$K$3871,CHOOSE({1,2},#REF!&amp;#REF!,#REF!),2,0)</f>
        <v>#N/A</v>
      </c>
      <c r="M2106">
        <v>-15</v>
      </c>
      <c r="N2106">
        <v>0</v>
      </c>
      <c r="O2106" t="s">
        <v>7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1</v>
      </c>
      <c r="Y2106">
        <v>1</v>
      </c>
      <c r="Z2106">
        <v>0</v>
      </c>
      <c r="AA2106" t="s">
        <v>6081</v>
      </c>
      <c r="AB2106" t="s">
        <v>7840</v>
      </c>
      <c r="AC2106" t="s">
        <v>6081</v>
      </c>
      <c r="AD2106" t="e">
        <f>VLOOKUP(AB2106,#REF!,2,FALSE)</f>
        <v>#REF!</v>
      </c>
      <c r="AE2106" t="e">
        <f>RIGHT(#REF!,(FIND("Complex",#REF!,1)-8))</f>
        <v>#REF!</v>
      </c>
    </row>
    <row r="2107" spans="1:31" x14ac:dyDescent="0.25">
      <c r="A2107">
        <v>2366</v>
      </c>
      <c r="B2107" t="s">
        <v>274</v>
      </c>
      <c r="C2107">
        <v>105</v>
      </c>
      <c r="D2107">
        <v>754</v>
      </c>
      <c r="E2107">
        <v>2366</v>
      </c>
      <c r="F2107">
        <v>4674601</v>
      </c>
      <c r="G2107">
        <v>4762800</v>
      </c>
      <c r="H2107">
        <f t="shared" si="64"/>
        <v>106.00002267573696</v>
      </c>
      <c r="I2107">
        <f t="shared" si="65"/>
        <v>108</v>
      </c>
      <c r="J2107" t="s">
        <v>22</v>
      </c>
      <c r="K2107">
        <v>3</v>
      </c>
      <c r="L2107" t="e">
        <f t="array" ref="L2107">VLOOKUP(J2107:$J$3871&amp;K2107:$K$3871,CHOOSE({1,2},#REF!&amp;#REF!,#REF!),2,0)</f>
        <v>#N/A</v>
      </c>
      <c r="M2107">
        <v>-15</v>
      </c>
      <c r="N2107">
        <v>0</v>
      </c>
      <c r="O2107" t="s">
        <v>7</v>
      </c>
      <c r="P2107">
        <v>0</v>
      </c>
      <c r="Q2107">
        <v>1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1</v>
      </c>
      <c r="Y2107">
        <v>1</v>
      </c>
      <c r="Z2107">
        <v>0</v>
      </c>
      <c r="AA2107" t="s">
        <v>6096</v>
      </c>
      <c r="AB2107" t="s">
        <v>7850</v>
      </c>
      <c r="AC2107" t="s">
        <v>6096</v>
      </c>
      <c r="AD2107" t="e">
        <f>VLOOKUP(AB2107,#REF!,2,FALSE)</f>
        <v>#REF!</v>
      </c>
      <c r="AE2107" t="e">
        <f>RIGHT(#REF!,(FIND("Complex",#REF!,1)-8))</f>
        <v>#REF!</v>
      </c>
    </row>
    <row r="2108" spans="1:31" x14ac:dyDescent="0.25">
      <c r="A2108">
        <v>2324</v>
      </c>
      <c r="B2108" t="s">
        <v>274</v>
      </c>
      <c r="C2108">
        <v>105</v>
      </c>
      <c r="D2108">
        <v>733</v>
      </c>
      <c r="E2108">
        <v>2324</v>
      </c>
      <c r="F2108">
        <v>4586401</v>
      </c>
      <c r="G2108">
        <v>4674600</v>
      </c>
      <c r="H2108">
        <f t="shared" si="64"/>
        <v>104.00002267573696</v>
      </c>
      <c r="I2108">
        <f t="shared" si="65"/>
        <v>106</v>
      </c>
      <c r="J2108" t="s">
        <v>22</v>
      </c>
      <c r="K2108">
        <v>3</v>
      </c>
      <c r="L2108" t="e">
        <f t="array" ref="L2108">VLOOKUP(J2108:$J$3871&amp;K2108:$K$3871,CHOOSE({1,2},#REF!&amp;#REF!,#REF!),2,0)</f>
        <v>#N/A</v>
      </c>
      <c r="M2108">
        <v>-15</v>
      </c>
      <c r="N2108">
        <v>0</v>
      </c>
      <c r="O2108" t="s">
        <v>7</v>
      </c>
      <c r="P2108">
        <v>0</v>
      </c>
      <c r="Q2108">
        <v>1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1</v>
      </c>
      <c r="Z2108">
        <v>0</v>
      </c>
      <c r="AA2108" t="s">
        <v>6106</v>
      </c>
      <c r="AB2108" t="s">
        <v>7854</v>
      </c>
      <c r="AC2108" t="s">
        <v>6106</v>
      </c>
      <c r="AD2108" t="e">
        <f>VLOOKUP(AB2108,#REF!,2,FALSE)</f>
        <v>#REF!</v>
      </c>
      <c r="AE2108" t="e">
        <f>RIGHT(#REF!,(FIND("Complex",#REF!,1)-8))</f>
        <v>#REF!</v>
      </c>
    </row>
    <row r="2109" spans="1:31" x14ac:dyDescent="0.25">
      <c r="A2109">
        <v>2666</v>
      </c>
      <c r="B2109" t="s">
        <v>274</v>
      </c>
      <c r="C2109">
        <v>105</v>
      </c>
      <c r="D2109">
        <v>885</v>
      </c>
      <c r="E2109">
        <v>2666</v>
      </c>
      <c r="F2109">
        <v>4498201</v>
      </c>
      <c r="G2109">
        <v>4586400</v>
      </c>
      <c r="H2109">
        <f t="shared" si="64"/>
        <v>102.00002267573696</v>
      </c>
      <c r="I2109">
        <f t="shared" si="65"/>
        <v>104</v>
      </c>
      <c r="J2109" t="s">
        <v>22</v>
      </c>
      <c r="K2109">
        <v>3</v>
      </c>
      <c r="L2109" t="e">
        <f t="array" ref="L2109">VLOOKUP(J2109:$J$3871&amp;K2109:$K$3871,CHOOSE({1,2},#REF!&amp;#REF!,#REF!),2,0)</f>
        <v>#N/A</v>
      </c>
      <c r="M2109">
        <v>-15</v>
      </c>
      <c r="N2109">
        <v>0</v>
      </c>
      <c r="O2109" t="s">
        <v>7</v>
      </c>
      <c r="P2109">
        <v>0</v>
      </c>
      <c r="Q2109">
        <v>1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1</v>
      </c>
      <c r="Z2109">
        <v>0</v>
      </c>
      <c r="AA2109" t="s">
        <v>6117</v>
      </c>
      <c r="AB2109" t="s">
        <v>7860</v>
      </c>
      <c r="AC2109" t="s">
        <v>6117</v>
      </c>
      <c r="AD2109" t="e">
        <f>VLOOKUP(AB2109,#REF!,2,FALSE)</f>
        <v>#REF!</v>
      </c>
      <c r="AE2109" t="e">
        <f>RIGHT(#REF!,(FIND("Complex",#REF!,1)-8))</f>
        <v>#REF!</v>
      </c>
    </row>
    <row r="2110" spans="1:31" x14ac:dyDescent="0.25">
      <c r="A2110">
        <v>2352</v>
      </c>
      <c r="B2110" t="s">
        <v>276</v>
      </c>
      <c r="C2110">
        <v>107</v>
      </c>
      <c r="D2110">
        <v>746</v>
      </c>
      <c r="E2110">
        <v>2352</v>
      </c>
      <c r="F2110">
        <v>4057201</v>
      </c>
      <c r="G2110">
        <v>4145400</v>
      </c>
      <c r="H2110">
        <f t="shared" si="64"/>
        <v>92.000022675736957</v>
      </c>
      <c r="I2110">
        <f t="shared" si="65"/>
        <v>94</v>
      </c>
      <c r="J2110" t="s">
        <v>22</v>
      </c>
      <c r="K2110">
        <v>3</v>
      </c>
      <c r="L2110" t="e">
        <f t="array" ref="L2110">VLOOKUP(J2110:$J$3871&amp;K2110:$K$3871,CHOOSE({1,2},#REF!&amp;#REF!,#REF!),2,0)</f>
        <v>#N/A</v>
      </c>
      <c r="M2110">
        <v>-15</v>
      </c>
      <c r="N2110">
        <v>0</v>
      </c>
      <c r="O2110" t="s">
        <v>7</v>
      </c>
      <c r="P2110">
        <v>0</v>
      </c>
      <c r="Q2110">
        <v>1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 t="s">
        <v>4921</v>
      </c>
      <c r="AB2110" t="s">
        <v>7172</v>
      </c>
      <c r="AC2110" t="s">
        <v>4921</v>
      </c>
      <c r="AD2110" t="e">
        <f>VLOOKUP(AB2110,#REF!,2,FALSE)</f>
        <v>#REF!</v>
      </c>
      <c r="AE2110" t="e">
        <f>RIGHT(#REF!,(FIND("Complex",#REF!,1)-9))</f>
        <v>#REF!</v>
      </c>
    </row>
    <row r="2111" spans="1:31" x14ac:dyDescent="0.25">
      <c r="A2111">
        <v>2569</v>
      </c>
      <c r="B2111" t="s">
        <v>276</v>
      </c>
      <c r="C2111">
        <v>107</v>
      </c>
      <c r="D2111">
        <v>835</v>
      </c>
      <c r="E2111">
        <v>2569</v>
      </c>
      <c r="F2111">
        <v>3175201</v>
      </c>
      <c r="G2111">
        <v>3263400</v>
      </c>
      <c r="H2111">
        <f t="shared" si="64"/>
        <v>72.000022675736957</v>
      </c>
      <c r="I2111">
        <f t="shared" si="65"/>
        <v>74</v>
      </c>
      <c r="J2111" t="s">
        <v>22</v>
      </c>
      <c r="K2111">
        <v>3</v>
      </c>
      <c r="L2111" t="e">
        <f t="array" ref="L2111">VLOOKUP(J2111:$J$3871&amp;K2111:$K$3871,CHOOSE({1,2},#REF!&amp;#REF!,#REF!),2,0)</f>
        <v>#N/A</v>
      </c>
      <c r="M2111">
        <v>-15</v>
      </c>
      <c r="N2111">
        <v>0</v>
      </c>
      <c r="O2111" t="s">
        <v>7</v>
      </c>
      <c r="P2111">
        <v>0</v>
      </c>
      <c r="Q2111">
        <v>1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1</v>
      </c>
      <c r="Y2111">
        <v>0</v>
      </c>
      <c r="Z2111">
        <v>0</v>
      </c>
      <c r="AA2111" t="s">
        <v>5049</v>
      </c>
      <c r="AB2111" t="s">
        <v>7242</v>
      </c>
      <c r="AC2111" t="s">
        <v>5049</v>
      </c>
      <c r="AD2111" t="e">
        <f>VLOOKUP(AB2111,#REF!,2,FALSE)</f>
        <v>#REF!</v>
      </c>
      <c r="AE2111" t="e">
        <f>RIGHT(#REF!,(FIND("Complex",#REF!,1)-9))</f>
        <v>#REF!</v>
      </c>
    </row>
    <row r="2112" spans="1:31" x14ac:dyDescent="0.25">
      <c r="A2112">
        <v>2063</v>
      </c>
      <c r="B2112" t="s">
        <v>276</v>
      </c>
      <c r="C2112">
        <v>107</v>
      </c>
      <c r="D2112">
        <v>626</v>
      </c>
      <c r="E2112">
        <v>2063</v>
      </c>
      <c r="F2112">
        <v>2822401</v>
      </c>
      <c r="G2112">
        <v>2910600</v>
      </c>
      <c r="H2112">
        <f t="shared" si="64"/>
        <v>64.000022675736957</v>
      </c>
      <c r="I2112">
        <f t="shared" si="65"/>
        <v>66</v>
      </c>
      <c r="J2112" t="s">
        <v>22</v>
      </c>
      <c r="K2112">
        <v>3</v>
      </c>
      <c r="L2112" t="e">
        <f t="array" ref="L2112">VLOOKUP(J2112:$J$3871&amp;K2112:$K$3871,CHOOSE({1,2},#REF!&amp;#REF!,#REF!),2,0)</f>
        <v>#N/A</v>
      </c>
      <c r="M2112">
        <v>-15</v>
      </c>
      <c r="N2112">
        <v>0</v>
      </c>
      <c r="O2112" t="s">
        <v>7</v>
      </c>
      <c r="P2112">
        <v>0</v>
      </c>
      <c r="Q2112">
        <v>1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1</v>
      </c>
      <c r="Y2112">
        <v>0</v>
      </c>
      <c r="Z2112">
        <v>0</v>
      </c>
      <c r="AA2112" t="s">
        <v>5093</v>
      </c>
      <c r="AB2112" t="s">
        <v>7261</v>
      </c>
      <c r="AC2112" t="s">
        <v>5093</v>
      </c>
      <c r="AD2112" t="e">
        <f>VLOOKUP(AB2112,#REF!,2,FALSE)</f>
        <v>#REF!</v>
      </c>
      <c r="AE2112" t="e">
        <f>RIGHT(#REF!,(FIND("Complex",#REF!,1)-9))</f>
        <v>#REF!</v>
      </c>
    </row>
    <row r="2113" spans="1:31" x14ac:dyDescent="0.25">
      <c r="A2113">
        <v>10</v>
      </c>
      <c r="B2113" t="s">
        <v>276</v>
      </c>
      <c r="C2113">
        <v>107</v>
      </c>
      <c r="D2113">
        <v>3</v>
      </c>
      <c r="E2113">
        <v>10</v>
      </c>
      <c r="F2113">
        <v>2646001</v>
      </c>
      <c r="G2113">
        <v>2734200</v>
      </c>
      <c r="H2113">
        <f t="shared" si="64"/>
        <v>60.000022675736965</v>
      </c>
      <c r="I2113">
        <f t="shared" si="65"/>
        <v>62</v>
      </c>
      <c r="J2113" t="s">
        <v>22</v>
      </c>
      <c r="K2113">
        <v>3</v>
      </c>
      <c r="L2113" t="e">
        <f t="array" ref="L2113">VLOOKUP(J2113:$J$3871&amp;K2113:$K$3871,CHOOSE({1,2},#REF!&amp;#REF!,#REF!),2,0)</f>
        <v>#N/A</v>
      </c>
      <c r="M2113">
        <v>-15</v>
      </c>
      <c r="N2113">
        <v>0</v>
      </c>
      <c r="O2113" t="s">
        <v>7</v>
      </c>
      <c r="P2113">
        <v>0</v>
      </c>
      <c r="Q2113">
        <v>1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1</v>
      </c>
      <c r="Y2113">
        <v>0</v>
      </c>
      <c r="Z2113">
        <v>0</v>
      </c>
      <c r="AA2113" t="s">
        <v>5118</v>
      </c>
      <c r="AB2113" t="s">
        <v>7274</v>
      </c>
      <c r="AC2113" t="s">
        <v>5118</v>
      </c>
      <c r="AD2113" t="e">
        <f>VLOOKUP(AB2113,#REF!,2,FALSE)</f>
        <v>#REF!</v>
      </c>
      <c r="AE2113" t="e">
        <f>RIGHT(#REF!,(FIND("Complex",#REF!,1)-7))</f>
        <v>#REF!</v>
      </c>
    </row>
    <row r="2114" spans="1:31" x14ac:dyDescent="0.25">
      <c r="A2114">
        <v>1959</v>
      </c>
      <c r="B2114" t="s">
        <v>276</v>
      </c>
      <c r="C2114">
        <v>107</v>
      </c>
      <c r="D2114">
        <v>593</v>
      </c>
      <c r="E2114">
        <v>1959</v>
      </c>
      <c r="F2114">
        <v>2557801</v>
      </c>
      <c r="G2114">
        <v>2646000</v>
      </c>
      <c r="H2114">
        <f t="shared" ref="H2114:H2177" si="66">F2114/44100</f>
        <v>58.000022675736965</v>
      </c>
      <c r="I2114">
        <f t="shared" ref="I2114:I2177" si="67">G2114/44100</f>
        <v>60</v>
      </c>
      <c r="J2114" t="s">
        <v>22</v>
      </c>
      <c r="K2114">
        <v>3</v>
      </c>
      <c r="L2114" t="e">
        <f t="array" ref="L2114">VLOOKUP(J2114:$J$3871&amp;K2114:$K$3871,CHOOSE({1,2},#REF!&amp;#REF!,#REF!),2,0)</f>
        <v>#N/A</v>
      </c>
      <c r="M2114">
        <v>-15</v>
      </c>
      <c r="N2114">
        <v>0</v>
      </c>
      <c r="O2114" t="s">
        <v>7</v>
      </c>
      <c r="P2114">
        <v>0</v>
      </c>
      <c r="Q2114">
        <v>1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1</v>
      </c>
      <c r="Y2114">
        <v>0</v>
      </c>
      <c r="Z2114">
        <v>0</v>
      </c>
      <c r="AA2114" t="s">
        <v>5148</v>
      </c>
      <c r="AB2114" t="s">
        <v>7290</v>
      </c>
      <c r="AC2114" t="s">
        <v>5148</v>
      </c>
      <c r="AD2114" t="e">
        <f>VLOOKUP(AB2114,#REF!,2,FALSE)</f>
        <v>#REF!</v>
      </c>
      <c r="AE2114" t="e">
        <f>RIGHT(#REF!,(FIND("Complex",#REF!,1)-9))</f>
        <v>#REF!</v>
      </c>
    </row>
    <row r="2115" spans="1:31" x14ac:dyDescent="0.25">
      <c r="A2115">
        <v>1681</v>
      </c>
      <c r="B2115" t="s">
        <v>276</v>
      </c>
      <c r="C2115">
        <v>107</v>
      </c>
      <c r="D2115">
        <v>506</v>
      </c>
      <c r="E2115">
        <v>1681</v>
      </c>
      <c r="F2115">
        <v>2469601</v>
      </c>
      <c r="G2115">
        <v>2557800</v>
      </c>
      <c r="H2115">
        <f t="shared" si="66"/>
        <v>56.000022675736965</v>
      </c>
      <c r="I2115">
        <f t="shared" si="67"/>
        <v>58</v>
      </c>
      <c r="J2115" t="s">
        <v>22</v>
      </c>
      <c r="K2115">
        <v>3</v>
      </c>
      <c r="L2115" t="e">
        <f t="array" ref="L2115">VLOOKUP(J2115:$J$3871&amp;K2115:$K$3871,CHOOSE({1,2},#REF!&amp;#REF!,#REF!),2,0)</f>
        <v>#N/A</v>
      </c>
      <c r="M2115">
        <v>-15</v>
      </c>
      <c r="N2115">
        <v>0</v>
      </c>
      <c r="O2115" t="s">
        <v>7</v>
      </c>
      <c r="P2115">
        <v>0</v>
      </c>
      <c r="Q2115">
        <v>1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1</v>
      </c>
      <c r="Y2115">
        <v>0</v>
      </c>
      <c r="Z2115">
        <v>0</v>
      </c>
      <c r="AA2115" t="s">
        <v>5162</v>
      </c>
      <c r="AB2115" t="s">
        <v>7300</v>
      </c>
      <c r="AC2115" t="s">
        <v>5162</v>
      </c>
      <c r="AD2115" t="e">
        <f>VLOOKUP(AB2115,#REF!,2,FALSE)</f>
        <v>#REF!</v>
      </c>
      <c r="AE2115" t="e">
        <f>RIGHT(#REF!,(FIND("Complex",#REF!,1)-9))</f>
        <v>#REF!</v>
      </c>
    </row>
    <row r="2116" spans="1:31" x14ac:dyDescent="0.25">
      <c r="A2116">
        <v>1187</v>
      </c>
      <c r="B2116" t="s">
        <v>276</v>
      </c>
      <c r="C2116">
        <v>107</v>
      </c>
      <c r="D2116">
        <v>357</v>
      </c>
      <c r="E2116">
        <v>1187</v>
      </c>
      <c r="F2116">
        <v>2205001</v>
      </c>
      <c r="G2116">
        <v>2293200</v>
      </c>
      <c r="H2116">
        <f t="shared" si="66"/>
        <v>50.000022675736965</v>
      </c>
      <c r="I2116">
        <f t="shared" si="67"/>
        <v>52</v>
      </c>
      <c r="J2116" t="s">
        <v>22</v>
      </c>
      <c r="K2116">
        <v>3</v>
      </c>
      <c r="L2116" t="e">
        <f t="array" ref="L2116">VLOOKUP(J2116:$J$3871&amp;K2116:$K$3871,CHOOSE({1,2},#REF!&amp;#REF!,#REF!),2,0)</f>
        <v>#N/A</v>
      </c>
      <c r="M2116">
        <v>-15</v>
      </c>
      <c r="N2116">
        <v>0</v>
      </c>
      <c r="O2116" t="s">
        <v>7</v>
      </c>
      <c r="P2116">
        <v>0</v>
      </c>
      <c r="Q2116">
        <v>1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 t="s">
        <v>5199</v>
      </c>
      <c r="AB2116" t="s">
        <v>2157</v>
      </c>
      <c r="AC2116" t="s">
        <v>5199</v>
      </c>
      <c r="AD2116" t="e">
        <f>VLOOKUP(AB2116,#REF!,2,FALSE)</f>
        <v>#REF!</v>
      </c>
      <c r="AE2116" t="e">
        <f>RIGHT(#REF!,(FIND("Complex",#REF!,1)-9))</f>
        <v>#REF!</v>
      </c>
    </row>
    <row r="2117" spans="1:31" x14ac:dyDescent="0.25">
      <c r="A2117">
        <v>1278</v>
      </c>
      <c r="B2117" t="s">
        <v>276</v>
      </c>
      <c r="C2117">
        <v>107</v>
      </c>
      <c r="D2117">
        <v>388</v>
      </c>
      <c r="E2117">
        <v>1278</v>
      </c>
      <c r="F2117">
        <v>15435001</v>
      </c>
      <c r="G2117">
        <v>15523200</v>
      </c>
      <c r="H2117">
        <f t="shared" si="66"/>
        <v>350.00002267573694</v>
      </c>
      <c r="I2117">
        <f t="shared" si="67"/>
        <v>352</v>
      </c>
      <c r="J2117" t="s">
        <v>22</v>
      </c>
      <c r="K2117">
        <v>3</v>
      </c>
      <c r="L2117" t="e">
        <f t="array" ref="L2117">VLOOKUP(J2117:$J$3871&amp;K2117:$K$3871,CHOOSE({1,2},#REF!&amp;#REF!,#REF!),2,0)</f>
        <v>#N/A</v>
      </c>
      <c r="M2117">
        <v>-15</v>
      </c>
      <c r="N2117">
        <v>0</v>
      </c>
      <c r="O2117" t="s">
        <v>7</v>
      </c>
      <c r="P2117">
        <v>0</v>
      </c>
      <c r="Q2117">
        <v>1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1</v>
      </c>
      <c r="Z2117">
        <v>0</v>
      </c>
      <c r="AA2117" t="s">
        <v>5326</v>
      </c>
      <c r="AB2117" t="s">
        <v>7381</v>
      </c>
      <c r="AC2117" t="s">
        <v>5326</v>
      </c>
      <c r="AD2117" t="e">
        <f>VLOOKUP(AB2117,#REF!,2,FALSE)</f>
        <v>#REF!</v>
      </c>
      <c r="AE2117" t="e">
        <f>RIGHT(#REF!,(FIND("Complex",#REF!,1)-8))</f>
        <v>#REF!</v>
      </c>
    </row>
    <row r="2118" spans="1:31" x14ac:dyDescent="0.25">
      <c r="A2118">
        <v>172</v>
      </c>
      <c r="B2118" t="s">
        <v>276</v>
      </c>
      <c r="C2118">
        <v>107</v>
      </c>
      <c r="D2118">
        <v>54</v>
      </c>
      <c r="E2118">
        <v>172</v>
      </c>
      <c r="F2118">
        <v>14817601</v>
      </c>
      <c r="G2118">
        <v>14905800</v>
      </c>
      <c r="H2118">
        <f t="shared" si="66"/>
        <v>336.00002267573694</v>
      </c>
      <c r="I2118">
        <f t="shared" si="67"/>
        <v>338</v>
      </c>
      <c r="J2118" t="s">
        <v>22</v>
      </c>
      <c r="K2118">
        <v>3</v>
      </c>
      <c r="L2118" t="e">
        <f t="array" ref="L2118">VLOOKUP(J2118:$J$3871&amp;K2118:$K$3871,CHOOSE({1,2},#REF!&amp;#REF!,#REF!),2,0)</f>
        <v>#N/A</v>
      </c>
      <c r="M2118">
        <v>-15</v>
      </c>
      <c r="N2118">
        <v>0</v>
      </c>
      <c r="O2118" t="s">
        <v>7</v>
      </c>
      <c r="P2118">
        <v>0</v>
      </c>
      <c r="Q2118">
        <v>1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1</v>
      </c>
      <c r="Z2118">
        <v>0</v>
      </c>
      <c r="AA2118" t="s">
        <v>5346</v>
      </c>
      <c r="AB2118" t="s">
        <v>7393</v>
      </c>
      <c r="AC2118" t="s">
        <v>5346</v>
      </c>
      <c r="AD2118" t="e">
        <f>VLOOKUP(AB2118,#REF!,2,FALSE)</f>
        <v>#REF!</v>
      </c>
      <c r="AE2118" t="e">
        <f>RIGHT(#REF!,(FIND("Complex",#REF!,1)-7))</f>
        <v>#REF!</v>
      </c>
    </row>
    <row r="2119" spans="1:31" x14ac:dyDescent="0.25">
      <c r="A2119">
        <v>2638</v>
      </c>
      <c r="B2119" t="s">
        <v>276</v>
      </c>
      <c r="C2119">
        <v>107</v>
      </c>
      <c r="D2119">
        <v>872</v>
      </c>
      <c r="E2119">
        <v>2638</v>
      </c>
      <c r="F2119">
        <v>9702001</v>
      </c>
      <c r="G2119">
        <v>9790200</v>
      </c>
      <c r="H2119">
        <f t="shared" si="66"/>
        <v>220.00002267573697</v>
      </c>
      <c r="I2119">
        <f t="shared" si="67"/>
        <v>222</v>
      </c>
      <c r="J2119" t="s">
        <v>22</v>
      </c>
      <c r="K2119">
        <v>3</v>
      </c>
      <c r="L2119" t="e">
        <f t="array" ref="L2119">VLOOKUP(J2119:$J$3871&amp;K2119:$K$3871,CHOOSE({1,2},#REF!&amp;#REF!,#REF!),2,0)</f>
        <v>#N/A</v>
      </c>
      <c r="M2119">
        <v>-15</v>
      </c>
      <c r="N2119">
        <v>0</v>
      </c>
      <c r="O2119" t="s">
        <v>7</v>
      </c>
      <c r="P2119">
        <v>0</v>
      </c>
      <c r="Q2119">
        <v>1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1</v>
      </c>
      <c r="AA2119" t="s">
        <v>5574</v>
      </c>
      <c r="AB2119" t="s">
        <v>7538</v>
      </c>
      <c r="AC2119" t="s">
        <v>5574</v>
      </c>
      <c r="AD2119" t="e">
        <f>VLOOKUP(AB2119,#REF!,2,FALSE)</f>
        <v>#REF!</v>
      </c>
      <c r="AE2119" t="e">
        <f>RIGHT(#REF!,(FIND("Complex",#REF!,1)-8))</f>
        <v>#REF!</v>
      </c>
    </row>
    <row r="2120" spans="1:31" x14ac:dyDescent="0.25">
      <c r="A2120">
        <v>2678</v>
      </c>
      <c r="B2120" t="s">
        <v>277</v>
      </c>
      <c r="C2120">
        <v>108</v>
      </c>
      <c r="D2120">
        <v>891</v>
      </c>
      <c r="E2120">
        <v>2678</v>
      </c>
      <c r="F2120">
        <v>11289601</v>
      </c>
      <c r="G2120">
        <v>11377800</v>
      </c>
      <c r="H2120">
        <f t="shared" si="66"/>
        <v>256.00002267573694</v>
      </c>
      <c r="I2120">
        <f t="shared" si="67"/>
        <v>258</v>
      </c>
      <c r="J2120" t="s">
        <v>22</v>
      </c>
      <c r="K2120">
        <v>3</v>
      </c>
      <c r="L2120" t="e">
        <f t="array" ref="L2120">VLOOKUP(J2120:$J$3871&amp;K2120:$K$3871,CHOOSE({1,2},#REF!&amp;#REF!,#REF!),2,0)</f>
        <v>#N/A</v>
      </c>
      <c r="M2120">
        <v>-15</v>
      </c>
      <c r="N2120">
        <v>0</v>
      </c>
      <c r="O2120" t="s">
        <v>7</v>
      </c>
      <c r="P2120">
        <v>0</v>
      </c>
      <c r="Q2120">
        <v>1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1</v>
      </c>
      <c r="Z2120">
        <v>0</v>
      </c>
      <c r="AA2120" t="s">
        <v>5480</v>
      </c>
      <c r="AB2120" t="s">
        <v>7473</v>
      </c>
      <c r="AC2120" t="s">
        <v>5480</v>
      </c>
      <c r="AD2120" t="e">
        <f>VLOOKUP(AB2120,#REF!,2,FALSE)</f>
        <v>#REF!</v>
      </c>
      <c r="AE2120" t="e">
        <f>RIGHT(#REF!,(FIND("Complex",#REF!,1)-8))</f>
        <v>#REF!</v>
      </c>
    </row>
    <row r="2121" spans="1:31" x14ac:dyDescent="0.25">
      <c r="A2121">
        <v>2295</v>
      </c>
      <c r="B2121" t="s">
        <v>277</v>
      </c>
      <c r="C2121">
        <v>108</v>
      </c>
      <c r="D2121">
        <v>719</v>
      </c>
      <c r="E2121">
        <v>2295</v>
      </c>
      <c r="F2121">
        <v>4498201</v>
      </c>
      <c r="G2121">
        <v>4586400</v>
      </c>
      <c r="H2121">
        <f t="shared" si="66"/>
        <v>102.00002267573696</v>
      </c>
      <c r="I2121">
        <f t="shared" si="67"/>
        <v>104</v>
      </c>
      <c r="J2121" t="s">
        <v>22</v>
      </c>
      <c r="K2121">
        <v>3</v>
      </c>
      <c r="L2121" t="e">
        <f t="array" ref="L2121">VLOOKUP(J2121:$J$3871&amp;K2121:$K$3871,CHOOSE({1,2},#REF!&amp;#REF!,#REF!),2,0)</f>
        <v>#N/A</v>
      </c>
      <c r="M2121">
        <v>-15</v>
      </c>
      <c r="N2121">
        <v>0</v>
      </c>
      <c r="O2121" t="s">
        <v>7</v>
      </c>
      <c r="P2121">
        <v>0</v>
      </c>
      <c r="Q2121">
        <v>1</v>
      </c>
      <c r="R2121">
        <v>0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1</v>
      </c>
      <c r="Z2121">
        <v>0</v>
      </c>
      <c r="AA2121" t="s">
        <v>6115</v>
      </c>
      <c r="AB2121" t="s">
        <v>7858</v>
      </c>
      <c r="AC2121" t="s">
        <v>6115</v>
      </c>
      <c r="AD2121" t="e">
        <f>VLOOKUP(AB2121,#REF!,2,FALSE)</f>
        <v>#REF!</v>
      </c>
      <c r="AE2121" t="e">
        <f>RIGHT(#REF!,(FIND("Complex",#REF!,1)-8))</f>
        <v>#REF!</v>
      </c>
    </row>
    <row r="2122" spans="1:31" x14ac:dyDescent="0.25">
      <c r="A2122">
        <v>2850</v>
      </c>
      <c r="B2122" t="s">
        <v>279</v>
      </c>
      <c r="C2122">
        <v>109</v>
      </c>
      <c r="D2122">
        <v>937</v>
      </c>
      <c r="E2122">
        <v>2850</v>
      </c>
      <c r="F2122">
        <v>4057201</v>
      </c>
      <c r="G2122">
        <v>4145400</v>
      </c>
      <c r="H2122">
        <f t="shared" si="66"/>
        <v>92.000022675736957</v>
      </c>
      <c r="I2122">
        <f t="shared" si="67"/>
        <v>94</v>
      </c>
      <c r="J2122" t="s">
        <v>22</v>
      </c>
      <c r="K2122">
        <v>3</v>
      </c>
      <c r="L2122" t="e">
        <f t="array" ref="L2122">VLOOKUP(J2122:$J$3871&amp;K2122:$K$3871,CHOOSE({1,2},#REF!&amp;#REF!,#REF!),2,0)</f>
        <v>#N/A</v>
      </c>
      <c r="M2122">
        <v>-15</v>
      </c>
      <c r="N2122">
        <v>0</v>
      </c>
      <c r="O2122" t="s">
        <v>7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1</v>
      </c>
      <c r="Y2122">
        <v>0</v>
      </c>
      <c r="Z2122">
        <v>1</v>
      </c>
      <c r="AA2122" t="s">
        <v>4920</v>
      </c>
      <c r="AB2122" t="s">
        <v>7171</v>
      </c>
      <c r="AC2122" t="s">
        <v>4920</v>
      </c>
      <c r="AD2122" t="e">
        <f>VLOOKUP(AB2122,#REF!,2,FALSE)</f>
        <v>#REF!</v>
      </c>
      <c r="AE2122" t="e">
        <f>RIGHT(#REF!,(FIND("Complex",#REF!,1)-9))</f>
        <v>#REF!</v>
      </c>
    </row>
    <row r="2123" spans="1:31" x14ac:dyDescent="0.25">
      <c r="A2123">
        <v>1228</v>
      </c>
      <c r="B2123" t="s">
        <v>67</v>
      </c>
      <c r="C2123">
        <v>110</v>
      </c>
      <c r="D2123">
        <v>371</v>
      </c>
      <c r="E2123">
        <v>1228</v>
      </c>
      <c r="F2123">
        <v>352801</v>
      </c>
      <c r="G2123">
        <v>441000</v>
      </c>
      <c r="H2123">
        <f t="shared" si="66"/>
        <v>8.000022675736961</v>
      </c>
      <c r="I2123">
        <f t="shared" si="67"/>
        <v>10</v>
      </c>
      <c r="J2123" t="s">
        <v>22</v>
      </c>
      <c r="K2123">
        <v>3</v>
      </c>
      <c r="L2123" t="e">
        <f t="array" ref="L2123">VLOOKUP(J2123:$J$3871&amp;K2123:$K$3871,CHOOSE({1,2},#REF!&amp;#REF!,#REF!),2,0)</f>
        <v>#N/A</v>
      </c>
      <c r="M2123">
        <v>-15</v>
      </c>
      <c r="N2123">
        <v>0</v>
      </c>
      <c r="O2123" t="s">
        <v>7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1</v>
      </c>
      <c r="Y2123">
        <v>0</v>
      </c>
      <c r="Z2123">
        <v>0</v>
      </c>
      <c r="AA2123" t="s">
        <v>4997</v>
      </c>
      <c r="AB2123" t="s">
        <v>2177</v>
      </c>
      <c r="AC2123" t="s">
        <v>4997</v>
      </c>
      <c r="AD2123" t="e">
        <f>VLOOKUP(AB2123,#REF!,2,FALSE)</f>
        <v>#REF!</v>
      </c>
      <c r="AE2123" t="e">
        <f>RIGHT(#REF!,(FIND("Complex",#REF!,1)-10))</f>
        <v>#REF!</v>
      </c>
    </row>
    <row r="2124" spans="1:31" x14ac:dyDescent="0.25">
      <c r="A2124">
        <v>2579</v>
      </c>
      <c r="B2124" t="s">
        <v>67</v>
      </c>
      <c r="C2124">
        <v>110</v>
      </c>
      <c r="D2124">
        <v>839</v>
      </c>
      <c r="E2124">
        <v>2579</v>
      </c>
      <c r="F2124">
        <v>7497001</v>
      </c>
      <c r="G2124">
        <v>7585200</v>
      </c>
      <c r="H2124">
        <f t="shared" si="66"/>
        <v>170.00002267573697</v>
      </c>
      <c r="I2124">
        <f t="shared" si="67"/>
        <v>172</v>
      </c>
      <c r="J2124" t="s">
        <v>22</v>
      </c>
      <c r="K2124">
        <v>3</v>
      </c>
      <c r="L2124" t="e">
        <f t="array" ref="L2124">VLOOKUP(J2124:$J$3871&amp;K2124:$K$3871,CHOOSE({1,2},#REF!&amp;#REF!,#REF!),2,0)</f>
        <v>#N/A</v>
      </c>
      <c r="M2124">
        <v>-15</v>
      </c>
      <c r="N2124">
        <v>0</v>
      </c>
      <c r="O2124" t="s">
        <v>7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1</v>
      </c>
      <c r="Y2124">
        <v>0</v>
      </c>
      <c r="Z2124">
        <v>0</v>
      </c>
      <c r="AA2124" t="s">
        <v>5759</v>
      </c>
      <c r="AB2124" t="s">
        <v>7655</v>
      </c>
      <c r="AC2124" t="s">
        <v>5759</v>
      </c>
      <c r="AD2124" t="e">
        <f>VLOOKUP(AB2124,#REF!,2,FALSE)</f>
        <v>#REF!</v>
      </c>
      <c r="AE2124" t="e">
        <f>RIGHT(#REF!,(FIND("Complex",#REF!,1)-8))</f>
        <v>#REF!</v>
      </c>
    </row>
    <row r="2125" spans="1:31" x14ac:dyDescent="0.25">
      <c r="A2125">
        <v>1773</v>
      </c>
      <c r="B2125" t="s">
        <v>67</v>
      </c>
      <c r="C2125">
        <v>110</v>
      </c>
      <c r="D2125">
        <v>533</v>
      </c>
      <c r="E2125">
        <v>1773</v>
      </c>
      <c r="F2125">
        <v>7232401</v>
      </c>
      <c r="G2125">
        <v>7320600</v>
      </c>
      <c r="H2125">
        <f t="shared" si="66"/>
        <v>164.00002267573697</v>
      </c>
      <c r="I2125">
        <f t="shared" si="67"/>
        <v>166</v>
      </c>
      <c r="J2125" t="s">
        <v>22</v>
      </c>
      <c r="K2125">
        <v>3</v>
      </c>
      <c r="L2125" t="e">
        <f t="array" ref="L2125">VLOOKUP(J2125:$J$3871&amp;K2125:$K$3871,CHOOSE({1,2},#REF!&amp;#REF!,#REF!),2,0)</f>
        <v>#N/A</v>
      </c>
      <c r="M2125">
        <v>-15</v>
      </c>
      <c r="N2125">
        <v>0</v>
      </c>
      <c r="O2125" t="s">
        <v>7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1</v>
      </c>
      <c r="Y2125">
        <v>0</v>
      </c>
      <c r="Z2125">
        <v>0</v>
      </c>
      <c r="AA2125" t="s">
        <v>5783</v>
      </c>
      <c r="AB2125" t="s">
        <v>7670</v>
      </c>
      <c r="AC2125" t="s">
        <v>5783</v>
      </c>
      <c r="AD2125" t="e">
        <f>VLOOKUP(AB2125,#REF!,2,FALSE)</f>
        <v>#REF!</v>
      </c>
      <c r="AE2125" t="e">
        <f>RIGHT(#REF!,(FIND("Complex",#REF!,1)-8))</f>
        <v>#REF!</v>
      </c>
    </row>
    <row r="2126" spans="1:31" x14ac:dyDescent="0.25">
      <c r="A2126">
        <v>188</v>
      </c>
      <c r="B2126" t="s">
        <v>67</v>
      </c>
      <c r="C2126">
        <v>110</v>
      </c>
      <c r="D2126">
        <v>58</v>
      </c>
      <c r="E2126">
        <v>188</v>
      </c>
      <c r="F2126">
        <v>6879601</v>
      </c>
      <c r="G2126">
        <v>6967800</v>
      </c>
      <c r="H2126">
        <f t="shared" si="66"/>
        <v>156.00002267573697</v>
      </c>
      <c r="I2126">
        <f t="shared" si="67"/>
        <v>158</v>
      </c>
      <c r="J2126" t="s">
        <v>22</v>
      </c>
      <c r="K2126">
        <v>3</v>
      </c>
      <c r="L2126" t="e">
        <f t="array" ref="L2126">VLOOKUP(J2126:$J$3871&amp;K2126:$K$3871,CHOOSE({1,2},#REF!&amp;#REF!,#REF!),2,0)</f>
        <v>#N/A</v>
      </c>
      <c r="M2126">
        <v>-15</v>
      </c>
      <c r="N2126">
        <v>0</v>
      </c>
      <c r="O2126" t="s">
        <v>7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1</v>
      </c>
      <c r="Y2126">
        <v>0</v>
      </c>
      <c r="Z2126">
        <v>0</v>
      </c>
      <c r="AA2126" t="s">
        <v>5851</v>
      </c>
      <c r="AB2126" t="s">
        <v>2178</v>
      </c>
      <c r="AC2126" t="s">
        <v>5851</v>
      </c>
      <c r="AD2126" t="e">
        <f>VLOOKUP(AB2126,#REF!,2,FALSE)</f>
        <v>#REF!</v>
      </c>
      <c r="AE2126" t="e">
        <f>RIGHT(#REF!,(FIND("Complex",#REF!,1)-7))</f>
        <v>#REF!</v>
      </c>
    </row>
    <row r="2127" spans="1:31" x14ac:dyDescent="0.25">
      <c r="A2127">
        <v>2191</v>
      </c>
      <c r="B2127" t="s">
        <v>67</v>
      </c>
      <c r="C2127">
        <v>110</v>
      </c>
      <c r="D2127">
        <v>674</v>
      </c>
      <c r="E2127">
        <v>2191</v>
      </c>
      <c r="F2127">
        <v>6174001</v>
      </c>
      <c r="G2127">
        <v>6262200</v>
      </c>
      <c r="H2127">
        <f t="shared" si="66"/>
        <v>140.00002267573697</v>
      </c>
      <c r="I2127">
        <f t="shared" si="67"/>
        <v>142</v>
      </c>
      <c r="J2127" t="s">
        <v>22</v>
      </c>
      <c r="K2127">
        <v>3</v>
      </c>
      <c r="L2127" t="e">
        <f t="array" ref="L2127">VLOOKUP(J2127:$J$3871&amp;K2127:$K$3871,CHOOSE({1,2},#REF!&amp;#REF!,#REF!),2,0)</f>
        <v>#N/A</v>
      </c>
      <c r="M2127">
        <v>-15</v>
      </c>
      <c r="N2127">
        <v>0</v>
      </c>
      <c r="O2127" t="s">
        <v>7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1</v>
      </c>
      <c r="Y2127">
        <v>0</v>
      </c>
      <c r="Z2127">
        <v>0</v>
      </c>
      <c r="AA2127" t="s">
        <v>5928</v>
      </c>
      <c r="AB2127" t="s">
        <v>7756</v>
      </c>
      <c r="AC2127" t="s">
        <v>5928</v>
      </c>
      <c r="AD2127" t="e">
        <f>VLOOKUP(AB2127,#REF!,2,FALSE)</f>
        <v>#REF!</v>
      </c>
      <c r="AE2127" t="e">
        <f>RIGHT(#REF!,(FIND("Complex",#REF!,1)-8))</f>
        <v>#REF!</v>
      </c>
    </row>
    <row r="2128" spans="1:31" x14ac:dyDescent="0.25">
      <c r="A2128">
        <v>153</v>
      </c>
      <c r="B2128" t="s">
        <v>90</v>
      </c>
      <c r="C2128">
        <v>111</v>
      </c>
      <c r="D2128">
        <v>48</v>
      </c>
      <c r="E2128">
        <v>153</v>
      </c>
      <c r="F2128">
        <v>3969001</v>
      </c>
      <c r="G2128">
        <v>4057200</v>
      </c>
      <c r="H2128">
        <f t="shared" si="66"/>
        <v>90.000022675736957</v>
      </c>
      <c r="I2128">
        <f t="shared" si="67"/>
        <v>92</v>
      </c>
      <c r="J2128" t="s">
        <v>22</v>
      </c>
      <c r="K2128">
        <v>3</v>
      </c>
      <c r="L2128" t="e">
        <f t="array" ref="L2128">VLOOKUP(J2128:$J$3871&amp;K2128:$K$3871,CHOOSE({1,2},#REF!&amp;#REF!,#REF!),2,0)</f>
        <v>#N/A</v>
      </c>
      <c r="M2128">
        <v>-15</v>
      </c>
      <c r="N2128">
        <v>0</v>
      </c>
      <c r="O2128" t="s">
        <v>7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1</v>
      </c>
      <c r="Y2128">
        <v>0</v>
      </c>
      <c r="Z2128">
        <v>0</v>
      </c>
      <c r="AA2128" t="s">
        <v>4932</v>
      </c>
      <c r="AB2128" t="s">
        <v>7180</v>
      </c>
      <c r="AC2128" t="s">
        <v>4932</v>
      </c>
      <c r="AD2128" t="e">
        <f>VLOOKUP(AB2128,#REF!,2,FALSE)</f>
        <v>#REF!</v>
      </c>
      <c r="AE2128" t="e">
        <f>RIGHT(#REF!,(FIND("Complex",#REF!,1)-8))</f>
        <v>#REF!</v>
      </c>
    </row>
    <row r="2129" spans="1:31" x14ac:dyDescent="0.25">
      <c r="A2129">
        <v>2105</v>
      </c>
      <c r="B2129" t="s">
        <v>281</v>
      </c>
      <c r="C2129">
        <v>112</v>
      </c>
      <c r="D2129">
        <v>640</v>
      </c>
      <c r="E2129">
        <v>2105</v>
      </c>
      <c r="F2129">
        <v>2028601</v>
      </c>
      <c r="G2129">
        <v>2116800</v>
      </c>
      <c r="H2129">
        <f t="shared" si="66"/>
        <v>46.000022675736965</v>
      </c>
      <c r="I2129">
        <f t="shared" si="67"/>
        <v>48</v>
      </c>
      <c r="J2129" t="s">
        <v>22</v>
      </c>
      <c r="K2129">
        <v>3</v>
      </c>
      <c r="L2129" t="e">
        <f t="array" ref="L2129">VLOOKUP(J2129:$J$3871&amp;K2129:$K$3871,CHOOSE({1,2},#REF!&amp;#REF!,#REF!),2,0)</f>
        <v>#N/A</v>
      </c>
      <c r="M2129">
        <v>-15</v>
      </c>
      <c r="N2129">
        <v>0</v>
      </c>
      <c r="O2129" t="s">
        <v>7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1</v>
      </c>
      <c r="Y2129">
        <v>0</v>
      </c>
      <c r="Z2129">
        <v>0</v>
      </c>
      <c r="AA2129" t="s">
        <v>5224</v>
      </c>
      <c r="AB2129" t="s">
        <v>2222</v>
      </c>
      <c r="AC2129" t="s">
        <v>5224</v>
      </c>
      <c r="AD2129" t="e">
        <f>VLOOKUP(AB2129,#REF!,2,FALSE)</f>
        <v>#REF!</v>
      </c>
      <c r="AE2129" t="e">
        <f>RIGHT(#REF!,(FIND("Complex",#REF!,1)-9))</f>
        <v>#REF!</v>
      </c>
    </row>
    <row r="2130" spans="1:31" x14ac:dyDescent="0.25">
      <c r="A2130">
        <v>352</v>
      </c>
      <c r="B2130" t="s">
        <v>281</v>
      </c>
      <c r="C2130">
        <v>112</v>
      </c>
      <c r="D2130">
        <v>110</v>
      </c>
      <c r="E2130">
        <v>352</v>
      </c>
      <c r="F2130">
        <v>8643601</v>
      </c>
      <c r="G2130">
        <v>8731800</v>
      </c>
      <c r="H2130">
        <f t="shared" si="66"/>
        <v>196.00002267573697</v>
      </c>
      <c r="I2130">
        <f t="shared" si="67"/>
        <v>198</v>
      </c>
      <c r="J2130" t="s">
        <v>22</v>
      </c>
      <c r="K2130">
        <v>3</v>
      </c>
      <c r="L2130" t="e">
        <f t="array" ref="L2130">VLOOKUP(J2130:$J$3871&amp;K2130:$K$3871,CHOOSE({1,2},#REF!&amp;#REF!,#REF!),2,0)</f>
        <v>#N/A</v>
      </c>
      <c r="M2130">
        <v>-15</v>
      </c>
      <c r="N2130">
        <v>0</v>
      </c>
      <c r="O2130" t="s">
        <v>7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1</v>
      </c>
      <c r="Y2130">
        <v>0</v>
      </c>
      <c r="Z2130">
        <v>0</v>
      </c>
      <c r="AA2130" t="s">
        <v>5665</v>
      </c>
      <c r="AB2130" t="s">
        <v>7595</v>
      </c>
      <c r="AC2130" t="s">
        <v>5665</v>
      </c>
      <c r="AD2130" t="e">
        <f>VLOOKUP(AB2130,#REF!,2,FALSE)</f>
        <v>#REF!</v>
      </c>
      <c r="AE2130" t="e">
        <f>RIGHT(#REF!,(FIND("Complex",#REF!,1)-7))</f>
        <v>#REF!</v>
      </c>
    </row>
    <row r="2131" spans="1:31" x14ac:dyDescent="0.25">
      <c r="A2131">
        <v>2418</v>
      </c>
      <c r="B2131" t="s">
        <v>281</v>
      </c>
      <c r="C2131">
        <v>112</v>
      </c>
      <c r="D2131">
        <v>777</v>
      </c>
      <c r="E2131">
        <v>2418</v>
      </c>
      <c r="F2131">
        <v>7585201</v>
      </c>
      <c r="G2131">
        <v>7673400</v>
      </c>
      <c r="H2131">
        <f t="shared" si="66"/>
        <v>172.00002267573697</v>
      </c>
      <c r="I2131">
        <f t="shared" si="67"/>
        <v>174</v>
      </c>
      <c r="J2131" t="s">
        <v>22</v>
      </c>
      <c r="K2131">
        <v>3</v>
      </c>
      <c r="L2131" t="e">
        <f t="array" ref="L2131">VLOOKUP(J2131:$J$3871&amp;K2131:$K$3871,CHOOSE({1,2},#REF!&amp;#REF!,#REF!),2,0)</f>
        <v>#N/A</v>
      </c>
      <c r="M2131">
        <v>-15</v>
      </c>
      <c r="N2131">
        <v>0</v>
      </c>
      <c r="O2131" t="s">
        <v>7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1</v>
      </c>
      <c r="Y2131">
        <v>0</v>
      </c>
      <c r="Z2131">
        <v>0</v>
      </c>
      <c r="AA2131" t="s">
        <v>5751</v>
      </c>
      <c r="AB2131" t="s">
        <v>7650</v>
      </c>
      <c r="AC2131" t="s">
        <v>5751</v>
      </c>
      <c r="AD2131" t="e">
        <f>VLOOKUP(AB2131,#REF!,2,FALSE)</f>
        <v>#REF!</v>
      </c>
      <c r="AE2131" t="e">
        <f>RIGHT(#REF!,(FIND("Complex",#REF!,1)-8))</f>
        <v>#REF!</v>
      </c>
    </row>
    <row r="2132" spans="1:31" x14ac:dyDescent="0.25">
      <c r="A2132">
        <v>1912</v>
      </c>
      <c r="B2132" t="s">
        <v>281</v>
      </c>
      <c r="C2132">
        <v>112</v>
      </c>
      <c r="D2132">
        <v>580</v>
      </c>
      <c r="E2132">
        <v>1912</v>
      </c>
      <c r="F2132">
        <v>7232401</v>
      </c>
      <c r="G2132">
        <v>7320600</v>
      </c>
      <c r="H2132">
        <f t="shared" si="66"/>
        <v>164.00002267573697</v>
      </c>
      <c r="I2132">
        <f t="shared" si="67"/>
        <v>166</v>
      </c>
      <c r="J2132" t="s">
        <v>22</v>
      </c>
      <c r="K2132">
        <v>3</v>
      </c>
      <c r="L2132" t="e">
        <f t="array" ref="L2132">VLOOKUP(J2132:$J$3871&amp;K2132:$K$3871,CHOOSE({1,2},#REF!&amp;#REF!,#REF!),2,0)</f>
        <v>#N/A</v>
      </c>
      <c r="M2132">
        <v>-15</v>
      </c>
      <c r="N2132">
        <v>0</v>
      </c>
      <c r="O2132" t="s">
        <v>7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1</v>
      </c>
      <c r="Y2132">
        <v>0</v>
      </c>
      <c r="Z2132">
        <v>0</v>
      </c>
      <c r="AA2132" t="s">
        <v>5782</v>
      </c>
      <c r="AB2132" t="s">
        <v>7669</v>
      </c>
      <c r="AC2132" t="s">
        <v>5782</v>
      </c>
      <c r="AD2132" t="e">
        <f>VLOOKUP(AB2132,#REF!,2,FALSE)</f>
        <v>#REF!</v>
      </c>
      <c r="AE2132" t="e">
        <f>RIGHT(#REF!,(FIND("Complex",#REF!,1)-8))</f>
        <v>#REF!</v>
      </c>
    </row>
    <row r="2133" spans="1:31" x14ac:dyDescent="0.25">
      <c r="A2133">
        <v>271</v>
      </c>
      <c r="B2133" t="s">
        <v>281</v>
      </c>
      <c r="C2133">
        <v>112</v>
      </c>
      <c r="D2133">
        <v>81</v>
      </c>
      <c r="E2133">
        <v>271</v>
      </c>
      <c r="F2133">
        <v>6438601</v>
      </c>
      <c r="G2133">
        <v>6526800</v>
      </c>
      <c r="H2133">
        <f t="shared" si="66"/>
        <v>146.00002267573697</v>
      </c>
      <c r="I2133">
        <f t="shared" si="67"/>
        <v>148</v>
      </c>
      <c r="J2133" t="s">
        <v>22</v>
      </c>
      <c r="K2133">
        <v>3</v>
      </c>
      <c r="L2133" t="e">
        <f t="array" ref="L2133">VLOOKUP(J2133:$J$3871&amp;K2133:$K$3871,CHOOSE({1,2},#REF!&amp;#REF!,#REF!),2,0)</f>
        <v>#N/A</v>
      </c>
      <c r="M2133">
        <v>-15</v>
      </c>
      <c r="N2133">
        <v>0</v>
      </c>
      <c r="O2133" t="s">
        <v>7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1</v>
      </c>
      <c r="Y2133">
        <v>0</v>
      </c>
      <c r="Z2133">
        <v>0</v>
      </c>
      <c r="AA2133" t="s">
        <v>5901</v>
      </c>
      <c r="AB2133" t="s">
        <v>7742</v>
      </c>
      <c r="AC2133" t="s">
        <v>5901</v>
      </c>
      <c r="AD2133" t="e">
        <f>VLOOKUP(AB2133,#REF!,2,FALSE)</f>
        <v>#REF!</v>
      </c>
      <c r="AE2133" t="e">
        <f>RIGHT(#REF!,(FIND("Complex",#REF!,1)-7))</f>
        <v>#REF!</v>
      </c>
    </row>
    <row r="2134" spans="1:31" x14ac:dyDescent="0.25">
      <c r="A2134">
        <v>138</v>
      </c>
      <c r="B2134" t="s">
        <v>281</v>
      </c>
      <c r="C2134">
        <v>112</v>
      </c>
      <c r="D2134">
        <v>44</v>
      </c>
      <c r="E2134">
        <v>138</v>
      </c>
      <c r="F2134">
        <v>4851001</v>
      </c>
      <c r="G2134">
        <v>4939200</v>
      </c>
      <c r="H2134">
        <f t="shared" si="66"/>
        <v>110.00002267573696</v>
      </c>
      <c r="I2134">
        <f t="shared" si="67"/>
        <v>112</v>
      </c>
      <c r="J2134" t="s">
        <v>22</v>
      </c>
      <c r="K2134">
        <v>3</v>
      </c>
      <c r="L2134" t="e">
        <f t="array" ref="L2134">VLOOKUP(J2134:$J$3871&amp;K2134:$K$3871,CHOOSE({1,2},#REF!&amp;#REF!,#REF!),2,0)</f>
        <v>#N/A</v>
      </c>
      <c r="M2134">
        <v>-15</v>
      </c>
      <c r="N2134">
        <v>0</v>
      </c>
      <c r="O2134" t="s">
        <v>7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1</v>
      </c>
      <c r="Y2134">
        <v>0</v>
      </c>
      <c r="Z2134">
        <v>0</v>
      </c>
      <c r="AA2134" t="s">
        <v>6079</v>
      </c>
      <c r="AB2134" t="s">
        <v>7838</v>
      </c>
      <c r="AC2134" t="s">
        <v>6079</v>
      </c>
      <c r="AD2134" t="e">
        <f>VLOOKUP(AB2134,#REF!,2,FALSE)</f>
        <v>#REF!</v>
      </c>
      <c r="AE2134" t="e">
        <f>RIGHT(#REF!,(FIND("Complex",#REF!,1)-7))</f>
        <v>#REF!</v>
      </c>
    </row>
    <row r="2135" spans="1:31" x14ac:dyDescent="0.25">
      <c r="A2135">
        <v>2765</v>
      </c>
      <c r="B2135" t="s">
        <v>281</v>
      </c>
      <c r="C2135">
        <v>112</v>
      </c>
      <c r="D2135">
        <v>915</v>
      </c>
      <c r="E2135">
        <v>2765</v>
      </c>
      <c r="F2135">
        <v>4586401</v>
      </c>
      <c r="G2135">
        <v>4674600</v>
      </c>
      <c r="H2135">
        <f t="shared" si="66"/>
        <v>104.00002267573696</v>
      </c>
      <c r="I2135">
        <f t="shared" si="67"/>
        <v>106</v>
      </c>
      <c r="J2135" t="s">
        <v>22</v>
      </c>
      <c r="K2135">
        <v>3</v>
      </c>
      <c r="L2135" t="e">
        <f t="array" ref="L2135">VLOOKUP(J2135:$J$3871&amp;K2135:$K$3871,CHOOSE({1,2},#REF!&amp;#REF!,#REF!),2,0)</f>
        <v>#N/A</v>
      </c>
      <c r="M2135">
        <v>-15</v>
      </c>
      <c r="N2135">
        <v>0</v>
      </c>
      <c r="O2135" t="s">
        <v>7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1</v>
      </c>
      <c r="Y2135">
        <v>0</v>
      </c>
      <c r="Z2135">
        <v>0</v>
      </c>
      <c r="AA2135" t="s">
        <v>6104</v>
      </c>
      <c r="AB2135" t="s">
        <v>7853</v>
      </c>
      <c r="AC2135" t="s">
        <v>6104</v>
      </c>
      <c r="AD2135" t="e">
        <f>VLOOKUP(AB2135,#REF!,2,FALSE)</f>
        <v>#REF!</v>
      </c>
      <c r="AE2135" t="e">
        <f>RIGHT(#REF!,(FIND("Complex",#REF!,1)-8))</f>
        <v>#REF!</v>
      </c>
    </row>
    <row r="2136" spans="1:31" x14ac:dyDescent="0.25">
      <c r="A2136">
        <v>2628</v>
      </c>
      <c r="B2136" t="s">
        <v>281</v>
      </c>
      <c r="C2136">
        <v>112</v>
      </c>
      <c r="D2136">
        <v>867</v>
      </c>
      <c r="E2136">
        <v>2628</v>
      </c>
      <c r="F2136">
        <v>4410001</v>
      </c>
      <c r="G2136">
        <v>4498200</v>
      </c>
      <c r="H2136">
        <f t="shared" si="66"/>
        <v>100.00002267573696</v>
      </c>
      <c r="I2136">
        <f t="shared" si="67"/>
        <v>102</v>
      </c>
      <c r="J2136" t="s">
        <v>22</v>
      </c>
      <c r="K2136">
        <v>3</v>
      </c>
      <c r="L2136" t="e">
        <f t="array" ref="L2136">VLOOKUP(J2136:$J$3871&amp;K2136:$K$3871,CHOOSE({1,2},#REF!&amp;#REF!,#REF!),2,0)</f>
        <v>#N/A</v>
      </c>
      <c r="M2136">
        <v>-15</v>
      </c>
      <c r="N2136">
        <v>0</v>
      </c>
      <c r="O2136" t="s">
        <v>7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1</v>
      </c>
      <c r="Y2136">
        <v>0</v>
      </c>
      <c r="Z2136">
        <v>0</v>
      </c>
      <c r="AA2136" t="s">
        <v>6127</v>
      </c>
      <c r="AB2136" t="s">
        <v>7867</v>
      </c>
      <c r="AC2136" t="s">
        <v>6127</v>
      </c>
      <c r="AD2136" t="e">
        <f>VLOOKUP(AB2136,#REF!,2,FALSE)</f>
        <v>#REF!</v>
      </c>
      <c r="AE2136" t="e">
        <f>RIGHT(#REF!,(FIND("Complex",#REF!,1)-8))</f>
        <v>#REF!</v>
      </c>
    </row>
    <row r="2137" spans="1:31" x14ac:dyDescent="0.25">
      <c r="A2137">
        <v>1964</v>
      </c>
      <c r="B2137" t="s">
        <v>282</v>
      </c>
      <c r="C2137">
        <v>113</v>
      </c>
      <c r="D2137">
        <v>594</v>
      </c>
      <c r="E2137">
        <v>1964</v>
      </c>
      <c r="F2137">
        <v>352801</v>
      </c>
      <c r="G2137">
        <v>441000</v>
      </c>
      <c r="H2137">
        <f t="shared" si="66"/>
        <v>8.000022675736961</v>
      </c>
      <c r="I2137">
        <f t="shared" si="67"/>
        <v>10</v>
      </c>
      <c r="J2137" t="s">
        <v>22</v>
      </c>
      <c r="K2137">
        <v>3</v>
      </c>
      <c r="L2137" t="e">
        <f t="array" ref="L2137">VLOOKUP(J2137:$J$3871&amp;K2137:$K$3871,CHOOSE({1,2},#REF!&amp;#REF!,#REF!),2,0)</f>
        <v>#N/A</v>
      </c>
      <c r="M2137">
        <v>-15</v>
      </c>
      <c r="N2137">
        <v>0</v>
      </c>
      <c r="O2137" t="s">
        <v>7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 t="s">
        <v>4996</v>
      </c>
      <c r="AB2137" t="s">
        <v>7214</v>
      </c>
      <c r="AC2137" t="s">
        <v>4996</v>
      </c>
      <c r="AD2137" t="e">
        <f>VLOOKUP(AB2137,#REF!,2,FALSE)</f>
        <v>#REF!</v>
      </c>
      <c r="AE2137" t="e">
        <f>RIGHT(#REF!,(FIND("Complex",#REF!,1)-10))</f>
        <v>#REF!</v>
      </c>
    </row>
    <row r="2138" spans="1:31" x14ac:dyDescent="0.25">
      <c r="A2138">
        <v>2802</v>
      </c>
      <c r="B2138" t="s">
        <v>282</v>
      </c>
      <c r="C2138">
        <v>113</v>
      </c>
      <c r="D2138">
        <v>922</v>
      </c>
      <c r="E2138">
        <v>2802</v>
      </c>
      <c r="F2138">
        <v>1852201</v>
      </c>
      <c r="G2138">
        <v>1940400</v>
      </c>
      <c r="H2138">
        <f t="shared" si="66"/>
        <v>42.000022675736965</v>
      </c>
      <c r="I2138">
        <f t="shared" si="67"/>
        <v>44</v>
      </c>
      <c r="J2138" t="s">
        <v>22</v>
      </c>
      <c r="K2138">
        <v>3</v>
      </c>
      <c r="L2138" t="e">
        <f t="array" ref="L2138">VLOOKUP(J2138:$J$3871&amp;K2138:$K$3871,CHOOSE({1,2},#REF!&amp;#REF!,#REF!),2,0)</f>
        <v>#N/A</v>
      </c>
      <c r="M2138">
        <v>-15</v>
      </c>
      <c r="N2138">
        <v>0</v>
      </c>
      <c r="O2138" t="s">
        <v>7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1</v>
      </c>
      <c r="Y2138">
        <v>0</v>
      </c>
      <c r="Z2138">
        <v>0</v>
      </c>
      <c r="AA2138" t="s">
        <v>5251</v>
      </c>
      <c r="AB2138" t="s">
        <v>7337</v>
      </c>
      <c r="AC2138" t="s">
        <v>5251</v>
      </c>
      <c r="AD2138" t="e">
        <f>VLOOKUP(AB2138,#REF!,2,FALSE)</f>
        <v>#REF!</v>
      </c>
      <c r="AE2138" t="e">
        <f>RIGHT(#REF!,(FIND("Complex",#REF!,1)-9))</f>
        <v>#REF!</v>
      </c>
    </row>
    <row r="2139" spans="1:31" x14ac:dyDescent="0.25">
      <c r="A2139">
        <v>904</v>
      </c>
      <c r="B2139" t="s">
        <v>282</v>
      </c>
      <c r="C2139">
        <v>113</v>
      </c>
      <c r="D2139">
        <v>275</v>
      </c>
      <c r="E2139">
        <v>904</v>
      </c>
      <c r="F2139">
        <v>176401</v>
      </c>
      <c r="G2139">
        <v>264600</v>
      </c>
      <c r="H2139">
        <f t="shared" si="66"/>
        <v>4.000022675736961</v>
      </c>
      <c r="I2139">
        <f t="shared" si="67"/>
        <v>6</v>
      </c>
      <c r="J2139" t="s">
        <v>22</v>
      </c>
      <c r="K2139">
        <v>3</v>
      </c>
      <c r="L2139" t="e">
        <f t="array" ref="L2139">VLOOKUP(J2139:$J$3871&amp;K2139:$K$3871,CHOOSE({1,2},#REF!&amp;#REF!,#REF!),2,0)</f>
        <v>#N/A</v>
      </c>
      <c r="M2139">
        <v>-15</v>
      </c>
      <c r="N2139">
        <v>0</v>
      </c>
      <c r="O2139" t="s">
        <v>7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1</v>
      </c>
      <c r="Y2139">
        <v>0</v>
      </c>
      <c r="Z2139">
        <v>0</v>
      </c>
      <c r="AA2139" t="s">
        <v>5280</v>
      </c>
      <c r="AB2139" t="s">
        <v>7353</v>
      </c>
      <c r="AC2139" t="s">
        <v>5280</v>
      </c>
      <c r="AD2139" t="e">
        <f>VLOOKUP(AB2139,#REF!,2,FALSE)</f>
        <v>#REF!</v>
      </c>
      <c r="AE2139" t="e">
        <f>RIGHT(#REF!,(FIND("Complex",#REF!,1)-9))</f>
        <v>#REF!</v>
      </c>
    </row>
    <row r="2140" spans="1:31" x14ac:dyDescent="0.25">
      <c r="A2140">
        <v>209</v>
      </c>
      <c r="B2140" t="s">
        <v>282</v>
      </c>
      <c r="C2140">
        <v>113</v>
      </c>
      <c r="D2140">
        <v>65</v>
      </c>
      <c r="E2140">
        <v>209</v>
      </c>
      <c r="F2140">
        <v>9172801</v>
      </c>
      <c r="G2140">
        <v>9261000</v>
      </c>
      <c r="H2140">
        <f t="shared" si="66"/>
        <v>208.00002267573697</v>
      </c>
      <c r="I2140">
        <f t="shared" si="67"/>
        <v>210</v>
      </c>
      <c r="J2140" t="s">
        <v>22</v>
      </c>
      <c r="K2140">
        <v>3</v>
      </c>
      <c r="L2140" t="e">
        <f t="array" ref="L2140">VLOOKUP(J2140:$J$3871&amp;K2140:$K$3871,CHOOSE({1,2},#REF!&amp;#REF!,#REF!),2,0)</f>
        <v>#N/A</v>
      </c>
      <c r="M2140">
        <v>-15</v>
      </c>
      <c r="N2140">
        <v>0</v>
      </c>
      <c r="O2140" t="s">
        <v>7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1</v>
      </c>
      <c r="Y2140">
        <v>0</v>
      </c>
      <c r="Z2140">
        <v>0</v>
      </c>
      <c r="AA2140" t="s">
        <v>5614</v>
      </c>
      <c r="AB2140" t="s">
        <v>7562</v>
      </c>
      <c r="AC2140" t="s">
        <v>5614</v>
      </c>
      <c r="AD2140" t="e">
        <f>VLOOKUP(AB2140,#REF!,2,FALSE)</f>
        <v>#REF!</v>
      </c>
      <c r="AE2140" t="e">
        <f>RIGHT(#REF!,(FIND("Complex",#REF!,1)-7))</f>
        <v>#REF!</v>
      </c>
    </row>
    <row r="2141" spans="1:31" x14ac:dyDescent="0.25">
      <c r="A2141">
        <v>2174</v>
      </c>
      <c r="B2141" t="s">
        <v>282</v>
      </c>
      <c r="C2141">
        <v>113</v>
      </c>
      <c r="D2141">
        <v>667</v>
      </c>
      <c r="E2141">
        <v>2174</v>
      </c>
      <c r="F2141">
        <v>529201</v>
      </c>
      <c r="G2141">
        <v>617400</v>
      </c>
      <c r="H2141">
        <f t="shared" si="66"/>
        <v>12.000022675736961</v>
      </c>
      <c r="I2141">
        <f t="shared" si="67"/>
        <v>14</v>
      </c>
      <c r="J2141" t="s">
        <v>22</v>
      </c>
      <c r="K2141">
        <v>3</v>
      </c>
      <c r="L2141" t="e">
        <f t="array" ref="L2141">VLOOKUP(J2141:$J$3871&amp;K2141:$K$3871,CHOOSE({1,2},#REF!&amp;#REF!,#REF!),2,0)</f>
        <v>#N/A</v>
      </c>
      <c r="M2141">
        <v>-15</v>
      </c>
      <c r="N2141">
        <v>0</v>
      </c>
      <c r="O2141" t="s">
        <v>7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1</v>
      </c>
      <c r="Y2141">
        <v>0</v>
      </c>
      <c r="Z2141">
        <v>0</v>
      </c>
      <c r="AA2141" t="s">
        <v>6038</v>
      </c>
      <c r="AB2141" t="s">
        <v>283</v>
      </c>
      <c r="AC2141" t="s">
        <v>6038</v>
      </c>
      <c r="AD2141" t="e">
        <f>VLOOKUP(AB2141,#REF!,2,FALSE)</f>
        <v>#REF!</v>
      </c>
      <c r="AE2141" t="e">
        <f>RIGHT(#REF!,(FIND("Complex",#REF!,1)-9))</f>
        <v>#REF!</v>
      </c>
    </row>
    <row r="2142" spans="1:31" x14ac:dyDescent="0.25">
      <c r="A2142">
        <v>2158</v>
      </c>
      <c r="B2142" t="s">
        <v>284</v>
      </c>
      <c r="C2142">
        <v>114</v>
      </c>
      <c r="D2142">
        <v>661</v>
      </c>
      <c r="E2142">
        <v>2158</v>
      </c>
      <c r="F2142">
        <v>3351601</v>
      </c>
      <c r="G2142">
        <v>3439800</v>
      </c>
      <c r="H2142">
        <f t="shared" si="66"/>
        <v>76.000022675736957</v>
      </c>
      <c r="I2142">
        <f t="shared" si="67"/>
        <v>78</v>
      </c>
      <c r="J2142" t="s">
        <v>22</v>
      </c>
      <c r="K2142">
        <v>3</v>
      </c>
      <c r="L2142" t="e">
        <f t="array" ref="L2142">VLOOKUP(J2142:$J$3871&amp;K2142:$K$3871,CHOOSE({1,2},#REF!&amp;#REF!,#REF!),2,0)</f>
        <v>#N/A</v>
      </c>
      <c r="M2142">
        <v>-15</v>
      </c>
      <c r="N2142">
        <v>0</v>
      </c>
      <c r="O2142" t="s">
        <v>7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1</v>
      </c>
      <c r="Y2142">
        <v>0</v>
      </c>
      <c r="Z2142">
        <v>0</v>
      </c>
      <c r="AA2142" t="s">
        <v>5022</v>
      </c>
      <c r="AB2142" t="s">
        <v>7228</v>
      </c>
      <c r="AC2142" t="s">
        <v>5022</v>
      </c>
      <c r="AD2142" t="e">
        <f>VLOOKUP(AB2142,#REF!,2,FALSE)</f>
        <v>#REF!</v>
      </c>
      <c r="AE2142" t="e">
        <f>RIGHT(#REF!,(FIND("Complex",#REF!,1)-9))</f>
        <v>#REF!</v>
      </c>
    </row>
    <row r="2143" spans="1:31" x14ac:dyDescent="0.25">
      <c r="A2143">
        <v>2821</v>
      </c>
      <c r="B2143" t="s">
        <v>284</v>
      </c>
      <c r="C2143">
        <v>114</v>
      </c>
      <c r="D2143">
        <v>927</v>
      </c>
      <c r="E2143">
        <v>2821</v>
      </c>
      <c r="F2143">
        <v>10054801</v>
      </c>
      <c r="G2143">
        <v>10143000</v>
      </c>
      <c r="H2143">
        <f t="shared" si="66"/>
        <v>228.00002267573697</v>
      </c>
      <c r="I2143">
        <f t="shared" si="67"/>
        <v>230</v>
      </c>
      <c r="J2143" t="s">
        <v>22</v>
      </c>
      <c r="K2143">
        <v>3</v>
      </c>
      <c r="L2143" t="e">
        <f t="array" ref="L2143">VLOOKUP(J2143:$J$3871&amp;K2143:$K$3871,CHOOSE({1,2},#REF!&amp;#REF!,#REF!),2,0)</f>
        <v>#N/A</v>
      </c>
      <c r="M2143">
        <v>-15</v>
      </c>
      <c r="N2143">
        <v>0</v>
      </c>
      <c r="O2143" t="s">
        <v>7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1</v>
      </c>
      <c r="Y2143">
        <v>0</v>
      </c>
      <c r="Z2143">
        <v>0</v>
      </c>
      <c r="AA2143" t="s">
        <v>5552</v>
      </c>
      <c r="AB2143" t="s">
        <v>2234</v>
      </c>
      <c r="AC2143" t="s">
        <v>5552</v>
      </c>
      <c r="AD2143" t="e">
        <f>VLOOKUP(AB2143,#REF!,2,FALSE)</f>
        <v>#REF!</v>
      </c>
      <c r="AE2143" t="e">
        <f>RIGHT(#REF!,(FIND("Complex",#REF!,1)-8))</f>
        <v>#REF!</v>
      </c>
    </row>
    <row r="2144" spans="1:31" x14ac:dyDescent="0.25">
      <c r="A2144">
        <v>2007</v>
      </c>
      <c r="B2144" t="s">
        <v>284</v>
      </c>
      <c r="C2144">
        <v>114</v>
      </c>
      <c r="D2144">
        <v>610</v>
      </c>
      <c r="E2144">
        <v>2007</v>
      </c>
      <c r="F2144">
        <v>9702001</v>
      </c>
      <c r="G2144">
        <v>9790200</v>
      </c>
      <c r="H2144">
        <f t="shared" si="66"/>
        <v>220.00002267573697</v>
      </c>
      <c r="I2144">
        <f t="shared" si="67"/>
        <v>222</v>
      </c>
      <c r="J2144" t="s">
        <v>22</v>
      </c>
      <c r="K2144">
        <v>3</v>
      </c>
      <c r="L2144" t="e">
        <f t="array" ref="L2144">VLOOKUP(J2144:$J$3871&amp;K2144:$K$3871,CHOOSE({1,2},#REF!&amp;#REF!,#REF!),2,0)</f>
        <v>#N/A</v>
      </c>
      <c r="M2144">
        <v>-15</v>
      </c>
      <c r="N2144">
        <v>0</v>
      </c>
      <c r="O2144" t="s">
        <v>7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1</v>
      </c>
      <c r="Y2144">
        <v>0</v>
      </c>
      <c r="Z2144">
        <v>0</v>
      </c>
      <c r="AA2144" t="s">
        <v>5573</v>
      </c>
      <c r="AB2144" t="s">
        <v>7537</v>
      </c>
      <c r="AC2144" t="s">
        <v>5573</v>
      </c>
      <c r="AD2144" t="e">
        <f>VLOOKUP(AB2144,#REF!,2,FALSE)</f>
        <v>#REF!</v>
      </c>
      <c r="AE2144" t="e">
        <f>RIGHT(#REF!,(FIND("Complex",#REF!,1)-8))</f>
        <v>#REF!</v>
      </c>
    </row>
    <row r="2145" spans="1:31" x14ac:dyDescent="0.25">
      <c r="A2145">
        <v>2575</v>
      </c>
      <c r="B2145" t="s">
        <v>284</v>
      </c>
      <c r="C2145">
        <v>114</v>
      </c>
      <c r="D2145">
        <v>837</v>
      </c>
      <c r="E2145">
        <v>2575</v>
      </c>
      <c r="F2145">
        <v>9349201</v>
      </c>
      <c r="G2145">
        <v>9437400</v>
      </c>
      <c r="H2145">
        <f t="shared" si="66"/>
        <v>212.00002267573697</v>
      </c>
      <c r="I2145">
        <f t="shared" si="67"/>
        <v>214</v>
      </c>
      <c r="J2145" t="s">
        <v>22</v>
      </c>
      <c r="K2145">
        <v>3</v>
      </c>
      <c r="L2145" t="e">
        <f t="array" ref="L2145">VLOOKUP(J2145:$J$3871&amp;K2145:$K$3871,CHOOSE({1,2},#REF!&amp;#REF!,#REF!),2,0)</f>
        <v>#N/A</v>
      </c>
      <c r="M2145">
        <v>-15</v>
      </c>
      <c r="N2145">
        <v>0</v>
      </c>
      <c r="O2145" t="s">
        <v>7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1</v>
      </c>
      <c r="Y2145">
        <v>0</v>
      </c>
      <c r="Z2145">
        <v>0</v>
      </c>
      <c r="AA2145" t="s">
        <v>5606</v>
      </c>
      <c r="AB2145" t="s">
        <v>7556</v>
      </c>
      <c r="AC2145" t="s">
        <v>5606</v>
      </c>
      <c r="AD2145" t="e">
        <f>VLOOKUP(AB2145,#REF!,2,FALSE)</f>
        <v>#REF!</v>
      </c>
      <c r="AE2145" t="e">
        <f>RIGHT(#REF!,(FIND("Complex",#REF!,1)-8))</f>
        <v>#REF!</v>
      </c>
    </row>
    <row r="2146" spans="1:31" x14ac:dyDescent="0.25">
      <c r="A2146">
        <v>2459</v>
      </c>
      <c r="B2146" t="s">
        <v>284</v>
      </c>
      <c r="C2146">
        <v>114</v>
      </c>
      <c r="D2146">
        <v>797</v>
      </c>
      <c r="E2146">
        <v>2459</v>
      </c>
      <c r="F2146">
        <v>7761601</v>
      </c>
      <c r="G2146">
        <v>7849800</v>
      </c>
      <c r="H2146">
        <f t="shared" si="66"/>
        <v>176.00002267573697</v>
      </c>
      <c r="I2146">
        <f t="shared" si="67"/>
        <v>178</v>
      </c>
      <c r="J2146" t="s">
        <v>22</v>
      </c>
      <c r="K2146">
        <v>3</v>
      </c>
      <c r="L2146" t="e">
        <f t="array" ref="L2146">VLOOKUP(J2146:$J$3871&amp;K2146:$K$3871,CHOOSE({1,2},#REF!&amp;#REF!,#REF!),2,0)</f>
        <v>#N/A</v>
      </c>
      <c r="M2146">
        <v>-15</v>
      </c>
      <c r="N2146">
        <v>0</v>
      </c>
      <c r="O2146" t="s">
        <v>7</v>
      </c>
      <c r="P2146">
        <v>0</v>
      </c>
      <c r="Q2146">
        <v>1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 t="s">
        <v>5732</v>
      </c>
      <c r="AB2146" t="s">
        <v>7638</v>
      </c>
      <c r="AC2146" t="s">
        <v>5732</v>
      </c>
      <c r="AD2146" t="e">
        <f>VLOOKUP(AB2146,#REF!,2,FALSE)</f>
        <v>#REF!</v>
      </c>
      <c r="AE2146" t="e">
        <f>RIGHT(#REF!,(FIND("Complex",#REF!,1)-8))</f>
        <v>#REF!</v>
      </c>
    </row>
    <row r="2147" spans="1:31" x14ac:dyDescent="0.25">
      <c r="A2147">
        <v>1676</v>
      </c>
      <c r="B2147" t="s">
        <v>284</v>
      </c>
      <c r="C2147">
        <v>114</v>
      </c>
      <c r="D2147">
        <v>505</v>
      </c>
      <c r="E2147">
        <v>1676</v>
      </c>
      <c r="F2147">
        <v>7144201</v>
      </c>
      <c r="G2147">
        <v>7232400</v>
      </c>
      <c r="H2147">
        <f t="shared" si="66"/>
        <v>162.00002267573697</v>
      </c>
      <c r="I2147">
        <f t="shared" si="67"/>
        <v>164</v>
      </c>
      <c r="J2147" t="s">
        <v>22</v>
      </c>
      <c r="K2147">
        <v>3</v>
      </c>
      <c r="L2147" t="e">
        <f t="array" ref="L2147">VLOOKUP(J2147:$J$3871&amp;K2147:$K$3871,CHOOSE({1,2},#REF!&amp;#REF!,#REF!),2,0)</f>
        <v>#N/A</v>
      </c>
      <c r="M2147">
        <v>-15</v>
      </c>
      <c r="N2147">
        <v>0</v>
      </c>
      <c r="O2147" t="s">
        <v>7</v>
      </c>
      <c r="P2147">
        <v>0</v>
      </c>
      <c r="Q2147">
        <v>1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 t="s">
        <v>5793</v>
      </c>
      <c r="AB2147" t="s">
        <v>7677</v>
      </c>
      <c r="AC2147" t="s">
        <v>5793</v>
      </c>
      <c r="AD2147" t="e">
        <f>VLOOKUP(AB2147,#REF!,2,FALSE)</f>
        <v>#REF!</v>
      </c>
      <c r="AE2147" t="e">
        <f>RIGHT(#REF!,(FIND("Complex",#REF!,1)-8))</f>
        <v>#REF!</v>
      </c>
    </row>
    <row r="2148" spans="1:31" x14ac:dyDescent="0.25">
      <c r="A2148">
        <v>2608</v>
      </c>
      <c r="B2148" t="s">
        <v>284</v>
      </c>
      <c r="C2148">
        <v>114</v>
      </c>
      <c r="D2148">
        <v>856</v>
      </c>
      <c r="E2148">
        <v>2608</v>
      </c>
      <c r="F2148">
        <v>6350401</v>
      </c>
      <c r="G2148">
        <v>6438600</v>
      </c>
      <c r="H2148">
        <f t="shared" si="66"/>
        <v>144.00002267573697</v>
      </c>
      <c r="I2148">
        <f t="shared" si="67"/>
        <v>146</v>
      </c>
      <c r="J2148" t="s">
        <v>22</v>
      </c>
      <c r="K2148">
        <v>3</v>
      </c>
      <c r="L2148" t="e">
        <f t="array" ref="L2148">VLOOKUP(J2148:$J$3871&amp;K2148:$K$3871,CHOOSE({1,2},#REF!&amp;#REF!,#REF!),2,0)</f>
        <v>#N/A</v>
      </c>
      <c r="M2148">
        <v>-15</v>
      </c>
      <c r="N2148">
        <v>0</v>
      </c>
      <c r="O2148" t="s">
        <v>7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1</v>
      </c>
      <c r="Y2148">
        <v>0</v>
      </c>
      <c r="Z2148">
        <v>0</v>
      </c>
      <c r="AA2148" t="s">
        <v>5910</v>
      </c>
      <c r="AB2148" t="s">
        <v>7747</v>
      </c>
      <c r="AC2148" t="s">
        <v>5910</v>
      </c>
      <c r="AD2148" t="e">
        <f>VLOOKUP(AB2148,#REF!,2,FALSE)</f>
        <v>#REF!</v>
      </c>
      <c r="AE2148" t="e">
        <f>RIGHT(#REF!,(FIND("Complex",#REF!,1)-8))</f>
        <v>#REF!</v>
      </c>
    </row>
    <row r="2149" spans="1:31" x14ac:dyDescent="0.25">
      <c r="A2149">
        <v>2725</v>
      </c>
      <c r="B2149" t="s">
        <v>284</v>
      </c>
      <c r="C2149">
        <v>114</v>
      </c>
      <c r="D2149">
        <v>902</v>
      </c>
      <c r="E2149">
        <v>2725</v>
      </c>
      <c r="F2149">
        <v>4410001</v>
      </c>
      <c r="G2149">
        <v>4498200</v>
      </c>
      <c r="H2149">
        <f t="shared" si="66"/>
        <v>100.00002267573696</v>
      </c>
      <c r="I2149">
        <f t="shared" si="67"/>
        <v>102</v>
      </c>
      <c r="J2149" t="s">
        <v>22</v>
      </c>
      <c r="K2149">
        <v>3</v>
      </c>
      <c r="L2149" t="e">
        <f t="array" ref="L2149">VLOOKUP(J2149:$J$3871&amp;K2149:$K$3871,CHOOSE({1,2},#REF!&amp;#REF!,#REF!),2,0)</f>
        <v>#N/A</v>
      </c>
      <c r="M2149">
        <v>-15</v>
      </c>
      <c r="N2149">
        <v>0</v>
      </c>
      <c r="O2149" t="s">
        <v>7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1</v>
      </c>
      <c r="Y2149">
        <v>0</v>
      </c>
      <c r="Z2149">
        <v>0</v>
      </c>
      <c r="AA2149" t="s">
        <v>6126</v>
      </c>
      <c r="AB2149" t="s">
        <v>7866</v>
      </c>
      <c r="AC2149" t="s">
        <v>6126</v>
      </c>
      <c r="AD2149" t="e">
        <f>VLOOKUP(AB2149,#REF!,2,FALSE)</f>
        <v>#REF!</v>
      </c>
      <c r="AE2149" t="e">
        <f>RIGHT(#REF!,(FIND("Complex",#REF!,1)-8))</f>
        <v>#REF!</v>
      </c>
    </row>
    <row r="2150" spans="1:31" x14ac:dyDescent="0.25">
      <c r="A2150">
        <v>2836</v>
      </c>
      <c r="B2150" t="s">
        <v>285</v>
      </c>
      <c r="C2150">
        <v>116</v>
      </c>
      <c r="D2150">
        <v>931</v>
      </c>
      <c r="E2150">
        <v>2836</v>
      </c>
      <c r="F2150">
        <v>3351601</v>
      </c>
      <c r="G2150">
        <v>3439800</v>
      </c>
      <c r="H2150">
        <f t="shared" si="66"/>
        <v>76.000022675736957</v>
      </c>
      <c r="I2150">
        <f t="shared" si="67"/>
        <v>78</v>
      </c>
      <c r="J2150" t="s">
        <v>22</v>
      </c>
      <c r="K2150">
        <v>3</v>
      </c>
      <c r="L2150" t="e">
        <f t="array" ref="L2150">VLOOKUP(J2150:$J$3871&amp;K2150:$K$3871,CHOOSE({1,2},#REF!&amp;#REF!,#REF!),2,0)</f>
        <v>#N/A</v>
      </c>
      <c r="M2150">
        <v>-15</v>
      </c>
      <c r="N2150">
        <v>0</v>
      </c>
      <c r="O2150" t="s">
        <v>7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1</v>
      </c>
      <c r="Y2150">
        <v>0</v>
      </c>
      <c r="Z2150">
        <v>0</v>
      </c>
      <c r="AA2150" t="s">
        <v>5020</v>
      </c>
      <c r="AB2150" t="s">
        <v>7227</v>
      </c>
      <c r="AC2150" t="s">
        <v>5020</v>
      </c>
      <c r="AD2150" t="e">
        <f>VLOOKUP(AB2150,#REF!,2,FALSE)</f>
        <v>#REF!</v>
      </c>
      <c r="AE2150" t="e">
        <f>RIGHT(#REF!,(FIND("Complex",#REF!,1)-9))</f>
        <v>#REF!</v>
      </c>
    </row>
    <row r="2151" spans="1:31" x14ac:dyDescent="0.25">
      <c r="A2151">
        <v>2428</v>
      </c>
      <c r="B2151" t="s">
        <v>285</v>
      </c>
      <c r="C2151">
        <v>116</v>
      </c>
      <c r="D2151">
        <v>781</v>
      </c>
      <c r="E2151">
        <v>2428</v>
      </c>
      <c r="F2151">
        <v>9261001</v>
      </c>
      <c r="G2151">
        <v>9349200</v>
      </c>
      <c r="H2151">
        <f t="shared" si="66"/>
        <v>210.00002267573697</v>
      </c>
      <c r="I2151">
        <f t="shared" si="67"/>
        <v>212</v>
      </c>
      <c r="J2151" t="s">
        <v>22</v>
      </c>
      <c r="K2151">
        <v>3</v>
      </c>
      <c r="L2151" t="e">
        <f t="array" ref="L2151">VLOOKUP(J2151:$J$3871&amp;K2151:$K$3871,CHOOSE({1,2},#REF!&amp;#REF!,#REF!),2,0)</f>
        <v>#N/A</v>
      </c>
      <c r="M2151">
        <v>-15</v>
      </c>
      <c r="N2151">
        <v>0</v>
      </c>
      <c r="O2151" t="s">
        <v>7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1</v>
      </c>
      <c r="Y2151">
        <v>0</v>
      </c>
      <c r="Z2151">
        <v>0</v>
      </c>
      <c r="AA2151" t="s">
        <v>5608</v>
      </c>
      <c r="AB2151" t="s">
        <v>7557</v>
      </c>
      <c r="AC2151" t="s">
        <v>5608</v>
      </c>
      <c r="AD2151" t="e">
        <f>VLOOKUP(AB2151,#REF!,2,FALSE)</f>
        <v>#REF!</v>
      </c>
      <c r="AE2151" t="e">
        <f>RIGHT(#REF!,(FIND("Complex",#REF!,1)-8))</f>
        <v>#REF!</v>
      </c>
    </row>
    <row r="2152" spans="1:31" x14ac:dyDescent="0.25">
      <c r="A2152">
        <v>1749</v>
      </c>
      <c r="B2152" t="s">
        <v>285</v>
      </c>
      <c r="C2152">
        <v>116</v>
      </c>
      <c r="D2152">
        <v>525</v>
      </c>
      <c r="E2152">
        <v>1749</v>
      </c>
      <c r="F2152">
        <v>7938001</v>
      </c>
      <c r="G2152">
        <v>8026200</v>
      </c>
      <c r="H2152">
        <f t="shared" si="66"/>
        <v>180.00002267573697</v>
      </c>
      <c r="I2152">
        <f t="shared" si="67"/>
        <v>182</v>
      </c>
      <c r="J2152" t="s">
        <v>22</v>
      </c>
      <c r="K2152">
        <v>3</v>
      </c>
      <c r="L2152" t="e">
        <f t="array" ref="L2152">VLOOKUP(J2152:$J$3871&amp;K2152:$K$3871,CHOOSE({1,2},#REF!&amp;#REF!,#REF!),2,0)</f>
        <v>#N/A</v>
      </c>
      <c r="M2152">
        <v>-15</v>
      </c>
      <c r="N2152">
        <v>0</v>
      </c>
      <c r="O2152" t="s">
        <v>7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1</v>
      </c>
      <c r="Y2152">
        <v>0</v>
      </c>
      <c r="Z2152">
        <v>0</v>
      </c>
      <c r="AA2152" t="s">
        <v>5705</v>
      </c>
      <c r="AB2152" t="s">
        <v>7626</v>
      </c>
      <c r="AC2152" t="s">
        <v>5705</v>
      </c>
      <c r="AD2152" t="e">
        <f>VLOOKUP(AB2152,#REF!,2,FALSE)</f>
        <v>#REF!</v>
      </c>
      <c r="AE2152" t="e">
        <f>RIGHT(#REF!,(FIND("Complex",#REF!,1)-8))</f>
        <v>#REF!</v>
      </c>
    </row>
    <row r="2153" spans="1:31" x14ac:dyDescent="0.25">
      <c r="A2153">
        <v>2517</v>
      </c>
      <c r="B2153" t="s">
        <v>285</v>
      </c>
      <c r="C2153">
        <v>116</v>
      </c>
      <c r="D2153">
        <v>818</v>
      </c>
      <c r="E2153">
        <v>2517</v>
      </c>
      <c r="F2153">
        <v>7232401</v>
      </c>
      <c r="G2153">
        <v>7320600</v>
      </c>
      <c r="H2153">
        <f t="shared" si="66"/>
        <v>164.00002267573697</v>
      </c>
      <c r="I2153">
        <f t="shared" si="67"/>
        <v>166</v>
      </c>
      <c r="J2153" t="s">
        <v>22</v>
      </c>
      <c r="K2153">
        <v>3</v>
      </c>
      <c r="L2153" t="e">
        <f t="array" ref="L2153">VLOOKUP(J2153:$J$3871&amp;K2153:$K$3871,CHOOSE({1,2},#REF!&amp;#REF!,#REF!),2,0)</f>
        <v>#N/A</v>
      </c>
      <c r="M2153">
        <v>-15</v>
      </c>
      <c r="N2153">
        <v>0</v>
      </c>
      <c r="O2153" t="s">
        <v>7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1</v>
      </c>
      <c r="Y2153">
        <v>0</v>
      </c>
      <c r="Z2153">
        <v>0</v>
      </c>
      <c r="AA2153" t="s">
        <v>5780</v>
      </c>
      <c r="AB2153" t="s">
        <v>7668</v>
      </c>
      <c r="AC2153" t="s">
        <v>5780</v>
      </c>
      <c r="AD2153" t="e">
        <f>VLOOKUP(AB2153,#REF!,2,FALSE)</f>
        <v>#REF!</v>
      </c>
      <c r="AE2153" t="e">
        <f>RIGHT(#REF!,(FIND("Complex",#REF!,1)-8))</f>
        <v>#REF!</v>
      </c>
    </row>
    <row r="2154" spans="1:31" x14ac:dyDescent="0.25">
      <c r="A2154">
        <v>375</v>
      </c>
      <c r="B2154" t="s">
        <v>285</v>
      </c>
      <c r="C2154">
        <v>116</v>
      </c>
      <c r="D2154">
        <v>120</v>
      </c>
      <c r="E2154">
        <v>375</v>
      </c>
      <c r="F2154">
        <v>5733001</v>
      </c>
      <c r="G2154">
        <v>5821200</v>
      </c>
      <c r="H2154">
        <f t="shared" si="66"/>
        <v>130.00002267573697</v>
      </c>
      <c r="I2154">
        <f t="shared" si="67"/>
        <v>132</v>
      </c>
      <c r="J2154" t="s">
        <v>22</v>
      </c>
      <c r="K2154">
        <v>3</v>
      </c>
      <c r="L2154" t="e">
        <f t="array" ref="L2154">VLOOKUP(J2154:$J$3871&amp;K2154:$K$3871,CHOOSE({1,2},#REF!&amp;#REF!,#REF!),2,0)</f>
        <v>#N/A</v>
      </c>
      <c r="M2154">
        <v>-15</v>
      </c>
      <c r="N2154">
        <v>0</v>
      </c>
      <c r="O2154" t="s">
        <v>7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1</v>
      </c>
      <c r="Y2154">
        <v>0</v>
      </c>
      <c r="Z2154">
        <v>0</v>
      </c>
      <c r="AA2154" t="s">
        <v>5977</v>
      </c>
      <c r="AB2154" t="s">
        <v>7784</v>
      </c>
      <c r="AC2154" t="s">
        <v>5977</v>
      </c>
      <c r="AD2154" t="e">
        <f>VLOOKUP(AB2154,#REF!,2,FALSE)</f>
        <v>#REF!</v>
      </c>
      <c r="AE2154" t="e">
        <f>RIGHT(#REF!,(FIND("Complex",#REF!,1)-7))</f>
        <v>#REF!</v>
      </c>
    </row>
    <row r="2155" spans="1:31" x14ac:dyDescent="0.25">
      <c r="A2155">
        <v>1662</v>
      </c>
      <c r="B2155" t="s">
        <v>94</v>
      </c>
      <c r="C2155">
        <v>7</v>
      </c>
      <c r="D2155">
        <v>151</v>
      </c>
      <c r="E2155">
        <v>1662</v>
      </c>
      <c r="F2155">
        <v>2998801</v>
      </c>
      <c r="G2155">
        <v>3087000</v>
      </c>
      <c r="H2155">
        <f t="shared" si="66"/>
        <v>68.000022675736957</v>
      </c>
      <c r="I2155">
        <f t="shared" si="67"/>
        <v>70</v>
      </c>
      <c r="J2155" t="s">
        <v>32</v>
      </c>
      <c r="K2155">
        <v>7</v>
      </c>
      <c r="L2155" t="e">
        <f t="array" ref="L2155">VLOOKUP(J2155:$J$3871&amp;K2155:$K$3871,CHOOSE({1,2},#REF!&amp;#REF!,#REF!),2,0)</f>
        <v>#N/A</v>
      </c>
      <c r="M2155">
        <v>0</v>
      </c>
      <c r="N2155">
        <v>1</v>
      </c>
      <c r="O2155" t="s">
        <v>23</v>
      </c>
      <c r="P2155">
        <v>1</v>
      </c>
      <c r="Q2155">
        <v>0</v>
      </c>
      <c r="R2155">
        <v>1</v>
      </c>
      <c r="S2155">
        <v>0</v>
      </c>
      <c r="T2155">
        <v>0</v>
      </c>
      <c r="U2155">
        <v>0</v>
      </c>
      <c r="V2155">
        <v>1</v>
      </c>
      <c r="W2155">
        <v>1</v>
      </c>
      <c r="X2155">
        <v>1</v>
      </c>
      <c r="Y2155">
        <v>1</v>
      </c>
      <c r="Z2155">
        <v>1</v>
      </c>
      <c r="AA2155" t="s">
        <v>2301</v>
      </c>
      <c r="AB2155" t="s">
        <v>467</v>
      </c>
      <c r="AC2155" t="s">
        <v>2301</v>
      </c>
      <c r="AD2155" t="e">
        <f>VLOOKUP(AB2155,#REF!,2,FALSE)</f>
        <v>#REF!</v>
      </c>
      <c r="AE2155" t="e">
        <f>RIGHT(#REF!,(FIND("Complex",#REF!,1)-8))</f>
        <v>#REF!</v>
      </c>
    </row>
    <row r="2156" spans="1:31" x14ac:dyDescent="0.25">
      <c r="A2156">
        <v>899</v>
      </c>
      <c r="B2156" t="s">
        <v>94</v>
      </c>
      <c r="C2156">
        <v>7</v>
      </c>
      <c r="D2156">
        <v>72</v>
      </c>
      <c r="E2156">
        <v>899</v>
      </c>
      <c r="F2156">
        <v>8114401</v>
      </c>
      <c r="G2156">
        <v>8202600</v>
      </c>
      <c r="H2156">
        <f t="shared" si="66"/>
        <v>184.00002267573697</v>
      </c>
      <c r="I2156">
        <f t="shared" si="67"/>
        <v>186</v>
      </c>
      <c r="J2156" t="s">
        <v>32</v>
      </c>
      <c r="K2156">
        <v>7</v>
      </c>
      <c r="L2156" t="e">
        <f t="array" ref="L2156">VLOOKUP(J2156:$J$3871&amp;K2156:$K$3871,CHOOSE({1,2},#REF!&amp;#REF!,#REF!),2,0)</f>
        <v>#N/A</v>
      </c>
      <c r="M2156">
        <v>0</v>
      </c>
      <c r="N2156">
        <v>1</v>
      </c>
      <c r="O2156" t="s">
        <v>23</v>
      </c>
      <c r="P2156">
        <v>0</v>
      </c>
      <c r="Q2156">
        <v>1</v>
      </c>
      <c r="R2156">
        <v>1</v>
      </c>
      <c r="S2156">
        <v>0</v>
      </c>
      <c r="T2156">
        <v>0</v>
      </c>
      <c r="U2156">
        <v>0</v>
      </c>
      <c r="V2156">
        <v>1</v>
      </c>
      <c r="W2156">
        <v>1</v>
      </c>
      <c r="X2156">
        <v>1</v>
      </c>
      <c r="Y2156">
        <v>1</v>
      </c>
      <c r="Z2156">
        <v>1</v>
      </c>
      <c r="AA2156" t="s">
        <v>2507</v>
      </c>
      <c r="AB2156" t="s">
        <v>468</v>
      </c>
      <c r="AC2156" t="s">
        <v>2507</v>
      </c>
      <c r="AD2156" t="e">
        <f>VLOOKUP(AB2156,#REF!,2,FALSE)</f>
        <v>#REF!</v>
      </c>
      <c r="AE2156" t="e">
        <f>RIGHT(#REF!,(FIND("Complex",#REF!,1)-6))</f>
        <v>#REF!</v>
      </c>
    </row>
    <row r="2157" spans="1:31" x14ac:dyDescent="0.25">
      <c r="A2157">
        <v>2718</v>
      </c>
      <c r="B2157" t="s">
        <v>94</v>
      </c>
      <c r="C2157">
        <v>7</v>
      </c>
      <c r="D2157">
        <v>279</v>
      </c>
      <c r="E2157">
        <v>2718</v>
      </c>
      <c r="F2157">
        <v>7497001</v>
      </c>
      <c r="G2157">
        <v>7585200</v>
      </c>
      <c r="H2157">
        <f t="shared" si="66"/>
        <v>170.00002267573697</v>
      </c>
      <c r="I2157">
        <f t="shared" si="67"/>
        <v>172</v>
      </c>
      <c r="J2157" t="s">
        <v>32</v>
      </c>
      <c r="K2157">
        <v>7</v>
      </c>
      <c r="L2157" t="e">
        <f t="array" ref="L2157">VLOOKUP(J2157:$J$3871&amp;K2157:$K$3871,CHOOSE({1,2},#REF!&amp;#REF!,#REF!),2,0)</f>
        <v>#N/A</v>
      </c>
      <c r="M2157">
        <v>0</v>
      </c>
      <c r="N2157">
        <v>1</v>
      </c>
      <c r="O2157" t="s">
        <v>23</v>
      </c>
      <c r="P2157">
        <v>0</v>
      </c>
      <c r="Q2157">
        <v>1</v>
      </c>
      <c r="R2157">
        <v>1</v>
      </c>
      <c r="S2157">
        <v>0</v>
      </c>
      <c r="T2157">
        <v>0</v>
      </c>
      <c r="U2157">
        <v>0</v>
      </c>
      <c r="V2157">
        <v>1</v>
      </c>
      <c r="W2157">
        <v>1</v>
      </c>
      <c r="X2157">
        <v>1</v>
      </c>
      <c r="Y2157">
        <v>1</v>
      </c>
      <c r="Z2157">
        <v>1</v>
      </c>
      <c r="AA2157" t="s">
        <v>2523</v>
      </c>
      <c r="AB2157" t="s">
        <v>469</v>
      </c>
      <c r="AC2157" t="s">
        <v>2523</v>
      </c>
      <c r="AD2157" t="e">
        <f>VLOOKUP(AB2157,#REF!,2,FALSE)</f>
        <v>#REF!</v>
      </c>
      <c r="AE2157" t="e">
        <f>RIGHT(#REF!,(FIND("Complex",#REF!,1)-7))</f>
        <v>#REF!</v>
      </c>
    </row>
    <row r="2158" spans="1:31" x14ac:dyDescent="0.25">
      <c r="A2158">
        <v>2864</v>
      </c>
      <c r="B2158" t="s">
        <v>94</v>
      </c>
      <c r="C2158">
        <v>7</v>
      </c>
      <c r="D2158">
        <v>310</v>
      </c>
      <c r="E2158">
        <v>2864</v>
      </c>
      <c r="F2158">
        <v>7408801</v>
      </c>
      <c r="G2158">
        <v>7497000</v>
      </c>
      <c r="H2158">
        <f t="shared" si="66"/>
        <v>168.00002267573697</v>
      </c>
      <c r="I2158">
        <f t="shared" si="67"/>
        <v>170</v>
      </c>
      <c r="J2158" t="s">
        <v>32</v>
      </c>
      <c r="K2158">
        <v>7</v>
      </c>
      <c r="L2158" t="e">
        <f t="array" ref="L2158">VLOOKUP(J2158:$J$3871&amp;K2158:$K$3871,CHOOSE({1,2},#REF!&amp;#REF!,#REF!),2,0)</f>
        <v>#N/A</v>
      </c>
      <c r="M2158">
        <v>0</v>
      </c>
      <c r="N2158">
        <v>1</v>
      </c>
      <c r="O2158" t="s">
        <v>23</v>
      </c>
      <c r="P2158">
        <v>0</v>
      </c>
      <c r="Q2158">
        <v>1</v>
      </c>
      <c r="R2158">
        <v>1</v>
      </c>
      <c r="S2158">
        <v>0</v>
      </c>
      <c r="T2158">
        <v>0</v>
      </c>
      <c r="U2158">
        <v>0</v>
      </c>
      <c r="V2158">
        <v>1</v>
      </c>
      <c r="W2158">
        <v>1</v>
      </c>
      <c r="X2158">
        <v>1</v>
      </c>
      <c r="Y2158">
        <v>1</v>
      </c>
      <c r="Z2158">
        <v>1</v>
      </c>
      <c r="AA2158" t="s">
        <v>2525</v>
      </c>
      <c r="AB2158" t="s">
        <v>126</v>
      </c>
      <c r="AC2158" t="s">
        <v>2525</v>
      </c>
      <c r="AD2158" t="e">
        <f>VLOOKUP(AB2158,#REF!,2,FALSE)</f>
        <v>#REF!</v>
      </c>
      <c r="AE2158" t="e">
        <f>RIGHT(#REF!,(FIND("Complex",#REF!,1)-7))</f>
        <v>#REF!</v>
      </c>
    </row>
    <row r="2159" spans="1:31" x14ac:dyDescent="0.25">
      <c r="A2159">
        <v>1468</v>
      </c>
      <c r="B2159" t="s">
        <v>94</v>
      </c>
      <c r="C2159">
        <v>7</v>
      </c>
      <c r="D2159">
        <v>136</v>
      </c>
      <c r="E2159">
        <v>1468</v>
      </c>
      <c r="F2159">
        <v>7232401</v>
      </c>
      <c r="G2159">
        <v>7320600</v>
      </c>
      <c r="H2159">
        <f t="shared" si="66"/>
        <v>164.00002267573697</v>
      </c>
      <c r="I2159">
        <f t="shared" si="67"/>
        <v>166</v>
      </c>
      <c r="J2159" t="s">
        <v>32</v>
      </c>
      <c r="K2159">
        <v>7</v>
      </c>
      <c r="L2159" t="e">
        <f t="array" ref="L2159">VLOOKUP(J2159:$J$3871&amp;K2159:$K$3871,CHOOSE({1,2},#REF!&amp;#REF!,#REF!),2,0)</f>
        <v>#N/A</v>
      </c>
      <c r="M2159">
        <v>0</v>
      </c>
      <c r="N2159">
        <v>1</v>
      </c>
      <c r="O2159" t="s">
        <v>23</v>
      </c>
      <c r="P2159">
        <v>0</v>
      </c>
      <c r="Q2159">
        <v>1</v>
      </c>
      <c r="R2159">
        <v>1</v>
      </c>
      <c r="S2159">
        <v>0</v>
      </c>
      <c r="T2159">
        <v>0</v>
      </c>
      <c r="U2159">
        <v>0</v>
      </c>
      <c r="V2159">
        <v>1</v>
      </c>
      <c r="W2159">
        <v>1</v>
      </c>
      <c r="X2159">
        <v>1</v>
      </c>
      <c r="Y2159">
        <v>1</v>
      </c>
      <c r="Z2159">
        <v>1</v>
      </c>
      <c r="AA2159" t="s">
        <v>2530</v>
      </c>
      <c r="AB2159" t="s">
        <v>470</v>
      </c>
      <c r="AC2159" t="s">
        <v>2530</v>
      </c>
      <c r="AD2159" t="e">
        <f>VLOOKUP(AB2159,#REF!,2,FALSE)</f>
        <v>#REF!</v>
      </c>
      <c r="AE2159" t="e">
        <f>RIGHT(#REF!,(FIND("Complex",#REF!,1)-7))</f>
        <v>#REF!</v>
      </c>
    </row>
    <row r="2160" spans="1:31" x14ac:dyDescent="0.25">
      <c r="A2160">
        <v>3189</v>
      </c>
      <c r="B2160" t="s">
        <v>79</v>
      </c>
      <c r="C2160">
        <v>13</v>
      </c>
      <c r="D2160">
        <v>389</v>
      </c>
      <c r="E2160">
        <v>3189</v>
      </c>
      <c r="F2160">
        <v>3969001</v>
      </c>
      <c r="G2160">
        <v>4057200</v>
      </c>
      <c r="H2160">
        <f t="shared" si="66"/>
        <v>90.000022675736957</v>
      </c>
      <c r="I2160">
        <f t="shared" si="67"/>
        <v>92</v>
      </c>
      <c r="J2160" t="s">
        <v>32</v>
      </c>
      <c r="K2160">
        <v>7</v>
      </c>
      <c r="L2160" t="e">
        <f t="array" ref="L2160">VLOOKUP(J2160:$J$3871&amp;K2160:$K$3871,CHOOSE({1,2},#REF!&amp;#REF!,#REF!),2,0)</f>
        <v>#N/A</v>
      </c>
      <c r="M2160">
        <v>0</v>
      </c>
      <c r="N2160">
        <v>1</v>
      </c>
      <c r="O2160" t="s">
        <v>23</v>
      </c>
      <c r="P2160">
        <v>1</v>
      </c>
      <c r="Q2160">
        <v>1</v>
      </c>
      <c r="R2160">
        <v>1</v>
      </c>
      <c r="S2160">
        <v>0</v>
      </c>
      <c r="T2160">
        <v>0</v>
      </c>
      <c r="U2160">
        <v>1</v>
      </c>
      <c r="V2160">
        <v>1</v>
      </c>
      <c r="W2160">
        <v>1</v>
      </c>
      <c r="X2160">
        <v>0</v>
      </c>
      <c r="Y2160">
        <v>1</v>
      </c>
      <c r="Z2160">
        <v>0</v>
      </c>
      <c r="AA2160" t="s">
        <v>2293</v>
      </c>
      <c r="AB2160" t="s">
        <v>293</v>
      </c>
      <c r="AC2160" t="s">
        <v>2293</v>
      </c>
      <c r="AD2160" t="e">
        <f>VLOOKUP(AB2160,#REF!,2,FALSE)</f>
        <v>#REF!</v>
      </c>
      <c r="AE2160" t="e">
        <f>RIGHT(#REF!,(FIND("Complex",#REF!,1)-7))</f>
        <v>#REF!</v>
      </c>
    </row>
    <row r="2161" spans="1:31" x14ac:dyDescent="0.25">
      <c r="A2161">
        <v>3129</v>
      </c>
      <c r="B2161" t="s">
        <v>79</v>
      </c>
      <c r="C2161">
        <v>13</v>
      </c>
      <c r="D2161">
        <v>372</v>
      </c>
      <c r="E2161">
        <v>3129</v>
      </c>
      <c r="F2161">
        <v>9878401</v>
      </c>
      <c r="G2161">
        <v>9966600</v>
      </c>
      <c r="H2161">
        <f t="shared" si="66"/>
        <v>224.00002267573697</v>
      </c>
      <c r="I2161">
        <f t="shared" si="67"/>
        <v>226</v>
      </c>
      <c r="J2161" t="s">
        <v>32</v>
      </c>
      <c r="K2161">
        <v>7</v>
      </c>
      <c r="L2161" t="e">
        <f t="array" ref="L2161">VLOOKUP(J2161:$J$3871&amp;K2161:$K$3871,CHOOSE({1,2},#REF!&amp;#REF!,#REF!),2,0)</f>
        <v>#N/A</v>
      </c>
      <c r="M2161">
        <v>0</v>
      </c>
      <c r="N2161">
        <v>1</v>
      </c>
      <c r="O2161" t="s">
        <v>23</v>
      </c>
      <c r="P2161">
        <v>1</v>
      </c>
      <c r="Q2161">
        <v>1</v>
      </c>
      <c r="R2161">
        <v>1</v>
      </c>
      <c r="S2161">
        <v>0</v>
      </c>
      <c r="T2161">
        <v>1</v>
      </c>
      <c r="U2161">
        <v>1</v>
      </c>
      <c r="V2161">
        <v>0</v>
      </c>
      <c r="W2161">
        <v>1</v>
      </c>
      <c r="X2161">
        <v>0</v>
      </c>
      <c r="Y2161">
        <v>1</v>
      </c>
      <c r="Z2161">
        <v>0</v>
      </c>
      <c r="AA2161" t="s">
        <v>2443</v>
      </c>
      <c r="AB2161" t="s">
        <v>549</v>
      </c>
      <c r="AC2161" t="s">
        <v>2443</v>
      </c>
      <c r="AD2161" t="e">
        <f>VLOOKUP(AB2161,#REF!,2,FALSE)</f>
        <v>#REF!</v>
      </c>
      <c r="AE2161" t="e">
        <f>RIGHT(#REF!,(FIND("Complex",#REF!,1)-6))</f>
        <v>#REF!</v>
      </c>
    </row>
    <row r="2162" spans="1:31" x14ac:dyDescent="0.25">
      <c r="A2162">
        <v>2889</v>
      </c>
      <c r="B2162" t="s">
        <v>79</v>
      </c>
      <c r="C2162">
        <v>13</v>
      </c>
      <c r="D2162">
        <v>314</v>
      </c>
      <c r="E2162">
        <v>2889</v>
      </c>
      <c r="F2162">
        <v>9437401</v>
      </c>
      <c r="G2162">
        <v>9525600</v>
      </c>
      <c r="H2162">
        <f t="shared" si="66"/>
        <v>214.00002267573697</v>
      </c>
      <c r="I2162">
        <f t="shared" si="67"/>
        <v>216</v>
      </c>
      <c r="J2162" t="s">
        <v>32</v>
      </c>
      <c r="K2162">
        <v>7</v>
      </c>
      <c r="L2162" t="e">
        <f t="array" ref="L2162">VLOOKUP(J2162:$J$3871&amp;K2162:$K$3871,CHOOSE({1,2},#REF!&amp;#REF!,#REF!),2,0)</f>
        <v>#N/A</v>
      </c>
      <c r="M2162">
        <v>0</v>
      </c>
      <c r="N2162">
        <v>1</v>
      </c>
      <c r="O2162" t="s">
        <v>23</v>
      </c>
      <c r="P2162">
        <v>1</v>
      </c>
      <c r="Q2162">
        <v>1</v>
      </c>
      <c r="R2162">
        <v>1</v>
      </c>
      <c r="S2162">
        <v>0</v>
      </c>
      <c r="T2162">
        <v>1</v>
      </c>
      <c r="U2162">
        <v>1</v>
      </c>
      <c r="V2162">
        <v>0</v>
      </c>
      <c r="W2162">
        <v>1</v>
      </c>
      <c r="X2162">
        <v>0</v>
      </c>
      <c r="Y2162">
        <v>1</v>
      </c>
      <c r="Z2162">
        <v>0</v>
      </c>
      <c r="AA2162" t="s">
        <v>2460</v>
      </c>
      <c r="AB2162" t="s">
        <v>120</v>
      </c>
      <c r="AC2162" t="s">
        <v>2460</v>
      </c>
      <c r="AD2162" t="e">
        <f>VLOOKUP(AB2162,#REF!,2,FALSE)</f>
        <v>#REF!</v>
      </c>
      <c r="AE2162" t="e">
        <f>RIGHT(#REF!,(FIND("Complex",#REF!,1)-6))</f>
        <v>#REF!</v>
      </c>
    </row>
    <row r="2163" spans="1:31" x14ac:dyDescent="0.25">
      <c r="A2163">
        <v>1124</v>
      </c>
      <c r="B2163" t="s">
        <v>79</v>
      </c>
      <c r="C2163">
        <v>13</v>
      </c>
      <c r="D2163">
        <v>96</v>
      </c>
      <c r="E2163">
        <v>1124</v>
      </c>
      <c r="F2163">
        <v>8996401</v>
      </c>
      <c r="G2163">
        <v>9084600</v>
      </c>
      <c r="H2163">
        <f t="shared" si="66"/>
        <v>204.00002267573697</v>
      </c>
      <c r="I2163">
        <f t="shared" si="67"/>
        <v>206</v>
      </c>
      <c r="J2163" t="s">
        <v>32</v>
      </c>
      <c r="K2163">
        <v>7</v>
      </c>
      <c r="L2163" t="e">
        <f t="array" ref="L2163">VLOOKUP(J2163:$J$3871&amp;K2163:$K$3871,CHOOSE({1,2},#REF!&amp;#REF!,#REF!),2,0)</f>
        <v>#N/A</v>
      </c>
      <c r="M2163">
        <v>0</v>
      </c>
      <c r="N2163">
        <v>1</v>
      </c>
      <c r="O2163" t="s">
        <v>23</v>
      </c>
      <c r="P2163">
        <v>1</v>
      </c>
      <c r="Q2163">
        <v>1</v>
      </c>
      <c r="R2163">
        <v>1</v>
      </c>
      <c r="S2163">
        <v>0</v>
      </c>
      <c r="T2163">
        <v>1</v>
      </c>
      <c r="U2163">
        <v>1</v>
      </c>
      <c r="V2163">
        <v>0</v>
      </c>
      <c r="W2163">
        <v>1</v>
      </c>
      <c r="X2163">
        <v>0</v>
      </c>
      <c r="Y2163">
        <v>1</v>
      </c>
      <c r="Z2163">
        <v>0</v>
      </c>
      <c r="AA2163" t="s">
        <v>2475</v>
      </c>
      <c r="AB2163" t="s">
        <v>550</v>
      </c>
      <c r="AC2163" t="s">
        <v>2475</v>
      </c>
      <c r="AD2163" t="e">
        <f>VLOOKUP(AB2163,#REF!,2,FALSE)</f>
        <v>#REF!</v>
      </c>
      <c r="AE2163" t="e">
        <f>RIGHT(#REF!,(FIND("Complex",#REF!,1)-6))</f>
        <v>#REF!</v>
      </c>
    </row>
    <row r="2164" spans="1:31" x14ac:dyDescent="0.25">
      <c r="A2164">
        <v>130</v>
      </c>
      <c r="B2164" t="s">
        <v>79</v>
      </c>
      <c r="C2164">
        <v>13</v>
      </c>
      <c r="D2164">
        <v>9</v>
      </c>
      <c r="E2164">
        <v>130</v>
      </c>
      <c r="F2164">
        <v>8555401</v>
      </c>
      <c r="G2164">
        <v>8643600</v>
      </c>
      <c r="H2164">
        <f t="shared" si="66"/>
        <v>194.00002267573697</v>
      </c>
      <c r="I2164">
        <f t="shared" si="67"/>
        <v>196</v>
      </c>
      <c r="J2164" t="s">
        <v>32</v>
      </c>
      <c r="K2164">
        <v>7</v>
      </c>
      <c r="L2164" t="e">
        <f t="array" ref="L2164">VLOOKUP(J2164:$J$3871&amp;K2164:$K$3871,CHOOSE({1,2},#REF!&amp;#REF!,#REF!),2,0)</f>
        <v>#N/A</v>
      </c>
      <c r="M2164">
        <v>0</v>
      </c>
      <c r="N2164">
        <v>1</v>
      </c>
      <c r="O2164" t="s">
        <v>23</v>
      </c>
      <c r="P2164">
        <v>1</v>
      </c>
      <c r="Q2164">
        <v>1</v>
      </c>
      <c r="R2164">
        <v>1</v>
      </c>
      <c r="S2164">
        <v>0</v>
      </c>
      <c r="T2164">
        <v>1</v>
      </c>
      <c r="U2164">
        <v>1</v>
      </c>
      <c r="V2164">
        <v>0</v>
      </c>
      <c r="W2164">
        <v>1</v>
      </c>
      <c r="X2164">
        <v>0</v>
      </c>
      <c r="Y2164">
        <v>1</v>
      </c>
      <c r="Z2164">
        <v>0</v>
      </c>
      <c r="AA2164" t="s">
        <v>2494</v>
      </c>
      <c r="AB2164" t="s">
        <v>548</v>
      </c>
      <c r="AC2164" t="s">
        <v>2494</v>
      </c>
      <c r="AD2164" t="e">
        <f>VLOOKUP(AB2164,#REF!,2,FALSE)</f>
        <v>#REF!</v>
      </c>
      <c r="AE2164" t="e">
        <f>RIGHT(#REF!,(FIND("Complex",#REF!,1)-5))</f>
        <v>#REF!</v>
      </c>
    </row>
    <row r="2165" spans="1:31" x14ac:dyDescent="0.25">
      <c r="A2165">
        <v>2146</v>
      </c>
      <c r="B2165" t="s">
        <v>79</v>
      </c>
      <c r="C2165">
        <v>13</v>
      </c>
      <c r="D2165">
        <v>205</v>
      </c>
      <c r="E2165">
        <v>2146</v>
      </c>
      <c r="F2165">
        <v>5468401</v>
      </c>
      <c r="G2165">
        <v>5556600</v>
      </c>
      <c r="H2165">
        <f t="shared" si="66"/>
        <v>124.00002267573696</v>
      </c>
      <c r="I2165">
        <f t="shared" si="67"/>
        <v>126</v>
      </c>
      <c r="J2165" t="s">
        <v>32</v>
      </c>
      <c r="K2165">
        <v>7</v>
      </c>
      <c r="L2165" t="e">
        <f t="array" ref="L2165">VLOOKUP(J2165:$J$3871&amp;K2165:$K$3871,CHOOSE({1,2},#REF!&amp;#REF!,#REF!),2,0)</f>
        <v>#N/A</v>
      </c>
      <c r="M2165">
        <v>0</v>
      </c>
      <c r="N2165">
        <v>1</v>
      </c>
      <c r="O2165" t="s">
        <v>23</v>
      </c>
      <c r="P2165">
        <v>1</v>
      </c>
      <c r="Q2165">
        <v>1</v>
      </c>
      <c r="R2165">
        <v>1</v>
      </c>
      <c r="S2165">
        <v>0</v>
      </c>
      <c r="T2165">
        <v>1</v>
      </c>
      <c r="U2165">
        <v>1</v>
      </c>
      <c r="V2165">
        <v>0</v>
      </c>
      <c r="W2165">
        <v>1</v>
      </c>
      <c r="X2165">
        <v>0</v>
      </c>
      <c r="Y2165">
        <v>1</v>
      </c>
      <c r="Z2165">
        <v>0</v>
      </c>
      <c r="AA2165" t="s">
        <v>2575</v>
      </c>
      <c r="AB2165" t="s">
        <v>551</v>
      </c>
      <c r="AC2165" t="s">
        <v>2575</v>
      </c>
      <c r="AD2165" t="e">
        <f>VLOOKUP(AB2165,#REF!,2,FALSE)</f>
        <v>#REF!</v>
      </c>
      <c r="AE2165" t="e">
        <f>RIGHT(#REF!,(FIND("Complex",#REF!,1)-6))</f>
        <v>#REF!</v>
      </c>
    </row>
    <row r="2166" spans="1:31" x14ac:dyDescent="0.25">
      <c r="A2166">
        <v>3400</v>
      </c>
      <c r="B2166" t="s">
        <v>79</v>
      </c>
      <c r="C2166">
        <v>13</v>
      </c>
      <c r="D2166">
        <v>424</v>
      </c>
      <c r="E2166">
        <v>3400</v>
      </c>
      <c r="F2166">
        <v>5115601</v>
      </c>
      <c r="G2166">
        <v>5203800</v>
      </c>
      <c r="H2166">
        <f t="shared" si="66"/>
        <v>116.00002267573696</v>
      </c>
      <c r="I2166">
        <f t="shared" si="67"/>
        <v>118</v>
      </c>
      <c r="J2166" t="s">
        <v>32</v>
      </c>
      <c r="K2166">
        <v>7</v>
      </c>
      <c r="L2166" t="e">
        <f t="array" ref="L2166">VLOOKUP(J2166:$J$3871&amp;K2166:$K$3871,CHOOSE({1,2},#REF!&amp;#REF!,#REF!),2,0)</f>
        <v>#N/A</v>
      </c>
      <c r="M2166">
        <v>0</v>
      </c>
      <c r="N2166">
        <v>1</v>
      </c>
      <c r="O2166" t="s">
        <v>23</v>
      </c>
      <c r="P2166">
        <v>1</v>
      </c>
      <c r="Q2166">
        <v>1</v>
      </c>
      <c r="R2166">
        <v>1</v>
      </c>
      <c r="S2166">
        <v>0</v>
      </c>
      <c r="T2166">
        <v>0</v>
      </c>
      <c r="U2166">
        <v>1</v>
      </c>
      <c r="V2166">
        <v>1</v>
      </c>
      <c r="W2166">
        <v>1</v>
      </c>
      <c r="X2166">
        <v>0</v>
      </c>
      <c r="Y2166">
        <v>1</v>
      </c>
      <c r="Z2166">
        <v>0</v>
      </c>
      <c r="AA2166" t="s">
        <v>2587</v>
      </c>
      <c r="AB2166" t="s">
        <v>552</v>
      </c>
      <c r="AC2166" t="s">
        <v>2587</v>
      </c>
      <c r="AD2166" t="e">
        <f>VLOOKUP(AB2166,#REF!,2,FALSE)</f>
        <v>#REF!</v>
      </c>
      <c r="AE2166" t="e">
        <f>RIGHT(#REF!,(FIND("Complex",#REF!,1)-6))</f>
        <v>#REF!</v>
      </c>
    </row>
    <row r="2167" spans="1:31" x14ac:dyDescent="0.25">
      <c r="A2167">
        <v>2163</v>
      </c>
      <c r="B2167" t="s">
        <v>43</v>
      </c>
      <c r="C2167">
        <v>19</v>
      </c>
      <c r="D2167">
        <v>206</v>
      </c>
      <c r="E2167">
        <v>2163</v>
      </c>
      <c r="F2167">
        <v>5909401</v>
      </c>
      <c r="G2167">
        <v>5997600</v>
      </c>
      <c r="H2167">
        <f t="shared" si="66"/>
        <v>134.00002267573697</v>
      </c>
      <c r="I2167">
        <f t="shared" si="67"/>
        <v>136</v>
      </c>
      <c r="J2167" t="s">
        <v>32</v>
      </c>
      <c r="K2167">
        <v>7</v>
      </c>
      <c r="L2167" t="e">
        <f t="array" ref="L2167">VLOOKUP(J2167:$J$3871&amp;K2167:$K$3871,CHOOSE({1,2},#REF!&amp;#REF!,#REF!),2,0)</f>
        <v>#N/A</v>
      </c>
      <c r="M2167">
        <v>0</v>
      </c>
      <c r="N2167">
        <v>1</v>
      </c>
      <c r="O2167" t="s">
        <v>23</v>
      </c>
      <c r="P2167">
        <v>1</v>
      </c>
      <c r="Q2167">
        <v>1</v>
      </c>
      <c r="R2167">
        <v>1</v>
      </c>
      <c r="S2167">
        <v>0</v>
      </c>
      <c r="T2167">
        <v>1</v>
      </c>
      <c r="U2167">
        <v>0</v>
      </c>
      <c r="V2167">
        <v>0</v>
      </c>
      <c r="W2167">
        <v>1</v>
      </c>
      <c r="X2167">
        <v>1</v>
      </c>
      <c r="Y2167">
        <v>1</v>
      </c>
      <c r="Z2167">
        <v>0</v>
      </c>
      <c r="AA2167" t="s">
        <v>2559</v>
      </c>
      <c r="AB2167" t="s">
        <v>134</v>
      </c>
      <c r="AC2167" t="s">
        <v>2559</v>
      </c>
      <c r="AD2167" t="e">
        <f>VLOOKUP(AB2167,#REF!,2,FALSE)</f>
        <v>#REF!</v>
      </c>
      <c r="AE2167" t="e">
        <f>RIGHT(#REF!,(FIND("Complex",#REF!,1)-6))</f>
        <v>#REF!</v>
      </c>
    </row>
    <row r="2168" spans="1:31" x14ac:dyDescent="0.25">
      <c r="A2168">
        <v>12</v>
      </c>
      <c r="B2168" t="s">
        <v>31</v>
      </c>
      <c r="C2168">
        <v>83</v>
      </c>
      <c r="D2168">
        <v>2</v>
      </c>
      <c r="E2168">
        <v>12</v>
      </c>
      <c r="F2168">
        <v>4762801</v>
      </c>
      <c r="G2168">
        <v>4851000</v>
      </c>
      <c r="H2168">
        <f t="shared" si="66"/>
        <v>108.00002267573696</v>
      </c>
      <c r="I2168">
        <f t="shared" si="67"/>
        <v>110</v>
      </c>
      <c r="J2168" t="s">
        <v>32</v>
      </c>
      <c r="K2168">
        <v>7</v>
      </c>
      <c r="L2168" t="e">
        <f t="array" ref="L2168">VLOOKUP(J2168:$J$3871&amp;K2168:$K$3871,CHOOSE({1,2},#REF!&amp;#REF!,#REF!),2,0)</f>
        <v>#N/A</v>
      </c>
      <c r="M2168">
        <v>0</v>
      </c>
      <c r="N2168">
        <v>1</v>
      </c>
      <c r="O2168" t="s">
        <v>23</v>
      </c>
      <c r="P2168">
        <v>1</v>
      </c>
      <c r="Q2168">
        <v>1</v>
      </c>
      <c r="R2168">
        <v>1</v>
      </c>
      <c r="S2168">
        <v>0</v>
      </c>
      <c r="T2168">
        <v>1</v>
      </c>
      <c r="U2168">
        <v>1</v>
      </c>
      <c r="V2168">
        <v>0</v>
      </c>
      <c r="W2168">
        <v>1</v>
      </c>
      <c r="X2168">
        <v>1</v>
      </c>
      <c r="Y2168">
        <v>0</v>
      </c>
      <c r="Z2168">
        <v>0</v>
      </c>
      <c r="AA2168" t="s">
        <v>2596</v>
      </c>
      <c r="AB2168" t="s">
        <v>1679</v>
      </c>
      <c r="AC2168" t="s">
        <v>2596</v>
      </c>
      <c r="AD2168" t="e">
        <f>VLOOKUP(AB2168,#REF!,2,FALSE)</f>
        <v>#REF!</v>
      </c>
      <c r="AE2168" t="e">
        <f>RIGHT(#REF!,(FIND("Complex",#REF!,1)-4))</f>
        <v>#REF!</v>
      </c>
    </row>
    <row r="2169" spans="1:31" x14ac:dyDescent="0.25">
      <c r="A2169">
        <v>176</v>
      </c>
      <c r="B2169" t="s">
        <v>31</v>
      </c>
      <c r="C2169">
        <v>83</v>
      </c>
      <c r="D2169">
        <v>15</v>
      </c>
      <c r="E2169">
        <v>176</v>
      </c>
      <c r="F2169">
        <v>4674601</v>
      </c>
      <c r="G2169">
        <v>4762800</v>
      </c>
      <c r="H2169">
        <f t="shared" si="66"/>
        <v>106.00002267573696</v>
      </c>
      <c r="I2169">
        <f t="shared" si="67"/>
        <v>108</v>
      </c>
      <c r="J2169" t="s">
        <v>32</v>
      </c>
      <c r="K2169">
        <v>7</v>
      </c>
      <c r="L2169" t="e">
        <f t="array" ref="L2169">VLOOKUP(J2169:$J$3871&amp;K2169:$K$3871,CHOOSE({1,2},#REF!&amp;#REF!,#REF!),2,0)</f>
        <v>#N/A</v>
      </c>
      <c r="M2169">
        <v>0</v>
      </c>
      <c r="N2169">
        <v>1</v>
      </c>
      <c r="O2169" t="s">
        <v>23</v>
      </c>
      <c r="P2169">
        <v>1</v>
      </c>
      <c r="Q2169">
        <v>1</v>
      </c>
      <c r="R2169">
        <v>1</v>
      </c>
      <c r="S2169">
        <v>0</v>
      </c>
      <c r="T2169">
        <v>1</v>
      </c>
      <c r="U2169">
        <v>1</v>
      </c>
      <c r="V2169">
        <v>0</v>
      </c>
      <c r="W2169">
        <v>1</v>
      </c>
      <c r="X2169">
        <v>1</v>
      </c>
      <c r="Y2169">
        <v>0</v>
      </c>
      <c r="Z2169">
        <v>0</v>
      </c>
      <c r="AA2169" t="s">
        <v>2600</v>
      </c>
      <c r="AB2169" t="s">
        <v>1680</v>
      </c>
      <c r="AC2169" t="s">
        <v>2600</v>
      </c>
      <c r="AD2169" t="e">
        <f>VLOOKUP(AB2169,#REF!,2,FALSE)</f>
        <v>#REF!</v>
      </c>
      <c r="AE2169" t="e">
        <f>RIGHT(#REF!,(FIND("Complex",#REF!,1)-5))</f>
        <v>#REF!</v>
      </c>
    </row>
    <row r="2170" spans="1:31" x14ac:dyDescent="0.25">
      <c r="A2170">
        <v>2885</v>
      </c>
      <c r="B2170" t="s">
        <v>31</v>
      </c>
      <c r="C2170">
        <v>83</v>
      </c>
      <c r="D2170">
        <v>313</v>
      </c>
      <c r="E2170">
        <v>2885</v>
      </c>
      <c r="F2170">
        <v>4586401</v>
      </c>
      <c r="G2170">
        <v>4674600</v>
      </c>
      <c r="H2170">
        <f t="shared" si="66"/>
        <v>104.00002267573696</v>
      </c>
      <c r="I2170">
        <f t="shared" si="67"/>
        <v>106</v>
      </c>
      <c r="J2170" t="s">
        <v>32</v>
      </c>
      <c r="K2170">
        <v>7</v>
      </c>
      <c r="L2170" t="e">
        <f t="array" ref="L2170">VLOOKUP(J2170:$J$3871&amp;K2170:$K$3871,CHOOSE({1,2},#REF!&amp;#REF!,#REF!),2,0)</f>
        <v>#N/A</v>
      </c>
      <c r="M2170">
        <v>0</v>
      </c>
      <c r="N2170">
        <v>1</v>
      </c>
      <c r="O2170" t="s">
        <v>23</v>
      </c>
      <c r="P2170">
        <v>1</v>
      </c>
      <c r="Q2170">
        <v>1</v>
      </c>
      <c r="R2170">
        <v>1</v>
      </c>
      <c r="S2170">
        <v>0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 t="s">
        <v>2604</v>
      </c>
      <c r="AB2170" t="s">
        <v>139</v>
      </c>
      <c r="AC2170" t="s">
        <v>2604</v>
      </c>
      <c r="AD2170" t="e">
        <f>VLOOKUP(AB2170,#REF!,2,FALSE)</f>
        <v>#REF!</v>
      </c>
      <c r="AE2170" t="e">
        <f>RIGHT(#REF!,(FIND("Complex",#REF!,1)-6))</f>
        <v>#REF!</v>
      </c>
    </row>
    <row r="2171" spans="1:31" x14ac:dyDescent="0.25">
      <c r="A2171">
        <v>1231</v>
      </c>
      <c r="B2171" t="s">
        <v>83</v>
      </c>
      <c r="C2171">
        <v>97</v>
      </c>
      <c r="D2171">
        <v>109</v>
      </c>
      <c r="E2171">
        <v>1231</v>
      </c>
      <c r="F2171">
        <v>11025001</v>
      </c>
      <c r="G2171">
        <v>11113200</v>
      </c>
      <c r="H2171">
        <f t="shared" si="66"/>
        <v>250.00002267573697</v>
      </c>
      <c r="I2171">
        <f t="shared" si="67"/>
        <v>252</v>
      </c>
      <c r="J2171" t="s">
        <v>32</v>
      </c>
      <c r="K2171">
        <v>7</v>
      </c>
      <c r="L2171" t="e">
        <f t="array" ref="L2171">VLOOKUP(J2171:$J$3871&amp;K2171:$K$3871,CHOOSE({1,2},#REF!&amp;#REF!,#REF!),2,0)</f>
        <v>#N/A</v>
      </c>
      <c r="M2171">
        <v>0</v>
      </c>
      <c r="N2171">
        <v>1</v>
      </c>
      <c r="O2171" t="s">
        <v>23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</v>
      </c>
      <c r="V2171">
        <v>0</v>
      </c>
      <c r="W2171">
        <v>1</v>
      </c>
      <c r="X2171">
        <v>1</v>
      </c>
      <c r="Y2171">
        <v>0</v>
      </c>
      <c r="Z2171">
        <v>0</v>
      </c>
      <c r="AA2171" t="s">
        <v>2396</v>
      </c>
      <c r="AB2171" t="s">
        <v>110</v>
      </c>
      <c r="AC2171" t="s">
        <v>2396</v>
      </c>
      <c r="AD2171" t="e">
        <f>VLOOKUP(AB2171,#REF!,2,FALSE)</f>
        <v>#REF!</v>
      </c>
      <c r="AE2171" t="e">
        <f>RIGHT(#REF!,(FIND("Complex",#REF!,1)-6))</f>
        <v>#REF!</v>
      </c>
    </row>
    <row r="2172" spans="1:31" x14ac:dyDescent="0.25">
      <c r="A2172">
        <v>2692</v>
      </c>
      <c r="B2172" t="s">
        <v>83</v>
      </c>
      <c r="C2172">
        <v>97</v>
      </c>
      <c r="D2172">
        <v>273</v>
      </c>
      <c r="E2172">
        <v>2692</v>
      </c>
      <c r="F2172">
        <v>10231201</v>
      </c>
      <c r="G2172">
        <v>10319400</v>
      </c>
      <c r="H2172">
        <f t="shared" si="66"/>
        <v>232.00002267573697</v>
      </c>
      <c r="I2172">
        <f t="shared" si="67"/>
        <v>234</v>
      </c>
      <c r="J2172" t="s">
        <v>32</v>
      </c>
      <c r="K2172">
        <v>7</v>
      </c>
      <c r="L2172" t="e">
        <f t="array" ref="L2172">VLOOKUP(J2172:$J$3871&amp;K2172:$K$3871,CHOOSE({1,2},#REF!&amp;#REF!,#REF!),2,0)</f>
        <v>#N/A</v>
      </c>
      <c r="M2172">
        <v>0</v>
      </c>
      <c r="N2172">
        <v>1</v>
      </c>
      <c r="O2172" t="s">
        <v>23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0</v>
      </c>
      <c r="V2172">
        <v>0</v>
      </c>
      <c r="W2172">
        <v>1</v>
      </c>
      <c r="X2172">
        <v>1</v>
      </c>
      <c r="Y2172">
        <v>0</v>
      </c>
      <c r="Z2172">
        <v>0</v>
      </c>
      <c r="AA2172" t="s">
        <v>2428</v>
      </c>
      <c r="AB2172" t="s">
        <v>1867</v>
      </c>
      <c r="AC2172" t="s">
        <v>2428</v>
      </c>
      <c r="AD2172" t="e">
        <f>VLOOKUP(AB2172,#REF!,2,FALSE)</f>
        <v>#REF!</v>
      </c>
      <c r="AE2172" t="e">
        <f>RIGHT(#REF!,(FIND("Complex",#REF!,1)-6))</f>
        <v>#REF!</v>
      </c>
    </row>
    <row r="2173" spans="1:31" x14ac:dyDescent="0.25">
      <c r="A2173">
        <v>3423</v>
      </c>
      <c r="B2173" t="s">
        <v>83</v>
      </c>
      <c r="C2173">
        <v>97</v>
      </c>
      <c r="D2173">
        <v>428</v>
      </c>
      <c r="E2173">
        <v>3423</v>
      </c>
      <c r="F2173">
        <v>9966601</v>
      </c>
      <c r="G2173">
        <v>10054800</v>
      </c>
      <c r="H2173">
        <f t="shared" si="66"/>
        <v>226.00002267573697</v>
      </c>
      <c r="I2173">
        <f t="shared" si="67"/>
        <v>228</v>
      </c>
      <c r="J2173" t="s">
        <v>32</v>
      </c>
      <c r="K2173">
        <v>7</v>
      </c>
      <c r="L2173" t="e">
        <f t="array" ref="L2173">VLOOKUP(J2173:$J$3871&amp;K2173:$K$3871,CHOOSE({1,2},#REF!&amp;#REF!,#REF!),2,0)</f>
        <v>#N/A</v>
      </c>
      <c r="M2173">
        <v>0</v>
      </c>
      <c r="N2173">
        <v>1</v>
      </c>
      <c r="O2173" t="s">
        <v>23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0</v>
      </c>
      <c r="V2173">
        <v>0</v>
      </c>
      <c r="W2173">
        <v>1</v>
      </c>
      <c r="X2173">
        <v>1</v>
      </c>
      <c r="Y2173">
        <v>0</v>
      </c>
      <c r="Z2173">
        <v>0</v>
      </c>
      <c r="AA2173" t="s">
        <v>2438</v>
      </c>
      <c r="AB2173" t="s">
        <v>114</v>
      </c>
      <c r="AC2173" t="s">
        <v>2438</v>
      </c>
      <c r="AD2173" t="e">
        <f>VLOOKUP(AB2173,#REF!,2,FALSE)</f>
        <v>#REF!</v>
      </c>
      <c r="AE2173" t="e">
        <f>RIGHT(#REF!,(FIND("Complex",#REF!,1)-6))</f>
        <v>#REF!</v>
      </c>
    </row>
    <row r="2174" spans="1:31" x14ac:dyDescent="0.25">
      <c r="A2174">
        <v>3100</v>
      </c>
      <c r="B2174" t="s">
        <v>55</v>
      </c>
      <c r="C2174">
        <v>102</v>
      </c>
      <c r="D2174">
        <v>362</v>
      </c>
      <c r="E2174">
        <v>3100</v>
      </c>
      <c r="F2174">
        <v>11995201</v>
      </c>
      <c r="G2174">
        <v>12083400</v>
      </c>
      <c r="H2174">
        <f t="shared" si="66"/>
        <v>272.00002267573694</v>
      </c>
      <c r="I2174">
        <f t="shared" si="67"/>
        <v>274</v>
      </c>
      <c r="J2174" t="s">
        <v>32</v>
      </c>
      <c r="K2174">
        <v>7</v>
      </c>
      <c r="L2174" t="e">
        <f t="array" ref="L2174">VLOOKUP(J2174:$J$3871&amp;K2174:$K$3871,CHOOSE({1,2},#REF!&amp;#REF!,#REF!),2,0)</f>
        <v>#N/A</v>
      </c>
      <c r="M2174">
        <v>0</v>
      </c>
      <c r="N2174">
        <v>1</v>
      </c>
      <c r="O2174" t="s">
        <v>23</v>
      </c>
      <c r="P2174">
        <v>1</v>
      </c>
      <c r="Q2174">
        <v>0</v>
      </c>
      <c r="R2174">
        <v>1</v>
      </c>
      <c r="S2174">
        <v>1</v>
      </c>
      <c r="T2174">
        <v>1</v>
      </c>
      <c r="U2174">
        <v>1</v>
      </c>
      <c r="V2174">
        <v>0</v>
      </c>
      <c r="W2174">
        <v>1</v>
      </c>
      <c r="X2174">
        <v>1</v>
      </c>
      <c r="Y2174">
        <v>0</v>
      </c>
      <c r="Z2174">
        <v>0</v>
      </c>
      <c r="AA2174" t="s">
        <v>2365</v>
      </c>
      <c r="AB2174" t="s">
        <v>107</v>
      </c>
      <c r="AC2174" t="s">
        <v>2365</v>
      </c>
      <c r="AD2174" t="e">
        <f>VLOOKUP(AB2174,#REF!,2,FALSE)</f>
        <v>#REF!</v>
      </c>
      <c r="AE2174" t="e">
        <f>RIGHT(#REF!,(FIND("Complex",#REF!,1)-5))</f>
        <v>#REF!</v>
      </c>
    </row>
    <row r="2175" spans="1:31" x14ac:dyDescent="0.25">
      <c r="A2175">
        <v>3792</v>
      </c>
      <c r="B2175" t="s">
        <v>55</v>
      </c>
      <c r="C2175">
        <v>102</v>
      </c>
      <c r="D2175">
        <v>483</v>
      </c>
      <c r="E2175">
        <v>3792</v>
      </c>
      <c r="F2175">
        <v>11907001</v>
      </c>
      <c r="G2175">
        <v>11995200</v>
      </c>
      <c r="H2175">
        <f t="shared" si="66"/>
        <v>270.00002267573694</v>
      </c>
      <c r="I2175">
        <f t="shared" si="67"/>
        <v>272</v>
      </c>
      <c r="J2175" t="s">
        <v>32</v>
      </c>
      <c r="K2175">
        <v>7</v>
      </c>
      <c r="L2175" t="e">
        <f t="array" ref="L2175">VLOOKUP(J2175:$J$3871&amp;K2175:$K$3871,CHOOSE({1,2},#REF!&amp;#REF!,#REF!),2,0)</f>
        <v>#N/A</v>
      </c>
      <c r="M2175">
        <v>0</v>
      </c>
      <c r="N2175">
        <v>1</v>
      </c>
      <c r="O2175" t="s">
        <v>23</v>
      </c>
      <c r="P2175">
        <v>1</v>
      </c>
      <c r="Q2175">
        <v>0</v>
      </c>
      <c r="R2175">
        <v>1</v>
      </c>
      <c r="S2175">
        <v>1</v>
      </c>
      <c r="T2175">
        <v>1</v>
      </c>
      <c r="U2175">
        <v>1</v>
      </c>
      <c r="V2175">
        <v>0</v>
      </c>
      <c r="W2175">
        <v>1</v>
      </c>
      <c r="X2175">
        <v>1</v>
      </c>
      <c r="Y2175">
        <v>0</v>
      </c>
      <c r="Z2175">
        <v>0</v>
      </c>
      <c r="AA2175" t="s">
        <v>2367</v>
      </c>
      <c r="AB2175" t="s">
        <v>1972</v>
      </c>
      <c r="AC2175" t="s">
        <v>2367</v>
      </c>
      <c r="AD2175" t="e">
        <f>VLOOKUP(AB2175,#REF!,2,FALSE)</f>
        <v>#REF!</v>
      </c>
      <c r="AE2175" t="e">
        <f>RIGHT(#REF!,(FIND("Complex",#REF!,1)-5))</f>
        <v>#REF!</v>
      </c>
    </row>
    <row r="2176" spans="1:31" x14ac:dyDescent="0.25">
      <c r="A2176">
        <v>2559</v>
      </c>
      <c r="B2176" t="s">
        <v>55</v>
      </c>
      <c r="C2176">
        <v>102</v>
      </c>
      <c r="D2176">
        <v>253</v>
      </c>
      <c r="E2176">
        <v>2559</v>
      </c>
      <c r="F2176">
        <v>11730601</v>
      </c>
      <c r="G2176">
        <v>11818800</v>
      </c>
      <c r="H2176">
        <f t="shared" si="66"/>
        <v>266.00002267573694</v>
      </c>
      <c r="I2176">
        <f t="shared" si="67"/>
        <v>268</v>
      </c>
      <c r="J2176" t="s">
        <v>32</v>
      </c>
      <c r="K2176">
        <v>7</v>
      </c>
      <c r="L2176" t="e">
        <f t="array" ref="L2176">VLOOKUP(J2176:$J$3871&amp;K2176:$K$3871,CHOOSE({1,2},#REF!&amp;#REF!,#REF!),2,0)</f>
        <v>#N/A</v>
      </c>
      <c r="M2176">
        <v>0</v>
      </c>
      <c r="N2176">
        <v>1</v>
      </c>
      <c r="O2176" t="s">
        <v>23</v>
      </c>
      <c r="P2176">
        <v>1</v>
      </c>
      <c r="Q2176">
        <v>0</v>
      </c>
      <c r="R2176">
        <v>1</v>
      </c>
      <c r="S2176">
        <v>1</v>
      </c>
      <c r="T2176">
        <v>1</v>
      </c>
      <c r="U2176">
        <v>1</v>
      </c>
      <c r="V2176">
        <v>0</v>
      </c>
      <c r="W2176">
        <v>1</v>
      </c>
      <c r="X2176">
        <v>1</v>
      </c>
      <c r="Y2176">
        <v>0</v>
      </c>
      <c r="Z2176">
        <v>0</v>
      </c>
      <c r="AA2176" t="s">
        <v>2372</v>
      </c>
      <c r="AB2176" t="s">
        <v>1973</v>
      </c>
      <c r="AC2176" t="s">
        <v>2372</v>
      </c>
      <c r="AD2176" t="e">
        <f>VLOOKUP(AB2176,#REF!,2,FALSE)</f>
        <v>#REF!</v>
      </c>
      <c r="AE2176" t="e">
        <f>RIGHT(#REF!,(FIND("Complex",#REF!,1)-5))</f>
        <v>#REF!</v>
      </c>
    </row>
    <row r="2177" spans="1:31" x14ac:dyDescent="0.25">
      <c r="A2177">
        <v>3177</v>
      </c>
      <c r="B2177" t="s">
        <v>55</v>
      </c>
      <c r="C2177">
        <v>102</v>
      </c>
      <c r="D2177">
        <v>385</v>
      </c>
      <c r="E2177">
        <v>3177</v>
      </c>
      <c r="F2177">
        <v>11554201</v>
      </c>
      <c r="G2177">
        <v>11642400</v>
      </c>
      <c r="H2177">
        <f t="shared" si="66"/>
        <v>262.00002267573694</v>
      </c>
      <c r="I2177">
        <f t="shared" si="67"/>
        <v>264</v>
      </c>
      <c r="J2177" t="s">
        <v>32</v>
      </c>
      <c r="K2177">
        <v>7</v>
      </c>
      <c r="L2177" t="e">
        <f t="array" ref="L2177">VLOOKUP(J2177:$J$3871&amp;K2177:$K$3871,CHOOSE({1,2},#REF!&amp;#REF!,#REF!),2,0)</f>
        <v>#N/A</v>
      </c>
      <c r="M2177">
        <v>0</v>
      </c>
      <c r="N2177">
        <v>1</v>
      </c>
      <c r="O2177" t="s">
        <v>23</v>
      </c>
      <c r="P2177">
        <v>1</v>
      </c>
      <c r="Q2177">
        <v>0</v>
      </c>
      <c r="R2177">
        <v>1</v>
      </c>
      <c r="S2177">
        <v>1</v>
      </c>
      <c r="T2177">
        <v>1</v>
      </c>
      <c r="U2177">
        <v>1</v>
      </c>
      <c r="V2177">
        <v>0</v>
      </c>
      <c r="W2177">
        <v>1</v>
      </c>
      <c r="X2177">
        <v>1</v>
      </c>
      <c r="Y2177">
        <v>0</v>
      </c>
      <c r="Z2177">
        <v>0</v>
      </c>
      <c r="AA2177" t="s">
        <v>2377</v>
      </c>
      <c r="AB2177" t="s">
        <v>1974</v>
      </c>
      <c r="AC2177" t="s">
        <v>2377</v>
      </c>
      <c r="AD2177" t="e">
        <f>VLOOKUP(AB2177,#REF!,2,FALSE)</f>
        <v>#REF!</v>
      </c>
      <c r="AE2177" t="e">
        <f>RIGHT(#REF!,(FIND("Complex",#REF!,1)-5))</f>
        <v>#REF!</v>
      </c>
    </row>
    <row r="2178" spans="1:31" x14ac:dyDescent="0.25">
      <c r="A2178">
        <v>907</v>
      </c>
      <c r="B2178" t="s">
        <v>55</v>
      </c>
      <c r="C2178">
        <v>102</v>
      </c>
      <c r="D2178">
        <v>73</v>
      </c>
      <c r="E2178">
        <v>907</v>
      </c>
      <c r="F2178">
        <v>11113201</v>
      </c>
      <c r="G2178">
        <v>11201400</v>
      </c>
      <c r="H2178">
        <f t="shared" ref="H2178:H2241" si="68">F2178/44100</f>
        <v>252.00002267573697</v>
      </c>
      <c r="I2178">
        <f t="shared" ref="I2178:I2241" si="69">G2178/44100</f>
        <v>254</v>
      </c>
      <c r="J2178" t="s">
        <v>32</v>
      </c>
      <c r="K2178">
        <v>7</v>
      </c>
      <c r="L2178" t="e">
        <f t="array" ref="L2178">VLOOKUP(J2178:$J$3871&amp;K2178:$K$3871,CHOOSE({1,2},#REF!&amp;#REF!,#REF!),2,0)</f>
        <v>#N/A</v>
      </c>
      <c r="M2178">
        <v>0</v>
      </c>
      <c r="N2178">
        <v>1</v>
      </c>
      <c r="O2178" t="s">
        <v>23</v>
      </c>
      <c r="P2178">
        <v>1</v>
      </c>
      <c r="Q2178">
        <v>0</v>
      </c>
      <c r="R2178">
        <v>1</v>
      </c>
      <c r="S2178">
        <v>1</v>
      </c>
      <c r="T2178">
        <v>1</v>
      </c>
      <c r="U2178">
        <v>1</v>
      </c>
      <c r="V2178">
        <v>0</v>
      </c>
      <c r="W2178">
        <v>1</v>
      </c>
      <c r="X2178">
        <v>1</v>
      </c>
      <c r="Y2178">
        <v>0</v>
      </c>
      <c r="Z2178">
        <v>0</v>
      </c>
      <c r="AA2178" t="s">
        <v>2395</v>
      </c>
      <c r="AB2178" t="s">
        <v>1975</v>
      </c>
      <c r="AC2178" t="s">
        <v>2395</v>
      </c>
      <c r="AD2178" t="e">
        <f>VLOOKUP(AB2178,#REF!,2,FALSE)</f>
        <v>#REF!</v>
      </c>
      <c r="AE2178" t="e">
        <f>RIGHT(#REF!,(FIND("Complex",#REF!,1)-4))</f>
        <v>#REF!</v>
      </c>
    </row>
    <row r="2179" spans="1:31" x14ac:dyDescent="0.25">
      <c r="A2179">
        <v>3772</v>
      </c>
      <c r="B2179" t="s">
        <v>55</v>
      </c>
      <c r="C2179">
        <v>102</v>
      </c>
      <c r="D2179">
        <v>479</v>
      </c>
      <c r="E2179">
        <v>3772</v>
      </c>
      <c r="F2179">
        <v>11025001</v>
      </c>
      <c r="G2179">
        <v>11113200</v>
      </c>
      <c r="H2179">
        <f t="shared" si="68"/>
        <v>250.00002267573697</v>
      </c>
      <c r="I2179">
        <f t="shared" si="69"/>
        <v>252</v>
      </c>
      <c r="J2179" t="s">
        <v>32</v>
      </c>
      <c r="K2179">
        <v>7</v>
      </c>
      <c r="L2179" t="e">
        <f t="array" ref="L2179">VLOOKUP(J2179:$J$3871&amp;K2179:$K$3871,CHOOSE({1,2},#REF!&amp;#REF!,#REF!),2,0)</f>
        <v>#N/A</v>
      </c>
      <c r="M2179">
        <v>0</v>
      </c>
      <c r="N2179">
        <v>1</v>
      </c>
      <c r="O2179" t="s">
        <v>23</v>
      </c>
      <c r="P2179">
        <v>1</v>
      </c>
      <c r="Q2179">
        <v>0</v>
      </c>
      <c r="R2179">
        <v>1</v>
      </c>
      <c r="S2179">
        <v>1</v>
      </c>
      <c r="T2179">
        <v>1</v>
      </c>
      <c r="U2179">
        <v>1</v>
      </c>
      <c r="V2179">
        <v>0</v>
      </c>
      <c r="W2179">
        <v>1</v>
      </c>
      <c r="X2179">
        <v>1</v>
      </c>
      <c r="Y2179">
        <v>0</v>
      </c>
      <c r="Z2179">
        <v>0</v>
      </c>
      <c r="AA2179" t="s">
        <v>2398</v>
      </c>
      <c r="AB2179" t="s">
        <v>1976</v>
      </c>
      <c r="AC2179" t="s">
        <v>2398</v>
      </c>
      <c r="AD2179" t="e">
        <f>VLOOKUP(AB2179,#REF!,2,FALSE)</f>
        <v>#REF!</v>
      </c>
      <c r="AE2179" t="e">
        <f>RIGHT(#REF!,(FIND("Complex",#REF!,1)-5))</f>
        <v>#REF!</v>
      </c>
    </row>
    <row r="2180" spans="1:31" x14ac:dyDescent="0.25">
      <c r="A2180">
        <v>2686</v>
      </c>
      <c r="B2180" t="s">
        <v>55</v>
      </c>
      <c r="C2180">
        <v>102</v>
      </c>
      <c r="D2180">
        <v>270</v>
      </c>
      <c r="E2180">
        <v>2686</v>
      </c>
      <c r="F2180">
        <v>10143001</v>
      </c>
      <c r="G2180">
        <v>10231200</v>
      </c>
      <c r="H2180">
        <f t="shared" si="68"/>
        <v>230.00002267573697</v>
      </c>
      <c r="I2180">
        <f t="shared" si="69"/>
        <v>232</v>
      </c>
      <c r="J2180" t="s">
        <v>32</v>
      </c>
      <c r="K2180">
        <v>7</v>
      </c>
      <c r="L2180" t="e">
        <f t="array" ref="L2180">VLOOKUP(J2180:$J$3871&amp;K2180:$K$3871,CHOOSE({1,2},#REF!&amp;#REF!,#REF!),2,0)</f>
        <v>#N/A</v>
      </c>
      <c r="M2180">
        <v>0</v>
      </c>
      <c r="N2180">
        <v>1</v>
      </c>
      <c r="O2180" t="s">
        <v>23</v>
      </c>
      <c r="P2180">
        <v>1</v>
      </c>
      <c r="Q2180">
        <v>0</v>
      </c>
      <c r="R2180">
        <v>1</v>
      </c>
      <c r="S2180">
        <v>1</v>
      </c>
      <c r="T2180">
        <v>1</v>
      </c>
      <c r="U2180">
        <v>1</v>
      </c>
      <c r="V2180">
        <v>0</v>
      </c>
      <c r="W2180">
        <v>1</v>
      </c>
      <c r="X2180">
        <v>1</v>
      </c>
      <c r="Y2180">
        <v>0</v>
      </c>
      <c r="Z2180">
        <v>0</v>
      </c>
      <c r="AA2180" t="s">
        <v>2434</v>
      </c>
      <c r="AB2180" t="s">
        <v>1977</v>
      </c>
      <c r="AC2180" t="s">
        <v>2434</v>
      </c>
      <c r="AD2180" t="e">
        <f>VLOOKUP(AB2180,#REF!,2,FALSE)</f>
        <v>#REF!</v>
      </c>
      <c r="AE2180" t="e">
        <f>RIGHT(#REF!,(FIND("Complex",#REF!,1)-5))</f>
        <v>#REF!</v>
      </c>
    </row>
    <row r="2181" spans="1:31" x14ac:dyDescent="0.25">
      <c r="A2181">
        <v>3159</v>
      </c>
      <c r="B2181" t="s">
        <v>55</v>
      </c>
      <c r="C2181">
        <v>102</v>
      </c>
      <c r="D2181">
        <v>383</v>
      </c>
      <c r="E2181">
        <v>3159</v>
      </c>
      <c r="F2181">
        <v>8996401</v>
      </c>
      <c r="G2181">
        <v>9084600</v>
      </c>
      <c r="H2181">
        <f t="shared" si="68"/>
        <v>204.00002267573697</v>
      </c>
      <c r="I2181">
        <f t="shared" si="69"/>
        <v>206</v>
      </c>
      <c r="J2181" t="s">
        <v>32</v>
      </c>
      <c r="K2181">
        <v>7</v>
      </c>
      <c r="L2181" t="e">
        <f t="array" ref="L2181">VLOOKUP(J2181:$J$3871&amp;K2181:$K$3871,CHOOSE({1,2},#REF!&amp;#REF!,#REF!),2,0)</f>
        <v>#N/A</v>
      </c>
      <c r="M2181">
        <v>0</v>
      </c>
      <c r="N2181">
        <v>1</v>
      </c>
      <c r="O2181" t="s">
        <v>23</v>
      </c>
      <c r="P2181">
        <v>1</v>
      </c>
      <c r="Q2181">
        <v>0</v>
      </c>
      <c r="R2181">
        <v>1</v>
      </c>
      <c r="S2181">
        <v>1</v>
      </c>
      <c r="T2181">
        <v>1</v>
      </c>
      <c r="U2181">
        <v>1</v>
      </c>
      <c r="V2181">
        <v>0</v>
      </c>
      <c r="W2181">
        <v>1</v>
      </c>
      <c r="X2181">
        <v>1</v>
      </c>
      <c r="Y2181">
        <v>0</v>
      </c>
      <c r="Z2181">
        <v>0</v>
      </c>
      <c r="AA2181" t="s">
        <v>2476</v>
      </c>
      <c r="AB2181" t="s">
        <v>1978</v>
      </c>
      <c r="AC2181" t="s">
        <v>2476</v>
      </c>
      <c r="AD2181" t="e">
        <f>VLOOKUP(AB2181,#REF!,2,FALSE)</f>
        <v>#REF!</v>
      </c>
      <c r="AE2181" t="e">
        <f>RIGHT(#REF!,(FIND("Complex",#REF!,1)-5))</f>
        <v>#REF!</v>
      </c>
    </row>
    <row r="2182" spans="1:31" x14ac:dyDescent="0.25">
      <c r="A2182">
        <v>3735</v>
      </c>
      <c r="B2182" t="s">
        <v>55</v>
      </c>
      <c r="C2182">
        <v>102</v>
      </c>
      <c r="D2182">
        <v>474</v>
      </c>
      <c r="E2182">
        <v>3735</v>
      </c>
      <c r="F2182">
        <v>8908201</v>
      </c>
      <c r="G2182">
        <v>8996400</v>
      </c>
      <c r="H2182">
        <f t="shared" si="68"/>
        <v>202.00002267573697</v>
      </c>
      <c r="I2182">
        <f t="shared" si="69"/>
        <v>204</v>
      </c>
      <c r="J2182" t="s">
        <v>32</v>
      </c>
      <c r="K2182">
        <v>7</v>
      </c>
      <c r="L2182" t="e">
        <f t="array" ref="L2182">VLOOKUP(J2182:$J$3871&amp;K2182:$K$3871,CHOOSE({1,2},#REF!&amp;#REF!,#REF!),2,0)</f>
        <v>#N/A</v>
      </c>
      <c r="M2182">
        <v>0</v>
      </c>
      <c r="N2182">
        <v>1</v>
      </c>
      <c r="O2182" t="s">
        <v>23</v>
      </c>
      <c r="P2182">
        <v>1</v>
      </c>
      <c r="Q2182">
        <v>0</v>
      </c>
      <c r="R2182">
        <v>1</v>
      </c>
      <c r="S2182">
        <v>1</v>
      </c>
      <c r="T2182">
        <v>1</v>
      </c>
      <c r="U2182">
        <v>1</v>
      </c>
      <c r="V2182">
        <v>0</v>
      </c>
      <c r="W2182">
        <v>1</v>
      </c>
      <c r="X2182">
        <v>1</v>
      </c>
      <c r="Y2182">
        <v>0</v>
      </c>
      <c r="Z2182">
        <v>0</v>
      </c>
      <c r="AA2182" t="s">
        <v>2480</v>
      </c>
      <c r="AB2182" t="s">
        <v>1979</v>
      </c>
      <c r="AC2182" t="s">
        <v>2480</v>
      </c>
      <c r="AD2182" t="e">
        <f>VLOOKUP(AB2182,#REF!,2,FALSE)</f>
        <v>#REF!</v>
      </c>
      <c r="AE2182" t="e">
        <f>RIGHT(#REF!,(FIND("Complex",#REF!,1)-5))</f>
        <v>#REF!</v>
      </c>
    </row>
    <row r="2183" spans="1:31" x14ac:dyDescent="0.25">
      <c r="A2183">
        <v>2772</v>
      </c>
      <c r="B2183" t="s">
        <v>55</v>
      </c>
      <c r="C2183">
        <v>102</v>
      </c>
      <c r="D2183">
        <v>288</v>
      </c>
      <c r="E2183">
        <v>2772</v>
      </c>
      <c r="F2183">
        <v>7144201</v>
      </c>
      <c r="G2183">
        <v>7232400</v>
      </c>
      <c r="H2183">
        <f t="shared" si="68"/>
        <v>162.00002267573697</v>
      </c>
      <c r="I2183">
        <f t="shared" si="69"/>
        <v>164</v>
      </c>
      <c r="J2183" t="s">
        <v>32</v>
      </c>
      <c r="K2183">
        <v>7</v>
      </c>
      <c r="L2183" t="e">
        <f t="array" ref="L2183">VLOOKUP(J2183:$J$3871&amp;K2183:$K$3871,CHOOSE({1,2},#REF!&amp;#REF!,#REF!),2,0)</f>
        <v>#N/A</v>
      </c>
      <c r="M2183">
        <v>0</v>
      </c>
      <c r="N2183">
        <v>1</v>
      </c>
      <c r="O2183" t="s">
        <v>23</v>
      </c>
      <c r="P2183">
        <v>1</v>
      </c>
      <c r="Q2183">
        <v>0</v>
      </c>
      <c r="R2183">
        <v>1</v>
      </c>
      <c r="S2183">
        <v>1</v>
      </c>
      <c r="T2183">
        <v>1</v>
      </c>
      <c r="U2183">
        <v>1</v>
      </c>
      <c r="V2183">
        <v>0</v>
      </c>
      <c r="W2183">
        <v>1</v>
      </c>
      <c r="X2183">
        <v>1</v>
      </c>
      <c r="Y2183">
        <v>0</v>
      </c>
      <c r="Z2183">
        <v>0</v>
      </c>
      <c r="AA2183" t="s">
        <v>2532</v>
      </c>
      <c r="AB2183" t="s">
        <v>1980</v>
      </c>
      <c r="AC2183" t="s">
        <v>2532</v>
      </c>
      <c r="AD2183" t="e">
        <f>VLOOKUP(AB2183,#REF!,2,FALSE)</f>
        <v>#REF!</v>
      </c>
      <c r="AE2183" t="e">
        <f>RIGHT(#REF!,(FIND("Complex",#REF!,1)-5))</f>
        <v>#REF!</v>
      </c>
    </row>
    <row r="2184" spans="1:31" x14ac:dyDescent="0.25">
      <c r="A2184">
        <v>3800</v>
      </c>
      <c r="B2184" t="s">
        <v>55</v>
      </c>
      <c r="C2184">
        <v>102</v>
      </c>
      <c r="D2184">
        <v>484</v>
      </c>
      <c r="E2184">
        <v>3800</v>
      </c>
      <c r="F2184">
        <v>7056001</v>
      </c>
      <c r="G2184">
        <v>7144200</v>
      </c>
      <c r="H2184">
        <f t="shared" si="68"/>
        <v>160.00002267573697</v>
      </c>
      <c r="I2184">
        <f t="shared" si="69"/>
        <v>162</v>
      </c>
      <c r="J2184" t="s">
        <v>32</v>
      </c>
      <c r="K2184">
        <v>7</v>
      </c>
      <c r="L2184" t="e">
        <f t="array" ref="L2184">VLOOKUP(J2184:$J$3871&amp;K2184:$K$3871,CHOOSE({1,2},#REF!&amp;#REF!,#REF!),2,0)</f>
        <v>#N/A</v>
      </c>
      <c r="M2184">
        <v>0</v>
      </c>
      <c r="N2184">
        <v>1</v>
      </c>
      <c r="O2184" t="s">
        <v>23</v>
      </c>
      <c r="P2184">
        <v>1</v>
      </c>
      <c r="Q2184">
        <v>0</v>
      </c>
      <c r="R2184">
        <v>1</v>
      </c>
      <c r="S2184">
        <v>1</v>
      </c>
      <c r="T2184">
        <v>1</v>
      </c>
      <c r="U2184">
        <v>1</v>
      </c>
      <c r="V2184">
        <v>0</v>
      </c>
      <c r="W2184">
        <v>1</v>
      </c>
      <c r="X2184">
        <v>1</v>
      </c>
      <c r="Y2184">
        <v>0</v>
      </c>
      <c r="Z2184">
        <v>0</v>
      </c>
      <c r="AA2184" t="s">
        <v>2533</v>
      </c>
      <c r="AB2184" t="s">
        <v>1981</v>
      </c>
      <c r="AC2184" t="s">
        <v>2533</v>
      </c>
      <c r="AD2184" t="e">
        <f>VLOOKUP(AB2184,#REF!,2,FALSE)</f>
        <v>#REF!</v>
      </c>
      <c r="AE2184" t="e">
        <f>RIGHT(#REF!,(FIND("Complex",#REF!,1)-5))</f>
        <v>#REF!</v>
      </c>
    </row>
    <row r="2185" spans="1:31" x14ac:dyDescent="0.25">
      <c r="A2185">
        <v>3831</v>
      </c>
      <c r="B2185" t="s">
        <v>55</v>
      </c>
      <c r="C2185">
        <v>102</v>
      </c>
      <c r="D2185">
        <v>487</v>
      </c>
      <c r="E2185">
        <v>3831</v>
      </c>
      <c r="F2185">
        <v>6967801</v>
      </c>
      <c r="G2185">
        <v>7056000</v>
      </c>
      <c r="H2185">
        <f t="shared" si="68"/>
        <v>158.00002267573697</v>
      </c>
      <c r="I2185">
        <f t="shared" si="69"/>
        <v>160</v>
      </c>
      <c r="J2185" t="s">
        <v>32</v>
      </c>
      <c r="K2185">
        <v>7</v>
      </c>
      <c r="L2185" t="e">
        <f t="array" ref="L2185">VLOOKUP(J2185:$J$3871&amp;K2185:$K$3871,CHOOSE({1,2},#REF!&amp;#REF!,#REF!),2,0)</f>
        <v>#N/A</v>
      </c>
      <c r="M2185">
        <v>0</v>
      </c>
      <c r="N2185">
        <v>1</v>
      </c>
      <c r="O2185" t="s">
        <v>23</v>
      </c>
      <c r="P2185">
        <v>1</v>
      </c>
      <c r="Q2185">
        <v>0</v>
      </c>
      <c r="R2185">
        <v>1</v>
      </c>
      <c r="S2185">
        <v>1</v>
      </c>
      <c r="T2185">
        <v>1</v>
      </c>
      <c r="U2185">
        <v>1</v>
      </c>
      <c r="V2185">
        <v>0</v>
      </c>
      <c r="W2185">
        <v>1</v>
      </c>
      <c r="X2185">
        <v>1</v>
      </c>
      <c r="Y2185">
        <v>0</v>
      </c>
      <c r="Z2185">
        <v>0</v>
      </c>
      <c r="AA2185" t="s">
        <v>2534</v>
      </c>
      <c r="AB2185" t="s">
        <v>1982</v>
      </c>
      <c r="AC2185" t="s">
        <v>2534</v>
      </c>
      <c r="AD2185" t="e">
        <f>VLOOKUP(AB2185,#REF!,2,FALSE)</f>
        <v>#REF!</v>
      </c>
      <c r="AE2185" t="e">
        <f>RIGHT(#REF!,(FIND("Complex",#REF!,1)-5))</f>
        <v>#REF!</v>
      </c>
    </row>
    <row r="2186" spans="1:31" x14ac:dyDescent="0.25">
      <c r="A2186">
        <v>3805</v>
      </c>
      <c r="B2186" t="s">
        <v>55</v>
      </c>
      <c r="C2186">
        <v>102</v>
      </c>
      <c r="D2186">
        <v>485</v>
      </c>
      <c r="E2186">
        <v>3805</v>
      </c>
      <c r="F2186">
        <v>6879601</v>
      </c>
      <c r="G2186">
        <v>6967800</v>
      </c>
      <c r="H2186">
        <f t="shared" si="68"/>
        <v>156.00002267573697</v>
      </c>
      <c r="I2186">
        <f t="shared" si="69"/>
        <v>158</v>
      </c>
      <c r="J2186" t="s">
        <v>32</v>
      </c>
      <c r="K2186">
        <v>7</v>
      </c>
      <c r="L2186" t="e">
        <f t="array" ref="L2186">VLOOKUP(J2186:$J$3871&amp;K2186:$K$3871,CHOOSE({1,2},#REF!&amp;#REF!,#REF!),2,0)</f>
        <v>#N/A</v>
      </c>
      <c r="M2186">
        <v>0</v>
      </c>
      <c r="N2186">
        <v>1</v>
      </c>
      <c r="O2186" t="s">
        <v>23</v>
      </c>
      <c r="P2186">
        <v>1</v>
      </c>
      <c r="Q2186">
        <v>0</v>
      </c>
      <c r="R2186">
        <v>1</v>
      </c>
      <c r="S2186">
        <v>1</v>
      </c>
      <c r="T2186">
        <v>1</v>
      </c>
      <c r="U2186">
        <v>1</v>
      </c>
      <c r="V2186">
        <v>0</v>
      </c>
      <c r="W2186">
        <v>1</v>
      </c>
      <c r="X2186">
        <v>1</v>
      </c>
      <c r="Y2186">
        <v>0</v>
      </c>
      <c r="Z2186">
        <v>0</v>
      </c>
      <c r="AA2186" t="s">
        <v>2535</v>
      </c>
      <c r="AB2186" t="s">
        <v>1983</v>
      </c>
      <c r="AC2186" t="s">
        <v>2535</v>
      </c>
      <c r="AD2186" t="e">
        <f>VLOOKUP(AB2186,#REF!,2,FALSE)</f>
        <v>#REF!</v>
      </c>
      <c r="AE2186" t="e">
        <f>RIGHT(#REF!,(FIND("Complex",#REF!,1)-5))</f>
        <v>#REF!</v>
      </c>
    </row>
    <row r="2187" spans="1:31" x14ac:dyDescent="0.25">
      <c r="A2187">
        <v>203</v>
      </c>
      <c r="B2187" t="s">
        <v>55</v>
      </c>
      <c r="C2187">
        <v>102</v>
      </c>
      <c r="D2187">
        <v>17</v>
      </c>
      <c r="E2187">
        <v>203</v>
      </c>
      <c r="F2187">
        <v>6350401</v>
      </c>
      <c r="G2187">
        <v>6438600</v>
      </c>
      <c r="H2187">
        <f t="shared" si="68"/>
        <v>144.00002267573697</v>
      </c>
      <c r="I2187">
        <f t="shared" si="69"/>
        <v>146</v>
      </c>
      <c r="J2187" t="s">
        <v>32</v>
      </c>
      <c r="K2187">
        <v>7</v>
      </c>
      <c r="L2187" t="e">
        <f t="array" ref="L2187">VLOOKUP(J2187:$J$3871&amp;K2187:$K$3871,CHOOSE({1,2},#REF!&amp;#REF!,#REF!),2,0)</f>
        <v>#N/A</v>
      </c>
      <c r="M2187">
        <v>0</v>
      </c>
      <c r="N2187">
        <v>1</v>
      </c>
      <c r="O2187" t="s">
        <v>23</v>
      </c>
      <c r="P2187">
        <v>1</v>
      </c>
      <c r="Q2187">
        <v>0</v>
      </c>
      <c r="R2187">
        <v>1</v>
      </c>
      <c r="S2187">
        <v>1</v>
      </c>
      <c r="T2187">
        <v>1</v>
      </c>
      <c r="U2187">
        <v>1</v>
      </c>
      <c r="V2187">
        <v>0</v>
      </c>
      <c r="W2187">
        <v>1</v>
      </c>
      <c r="X2187">
        <v>1</v>
      </c>
      <c r="Y2187">
        <v>0</v>
      </c>
      <c r="Z2187">
        <v>0</v>
      </c>
      <c r="AA2187" t="s">
        <v>2543</v>
      </c>
      <c r="AB2187" t="s">
        <v>1984</v>
      </c>
      <c r="AC2187" t="s">
        <v>2543</v>
      </c>
      <c r="AD2187" t="e">
        <f>VLOOKUP(AB2187,#REF!,2,FALSE)</f>
        <v>#REF!</v>
      </c>
      <c r="AE2187" t="e">
        <f>RIGHT(#REF!,(FIND("Complex",#REF!,1)-4))</f>
        <v>#REF!</v>
      </c>
    </row>
    <row r="2188" spans="1:31" x14ac:dyDescent="0.25">
      <c r="A2188">
        <v>3205</v>
      </c>
      <c r="B2188" t="s">
        <v>95</v>
      </c>
      <c r="C2188">
        <v>103</v>
      </c>
      <c r="D2188">
        <v>392</v>
      </c>
      <c r="E2188">
        <v>3205</v>
      </c>
      <c r="F2188">
        <v>8908201</v>
      </c>
      <c r="G2188">
        <v>8996400</v>
      </c>
      <c r="H2188">
        <f t="shared" si="68"/>
        <v>202.00002267573697</v>
      </c>
      <c r="I2188">
        <f t="shared" si="69"/>
        <v>204</v>
      </c>
      <c r="J2188" t="s">
        <v>32</v>
      </c>
      <c r="K2188">
        <v>7</v>
      </c>
      <c r="L2188" t="e">
        <f t="array" ref="L2188">VLOOKUP(J2188:$J$3871&amp;K2188:$K$3871,CHOOSE({1,2},#REF!&amp;#REF!,#REF!),2,0)</f>
        <v>#N/A</v>
      </c>
      <c r="M2188">
        <v>0</v>
      </c>
      <c r="N2188">
        <v>1</v>
      </c>
      <c r="O2188" t="s">
        <v>23</v>
      </c>
      <c r="P2188">
        <v>1</v>
      </c>
      <c r="Q2188">
        <v>0</v>
      </c>
      <c r="R2188">
        <v>1</v>
      </c>
      <c r="S2188">
        <v>1</v>
      </c>
      <c r="T2188">
        <v>1</v>
      </c>
      <c r="U2188">
        <v>0</v>
      </c>
      <c r="V2188">
        <v>0</v>
      </c>
      <c r="W2188">
        <v>1</v>
      </c>
      <c r="X2188">
        <v>1</v>
      </c>
      <c r="Y2188">
        <v>1</v>
      </c>
      <c r="Z2188">
        <v>0</v>
      </c>
      <c r="AA2188" t="s">
        <v>2479</v>
      </c>
      <c r="AB2188" t="s">
        <v>2039</v>
      </c>
      <c r="AC2188" t="s">
        <v>2479</v>
      </c>
      <c r="AD2188" t="e">
        <f>VLOOKUP(AB2188,#REF!,2,FALSE)</f>
        <v>#REF!</v>
      </c>
      <c r="AE2188" t="e">
        <f>RIGHT(#REF!,(FIND("Complex",#REF!,1)-5))</f>
        <v>#REF!</v>
      </c>
    </row>
    <row r="2189" spans="1:31" x14ac:dyDescent="0.25">
      <c r="A2189">
        <v>1573</v>
      </c>
      <c r="B2189" t="s">
        <v>95</v>
      </c>
      <c r="C2189">
        <v>103</v>
      </c>
      <c r="D2189">
        <v>145</v>
      </c>
      <c r="E2189">
        <v>1573</v>
      </c>
      <c r="F2189">
        <v>8731801</v>
      </c>
      <c r="G2189">
        <v>8820000</v>
      </c>
      <c r="H2189">
        <f t="shared" si="68"/>
        <v>198.00002267573697</v>
      </c>
      <c r="I2189">
        <f t="shared" si="69"/>
        <v>200</v>
      </c>
      <c r="J2189" t="s">
        <v>32</v>
      </c>
      <c r="K2189">
        <v>7</v>
      </c>
      <c r="L2189" t="e">
        <f t="array" ref="L2189">VLOOKUP(J2189:$J$3871&amp;K2189:$K$3871,CHOOSE({1,2},#REF!&amp;#REF!,#REF!),2,0)</f>
        <v>#N/A</v>
      </c>
      <c r="M2189">
        <v>0</v>
      </c>
      <c r="N2189">
        <v>1</v>
      </c>
      <c r="O2189" t="s">
        <v>23</v>
      </c>
      <c r="P2189">
        <v>1</v>
      </c>
      <c r="Q2189">
        <v>0</v>
      </c>
      <c r="R2189">
        <v>1</v>
      </c>
      <c r="S2189">
        <v>1</v>
      </c>
      <c r="T2189">
        <v>1</v>
      </c>
      <c r="U2189">
        <v>0</v>
      </c>
      <c r="V2189">
        <v>0</v>
      </c>
      <c r="W2189">
        <v>1</v>
      </c>
      <c r="X2189">
        <v>1</v>
      </c>
      <c r="Y2189">
        <v>1</v>
      </c>
      <c r="Z2189">
        <v>0</v>
      </c>
      <c r="AA2189" t="s">
        <v>2486</v>
      </c>
      <c r="AB2189" t="s">
        <v>122</v>
      </c>
      <c r="AC2189" t="s">
        <v>2486</v>
      </c>
      <c r="AD2189" t="e">
        <f>VLOOKUP(AB2189,#REF!,2,FALSE)</f>
        <v>#REF!</v>
      </c>
      <c r="AE2189" t="e">
        <f>RIGHT(#REF!,(FIND("Complex",#REF!,1)-5))</f>
        <v>#REF!</v>
      </c>
    </row>
    <row r="2190" spans="1:31" x14ac:dyDescent="0.25">
      <c r="A2190">
        <v>3397</v>
      </c>
      <c r="B2190" t="s">
        <v>72</v>
      </c>
      <c r="C2190">
        <v>104</v>
      </c>
      <c r="D2190">
        <v>423</v>
      </c>
      <c r="E2190">
        <v>3397</v>
      </c>
      <c r="F2190">
        <v>4057201</v>
      </c>
      <c r="G2190">
        <v>4145400</v>
      </c>
      <c r="H2190">
        <f t="shared" si="68"/>
        <v>92.000022675736957</v>
      </c>
      <c r="I2190">
        <f t="shared" si="69"/>
        <v>94</v>
      </c>
      <c r="J2190" t="s">
        <v>32</v>
      </c>
      <c r="K2190">
        <v>7</v>
      </c>
      <c r="L2190" t="e">
        <f t="array" ref="L2190">VLOOKUP(J2190:$J$3871&amp;K2190:$K$3871,CHOOSE({1,2},#REF!&amp;#REF!,#REF!),2,0)</f>
        <v>#N/A</v>
      </c>
      <c r="M2190">
        <v>0</v>
      </c>
      <c r="N2190">
        <v>1</v>
      </c>
      <c r="O2190" t="s">
        <v>23</v>
      </c>
      <c r="P2190">
        <v>1</v>
      </c>
      <c r="Q2190">
        <v>0</v>
      </c>
      <c r="R2190">
        <v>1</v>
      </c>
      <c r="S2190">
        <v>1</v>
      </c>
      <c r="T2190">
        <v>1</v>
      </c>
      <c r="U2190">
        <v>0</v>
      </c>
      <c r="V2190">
        <v>0</v>
      </c>
      <c r="W2190">
        <v>1</v>
      </c>
      <c r="X2190">
        <v>1</v>
      </c>
      <c r="Y2190">
        <v>1</v>
      </c>
      <c r="Z2190">
        <v>0</v>
      </c>
      <c r="AA2190" t="s">
        <v>2291</v>
      </c>
      <c r="AB2190" t="s">
        <v>2091</v>
      </c>
      <c r="AC2190" t="s">
        <v>2291</v>
      </c>
      <c r="AD2190" t="e">
        <f>VLOOKUP(AB2190,#REF!,2,FALSE)</f>
        <v>#REF!</v>
      </c>
      <c r="AE2190" t="e">
        <f>RIGHT(#REF!,(FIND("Complex",#REF!,1)-6))</f>
        <v>#REF!</v>
      </c>
    </row>
    <row r="2191" spans="1:31" x14ac:dyDescent="0.25">
      <c r="A2191">
        <v>1109</v>
      </c>
      <c r="B2191" t="s">
        <v>72</v>
      </c>
      <c r="C2191">
        <v>104</v>
      </c>
      <c r="D2191">
        <v>95</v>
      </c>
      <c r="E2191">
        <v>1109</v>
      </c>
      <c r="F2191">
        <v>3969001</v>
      </c>
      <c r="G2191">
        <v>4057200</v>
      </c>
      <c r="H2191">
        <f t="shared" si="68"/>
        <v>90.000022675736957</v>
      </c>
      <c r="I2191">
        <f t="shared" si="69"/>
        <v>92</v>
      </c>
      <c r="J2191" t="s">
        <v>32</v>
      </c>
      <c r="K2191">
        <v>7</v>
      </c>
      <c r="L2191" t="e">
        <f t="array" ref="L2191">VLOOKUP(J2191:$J$3871&amp;K2191:$K$3871,CHOOSE({1,2},#REF!&amp;#REF!,#REF!),2,0)</f>
        <v>#N/A</v>
      </c>
      <c r="M2191">
        <v>0</v>
      </c>
      <c r="N2191">
        <v>1</v>
      </c>
      <c r="O2191" t="s">
        <v>23</v>
      </c>
      <c r="P2191">
        <v>1</v>
      </c>
      <c r="Q2191">
        <v>0</v>
      </c>
      <c r="R2191">
        <v>1</v>
      </c>
      <c r="S2191">
        <v>1</v>
      </c>
      <c r="T2191">
        <v>1</v>
      </c>
      <c r="U2191">
        <v>0</v>
      </c>
      <c r="V2191">
        <v>0</v>
      </c>
      <c r="W2191">
        <v>1</v>
      </c>
      <c r="X2191">
        <v>1</v>
      </c>
      <c r="Y2191">
        <v>1</v>
      </c>
      <c r="Z2191">
        <v>0</v>
      </c>
      <c r="AA2191" t="s">
        <v>2294</v>
      </c>
      <c r="AB2191" t="s">
        <v>2092</v>
      </c>
      <c r="AC2191" t="s">
        <v>2294</v>
      </c>
      <c r="AD2191" t="e">
        <f>VLOOKUP(AB2191,#REF!,2,FALSE)</f>
        <v>#REF!</v>
      </c>
      <c r="AE2191" t="e">
        <f>RIGHT(#REF!,(FIND("Complex",#REF!,1)-6))</f>
        <v>#REF!</v>
      </c>
    </row>
    <row r="2192" spans="1:31" x14ac:dyDescent="0.25">
      <c r="A2192">
        <v>3010</v>
      </c>
      <c r="B2192" t="s">
        <v>72</v>
      </c>
      <c r="C2192">
        <v>104</v>
      </c>
      <c r="D2192">
        <v>343</v>
      </c>
      <c r="E2192">
        <v>3010</v>
      </c>
      <c r="F2192">
        <v>16758001</v>
      </c>
      <c r="G2192">
        <v>16846200</v>
      </c>
      <c r="H2192">
        <f t="shared" si="68"/>
        <v>380.00002267573694</v>
      </c>
      <c r="I2192">
        <f t="shared" si="69"/>
        <v>382</v>
      </c>
      <c r="J2192" t="s">
        <v>32</v>
      </c>
      <c r="K2192">
        <v>7</v>
      </c>
      <c r="L2192" t="e">
        <f t="array" ref="L2192">VLOOKUP(J2192:$J$3871&amp;K2192:$K$3871,CHOOSE({1,2},#REF!&amp;#REF!,#REF!),2,0)</f>
        <v>#N/A</v>
      </c>
      <c r="M2192">
        <v>0</v>
      </c>
      <c r="N2192">
        <v>1</v>
      </c>
      <c r="O2192" t="s">
        <v>23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0</v>
      </c>
      <c r="V2192">
        <v>0</v>
      </c>
      <c r="W2192">
        <v>1</v>
      </c>
      <c r="X2192">
        <v>1</v>
      </c>
      <c r="Y2192">
        <v>0</v>
      </c>
      <c r="Z2192">
        <v>0</v>
      </c>
      <c r="AA2192" t="s">
        <v>2331</v>
      </c>
      <c r="AB2192" t="s">
        <v>2093</v>
      </c>
      <c r="AC2192" t="s">
        <v>2331</v>
      </c>
      <c r="AD2192" t="e">
        <f>VLOOKUP(AB2192,#REF!,2,FALSE)</f>
        <v>#REF!</v>
      </c>
      <c r="AE2192" t="e">
        <f>RIGHT(#REF!,(FIND("Complex",#REF!,1)-5))</f>
        <v>#REF!</v>
      </c>
    </row>
    <row r="2193" spans="1:31" x14ac:dyDescent="0.25">
      <c r="A2193">
        <v>3139</v>
      </c>
      <c r="B2193" t="s">
        <v>72</v>
      </c>
      <c r="C2193">
        <v>104</v>
      </c>
      <c r="D2193">
        <v>376</v>
      </c>
      <c r="E2193">
        <v>3139</v>
      </c>
      <c r="F2193">
        <v>12700801</v>
      </c>
      <c r="G2193">
        <v>12789000</v>
      </c>
      <c r="H2193">
        <f t="shared" si="68"/>
        <v>288.00002267573694</v>
      </c>
      <c r="I2193">
        <f t="shared" si="69"/>
        <v>290</v>
      </c>
      <c r="J2193" t="s">
        <v>32</v>
      </c>
      <c r="K2193">
        <v>7</v>
      </c>
      <c r="L2193" t="e">
        <f t="array" ref="L2193">VLOOKUP(J2193:$J$3871&amp;K2193:$K$3871,CHOOSE({1,2},#REF!&amp;#REF!,#REF!),2,0)</f>
        <v>#N/A</v>
      </c>
      <c r="M2193">
        <v>0</v>
      </c>
      <c r="N2193">
        <v>1</v>
      </c>
      <c r="O2193" t="s">
        <v>23</v>
      </c>
      <c r="P2193">
        <v>0</v>
      </c>
      <c r="Q2193">
        <v>1</v>
      </c>
      <c r="R2193">
        <v>1</v>
      </c>
      <c r="S2193">
        <v>1</v>
      </c>
      <c r="T2193">
        <v>1</v>
      </c>
      <c r="U2193">
        <v>0</v>
      </c>
      <c r="V2193">
        <v>0</v>
      </c>
      <c r="W2193">
        <v>1</v>
      </c>
      <c r="X2193">
        <v>1</v>
      </c>
      <c r="Y2193">
        <v>1</v>
      </c>
      <c r="Z2193">
        <v>0</v>
      </c>
      <c r="AA2193" t="s">
        <v>2351</v>
      </c>
      <c r="AB2193" t="s">
        <v>2094</v>
      </c>
      <c r="AC2193" t="s">
        <v>2351</v>
      </c>
      <c r="AD2193" t="e">
        <f>VLOOKUP(AB2193,#REF!,2,FALSE)</f>
        <v>#REF!</v>
      </c>
      <c r="AE2193" t="e">
        <f>RIGHT(#REF!,(FIND("Complex",#REF!,1)-5))</f>
        <v>#REF!</v>
      </c>
    </row>
    <row r="2194" spans="1:31" x14ac:dyDescent="0.25">
      <c r="A2194">
        <v>3296</v>
      </c>
      <c r="B2194" t="s">
        <v>72</v>
      </c>
      <c r="C2194">
        <v>104</v>
      </c>
      <c r="D2194">
        <v>406</v>
      </c>
      <c r="E2194">
        <v>3296</v>
      </c>
      <c r="F2194">
        <v>12348001</v>
      </c>
      <c r="G2194">
        <v>12436200</v>
      </c>
      <c r="H2194">
        <f t="shared" si="68"/>
        <v>280.00002267573694</v>
      </c>
      <c r="I2194">
        <f t="shared" si="69"/>
        <v>282</v>
      </c>
      <c r="J2194" t="s">
        <v>32</v>
      </c>
      <c r="K2194">
        <v>7</v>
      </c>
      <c r="L2194" t="e">
        <f t="array" ref="L2194">VLOOKUP(J2194:$J$3871&amp;K2194:$K$3871,CHOOSE({1,2},#REF!&amp;#REF!,#REF!),2,0)</f>
        <v>#N/A</v>
      </c>
      <c r="M2194">
        <v>0</v>
      </c>
      <c r="N2194">
        <v>1</v>
      </c>
      <c r="O2194" t="s">
        <v>23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0</v>
      </c>
      <c r="V2194">
        <v>0</v>
      </c>
      <c r="W2194">
        <v>1</v>
      </c>
      <c r="X2194">
        <v>1</v>
      </c>
      <c r="Y2194">
        <v>0</v>
      </c>
      <c r="Z2194">
        <v>0</v>
      </c>
      <c r="AA2194" t="s">
        <v>2355</v>
      </c>
      <c r="AB2194" t="s">
        <v>2095</v>
      </c>
      <c r="AC2194" t="s">
        <v>2355</v>
      </c>
      <c r="AD2194" t="e">
        <f>VLOOKUP(AB2194,#REF!,2,FALSE)</f>
        <v>#REF!</v>
      </c>
      <c r="AE2194" t="e">
        <f>RIGHT(#REF!,(FIND("Complex",#REF!,1)-5))</f>
        <v>#REF!</v>
      </c>
    </row>
    <row r="2195" spans="1:31" x14ac:dyDescent="0.25">
      <c r="A2195">
        <v>3331</v>
      </c>
      <c r="B2195" t="s">
        <v>72</v>
      </c>
      <c r="C2195">
        <v>104</v>
      </c>
      <c r="D2195">
        <v>414</v>
      </c>
      <c r="E2195">
        <v>3331</v>
      </c>
      <c r="F2195">
        <v>11289601</v>
      </c>
      <c r="G2195">
        <v>11377800</v>
      </c>
      <c r="H2195">
        <f t="shared" si="68"/>
        <v>256.00002267573694</v>
      </c>
      <c r="I2195">
        <f t="shared" si="69"/>
        <v>258</v>
      </c>
      <c r="J2195" t="s">
        <v>32</v>
      </c>
      <c r="K2195">
        <v>7</v>
      </c>
      <c r="L2195" t="e">
        <f t="array" ref="L2195">VLOOKUP(J2195:$J$3871&amp;K2195:$K$3871,CHOOSE({1,2},#REF!&amp;#REF!,#REF!),2,0)</f>
        <v>#N/A</v>
      </c>
      <c r="M2195">
        <v>0</v>
      </c>
      <c r="N2195">
        <v>1</v>
      </c>
      <c r="O2195" t="s">
        <v>23</v>
      </c>
      <c r="P2195">
        <v>1</v>
      </c>
      <c r="Q2195">
        <v>0</v>
      </c>
      <c r="R2195">
        <v>1</v>
      </c>
      <c r="S2195">
        <v>1</v>
      </c>
      <c r="T2195">
        <v>1</v>
      </c>
      <c r="U2195">
        <v>0</v>
      </c>
      <c r="V2195">
        <v>0</v>
      </c>
      <c r="W2195">
        <v>1</v>
      </c>
      <c r="X2195">
        <v>1</v>
      </c>
      <c r="Y2195">
        <v>1</v>
      </c>
      <c r="Z2195">
        <v>0</v>
      </c>
      <c r="AA2195" t="s">
        <v>2386</v>
      </c>
      <c r="AB2195" t="s">
        <v>2096</v>
      </c>
      <c r="AC2195" t="s">
        <v>2386</v>
      </c>
      <c r="AD2195" t="e">
        <f>VLOOKUP(AB2195,#REF!,2,FALSE)</f>
        <v>#REF!</v>
      </c>
      <c r="AE2195" t="e">
        <f>RIGHT(#REF!,(FIND("Complex",#REF!,1)-5))</f>
        <v>#REF!</v>
      </c>
    </row>
    <row r="2196" spans="1:31" x14ac:dyDescent="0.25">
      <c r="A2196">
        <v>3062</v>
      </c>
      <c r="B2196" t="s">
        <v>72</v>
      </c>
      <c r="C2196">
        <v>104</v>
      </c>
      <c r="D2196">
        <v>354</v>
      </c>
      <c r="E2196">
        <v>3062</v>
      </c>
      <c r="F2196">
        <v>10054801</v>
      </c>
      <c r="G2196">
        <v>10143000</v>
      </c>
      <c r="H2196">
        <f t="shared" si="68"/>
        <v>228.00002267573697</v>
      </c>
      <c r="I2196">
        <f t="shared" si="69"/>
        <v>230</v>
      </c>
      <c r="J2196" t="s">
        <v>32</v>
      </c>
      <c r="K2196">
        <v>7</v>
      </c>
      <c r="L2196" t="e">
        <f t="array" ref="L2196">VLOOKUP(J2196:$J$3871&amp;K2196:$K$3871,CHOOSE({1,2},#REF!&amp;#REF!,#REF!),2,0)</f>
        <v>#N/A</v>
      </c>
      <c r="M2196">
        <v>0</v>
      </c>
      <c r="N2196">
        <v>1</v>
      </c>
      <c r="O2196" t="s">
        <v>23</v>
      </c>
      <c r="P2196">
        <v>1</v>
      </c>
      <c r="Q2196">
        <v>0</v>
      </c>
      <c r="R2196">
        <v>1</v>
      </c>
      <c r="S2196">
        <v>1</v>
      </c>
      <c r="T2196">
        <v>1</v>
      </c>
      <c r="U2196">
        <v>0</v>
      </c>
      <c r="V2196">
        <v>0</v>
      </c>
      <c r="W2196">
        <v>1</v>
      </c>
      <c r="X2196">
        <v>1</v>
      </c>
      <c r="Y2196">
        <v>1</v>
      </c>
      <c r="Z2196">
        <v>0</v>
      </c>
      <c r="AA2196" t="s">
        <v>2436</v>
      </c>
      <c r="AB2196" t="s">
        <v>113</v>
      </c>
      <c r="AC2196" t="s">
        <v>2436</v>
      </c>
      <c r="AD2196" t="e">
        <f>VLOOKUP(AB2196,#REF!,2,FALSE)</f>
        <v>#REF!</v>
      </c>
      <c r="AE2196" t="e">
        <f>RIGHT(#REF!,(FIND("Complex",#REF!,1)-5))</f>
        <v>#REF!</v>
      </c>
    </row>
    <row r="2197" spans="1:31" x14ac:dyDescent="0.25">
      <c r="A2197">
        <v>3529</v>
      </c>
      <c r="B2197" t="s">
        <v>72</v>
      </c>
      <c r="C2197">
        <v>104</v>
      </c>
      <c r="D2197">
        <v>448</v>
      </c>
      <c r="E2197">
        <v>3529</v>
      </c>
      <c r="F2197">
        <v>4674601</v>
      </c>
      <c r="G2197">
        <v>4762800</v>
      </c>
      <c r="H2197">
        <f t="shared" si="68"/>
        <v>106.00002267573696</v>
      </c>
      <c r="I2197">
        <f t="shared" si="69"/>
        <v>108</v>
      </c>
      <c r="J2197" t="s">
        <v>32</v>
      </c>
      <c r="K2197">
        <v>7</v>
      </c>
      <c r="L2197" t="e">
        <f t="array" ref="L2197">VLOOKUP(J2197:$J$3871&amp;K2197:$K$3871,CHOOSE({1,2},#REF!&amp;#REF!,#REF!),2,0)</f>
        <v>#N/A</v>
      </c>
      <c r="M2197">
        <v>0</v>
      </c>
      <c r="N2197">
        <v>1</v>
      </c>
      <c r="O2197" t="s">
        <v>23</v>
      </c>
      <c r="P2197">
        <v>1</v>
      </c>
      <c r="Q2197">
        <v>0</v>
      </c>
      <c r="R2197">
        <v>1</v>
      </c>
      <c r="S2197">
        <v>1</v>
      </c>
      <c r="T2197">
        <v>1</v>
      </c>
      <c r="U2197">
        <v>0</v>
      </c>
      <c r="V2197">
        <v>0</v>
      </c>
      <c r="W2197">
        <v>1</v>
      </c>
      <c r="X2197">
        <v>1</v>
      </c>
      <c r="Y2197">
        <v>1</v>
      </c>
      <c r="Z2197">
        <v>0</v>
      </c>
      <c r="AA2197" t="s">
        <v>2603</v>
      </c>
      <c r="AB2197" t="s">
        <v>2097</v>
      </c>
      <c r="AC2197" t="s">
        <v>2603</v>
      </c>
      <c r="AD2197" t="e">
        <f>VLOOKUP(AB2197,#REF!,2,FALSE)</f>
        <v>#REF!</v>
      </c>
      <c r="AE2197" t="e">
        <f>RIGHT(#REF!,(FIND("Complex",#REF!,1)-5))</f>
        <v>#REF!</v>
      </c>
    </row>
    <row r="2198" spans="1:31" x14ac:dyDescent="0.25">
      <c r="A2198">
        <v>1402</v>
      </c>
      <c r="B2198" t="s">
        <v>48</v>
      </c>
      <c r="C2198">
        <v>2</v>
      </c>
      <c r="D2198">
        <v>130</v>
      </c>
      <c r="E2198">
        <v>1402</v>
      </c>
      <c r="F2198">
        <v>3704401</v>
      </c>
      <c r="G2198">
        <v>3792600</v>
      </c>
      <c r="H2198">
        <f t="shared" si="68"/>
        <v>84.000022675736957</v>
      </c>
      <c r="I2198">
        <f t="shared" si="69"/>
        <v>86</v>
      </c>
      <c r="J2198" t="s">
        <v>32</v>
      </c>
      <c r="K2198">
        <v>6</v>
      </c>
      <c r="L2198" t="e">
        <f t="array" ref="L2198">VLOOKUP(J2198:$J$3871&amp;K2198:$K$3871,CHOOSE({1,2},#REF!&amp;#REF!,#REF!),2,0)</f>
        <v>#N/A</v>
      </c>
      <c r="M2198">
        <v>-15</v>
      </c>
      <c r="N2198">
        <v>0</v>
      </c>
      <c r="O2198" t="s">
        <v>7</v>
      </c>
      <c r="P2198">
        <v>1</v>
      </c>
      <c r="Q2198">
        <v>1</v>
      </c>
      <c r="R2198">
        <v>1</v>
      </c>
      <c r="S2198">
        <v>0</v>
      </c>
      <c r="T2198">
        <v>1</v>
      </c>
      <c r="U2198">
        <v>0</v>
      </c>
      <c r="V2198">
        <v>0</v>
      </c>
      <c r="W2198">
        <v>1</v>
      </c>
      <c r="X2198">
        <v>1</v>
      </c>
      <c r="Y2198">
        <v>0</v>
      </c>
      <c r="Z2198">
        <v>0</v>
      </c>
      <c r="AA2198" t="s">
        <v>2681</v>
      </c>
      <c r="AB2198" t="s">
        <v>143</v>
      </c>
      <c r="AC2198" t="s">
        <v>2681</v>
      </c>
      <c r="AD2198" t="e">
        <f>VLOOKUP(AB2198,#REF!,2,FALSE)</f>
        <v>#REF!</v>
      </c>
      <c r="AE2198" t="e">
        <f>RIGHT(#REF!,(FIND("Complex",#REF!,1)-10))</f>
        <v>#REF!</v>
      </c>
    </row>
    <row r="2199" spans="1:31" x14ac:dyDescent="0.25">
      <c r="A2199">
        <v>3156</v>
      </c>
      <c r="B2199" t="s">
        <v>48</v>
      </c>
      <c r="C2199">
        <v>2</v>
      </c>
      <c r="D2199">
        <v>381</v>
      </c>
      <c r="E2199">
        <v>3156</v>
      </c>
      <c r="F2199">
        <v>5115601</v>
      </c>
      <c r="G2199">
        <v>5203800</v>
      </c>
      <c r="H2199">
        <f t="shared" si="68"/>
        <v>116.00002267573696</v>
      </c>
      <c r="I2199">
        <f t="shared" si="69"/>
        <v>118</v>
      </c>
      <c r="J2199" t="s">
        <v>32</v>
      </c>
      <c r="K2199">
        <v>6</v>
      </c>
      <c r="L2199" t="e">
        <f t="array" ref="L2199">VLOOKUP(J2199:$J$3871&amp;K2199:$K$3871,CHOOSE({1,2},#REF!&amp;#REF!,#REF!),2,0)</f>
        <v>#N/A</v>
      </c>
      <c r="M2199">
        <v>-15</v>
      </c>
      <c r="N2199">
        <v>0</v>
      </c>
      <c r="O2199" t="s">
        <v>7</v>
      </c>
      <c r="P2199">
        <v>1</v>
      </c>
      <c r="Q2199">
        <v>1</v>
      </c>
      <c r="R2199">
        <v>1</v>
      </c>
      <c r="S2199">
        <v>0</v>
      </c>
      <c r="T2199">
        <v>1</v>
      </c>
      <c r="U2199">
        <v>0</v>
      </c>
      <c r="V2199">
        <v>0</v>
      </c>
      <c r="W2199">
        <v>1</v>
      </c>
      <c r="X2199">
        <v>1</v>
      </c>
      <c r="Y2199">
        <v>0</v>
      </c>
      <c r="Z2199">
        <v>0</v>
      </c>
      <c r="AA2199" t="s">
        <v>3415</v>
      </c>
      <c r="AB2199" t="s">
        <v>355</v>
      </c>
      <c r="AC2199" t="s">
        <v>3415</v>
      </c>
      <c r="AD2199" t="e">
        <f>VLOOKUP(AB2199,#REF!,2,FALSE)</f>
        <v>#REF!</v>
      </c>
      <c r="AE2199" t="e">
        <f>RIGHT(#REF!,(FIND("Complex",#REF!,1)-9))</f>
        <v>#REF!</v>
      </c>
    </row>
    <row r="2200" spans="1:31" x14ac:dyDescent="0.25">
      <c r="A2200">
        <v>3636</v>
      </c>
      <c r="B2200" t="s">
        <v>96</v>
      </c>
      <c r="C2200">
        <v>3</v>
      </c>
      <c r="D2200">
        <v>463</v>
      </c>
      <c r="E2200">
        <v>3636</v>
      </c>
      <c r="F2200">
        <v>6879601</v>
      </c>
      <c r="G2200">
        <v>6967800</v>
      </c>
      <c r="H2200">
        <f t="shared" si="68"/>
        <v>156.00002267573697</v>
      </c>
      <c r="I2200">
        <f t="shared" si="69"/>
        <v>158</v>
      </c>
      <c r="J2200" t="s">
        <v>32</v>
      </c>
      <c r="K2200">
        <v>6</v>
      </c>
      <c r="L2200" t="e">
        <f t="array" ref="L2200">VLOOKUP(J2200:$J$3871&amp;K2200:$K$3871,CHOOSE({1,2},#REF!&amp;#REF!,#REF!),2,0)</f>
        <v>#N/A</v>
      </c>
      <c r="M2200">
        <v>-15</v>
      </c>
      <c r="N2200">
        <v>0</v>
      </c>
      <c r="O2200" t="s">
        <v>7</v>
      </c>
      <c r="P2200">
        <v>0</v>
      </c>
      <c r="Q2200">
        <v>1</v>
      </c>
      <c r="R2200">
        <v>1</v>
      </c>
      <c r="S2200">
        <v>0</v>
      </c>
      <c r="T2200">
        <v>0</v>
      </c>
      <c r="U2200">
        <v>1</v>
      </c>
      <c r="V2200">
        <v>1</v>
      </c>
      <c r="W2200">
        <v>1</v>
      </c>
      <c r="X2200">
        <v>1</v>
      </c>
      <c r="Y2200">
        <v>0</v>
      </c>
      <c r="Z2200">
        <v>0</v>
      </c>
      <c r="AA2200" t="s">
        <v>3207</v>
      </c>
      <c r="AB2200" t="s">
        <v>372</v>
      </c>
      <c r="AC2200" t="s">
        <v>3207</v>
      </c>
      <c r="AD2200" t="e">
        <f>VLOOKUP(AB2200,#REF!,2,FALSE)</f>
        <v>#REF!</v>
      </c>
      <c r="AE2200" t="e">
        <f>RIGHT(#REF!,(FIND("Complex",#REF!,1)-9))</f>
        <v>#REF!</v>
      </c>
    </row>
    <row r="2201" spans="1:31" x14ac:dyDescent="0.25">
      <c r="A2201">
        <v>2719</v>
      </c>
      <c r="B2201" t="s">
        <v>96</v>
      </c>
      <c r="C2201">
        <v>3</v>
      </c>
      <c r="D2201">
        <v>280</v>
      </c>
      <c r="E2201">
        <v>2719</v>
      </c>
      <c r="F2201">
        <v>6438601</v>
      </c>
      <c r="G2201">
        <v>6526800</v>
      </c>
      <c r="H2201">
        <f t="shared" si="68"/>
        <v>146.00002267573697</v>
      </c>
      <c r="I2201">
        <f t="shared" si="69"/>
        <v>148</v>
      </c>
      <c r="J2201" t="s">
        <v>32</v>
      </c>
      <c r="K2201">
        <v>6</v>
      </c>
      <c r="L2201" t="e">
        <f t="array" ref="L2201">VLOOKUP(J2201:$J$3871&amp;K2201:$K$3871,CHOOSE({1,2},#REF!&amp;#REF!,#REF!),2,0)</f>
        <v>#N/A</v>
      </c>
      <c r="M2201">
        <v>-15</v>
      </c>
      <c r="N2201">
        <v>0</v>
      </c>
      <c r="O2201" t="s">
        <v>7</v>
      </c>
      <c r="P2201">
        <v>0</v>
      </c>
      <c r="Q2201">
        <v>1</v>
      </c>
      <c r="R2201">
        <v>1</v>
      </c>
      <c r="S2201">
        <v>0</v>
      </c>
      <c r="T2201">
        <v>0</v>
      </c>
      <c r="U2201">
        <v>1</v>
      </c>
      <c r="V2201">
        <v>1</v>
      </c>
      <c r="W2201">
        <v>1</v>
      </c>
      <c r="X2201">
        <v>1</v>
      </c>
      <c r="Y2201">
        <v>0</v>
      </c>
      <c r="Z2201">
        <v>0</v>
      </c>
      <c r="AA2201" t="s">
        <v>3241</v>
      </c>
      <c r="AB2201" t="s">
        <v>373</v>
      </c>
      <c r="AC2201" t="s">
        <v>3241</v>
      </c>
      <c r="AD2201" t="e">
        <f>VLOOKUP(AB2201,#REF!,2,FALSE)</f>
        <v>#REF!</v>
      </c>
      <c r="AE2201" t="e">
        <f>RIGHT(#REF!,(FIND("Complex",#REF!,1)-9))</f>
        <v>#REF!</v>
      </c>
    </row>
    <row r="2202" spans="1:31" x14ac:dyDescent="0.25">
      <c r="A2202">
        <v>1875</v>
      </c>
      <c r="B2202" t="s">
        <v>96</v>
      </c>
      <c r="C2202">
        <v>3</v>
      </c>
      <c r="D2202">
        <v>171</v>
      </c>
      <c r="E2202">
        <v>1875</v>
      </c>
      <c r="F2202">
        <v>6085801</v>
      </c>
      <c r="G2202">
        <v>6174000</v>
      </c>
      <c r="H2202">
        <f t="shared" si="68"/>
        <v>138.00002267573697</v>
      </c>
      <c r="I2202">
        <f t="shared" si="69"/>
        <v>140</v>
      </c>
      <c r="J2202" t="s">
        <v>32</v>
      </c>
      <c r="K2202">
        <v>6</v>
      </c>
      <c r="L2202" t="e">
        <f t="array" ref="L2202">VLOOKUP(J2202:$J$3871&amp;K2202:$K$3871,CHOOSE({1,2},#REF!&amp;#REF!,#REF!),2,0)</f>
        <v>#N/A</v>
      </c>
      <c r="M2202">
        <v>-15</v>
      </c>
      <c r="N2202">
        <v>0</v>
      </c>
      <c r="O2202" t="s">
        <v>7</v>
      </c>
      <c r="P2202">
        <v>0</v>
      </c>
      <c r="Q2202">
        <v>1</v>
      </c>
      <c r="R2202">
        <v>1</v>
      </c>
      <c r="S2202">
        <v>0</v>
      </c>
      <c r="T2202">
        <v>0</v>
      </c>
      <c r="U2202">
        <v>1</v>
      </c>
      <c r="V2202">
        <v>1</v>
      </c>
      <c r="W2202">
        <v>1</v>
      </c>
      <c r="X2202">
        <v>1</v>
      </c>
      <c r="Y2202">
        <v>0</v>
      </c>
      <c r="Z2202">
        <v>0</v>
      </c>
      <c r="AA2202" t="s">
        <v>3275</v>
      </c>
      <c r="AB2202" t="s">
        <v>374</v>
      </c>
      <c r="AC2202" t="s">
        <v>3275</v>
      </c>
      <c r="AD2202" t="e">
        <f>VLOOKUP(AB2202,#REF!,2,FALSE)</f>
        <v>#REF!</v>
      </c>
      <c r="AE2202" t="e">
        <f>RIGHT(#REF!,(FIND("Complex",#REF!,1)-9))</f>
        <v>#REF!</v>
      </c>
    </row>
    <row r="2203" spans="1:31" x14ac:dyDescent="0.25">
      <c r="A2203">
        <v>357</v>
      </c>
      <c r="B2203" t="s">
        <v>96</v>
      </c>
      <c r="C2203">
        <v>3</v>
      </c>
      <c r="D2203">
        <v>32</v>
      </c>
      <c r="E2203">
        <v>357</v>
      </c>
      <c r="F2203">
        <v>5909401</v>
      </c>
      <c r="G2203">
        <v>5997600</v>
      </c>
      <c r="H2203">
        <f t="shared" si="68"/>
        <v>134.00002267573697</v>
      </c>
      <c r="I2203">
        <f t="shared" si="69"/>
        <v>136</v>
      </c>
      <c r="J2203" t="s">
        <v>32</v>
      </c>
      <c r="K2203">
        <v>6</v>
      </c>
      <c r="L2203" t="e">
        <f t="array" ref="L2203">VLOOKUP(J2203:$J$3871&amp;K2203:$K$3871,CHOOSE({1,2},#REF!&amp;#REF!,#REF!),2,0)</f>
        <v>#N/A</v>
      </c>
      <c r="M2203">
        <v>-15</v>
      </c>
      <c r="N2203">
        <v>0</v>
      </c>
      <c r="O2203" t="s">
        <v>7</v>
      </c>
      <c r="P2203">
        <v>0</v>
      </c>
      <c r="Q2203">
        <v>1</v>
      </c>
      <c r="R2203">
        <v>1</v>
      </c>
      <c r="S2203">
        <v>0</v>
      </c>
      <c r="T2203">
        <v>0</v>
      </c>
      <c r="U2203">
        <v>1</v>
      </c>
      <c r="V2203">
        <v>1</v>
      </c>
      <c r="W2203">
        <v>1</v>
      </c>
      <c r="X2203">
        <v>1</v>
      </c>
      <c r="Y2203">
        <v>0</v>
      </c>
      <c r="Z2203">
        <v>0</v>
      </c>
      <c r="AA2203" t="s">
        <v>3298</v>
      </c>
      <c r="AB2203" t="s">
        <v>375</v>
      </c>
      <c r="AC2203" t="s">
        <v>3298</v>
      </c>
      <c r="AD2203" t="e">
        <f>VLOOKUP(AB2203,#REF!,2,FALSE)</f>
        <v>#REF!</v>
      </c>
      <c r="AE2203" t="e">
        <f>RIGHT(#REF!,(FIND("Complex",#REF!,1)-8))</f>
        <v>#REF!</v>
      </c>
    </row>
    <row r="2204" spans="1:31" x14ac:dyDescent="0.25">
      <c r="A2204">
        <v>3477</v>
      </c>
      <c r="B2204" t="s">
        <v>96</v>
      </c>
      <c r="C2204">
        <v>3</v>
      </c>
      <c r="D2204">
        <v>438</v>
      </c>
      <c r="E2204">
        <v>3477</v>
      </c>
      <c r="F2204">
        <v>5733001</v>
      </c>
      <c r="G2204">
        <v>5821200</v>
      </c>
      <c r="H2204">
        <f t="shared" si="68"/>
        <v>130.00002267573697</v>
      </c>
      <c r="I2204">
        <f t="shared" si="69"/>
        <v>132</v>
      </c>
      <c r="J2204" t="s">
        <v>32</v>
      </c>
      <c r="K2204">
        <v>6</v>
      </c>
      <c r="L2204" t="e">
        <f t="array" ref="L2204">VLOOKUP(J2204:$J$3871&amp;K2204:$K$3871,CHOOSE({1,2},#REF!&amp;#REF!,#REF!),2,0)</f>
        <v>#N/A</v>
      </c>
      <c r="M2204">
        <v>-15</v>
      </c>
      <c r="N2204">
        <v>0</v>
      </c>
      <c r="O2204" t="s">
        <v>7</v>
      </c>
      <c r="P2204">
        <v>0</v>
      </c>
      <c r="Q2204">
        <v>1</v>
      </c>
      <c r="R2204">
        <v>1</v>
      </c>
      <c r="S2204">
        <v>0</v>
      </c>
      <c r="T2204">
        <v>0</v>
      </c>
      <c r="U2204">
        <v>1</v>
      </c>
      <c r="V2204">
        <v>1</v>
      </c>
      <c r="W2204">
        <v>1</v>
      </c>
      <c r="X2204">
        <v>1</v>
      </c>
      <c r="Y2204">
        <v>0</v>
      </c>
      <c r="Z2204">
        <v>0</v>
      </c>
      <c r="AA2204" t="s">
        <v>3324</v>
      </c>
      <c r="AB2204" t="s">
        <v>376</v>
      </c>
      <c r="AC2204" t="s">
        <v>3324</v>
      </c>
      <c r="AD2204" t="e">
        <f>VLOOKUP(AB2204,#REF!,2,FALSE)</f>
        <v>#REF!</v>
      </c>
      <c r="AE2204" t="e">
        <f>RIGHT(#REF!,(FIND("Complex",#REF!,1)-9))</f>
        <v>#REF!</v>
      </c>
    </row>
    <row r="2205" spans="1:31" x14ac:dyDescent="0.25">
      <c r="A2205">
        <v>1382</v>
      </c>
      <c r="B2205" t="s">
        <v>96</v>
      </c>
      <c r="C2205">
        <v>3</v>
      </c>
      <c r="D2205">
        <v>126</v>
      </c>
      <c r="E2205">
        <v>1382</v>
      </c>
      <c r="F2205">
        <v>5644801</v>
      </c>
      <c r="G2205">
        <v>5733000</v>
      </c>
      <c r="H2205">
        <f t="shared" si="68"/>
        <v>128.00002267573697</v>
      </c>
      <c r="I2205">
        <f t="shared" si="69"/>
        <v>130</v>
      </c>
      <c r="J2205" t="s">
        <v>32</v>
      </c>
      <c r="K2205">
        <v>6</v>
      </c>
      <c r="L2205" t="e">
        <f t="array" ref="L2205">VLOOKUP(J2205:$J$3871&amp;K2205:$K$3871,CHOOSE({1,2},#REF!&amp;#REF!,#REF!),2,0)</f>
        <v>#N/A</v>
      </c>
      <c r="M2205">
        <v>-15</v>
      </c>
      <c r="N2205">
        <v>0</v>
      </c>
      <c r="O2205" t="s">
        <v>7</v>
      </c>
      <c r="P2205">
        <v>0</v>
      </c>
      <c r="Q2205">
        <v>1</v>
      </c>
      <c r="R2205">
        <v>1</v>
      </c>
      <c r="S2205">
        <v>0</v>
      </c>
      <c r="T2205">
        <v>0</v>
      </c>
      <c r="U2205">
        <v>1</v>
      </c>
      <c r="V2205">
        <v>1</v>
      </c>
      <c r="W2205">
        <v>1</v>
      </c>
      <c r="X2205">
        <v>1</v>
      </c>
      <c r="Y2205">
        <v>0</v>
      </c>
      <c r="Z2205">
        <v>0</v>
      </c>
      <c r="AA2205" t="s">
        <v>3337</v>
      </c>
      <c r="AB2205" t="s">
        <v>377</v>
      </c>
      <c r="AC2205" t="s">
        <v>3337</v>
      </c>
      <c r="AD2205" t="e">
        <f>VLOOKUP(AB2205,#REF!,2,FALSE)</f>
        <v>#REF!</v>
      </c>
      <c r="AE2205" t="e">
        <f>RIGHT(#REF!,(FIND("Complex",#REF!,1)-9))</f>
        <v>#REF!</v>
      </c>
    </row>
    <row r="2206" spans="1:31" x14ac:dyDescent="0.25">
      <c r="A2206">
        <v>3069</v>
      </c>
      <c r="B2206" t="s">
        <v>96</v>
      </c>
      <c r="C2206">
        <v>3</v>
      </c>
      <c r="D2206">
        <v>355</v>
      </c>
      <c r="E2206">
        <v>3069</v>
      </c>
      <c r="F2206">
        <v>5468401</v>
      </c>
      <c r="G2206">
        <v>5556600</v>
      </c>
      <c r="H2206">
        <f t="shared" si="68"/>
        <v>124.00002267573696</v>
      </c>
      <c r="I2206">
        <f t="shared" si="69"/>
        <v>126</v>
      </c>
      <c r="J2206" t="s">
        <v>32</v>
      </c>
      <c r="K2206">
        <v>6</v>
      </c>
      <c r="L2206" t="e">
        <f t="array" ref="L2206">VLOOKUP(J2206:$J$3871&amp;K2206:$K$3871,CHOOSE({1,2},#REF!&amp;#REF!,#REF!),2,0)</f>
        <v>#N/A</v>
      </c>
      <c r="M2206">
        <v>-15</v>
      </c>
      <c r="N2206">
        <v>0</v>
      </c>
      <c r="O2206" t="s">
        <v>7</v>
      </c>
      <c r="P2206">
        <v>0</v>
      </c>
      <c r="Q2206">
        <v>1</v>
      </c>
      <c r="R2206">
        <v>1</v>
      </c>
      <c r="S2206">
        <v>0</v>
      </c>
      <c r="T2206">
        <v>0</v>
      </c>
      <c r="U2206">
        <v>1</v>
      </c>
      <c r="V2206">
        <v>1</v>
      </c>
      <c r="W2206">
        <v>1</v>
      </c>
      <c r="X2206">
        <v>1</v>
      </c>
      <c r="Y2206">
        <v>0</v>
      </c>
      <c r="Z2206">
        <v>0</v>
      </c>
      <c r="AA2206" t="s">
        <v>3360</v>
      </c>
      <c r="AB2206" t="s">
        <v>378</v>
      </c>
      <c r="AC2206" t="s">
        <v>3360</v>
      </c>
      <c r="AD2206" t="e">
        <f>VLOOKUP(AB2206,#REF!,2,FALSE)</f>
        <v>#REF!</v>
      </c>
      <c r="AE2206" t="e">
        <f>RIGHT(#REF!,(FIND("Complex",#REF!,1)-9))</f>
        <v>#REF!</v>
      </c>
    </row>
    <row r="2207" spans="1:31" x14ac:dyDescent="0.25">
      <c r="A2207">
        <v>2786</v>
      </c>
      <c r="B2207" t="s">
        <v>96</v>
      </c>
      <c r="C2207">
        <v>3</v>
      </c>
      <c r="D2207">
        <v>294</v>
      </c>
      <c r="E2207">
        <v>2786</v>
      </c>
      <c r="F2207">
        <v>4851001</v>
      </c>
      <c r="G2207">
        <v>4939200</v>
      </c>
      <c r="H2207">
        <f t="shared" si="68"/>
        <v>110.00002267573696</v>
      </c>
      <c r="I2207">
        <f t="shared" si="69"/>
        <v>112</v>
      </c>
      <c r="J2207" t="s">
        <v>32</v>
      </c>
      <c r="K2207">
        <v>6</v>
      </c>
      <c r="L2207" t="e">
        <f t="array" ref="L2207">VLOOKUP(J2207:$J$3871&amp;K2207:$K$3871,CHOOSE({1,2},#REF!&amp;#REF!,#REF!),2,0)</f>
        <v>#N/A</v>
      </c>
      <c r="M2207">
        <v>-15</v>
      </c>
      <c r="N2207">
        <v>0</v>
      </c>
      <c r="O2207" t="s">
        <v>7</v>
      </c>
      <c r="P2207">
        <v>0</v>
      </c>
      <c r="Q2207">
        <v>1</v>
      </c>
      <c r="R2207">
        <v>1</v>
      </c>
      <c r="S2207">
        <v>0</v>
      </c>
      <c r="T2207">
        <v>0</v>
      </c>
      <c r="U2207">
        <v>1</v>
      </c>
      <c r="V2207">
        <v>1</v>
      </c>
      <c r="W2207">
        <v>1</v>
      </c>
      <c r="X2207">
        <v>1</v>
      </c>
      <c r="Y2207">
        <v>0</v>
      </c>
      <c r="Z2207">
        <v>0</v>
      </c>
      <c r="AA2207" t="s">
        <v>3448</v>
      </c>
      <c r="AB2207" t="s">
        <v>379</v>
      </c>
      <c r="AC2207" t="s">
        <v>3448</v>
      </c>
      <c r="AD2207" t="e">
        <f>VLOOKUP(AB2207,#REF!,2,FALSE)</f>
        <v>#REF!</v>
      </c>
      <c r="AE2207" t="e">
        <f>RIGHT(#REF!,(FIND("Complex",#REF!,1)-9))</f>
        <v>#REF!</v>
      </c>
    </row>
    <row r="2208" spans="1:31" x14ac:dyDescent="0.25">
      <c r="A2208">
        <v>3125</v>
      </c>
      <c r="B2208" t="s">
        <v>96</v>
      </c>
      <c r="C2208">
        <v>3</v>
      </c>
      <c r="D2208">
        <v>370</v>
      </c>
      <c r="E2208">
        <v>3125</v>
      </c>
      <c r="F2208">
        <v>4762801</v>
      </c>
      <c r="G2208">
        <v>4851000</v>
      </c>
      <c r="H2208">
        <f t="shared" si="68"/>
        <v>108.00002267573696</v>
      </c>
      <c r="I2208">
        <f t="shared" si="69"/>
        <v>110</v>
      </c>
      <c r="J2208" t="s">
        <v>32</v>
      </c>
      <c r="K2208">
        <v>6</v>
      </c>
      <c r="L2208" t="e">
        <f t="array" ref="L2208">VLOOKUP(J2208:$J$3871&amp;K2208:$K$3871,CHOOSE({1,2},#REF!&amp;#REF!,#REF!),2,0)</f>
        <v>#N/A</v>
      </c>
      <c r="M2208">
        <v>-15</v>
      </c>
      <c r="N2208">
        <v>0</v>
      </c>
      <c r="O2208" t="s">
        <v>7</v>
      </c>
      <c r="P2208">
        <v>0</v>
      </c>
      <c r="Q2208">
        <v>1</v>
      </c>
      <c r="R2208">
        <v>1</v>
      </c>
      <c r="S2208">
        <v>0</v>
      </c>
      <c r="T2208">
        <v>0</v>
      </c>
      <c r="U2208">
        <v>1</v>
      </c>
      <c r="V2208">
        <v>1</v>
      </c>
      <c r="W2208">
        <v>1</v>
      </c>
      <c r="X2208">
        <v>1</v>
      </c>
      <c r="Y2208">
        <v>0</v>
      </c>
      <c r="Z2208">
        <v>0</v>
      </c>
      <c r="AA2208" t="s">
        <v>3458</v>
      </c>
      <c r="AB2208" t="s">
        <v>380</v>
      </c>
      <c r="AC2208" t="s">
        <v>3458</v>
      </c>
      <c r="AD2208" t="e">
        <f>VLOOKUP(AB2208,#REF!,2,FALSE)</f>
        <v>#REF!</v>
      </c>
      <c r="AE2208" t="e">
        <f>RIGHT(#REF!,(FIND("Complex",#REF!,1)-9))</f>
        <v>#REF!</v>
      </c>
    </row>
    <row r="2209" spans="1:31" x14ac:dyDescent="0.25">
      <c r="A2209">
        <v>3212</v>
      </c>
      <c r="B2209" t="s">
        <v>96</v>
      </c>
      <c r="C2209">
        <v>3</v>
      </c>
      <c r="D2209">
        <v>395</v>
      </c>
      <c r="E2209">
        <v>3212</v>
      </c>
      <c r="F2209">
        <v>4674601</v>
      </c>
      <c r="G2209">
        <v>4762800</v>
      </c>
      <c r="H2209">
        <f t="shared" si="68"/>
        <v>106.00002267573696</v>
      </c>
      <c r="I2209">
        <f t="shared" si="69"/>
        <v>108</v>
      </c>
      <c r="J2209" t="s">
        <v>32</v>
      </c>
      <c r="K2209">
        <v>6</v>
      </c>
      <c r="L2209" t="e">
        <f t="array" ref="L2209">VLOOKUP(J2209:$J$3871&amp;K2209:$K$3871,CHOOSE({1,2},#REF!&amp;#REF!,#REF!),2,0)</f>
        <v>#N/A</v>
      </c>
      <c r="M2209">
        <v>-15</v>
      </c>
      <c r="N2209">
        <v>0</v>
      </c>
      <c r="O2209" t="s">
        <v>7</v>
      </c>
      <c r="P2209">
        <v>0</v>
      </c>
      <c r="Q2209">
        <v>1</v>
      </c>
      <c r="R2209">
        <v>1</v>
      </c>
      <c r="S2209">
        <v>0</v>
      </c>
      <c r="T2209">
        <v>0</v>
      </c>
      <c r="U2209">
        <v>1</v>
      </c>
      <c r="V2209">
        <v>1</v>
      </c>
      <c r="W2209">
        <v>1</v>
      </c>
      <c r="X2209">
        <v>1</v>
      </c>
      <c r="Y2209">
        <v>0</v>
      </c>
      <c r="Z2209">
        <v>0</v>
      </c>
      <c r="AA2209" t="s">
        <v>3465</v>
      </c>
      <c r="AB2209" t="s">
        <v>176</v>
      </c>
      <c r="AC2209" t="s">
        <v>3465</v>
      </c>
      <c r="AD2209" t="e">
        <f>VLOOKUP(AB2209,#REF!,2,FALSE)</f>
        <v>#REF!</v>
      </c>
      <c r="AE2209" t="e">
        <f>RIGHT(#REF!,(FIND("Complex",#REF!,1)-9))</f>
        <v>#REF!</v>
      </c>
    </row>
    <row r="2210" spans="1:31" x14ac:dyDescent="0.25">
      <c r="A2210">
        <v>960</v>
      </c>
      <c r="B2210" t="s">
        <v>94</v>
      </c>
      <c r="C2210">
        <v>7</v>
      </c>
      <c r="D2210">
        <v>77</v>
      </c>
      <c r="E2210">
        <v>960</v>
      </c>
      <c r="F2210">
        <v>4145401</v>
      </c>
      <c r="G2210">
        <v>4233600</v>
      </c>
      <c r="H2210">
        <f t="shared" si="68"/>
        <v>94.000022675736957</v>
      </c>
      <c r="I2210">
        <f t="shared" si="69"/>
        <v>96</v>
      </c>
      <c r="J2210" t="s">
        <v>32</v>
      </c>
      <c r="K2210">
        <v>6</v>
      </c>
      <c r="L2210" t="e">
        <f t="array" ref="L2210">VLOOKUP(J2210:$J$3871&amp;K2210:$K$3871,CHOOSE({1,2},#REF!&amp;#REF!,#REF!),2,0)</f>
        <v>#N/A</v>
      </c>
      <c r="M2210">
        <v>-15</v>
      </c>
      <c r="N2210">
        <v>0</v>
      </c>
      <c r="O2210" t="s">
        <v>7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1</v>
      </c>
      <c r="W2210">
        <v>1</v>
      </c>
      <c r="X2210">
        <v>1</v>
      </c>
      <c r="Y2210">
        <v>1</v>
      </c>
      <c r="Z2210">
        <v>1</v>
      </c>
      <c r="AA2210" t="s">
        <v>2633</v>
      </c>
      <c r="AB2210" t="s">
        <v>471</v>
      </c>
      <c r="AC2210" t="s">
        <v>2633</v>
      </c>
      <c r="AD2210" t="e">
        <f>VLOOKUP(AB2210,#REF!,2,FALSE)</f>
        <v>#REF!</v>
      </c>
      <c r="AE2210" t="e">
        <f>RIGHT(#REF!,(FIND("Complex",#REF!,1)-9))</f>
        <v>#REF!</v>
      </c>
    </row>
    <row r="2211" spans="1:31" x14ac:dyDescent="0.25">
      <c r="A2211">
        <v>2049</v>
      </c>
      <c r="B2211" t="s">
        <v>94</v>
      </c>
      <c r="C2211">
        <v>7</v>
      </c>
      <c r="D2211">
        <v>196</v>
      </c>
      <c r="E2211">
        <v>2049</v>
      </c>
      <c r="F2211">
        <v>3528001</v>
      </c>
      <c r="G2211">
        <v>3616200</v>
      </c>
      <c r="H2211">
        <f t="shared" si="68"/>
        <v>80.000022675736957</v>
      </c>
      <c r="I2211">
        <f t="shared" si="69"/>
        <v>82</v>
      </c>
      <c r="J2211" t="s">
        <v>32</v>
      </c>
      <c r="K2211">
        <v>6</v>
      </c>
      <c r="L2211" t="e">
        <f t="array" ref="L2211">VLOOKUP(J2211:$J$3871&amp;K2211:$K$3871,CHOOSE({1,2},#REF!&amp;#REF!,#REF!),2,0)</f>
        <v>#N/A</v>
      </c>
      <c r="M2211">
        <v>-15</v>
      </c>
      <c r="N2211">
        <v>0</v>
      </c>
      <c r="O2211" t="s">
        <v>7</v>
      </c>
      <c r="P2211">
        <v>0</v>
      </c>
      <c r="Q2211">
        <v>0</v>
      </c>
      <c r="R2211">
        <v>1</v>
      </c>
      <c r="S2211">
        <v>0</v>
      </c>
      <c r="T2211">
        <v>0</v>
      </c>
      <c r="U2211">
        <v>0</v>
      </c>
      <c r="V2211">
        <v>1</v>
      </c>
      <c r="W2211">
        <v>1</v>
      </c>
      <c r="X2211">
        <v>1</v>
      </c>
      <c r="Y2211">
        <v>1</v>
      </c>
      <c r="Z2211">
        <v>1</v>
      </c>
      <c r="AA2211" t="s">
        <v>2697</v>
      </c>
      <c r="AB2211" t="s">
        <v>472</v>
      </c>
      <c r="AC2211" t="s">
        <v>2697</v>
      </c>
      <c r="AD2211" t="e">
        <f>VLOOKUP(AB2211,#REF!,2,FALSE)</f>
        <v>#REF!</v>
      </c>
      <c r="AE2211" t="e">
        <f>RIGHT(#REF!,(FIND("Complex",#REF!,1)-10))</f>
        <v>#REF!</v>
      </c>
    </row>
    <row r="2212" spans="1:31" x14ac:dyDescent="0.25">
      <c r="A2212">
        <v>1993</v>
      </c>
      <c r="B2212" t="s">
        <v>94</v>
      </c>
      <c r="C2212">
        <v>7</v>
      </c>
      <c r="D2212">
        <v>191</v>
      </c>
      <c r="E2212">
        <v>1993</v>
      </c>
      <c r="F2212">
        <v>3351601</v>
      </c>
      <c r="G2212">
        <v>3439800</v>
      </c>
      <c r="H2212">
        <f t="shared" si="68"/>
        <v>76.000022675736957</v>
      </c>
      <c r="I2212">
        <f t="shared" si="69"/>
        <v>78</v>
      </c>
      <c r="J2212" t="s">
        <v>32</v>
      </c>
      <c r="K2212">
        <v>6</v>
      </c>
      <c r="L2212" t="e">
        <f t="array" ref="L2212">VLOOKUP(J2212:$J$3871&amp;K2212:$K$3871,CHOOSE({1,2},#REF!&amp;#REF!,#REF!),2,0)</f>
        <v>#N/A</v>
      </c>
      <c r="M2212">
        <v>-15</v>
      </c>
      <c r="N2212">
        <v>0</v>
      </c>
      <c r="O2212" t="s">
        <v>7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0</v>
      </c>
      <c r="V2212">
        <v>1</v>
      </c>
      <c r="W2212">
        <v>1</v>
      </c>
      <c r="X2212">
        <v>1</v>
      </c>
      <c r="Y2212">
        <v>1</v>
      </c>
      <c r="Z2212">
        <v>1</v>
      </c>
      <c r="AA2212" t="s">
        <v>2716</v>
      </c>
      <c r="AB2212" t="s">
        <v>473</v>
      </c>
      <c r="AC2212" t="s">
        <v>2716</v>
      </c>
      <c r="AD2212" t="e">
        <f>VLOOKUP(AB2212,#REF!,2,FALSE)</f>
        <v>#REF!</v>
      </c>
      <c r="AE2212" t="e">
        <f>RIGHT(#REF!,(FIND("Complex",#REF!,1)-10))</f>
        <v>#REF!</v>
      </c>
    </row>
    <row r="2213" spans="1:31" x14ac:dyDescent="0.25">
      <c r="A2213">
        <v>2751</v>
      </c>
      <c r="B2213" t="s">
        <v>94</v>
      </c>
      <c r="C2213">
        <v>7</v>
      </c>
      <c r="D2213">
        <v>284</v>
      </c>
      <c r="E2213">
        <v>2751</v>
      </c>
      <c r="F2213">
        <v>3087001</v>
      </c>
      <c r="G2213">
        <v>3175200</v>
      </c>
      <c r="H2213">
        <f t="shared" si="68"/>
        <v>70.000022675736957</v>
      </c>
      <c r="I2213">
        <f t="shared" si="69"/>
        <v>72</v>
      </c>
      <c r="J2213" t="s">
        <v>32</v>
      </c>
      <c r="K2213">
        <v>6</v>
      </c>
      <c r="L2213" t="e">
        <f t="array" ref="L2213">VLOOKUP(J2213:$J$3871&amp;K2213:$K$3871,CHOOSE({1,2},#REF!&amp;#REF!,#REF!),2,0)</f>
        <v>#N/A</v>
      </c>
      <c r="M2213">
        <v>-15</v>
      </c>
      <c r="N2213">
        <v>0</v>
      </c>
      <c r="O2213" t="s">
        <v>7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0</v>
      </c>
      <c r="V2213">
        <v>1</v>
      </c>
      <c r="W2213">
        <v>1</v>
      </c>
      <c r="X2213">
        <v>1</v>
      </c>
      <c r="Y2213">
        <v>1</v>
      </c>
      <c r="Z2213">
        <v>1</v>
      </c>
      <c r="AA2213" t="s">
        <v>2738</v>
      </c>
      <c r="AB2213" t="s">
        <v>474</v>
      </c>
      <c r="AC2213" t="s">
        <v>2738</v>
      </c>
      <c r="AD2213" t="e">
        <f>VLOOKUP(AB2213,#REF!,2,FALSE)</f>
        <v>#REF!</v>
      </c>
      <c r="AE2213" t="e">
        <f>RIGHT(#REF!,(FIND("Complex",#REF!,1)-10))</f>
        <v>#REF!</v>
      </c>
    </row>
    <row r="2214" spans="1:31" x14ac:dyDescent="0.25">
      <c r="A2214">
        <v>2963</v>
      </c>
      <c r="B2214" t="s">
        <v>94</v>
      </c>
      <c r="C2214">
        <v>7</v>
      </c>
      <c r="D2214">
        <v>333</v>
      </c>
      <c r="E2214">
        <v>2963</v>
      </c>
      <c r="F2214">
        <v>7673401</v>
      </c>
      <c r="G2214">
        <v>7761600</v>
      </c>
      <c r="H2214">
        <f t="shared" si="68"/>
        <v>174.00002267573697</v>
      </c>
      <c r="I2214">
        <f t="shared" si="69"/>
        <v>176</v>
      </c>
      <c r="J2214" t="s">
        <v>32</v>
      </c>
      <c r="K2214">
        <v>6</v>
      </c>
      <c r="L2214" t="e">
        <f t="array" ref="L2214">VLOOKUP(J2214:$J$3871&amp;K2214:$K$3871,CHOOSE({1,2},#REF!&amp;#REF!,#REF!),2,0)</f>
        <v>#N/A</v>
      </c>
      <c r="M2214">
        <v>-15</v>
      </c>
      <c r="N2214">
        <v>0</v>
      </c>
      <c r="O2214" t="s">
        <v>7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1</v>
      </c>
      <c r="W2214">
        <v>1</v>
      </c>
      <c r="X2214">
        <v>1</v>
      </c>
      <c r="Y2214">
        <v>1</v>
      </c>
      <c r="Z2214">
        <v>1</v>
      </c>
      <c r="AA2214" t="s">
        <v>3154</v>
      </c>
      <c r="AB2214" t="s">
        <v>475</v>
      </c>
      <c r="AC2214" t="s">
        <v>3154</v>
      </c>
      <c r="AD2214" t="e">
        <f>VLOOKUP(AB2214,#REF!,2,FALSE)</f>
        <v>#REF!</v>
      </c>
      <c r="AE2214" t="e">
        <f>RIGHT(#REF!,(FIND("Complex",#REF!,1)-9))</f>
        <v>#REF!</v>
      </c>
    </row>
    <row r="2215" spans="1:31" x14ac:dyDescent="0.25">
      <c r="A2215">
        <v>2660</v>
      </c>
      <c r="B2215" t="s">
        <v>79</v>
      </c>
      <c r="C2215">
        <v>13</v>
      </c>
      <c r="D2215">
        <v>264</v>
      </c>
      <c r="E2215">
        <v>2660</v>
      </c>
      <c r="F2215">
        <v>3351601</v>
      </c>
      <c r="G2215">
        <v>3439800</v>
      </c>
      <c r="H2215">
        <f t="shared" si="68"/>
        <v>76.000022675736957</v>
      </c>
      <c r="I2215">
        <f t="shared" si="69"/>
        <v>78</v>
      </c>
      <c r="J2215" t="s">
        <v>32</v>
      </c>
      <c r="K2215">
        <v>6</v>
      </c>
      <c r="L2215" t="e">
        <f t="array" ref="L2215">VLOOKUP(J2215:$J$3871&amp;K2215:$K$3871,CHOOSE({1,2},#REF!&amp;#REF!,#REF!),2,0)</f>
        <v>#N/A</v>
      </c>
      <c r="M2215">
        <v>-15</v>
      </c>
      <c r="N2215">
        <v>0</v>
      </c>
      <c r="O2215" t="s">
        <v>7</v>
      </c>
      <c r="P2215">
        <v>0</v>
      </c>
      <c r="Q2215">
        <v>1</v>
      </c>
      <c r="R2215">
        <v>1</v>
      </c>
      <c r="S2215">
        <v>0</v>
      </c>
      <c r="T2215">
        <v>0</v>
      </c>
      <c r="U2215">
        <v>1</v>
      </c>
      <c r="V2215">
        <v>1</v>
      </c>
      <c r="W2215">
        <v>1</v>
      </c>
      <c r="X2215">
        <v>0</v>
      </c>
      <c r="Y2215">
        <v>1</v>
      </c>
      <c r="Z2215">
        <v>0</v>
      </c>
      <c r="AA2215" t="s">
        <v>2718</v>
      </c>
      <c r="AB2215" t="s">
        <v>553</v>
      </c>
      <c r="AC2215" t="s">
        <v>2718</v>
      </c>
      <c r="AD2215" t="e">
        <f>VLOOKUP(AB2215,#REF!,2,FALSE)</f>
        <v>#REF!</v>
      </c>
      <c r="AE2215" t="e">
        <f>RIGHT(#REF!,(FIND("Complex",#REF!,1)-9))</f>
        <v>#REF!</v>
      </c>
    </row>
    <row r="2216" spans="1:31" x14ac:dyDescent="0.25">
      <c r="A2216">
        <v>2285</v>
      </c>
      <c r="B2216" t="s">
        <v>79</v>
      </c>
      <c r="C2216">
        <v>13</v>
      </c>
      <c r="D2216">
        <v>220</v>
      </c>
      <c r="E2216">
        <v>2285</v>
      </c>
      <c r="F2216">
        <v>9084601</v>
      </c>
      <c r="G2216">
        <v>9172800</v>
      </c>
      <c r="H2216">
        <f t="shared" si="68"/>
        <v>206.00002267573697</v>
      </c>
      <c r="I2216">
        <f t="shared" si="69"/>
        <v>208</v>
      </c>
      <c r="J2216" t="s">
        <v>32</v>
      </c>
      <c r="K2216">
        <v>6</v>
      </c>
      <c r="L2216" t="e">
        <f t="array" ref="L2216">VLOOKUP(J2216:$J$3871&amp;K2216:$K$3871,CHOOSE({1,2},#REF!&amp;#REF!,#REF!),2,0)</f>
        <v>#N/A</v>
      </c>
      <c r="M2216">
        <v>-15</v>
      </c>
      <c r="N2216">
        <v>0</v>
      </c>
      <c r="O2216" t="s">
        <v>7</v>
      </c>
      <c r="P2216">
        <v>0</v>
      </c>
      <c r="Q2216">
        <v>1</v>
      </c>
      <c r="R2216">
        <v>1</v>
      </c>
      <c r="S2216">
        <v>0</v>
      </c>
      <c r="T2216">
        <v>1</v>
      </c>
      <c r="U2216">
        <v>1</v>
      </c>
      <c r="V2216">
        <v>0</v>
      </c>
      <c r="W2216">
        <v>1</v>
      </c>
      <c r="X2216">
        <v>0</v>
      </c>
      <c r="Y2216">
        <v>1</v>
      </c>
      <c r="Z2216">
        <v>0</v>
      </c>
      <c r="AA2216" t="s">
        <v>3039</v>
      </c>
      <c r="AB2216" t="s">
        <v>554</v>
      </c>
      <c r="AC2216" t="s">
        <v>3039</v>
      </c>
      <c r="AD2216" t="e">
        <f>VLOOKUP(AB2216,#REF!,2,FALSE)</f>
        <v>#REF!</v>
      </c>
      <c r="AE2216" t="e">
        <f>RIGHT(#REF!,(FIND("Complex",#REF!,1)-8))</f>
        <v>#REF!</v>
      </c>
    </row>
    <row r="2217" spans="1:31" x14ac:dyDescent="0.25">
      <c r="A2217">
        <v>971</v>
      </c>
      <c r="B2217" t="s">
        <v>79</v>
      </c>
      <c r="C2217">
        <v>13</v>
      </c>
      <c r="D2217">
        <v>79</v>
      </c>
      <c r="E2217">
        <v>971</v>
      </c>
      <c r="F2217">
        <v>6262201</v>
      </c>
      <c r="G2217">
        <v>6350400</v>
      </c>
      <c r="H2217">
        <f t="shared" si="68"/>
        <v>142.00002267573697</v>
      </c>
      <c r="I2217">
        <f t="shared" si="69"/>
        <v>144</v>
      </c>
      <c r="J2217" t="s">
        <v>32</v>
      </c>
      <c r="K2217">
        <v>6</v>
      </c>
      <c r="L2217" t="e">
        <f t="array" ref="L2217">VLOOKUP(J2217:$J$3871&amp;K2217:$K$3871,CHOOSE({1,2},#REF!&amp;#REF!,#REF!),2,0)</f>
        <v>#N/A</v>
      </c>
      <c r="M2217">
        <v>-15</v>
      </c>
      <c r="N2217">
        <v>0</v>
      </c>
      <c r="O2217" t="s">
        <v>7</v>
      </c>
      <c r="P2217">
        <v>0</v>
      </c>
      <c r="Q2217">
        <v>1</v>
      </c>
      <c r="R2217">
        <v>1</v>
      </c>
      <c r="S2217">
        <v>0</v>
      </c>
      <c r="T2217">
        <v>0</v>
      </c>
      <c r="U2217">
        <v>1</v>
      </c>
      <c r="V2217">
        <v>1</v>
      </c>
      <c r="W2217">
        <v>1</v>
      </c>
      <c r="X2217">
        <v>0</v>
      </c>
      <c r="Y2217">
        <v>1</v>
      </c>
      <c r="Z2217">
        <v>0</v>
      </c>
      <c r="AA2217" t="s">
        <v>3259</v>
      </c>
      <c r="AB2217" t="s">
        <v>555</v>
      </c>
      <c r="AC2217" t="s">
        <v>3259</v>
      </c>
      <c r="AD2217" t="e">
        <f>VLOOKUP(AB2217,#REF!,2,FALSE)</f>
        <v>#REF!</v>
      </c>
      <c r="AE2217" t="e">
        <f>RIGHT(#REF!,(FIND("Complex",#REF!,1)-7))</f>
        <v>#REF!</v>
      </c>
    </row>
    <row r="2218" spans="1:31" x14ac:dyDescent="0.25">
      <c r="A2218">
        <v>1824</v>
      </c>
      <c r="B2218" t="s">
        <v>79</v>
      </c>
      <c r="C2218">
        <v>13</v>
      </c>
      <c r="D2218">
        <v>168</v>
      </c>
      <c r="E2218">
        <v>1824</v>
      </c>
      <c r="F2218">
        <v>6174001</v>
      </c>
      <c r="G2218">
        <v>6262200</v>
      </c>
      <c r="H2218">
        <f t="shared" si="68"/>
        <v>140.00002267573697</v>
      </c>
      <c r="I2218">
        <f t="shared" si="69"/>
        <v>142</v>
      </c>
      <c r="J2218" t="s">
        <v>32</v>
      </c>
      <c r="K2218">
        <v>6</v>
      </c>
      <c r="L2218" t="e">
        <f t="array" ref="L2218">VLOOKUP(J2218:$J$3871&amp;K2218:$K$3871,CHOOSE({1,2},#REF!&amp;#REF!,#REF!),2,0)</f>
        <v>#N/A</v>
      </c>
      <c r="M2218">
        <v>-15</v>
      </c>
      <c r="N2218">
        <v>0</v>
      </c>
      <c r="O2218" t="s">
        <v>7</v>
      </c>
      <c r="P2218">
        <v>0</v>
      </c>
      <c r="Q2218">
        <v>1</v>
      </c>
      <c r="R2218">
        <v>1</v>
      </c>
      <c r="S2218">
        <v>0</v>
      </c>
      <c r="T2218">
        <v>0</v>
      </c>
      <c r="U2218">
        <v>1</v>
      </c>
      <c r="V2218">
        <v>1</v>
      </c>
      <c r="W2218">
        <v>1</v>
      </c>
      <c r="X2218">
        <v>0</v>
      </c>
      <c r="Y2218">
        <v>1</v>
      </c>
      <c r="Z2218">
        <v>0</v>
      </c>
      <c r="AA2218" t="s">
        <v>3268</v>
      </c>
      <c r="AB2218" t="s">
        <v>556</v>
      </c>
      <c r="AC2218" t="s">
        <v>3268</v>
      </c>
      <c r="AD2218" t="e">
        <f>VLOOKUP(AB2218,#REF!,2,FALSE)</f>
        <v>#REF!</v>
      </c>
      <c r="AE2218" t="e">
        <f>RIGHT(#REF!,(FIND("Complex",#REF!,1)-8))</f>
        <v>#REF!</v>
      </c>
    </row>
    <row r="2219" spans="1:31" x14ac:dyDescent="0.25">
      <c r="A2219">
        <v>1635</v>
      </c>
      <c r="B2219" t="s">
        <v>79</v>
      </c>
      <c r="C2219">
        <v>13</v>
      </c>
      <c r="D2219">
        <v>148</v>
      </c>
      <c r="E2219">
        <v>1635</v>
      </c>
      <c r="F2219">
        <v>5203801</v>
      </c>
      <c r="G2219">
        <v>5292000</v>
      </c>
      <c r="H2219">
        <f t="shared" si="68"/>
        <v>118.00002267573696</v>
      </c>
      <c r="I2219">
        <f t="shared" si="69"/>
        <v>120</v>
      </c>
      <c r="J2219" t="s">
        <v>32</v>
      </c>
      <c r="K2219">
        <v>6</v>
      </c>
      <c r="L2219" t="e">
        <f t="array" ref="L2219">VLOOKUP(J2219:$J$3871&amp;K2219:$K$3871,CHOOSE({1,2},#REF!&amp;#REF!,#REF!),2,0)</f>
        <v>#N/A</v>
      </c>
      <c r="M2219">
        <v>-15</v>
      </c>
      <c r="N2219">
        <v>0</v>
      </c>
      <c r="O2219" t="s">
        <v>7</v>
      </c>
      <c r="P2219">
        <v>1</v>
      </c>
      <c r="Q2219">
        <v>1</v>
      </c>
      <c r="R2219">
        <v>1</v>
      </c>
      <c r="S2219">
        <v>0</v>
      </c>
      <c r="T2219">
        <v>0</v>
      </c>
      <c r="U2219">
        <v>0</v>
      </c>
      <c r="V2219">
        <v>1</v>
      </c>
      <c r="W2219">
        <v>1</v>
      </c>
      <c r="X2219">
        <v>0</v>
      </c>
      <c r="Y2219">
        <v>1</v>
      </c>
      <c r="Z2219">
        <v>0</v>
      </c>
      <c r="AA2219" t="s">
        <v>3401</v>
      </c>
      <c r="AB2219" t="s">
        <v>557</v>
      </c>
      <c r="AC2219" t="s">
        <v>3401</v>
      </c>
      <c r="AD2219" t="e">
        <f>VLOOKUP(AB2219,#REF!,2,FALSE)</f>
        <v>#REF!</v>
      </c>
      <c r="AE2219" t="e">
        <f>RIGHT(#REF!,(FIND("Complex",#REF!,1)-8))</f>
        <v>#REF!</v>
      </c>
    </row>
    <row r="2220" spans="1:31" x14ac:dyDescent="0.25">
      <c r="A2220">
        <v>3376</v>
      </c>
      <c r="B2220" t="s">
        <v>79</v>
      </c>
      <c r="C2220">
        <v>13</v>
      </c>
      <c r="D2220">
        <v>420</v>
      </c>
      <c r="E2220">
        <v>3376</v>
      </c>
      <c r="F2220">
        <v>4851001</v>
      </c>
      <c r="G2220">
        <v>4939200</v>
      </c>
      <c r="H2220">
        <f t="shared" si="68"/>
        <v>110.00002267573696</v>
      </c>
      <c r="I2220">
        <f t="shared" si="69"/>
        <v>112</v>
      </c>
      <c r="J2220" t="s">
        <v>32</v>
      </c>
      <c r="K2220">
        <v>6</v>
      </c>
      <c r="L2220" t="e">
        <f t="array" ref="L2220">VLOOKUP(J2220:$J$3871&amp;K2220:$K$3871,CHOOSE({1,2},#REF!&amp;#REF!,#REF!),2,0)</f>
        <v>#N/A</v>
      </c>
      <c r="M2220">
        <v>-15</v>
      </c>
      <c r="N2220">
        <v>0</v>
      </c>
      <c r="O2220" t="s">
        <v>7</v>
      </c>
      <c r="P2220">
        <v>1</v>
      </c>
      <c r="Q2220">
        <v>1</v>
      </c>
      <c r="R2220">
        <v>1</v>
      </c>
      <c r="S2220">
        <v>0</v>
      </c>
      <c r="T2220">
        <v>0</v>
      </c>
      <c r="U2220">
        <v>0</v>
      </c>
      <c r="V2220">
        <v>1</v>
      </c>
      <c r="W2220">
        <v>1</v>
      </c>
      <c r="X2220">
        <v>0</v>
      </c>
      <c r="Y2220">
        <v>1</v>
      </c>
      <c r="Z2220">
        <v>0</v>
      </c>
      <c r="AA2220" t="s">
        <v>3453</v>
      </c>
      <c r="AB2220" t="s">
        <v>558</v>
      </c>
      <c r="AC2220" t="s">
        <v>3453</v>
      </c>
      <c r="AD2220" t="e">
        <f>VLOOKUP(AB2220,#REF!,2,FALSE)</f>
        <v>#REF!</v>
      </c>
      <c r="AE2220" t="e">
        <f>RIGHT(#REF!,(FIND("Complex",#REF!,1)-8))</f>
        <v>#REF!</v>
      </c>
    </row>
    <row r="2221" spans="1:31" x14ac:dyDescent="0.25">
      <c r="A2221">
        <v>2851</v>
      </c>
      <c r="B2221" t="s">
        <v>43</v>
      </c>
      <c r="C2221">
        <v>19</v>
      </c>
      <c r="D2221">
        <v>307</v>
      </c>
      <c r="E2221">
        <v>2851</v>
      </c>
      <c r="F2221">
        <v>3704401</v>
      </c>
      <c r="G2221">
        <v>3792600</v>
      </c>
      <c r="H2221">
        <f t="shared" si="68"/>
        <v>84.000022675736957</v>
      </c>
      <c r="I2221">
        <f t="shared" si="69"/>
        <v>86</v>
      </c>
      <c r="J2221" t="s">
        <v>32</v>
      </c>
      <c r="K2221">
        <v>6</v>
      </c>
      <c r="L2221" t="e">
        <f t="array" ref="L2221">VLOOKUP(J2221:$J$3871&amp;K2221:$K$3871,CHOOSE({1,2},#REF!&amp;#REF!,#REF!),2,0)</f>
        <v>#N/A</v>
      </c>
      <c r="M2221">
        <v>-15</v>
      </c>
      <c r="N2221">
        <v>0</v>
      </c>
      <c r="O2221" t="s">
        <v>7</v>
      </c>
      <c r="P2221">
        <v>1</v>
      </c>
      <c r="Q2221">
        <v>1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1</v>
      </c>
      <c r="Z2221">
        <v>0</v>
      </c>
      <c r="AA2221" t="s">
        <v>2682</v>
      </c>
      <c r="AB2221" t="s">
        <v>144</v>
      </c>
      <c r="AC2221" t="s">
        <v>2682</v>
      </c>
      <c r="AD2221" t="e">
        <f>VLOOKUP(AB2221,#REF!,2,FALSE)</f>
        <v>#REF!</v>
      </c>
      <c r="AE2221" t="e">
        <f>RIGHT(#REF!,(FIND("Complex",#REF!,1)-9))</f>
        <v>#REF!</v>
      </c>
    </row>
    <row r="2222" spans="1:31" x14ac:dyDescent="0.25">
      <c r="A2222">
        <v>1940</v>
      </c>
      <c r="B2222" t="s">
        <v>43</v>
      </c>
      <c r="C2222">
        <v>19</v>
      </c>
      <c r="D2222">
        <v>184</v>
      </c>
      <c r="E2222">
        <v>1940</v>
      </c>
      <c r="F2222">
        <v>3528001</v>
      </c>
      <c r="G2222">
        <v>3616200</v>
      </c>
      <c r="H2222">
        <f t="shared" si="68"/>
        <v>80.000022675736957</v>
      </c>
      <c r="I2222">
        <f t="shared" si="69"/>
        <v>82</v>
      </c>
      <c r="J2222" t="s">
        <v>32</v>
      </c>
      <c r="K2222">
        <v>6</v>
      </c>
      <c r="L2222" t="e">
        <f t="array" ref="L2222">VLOOKUP(J2222:$J$3871&amp;K2222:$K$3871,CHOOSE({1,2},#REF!&amp;#REF!,#REF!),2,0)</f>
        <v>#N/A</v>
      </c>
      <c r="M2222">
        <v>-15</v>
      </c>
      <c r="N2222">
        <v>0</v>
      </c>
      <c r="O2222" t="s">
        <v>7</v>
      </c>
      <c r="P2222">
        <v>1</v>
      </c>
      <c r="Q2222">
        <v>1</v>
      </c>
      <c r="R2222">
        <v>1</v>
      </c>
      <c r="S2222">
        <v>0</v>
      </c>
      <c r="T2222">
        <v>1</v>
      </c>
      <c r="U2222">
        <v>0</v>
      </c>
      <c r="V2222">
        <v>0</v>
      </c>
      <c r="W2222">
        <v>1</v>
      </c>
      <c r="X2222">
        <v>1</v>
      </c>
      <c r="Y2222">
        <v>0</v>
      </c>
      <c r="Z2222">
        <v>0</v>
      </c>
      <c r="AA2222" t="s">
        <v>2701</v>
      </c>
      <c r="AB2222" t="s">
        <v>666</v>
      </c>
      <c r="AC2222" t="s">
        <v>2701</v>
      </c>
      <c r="AD2222" t="e">
        <f>VLOOKUP(AB2222,#REF!,2,FALSE)</f>
        <v>#REF!</v>
      </c>
      <c r="AE2222" t="e">
        <f>RIGHT(#REF!,(FIND("Complex",#REF!,1)-9))</f>
        <v>#REF!</v>
      </c>
    </row>
    <row r="2223" spans="1:31" x14ac:dyDescent="0.25">
      <c r="A2223">
        <v>1715</v>
      </c>
      <c r="B2223" t="s">
        <v>43</v>
      </c>
      <c r="C2223">
        <v>19</v>
      </c>
      <c r="D2223">
        <v>155</v>
      </c>
      <c r="E2223">
        <v>1715</v>
      </c>
      <c r="F2223">
        <v>2646001</v>
      </c>
      <c r="G2223">
        <v>2734200</v>
      </c>
      <c r="H2223">
        <f t="shared" si="68"/>
        <v>60.000022675736965</v>
      </c>
      <c r="I2223">
        <f t="shared" si="69"/>
        <v>62</v>
      </c>
      <c r="J2223" t="s">
        <v>32</v>
      </c>
      <c r="K2223">
        <v>6</v>
      </c>
      <c r="L2223" t="e">
        <f t="array" ref="L2223">VLOOKUP(J2223:$J$3871&amp;K2223:$K$3871,CHOOSE({1,2},#REF!&amp;#REF!,#REF!),2,0)</f>
        <v>#N/A</v>
      </c>
      <c r="M2223">
        <v>-15</v>
      </c>
      <c r="N2223">
        <v>0</v>
      </c>
      <c r="O2223" t="s">
        <v>7</v>
      </c>
      <c r="P2223">
        <v>1</v>
      </c>
      <c r="Q2223">
        <v>1</v>
      </c>
      <c r="R2223">
        <v>1</v>
      </c>
      <c r="S2223">
        <v>0</v>
      </c>
      <c r="T2223">
        <v>1</v>
      </c>
      <c r="U2223">
        <v>0</v>
      </c>
      <c r="V2223">
        <v>0</v>
      </c>
      <c r="W2223">
        <v>1</v>
      </c>
      <c r="X2223">
        <v>1</v>
      </c>
      <c r="Y2223">
        <v>0</v>
      </c>
      <c r="Z2223">
        <v>0</v>
      </c>
      <c r="AA2223" t="s">
        <v>2783</v>
      </c>
      <c r="AB2223" t="s">
        <v>667</v>
      </c>
      <c r="AC2223" t="s">
        <v>2783</v>
      </c>
      <c r="AD2223" t="e">
        <f>VLOOKUP(AB2223,#REF!,2,FALSE)</f>
        <v>#REF!</v>
      </c>
      <c r="AE2223" t="e">
        <f>RIGHT(#REF!,(FIND("Complex",#REF!,1)-9))</f>
        <v>#REF!</v>
      </c>
    </row>
    <row r="2224" spans="1:31" x14ac:dyDescent="0.25">
      <c r="A2224">
        <v>1420</v>
      </c>
      <c r="B2224" t="s">
        <v>43</v>
      </c>
      <c r="C2224">
        <v>19</v>
      </c>
      <c r="D2224">
        <v>132</v>
      </c>
      <c r="E2224">
        <v>1420</v>
      </c>
      <c r="F2224">
        <v>6350401</v>
      </c>
      <c r="G2224">
        <v>6438600</v>
      </c>
      <c r="H2224">
        <f t="shared" si="68"/>
        <v>144.00002267573697</v>
      </c>
      <c r="I2224">
        <f t="shared" si="69"/>
        <v>146</v>
      </c>
      <c r="J2224" t="s">
        <v>32</v>
      </c>
      <c r="K2224">
        <v>6</v>
      </c>
      <c r="L2224" t="e">
        <f t="array" ref="L2224">VLOOKUP(J2224:$J$3871&amp;K2224:$K$3871,CHOOSE({1,2},#REF!&amp;#REF!,#REF!),2,0)</f>
        <v>#N/A</v>
      </c>
      <c r="M2224">
        <v>-15</v>
      </c>
      <c r="N2224">
        <v>0</v>
      </c>
      <c r="O2224" t="s">
        <v>7</v>
      </c>
      <c r="P2224">
        <v>1</v>
      </c>
      <c r="Q2224">
        <v>1</v>
      </c>
      <c r="R2224">
        <v>1</v>
      </c>
      <c r="S2224">
        <v>0</v>
      </c>
      <c r="T2224">
        <v>1</v>
      </c>
      <c r="U2224">
        <v>0</v>
      </c>
      <c r="V2224">
        <v>0</v>
      </c>
      <c r="W2224">
        <v>1</v>
      </c>
      <c r="X2224">
        <v>1</v>
      </c>
      <c r="Y2224">
        <v>0</v>
      </c>
      <c r="Z2224">
        <v>0</v>
      </c>
      <c r="AA2224" t="s">
        <v>3249</v>
      </c>
      <c r="AB2224" t="s">
        <v>668</v>
      </c>
      <c r="AC2224" t="s">
        <v>3249</v>
      </c>
      <c r="AD2224" t="e">
        <f>VLOOKUP(AB2224,#REF!,2,FALSE)</f>
        <v>#REF!</v>
      </c>
      <c r="AE2224" t="e">
        <f>RIGHT(#REF!,(FIND("Complex",#REF!,1)-8))</f>
        <v>#REF!</v>
      </c>
    </row>
    <row r="2225" spans="1:31" x14ac:dyDescent="0.25">
      <c r="A2225">
        <v>874</v>
      </c>
      <c r="B2225" t="s">
        <v>43</v>
      </c>
      <c r="C2225">
        <v>19</v>
      </c>
      <c r="D2225">
        <v>70</v>
      </c>
      <c r="E2225">
        <v>874</v>
      </c>
      <c r="F2225">
        <v>4674601</v>
      </c>
      <c r="G2225">
        <v>4762800</v>
      </c>
      <c r="H2225">
        <f t="shared" si="68"/>
        <v>106.00002267573696</v>
      </c>
      <c r="I2225">
        <f t="shared" si="69"/>
        <v>108</v>
      </c>
      <c r="J2225" t="s">
        <v>32</v>
      </c>
      <c r="K2225">
        <v>6</v>
      </c>
      <c r="L2225" t="e">
        <f t="array" ref="L2225">VLOOKUP(J2225:$J$3871&amp;K2225:$K$3871,CHOOSE({1,2},#REF!&amp;#REF!,#REF!),2,0)</f>
        <v>#N/A</v>
      </c>
      <c r="M2225">
        <v>-15</v>
      </c>
      <c r="N2225">
        <v>0</v>
      </c>
      <c r="O2225" t="s">
        <v>7</v>
      </c>
      <c r="P2225">
        <v>1</v>
      </c>
      <c r="Q2225">
        <v>1</v>
      </c>
      <c r="R2225">
        <v>1</v>
      </c>
      <c r="S2225">
        <v>0</v>
      </c>
      <c r="T2225">
        <v>1</v>
      </c>
      <c r="U2225">
        <v>0</v>
      </c>
      <c r="V2225">
        <v>0</v>
      </c>
      <c r="W2225">
        <v>1</v>
      </c>
      <c r="X2225">
        <v>1</v>
      </c>
      <c r="Y2225">
        <v>0</v>
      </c>
      <c r="Z2225">
        <v>0</v>
      </c>
      <c r="AA2225" t="s">
        <v>3467</v>
      </c>
      <c r="AB2225" t="s">
        <v>669</v>
      </c>
      <c r="AC2225" t="s">
        <v>3467</v>
      </c>
      <c r="AD2225" t="e">
        <f>VLOOKUP(AB2225,#REF!,2,FALSE)</f>
        <v>#REF!</v>
      </c>
      <c r="AE2225" t="e">
        <f>RIGHT(#REF!,(FIND("Complex",#REF!,1)-7))</f>
        <v>#REF!</v>
      </c>
    </row>
    <row r="2226" spans="1:31" x14ac:dyDescent="0.25">
      <c r="A2226">
        <v>624</v>
      </c>
      <c r="B2226" t="s">
        <v>43</v>
      </c>
      <c r="C2226">
        <v>19</v>
      </c>
      <c r="D2226">
        <v>51</v>
      </c>
      <c r="E2226">
        <v>624</v>
      </c>
      <c r="F2226">
        <v>4586401</v>
      </c>
      <c r="G2226">
        <v>4674600</v>
      </c>
      <c r="H2226">
        <f t="shared" si="68"/>
        <v>104.00002267573696</v>
      </c>
      <c r="I2226">
        <f t="shared" si="69"/>
        <v>106</v>
      </c>
      <c r="J2226" t="s">
        <v>32</v>
      </c>
      <c r="K2226">
        <v>6</v>
      </c>
      <c r="L2226" t="e">
        <f t="array" ref="L2226">VLOOKUP(J2226:$J$3871&amp;K2226:$K$3871,CHOOSE({1,2},#REF!&amp;#REF!,#REF!),2,0)</f>
        <v>#N/A</v>
      </c>
      <c r="M2226">
        <v>-15</v>
      </c>
      <c r="N2226">
        <v>0</v>
      </c>
      <c r="O2226" t="s">
        <v>7</v>
      </c>
      <c r="P2226">
        <v>1</v>
      </c>
      <c r="Q2226">
        <v>1</v>
      </c>
      <c r="R2226">
        <v>1</v>
      </c>
      <c r="S2226">
        <v>0</v>
      </c>
      <c r="T2226">
        <v>1</v>
      </c>
      <c r="U2226">
        <v>0</v>
      </c>
      <c r="V2226">
        <v>0</v>
      </c>
      <c r="W2226">
        <v>1</v>
      </c>
      <c r="X2226">
        <v>1</v>
      </c>
      <c r="Y2226">
        <v>0</v>
      </c>
      <c r="Z2226">
        <v>0</v>
      </c>
      <c r="AA2226" t="s">
        <v>3476</v>
      </c>
      <c r="AB2226" t="s">
        <v>670</v>
      </c>
      <c r="AC2226" t="s">
        <v>3476</v>
      </c>
      <c r="AD2226" t="e">
        <f>VLOOKUP(AB2226,#REF!,2,FALSE)</f>
        <v>#REF!</v>
      </c>
      <c r="AE2226" t="e">
        <f>RIGHT(#REF!,(FIND("Complex",#REF!,1)-7))</f>
        <v>#REF!</v>
      </c>
    </row>
    <row r="2227" spans="1:31" x14ac:dyDescent="0.25">
      <c r="A2227">
        <v>505</v>
      </c>
      <c r="B2227" t="s">
        <v>33</v>
      </c>
      <c r="C2227">
        <v>20</v>
      </c>
      <c r="D2227">
        <v>42</v>
      </c>
      <c r="E2227">
        <v>505</v>
      </c>
      <c r="F2227">
        <v>4321801</v>
      </c>
      <c r="G2227">
        <v>4410000</v>
      </c>
      <c r="H2227">
        <f t="shared" si="68"/>
        <v>98.000022675736957</v>
      </c>
      <c r="I2227">
        <f t="shared" si="69"/>
        <v>100</v>
      </c>
      <c r="J2227" t="s">
        <v>32</v>
      </c>
      <c r="K2227">
        <v>6</v>
      </c>
      <c r="L2227" t="e">
        <f t="array" ref="L2227">VLOOKUP(J2227:$J$3871&amp;K2227:$K$3871,CHOOSE({1,2},#REF!&amp;#REF!,#REF!),2,0)</f>
        <v>#N/A</v>
      </c>
      <c r="M2227">
        <v>-15</v>
      </c>
      <c r="N2227">
        <v>0</v>
      </c>
      <c r="O2227" t="s">
        <v>7</v>
      </c>
      <c r="P2227">
        <v>1</v>
      </c>
      <c r="Q2227">
        <v>0</v>
      </c>
      <c r="R2227">
        <v>1</v>
      </c>
      <c r="S2227">
        <v>0</v>
      </c>
      <c r="T2227">
        <v>1</v>
      </c>
      <c r="U2227">
        <v>0</v>
      </c>
      <c r="V2227">
        <v>1</v>
      </c>
      <c r="W2227">
        <v>0</v>
      </c>
      <c r="X2227">
        <v>1</v>
      </c>
      <c r="Y2227">
        <v>1</v>
      </c>
      <c r="Z2227">
        <v>0</v>
      </c>
      <c r="AA2227" t="s">
        <v>2621</v>
      </c>
      <c r="AB2227" t="s">
        <v>688</v>
      </c>
      <c r="AC2227" t="s">
        <v>2621</v>
      </c>
      <c r="AD2227" t="e">
        <f>VLOOKUP(AB2227,#REF!,2,FALSE)</f>
        <v>#REF!</v>
      </c>
      <c r="AE2227" t="e">
        <f>RIGHT(#REF!,(FIND("Complex",#REF!,1)-8))</f>
        <v>#REF!</v>
      </c>
    </row>
    <row r="2228" spans="1:31" x14ac:dyDescent="0.25">
      <c r="A2228">
        <v>1267</v>
      </c>
      <c r="B2228" t="s">
        <v>33</v>
      </c>
      <c r="C2228">
        <v>20</v>
      </c>
      <c r="D2228">
        <v>114</v>
      </c>
      <c r="E2228">
        <v>1267</v>
      </c>
      <c r="F2228">
        <v>3528001</v>
      </c>
      <c r="G2228">
        <v>3616200</v>
      </c>
      <c r="H2228">
        <f t="shared" si="68"/>
        <v>80.000022675736957</v>
      </c>
      <c r="I2228">
        <f t="shared" si="69"/>
        <v>82</v>
      </c>
      <c r="J2228" t="s">
        <v>32</v>
      </c>
      <c r="K2228">
        <v>6</v>
      </c>
      <c r="L2228" t="e">
        <f t="array" ref="L2228">VLOOKUP(J2228:$J$3871&amp;K2228:$K$3871,CHOOSE({1,2},#REF!&amp;#REF!,#REF!),2,0)</f>
        <v>#N/A</v>
      </c>
      <c r="M2228">
        <v>-15</v>
      </c>
      <c r="N2228">
        <v>0</v>
      </c>
      <c r="O2228" t="s">
        <v>7</v>
      </c>
      <c r="P2228">
        <v>1</v>
      </c>
      <c r="Q2228">
        <v>0</v>
      </c>
      <c r="R2228">
        <v>1</v>
      </c>
      <c r="S2228">
        <v>0</v>
      </c>
      <c r="T2228">
        <v>1</v>
      </c>
      <c r="U2228">
        <v>0</v>
      </c>
      <c r="V2228">
        <v>1</v>
      </c>
      <c r="W2228">
        <v>0</v>
      </c>
      <c r="X2228">
        <v>1</v>
      </c>
      <c r="Y2228">
        <v>1</v>
      </c>
      <c r="Z2228">
        <v>0</v>
      </c>
      <c r="AA2228" t="s">
        <v>2700</v>
      </c>
      <c r="AB2228" t="s">
        <v>689</v>
      </c>
      <c r="AC2228" t="s">
        <v>2700</v>
      </c>
      <c r="AD2228" t="e">
        <f>VLOOKUP(AB2228,#REF!,2,FALSE)</f>
        <v>#REF!</v>
      </c>
      <c r="AE2228" t="e">
        <f>RIGHT(#REF!,(FIND("Complex",#REF!,1)-9))</f>
        <v>#REF!</v>
      </c>
    </row>
    <row r="2229" spans="1:31" x14ac:dyDescent="0.25">
      <c r="A2229">
        <v>1238</v>
      </c>
      <c r="B2229" t="s">
        <v>33</v>
      </c>
      <c r="C2229">
        <v>20</v>
      </c>
      <c r="D2229">
        <v>110</v>
      </c>
      <c r="E2229">
        <v>1238</v>
      </c>
      <c r="F2229">
        <v>2910601</v>
      </c>
      <c r="G2229">
        <v>2998800</v>
      </c>
      <c r="H2229">
        <f t="shared" si="68"/>
        <v>66.000022675736957</v>
      </c>
      <c r="I2229">
        <f t="shared" si="69"/>
        <v>68</v>
      </c>
      <c r="J2229" t="s">
        <v>32</v>
      </c>
      <c r="K2229">
        <v>6</v>
      </c>
      <c r="L2229" t="e">
        <f t="array" ref="L2229">VLOOKUP(J2229:$J$3871&amp;K2229:$K$3871,CHOOSE({1,2},#REF!&amp;#REF!,#REF!),2,0)</f>
        <v>#N/A</v>
      </c>
      <c r="M2229">
        <v>-15</v>
      </c>
      <c r="N2229">
        <v>0</v>
      </c>
      <c r="O2229" t="s">
        <v>7</v>
      </c>
      <c r="P2229">
        <v>1</v>
      </c>
      <c r="Q2229">
        <v>0</v>
      </c>
      <c r="R2229">
        <v>1</v>
      </c>
      <c r="S2229">
        <v>0</v>
      </c>
      <c r="T2229">
        <v>1</v>
      </c>
      <c r="U2229">
        <v>0</v>
      </c>
      <c r="V2229">
        <v>1</v>
      </c>
      <c r="W2229">
        <v>0</v>
      </c>
      <c r="X2229">
        <v>1</v>
      </c>
      <c r="Y2229">
        <v>1</v>
      </c>
      <c r="Z2229">
        <v>0</v>
      </c>
      <c r="AA2229" t="s">
        <v>2757</v>
      </c>
      <c r="AB2229" t="s">
        <v>149</v>
      </c>
      <c r="AC2229" t="s">
        <v>2757</v>
      </c>
      <c r="AD2229" t="e">
        <f>VLOOKUP(AB2229,#REF!,2,FALSE)</f>
        <v>#REF!</v>
      </c>
      <c r="AE2229" t="e">
        <f>RIGHT(#REF!,(FIND("Complex",#REF!,1)-9))</f>
        <v>#REF!</v>
      </c>
    </row>
    <row r="2230" spans="1:31" x14ac:dyDescent="0.25">
      <c r="A2230">
        <v>2862</v>
      </c>
      <c r="B2230" t="s">
        <v>33</v>
      </c>
      <c r="C2230">
        <v>20</v>
      </c>
      <c r="D2230">
        <v>309</v>
      </c>
      <c r="E2230">
        <v>2862</v>
      </c>
      <c r="F2230">
        <v>5115601</v>
      </c>
      <c r="G2230">
        <v>5203800</v>
      </c>
      <c r="H2230">
        <f t="shared" si="68"/>
        <v>116.00002267573696</v>
      </c>
      <c r="I2230">
        <f t="shared" si="69"/>
        <v>118</v>
      </c>
      <c r="J2230" t="s">
        <v>32</v>
      </c>
      <c r="K2230">
        <v>6</v>
      </c>
      <c r="L2230" t="e">
        <f t="array" ref="L2230">VLOOKUP(J2230:$J$3871&amp;K2230:$K$3871,CHOOSE({1,2},#REF!&amp;#REF!,#REF!),2,0)</f>
        <v>#N/A</v>
      </c>
      <c r="M2230">
        <v>-15</v>
      </c>
      <c r="N2230">
        <v>0</v>
      </c>
      <c r="O2230" t="s">
        <v>7</v>
      </c>
      <c r="P2230">
        <v>1</v>
      </c>
      <c r="Q2230">
        <v>0</v>
      </c>
      <c r="R2230">
        <v>1</v>
      </c>
      <c r="S2230">
        <v>0</v>
      </c>
      <c r="T2230">
        <v>1</v>
      </c>
      <c r="U2230">
        <v>0</v>
      </c>
      <c r="V2230">
        <v>1</v>
      </c>
      <c r="W2230">
        <v>0</v>
      </c>
      <c r="X2230">
        <v>1</v>
      </c>
      <c r="Y2230">
        <v>1</v>
      </c>
      <c r="Z2230">
        <v>0</v>
      </c>
      <c r="AA2230" t="s">
        <v>3414</v>
      </c>
      <c r="AB2230" t="s">
        <v>690</v>
      </c>
      <c r="AC2230" t="s">
        <v>3414</v>
      </c>
      <c r="AD2230" t="e">
        <f>VLOOKUP(AB2230,#REF!,2,FALSE)</f>
        <v>#REF!</v>
      </c>
      <c r="AE2230" t="e">
        <f>RIGHT(#REF!,(FIND("Complex",#REF!,1)-8))</f>
        <v>#REF!</v>
      </c>
    </row>
    <row r="2231" spans="1:31" x14ac:dyDescent="0.25">
      <c r="A2231">
        <v>2260</v>
      </c>
      <c r="B2231" t="s">
        <v>33</v>
      </c>
      <c r="C2231">
        <v>20</v>
      </c>
      <c r="D2231">
        <v>217</v>
      </c>
      <c r="E2231">
        <v>2260</v>
      </c>
      <c r="F2231">
        <v>4939201</v>
      </c>
      <c r="G2231">
        <v>5027400</v>
      </c>
      <c r="H2231">
        <f t="shared" si="68"/>
        <v>112.00002267573696</v>
      </c>
      <c r="I2231">
        <f t="shared" si="69"/>
        <v>114</v>
      </c>
      <c r="J2231" t="s">
        <v>32</v>
      </c>
      <c r="K2231">
        <v>6</v>
      </c>
      <c r="L2231" t="e">
        <f t="array" ref="L2231">VLOOKUP(J2231:$J$3871&amp;K2231:$K$3871,CHOOSE({1,2},#REF!&amp;#REF!,#REF!),2,0)</f>
        <v>#N/A</v>
      </c>
      <c r="M2231">
        <v>-15</v>
      </c>
      <c r="N2231">
        <v>0</v>
      </c>
      <c r="O2231" t="s">
        <v>7</v>
      </c>
      <c r="P2231">
        <v>1</v>
      </c>
      <c r="Q2231">
        <v>0</v>
      </c>
      <c r="R2231">
        <v>1</v>
      </c>
      <c r="S2231">
        <v>0</v>
      </c>
      <c r="T2231">
        <v>1</v>
      </c>
      <c r="U2231">
        <v>0</v>
      </c>
      <c r="V2231">
        <v>1</v>
      </c>
      <c r="W2231">
        <v>0</v>
      </c>
      <c r="X2231">
        <v>1</v>
      </c>
      <c r="Y2231">
        <v>1</v>
      </c>
      <c r="Z2231">
        <v>0</v>
      </c>
      <c r="AA2231" t="s">
        <v>3438</v>
      </c>
      <c r="AB2231" t="s">
        <v>691</v>
      </c>
      <c r="AC2231" t="s">
        <v>3438</v>
      </c>
      <c r="AD2231" t="e">
        <f>VLOOKUP(AB2231,#REF!,2,FALSE)</f>
        <v>#REF!</v>
      </c>
      <c r="AE2231" t="e">
        <f>RIGHT(#REF!,(FIND("Complex",#REF!,1)-8))</f>
        <v>#REF!</v>
      </c>
    </row>
    <row r="2232" spans="1:31" x14ac:dyDescent="0.25">
      <c r="A2232">
        <v>1906</v>
      </c>
      <c r="B2232" t="s">
        <v>33</v>
      </c>
      <c r="C2232">
        <v>20</v>
      </c>
      <c r="D2232">
        <v>177</v>
      </c>
      <c r="E2232">
        <v>1906</v>
      </c>
      <c r="F2232">
        <v>4762801</v>
      </c>
      <c r="G2232">
        <v>4851000</v>
      </c>
      <c r="H2232">
        <f t="shared" si="68"/>
        <v>108.00002267573696</v>
      </c>
      <c r="I2232">
        <f t="shared" si="69"/>
        <v>110</v>
      </c>
      <c r="J2232" t="s">
        <v>32</v>
      </c>
      <c r="K2232">
        <v>6</v>
      </c>
      <c r="L2232" t="e">
        <f t="array" ref="L2232">VLOOKUP(J2232:$J$3871&amp;K2232:$K$3871,CHOOSE({1,2},#REF!&amp;#REF!,#REF!),2,0)</f>
        <v>#N/A</v>
      </c>
      <c r="M2232">
        <v>-15</v>
      </c>
      <c r="N2232">
        <v>0</v>
      </c>
      <c r="O2232" t="s">
        <v>7</v>
      </c>
      <c r="P2232">
        <v>1</v>
      </c>
      <c r="Q2232">
        <v>0</v>
      </c>
      <c r="R2232">
        <v>1</v>
      </c>
      <c r="S2232">
        <v>0</v>
      </c>
      <c r="T2232">
        <v>1</v>
      </c>
      <c r="U2232">
        <v>0</v>
      </c>
      <c r="V2232">
        <v>1</v>
      </c>
      <c r="W2232">
        <v>0</v>
      </c>
      <c r="X2232">
        <v>1</v>
      </c>
      <c r="Y2232">
        <v>1</v>
      </c>
      <c r="Z2232">
        <v>0</v>
      </c>
      <c r="AA2232" t="s">
        <v>3459</v>
      </c>
      <c r="AB2232" t="s">
        <v>692</v>
      </c>
      <c r="AC2232" t="s">
        <v>3459</v>
      </c>
      <c r="AD2232" t="e">
        <f>VLOOKUP(AB2232,#REF!,2,FALSE)</f>
        <v>#REF!</v>
      </c>
      <c r="AE2232" t="e">
        <f>RIGHT(#REF!,(FIND("Complex",#REF!,1)-8))</f>
        <v>#REF!</v>
      </c>
    </row>
    <row r="2233" spans="1:31" x14ac:dyDescent="0.25">
      <c r="A2233">
        <v>2636</v>
      </c>
      <c r="B2233" t="s">
        <v>33</v>
      </c>
      <c r="C2233">
        <v>20</v>
      </c>
      <c r="D2233">
        <v>261</v>
      </c>
      <c r="E2233">
        <v>2636</v>
      </c>
      <c r="F2233">
        <v>4674601</v>
      </c>
      <c r="G2233">
        <v>4762800</v>
      </c>
      <c r="H2233">
        <f t="shared" si="68"/>
        <v>106.00002267573696</v>
      </c>
      <c r="I2233">
        <f t="shared" si="69"/>
        <v>108</v>
      </c>
      <c r="J2233" t="s">
        <v>32</v>
      </c>
      <c r="K2233">
        <v>6</v>
      </c>
      <c r="L2233" t="e">
        <f t="array" ref="L2233">VLOOKUP(J2233:$J$3871&amp;K2233:$K$3871,CHOOSE({1,2},#REF!&amp;#REF!,#REF!),2,0)</f>
        <v>#N/A</v>
      </c>
      <c r="M2233">
        <v>-15</v>
      </c>
      <c r="N2233">
        <v>0</v>
      </c>
      <c r="O2233" t="s">
        <v>7</v>
      </c>
      <c r="P2233">
        <v>1</v>
      </c>
      <c r="Q2233">
        <v>0</v>
      </c>
      <c r="R2233">
        <v>1</v>
      </c>
      <c r="S2233">
        <v>0</v>
      </c>
      <c r="T2233">
        <v>1</v>
      </c>
      <c r="U2233">
        <v>0</v>
      </c>
      <c r="V2233">
        <v>1</v>
      </c>
      <c r="W2233">
        <v>0</v>
      </c>
      <c r="X2233">
        <v>1</v>
      </c>
      <c r="Y2233">
        <v>1</v>
      </c>
      <c r="Z2233">
        <v>0</v>
      </c>
      <c r="AA2233" t="s">
        <v>3466</v>
      </c>
      <c r="AB2233" t="s">
        <v>693</v>
      </c>
      <c r="AC2233" t="s">
        <v>3466</v>
      </c>
      <c r="AD2233" t="e">
        <f>VLOOKUP(AB2233,#REF!,2,FALSE)</f>
        <v>#REF!</v>
      </c>
      <c r="AE2233" t="e">
        <f>RIGHT(#REF!,(FIND("Complex",#REF!,1)-8))</f>
        <v>#REF!</v>
      </c>
    </row>
    <row r="2234" spans="1:31" x14ac:dyDescent="0.25">
      <c r="A2234">
        <v>2304</v>
      </c>
      <c r="B2234" t="s">
        <v>33</v>
      </c>
      <c r="C2234">
        <v>20</v>
      </c>
      <c r="D2234">
        <v>222</v>
      </c>
      <c r="E2234">
        <v>2304</v>
      </c>
      <c r="F2234">
        <v>4586401</v>
      </c>
      <c r="G2234">
        <v>4674600</v>
      </c>
      <c r="H2234">
        <f t="shared" si="68"/>
        <v>104.00002267573696</v>
      </c>
      <c r="I2234">
        <f t="shared" si="69"/>
        <v>106</v>
      </c>
      <c r="J2234" t="s">
        <v>32</v>
      </c>
      <c r="K2234">
        <v>6</v>
      </c>
      <c r="L2234" t="e">
        <f t="array" ref="L2234">VLOOKUP(J2234:$J$3871&amp;K2234:$K$3871,CHOOSE({1,2},#REF!&amp;#REF!,#REF!),2,0)</f>
        <v>#N/A</v>
      </c>
      <c r="M2234">
        <v>-15</v>
      </c>
      <c r="N2234">
        <v>0</v>
      </c>
      <c r="O2234" t="s">
        <v>7</v>
      </c>
      <c r="P2234">
        <v>1</v>
      </c>
      <c r="Q2234">
        <v>0</v>
      </c>
      <c r="R2234">
        <v>1</v>
      </c>
      <c r="S2234">
        <v>0</v>
      </c>
      <c r="T2234">
        <v>1</v>
      </c>
      <c r="U2234">
        <v>0</v>
      </c>
      <c r="V2234">
        <v>1</v>
      </c>
      <c r="W2234">
        <v>0</v>
      </c>
      <c r="X2234">
        <v>1</v>
      </c>
      <c r="Y2234">
        <v>1</v>
      </c>
      <c r="Z2234">
        <v>0</v>
      </c>
      <c r="AA2234" t="s">
        <v>3475</v>
      </c>
      <c r="AB2234" t="s">
        <v>694</v>
      </c>
      <c r="AC2234" t="s">
        <v>3475</v>
      </c>
      <c r="AD2234" t="e">
        <f>VLOOKUP(AB2234,#REF!,2,FALSE)</f>
        <v>#REF!</v>
      </c>
      <c r="AE2234" t="e">
        <f>RIGHT(#REF!,(FIND("Complex",#REF!,1)-8))</f>
        <v>#REF!</v>
      </c>
    </row>
    <row r="2235" spans="1:31" x14ac:dyDescent="0.25">
      <c r="A2235">
        <v>2539</v>
      </c>
      <c r="B2235" t="s">
        <v>33</v>
      </c>
      <c r="C2235">
        <v>20</v>
      </c>
      <c r="D2235">
        <v>250</v>
      </c>
      <c r="E2235">
        <v>2539</v>
      </c>
      <c r="F2235">
        <v>4410001</v>
      </c>
      <c r="G2235">
        <v>4498200</v>
      </c>
      <c r="H2235">
        <f t="shared" si="68"/>
        <v>100.00002267573696</v>
      </c>
      <c r="I2235">
        <f t="shared" si="69"/>
        <v>102</v>
      </c>
      <c r="J2235" t="s">
        <v>32</v>
      </c>
      <c r="K2235">
        <v>6</v>
      </c>
      <c r="L2235" t="e">
        <f t="array" ref="L2235">VLOOKUP(J2235:$J$3871&amp;K2235:$K$3871,CHOOSE({1,2},#REF!&amp;#REF!,#REF!),2,0)</f>
        <v>#N/A</v>
      </c>
      <c r="M2235">
        <v>-15</v>
      </c>
      <c r="N2235">
        <v>0</v>
      </c>
      <c r="O2235" t="s">
        <v>7</v>
      </c>
      <c r="P2235">
        <v>1</v>
      </c>
      <c r="Q2235">
        <v>0</v>
      </c>
      <c r="R2235">
        <v>1</v>
      </c>
      <c r="S2235">
        <v>0</v>
      </c>
      <c r="T2235">
        <v>1</v>
      </c>
      <c r="U2235">
        <v>0</v>
      </c>
      <c r="V2235">
        <v>1</v>
      </c>
      <c r="W2235">
        <v>0</v>
      </c>
      <c r="X2235">
        <v>1</v>
      </c>
      <c r="Y2235">
        <v>1</v>
      </c>
      <c r="Z2235">
        <v>0</v>
      </c>
      <c r="AA2235" t="s">
        <v>3497</v>
      </c>
      <c r="AB2235" t="s">
        <v>695</v>
      </c>
      <c r="AC2235" t="s">
        <v>3497</v>
      </c>
      <c r="AD2235" t="e">
        <f>VLOOKUP(AB2235,#REF!,2,FALSE)</f>
        <v>#REF!</v>
      </c>
      <c r="AE2235" t="e">
        <f>RIGHT(#REF!,(FIND("Complex",#REF!,1)-8))</f>
        <v>#REF!</v>
      </c>
    </row>
    <row r="2236" spans="1:31" x14ac:dyDescent="0.25">
      <c r="A2236">
        <v>1350</v>
      </c>
      <c r="B2236" t="s">
        <v>61</v>
      </c>
      <c r="C2236">
        <v>21</v>
      </c>
      <c r="D2236">
        <v>120</v>
      </c>
      <c r="E2236">
        <v>1350</v>
      </c>
      <c r="F2236">
        <v>4057201</v>
      </c>
      <c r="G2236">
        <v>4145400</v>
      </c>
      <c r="H2236">
        <f t="shared" si="68"/>
        <v>92.000022675736957</v>
      </c>
      <c r="I2236">
        <f t="shared" si="69"/>
        <v>94</v>
      </c>
      <c r="J2236" t="s">
        <v>32</v>
      </c>
      <c r="K2236">
        <v>6</v>
      </c>
      <c r="L2236" t="e">
        <f t="array" ref="L2236">VLOOKUP(J2236:$J$3871&amp;K2236:$K$3871,CHOOSE({1,2},#REF!&amp;#REF!,#REF!),2,0)</f>
        <v>#N/A</v>
      </c>
      <c r="M2236">
        <v>-15</v>
      </c>
      <c r="N2236">
        <v>0</v>
      </c>
      <c r="O2236" t="s">
        <v>7</v>
      </c>
      <c r="P2236">
        <v>1</v>
      </c>
      <c r="Q2236">
        <v>0</v>
      </c>
      <c r="R2236">
        <v>1</v>
      </c>
      <c r="S2236">
        <v>1</v>
      </c>
      <c r="T2236">
        <v>1</v>
      </c>
      <c r="U2236">
        <v>0</v>
      </c>
      <c r="V2236">
        <v>0</v>
      </c>
      <c r="W2236">
        <v>1</v>
      </c>
      <c r="X2236">
        <v>1</v>
      </c>
      <c r="Y2236">
        <v>0</v>
      </c>
      <c r="Z2236">
        <v>0</v>
      </c>
      <c r="AA2236" t="s">
        <v>2648</v>
      </c>
      <c r="AB2236" t="s">
        <v>717</v>
      </c>
      <c r="AC2236" t="s">
        <v>2648</v>
      </c>
      <c r="AD2236" t="e">
        <f>VLOOKUP(AB2236,#REF!,2,FALSE)</f>
        <v>#REF!</v>
      </c>
      <c r="AE2236" t="e">
        <f>RIGHT(#REF!,(FIND("Complex",#REF!,1)-9))</f>
        <v>#REF!</v>
      </c>
    </row>
    <row r="2237" spans="1:31" x14ac:dyDescent="0.25">
      <c r="A2237">
        <v>2679</v>
      </c>
      <c r="B2237" t="s">
        <v>61</v>
      </c>
      <c r="C2237">
        <v>21</v>
      </c>
      <c r="D2237">
        <v>269</v>
      </c>
      <c r="E2237">
        <v>2679</v>
      </c>
      <c r="F2237">
        <v>5644801</v>
      </c>
      <c r="G2237">
        <v>5733000</v>
      </c>
      <c r="H2237">
        <f t="shared" si="68"/>
        <v>128.00002267573697</v>
      </c>
      <c r="I2237">
        <f t="shared" si="69"/>
        <v>130</v>
      </c>
      <c r="J2237" t="s">
        <v>32</v>
      </c>
      <c r="K2237">
        <v>6</v>
      </c>
      <c r="L2237" t="e">
        <f t="array" ref="L2237">VLOOKUP(J2237:$J$3871&amp;K2237:$K$3871,CHOOSE({1,2},#REF!&amp;#REF!,#REF!),2,0)</f>
        <v>#N/A</v>
      </c>
      <c r="M2237">
        <v>-15</v>
      </c>
      <c r="N2237">
        <v>0</v>
      </c>
      <c r="O2237" t="s">
        <v>7</v>
      </c>
      <c r="P2237">
        <v>1</v>
      </c>
      <c r="Q2237">
        <v>0</v>
      </c>
      <c r="R2237">
        <v>1</v>
      </c>
      <c r="S2237">
        <v>1</v>
      </c>
      <c r="T2237">
        <v>1</v>
      </c>
      <c r="U2237">
        <v>0</v>
      </c>
      <c r="V2237">
        <v>0</v>
      </c>
      <c r="W2237">
        <v>1</v>
      </c>
      <c r="X2237">
        <v>1</v>
      </c>
      <c r="Y2237">
        <v>0</v>
      </c>
      <c r="Z2237">
        <v>0</v>
      </c>
      <c r="AA2237" t="s">
        <v>3339</v>
      </c>
      <c r="AB2237" t="s">
        <v>718</v>
      </c>
      <c r="AC2237" t="s">
        <v>3339</v>
      </c>
      <c r="AD2237" t="e">
        <f>VLOOKUP(AB2237,#REF!,2,FALSE)</f>
        <v>#REF!</v>
      </c>
      <c r="AE2237" t="e">
        <f>RIGHT(#REF!,(FIND("Complex",#REF!,1)-8))</f>
        <v>#REF!</v>
      </c>
    </row>
    <row r="2238" spans="1:31" x14ac:dyDescent="0.25">
      <c r="A2238">
        <v>2461</v>
      </c>
      <c r="B2238" t="s">
        <v>61</v>
      </c>
      <c r="C2238">
        <v>21</v>
      </c>
      <c r="D2238">
        <v>237</v>
      </c>
      <c r="E2238">
        <v>2461</v>
      </c>
      <c r="F2238">
        <v>4410001</v>
      </c>
      <c r="G2238">
        <v>4498200</v>
      </c>
      <c r="H2238">
        <f t="shared" si="68"/>
        <v>100.00002267573696</v>
      </c>
      <c r="I2238">
        <f t="shared" si="69"/>
        <v>102</v>
      </c>
      <c r="J2238" t="s">
        <v>32</v>
      </c>
      <c r="K2238">
        <v>6</v>
      </c>
      <c r="L2238" t="e">
        <f t="array" ref="L2238">VLOOKUP(J2238:$J$3871&amp;K2238:$K$3871,CHOOSE({1,2},#REF!&amp;#REF!,#REF!),2,0)</f>
        <v>#N/A</v>
      </c>
      <c r="M2238">
        <v>-15</v>
      </c>
      <c r="N2238">
        <v>0</v>
      </c>
      <c r="O2238" t="s">
        <v>7</v>
      </c>
      <c r="P2238">
        <v>1</v>
      </c>
      <c r="Q2238">
        <v>0</v>
      </c>
      <c r="R2238">
        <v>1</v>
      </c>
      <c r="S2238">
        <v>1</v>
      </c>
      <c r="T2238">
        <v>1</v>
      </c>
      <c r="U2238">
        <v>0</v>
      </c>
      <c r="V2238">
        <v>0</v>
      </c>
      <c r="W2238">
        <v>1</v>
      </c>
      <c r="X2238">
        <v>1</v>
      </c>
      <c r="Y2238">
        <v>0</v>
      </c>
      <c r="Z2238">
        <v>0</v>
      </c>
      <c r="AA2238" t="s">
        <v>3496</v>
      </c>
      <c r="AB2238" t="s">
        <v>719</v>
      </c>
      <c r="AC2238" t="s">
        <v>3496</v>
      </c>
      <c r="AD2238" t="e">
        <f>VLOOKUP(AB2238,#REF!,2,FALSE)</f>
        <v>#REF!</v>
      </c>
      <c r="AE2238" t="e">
        <f>RIGHT(#REF!,(FIND("Complex",#REF!,1)-8))</f>
        <v>#REF!</v>
      </c>
    </row>
    <row r="2239" spans="1:31" x14ac:dyDescent="0.25">
      <c r="A2239">
        <v>3541</v>
      </c>
      <c r="B2239" t="s">
        <v>88</v>
      </c>
      <c r="C2239">
        <v>39</v>
      </c>
      <c r="D2239">
        <v>449</v>
      </c>
      <c r="E2239">
        <v>3541</v>
      </c>
      <c r="F2239">
        <v>4321801</v>
      </c>
      <c r="G2239">
        <v>4410000</v>
      </c>
      <c r="H2239">
        <f t="shared" si="68"/>
        <v>98.000022675736957</v>
      </c>
      <c r="I2239">
        <f t="shared" si="69"/>
        <v>100</v>
      </c>
      <c r="J2239" t="s">
        <v>32</v>
      </c>
      <c r="K2239">
        <v>6</v>
      </c>
      <c r="L2239" t="e">
        <f t="array" ref="L2239">VLOOKUP(J2239:$J$3871&amp;K2239:$K$3871,CHOOSE({1,2},#REF!&amp;#REF!,#REF!),2,0)</f>
        <v>#N/A</v>
      </c>
      <c r="M2239">
        <v>-15</v>
      </c>
      <c r="N2239">
        <v>0</v>
      </c>
      <c r="O2239" t="s">
        <v>7</v>
      </c>
      <c r="P2239">
        <v>0</v>
      </c>
      <c r="Q2239">
        <v>1</v>
      </c>
      <c r="R2239">
        <v>1</v>
      </c>
      <c r="S2239">
        <v>0</v>
      </c>
      <c r="T2239">
        <v>0</v>
      </c>
      <c r="U2239">
        <v>0</v>
      </c>
      <c r="V2239">
        <v>1</v>
      </c>
      <c r="W2239">
        <v>1</v>
      </c>
      <c r="X2239">
        <v>1</v>
      </c>
      <c r="Y2239">
        <v>1</v>
      </c>
      <c r="Z2239">
        <v>0</v>
      </c>
      <c r="AA2239" t="s">
        <v>2618</v>
      </c>
      <c r="AB2239" t="s">
        <v>1168</v>
      </c>
      <c r="AC2239" t="s">
        <v>2618</v>
      </c>
      <c r="AD2239" t="e">
        <f>VLOOKUP(AB2239,#REF!,2,FALSE)</f>
        <v>#REF!</v>
      </c>
      <c r="AE2239" t="e">
        <f>RIGHT(#REF!,(FIND("Complex",#REF!,1)-9))</f>
        <v>#REF!</v>
      </c>
    </row>
    <row r="2240" spans="1:31" x14ac:dyDescent="0.25">
      <c r="A2240">
        <v>3007</v>
      </c>
      <c r="B2240" t="s">
        <v>88</v>
      </c>
      <c r="C2240">
        <v>39</v>
      </c>
      <c r="D2240">
        <v>342</v>
      </c>
      <c r="E2240">
        <v>3007</v>
      </c>
      <c r="F2240">
        <v>4145401</v>
      </c>
      <c r="G2240">
        <v>4233600</v>
      </c>
      <c r="H2240">
        <f t="shared" si="68"/>
        <v>94.000022675736957</v>
      </c>
      <c r="I2240">
        <f t="shared" si="69"/>
        <v>96</v>
      </c>
      <c r="J2240" t="s">
        <v>32</v>
      </c>
      <c r="K2240">
        <v>6</v>
      </c>
      <c r="L2240" t="e">
        <f t="array" ref="L2240">VLOOKUP(J2240:$J$3871&amp;K2240:$K$3871,CHOOSE({1,2},#REF!&amp;#REF!,#REF!),2,0)</f>
        <v>#N/A</v>
      </c>
      <c r="M2240">
        <v>-15</v>
      </c>
      <c r="N2240">
        <v>0</v>
      </c>
      <c r="O2240" t="s">
        <v>7</v>
      </c>
      <c r="P2240">
        <v>0</v>
      </c>
      <c r="Q2240">
        <v>1</v>
      </c>
      <c r="R2240">
        <v>1</v>
      </c>
      <c r="S2240">
        <v>0</v>
      </c>
      <c r="T2240">
        <v>0</v>
      </c>
      <c r="U2240">
        <v>0</v>
      </c>
      <c r="V2240">
        <v>1</v>
      </c>
      <c r="W2240">
        <v>1</v>
      </c>
      <c r="X2240">
        <v>1</v>
      </c>
      <c r="Y2240">
        <v>1</v>
      </c>
      <c r="Z2240">
        <v>0</v>
      </c>
      <c r="AA2240" t="s">
        <v>2636</v>
      </c>
      <c r="AB2240" t="s">
        <v>1169</v>
      </c>
      <c r="AC2240" t="s">
        <v>2636</v>
      </c>
      <c r="AD2240" t="e">
        <f>VLOOKUP(AB2240,#REF!,2,FALSE)</f>
        <v>#REF!</v>
      </c>
      <c r="AE2240" t="e">
        <f>RIGHT(#REF!,(FIND("Complex",#REF!,1)-9))</f>
        <v>#REF!</v>
      </c>
    </row>
    <row r="2241" spans="1:31" x14ac:dyDescent="0.25">
      <c r="A2241">
        <v>2781</v>
      </c>
      <c r="B2241" t="s">
        <v>88</v>
      </c>
      <c r="C2241">
        <v>39</v>
      </c>
      <c r="D2241">
        <v>292</v>
      </c>
      <c r="E2241">
        <v>2781</v>
      </c>
      <c r="F2241">
        <v>3969001</v>
      </c>
      <c r="G2241">
        <v>4057200</v>
      </c>
      <c r="H2241">
        <f t="shared" si="68"/>
        <v>90.000022675736957</v>
      </c>
      <c r="I2241">
        <f t="shared" si="69"/>
        <v>92</v>
      </c>
      <c r="J2241" t="s">
        <v>32</v>
      </c>
      <c r="K2241">
        <v>6</v>
      </c>
      <c r="L2241" t="e">
        <f t="array" ref="L2241">VLOOKUP(J2241:$J$3871&amp;K2241:$K$3871,CHOOSE({1,2},#REF!&amp;#REF!,#REF!),2,0)</f>
        <v>#N/A</v>
      </c>
      <c r="M2241">
        <v>-15</v>
      </c>
      <c r="N2241">
        <v>0</v>
      </c>
      <c r="O2241" t="s">
        <v>7</v>
      </c>
      <c r="P2241">
        <v>1</v>
      </c>
      <c r="Q2241">
        <v>1</v>
      </c>
      <c r="R2241">
        <v>1</v>
      </c>
      <c r="S2241">
        <v>0</v>
      </c>
      <c r="T2241">
        <v>0</v>
      </c>
      <c r="U2241">
        <v>0</v>
      </c>
      <c r="V2241">
        <v>1</v>
      </c>
      <c r="W2241">
        <v>1</v>
      </c>
      <c r="X2241">
        <v>1</v>
      </c>
      <c r="Y2241">
        <v>0</v>
      </c>
      <c r="Z2241">
        <v>0</v>
      </c>
      <c r="AA2241" t="s">
        <v>2656</v>
      </c>
      <c r="AB2241" t="s">
        <v>1170</v>
      </c>
      <c r="AC2241" t="s">
        <v>2656</v>
      </c>
      <c r="AD2241" t="e">
        <f>VLOOKUP(AB2241,#REF!,2,FALSE)</f>
        <v>#REF!</v>
      </c>
      <c r="AE2241" t="e">
        <f>RIGHT(#REF!,(FIND("Complex",#REF!,1)-9))</f>
        <v>#REF!</v>
      </c>
    </row>
    <row r="2242" spans="1:31" x14ac:dyDescent="0.25">
      <c r="A2242">
        <v>3491</v>
      </c>
      <c r="B2242" t="s">
        <v>88</v>
      </c>
      <c r="C2242">
        <v>39</v>
      </c>
      <c r="D2242">
        <v>441</v>
      </c>
      <c r="E2242">
        <v>3491</v>
      </c>
      <c r="F2242">
        <v>8996401</v>
      </c>
      <c r="G2242">
        <v>9084600</v>
      </c>
      <c r="H2242">
        <f t="shared" ref="H2242:H2305" si="70">F2242/44100</f>
        <v>204.00002267573697</v>
      </c>
      <c r="I2242">
        <f t="shared" ref="I2242:I2305" si="71">G2242/44100</f>
        <v>206</v>
      </c>
      <c r="J2242" t="s">
        <v>32</v>
      </c>
      <c r="K2242">
        <v>6</v>
      </c>
      <c r="L2242" t="e">
        <f t="array" ref="L2242">VLOOKUP(J2242:$J$3871&amp;K2242:$K$3871,CHOOSE({1,2},#REF!&amp;#REF!,#REF!),2,0)</f>
        <v>#N/A</v>
      </c>
      <c r="M2242">
        <v>-15</v>
      </c>
      <c r="N2242">
        <v>0</v>
      </c>
      <c r="O2242" t="s">
        <v>7</v>
      </c>
      <c r="P2242">
        <v>1</v>
      </c>
      <c r="Q2242">
        <v>1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1</v>
      </c>
      <c r="Y2242">
        <v>1</v>
      </c>
      <c r="Z2242">
        <v>0</v>
      </c>
      <c r="AA2242" t="s">
        <v>3042</v>
      </c>
      <c r="AB2242" t="s">
        <v>1171</v>
      </c>
      <c r="AC2242" t="s">
        <v>3042</v>
      </c>
      <c r="AD2242" t="e">
        <f>VLOOKUP(AB2242,#REF!,2,FALSE)</f>
        <v>#REF!</v>
      </c>
      <c r="AE2242" t="e">
        <f>RIGHT(#REF!,(FIND("Complex",#REF!,1)-8))</f>
        <v>#REF!</v>
      </c>
    </row>
    <row r="2243" spans="1:31" x14ac:dyDescent="0.25">
      <c r="A2243">
        <v>1181</v>
      </c>
      <c r="B2243" t="s">
        <v>88</v>
      </c>
      <c r="C2243">
        <v>39</v>
      </c>
      <c r="D2243">
        <v>101</v>
      </c>
      <c r="E2243">
        <v>1181</v>
      </c>
      <c r="F2243">
        <v>4939201</v>
      </c>
      <c r="G2243">
        <v>5027400</v>
      </c>
      <c r="H2243">
        <f t="shared" si="70"/>
        <v>112.00002267573696</v>
      </c>
      <c r="I2243">
        <f t="shared" si="71"/>
        <v>114</v>
      </c>
      <c r="J2243" t="s">
        <v>32</v>
      </c>
      <c r="K2243">
        <v>6</v>
      </c>
      <c r="L2243" t="e">
        <f t="array" ref="L2243">VLOOKUP(J2243:$J$3871&amp;K2243:$K$3871,CHOOSE({1,2},#REF!&amp;#REF!,#REF!),2,0)</f>
        <v>#N/A</v>
      </c>
      <c r="M2243">
        <v>-15</v>
      </c>
      <c r="N2243">
        <v>0</v>
      </c>
      <c r="O2243" t="s">
        <v>7</v>
      </c>
      <c r="P2243">
        <v>0</v>
      </c>
      <c r="Q2243">
        <v>1</v>
      </c>
      <c r="R2243">
        <v>1</v>
      </c>
      <c r="S2243">
        <v>0</v>
      </c>
      <c r="T2243">
        <v>0</v>
      </c>
      <c r="U2243">
        <v>0</v>
      </c>
      <c r="V2243">
        <v>1</v>
      </c>
      <c r="W2243">
        <v>1</v>
      </c>
      <c r="X2243">
        <v>1</v>
      </c>
      <c r="Y2243">
        <v>1</v>
      </c>
      <c r="Z2243">
        <v>0</v>
      </c>
      <c r="AA2243" t="s">
        <v>3434</v>
      </c>
      <c r="AB2243" t="s">
        <v>1172</v>
      </c>
      <c r="AC2243" t="s">
        <v>3434</v>
      </c>
      <c r="AD2243" t="e">
        <f>VLOOKUP(AB2243,#REF!,2,FALSE)</f>
        <v>#REF!</v>
      </c>
      <c r="AE2243" t="e">
        <f>RIGHT(#REF!,(FIND("Complex",#REF!,1)-8))</f>
        <v>#REF!</v>
      </c>
    </row>
    <row r="2244" spans="1:31" x14ac:dyDescent="0.25">
      <c r="A2244">
        <v>3562</v>
      </c>
      <c r="B2244" t="s">
        <v>88</v>
      </c>
      <c r="C2244">
        <v>39</v>
      </c>
      <c r="D2244">
        <v>453</v>
      </c>
      <c r="E2244">
        <v>3562</v>
      </c>
      <c r="F2244">
        <v>4586401</v>
      </c>
      <c r="G2244">
        <v>4674600</v>
      </c>
      <c r="H2244">
        <f t="shared" si="70"/>
        <v>104.00002267573696</v>
      </c>
      <c r="I2244">
        <f t="shared" si="71"/>
        <v>106</v>
      </c>
      <c r="J2244" t="s">
        <v>32</v>
      </c>
      <c r="K2244">
        <v>6</v>
      </c>
      <c r="L2244" t="e">
        <f t="array" ref="L2244">VLOOKUP(J2244:$J$3871&amp;K2244:$K$3871,CHOOSE({1,2},#REF!&amp;#REF!,#REF!),2,0)</f>
        <v>#N/A</v>
      </c>
      <c r="M2244">
        <v>-15</v>
      </c>
      <c r="N2244">
        <v>0</v>
      </c>
      <c r="O2244" t="s">
        <v>7</v>
      </c>
      <c r="P2244">
        <v>0</v>
      </c>
      <c r="Q2244">
        <v>1</v>
      </c>
      <c r="R2244">
        <v>1</v>
      </c>
      <c r="S2244">
        <v>0</v>
      </c>
      <c r="T2244">
        <v>0</v>
      </c>
      <c r="U2244">
        <v>0</v>
      </c>
      <c r="V2244">
        <v>1</v>
      </c>
      <c r="W2244">
        <v>1</v>
      </c>
      <c r="X2244">
        <v>1</v>
      </c>
      <c r="Y2244">
        <v>1</v>
      </c>
      <c r="Z2244">
        <v>0</v>
      </c>
      <c r="AA2244" t="s">
        <v>3473</v>
      </c>
      <c r="AB2244" t="s">
        <v>177</v>
      </c>
      <c r="AC2244" t="s">
        <v>3473</v>
      </c>
      <c r="AD2244" t="e">
        <f>VLOOKUP(AB2244,#REF!,2,FALSE)</f>
        <v>#REF!</v>
      </c>
      <c r="AE2244" t="e">
        <f>RIGHT(#REF!,(FIND("Complex",#REF!,1)-8))</f>
        <v>#REF!</v>
      </c>
    </row>
    <row r="2245" spans="1:31" x14ac:dyDescent="0.25">
      <c r="A2245">
        <v>523</v>
      </c>
      <c r="B2245" t="s">
        <v>34</v>
      </c>
      <c r="C2245">
        <v>53</v>
      </c>
      <c r="D2245">
        <v>44</v>
      </c>
      <c r="E2245">
        <v>523</v>
      </c>
      <c r="F2245">
        <v>4145401</v>
      </c>
      <c r="G2245">
        <v>4233600</v>
      </c>
      <c r="H2245">
        <f t="shared" si="70"/>
        <v>94.000022675736957</v>
      </c>
      <c r="I2245">
        <f t="shared" si="71"/>
        <v>96</v>
      </c>
      <c r="J2245" t="s">
        <v>32</v>
      </c>
      <c r="K2245">
        <v>6</v>
      </c>
      <c r="L2245" t="e">
        <f t="array" ref="L2245">VLOOKUP(J2245:$J$3871&amp;K2245:$K$3871,CHOOSE({1,2},#REF!&amp;#REF!,#REF!),2,0)</f>
        <v>#N/A</v>
      </c>
      <c r="M2245">
        <v>-15</v>
      </c>
      <c r="N2245">
        <v>0</v>
      </c>
      <c r="O2245" t="s">
        <v>7</v>
      </c>
      <c r="P2245">
        <v>1</v>
      </c>
      <c r="Q2245">
        <v>0</v>
      </c>
      <c r="R2245">
        <v>1</v>
      </c>
      <c r="S2245">
        <v>0</v>
      </c>
      <c r="T2245">
        <v>0</v>
      </c>
      <c r="U2245">
        <v>1</v>
      </c>
      <c r="V2245">
        <v>1</v>
      </c>
      <c r="W2245">
        <v>1</v>
      </c>
      <c r="X2245">
        <v>1</v>
      </c>
      <c r="Y2245">
        <v>0</v>
      </c>
      <c r="Z2245">
        <v>0</v>
      </c>
      <c r="AA2245" t="s">
        <v>2634</v>
      </c>
      <c r="AB2245" t="s">
        <v>1370</v>
      </c>
      <c r="AC2245" t="s">
        <v>2634</v>
      </c>
      <c r="AD2245" t="e">
        <f>VLOOKUP(AB2245,#REF!,2,FALSE)</f>
        <v>#REF!</v>
      </c>
      <c r="AE2245" t="e">
        <f>RIGHT(#REF!,(FIND("Complex",#REF!,1)-8))</f>
        <v>#REF!</v>
      </c>
    </row>
    <row r="2246" spans="1:31" x14ac:dyDescent="0.25">
      <c r="A2246">
        <v>1357</v>
      </c>
      <c r="B2246" t="s">
        <v>34</v>
      </c>
      <c r="C2246">
        <v>53</v>
      </c>
      <c r="D2246">
        <v>122</v>
      </c>
      <c r="E2246">
        <v>1357</v>
      </c>
      <c r="F2246">
        <v>3969001</v>
      </c>
      <c r="G2246">
        <v>4057200</v>
      </c>
      <c r="H2246">
        <f t="shared" si="70"/>
        <v>90.000022675736957</v>
      </c>
      <c r="I2246">
        <f t="shared" si="71"/>
        <v>92</v>
      </c>
      <c r="J2246" t="s">
        <v>32</v>
      </c>
      <c r="K2246">
        <v>6</v>
      </c>
      <c r="L2246" t="e">
        <f t="array" ref="L2246">VLOOKUP(J2246:$J$3871&amp;K2246:$K$3871,CHOOSE({1,2},#REF!&amp;#REF!,#REF!),2,0)</f>
        <v>#N/A</v>
      </c>
      <c r="M2246">
        <v>-15</v>
      </c>
      <c r="N2246">
        <v>0</v>
      </c>
      <c r="O2246" t="s">
        <v>7</v>
      </c>
      <c r="P2246">
        <v>1</v>
      </c>
      <c r="Q2246">
        <v>0</v>
      </c>
      <c r="R2246">
        <v>1</v>
      </c>
      <c r="S2246">
        <v>0</v>
      </c>
      <c r="T2246">
        <v>0</v>
      </c>
      <c r="U2246">
        <v>1</v>
      </c>
      <c r="V2246">
        <v>1</v>
      </c>
      <c r="W2246">
        <v>1</v>
      </c>
      <c r="X2246">
        <v>1</v>
      </c>
      <c r="Y2246">
        <v>0</v>
      </c>
      <c r="Z2246">
        <v>0</v>
      </c>
      <c r="AA2246" t="s">
        <v>2654</v>
      </c>
      <c r="AB2246" t="s">
        <v>1371</v>
      </c>
      <c r="AC2246" t="s">
        <v>2654</v>
      </c>
      <c r="AD2246" t="e">
        <f>VLOOKUP(AB2246,#REF!,2,FALSE)</f>
        <v>#REF!</v>
      </c>
      <c r="AE2246" t="e">
        <f>RIGHT(#REF!,(FIND("Complex",#REF!,1)-9))</f>
        <v>#REF!</v>
      </c>
    </row>
    <row r="2247" spans="1:31" x14ac:dyDescent="0.25">
      <c r="A2247">
        <v>1033</v>
      </c>
      <c r="B2247" t="s">
        <v>34</v>
      </c>
      <c r="C2247">
        <v>53</v>
      </c>
      <c r="D2247">
        <v>88</v>
      </c>
      <c r="E2247">
        <v>1033</v>
      </c>
      <c r="F2247">
        <v>3880801</v>
      </c>
      <c r="G2247">
        <v>3969000</v>
      </c>
      <c r="H2247">
        <f t="shared" si="70"/>
        <v>88.000022675736957</v>
      </c>
      <c r="I2247">
        <f t="shared" si="71"/>
        <v>90</v>
      </c>
      <c r="J2247" t="s">
        <v>32</v>
      </c>
      <c r="K2247">
        <v>6</v>
      </c>
      <c r="L2247" t="e">
        <f t="array" ref="L2247">VLOOKUP(J2247:$J$3871&amp;K2247:$K$3871,CHOOSE({1,2},#REF!&amp;#REF!,#REF!),2,0)</f>
        <v>#N/A</v>
      </c>
      <c r="M2247">
        <v>-15</v>
      </c>
      <c r="N2247">
        <v>0</v>
      </c>
      <c r="O2247" t="s">
        <v>7</v>
      </c>
      <c r="P2247">
        <v>1</v>
      </c>
      <c r="Q2247">
        <v>0</v>
      </c>
      <c r="R2247">
        <v>1</v>
      </c>
      <c r="S2247">
        <v>0</v>
      </c>
      <c r="T2247">
        <v>0</v>
      </c>
      <c r="U2247">
        <v>1</v>
      </c>
      <c r="V2247">
        <v>1</v>
      </c>
      <c r="W2247">
        <v>1</v>
      </c>
      <c r="X2247">
        <v>1</v>
      </c>
      <c r="Y2247">
        <v>0</v>
      </c>
      <c r="Z2247">
        <v>0</v>
      </c>
      <c r="AA2247" t="s">
        <v>2661</v>
      </c>
      <c r="AB2247" t="s">
        <v>142</v>
      </c>
      <c r="AC2247" t="s">
        <v>2661</v>
      </c>
      <c r="AD2247" t="e">
        <f>VLOOKUP(AB2247,#REF!,2,FALSE)</f>
        <v>#REF!</v>
      </c>
      <c r="AE2247" t="e">
        <f>RIGHT(#REF!,(FIND("Complex",#REF!,1)-9))</f>
        <v>#REF!</v>
      </c>
    </row>
    <row r="2248" spans="1:31" x14ac:dyDescent="0.25">
      <c r="A2248">
        <v>84</v>
      </c>
      <c r="B2248" t="s">
        <v>34</v>
      </c>
      <c r="C2248">
        <v>53</v>
      </c>
      <c r="D2248">
        <v>5</v>
      </c>
      <c r="E2248">
        <v>84</v>
      </c>
      <c r="F2248">
        <v>3792601</v>
      </c>
      <c r="G2248">
        <v>3880800</v>
      </c>
      <c r="H2248">
        <f t="shared" si="70"/>
        <v>86.000022675736957</v>
      </c>
      <c r="I2248">
        <f t="shared" si="71"/>
        <v>88</v>
      </c>
      <c r="J2248" t="s">
        <v>32</v>
      </c>
      <c r="K2248">
        <v>6</v>
      </c>
      <c r="L2248" t="e">
        <f t="array" ref="L2248">VLOOKUP(J2248:$J$3871&amp;K2248:$K$3871,CHOOSE({1,2},#REF!&amp;#REF!,#REF!),2,0)</f>
        <v>#N/A</v>
      </c>
      <c r="M2248">
        <v>-15</v>
      </c>
      <c r="N2248">
        <v>0</v>
      </c>
      <c r="O2248" t="s">
        <v>7</v>
      </c>
      <c r="P2248">
        <v>1</v>
      </c>
      <c r="Q2248">
        <v>0</v>
      </c>
      <c r="R2248">
        <v>1</v>
      </c>
      <c r="S2248">
        <v>0</v>
      </c>
      <c r="T2248">
        <v>0</v>
      </c>
      <c r="U2248">
        <v>1</v>
      </c>
      <c r="V2248">
        <v>1</v>
      </c>
      <c r="W2248">
        <v>1</v>
      </c>
      <c r="X2248">
        <v>1</v>
      </c>
      <c r="Y2248">
        <v>0</v>
      </c>
      <c r="Z2248">
        <v>0</v>
      </c>
      <c r="AA2248" t="s">
        <v>2669</v>
      </c>
      <c r="AB2248" t="s">
        <v>1372</v>
      </c>
      <c r="AC2248" t="s">
        <v>2669</v>
      </c>
      <c r="AD2248" t="e">
        <f>VLOOKUP(AB2248,#REF!,2,FALSE)</f>
        <v>#REF!</v>
      </c>
      <c r="AE2248" t="e">
        <f>RIGHT(#REF!,(FIND("Complex",#REF!,1)-7))</f>
        <v>#REF!</v>
      </c>
    </row>
    <row r="2249" spans="1:31" x14ac:dyDescent="0.25">
      <c r="A2249">
        <v>1656</v>
      </c>
      <c r="B2249" t="s">
        <v>34</v>
      </c>
      <c r="C2249">
        <v>53</v>
      </c>
      <c r="D2249">
        <v>150</v>
      </c>
      <c r="E2249">
        <v>1656</v>
      </c>
      <c r="F2249">
        <v>4586401</v>
      </c>
      <c r="G2249">
        <v>4674600</v>
      </c>
      <c r="H2249">
        <f t="shared" si="70"/>
        <v>104.00002267573696</v>
      </c>
      <c r="I2249">
        <f t="shared" si="71"/>
        <v>106</v>
      </c>
      <c r="J2249" t="s">
        <v>32</v>
      </c>
      <c r="K2249">
        <v>6</v>
      </c>
      <c r="L2249" t="e">
        <f t="array" ref="L2249">VLOOKUP(J2249:$J$3871&amp;K2249:$K$3871,CHOOSE({1,2},#REF!&amp;#REF!,#REF!),2,0)</f>
        <v>#N/A</v>
      </c>
      <c r="M2249">
        <v>-15</v>
      </c>
      <c r="N2249">
        <v>0</v>
      </c>
      <c r="O2249" t="s">
        <v>7</v>
      </c>
      <c r="P2249">
        <v>1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1</v>
      </c>
      <c r="W2249">
        <v>1</v>
      </c>
      <c r="X2249">
        <v>1</v>
      </c>
      <c r="Y2249">
        <v>0</v>
      </c>
      <c r="Z2249">
        <v>0</v>
      </c>
      <c r="AA2249" t="s">
        <v>3471</v>
      </c>
      <c r="AB2249" t="s">
        <v>1373</v>
      </c>
      <c r="AC2249" t="s">
        <v>3471</v>
      </c>
      <c r="AD2249" t="e">
        <f>VLOOKUP(AB2249,#REF!,2,FALSE)</f>
        <v>#REF!</v>
      </c>
      <c r="AE2249" t="e">
        <f>RIGHT(#REF!,(FIND("Complex",#REF!,1)-8))</f>
        <v>#REF!</v>
      </c>
    </row>
    <row r="2250" spans="1:31" x14ac:dyDescent="0.25">
      <c r="A2250">
        <v>221</v>
      </c>
      <c r="B2250" t="s">
        <v>31</v>
      </c>
      <c r="C2250">
        <v>83</v>
      </c>
      <c r="D2250">
        <v>19</v>
      </c>
      <c r="E2250">
        <v>221</v>
      </c>
      <c r="F2250">
        <v>2646001</v>
      </c>
      <c r="G2250">
        <v>2734200</v>
      </c>
      <c r="H2250">
        <f t="shared" si="70"/>
        <v>60.000022675736965</v>
      </c>
      <c r="I2250">
        <f t="shared" si="71"/>
        <v>62</v>
      </c>
      <c r="J2250" t="s">
        <v>32</v>
      </c>
      <c r="K2250">
        <v>6</v>
      </c>
      <c r="L2250" t="e">
        <f t="array" ref="L2250">VLOOKUP(J2250:$J$3871&amp;K2250:$K$3871,CHOOSE({1,2},#REF!&amp;#REF!,#REF!),2,0)</f>
        <v>#N/A</v>
      </c>
      <c r="M2250">
        <v>-15</v>
      </c>
      <c r="N2250">
        <v>0</v>
      </c>
      <c r="O2250" t="s">
        <v>7</v>
      </c>
      <c r="P2250">
        <v>1</v>
      </c>
      <c r="Q2250">
        <v>1</v>
      </c>
      <c r="R2250">
        <v>1</v>
      </c>
      <c r="S2250">
        <v>0</v>
      </c>
      <c r="T2250">
        <v>1</v>
      </c>
      <c r="U2250">
        <v>0</v>
      </c>
      <c r="V2250">
        <v>0</v>
      </c>
      <c r="W2250">
        <v>1</v>
      </c>
      <c r="X2250">
        <v>1</v>
      </c>
      <c r="Y2250">
        <v>0</v>
      </c>
      <c r="Z2250">
        <v>0</v>
      </c>
      <c r="AA2250" t="s">
        <v>2779</v>
      </c>
      <c r="AB2250" t="s">
        <v>1681</v>
      </c>
      <c r="AC2250" t="s">
        <v>2779</v>
      </c>
      <c r="AD2250" t="e">
        <f>VLOOKUP(AB2250,#REF!,2,FALSE)</f>
        <v>#REF!</v>
      </c>
      <c r="AE2250" t="e">
        <f>RIGHT(#REF!,(FIND("Complex",#REF!,1)-8))</f>
        <v>#REF!</v>
      </c>
    </row>
    <row r="2251" spans="1:31" x14ac:dyDescent="0.25">
      <c r="A2251">
        <v>1595</v>
      </c>
      <c r="B2251" t="s">
        <v>31</v>
      </c>
      <c r="C2251">
        <v>83</v>
      </c>
      <c r="D2251">
        <v>146</v>
      </c>
      <c r="E2251">
        <v>1595</v>
      </c>
      <c r="F2251">
        <v>2469601</v>
      </c>
      <c r="G2251">
        <v>2557800</v>
      </c>
      <c r="H2251">
        <f t="shared" si="70"/>
        <v>56.000022675736965</v>
      </c>
      <c r="I2251">
        <f t="shared" si="71"/>
        <v>58</v>
      </c>
      <c r="J2251" t="s">
        <v>32</v>
      </c>
      <c r="K2251">
        <v>6</v>
      </c>
      <c r="L2251" t="e">
        <f t="array" ref="L2251">VLOOKUP(J2251:$J$3871&amp;K2251:$K$3871,CHOOSE({1,2},#REF!&amp;#REF!,#REF!),2,0)</f>
        <v>#N/A</v>
      </c>
      <c r="M2251">
        <v>-15</v>
      </c>
      <c r="N2251">
        <v>0</v>
      </c>
      <c r="O2251" t="s">
        <v>7</v>
      </c>
      <c r="P2251">
        <v>1</v>
      </c>
      <c r="Q2251">
        <v>1</v>
      </c>
      <c r="R2251">
        <v>1</v>
      </c>
      <c r="S2251">
        <v>0</v>
      </c>
      <c r="T2251">
        <v>1</v>
      </c>
      <c r="U2251">
        <v>0</v>
      </c>
      <c r="V2251">
        <v>0</v>
      </c>
      <c r="W2251">
        <v>1</v>
      </c>
      <c r="X2251">
        <v>1</v>
      </c>
      <c r="Y2251">
        <v>0</v>
      </c>
      <c r="Z2251">
        <v>0</v>
      </c>
      <c r="AA2251" t="s">
        <v>2792</v>
      </c>
      <c r="AB2251" t="s">
        <v>1682</v>
      </c>
      <c r="AC2251" t="s">
        <v>2792</v>
      </c>
      <c r="AD2251" t="e">
        <f>VLOOKUP(AB2251,#REF!,2,FALSE)</f>
        <v>#REF!</v>
      </c>
      <c r="AE2251" t="e">
        <f>RIGHT(#REF!,(FIND("Complex",#REF!,1)-9))</f>
        <v>#REF!</v>
      </c>
    </row>
    <row r="2252" spans="1:31" x14ac:dyDescent="0.25">
      <c r="A2252">
        <v>1928</v>
      </c>
      <c r="B2252" t="s">
        <v>31</v>
      </c>
      <c r="C2252">
        <v>83</v>
      </c>
      <c r="D2252">
        <v>181</v>
      </c>
      <c r="E2252">
        <v>1928</v>
      </c>
      <c r="F2252">
        <v>6879601</v>
      </c>
      <c r="G2252">
        <v>6967800</v>
      </c>
      <c r="H2252">
        <f t="shared" si="70"/>
        <v>156.00002267573697</v>
      </c>
      <c r="I2252">
        <f t="shared" si="71"/>
        <v>158</v>
      </c>
      <c r="J2252" t="s">
        <v>32</v>
      </c>
      <c r="K2252">
        <v>6</v>
      </c>
      <c r="L2252" t="e">
        <f t="array" ref="L2252">VLOOKUP(J2252:$J$3871&amp;K2252:$K$3871,CHOOSE({1,2},#REF!&amp;#REF!,#REF!),2,0)</f>
        <v>#N/A</v>
      </c>
      <c r="M2252">
        <v>-15</v>
      </c>
      <c r="N2252">
        <v>0</v>
      </c>
      <c r="O2252" t="s">
        <v>7</v>
      </c>
      <c r="P2252">
        <v>0</v>
      </c>
      <c r="Q2252">
        <v>1</v>
      </c>
      <c r="R2252">
        <v>1</v>
      </c>
      <c r="S2252">
        <v>0</v>
      </c>
      <c r="T2252">
        <v>1</v>
      </c>
      <c r="U2252">
        <v>1</v>
      </c>
      <c r="V2252">
        <v>0</v>
      </c>
      <c r="W2252">
        <v>1</v>
      </c>
      <c r="X2252">
        <v>1</v>
      </c>
      <c r="Y2252">
        <v>0</v>
      </c>
      <c r="Z2252">
        <v>0</v>
      </c>
      <c r="AA2252" t="s">
        <v>3204</v>
      </c>
      <c r="AB2252" t="s">
        <v>1683</v>
      </c>
      <c r="AC2252" t="s">
        <v>3204</v>
      </c>
      <c r="AD2252" t="e">
        <f>VLOOKUP(AB2252,#REF!,2,FALSE)</f>
        <v>#REF!</v>
      </c>
      <c r="AE2252" t="e">
        <f>RIGHT(#REF!,(FIND("Complex",#REF!,1)-8))</f>
        <v>#REF!</v>
      </c>
    </row>
    <row r="2253" spans="1:31" x14ac:dyDescent="0.25">
      <c r="A2253">
        <v>1523</v>
      </c>
      <c r="B2253" t="s">
        <v>31</v>
      </c>
      <c r="C2253">
        <v>83</v>
      </c>
      <c r="D2253">
        <v>139</v>
      </c>
      <c r="E2253">
        <v>1523</v>
      </c>
      <c r="F2253">
        <v>6703201</v>
      </c>
      <c r="G2253">
        <v>6791400</v>
      </c>
      <c r="H2253">
        <f t="shared" si="70"/>
        <v>152.00002267573697</v>
      </c>
      <c r="I2253">
        <f t="shared" si="71"/>
        <v>154</v>
      </c>
      <c r="J2253" t="s">
        <v>32</v>
      </c>
      <c r="K2253">
        <v>6</v>
      </c>
      <c r="L2253" t="e">
        <f t="array" ref="L2253">VLOOKUP(J2253:$J$3871&amp;K2253:$K$3871,CHOOSE({1,2},#REF!&amp;#REF!,#REF!),2,0)</f>
        <v>#N/A</v>
      </c>
      <c r="M2253">
        <v>-15</v>
      </c>
      <c r="N2253">
        <v>0</v>
      </c>
      <c r="O2253" t="s">
        <v>7</v>
      </c>
      <c r="P2253">
        <v>0</v>
      </c>
      <c r="Q2253">
        <v>1</v>
      </c>
      <c r="R2253">
        <v>1</v>
      </c>
      <c r="S2253">
        <v>0</v>
      </c>
      <c r="T2253">
        <v>1</v>
      </c>
      <c r="U2253">
        <v>1</v>
      </c>
      <c r="V2253">
        <v>0</v>
      </c>
      <c r="W2253">
        <v>1</v>
      </c>
      <c r="X2253">
        <v>1</v>
      </c>
      <c r="Y2253">
        <v>0</v>
      </c>
      <c r="Z2253">
        <v>0</v>
      </c>
      <c r="AA2253" t="s">
        <v>3218</v>
      </c>
      <c r="AB2253" t="s">
        <v>165</v>
      </c>
      <c r="AC2253" t="s">
        <v>3218</v>
      </c>
      <c r="AD2253" t="e">
        <f>VLOOKUP(AB2253,#REF!,2,FALSE)</f>
        <v>#REF!</v>
      </c>
      <c r="AE2253" t="e">
        <f>RIGHT(#REF!,(FIND("Complex",#REF!,1)-8))</f>
        <v>#REF!</v>
      </c>
    </row>
    <row r="2254" spans="1:31" x14ac:dyDescent="0.25">
      <c r="A2254">
        <v>1880</v>
      </c>
      <c r="B2254" t="s">
        <v>31</v>
      </c>
      <c r="C2254">
        <v>83</v>
      </c>
      <c r="D2254">
        <v>172</v>
      </c>
      <c r="E2254">
        <v>1880</v>
      </c>
      <c r="F2254">
        <v>6350401</v>
      </c>
      <c r="G2254">
        <v>6438600</v>
      </c>
      <c r="H2254">
        <f t="shared" si="70"/>
        <v>144.00002267573697</v>
      </c>
      <c r="I2254">
        <f t="shared" si="71"/>
        <v>146</v>
      </c>
      <c r="J2254" t="s">
        <v>32</v>
      </c>
      <c r="K2254">
        <v>6</v>
      </c>
      <c r="L2254" t="e">
        <f t="array" ref="L2254">VLOOKUP(J2254:$J$3871&amp;K2254:$K$3871,CHOOSE({1,2},#REF!&amp;#REF!,#REF!),2,0)</f>
        <v>#N/A</v>
      </c>
      <c r="M2254">
        <v>-15</v>
      </c>
      <c r="N2254">
        <v>0</v>
      </c>
      <c r="O2254" t="s">
        <v>7</v>
      </c>
      <c r="P2254">
        <v>0</v>
      </c>
      <c r="Q2254">
        <v>1</v>
      </c>
      <c r="R2254">
        <v>1</v>
      </c>
      <c r="S2254">
        <v>0</v>
      </c>
      <c r="T2254">
        <v>1</v>
      </c>
      <c r="U2254">
        <v>1</v>
      </c>
      <c r="V2254">
        <v>0</v>
      </c>
      <c r="W2254">
        <v>1</v>
      </c>
      <c r="X2254">
        <v>1</v>
      </c>
      <c r="Y2254">
        <v>0</v>
      </c>
      <c r="Z2254">
        <v>0</v>
      </c>
      <c r="AA2254" t="s">
        <v>3246</v>
      </c>
      <c r="AB2254" t="s">
        <v>1684</v>
      </c>
      <c r="AC2254" t="s">
        <v>3246</v>
      </c>
      <c r="AD2254" t="e">
        <f>VLOOKUP(AB2254,#REF!,2,FALSE)</f>
        <v>#REF!</v>
      </c>
      <c r="AE2254" t="e">
        <f>RIGHT(#REF!,(FIND("Complex",#REF!,1)-8))</f>
        <v>#REF!</v>
      </c>
    </row>
    <row r="2255" spans="1:31" x14ac:dyDescent="0.25">
      <c r="A2255">
        <v>1017</v>
      </c>
      <c r="B2255" t="s">
        <v>31</v>
      </c>
      <c r="C2255">
        <v>83</v>
      </c>
      <c r="D2255">
        <v>83</v>
      </c>
      <c r="E2255">
        <v>1017</v>
      </c>
      <c r="F2255">
        <v>4939201</v>
      </c>
      <c r="G2255">
        <v>5027400</v>
      </c>
      <c r="H2255">
        <f t="shared" si="70"/>
        <v>112.00002267573696</v>
      </c>
      <c r="I2255">
        <f t="shared" si="71"/>
        <v>114</v>
      </c>
      <c r="J2255" t="s">
        <v>32</v>
      </c>
      <c r="K2255">
        <v>6</v>
      </c>
      <c r="L2255" t="e">
        <f t="array" ref="L2255">VLOOKUP(J2255:$J$3871&amp;K2255:$K$3871,CHOOSE({1,2},#REF!&amp;#REF!,#REF!),2,0)</f>
        <v>#N/A</v>
      </c>
      <c r="M2255">
        <v>-15</v>
      </c>
      <c r="N2255">
        <v>0</v>
      </c>
      <c r="O2255" t="s">
        <v>7</v>
      </c>
      <c r="P2255">
        <v>0</v>
      </c>
      <c r="Q2255">
        <v>1</v>
      </c>
      <c r="R2255">
        <v>1</v>
      </c>
      <c r="S2255">
        <v>0</v>
      </c>
      <c r="T2255">
        <v>1</v>
      </c>
      <c r="U2255">
        <v>1</v>
      </c>
      <c r="V2255">
        <v>0</v>
      </c>
      <c r="W2255">
        <v>1</v>
      </c>
      <c r="X2255">
        <v>1</v>
      </c>
      <c r="Y2255">
        <v>0</v>
      </c>
      <c r="Z2255">
        <v>0</v>
      </c>
      <c r="AA2255" t="s">
        <v>3431</v>
      </c>
      <c r="AB2255" t="s">
        <v>1685</v>
      </c>
      <c r="AC2255" t="s">
        <v>3431</v>
      </c>
      <c r="AD2255" t="e">
        <f>VLOOKUP(AB2255,#REF!,2,FALSE)</f>
        <v>#REF!</v>
      </c>
      <c r="AE2255" t="e">
        <f>RIGHT(#REF!,(FIND("Complex",#REF!,1)-8))</f>
        <v>#REF!</v>
      </c>
    </row>
    <row r="2256" spans="1:31" x14ac:dyDescent="0.25">
      <c r="A2256">
        <v>3142</v>
      </c>
      <c r="B2256" t="s">
        <v>83</v>
      </c>
      <c r="C2256">
        <v>97</v>
      </c>
      <c r="D2256">
        <v>378</v>
      </c>
      <c r="E2256">
        <v>3142</v>
      </c>
      <c r="F2256">
        <v>10848601</v>
      </c>
      <c r="G2256">
        <v>10936800</v>
      </c>
      <c r="H2256">
        <f t="shared" si="70"/>
        <v>246.00002267573697</v>
      </c>
      <c r="I2256">
        <f t="shared" si="71"/>
        <v>248</v>
      </c>
      <c r="J2256" t="s">
        <v>32</v>
      </c>
      <c r="K2256">
        <v>6</v>
      </c>
      <c r="L2256" t="e">
        <f t="array" ref="L2256">VLOOKUP(J2256:$J$3871&amp;K2256:$K$3871,CHOOSE({1,2},#REF!&amp;#REF!,#REF!),2,0)</f>
        <v>#N/A</v>
      </c>
      <c r="M2256">
        <v>-15</v>
      </c>
      <c r="N2256">
        <v>0</v>
      </c>
      <c r="O2256" t="s">
        <v>7</v>
      </c>
      <c r="P2256">
        <v>1</v>
      </c>
      <c r="Q2256">
        <v>1</v>
      </c>
      <c r="R2256">
        <v>1</v>
      </c>
      <c r="S2256">
        <v>1</v>
      </c>
      <c r="T2256">
        <v>0</v>
      </c>
      <c r="U2256">
        <v>0</v>
      </c>
      <c r="V2256">
        <v>0</v>
      </c>
      <c r="W2256">
        <v>1</v>
      </c>
      <c r="X2256">
        <v>1</v>
      </c>
      <c r="Y2256">
        <v>0</v>
      </c>
      <c r="Z2256">
        <v>0</v>
      </c>
      <c r="AA2256" t="s">
        <v>2944</v>
      </c>
      <c r="AB2256" t="s">
        <v>1868</v>
      </c>
      <c r="AC2256" t="s">
        <v>2944</v>
      </c>
      <c r="AD2256" t="e">
        <f>VLOOKUP(AB2256,#REF!,2,FALSE)</f>
        <v>#REF!</v>
      </c>
      <c r="AE2256" t="e">
        <f>RIGHT(#REF!,(FIND("Complex",#REF!,1)-8))</f>
        <v>#REF!</v>
      </c>
    </row>
    <row r="2257" spans="1:31" x14ac:dyDescent="0.25">
      <c r="A2257">
        <v>3314</v>
      </c>
      <c r="B2257" t="s">
        <v>83</v>
      </c>
      <c r="C2257">
        <v>97</v>
      </c>
      <c r="D2257">
        <v>409</v>
      </c>
      <c r="E2257">
        <v>3314</v>
      </c>
      <c r="F2257">
        <v>10054801</v>
      </c>
      <c r="G2257">
        <v>10143000</v>
      </c>
      <c r="H2257">
        <f t="shared" si="70"/>
        <v>228.00002267573697</v>
      </c>
      <c r="I2257">
        <f t="shared" si="71"/>
        <v>230</v>
      </c>
      <c r="J2257" t="s">
        <v>32</v>
      </c>
      <c r="K2257">
        <v>6</v>
      </c>
      <c r="L2257" t="e">
        <f t="array" ref="L2257">VLOOKUP(J2257:$J$3871&amp;K2257:$K$3871,CHOOSE({1,2},#REF!&amp;#REF!,#REF!),2,0)</f>
        <v>#N/A</v>
      </c>
      <c r="M2257">
        <v>-15</v>
      </c>
      <c r="N2257">
        <v>0</v>
      </c>
      <c r="O2257" t="s">
        <v>7</v>
      </c>
      <c r="P2257">
        <v>0</v>
      </c>
      <c r="Q2257">
        <v>1</v>
      </c>
      <c r="R2257">
        <v>1</v>
      </c>
      <c r="S2257">
        <v>1</v>
      </c>
      <c r="T2257">
        <v>1</v>
      </c>
      <c r="U2257">
        <v>0</v>
      </c>
      <c r="V2257">
        <v>0</v>
      </c>
      <c r="W2257">
        <v>1</v>
      </c>
      <c r="X2257">
        <v>1</v>
      </c>
      <c r="Y2257">
        <v>0</v>
      </c>
      <c r="Z2257">
        <v>0</v>
      </c>
      <c r="AA2257" t="s">
        <v>2984</v>
      </c>
      <c r="AB2257" t="s">
        <v>1869</v>
      </c>
      <c r="AC2257" t="s">
        <v>2984</v>
      </c>
      <c r="AD2257" t="e">
        <f>VLOOKUP(AB2257,#REF!,2,FALSE)</f>
        <v>#REF!</v>
      </c>
      <c r="AE2257" t="e">
        <f>RIGHT(#REF!,(FIND("Complex",#REF!,1)-8))</f>
        <v>#REF!</v>
      </c>
    </row>
    <row r="2258" spans="1:31" x14ac:dyDescent="0.25">
      <c r="A2258">
        <v>3624</v>
      </c>
      <c r="B2258" t="s">
        <v>83</v>
      </c>
      <c r="C2258">
        <v>97</v>
      </c>
      <c r="D2258">
        <v>461</v>
      </c>
      <c r="E2258">
        <v>3624</v>
      </c>
      <c r="F2258">
        <v>9702001</v>
      </c>
      <c r="G2258">
        <v>9790200</v>
      </c>
      <c r="H2258">
        <f t="shared" si="70"/>
        <v>220.00002267573697</v>
      </c>
      <c r="I2258">
        <f t="shared" si="71"/>
        <v>222</v>
      </c>
      <c r="J2258" t="s">
        <v>32</v>
      </c>
      <c r="K2258">
        <v>6</v>
      </c>
      <c r="L2258" t="e">
        <f t="array" ref="L2258">VLOOKUP(J2258:$J$3871&amp;K2258:$K$3871,CHOOSE({1,2},#REF!&amp;#REF!,#REF!),2,0)</f>
        <v>#N/A</v>
      </c>
      <c r="M2258">
        <v>-15</v>
      </c>
      <c r="N2258">
        <v>0</v>
      </c>
      <c r="O2258" t="s">
        <v>7</v>
      </c>
      <c r="P2258">
        <v>1</v>
      </c>
      <c r="Q2258">
        <v>1</v>
      </c>
      <c r="R2258">
        <v>1</v>
      </c>
      <c r="S2258">
        <v>1</v>
      </c>
      <c r="T2258">
        <v>0</v>
      </c>
      <c r="U2258">
        <v>0</v>
      </c>
      <c r="V2258">
        <v>0</v>
      </c>
      <c r="W2258">
        <v>1</v>
      </c>
      <c r="X2258">
        <v>1</v>
      </c>
      <c r="Y2258">
        <v>0</v>
      </c>
      <c r="Z2258">
        <v>0</v>
      </c>
      <c r="AA2258" t="s">
        <v>3003</v>
      </c>
      <c r="AB2258" t="s">
        <v>1870</v>
      </c>
      <c r="AC2258" t="s">
        <v>3003</v>
      </c>
      <c r="AD2258" t="e">
        <f>VLOOKUP(AB2258,#REF!,2,FALSE)</f>
        <v>#REF!</v>
      </c>
      <c r="AE2258" t="e">
        <f>RIGHT(#REF!,(FIND("Complex",#REF!,1)-8))</f>
        <v>#REF!</v>
      </c>
    </row>
    <row r="2259" spans="1:31" x14ac:dyDescent="0.25">
      <c r="A2259">
        <v>1760</v>
      </c>
      <c r="B2259" t="s">
        <v>83</v>
      </c>
      <c r="C2259">
        <v>97</v>
      </c>
      <c r="D2259">
        <v>161</v>
      </c>
      <c r="E2259">
        <v>1760</v>
      </c>
      <c r="F2259">
        <v>9613801</v>
      </c>
      <c r="G2259">
        <v>9702000</v>
      </c>
      <c r="H2259">
        <f t="shared" si="70"/>
        <v>218.00002267573697</v>
      </c>
      <c r="I2259">
        <f t="shared" si="71"/>
        <v>220</v>
      </c>
      <c r="J2259" t="s">
        <v>32</v>
      </c>
      <c r="K2259">
        <v>6</v>
      </c>
      <c r="L2259" t="e">
        <f t="array" ref="L2259">VLOOKUP(J2259:$J$3871&amp;K2259:$K$3871,CHOOSE({1,2},#REF!&amp;#REF!,#REF!),2,0)</f>
        <v>#N/A</v>
      </c>
      <c r="M2259">
        <v>-15</v>
      </c>
      <c r="N2259">
        <v>0</v>
      </c>
      <c r="O2259" t="s">
        <v>7</v>
      </c>
      <c r="P2259">
        <v>1</v>
      </c>
      <c r="Q2259">
        <v>1</v>
      </c>
      <c r="R2259">
        <v>1</v>
      </c>
      <c r="S2259">
        <v>1</v>
      </c>
      <c r="T2259">
        <v>0</v>
      </c>
      <c r="U2259">
        <v>0</v>
      </c>
      <c r="V2259">
        <v>0</v>
      </c>
      <c r="W2259">
        <v>1</v>
      </c>
      <c r="X2259">
        <v>1</v>
      </c>
      <c r="Y2259">
        <v>0</v>
      </c>
      <c r="Z2259">
        <v>0</v>
      </c>
      <c r="AA2259" t="s">
        <v>3008</v>
      </c>
      <c r="AB2259" t="s">
        <v>1871</v>
      </c>
      <c r="AC2259" t="s">
        <v>3008</v>
      </c>
      <c r="AD2259" t="e">
        <f>VLOOKUP(AB2259,#REF!,2,FALSE)</f>
        <v>#REF!</v>
      </c>
      <c r="AE2259" t="e">
        <f>RIGHT(#REF!,(FIND("Complex",#REF!,1)-8))</f>
        <v>#REF!</v>
      </c>
    </row>
    <row r="2260" spans="1:31" x14ac:dyDescent="0.25">
      <c r="A2260">
        <v>1907</v>
      </c>
      <c r="B2260" t="s">
        <v>83</v>
      </c>
      <c r="C2260">
        <v>97</v>
      </c>
      <c r="D2260">
        <v>178</v>
      </c>
      <c r="E2260">
        <v>1907</v>
      </c>
      <c r="F2260">
        <v>9525601</v>
      </c>
      <c r="G2260">
        <v>9613800</v>
      </c>
      <c r="H2260">
        <f t="shared" si="70"/>
        <v>216.00002267573697</v>
      </c>
      <c r="I2260">
        <f t="shared" si="71"/>
        <v>218</v>
      </c>
      <c r="J2260" t="s">
        <v>32</v>
      </c>
      <c r="K2260">
        <v>6</v>
      </c>
      <c r="L2260" t="e">
        <f t="array" ref="L2260">VLOOKUP(J2260:$J$3871&amp;K2260:$K$3871,CHOOSE({1,2},#REF!&amp;#REF!,#REF!),2,0)</f>
        <v>#N/A</v>
      </c>
      <c r="M2260">
        <v>-15</v>
      </c>
      <c r="N2260">
        <v>0</v>
      </c>
      <c r="O2260" t="s">
        <v>7</v>
      </c>
      <c r="P2260">
        <v>1</v>
      </c>
      <c r="Q2260">
        <v>1</v>
      </c>
      <c r="R2260">
        <v>1</v>
      </c>
      <c r="S2260">
        <v>1</v>
      </c>
      <c r="T2260">
        <v>0</v>
      </c>
      <c r="U2260">
        <v>0</v>
      </c>
      <c r="V2260">
        <v>0</v>
      </c>
      <c r="W2260">
        <v>1</v>
      </c>
      <c r="X2260">
        <v>1</v>
      </c>
      <c r="Y2260">
        <v>0</v>
      </c>
      <c r="Z2260">
        <v>0</v>
      </c>
      <c r="AA2260" t="s">
        <v>3013</v>
      </c>
      <c r="AB2260" t="s">
        <v>1872</v>
      </c>
      <c r="AC2260" t="s">
        <v>3013</v>
      </c>
      <c r="AD2260" t="e">
        <f>VLOOKUP(AB2260,#REF!,2,FALSE)</f>
        <v>#REF!</v>
      </c>
      <c r="AE2260" t="e">
        <f>RIGHT(#REF!,(FIND("Complex",#REF!,1)-8))</f>
        <v>#REF!</v>
      </c>
    </row>
    <row r="2261" spans="1:31" x14ac:dyDescent="0.25">
      <c r="A2261">
        <v>2758</v>
      </c>
      <c r="B2261" t="s">
        <v>83</v>
      </c>
      <c r="C2261">
        <v>97</v>
      </c>
      <c r="D2261">
        <v>286</v>
      </c>
      <c r="E2261">
        <v>2758</v>
      </c>
      <c r="F2261">
        <v>8731801</v>
      </c>
      <c r="G2261">
        <v>8820000</v>
      </c>
      <c r="H2261">
        <f t="shared" si="70"/>
        <v>198.00002267573697</v>
      </c>
      <c r="I2261">
        <f t="shared" si="71"/>
        <v>200</v>
      </c>
      <c r="J2261" t="s">
        <v>32</v>
      </c>
      <c r="K2261">
        <v>6</v>
      </c>
      <c r="L2261" t="e">
        <f t="array" ref="L2261">VLOOKUP(J2261:$J$3871&amp;K2261:$K$3871,CHOOSE({1,2},#REF!&amp;#REF!,#REF!),2,0)</f>
        <v>#N/A</v>
      </c>
      <c r="M2261">
        <v>-15</v>
      </c>
      <c r="N2261">
        <v>0</v>
      </c>
      <c r="O2261" t="s">
        <v>7</v>
      </c>
      <c r="P2261">
        <v>1</v>
      </c>
      <c r="Q2261">
        <v>1</v>
      </c>
      <c r="R2261">
        <v>1</v>
      </c>
      <c r="S2261">
        <v>1</v>
      </c>
      <c r="T2261">
        <v>0</v>
      </c>
      <c r="U2261">
        <v>0</v>
      </c>
      <c r="V2261">
        <v>0</v>
      </c>
      <c r="W2261">
        <v>1</v>
      </c>
      <c r="X2261">
        <v>1</v>
      </c>
      <c r="Y2261">
        <v>0</v>
      </c>
      <c r="Z2261">
        <v>0</v>
      </c>
      <c r="AA2261" t="s">
        <v>3057</v>
      </c>
      <c r="AB2261" t="s">
        <v>1873</v>
      </c>
      <c r="AC2261" t="s">
        <v>3057</v>
      </c>
      <c r="AD2261" t="e">
        <f>VLOOKUP(AB2261,#REF!,2,FALSE)</f>
        <v>#REF!</v>
      </c>
      <c r="AE2261" t="e">
        <f>RIGHT(#REF!,(FIND("Complex",#REF!,1)-8))</f>
        <v>#REF!</v>
      </c>
    </row>
    <row r="2262" spans="1:31" x14ac:dyDescent="0.25">
      <c r="A2262">
        <v>2917</v>
      </c>
      <c r="B2262" t="s">
        <v>83</v>
      </c>
      <c r="C2262">
        <v>97</v>
      </c>
      <c r="D2262">
        <v>321</v>
      </c>
      <c r="E2262">
        <v>2917</v>
      </c>
      <c r="F2262">
        <v>8026201</v>
      </c>
      <c r="G2262">
        <v>8114400</v>
      </c>
      <c r="H2262">
        <f t="shared" si="70"/>
        <v>182.00002267573697</v>
      </c>
      <c r="I2262">
        <f t="shared" si="71"/>
        <v>184</v>
      </c>
      <c r="J2262" t="s">
        <v>32</v>
      </c>
      <c r="K2262">
        <v>6</v>
      </c>
      <c r="L2262" t="e">
        <f t="array" ref="L2262">VLOOKUP(J2262:$J$3871&amp;K2262:$K$3871,CHOOSE({1,2},#REF!&amp;#REF!,#REF!),2,0)</f>
        <v>#N/A</v>
      </c>
      <c r="M2262">
        <v>-15</v>
      </c>
      <c r="N2262">
        <v>0</v>
      </c>
      <c r="O2262" t="s">
        <v>7</v>
      </c>
      <c r="P2262">
        <v>1</v>
      </c>
      <c r="Q2262">
        <v>1</v>
      </c>
      <c r="R2262">
        <v>1</v>
      </c>
      <c r="S2262">
        <v>1</v>
      </c>
      <c r="T2262">
        <v>0</v>
      </c>
      <c r="U2262">
        <v>0</v>
      </c>
      <c r="V2262">
        <v>0</v>
      </c>
      <c r="W2262">
        <v>1</v>
      </c>
      <c r="X2262">
        <v>1</v>
      </c>
      <c r="Y2262">
        <v>0</v>
      </c>
      <c r="Z2262">
        <v>0</v>
      </c>
      <c r="AA2262" t="s">
        <v>3116</v>
      </c>
      <c r="AB2262" t="s">
        <v>1874</v>
      </c>
      <c r="AC2262" t="s">
        <v>3116</v>
      </c>
      <c r="AD2262" t="e">
        <f>VLOOKUP(AB2262,#REF!,2,FALSE)</f>
        <v>#REF!</v>
      </c>
      <c r="AE2262" t="e">
        <f>RIGHT(#REF!,(FIND("Complex",#REF!,1)-8))</f>
        <v>#REF!</v>
      </c>
    </row>
    <row r="2263" spans="1:31" x14ac:dyDescent="0.25">
      <c r="A2263">
        <v>3748</v>
      </c>
      <c r="B2263" t="s">
        <v>83</v>
      </c>
      <c r="C2263">
        <v>97</v>
      </c>
      <c r="D2263">
        <v>475</v>
      </c>
      <c r="E2263">
        <v>3748</v>
      </c>
      <c r="F2263">
        <v>7938001</v>
      </c>
      <c r="G2263">
        <v>8026200</v>
      </c>
      <c r="H2263">
        <f t="shared" si="70"/>
        <v>180.00002267573697</v>
      </c>
      <c r="I2263">
        <f t="shared" si="71"/>
        <v>182</v>
      </c>
      <c r="J2263" t="s">
        <v>32</v>
      </c>
      <c r="K2263">
        <v>6</v>
      </c>
      <c r="L2263" t="e">
        <f t="array" ref="L2263">VLOOKUP(J2263:$J$3871&amp;K2263:$K$3871,CHOOSE({1,2},#REF!&amp;#REF!,#REF!),2,0)</f>
        <v>#N/A</v>
      </c>
      <c r="M2263">
        <v>-15</v>
      </c>
      <c r="N2263">
        <v>0</v>
      </c>
      <c r="O2263" t="s">
        <v>7</v>
      </c>
      <c r="P2263">
        <v>1</v>
      </c>
      <c r="Q2263">
        <v>1</v>
      </c>
      <c r="R2263">
        <v>1</v>
      </c>
      <c r="S2263">
        <v>1</v>
      </c>
      <c r="T2263">
        <v>0</v>
      </c>
      <c r="U2263">
        <v>0</v>
      </c>
      <c r="V2263">
        <v>0</v>
      </c>
      <c r="W2263">
        <v>1</v>
      </c>
      <c r="X2263">
        <v>1</v>
      </c>
      <c r="Y2263">
        <v>0</v>
      </c>
      <c r="Z2263">
        <v>0</v>
      </c>
      <c r="AA2263" t="s">
        <v>3126</v>
      </c>
      <c r="AB2263" t="s">
        <v>1875</v>
      </c>
      <c r="AC2263" t="s">
        <v>3126</v>
      </c>
      <c r="AD2263" t="e">
        <f>VLOOKUP(AB2263,#REF!,2,FALSE)</f>
        <v>#REF!</v>
      </c>
      <c r="AE2263" t="e">
        <f>RIGHT(#REF!,(FIND("Complex",#REF!,1)-8))</f>
        <v>#REF!</v>
      </c>
    </row>
    <row r="2264" spans="1:31" x14ac:dyDescent="0.25">
      <c r="A2264">
        <v>2701</v>
      </c>
      <c r="B2264" t="s">
        <v>83</v>
      </c>
      <c r="C2264">
        <v>97</v>
      </c>
      <c r="D2264">
        <v>275</v>
      </c>
      <c r="E2264">
        <v>2701</v>
      </c>
      <c r="F2264">
        <v>7497001</v>
      </c>
      <c r="G2264">
        <v>7585200</v>
      </c>
      <c r="H2264">
        <f t="shared" si="70"/>
        <v>170.00002267573697</v>
      </c>
      <c r="I2264">
        <f t="shared" si="71"/>
        <v>172</v>
      </c>
      <c r="J2264" t="s">
        <v>32</v>
      </c>
      <c r="K2264">
        <v>6</v>
      </c>
      <c r="L2264" t="e">
        <f t="array" ref="L2264">VLOOKUP(J2264:$J$3871&amp;K2264:$K$3871,CHOOSE({1,2},#REF!&amp;#REF!,#REF!),2,0)</f>
        <v>#N/A</v>
      </c>
      <c r="M2264">
        <v>-15</v>
      </c>
      <c r="N2264">
        <v>0</v>
      </c>
      <c r="O2264" t="s">
        <v>7</v>
      </c>
      <c r="P2264">
        <v>1</v>
      </c>
      <c r="Q2264">
        <v>1</v>
      </c>
      <c r="R2264">
        <v>1</v>
      </c>
      <c r="S2264">
        <v>1</v>
      </c>
      <c r="T2264">
        <v>0</v>
      </c>
      <c r="U2264">
        <v>0</v>
      </c>
      <c r="V2264">
        <v>0</v>
      </c>
      <c r="W2264">
        <v>1</v>
      </c>
      <c r="X2264">
        <v>1</v>
      </c>
      <c r="Y2264">
        <v>0</v>
      </c>
      <c r="Z2264">
        <v>0</v>
      </c>
      <c r="AA2264" t="s">
        <v>3169</v>
      </c>
      <c r="AB2264" t="s">
        <v>1876</v>
      </c>
      <c r="AC2264" t="s">
        <v>3169</v>
      </c>
      <c r="AD2264" t="e">
        <f>VLOOKUP(AB2264,#REF!,2,FALSE)</f>
        <v>#REF!</v>
      </c>
      <c r="AE2264" t="e">
        <f>RIGHT(#REF!,(FIND("Complex",#REF!,1)-8))</f>
        <v>#REF!</v>
      </c>
    </row>
    <row r="2265" spans="1:31" x14ac:dyDescent="0.25">
      <c r="A2265">
        <v>3107</v>
      </c>
      <c r="B2265" t="s">
        <v>83</v>
      </c>
      <c r="C2265">
        <v>97</v>
      </c>
      <c r="D2265">
        <v>365</v>
      </c>
      <c r="E2265">
        <v>3107</v>
      </c>
      <c r="F2265">
        <v>7056001</v>
      </c>
      <c r="G2265">
        <v>7144200</v>
      </c>
      <c r="H2265">
        <f t="shared" si="70"/>
        <v>160.00002267573697</v>
      </c>
      <c r="I2265">
        <f t="shared" si="71"/>
        <v>162</v>
      </c>
      <c r="J2265" t="s">
        <v>32</v>
      </c>
      <c r="K2265">
        <v>6</v>
      </c>
      <c r="L2265" t="e">
        <f t="array" ref="L2265">VLOOKUP(J2265:$J$3871&amp;K2265:$K$3871,CHOOSE({1,2},#REF!&amp;#REF!,#REF!),2,0)</f>
        <v>#N/A</v>
      </c>
      <c r="M2265">
        <v>-15</v>
      </c>
      <c r="N2265">
        <v>0</v>
      </c>
      <c r="O2265" t="s">
        <v>7</v>
      </c>
      <c r="P2265">
        <v>1</v>
      </c>
      <c r="Q2265">
        <v>1</v>
      </c>
      <c r="R2265">
        <v>1</v>
      </c>
      <c r="S2265">
        <v>1</v>
      </c>
      <c r="T2265">
        <v>0</v>
      </c>
      <c r="U2265">
        <v>0</v>
      </c>
      <c r="V2265">
        <v>0</v>
      </c>
      <c r="W2265">
        <v>1</v>
      </c>
      <c r="X2265">
        <v>1</v>
      </c>
      <c r="Y2265">
        <v>0</v>
      </c>
      <c r="Z2265">
        <v>0</v>
      </c>
      <c r="AA2265" t="s">
        <v>3191</v>
      </c>
      <c r="AB2265" t="s">
        <v>1877</v>
      </c>
      <c r="AC2265" t="s">
        <v>3191</v>
      </c>
      <c r="AD2265" t="e">
        <f>VLOOKUP(AB2265,#REF!,2,FALSE)</f>
        <v>#REF!</v>
      </c>
      <c r="AE2265" t="e">
        <f>RIGHT(#REF!,(FIND("Complex",#REF!,1)-8))</f>
        <v>#REF!</v>
      </c>
    </row>
    <row r="2266" spans="1:31" x14ac:dyDescent="0.25">
      <c r="A2266">
        <v>3432</v>
      </c>
      <c r="B2266" t="s">
        <v>83</v>
      </c>
      <c r="C2266">
        <v>97</v>
      </c>
      <c r="D2266">
        <v>432</v>
      </c>
      <c r="E2266">
        <v>3432</v>
      </c>
      <c r="F2266">
        <v>6879601</v>
      </c>
      <c r="G2266">
        <v>6967800</v>
      </c>
      <c r="H2266">
        <f t="shared" si="70"/>
        <v>156.00002267573697</v>
      </c>
      <c r="I2266">
        <f t="shared" si="71"/>
        <v>158</v>
      </c>
      <c r="J2266" t="s">
        <v>32</v>
      </c>
      <c r="K2266">
        <v>6</v>
      </c>
      <c r="L2266" t="e">
        <f t="array" ref="L2266">VLOOKUP(J2266:$J$3871&amp;K2266:$K$3871,CHOOSE({1,2},#REF!&amp;#REF!,#REF!),2,0)</f>
        <v>#N/A</v>
      </c>
      <c r="M2266">
        <v>-15</v>
      </c>
      <c r="N2266">
        <v>0</v>
      </c>
      <c r="O2266" t="s">
        <v>7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</v>
      </c>
      <c r="V2266">
        <v>0</v>
      </c>
      <c r="W2266">
        <v>1</v>
      </c>
      <c r="X2266">
        <v>1</v>
      </c>
      <c r="Y2266">
        <v>0</v>
      </c>
      <c r="Z2266">
        <v>0</v>
      </c>
      <c r="AA2266" t="s">
        <v>3202</v>
      </c>
      <c r="AB2266" t="s">
        <v>1878</v>
      </c>
      <c r="AC2266" t="s">
        <v>3202</v>
      </c>
      <c r="AD2266" t="e">
        <f>VLOOKUP(AB2266,#REF!,2,FALSE)</f>
        <v>#REF!</v>
      </c>
      <c r="AE2266" t="e">
        <f>RIGHT(#REF!,(FIND("Complex",#REF!,1)-8))</f>
        <v>#REF!</v>
      </c>
    </row>
    <row r="2267" spans="1:31" x14ac:dyDescent="0.25">
      <c r="A2267">
        <v>1073</v>
      </c>
      <c r="B2267" t="s">
        <v>83</v>
      </c>
      <c r="C2267">
        <v>97</v>
      </c>
      <c r="D2267">
        <v>91</v>
      </c>
      <c r="E2267">
        <v>1073</v>
      </c>
      <c r="F2267">
        <v>6703201</v>
      </c>
      <c r="G2267">
        <v>6791400</v>
      </c>
      <c r="H2267">
        <f t="shared" si="70"/>
        <v>152.00002267573697</v>
      </c>
      <c r="I2267">
        <f t="shared" si="71"/>
        <v>154</v>
      </c>
      <c r="J2267" t="s">
        <v>32</v>
      </c>
      <c r="K2267">
        <v>6</v>
      </c>
      <c r="L2267" t="e">
        <f t="array" ref="L2267">VLOOKUP(J2267:$J$3871&amp;K2267:$K$3871,CHOOSE({1,2},#REF!&amp;#REF!,#REF!),2,0)</f>
        <v>#N/A</v>
      </c>
      <c r="M2267">
        <v>-15</v>
      </c>
      <c r="N2267">
        <v>0</v>
      </c>
      <c r="O2267" t="s">
        <v>7</v>
      </c>
      <c r="P2267">
        <v>1</v>
      </c>
      <c r="Q2267">
        <v>1</v>
      </c>
      <c r="R2267">
        <v>1</v>
      </c>
      <c r="S2267">
        <v>1</v>
      </c>
      <c r="T2267">
        <v>0</v>
      </c>
      <c r="U2267">
        <v>0</v>
      </c>
      <c r="V2267">
        <v>0</v>
      </c>
      <c r="W2267">
        <v>1</v>
      </c>
      <c r="X2267">
        <v>1</v>
      </c>
      <c r="Y2267">
        <v>0</v>
      </c>
      <c r="Z2267">
        <v>0</v>
      </c>
      <c r="AA2267" t="s">
        <v>3217</v>
      </c>
      <c r="AB2267" t="s">
        <v>1879</v>
      </c>
      <c r="AC2267" t="s">
        <v>3217</v>
      </c>
      <c r="AD2267" t="e">
        <f>VLOOKUP(AB2267,#REF!,2,FALSE)</f>
        <v>#REF!</v>
      </c>
      <c r="AE2267" t="e">
        <f>RIGHT(#REF!,(FIND("Complex",#REF!,1)-8))</f>
        <v>#REF!</v>
      </c>
    </row>
    <row r="2268" spans="1:31" x14ac:dyDescent="0.25">
      <c r="A2268">
        <v>1298</v>
      </c>
      <c r="B2268" t="s">
        <v>55</v>
      </c>
      <c r="C2268">
        <v>102</v>
      </c>
      <c r="D2268">
        <v>118</v>
      </c>
      <c r="E2268">
        <v>1298</v>
      </c>
      <c r="F2268">
        <v>2910601</v>
      </c>
      <c r="G2268">
        <v>2998800</v>
      </c>
      <c r="H2268">
        <f t="shared" si="70"/>
        <v>66.000022675736957</v>
      </c>
      <c r="I2268">
        <f t="shared" si="71"/>
        <v>68</v>
      </c>
      <c r="J2268" t="s">
        <v>32</v>
      </c>
      <c r="K2268">
        <v>6</v>
      </c>
      <c r="L2268" t="e">
        <f t="array" ref="L2268">VLOOKUP(J2268:$J$3871&amp;K2268:$K$3871,CHOOSE({1,2},#REF!&amp;#REF!,#REF!),2,0)</f>
        <v>#N/A</v>
      </c>
      <c r="M2268">
        <v>-15</v>
      </c>
      <c r="N2268">
        <v>0</v>
      </c>
      <c r="O2268" t="s">
        <v>7</v>
      </c>
      <c r="P2268">
        <v>1</v>
      </c>
      <c r="Q2268">
        <v>0</v>
      </c>
      <c r="R2268">
        <v>1</v>
      </c>
      <c r="S2268">
        <v>1</v>
      </c>
      <c r="T2268">
        <v>0</v>
      </c>
      <c r="U2268">
        <v>1</v>
      </c>
      <c r="V2268">
        <v>0</v>
      </c>
      <c r="W2268">
        <v>1</v>
      </c>
      <c r="X2268">
        <v>1</v>
      </c>
      <c r="Y2268">
        <v>0</v>
      </c>
      <c r="Z2268">
        <v>0</v>
      </c>
      <c r="AA2268" t="s">
        <v>2760</v>
      </c>
      <c r="AB2268" t="s">
        <v>1985</v>
      </c>
      <c r="AC2268" t="s">
        <v>2760</v>
      </c>
      <c r="AD2268" t="e">
        <f>VLOOKUP(AB2268,#REF!,2,FALSE)</f>
        <v>#REF!</v>
      </c>
      <c r="AE2268" t="e">
        <f>RIGHT(#REF!,(FIND("Complex",#REF!,1)-8))</f>
        <v>#REF!</v>
      </c>
    </row>
    <row r="2269" spans="1:31" x14ac:dyDescent="0.25">
      <c r="A2269">
        <v>2434</v>
      </c>
      <c r="B2269" t="s">
        <v>55</v>
      </c>
      <c r="C2269">
        <v>102</v>
      </c>
      <c r="D2269">
        <v>235</v>
      </c>
      <c r="E2269">
        <v>2434</v>
      </c>
      <c r="F2269">
        <v>2734201</v>
      </c>
      <c r="G2269">
        <v>2822400</v>
      </c>
      <c r="H2269">
        <f t="shared" si="70"/>
        <v>62.000022675736965</v>
      </c>
      <c r="I2269">
        <f t="shared" si="71"/>
        <v>64</v>
      </c>
      <c r="J2269" t="s">
        <v>32</v>
      </c>
      <c r="K2269">
        <v>6</v>
      </c>
      <c r="L2269" t="e">
        <f t="array" ref="L2269">VLOOKUP(J2269:$J$3871&amp;K2269:$K$3871,CHOOSE({1,2},#REF!&amp;#REF!,#REF!),2,0)</f>
        <v>#N/A</v>
      </c>
      <c r="M2269">
        <v>-15</v>
      </c>
      <c r="N2269">
        <v>0</v>
      </c>
      <c r="O2269" t="s">
        <v>7</v>
      </c>
      <c r="P2269">
        <v>1</v>
      </c>
      <c r="Q2269">
        <v>0</v>
      </c>
      <c r="R2269">
        <v>1</v>
      </c>
      <c r="S2269">
        <v>1</v>
      </c>
      <c r="T2269">
        <v>0</v>
      </c>
      <c r="U2269">
        <v>1</v>
      </c>
      <c r="V2269">
        <v>0</v>
      </c>
      <c r="W2269">
        <v>1</v>
      </c>
      <c r="X2269">
        <v>1</v>
      </c>
      <c r="Y2269">
        <v>0</v>
      </c>
      <c r="Z2269">
        <v>0</v>
      </c>
      <c r="AA2269" t="s">
        <v>2777</v>
      </c>
      <c r="AB2269" t="s">
        <v>1986</v>
      </c>
      <c r="AC2269" t="s">
        <v>2777</v>
      </c>
      <c r="AD2269" t="e">
        <f>VLOOKUP(AB2269,#REF!,2,FALSE)</f>
        <v>#REF!</v>
      </c>
      <c r="AE2269" t="e">
        <f>RIGHT(#REF!,(FIND("Complex",#REF!,1)-8))</f>
        <v>#REF!</v>
      </c>
    </row>
    <row r="2270" spans="1:31" x14ac:dyDescent="0.25">
      <c r="A2270">
        <v>3018</v>
      </c>
      <c r="B2270" t="s">
        <v>55</v>
      </c>
      <c r="C2270">
        <v>102</v>
      </c>
      <c r="D2270">
        <v>346</v>
      </c>
      <c r="E2270">
        <v>3018</v>
      </c>
      <c r="F2270">
        <v>1675801</v>
      </c>
      <c r="G2270">
        <v>1764000</v>
      </c>
      <c r="H2270">
        <f t="shared" si="70"/>
        <v>38.000022675736965</v>
      </c>
      <c r="I2270">
        <f t="shared" si="71"/>
        <v>40</v>
      </c>
      <c r="J2270" t="s">
        <v>32</v>
      </c>
      <c r="K2270">
        <v>6</v>
      </c>
      <c r="L2270" t="e">
        <f t="array" ref="L2270">VLOOKUP(J2270:$J$3871&amp;K2270:$K$3871,CHOOSE({1,2},#REF!&amp;#REF!,#REF!),2,0)</f>
        <v>#N/A</v>
      </c>
      <c r="M2270">
        <v>-15</v>
      </c>
      <c r="N2270">
        <v>0</v>
      </c>
      <c r="O2270" t="s">
        <v>7</v>
      </c>
      <c r="P2270">
        <v>1</v>
      </c>
      <c r="Q2270">
        <v>0</v>
      </c>
      <c r="R2270">
        <v>1</v>
      </c>
      <c r="S2270">
        <v>1</v>
      </c>
      <c r="T2270">
        <v>0</v>
      </c>
      <c r="U2270">
        <v>1</v>
      </c>
      <c r="V2270">
        <v>0</v>
      </c>
      <c r="W2270">
        <v>1</v>
      </c>
      <c r="X2270">
        <v>1</v>
      </c>
      <c r="Y2270">
        <v>0</v>
      </c>
      <c r="Z2270">
        <v>0</v>
      </c>
      <c r="AA2270" t="s">
        <v>2843</v>
      </c>
      <c r="AB2270" t="s">
        <v>1987</v>
      </c>
      <c r="AC2270" t="s">
        <v>2843</v>
      </c>
      <c r="AD2270" t="e">
        <f>VLOOKUP(AB2270,#REF!,2,FALSE)</f>
        <v>#REF!</v>
      </c>
      <c r="AE2270" t="e">
        <f>RIGHT(#REF!,(FIND("Complex",#REF!,1)-8))</f>
        <v>#REF!</v>
      </c>
    </row>
    <row r="2271" spans="1:31" x14ac:dyDescent="0.25">
      <c r="A2271">
        <v>2385</v>
      </c>
      <c r="B2271" t="s">
        <v>55</v>
      </c>
      <c r="C2271">
        <v>102</v>
      </c>
      <c r="D2271">
        <v>230</v>
      </c>
      <c r="E2271">
        <v>2385</v>
      </c>
      <c r="F2271">
        <v>9702001</v>
      </c>
      <c r="G2271">
        <v>9790200</v>
      </c>
      <c r="H2271">
        <f t="shared" si="70"/>
        <v>220.00002267573697</v>
      </c>
      <c r="I2271">
        <f t="shared" si="71"/>
        <v>222</v>
      </c>
      <c r="J2271" t="s">
        <v>32</v>
      </c>
      <c r="K2271">
        <v>6</v>
      </c>
      <c r="L2271" t="e">
        <f t="array" ref="L2271">VLOOKUP(J2271:$J$3871&amp;K2271:$K$3871,CHOOSE({1,2},#REF!&amp;#REF!,#REF!),2,0)</f>
        <v>#N/A</v>
      </c>
      <c r="M2271">
        <v>-15</v>
      </c>
      <c r="N2271">
        <v>0</v>
      </c>
      <c r="O2271" t="s">
        <v>7</v>
      </c>
      <c r="P2271">
        <v>1</v>
      </c>
      <c r="Q2271">
        <v>0</v>
      </c>
      <c r="R2271">
        <v>1</v>
      </c>
      <c r="S2271">
        <v>1</v>
      </c>
      <c r="T2271">
        <v>0</v>
      </c>
      <c r="U2271">
        <v>1</v>
      </c>
      <c r="V2271">
        <v>0</v>
      </c>
      <c r="W2271">
        <v>1</v>
      </c>
      <c r="X2271">
        <v>1</v>
      </c>
      <c r="Y2271">
        <v>0</v>
      </c>
      <c r="Z2271">
        <v>0</v>
      </c>
      <c r="AA2271" t="s">
        <v>3007</v>
      </c>
      <c r="AB2271" t="s">
        <v>1988</v>
      </c>
      <c r="AC2271" t="s">
        <v>3007</v>
      </c>
      <c r="AD2271" t="e">
        <f>VLOOKUP(AB2271,#REF!,2,FALSE)</f>
        <v>#REF!</v>
      </c>
      <c r="AE2271" t="e">
        <f>RIGHT(#REF!,(FIND("Complex",#REF!,1)-7))</f>
        <v>#REF!</v>
      </c>
    </row>
    <row r="2272" spans="1:31" x14ac:dyDescent="0.25">
      <c r="A2272">
        <v>484</v>
      </c>
      <c r="B2272" t="s">
        <v>55</v>
      </c>
      <c r="C2272">
        <v>102</v>
      </c>
      <c r="D2272">
        <v>41</v>
      </c>
      <c r="E2272">
        <v>484</v>
      </c>
      <c r="F2272">
        <v>9613801</v>
      </c>
      <c r="G2272">
        <v>9702000</v>
      </c>
      <c r="H2272">
        <f t="shared" si="70"/>
        <v>218.00002267573697</v>
      </c>
      <c r="I2272">
        <f t="shared" si="71"/>
        <v>220</v>
      </c>
      <c r="J2272" t="s">
        <v>32</v>
      </c>
      <c r="K2272">
        <v>6</v>
      </c>
      <c r="L2272" t="e">
        <f t="array" ref="L2272">VLOOKUP(J2272:$J$3871&amp;K2272:$K$3871,CHOOSE({1,2},#REF!&amp;#REF!,#REF!),2,0)</f>
        <v>#N/A</v>
      </c>
      <c r="M2272">
        <v>-15</v>
      </c>
      <c r="N2272">
        <v>0</v>
      </c>
      <c r="O2272" t="s">
        <v>7</v>
      </c>
      <c r="P2272">
        <v>1</v>
      </c>
      <c r="Q2272">
        <v>0</v>
      </c>
      <c r="R2272">
        <v>1</v>
      </c>
      <c r="S2272">
        <v>1</v>
      </c>
      <c r="T2272">
        <v>0</v>
      </c>
      <c r="U2272">
        <v>1</v>
      </c>
      <c r="V2272">
        <v>0</v>
      </c>
      <c r="W2272">
        <v>1</v>
      </c>
      <c r="X2272">
        <v>1</v>
      </c>
      <c r="Y2272">
        <v>0</v>
      </c>
      <c r="Z2272">
        <v>0</v>
      </c>
      <c r="AA2272" t="s">
        <v>3012</v>
      </c>
      <c r="AB2272" t="s">
        <v>1989</v>
      </c>
      <c r="AC2272" t="s">
        <v>3012</v>
      </c>
      <c r="AD2272" t="e">
        <f>VLOOKUP(AB2272,#REF!,2,FALSE)</f>
        <v>#REF!</v>
      </c>
      <c r="AE2272" t="e">
        <f>RIGHT(#REF!,(FIND("Complex",#REF!,1)-6))</f>
        <v>#REF!</v>
      </c>
    </row>
    <row r="2273" spans="1:31" x14ac:dyDescent="0.25">
      <c r="A2273">
        <v>3378</v>
      </c>
      <c r="B2273" t="s">
        <v>55</v>
      </c>
      <c r="C2273">
        <v>102</v>
      </c>
      <c r="D2273">
        <v>422</v>
      </c>
      <c r="E2273">
        <v>3378</v>
      </c>
      <c r="F2273">
        <v>6085801</v>
      </c>
      <c r="G2273">
        <v>6174000</v>
      </c>
      <c r="H2273">
        <f t="shared" si="70"/>
        <v>138.00002267573697</v>
      </c>
      <c r="I2273">
        <f t="shared" si="71"/>
        <v>140</v>
      </c>
      <c r="J2273" t="s">
        <v>32</v>
      </c>
      <c r="K2273">
        <v>6</v>
      </c>
      <c r="L2273" t="e">
        <f t="array" ref="L2273">VLOOKUP(J2273:$J$3871&amp;K2273:$K$3871,CHOOSE({1,2},#REF!&amp;#REF!,#REF!),2,0)</f>
        <v>#N/A</v>
      </c>
      <c r="M2273">
        <v>-15</v>
      </c>
      <c r="N2273">
        <v>0</v>
      </c>
      <c r="O2273" t="s">
        <v>7</v>
      </c>
      <c r="P2273">
        <v>1</v>
      </c>
      <c r="Q2273">
        <v>0</v>
      </c>
      <c r="R2273">
        <v>1</v>
      </c>
      <c r="S2273">
        <v>1</v>
      </c>
      <c r="T2273">
        <v>0</v>
      </c>
      <c r="U2273">
        <v>1</v>
      </c>
      <c r="V2273">
        <v>0</v>
      </c>
      <c r="W2273">
        <v>1</v>
      </c>
      <c r="X2273">
        <v>1</v>
      </c>
      <c r="Y2273">
        <v>0</v>
      </c>
      <c r="Z2273">
        <v>0</v>
      </c>
      <c r="AA2273" t="s">
        <v>3279</v>
      </c>
      <c r="AB2273" t="s">
        <v>1990</v>
      </c>
      <c r="AC2273" t="s">
        <v>3279</v>
      </c>
      <c r="AD2273" t="e">
        <f>VLOOKUP(AB2273,#REF!,2,FALSE)</f>
        <v>#REF!</v>
      </c>
      <c r="AE2273" t="e">
        <f>RIGHT(#REF!,(FIND("Complex",#REF!,1)-7))</f>
        <v>#REF!</v>
      </c>
    </row>
    <row r="2274" spans="1:31" x14ac:dyDescent="0.25">
      <c r="A2274">
        <v>3753</v>
      </c>
      <c r="B2274" t="s">
        <v>55</v>
      </c>
      <c r="C2274">
        <v>102</v>
      </c>
      <c r="D2274">
        <v>476</v>
      </c>
      <c r="E2274">
        <v>3753</v>
      </c>
      <c r="F2274">
        <v>5997601</v>
      </c>
      <c r="G2274">
        <v>6085800</v>
      </c>
      <c r="H2274">
        <f t="shared" si="70"/>
        <v>136.00002267573697</v>
      </c>
      <c r="I2274">
        <f t="shared" si="71"/>
        <v>138</v>
      </c>
      <c r="J2274" t="s">
        <v>32</v>
      </c>
      <c r="K2274">
        <v>6</v>
      </c>
      <c r="L2274" t="e">
        <f t="array" ref="L2274">VLOOKUP(J2274:$J$3871&amp;K2274:$K$3871,CHOOSE({1,2},#REF!&amp;#REF!,#REF!),2,0)</f>
        <v>#N/A</v>
      </c>
      <c r="M2274">
        <v>-15</v>
      </c>
      <c r="N2274">
        <v>0</v>
      </c>
      <c r="O2274" t="s">
        <v>7</v>
      </c>
      <c r="P2274">
        <v>1</v>
      </c>
      <c r="Q2274">
        <v>0</v>
      </c>
      <c r="R2274">
        <v>1</v>
      </c>
      <c r="S2274">
        <v>1</v>
      </c>
      <c r="T2274">
        <v>0</v>
      </c>
      <c r="U2274">
        <v>1</v>
      </c>
      <c r="V2274">
        <v>0</v>
      </c>
      <c r="W2274">
        <v>1</v>
      </c>
      <c r="X2274">
        <v>1</v>
      </c>
      <c r="Y2274">
        <v>0</v>
      </c>
      <c r="Z2274">
        <v>0</v>
      </c>
      <c r="AA2274" t="s">
        <v>3291</v>
      </c>
      <c r="AB2274" t="s">
        <v>1991</v>
      </c>
      <c r="AC2274" t="s">
        <v>3291</v>
      </c>
      <c r="AD2274" t="e">
        <f>VLOOKUP(AB2274,#REF!,2,FALSE)</f>
        <v>#REF!</v>
      </c>
      <c r="AE2274" t="e">
        <f>RIGHT(#REF!,(FIND("Complex",#REF!,1)-7))</f>
        <v>#REF!</v>
      </c>
    </row>
    <row r="2275" spans="1:31" x14ac:dyDescent="0.25">
      <c r="A2275">
        <v>3552</v>
      </c>
      <c r="B2275" t="s">
        <v>55</v>
      </c>
      <c r="C2275">
        <v>102</v>
      </c>
      <c r="D2275">
        <v>450</v>
      </c>
      <c r="E2275">
        <v>3552</v>
      </c>
      <c r="F2275">
        <v>5644801</v>
      </c>
      <c r="G2275">
        <v>5733000</v>
      </c>
      <c r="H2275">
        <f t="shared" si="70"/>
        <v>128.00002267573697</v>
      </c>
      <c r="I2275">
        <f t="shared" si="71"/>
        <v>130</v>
      </c>
      <c r="J2275" t="s">
        <v>32</v>
      </c>
      <c r="K2275">
        <v>6</v>
      </c>
      <c r="L2275" t="e">
        <f t="array" ref="L2275">VLOOKUP(J2275:$J$3871&amp;K2275:$K$3871,CHOOSE({1,2},#REF!&amp;#REF!,#REF!),2,0)</f>
        <v>#N/A</v>
      </c>
      <c r="M2275">
        <v>-15</v>
      </c>
      <c r="N2275">
        <v>0</v>
      </c>
      <c r="O2275" t="s">
        <v>7</v>
      </c>
      <c r="P2275">
        <v>1</v>
      </c>
      <c r="Q2275">
        <v>0</v>
      </c>
      <c r="R2275">
        <v>1</v>
      </c>
      <c r="S2275">
        <v>1</v>
      </c>
      <c r="T2275">
        <v>0</v>
      </c>
      <c r="U2275">
        <v>1</v>
      </c>
      <c r="V2275">
        <v>0</v>
      </c>
      <c r="W2275">
        <v>1</v>
      </c>
      <c r="X2275">
        <v>1</v>
      </c>
      <c r="Y2275">
        <v>0</v>
      </c>
      <c r="Z2275">
        <v>0</v>
      </c>
      <c r="AA2275" t="s">
        <v>3344</v>
      </c>
      <c r="AB2275" t="s">
        <v>1992</v>
      </c>
      <c r="AC2275" t="s">
        <v>3344</v>
      </c>
      <c r="AD2275" t="e">
        <f>VLOOKUP(AB2275,#REF!,2,FALSE)</f>
        <v>#REF!</v>
      </c>
      <c r="AE2275" t="e">
        <f>RIGHT(#REF!,(FIND("Complex",#REF!,1)-7))</f>
        <v>#REF!</v>
      </c>
    </row>
    <row r="2276" spans="1:31" x14ac:dyDescent="0.25">
      <c r="A2276">
        <v>3506</v>
      </c>
      <c r="B2276" t="s">
        <v>55</v>
      </c>
      <c r="C2276">
        <v>102</v>
      </c>
      <c r="D2276">
        <v>444</v>
      </c>
      <c r="E2276">
        <v>3506</v>
      </c>
      <c r="F2276">
        <v>5203801</v>
      </c>
      <c r="G2276">
        <v>5292000</v>
      </c>
      <c r="H2276">
        <f t="shared" si="70"/>
        <v>118.00002267573696</v>
      </c>
      <c r="I2276">
        <f t="shared" si="71"/>
        <v>120</v>
      </c>
      <c r="J2276" t="s">
        <v>32</v>
      </c>
      <c r="K2276">
        <v>6</v>
      </c>
      <c r="L2276" t="e">
        <f t="array" ref="L2276">VLOOKUP(J2276:$J$3871&amp;K2276:$K$3871,CHOOSE({1,2},#REF!&amp;#REF!,#REF!),2,0)</f>
        <v>#N/A</v>
      </c>
      <c r="M2276">
        <v>-15</v>
      </c>
      <c r="N2276">
        <v>0</v>
      </c>
      <c r="O2276" t="s">
        <v>7</v>
      </c>
      <c r="P2276">
        <v>1</v>
      </c>
      <c r="Q2276">
        <v>0</v>
      </c>
      <c r="R2276">
        <v>1</v>
      </c>
      <c r="S2276">
        <v>1</v>
      </c>
      <c r="T2276">
        <v>0</v>
      </c>
      <c r="U2276">
        <v>1</v>
      </c>
      <c r="V2276">
        <v>0</v>
      </c>
      <c r="W2276">
        <v>1</v>
      </c>
      <c r="X2276">
        <v>1</v>
      </c>
      <c r="Y2276">
        <v>0</v>
      </c>
      <c r="Z2276">
        <v>0</v>
      </c>
      <c r="AA2276" t="s">
        <v>3405</v>
      </c>
      <c r="AB2276" t="s">
        <v>1993</v>
      </c>
      <c r="AC2276" t="s">
        <v>3405</v>
      </c>
      <c r="AD2276" t="e">
        <f>VLOOKUP(AB2276,#REF!,2,FALSE)</f>
        <v>#REF!</v>
      </c>
      <c r="AE2276" t="e">
        <f>RIGHT(#REF!,(FIND("Complex",#REF!,1)-7))</f>
        <v>#REF!</v>
      </c>
    </row>
    <row r="2277" spans="1:31" x14ac:dyDescent="0.25">
      <c r="A2277">
        <v>3671</v>
      </c>
      <c r="B2277" t="s">
        <v>55</v>
      </c>
      <c r="C2277">
        <v>102</v>
      </c>
      <c r="D2277">
        <v>468</v>
      </c>
      <c r="E2277">
        <v>3671</v>
      </c>
      <c r="F2277">
        <v>5115601</v>
      </c>
      <c r="G2277">
        <v>5203800</v>
      </c>
      <c r="H2277">
        <f t="shared" si="70"/>
        <v>116.00002267573696</v>
      </c>
      <c r="I2277">
        <f t="shared" si="71"/>
        <v>118</v>
      </c>
      <c r="J2277" t="s">
        <v>32</v>
      </c>
      <c r="K2277">
        <v>6</v>
      </c>
      <c r="L2277" t="e">
        <f t="array" ref="L2277">VLOOKUP(J2277:$J$3871&amp;K2277:$K$3871,CHOOSE({1,2},#REF!&amp;#REF!,#REF!),2,0)</f>
        <v>#N/A</v>
      </c>
      <c r="M2277">
        <v>-15</v>
      </c>
      <c r="N2277">
        <v>0</v>
      </c>
      <c r="O2277" t="s">
        <v>7</v>
      </c>
      <c r="P2277">
        <v>1</v>
      </c>
      <c r="Q2277">
        <v>0</v>
      </c>
      <c r="R2277">
        <v>1</v>
      </c>
      <c r="S2277">
        <v>1</v>
      </c>
      <c r="T2277">
        <v>0</v>
      </c>
      <c r="U2277">
        <v>1</v>
      </c>
      <c r="V2277">
        <v>0</v>
      </c>
      <c r="W2277">
        <v>1</v>
      </c>
      <c r="X2277">
        <v>1</v>
      </c>
      <c r="Y2277">
        <v>0</v>
      </c>
      <c r="Z2277">
        <v>0</v>
      </c>
      <c r="AA2277" t="s">
        <v>3418</v>
      </c>
      <c r="AB2277" t="s">
        <v>1994</v>
      </c>
      <c r="AC2277" t="s">
        <v>3418</v>
      </c>
      <c r="AD2277" t="e">
        <f>VLOOKUP(AB2277,#REF!,2,FALSE)</f>
        <v>#REF!</v>
      </c>
      <c r="AE2277" t="e">
        <f>RIGHT(#REF!,(FIND("Complex",#REF!,1)-7))</f>
        <v>#REF!</v>
      </c>
    </row>
    <row r="2278" spans="1:31" x14ac:dyDescent="0.25">
      <c r="A2278">
        <v>2970</v>
      </c>
      <c r="B2278" t="s">
        <v>55</v>
      </c>
      <c r="C2278">
        <v>102</v>
      </c>
      <c r="D2278">
        <v>334</v>
      </c>
      <c r="E2278">
        <v>2970</v>
      </c>
      <c r="F2278">
        <v>5027401</v>
      </c>
      <c r="G2278">
        <v>5115600</v>
      </c>
      <c r="H2278">
        <f t="shared" si="70"/>
        <v>114.00002267573696</v>
      </c>
      <c r="I2278">
        <f t="shared" si="71"/>
        <v>116</v>
      </c>
      <c r="J2278" t="s">
        <v>32</v>
      </c>
      <c r="K2278">
        <v>6</v>
      </c>
      <c r="L2278" t="e">
        <f t="array" ref="L2278">VLOOKUP(J2278:$J$3871&amp;K2278:$K$3871,CHOOSE({1,2},#REF!&amp;#REF!,#REF!),2,0)</f>
        <v>#N/A</v>
      </c>
      <c r="M2278">
        <v>-15</v>
      </c>
      <c r="N2278">
        <v>0</v>
      </c>
      <c r="O2278" t="s">
        <v>7</v>
      </c>
      <c r="P2278">
        <v>1</v>
      </c>
      <c r="Q2278">
        <v>0</v>
      </c>
      <c r="R2278">
        <v>1</v>
      </c>
      <c r="S2278">
        <v>1</v>
      </c>
      <c r="T2278">
        <v>0</v>
      </c>
      <c r="U2278">
        <v>1</v>
      </c>
      <c r="V2278">
        <v>0</v>
      </c>
      <c r="W2278">
        <v>1</v>
      </c>
      <c r="X2278">
        <v>1</v>
      </c>
      <c r="Y2278">
        <v>0</v>
      </c>
      <c r="Z2278">
        <v>0</v>
      </c>
      <c r="AA2278" t="s">
        <v>3429</v>
      </c>
      <c r="AB2278" t="s">
        <v>1995</v>
      </c>
      <c r="AC2278" t="s">
        <v>3429</v>
      </c>
      <c r="AD2278" t="e">
        <f>VLOOKUP(AB2278,#REF!,2,FALSE)</f>
        <v>#REF!</v>
      </c>
      <c r="AE2278" t="e">
        <f>RIGHT(#REF!,(FIND("Complex",#REF!,1)-7))</f>
        <v>#REF!</v>
      </c>
    </row>
    <row r="2279" spans="1:31" x14ac:dyDescent="0.25">
      <c r="A2279">
        <v>1990</v>
      </c>
      <c r="B2279" t="s">
        <v>55</v>
      </c>
      <c r="C2279">
        <v>102</v>
      </c>
      <c r="D2279">
        <v>190</v>
      </c>
      <c r="E2279">
        <v>1990</v>
      </c>
      <c r="F2279">
        <v>4498201</v>
      </c>
      <c r="G2279">
        <v>4586400</v>
      </c>
      <c r="H2279">
        <f t="shared" si="70"/>
        <v>102.00002267573696</v>
      </c>
      <c r="I2279">
        <f t="shared" si="71"/>
        <v>104</v>
      </c>
      <c r="J2279" t="s">
        <v>32</v>
      </c>
      <c r="K2279">
        <v>6</v>
      </c>
      <c r="L2279" t="e">
        <f t="array" ref="L2279">VLOOKUP(J2279:$J$3871&amp;K2279:$K$3871,CHOOSE({1,2},#REF!&amp;#REF!,#REF!),2,0)</f>
        <v>#N/A</v>
      </c>
      <c r="M2279">
        <v>-15</v>
      </c>
      <c r="N2279">
        <v>0</v>
      </c>
      <c r="O2279" t="s">
        <v>7</v>
      </c>
      <c r="P2279">
        <v>1</v>
      </c>
      <c r="Q2279">
        <v>0</v>
      </c>
      <c r="R2279">
        <v>1</v>
      </c>
      <c r="S2279">
        <v>1</v>
      </c>
      <c r="T2279">
        <v>0</v>
      </c>
      <c r="U2279">
        <v>1</v>
      </c>
      <c r="V2279">
        <v>0</v>
      </c>
      <c r="W2279">
        <v>1</v>
      </c>
      <c r="X2279">
        <v>1</v>
      </c>
      <c r="Y2279">
        <v>0</v>
      </c>
      <c r="Z2279">
        <v>0</v>
      </c>
      <c r="AA2279" t="s">
        <v>3487</v>
      </c>
      <c r="AB2279" t="s">
        <v>1996</v>
      </c>
      <c r="AC2279" t="s">
        <v>3487</v>
      </c>
      <c r="AD2279" t="e">
        <f>VLOOKUP(AB2279,#REF!,2,FALSE)</f>
        <v>#REF!</v>
      </c>
      <c r="AE2279" t="e">
        <f>RIGHT(#REF!,(FIND("Complex",#REF!,1)-7))</f>
        <v>#REF!</v>
      </c>
    </row>
    <row r="2280" spans="1:31" x14ac:dyDescent="0.25">
      <c r="A2280">
        <v>1538</v>
      </c>
      <c r="B2280" t="s">
        <v>95</v>
      </c>
      <c r="C2280">
        <v>103</v>
      </c>
      <c r="D2280">
        <v>140</v>
      </c>
      <c r="E2280">
        <v>1538</v>
      </c>
      <c r="F2280">
        <v>3439801</v>
      </c>
      <c r="G2280">
        <v>3528000</v>
      </c>
      <c r="H2280">
        <f t="shared" si="70"/>
        <v>78.000022675736957</v>
      </c>
      <c r="I2280">
        <f t="shared" si="71"/>
        <v>80</v>
      </c>
      <c r="J2280" t="s">
        <v>32</v>
      </c>
      <c r="K2280">
        <v>6</v>
      </c>
      <c r="L2280" t="e">
        <f t="array" ref="L2280">VLOOKUP(J2280:$J$3871&amp;K2280:$K$3871,CHOOSE({1,2},#REF!&amp;#REF!,#REF!),2,0)</f>
        <v>#N/A</v>
      </c>
      <c r="M2280">
        <v>-15</v>
      </c>
      <c r="N2280">
        <v>0</v>
      </c>
      <c r="O2280" t="s">
        <v>7</v>
      </c>
      <c r="P2280">
        <v>1</v>
      </c>
      <c r="Q2280">
        <v>0</v>
      </c>
      <c r="R2280">
        <v>1</v>
      </c>
      <c r="S2280">
        <v>1</v>
      </c>
      <c r="T2280">
        <v>1</v>
      </c>
      <c r="U2280">
        <v>0</v>
      </c>
      <c r="V2280">
        <v>0</v>
      </c>
      <c r="W2280">
        <v>1</v>
      </c>
      <c r="X2280">
        <v>1</v>
      </c>
      <c r="Y2280">
        <v>0</v>
      </c>
      <c r="Z2280">
        <v>0</v>
      </c>
      <c r="AA2280" t="s">
        <v>2713</v>
      </c>
      <c r="AB2280" t="s">
        <v>2040</v>
      </c>
      <c r="AC2280" t="s">
        <v>2713</v>
      </c>
      <c r="AD2280" t="e">
        <f>VLOOKUP(AB2280,#REF!,2,FALSE)</f>
        <v>#REF!</v>
      </c>
      <c r="AE2280" t="e">
        <f>RIGHT(#REF!,(FIND("Complex",#REF!,1)-8))</f>
        <v>#REF!</v>
      </c>
    </row>
    <row r="2281" spans="1:31" x14ac:dyDescent="0.25">
      <c r="A2281">
        <v>3460</v>
      </c>
      <c r="B2281" t="s">
        <v>95</v>
      </c>
      <c r="C2281">
        <v>103</v>
      </c>
      <c r="D2281">
        <v>435</v>
      </c>
      <c r="E2281">
        <v>3460</v>
      </c>
      <c r="F2281">
        <v>3351601</v>
      </c>
      <c r="G2281">
        <v>3439800</v>
      </c>
      <c r="H2281">
        <f t="shared" si="70"/>
        <v>76.000022675736957</v>
      </c>
      <c r="I2281">
        <f t="shared" si="71"/>
        <v>78</v>
      </c>
      <c r="J2281" t="s">
        <v>32</v>
      </c>
      <c r="K2281">
        <v>6</v>
      </c>
      <c r="L2281" t="e">
        <f t="array" ref="L2281">VLOOKUP(J2281:$J$3871&amp;K2281:$K$3871,CHOOSE({1,2},#REF!&amp;#REF!,#REF!),2,0)</f>
        <v>#N/A</v>
      </c>
      <c r="M2281">
        <v>-15</v>
      </c>
      <c r="N2281">
        <v>0</v>
      </c>
      <c r="O2281" t="s">
        <v>7</v>
      </c>
      <c r="P2281">
        <v>1</v>
      </c>
      <c r="Q2281">
        <v>0</v>
      </c>
      <c r="R2281">
        <v>1</v>
      </c>
      <c r="S2281">
        <v>1</v>
      </c>
      <c r="T2281">
        <v>1</v>
      </c>
      <c r="U2281">
        <v>0</v>
      </c>
      <c r="V2281">
        <v>0</v>
      </c>
      <c r="W2281">
        <v>1</v>
      </c>
      <c r="X2281">
        <v>1</v>
      </c>
      <c r="Y2281">
        <v>0</v>
      </c>
      <c r="Z2281">
        <v>0</v>
      </c>
      <c r="AA2281" t="s">
        <v>2720</v>
      </c>
      <c r="AB2281" t="s">
        <v>2041</v>
      </c>
      <c r="AC2281" t="s">
        <v>2720</v>
      </c>
      <c r="AD2281" t="e">
        <f>VLOOKUP(AB2281,#REF!,2,FALSE)</f>
        <v>#REF!</v>
      </c>
      <c r="AE2281" t="e">
        <f>RIGHT(#REF!,(FIND("Complex",#REF!,1)-8))</f>
        <v>#REF!</v>
      </c>
    </row>
    <row r="2282" spans="1:31" x14ac:dyDescent="0.25">
      <c r="A2282">
        <v>1790</v>
      </c>
      <c r="B2282" t="s">
        <v>95</v>
      </c>
      <c r="C2282">
        <v>103</v>
      </c>
      <c r="D2282">
        <v>166</v>
      </c>
      <c r="E2282">
        <v>1790</v>
      </c>
      <c r="F2282">
        <v>3263401</v>
      </c>
      <c r="G2282">
        <v>3351600</v>
      </c>
      <c r="H2282">
        <f t="shared" si="70"/>
        <v>74.000022675736957</v>
      </c>
      <c r="I2282">
        <f t="shared" si="71"/>
        <v>76</v>
      </c>
      <c r="J2282" t="s">
        <v>32</v>
      </c>
      <c r="K2282">
        <v>6</v>
      </c>
      <c r="L2282" t="e">
        <f t="array" ref="L2282">VLOOKUP(J2282:$J$3871&amp;K2282:$K$3871,CHOOSE({1,2},#REF!&amp;#REF!,#REF!),2,0)</f>
        <v>#N/A</v>
      </c>
      <c r="M2282">
        <v>-15</v>
      </c>
      <c r="N2282">
        <v>0</v>
      </c>
      <c r="O2282" t="s">
        <v>7</v>
      </c>
      <c r="P2282">
        <v>1</v>
      </c>
      <c r="Q2282">
        <v>0</v>
      </c>
      <c r="R2282">
        <v>1</v>
      </c>
      <c r="S2282">
        <v>1</v>
      </c>
      <c r="T2282">
        <v>1</v>
      </c>
      <c r="U2282">
        <v>0</v>
      </c>
      <c r="V2282">
        <v>0</v>
      </c>
      <c r="W2282">
        <v>1</v>
      </c>
      <c r="X2282">
        <v>1</v>
      </c>
      <c r="Y2282">
        <v>0</v>
      </c>
      <c r="Z2282">
        <v>0</v>
      </c>
      <c r="AA2282" t="s">
        <v>2728</v>
      </c>
      <c r="AB2282" t="s">
        <v>2042</v>
      </c>
      <c r="AC2282" t="s">
        <v>2728</v>
      </c>
      <c r="AD2282" t="e">
        <f>VLOOKUP(AB2282,#REF!,2,FALSE)</f>
        <v>#REF!</v>
      </c>
      <c r="AE2282" t="e">
        <f>RIGHT(#REF!,(FIND("Complex",#REF!,1)-8))</f>
        <v>#REF!</v>
      </c>
    </row>
    <row r="2283" spans="1:31" x14ac:dyDescent="0.25">
      <c r="A2283">
        <v>2803</v>
      </c>
      <c r="B2283" t="s">
        <v>95</v>
      </c>
      <c r="C2283">
        <v>103</v>
      </c>
      <c r="D2283">
        <v>297</v>
      </c>
      <c r="E2283">
        <v>2803</v>
      </c>
      <c r="F2283">
        <v>3175201</v>
      </c>
      <c r="G2283">
        <v>3263400</v>
      </c>
      <c r="H2283">
        <f t="shared" si="70"/>
        <v>72.000022675736957</v>
      </c>
      <c r="I2283">
        <f t="shared" si="71"/>
        <v>74</v>
      </c>
      <c r="J2283" t="s">
        <v>32</v>
      </c>
      <c r="K2283">
        <v>6</v>
      </c>
      <c r="L2283" t="e">
        <f t="array" ref="L2283">VLOOKUP(J2283:$J$3871&amp;K2283:$K$3871,CHOOSE({1,2},#REF!&amp;#REF!,#REF!),2,0)</f>
        <v>#N/A</v>
      </c>
      <c r="M2283">
        <v>-15</v>
      </c>
      <c r="N2283">
        <v>0</v>
      </c>
      <c r="O2283" t="s">
        <v>7</v>
      </c>
      <c r="P2283">
        <v>1</v>
      </c>
      <c r="Q2283">
        <v>0</v>
      </c>
      <c r="R2283">
        <v>1</v>
      </c>
      <c r="S2283">
        <v>1</v>
      </c>
      <c r="T2283">
        <v>1</v>
      </c>
      <c r="U2283">
        <v>0</v>
      </c>
      <c r="V2283">
        <v>0</v>
      </c>
      <c r="W2283">
        <v>1</v>
      </c>
      <c r="X2283">
        <v>1</v>
      </c>
      <c r="Y2283">
        <v>0</v>
      </c>
      <c r="Z2283">
        <v>0</v>
      </c>
      <c r="AA2283" t="s">
        <v>2735</v>
      </c>
      <c r="AB2283" t="s">
        <v>2043</v>
      </c>
      <c r="AC2283" t="s">
        <v>2735</v>
      </c>
      <c r="AD2283" t="e">
        <f>VLOOKUP(AB2283,#REF!,2,FALSE)</f>
        <v>#REF!</v>
      </c>
      <c r="AE2283" t="e">
        <f>RIGHT(#REF!,(FIND("Complex",#REF!,1)-8))</f>
        <v>#REF!</v>
      </c>
    </row>
    <row r="2284" spans="1:31" x14ac:dyDescent="0.25">
      <c r="A2284">
        <v>3300</v>
      </c>
      <c r="B2284" t="s">
        <v>95</v>
      </c>
      <c r="C2284">
        <v>103</v>
      </c>
      <c r="D2284">
        <v>407</v>
      </c>
      <c r="E2284">
        <v>3300</v>
      </c>
      <c r="F2284">
        <v>5733001</v>
      </c>
      <c r="G2284">
        <v>5821200</v>
      </c>
      <c r="H2284">
        <f t="shared" si="70"/>
        <v>130.00002267573697</v>
      </c>
      <c r="I2284">
        <f t="shared" si="71"/>
        <v>132</v>
      </c>
      <c r="J2284" t="s">
        <v>32</v>
      </c>
      <c r="K2284">
        <v>6</v>
      </c>
      <c r="L2284" t="e">
        <f t="array" ref="L2284">VLOOKUP(J2284:$J$3871&amp;K2284:$K$3871,CHOOSE({1,2},#REF!&amp;#REF!,#REF!),2,0)</f>
        <v>#N/A</v>
      </c>
      <c r="M2284">
        <v>-15</v>
      </c>
      <c r="N2284">
        <v>0</v>
      </c>
      <c r="O2284" t="s">
        <v>7</v>
      </c>
      <c r="P2284">
        <v>1</v>
      </c>
      <c r="Q2284">
        <v>0</v>
      </c>
      <c r="R2284">
        <v>1</v>
      </c>
      <c r="S2284">
        <v>1</v>
      </c>
      <c r="T2284">
        <v>1</v>
      </c>
      <c r="U2284">
        <v>0</v>
      </c>
      <c r="V2284">
        <v>0</v>
      </c>
      <c r="W2284">
        <v>1</v>
      </c>
      <c r="X2284">
        <v>1</v>
      </c>
      <c r="Y2284">
        <v>0</v>
      </c>
      <c r="Z2284">
        <v>0</v>
      </c>
      <c r="AA2284" t="s">
        <v>3332</v>
      </c>
      <c r="AB2284" t="s">
        <v>172</v>
      </c>
      <c r="AC2284" t="s">
        <v>3332</v>
      </c>
      <c r="AD2284" t="e">
        <f>VLOOKUP(AB2284,#REF!,2,FALSE)</f>
        <v>#REF!</v>
      </c>
      <c r="AE2284" t="e">
        <f>RIGHT(#REF!,(FIND("Complex",#REF!,1)-7))</f>
        <v>#REF!</v>
      </c>
    </row>
    <row r="2285" spans="1:31" x14ac:dyDescent="0.25">
      <c r="A2285">
        <v>802</v>
      </c>
      <c r="B2285" t="s">
        <v>95</v>
      </c>
      <c r="C2285">
        <v>103</v>
      </c>
      <c r="D2285">
        <v>60</v>
      </c>
      <c r="E2285">
        <v>802</v>
      </c>
      <c r="F2285">
        <v>5292001</v>
      </c>
      <c r="G2285">
        <v>5380200</v>
      </c>
      <c r="H2285">
        <f t="shared" si="70"/>
        <v>120.00002267573696</v>
      </c>
      <c r="I2285">
        <f t="shared" si="71"/>
        <v>122</v>
      </c>
      <c r="J2285" t="s">
        <v>32</v>
      </c>
      <c r="K2285">
        <v>6</v>
      </c>
      <c r="L2285" t="e">
        <f t="array" ref="L2285">VLOOKUP(J2285:$J$3871&amp;K2285:$K$3871,CHOOSE({1,2},#REF!&amp;#REF!,#REF!),2,0)</f>
        <v>#N/A</v>
      </c>
      <c r="M2285">
        <v>-15</v>
      </c>
      <c r="N2285">
        <v>0</v>
      </c>
      <c r="O2285" t="s">
        <v>7</v>
      </c>
      <c r="P2285">
        <v>1</v>
      </c>
      <c r="Q2285">
        <v>0</v>
      </c>
      <c r="R2285">
        <v>1</v>
      </c>
      <c r="S2285">
        <v>1</v>
      </c>
      <c r="T2285">
        <v>1</v>
      </c>
      <c r="U2285">
        <v>0</v>
      </c>
      <c r="V2285">
        <v>0</v>
      </c>
      <c r="W2285">
        <v>1</v>
      </c>
      <c r="X2285">
        <v>1</v>
      </c>
      <c r="Y2285">
        <v>0</v>
      </c>
      <c r="Z2285">
        <v>0</v>
      </c>
      <c r="AA2285" t="s">
        <v>3388</v>
      </c>
      <c r="AB2285" t="s">
        <v>174</v>
      </c>
      <c r="AC2285" t="s">
        <v>3388</v>
      </c>
      <c r="AD2285" t="e">
        <f>VLOOKUP(AB2285,#REF!,2,FALSE)</f>
        <v>#REF!</v>
      </c>
      <c r="AE2285" t="e">
        <f>RIGHT(#REF!,(FIND("Complex",#REF!,1)-6))</f>
        <v>#REF!</v>
      </c>
    </row>
    <row r="2286" spans="1:31" x14ac:dyDescent="0.25">
      <c r="A2286">
        <v>3572</v>
      </c>
      <c r="B2286" t="s">
        <v>72</v>
      </c>
      <c r="C2286">
        <v>104</v>
      </c>
      <c r="D2286">
        <v>454</v>
      </c>
      <c r="E2286">
        <v>3572</v>
      </c>
      <c r="F2286">
        <v>4145401</v>
      </c>
      <c r="G2286">
        <v>4233600</v>
      </c>
      <c r="H2286">
        <f t="shared" si="70"/>
        <v>94.000022675736957</v>
      </c>
      <c r="I2286">
        <f t="shared" si="71"/>
        <v>96</v>
      </c>
      <c r="J2286" t="s">
        <v>32</v>
      </c>
      <c r="K2286">
        <v>6</v>
      </c>
      <c r="L2286" t="e">
        <f t="array" ref="L2286">VLOOKUP(J2286:$J$3871&amp;K2286:$K$3871,CHOOSE({1,2},#REF!&amp;#REF!,#REF!),2,0)</f>
        <v>#N/A</v>
      </c>
      <c r="M2286">
        <v>-15</v>
      </c>
      <c r="N2286">
        <v>0</v>
      </c>
      <c r="O2286" t="s">
        <v>7</v>
      </c>
      <c r="P2286">
        <v>1</v>
      </c>
      <c r="Q2286">
        <v>0</v>
      </c>
      <c r="R2286">
        <v>1</v>
      </c>
      <c r="S2286">
        <v>1</v>
      </c>
      <c r="T2286">
        <v>1</v>
      </c>
      <c r="U2286">
        <v>0</v>
      </c>
      <c r="V2286">
        <v>0</v>
      </c>
      <c r="W2286">
        <v>1</v>
      </c>
      <c r="X2286">
        <v>1</v>
      </c>
      <c r="Y2286">
        <v>0</v>
      </c>
      <c r="Z2286">
        <v>0</v>
      </c>
      <c r="AA2286" t="s">
        <v>2641</v>
      </c>
      <c r="AB2286" t="s">
        <v>2098</v>
      </c>
      <c r="AC2286" t="s">
        <v>2641</v>
      </c>
      <c r="AD2286" t="e">
        <f>VLOOKUP(AB2286,#REF!,2,FALSE)</f>
        <v>#REF!</v>
      </c>
      <c r="AE2286" t="e">
        <f>RIGHT(#REF!,(FIND("Complex",#REF!,1)-8))</f>
        <v>#REF!</v>
      </c>
    </row>
    <row r="2287" spans="1:31" x14ac:dyDescent="0.25">
      <c r="A2287">
        <v>2689</v>
      </c>
      <c r="B2287" t="s">
        <v>72</v>
      </c>
      <c r="C2287">
        <v>104</v>
      </c>
      <c r="D2287">
        <v>272</v>
      </c>
      <c r="E2287">
        <v>2689</v>
      </c>
      <c r="F2287">
        <v>3792601</v>
      </c>
      <c r="G2287">
        <v>3880800</v>
      </c>
      <c r="H2287">
        <f t="shared" si="70"/>
        <v>86.000022675736957</v>
      </c>
      <c r="I2287">
        <f t="shared" si="71"/>
        <v>88</v>
      </c>
      <c r="J2287" t="s">
        <v>32</v>
      </c>
      <c r="K2287">
        <v>6</v>
      </c>
      <c r="L2287" t="e">
        <f t="array" ref="L2287">VLOOKUP(J2287:$J$3871&amp;K2287:$K$3871,CHOOSE({1,2},#REF!&amp;#REF!,#REF!),2,0)</f>
        <v>#N/A</v>
      </c>
      <c r="M2287">
        <v>-15</v>
      </c>
      <c r="N2287">
        <v>0</v>
      </c>
      <c r="O2287" t="s">
        <v>7</v>
      </c>
      <c r="P2287">
        <v>1</v>
      </c>
      <c r="Q2287">
        <v>0</v>
      </c>
      <c r="R2287">
        <v>1</v>
      </c>
      <c r="S2287">
        <v>1</v>
      </c>
      <c r="T2287">
        <v>1</v>
      </c>
      <c r="U2287">
        <v>0</v>
      </c>
      <c r="V2287">
        <v>0</v>
      </c>
      <c r="W2287">
        <v>1</v>
      </c>
      <c r="X2287">
        <v>0</v>
      </c>
      <c r="Y2287">
        <v>1</v>
      </c>
      <c r="Z2287">
        <v>0</v>
      </c>
      <c r="AA2287" t="s">
        <v>2673</v>
      </c>
      <c r="AB2287" t="s">
        <v>2099</v>
      </c>
      <c r="AC2287" t="s">
        <v>2673</v>
      </c>
      <c r="AD2287" t="e">
        <f>VLOOKUP(AB2287,#REF!,2,FALSE)</f>
        <v>#REF!</v>
      </c>
      <c r="AE2287" t="e">
        <f>RIGHT(#REF!,(FIND("Complex",#REF!,1)-8))</f>
        <v>#REF!</v>
      </c>
    </row>
    <row r="2288" spans="1:31" x14ac:dyDescent="0.25">
      <c r="A2288">
        <v>3840</v>
      </c>
      <c r="B2288" t="s">
        <v>72</v>
      </c>
      <c r="C2288">
        <v>104</v>
      </c>
      <c r="D2288">
        <v>490</v>
      </c>
      <c r="E2288">
        <v>3840</v>
      </c>
      <c r="F2288">
        <v>1940401</v>
      </c>
      <c r="G2288">
        <v>2028600</v>
      </c>
      <c r="H2288">
        <f t="shared" si="70"/>
        <v>44.000022675736965</v>
      </c>
      <c r="I2288">
        <f t="shared" si="71"/>
        <v>46</v>
      </c>
      <c r="J2288" t="s">
        <v>32</v>
      </c>
      <c r="K2288">
        <v>6</v>
      </c>
      <c r="L2288" t="e">
        <f t="array" ref="L2288">VLOOKUP(J2288:$J$3871&amp;K2288:$K$3871,CHOOSE({1,2},#REF!&amp;#REF!,#REF!),2,0)</f>
        <v>#N/A</v>
      </c>
      <c r="M2288">
        <v>-15</v>
      </c>
      <c r="N2288">
        <v>0</v>
      </c>
      <c r="O2288" t="s">
        <v>7</v>
      </c>
      <c r="P2288">
        <v>1</v>
      </c>
      <c r="Q2288">
        <v>0</v>
      </c>
      <c r="R2288">
        <v>1</v>
      </c>
      <c r="S2288">
        <v>1</v>
      </c>
      <c r="T2288">
        <v>1</v>
      </c>
      <c r="U2288">
        <v>0</v>
      </c>
      <c r="V2288">
        <v>0</v>
      </c>
      <c r="W2288">
        <v>1</v>
      </c>
      <c r="X2288">
        <v>1</v>
      </c>
      <c r="Y2288">
        <v>0</v>
      </c>
      <c r="Z2288">
        <v>0</v>
      </c>
      <c r="AA2288" t="s">
        <v>2820</v>
      </c>
      <c r="AB2288" t="s">
        <v>2100</v>
      </c>
      <c r="AC2288" t="s">
        <v>2820</v>
      </c>
      <c r="AD2288" t="e">
        <f>VLOOKUP(AB2288,#REF!,2,FALSE)</f>
        <v>#REF!</v>
      </c>
      <c r="AE2288" t="e">
        <f>RIGHT(#REF!,(FIND("Complex",#REF!,1)-8))</f>
        <v>#REF!</v>
      </c>
    </row>
    <row r="2289" spans="1:31" x14ac:dyDescent="0.25">
      <c r="A2289">
        <v>396</v>
      </c>
      <c r="B2289" t="s">
        <v>72</v>
      </c>
      <c r="C2289">
        <v>104</v>
      </c>
      <c r="D2289">
        <v>35</v>
      </c>
      <c r="E2289">
        <v>396</v>
      </c>
      <c r="F2289">
        <v>14553001</v>
      </c>
      <c r="G2289">
        <v>14641200</v>
      </c>
      <c r="H2289">
        <f t="shared" si="70"/>
        <v>330.00002267573694</v>
      </c>
      <c r="I2289">
        <f t="shared" si="71"/>
        <v>332</v>
      </c>
      <c r="J2289" t="s">
        <v>32</v>
      </c>
      <c r="K2289">
        <v>6</v>
      </c>
      <c r="L2289" t="e">
        <f t="array" ref="L2289">VLOOKUP(J2289:$J$3871&amp;K2289:$K$3871,CHOOSE({1,2},#REF!&amp;#REF!,#REF!),2,0)</f>
        <v>#N/A</v>
      </c>
      <c r="M2289">
        <v>-15</v>
      </c>
      <c r="N2289">
        <v>0</v>
      </c>
      <c r="O2289" t="s">
        <v>7</v>
      </c>
      <c r="P2289">
        <v>0</v>
      </c>
      <c r="Q2289">
        <v>1</v>
      </c>
      <c r="R2289">
        <v>1</v>
      </c>
      <c r="S2289">
        <v>1</v>
      </c>
      <c r="T2289">
        <v>1</v>
      </c>
      <c r="U2289">
        <v>0</v>
      </c>
      <c r="V2289">
        <v>0</v>
      </c>
      <c r="W2289">
        <v>1</v>
      </c>
      <c r="X2289">
        <v>1</v>
      </c>
      <c r="Y2289">
        <v>0</v>
      </c>
      <c r="Z2289">
        <v>0</v>
      </c>
      <c r="AA2289" t="s">
        <v>2860</v>
      </c>
      <c r="AB2289" t="s">
        <v>2101</v>
      </c>
      <c r="AC2289" t="s">
        <v>2860</v>
      </c>
      <c r="AD2289" t="e">
        <f>VLOOKUP(AB2289,#REF!,2,FALSE)</f>
        <v>#REF!</v>
      </c>
      <c r="AE2289" t="e">
        <f>RIGHT(#REF!,(FIND("Complex",#REF!,1)-6))</f>
        <v>#REF!</v>
      </c>
    </row>
    <row r="2290" spans="1:31" x14ac:dyDescent="0.25">
      <c r="A2290">
        <v>3198</v>
      </c>
      <c r="B2290" t="s">
        <v>72</v>
      </c>
      <c r="C2290">
        <v>104</v>
      </c>
      <c r="D2290">
        <v>391</v>
      </c>
      <c r="E2290">
        <v>3198</v>
      </c>
      <c r="F2290">
        <v>13582801</v>
      </c>
      <c r="G2290">
        <v>13671000</v>
      </c>
      <c r="H2290">
        <f t="shared" si="70"/>
        <v>308.00002267573694</v>
      </c>
      <c r="I2290">
        <f t="shared" si="71"/>
        <v>310</v>
      </c>
      <c r="J2290" t="s">
        <v>32</v>
      </c>
      <c r="K2290">
        <v>6</v>
      </c>
      <c r="L2290" t="e">
        <f t="array" ref="L2290">VLOOKUP(J2290:$J$3871&amp;K2290:$K$3871,CHOOSE({1,2},#REF!&amp;#REF!,#REF!),2,0)</f>
        <v>#N/A</v>
      </c>
      <c r="M2290">
        <v>-15</v>
      </c>
      <c r="N2290">
        <v>0</v>
      </c>
      <c r="O2290" t="s">
        <v>7</v>
      </c>
      <c r="P2290">
        <v>0</v>
      </c>
      <c r="Q2290">
        <v>1</v>
      </c>
      <c r="R2290">
        <v>1</v>
      </c>
      <c r="S2290">
        <v>1</v>
      </c>
      <c r="T2290">
        <v>1</v>
      </c>
      <c r="U2290">
        <v>0</v>
      </c>
      <c r="V2290">
        <v>0</v>
      </c>
      <c r="W2290">
        <v>1</v>
      </c>
      <c r="X2290">
        <v>1</v>
      </c>
      <c r="Y2290">
        <v>0</v>
      </c>
      <c r="Z2290">
        <v>0</v>
      </c>
      <c r="AA2290" t="s">
        <v>2881</v>
      </c>
      <c r="AB2290" t="s">
        <v>2102</v>
      </c>
      <c r="AC2290" t="s">
        <v>2881</v>
      </c>
      <c r="AD2290" t="e">
        <f>VLOOKUP(AB2290,#REF!,2,FALSE)</f>
        <v>#REF!</v>
      </c>
      <c r="AE2290" t="e">
        <f>RIGHT(#REF!,(FIND("Complex",#REF!,1)-7))</f>
        <v>#REF!</v>
      </c>
    </row>
    <row r="2291" spans="1:31" x14ac:dyDescent="0.25">
      <c r="A2291">
        <v>1195</v>
      </c>
      <c r="B2291" t="s">
        <v>72</v>
      </c>
      <c r="C2291">
        <v>104</v>
      </c>
      <c r="D2291">
        <v>104</v>
      </c>
      <c r="E2291">
        <v>1195</v>
      </c>
      <c r="F2291">
        <v>11818801</v>
      </c>
      <c r="G2291">
        <v>11907000</v>
      </c>
      <c r="H2291">
        <f t="shared" si="70"/>
        <v>268.00002267573694</v>
      </c>
      <c r="I2291">
        <f t="shared" si="71"/>
        <v>270</v>
      </c>
      <c r="J2291" t="s">
        <v>32</v>
      </c>
      <c r="K2291">
        <v>6</v>
      </c>
      <c r="L2291" t="e">
        <f t="array" ref="L2291">VLOOKUP(J2291:$J$3871&amp;K2291:$K$3871,CHOOSE({1,2},#REF!&amp;#REF!,#REF!),2,0)</f>
        <v>#N/A</v>
      </c>
      <c r="M2291">
        <v>-15</v>
      </c>
      <c r="N2291">
        <v>0</v>
      </c>
      <c r="O2291" t="s">
        <v>7</v>
      </c>
      <c r="P2291">
        <v>1</v>
      </c>
      <c r="Q2291">
        <v>0</v>
      </c>
      <c r="R2291">
        <v>1</v>
      </c>
      <c r="S2291">
        <v>1</v>
      </c>
      <c r="T2291">
        <v>0</v>
      </c>
      <c r="U2291">
        <v>0</v>
      </c>
      <c r="V2291">
        <v>0</v>
      </c>
      <c r="W2291">
        <v>1</v>
      </c>
      <c r="X2291">
        <v>1</v>
      </c>
      <c r="Y2291">
        <v>1</v>
      </c>
      <c r="Z2291">
        <v>0</v>
      </c>
      <c r="AA2291" t="s">
        <v>2914</v>
      </c>
      <c r="AB2291" t="s">
        <v>2103</v>
      </c>
      <c r="AC2291" t="s">
        <v>2914</v>
      </c>
      <c r="AD2291" t="e">
        <f>VLOOKUP(AB2291,#REF!,2,FALSE)</f>
        <v>#REF!</v>
      </c>
      <c r="AE2291" t="e">
        <f>RIGHT(#REF!,(FIND("Complex",#REF!,1)-7))</f>
        <v>#REF!</v>
      </c>
    </row>
    <row r="2292" spans="1:31" x14ac:dyDescent="0.25">
      <c r="A2292">
        <v>3833</v>
      </c>
      <c r="B2292" t="s">
        <v>72</v>
      </c>
      <c r="C2292">
        <v>104</v>
      </c>
      <c r="D2292">
        <v>488</v>
      </c>
      <c r="E2292">
        <v>3833</v>
      </c>
      <c r="F2292">
        <v>11730601</v>
      </c>
      <c r="G2292">
        <v>11818800</v>
      </c>
      <c r="H2292">
        <f t="shared" si="70"/>
        <v>266.00002267573694</v>
      </c>
      <c r="I2292">
        <f t="shared" si="71"/>
        <v>268</v>
      </c>
      <c r="J2292" t="s">
        <v>32</v>
      </c>
      <c r="K2292">
        <v>6</v>
      </c>
      <c r="L2292" t="e">
        <f t="array" ref="L2292">VLOOKUP(J2292:$J$3871&amp;K2292:$K$3871,CHOOSE({1,2},#REF!&amp;#REF!,#REF!),2,0)</f>
        <v>#N/A</v>
      </c>
      <c r="M2292">
        <v>-15</v>
      </c>
      <c r="N2292">
        <v>0</v>
      </c>
      <c r="O2292" t="s">
        <v>7</v>
      </c>
      <c r="P2292">
        <v>1</v>
      </c>
      <c r="Q2292">
        <v>0</v>
      </c>
      <c r="R2292">
        <v>1</v>
      </c>
      <c r="S2292">
        <v>1</v>
      </c>
      <c r="T2292">
        <v>1</v>
      </c>
      <c r="U2292">
        <v>0</v>
      </c>
      <c r="V2292">
        <v>0</v>
      </c>
      <c r="W2292">
        <v>1</v>
      </c>
      <c r="X2292">
        <v>1</v>
      </c>
      <c r="Y2292">
        <v>0</v>
      </c>
      <c r="Z2292">
        <v>0</v>
      </c>
      <c r="AA2292" t="s">
        <v>2917</v>
      </c>
      <c r="AB2292" t="s">
        <v>2104</v>
      </c>
      <c r="AC2292" t="s">
        <v>2917</v>
      </c>
      <c r="AD2292" t="e">
        <f>VLOOKUP(AB2292,#REF!,2,FALSE)</f>
        <v>#REF!</v>
      </c>
      <c r="AE2292" t="e">
        <f>RIGHT(#REF!,(FIND("Complex",#REF!,1)-7))</f>
        <v>#REF!</v>
      </c>
    </row>
    <row r="2293" spans="1:31" x14ac:dyDescent="0.25">
      <c r="A2293">
        <v>3521</v>
      </c>
      <c r="B2293" t="s">
        <v>72</v>
      </c>
      <c r="C2293">
        <v>104</v>
      </c>
      <c r="D2293">
        <v>446</v>
      </c>
      <c r="E2293">
        <v>3521</v>
      </c>
      <c r="F2293">
        <v>11642401</v>
      </c>
      <c r="G2293">
        <v>11730600</v>
      </c>
      <c r="H2293">
        <f t="shared" si="70"/>
        <v>264.00002267573694</v>
      </c>
      <c r="I2293">
        <f t="shared" si="71"/>
        <v>266</v>
      </c>
      <c r="J2293" t="s">
        <v>32</v>
      </c>
      <c r="K2293">
        <v>6</v>
      </c>
      <c r="L2293" t="e">
        <f t="array" ref="L2293">VLOOKUP(J2293:$J$3871&amp;K2293:$K$3871,CHOOSE({1,2},#REF!&amp;#REF!,#REF!),2,0)</f>
        <v>#N/A</v>
      </c>
      <c r="M2293">
        <v>-15</v>
      </c>
      <c r="N2293">
        <v>0</v>
      </c>
      <c r="O2293" t="s">
        <v>7</v>
      </c>
      <c r="P2293">
        <v>1</v>
      </c>
      <c r="Q2293">
        <v>0</v>
      </c>
      <c r="R2293">
        <v>1</v>
      </c>
      <c r="S2293">
        <v>1</v>
      </c>
      <c r="T2293">
        <v>1</v>
      </c>
      <c r="U2293">
        <v>0</v>
      </c>
      <c r="V2293">
        <v>0</v>
      </c>
      <c r="W2293">
        <v>0</v>
      </c>
      <c r="X2293">
        <v>1</v>
      </c>
      <c r="Y2293">
        <v>1</v>
      </c>
      <c r="Z2293">
        <v>0</v>
      </c>
      <c r="AA2293" t="s">
        <v>2920</v>
      </c>
      <c r="AB2293" t="s">
        <v>2105</v>
      </c>
      <c r="AC2293" t="s">
        <v>2920</v>
      </c>
      <c r="AD2293" t="e">
        <f>VLOOKUP(AB2293,#REF!,2,FALSE)</f>
        <v>#REF!</v>
      </c>
      <c r="AE2293" t="e">
        <f>RIGHT(#REF!,(FIND("Complex",#REF!,1)-7))</f>
        <v>#REF!</v>
      </c>
    </row>
    <row r="2294" spans="1:31" x14ac:dyDescent="0.25">
      <c r="A2294">
        <v>2878</v>
      </c>
      <c r="B2294" t="s">
        <v>72</v>
      </c>
      <c r="C2294">
        <v>104</v>
      </c>
      <c r="D2294">
        <v>312</v>
      </c>
      <c r="E2294">
        <v>2878</v>
      </c>
      <c r="F2294">
        <v>11377801</v>
      </c>
      <c r="G2294">
        <v>11466000</v>
      </c>
      <c r="H2294">
        <f t="shared" si="70"/>
        <v>258.00002267573694</v>
      </c>
      <c r="I2294">
        <f t="shared" si="71"/>
        <v>260</v>
      </c>
      <c r="J2294" t="s">
        <v>32</v>
      </c>
      <c r="K2294">
        <v>6</v>
      </c>
      <c r="L2294" t="e">
        <f t="array" ref="L2294">VLOOKUP(J2294:$J$3871&amp;K2294:$K$3871,CHOOSE({1,2},#REF!&amp;#REF!,#REF!),2,0)</f>
        <v>#N/A</v>
      </c>
      <c r="M2294">
        <v>-15</v>
      </c>
      <c r="N2294">
        <v>0</v>
      </c>
      <c r="O2294" t="s">
        <v>7</v>
      </c>
      <c r="P2294">
        <v>1</v>
      </c>
      <c r="Q2294">
        <v>0</v>
      </c>
      <c r="R2294">
        <v>1</v>
      </c>
      <c r="S2294">
        <v>1</v>
      </c>
      <c r="T2294">
        <v>1</v>
      </c>
      <c r="U2294">
        <v>0</v>
      </c>
      <c r="V2294">
        <v>0</v>
      </c>
      <c r="W2294">
        <v>1</v>
      </c>
      <c r="X2294">
        <v>1</v>
      </c>
      <c r="Y2294">
        <v>0</v>
      </c>
      <c r="Z2294">
        <v>0</v>
      </c>
      <c r="AA2294" t="s">
        <v>2923</v>
      </c>
      <c r="AB2294" t="s">
        <v>2106</v>
      </c>
      <c r="AC2294" t="s">
        <v>2923</v>
      </c>
      <c r="AD2294" t="e">
        <f>VLOOKUP(AB2294,#REF!,2,FALSE)</f>
        <v>#REF!</v>
      </c>
      <c r="AE2294" t="e">
        <f>RIGHT(#REF!,(FIND("Complex",#REF!,1)-7))</f>
        <v>#REF!</v>
      </c>
    </row>
    <row r="2295" spans="1:31" x14ac:dyDescent="0.25">
      <c r="A2295">
        <v>1853</v>
      </c>
      <c r="B2295" t="s">
        <v>72</v>
      </c>
      <c r="C2295">
        <v>104</v>
      </c>
      <c r="D2295">
        <v>170</v>
      </c>
      <c r="E2295">
        <v>1853</v>
      </c>
      <c r="F2295">
        <v>10848601</v>
      </c>
      <c r="G2295">
        <v>10936800</v>
      </c>
      <c r="H2295">
        <f t="shared" si="70"/>
        <v>246.00002267573697</v>
      </c>
      <c r="I2295">
        <f t="shared" si="71"/>
        <v>248</v>
      </c>
      <c r="J2295" t="s">
        <v>32</v>
      </c>
      <c r="K2295">
        <v>6</v>
      </c>
      <c r="L2295" t="e">
        <f t="array" ref="L2295">VLOOKUP(J2295:$J$3871&amp;K2295:$K$3871,CHOOSE({1,2},#REF!&amp;#REF!,#REF!),2,0)</f>
        <v>#N/A</v>
      </c>
      <c r="M2295">
        <v>-15</v>
      </c>
      <c r="N2295">
        <v>0</v>
      </c>
      <c r="O2295" t="s">
        <v>7</v>
      </c>
      <c r="P2295">
        <v>0</v>
      </c>
      <c r="Q2295">
        <v>0</v>
      </c>
      <c r="R2295">
        <v>1</v>
      </c>
      <c r="S2295">
        <v>1</v>
      </c>
      <c r="T2295">
        <v>1</v>
      </c>
      <c r="U2295">
        <v>0</v>
      </c>
      <c r="V2295">
        <v>0</v>
      </c>
      <c r="W2295">
        <v>1</v>
      </c>
      <c r="X2295">
        <v>1</v>
      </c>
      <c r="Y2295">
        <v>1</v>
      </c>
      <c r="Z2295">
        <v>0</v>
      </c>
      <c r="AA2295" t="s">
        <v>2948</v>
      </c>
      <c r="AB2295" t="s">
        <v>2107</v>
      </c>
      <c r="AC2295" t="s">
        <v>2948</v>
      </c>
      <c r="AD2295" t="e">
        <f>VLOOKUP(AB2295,#REF!,2,FALSE)</f>
        <v>#REF!</v>
      </c>
      <c r="AE2295" t="e">
        <f>RIGHT(#REF!,(FIND("Complex",#REF!,1)-7))</f>
        <v>#REF!</v>
      </c>
    </row>
    <row r="2296" spans="1:31" x14ac:dyDescent="0.25">
      <c r="A2296">
        <v>1389</v>
      </c>
      <c r="B2296" t="s">
        <v>72</v>
      </c>
      <c r="C2296">
        <v>104</v>
      </c>
      <c r="D2296">
        <v>128</v>
      </c>
      <c r="E2296">
        <v>1389</v>
      </c>
      <c r="F2296">
        <v>10760401</v>
      </c>
      <c r="G2296">
        <v>10848600</v>
      </c>
      <c r="H2296">
        <f t="shared" si="70"/>
        <v>244.00002267573697</v>
      </c>
      <c r="I2296">
        <f t="shared" si="71"/>
        <v>246</v>
      </c>
      <c r="J2296" t="s">
        <v>32</v>
      </c>
      <c r="K2296">
        <v>6</v>
      </c>
      <c r="L2296" t="e">
        <f t="array" ref="L2296">VLOOKUP(J2296:$J$3871&amp;K2296:$K$3871,CHOOSE({1,2},#REF!&amp;#REF!,#REF!),2,0)</f>
        <v>#N/A</v>
      </c>
      <c r="M2296">
        <v>-15</v>
      </c>
      <c r="N2296">
        <v>0</v>
      </c>
      <c r="O2296" t="s">
        <v>7</v>
      </c>
      <c r="P2296">
        <v>1</v>
      </c>
      <c r="Q2296">
        <v>0</v>
      </c>
      <c r="R2296">
        <v>1</v>
      </c>
      <c r="S2296">
        <v>1</v>
      </c>
      <c r="T2296">
        <v>1</v>
      </c>
      <c r="U2296">
        <v>0</v>
      </c>
      <c r="V2296">
        <v>0</v>
      </c>
      <c r="W2296">
        <v>1</v>
      </c>
      <c r="X2296">
        <v>1</v>
      </c>
      <c r="Y2296">
        <v>0</v>
      </c>
      <c r="Z2296">
        <v>0</v>
      </c>
      <c r="AA2296" t="s">
        <v>2951</v>
      </c>
      <c r="AB2296" t="s">
        <v>2108</v>
      </c>
      <c r="AC2296" t="s">
        <v>2951</v>
      </c>
      <c r="AD2296" t="e">
        <f>VLOOKUP(AB2296,#REF!,2,FALSE)</f>
        <v>#REF!</v>
      </c>
      <c r="AE2296" t="e">
        <f>RIGHT(#REF!,(FIND("Complex",#REF!,1)-7))</f>
        <v>#REF!</v>
      </c>
    </row>
    <row r="2297" spans="1:31" x14ac:dyDescent="0.25">
      <c r="A2297">
        <v>2484</v>
      </c>
      <c r="B2297" t="s">
        <v>72</v>
      </c>
      <c r="C2297">
        <v>104</v>
      </c>
      <c r="D2297">
        <v>241</v>
      </c>
      <c r="E2297">
        <v>2484</v>
      </c>
      <c r="F2297">
        <v>10584001</v>
      </c>
      <c r="G2297">
        <v>10672200</v>
      </c>
      <c r="H2297">
        <f t="shared" si="70"/>
        <v>240.00002267573697</v>
      </c>
      <c r="I2297">
        <f t="shared" si="71"/>
        <v>242</v>
      </c>
      <c r="J2297" t="s">
        <v>32</v>
      </c>
      <c r="K2297">
        <v>6</v>
      </c>
      <c r="L2297" t="e">
        <f t="array" ref="L2297">VLOOKUP(J2297:$J$3871&amp;K2297:$K$3871,CHOOSE({1,2},#REF!&amp;#REF!,#REF!),2,0)</f>
        <v>#N/A</v>
      </c>
      <c r="M2297">
        <v>-15</v>
      </c>
      <c r="N2297">
        <v>0</v>
      </c>
      <c r="O2297" t="s">
        <v>7</v>
      </c>
      <c r="P2297">
        <v>1</v>
      </c>
      <c r="Q2297">
        <v>0</v>
      </c>
      <c r="R2297">
        <v>1</v>
      </c>
      <c r="S2297">
        <v>1</v>
      </c>
      <c r="T2297">
        <v>1</v>
      </c>
      <c r="U2297">
        <v>0</v>
      </c>
      <c r="V2297">
        <v>0</v>
      </c>
      <c r="W2297">
        <v>1</v>
      </c>
      <c r="X2297">
        <v>1</v>
      </c>
      <c r="Y2297">
        <v>0</v>
      </c>
      <c r="Z2297">
        <v>0</v>
      </c>
      <c r="AA2297" t="s">
        <v>2959</v>
      </c>
      <c r="AB2297" t="s">
        <v>2109</v>
      </c>
      <c r="AC2297" t="s">
        <v>2959</v>
      </c>
      <c r="AD2297" t="e">
        <f>VLOOKUP(AB2297,#REF!,2,FALSE)</f>
        <v>#REF!</v>
      </c>
      <c r="AE2297" t="e">
        <f>RIGHT(#REF!,(FIND("Complex",#REF!,1)-7))</f>
        <v>#REF!</v>
      </c>
    </row>
    <row r="2298" spans="1:31" x14ac:dyDescent="0.25">
      <c r="A2298">
        <v>1775</v>
      </c>
      <c r="B2298" t="s">
        <v>72</v>
      </c>
      <c r="C2298">
        <v>104</v>
      </c>
      <c r="D2298">
        <v>163</v>
      </c>
      <c r="E2298">
        <v>1775</v>
      </c>
      <c r="F2298">
        <v>8908201</v>
      </c>
      <c r="G2298">
        <v>8996400</v>
      </c>
      <c r="H2298">
        <f t="shared" si="70"/>
        <v>202.00002267573697</v>
      </c>
      <c r="I2298">
        <f t="shared" si="71"/>
        <v>204</v>
      </c>
      <c r="J2298" t="s">
        <v>32</v>
      </c>
      <c r="K2298">
        <v>6</v>
      </c>
      <c r="L2298" t="e">
        <f t="array" ref="L2298">VLOOKUP(J2298:$J$3871&amp;K2298:$K$3871,CHOOSE({1,2},#REF!&amp;#REF!,#REF!),2,0)</f>
        <v>#N/A</v>
      </c>
      <c r="M2298">
        <v>-15</v>
      </c>
      <c r="N2298">
        <v>0</v>
      </c>
      <c r="O2298" t="s">
        <v>7</v>
      </c>
      <c r="P2298">
        <v>1</v>
      </c>
      <c r="Q2298">
        <v>1</v>
      </c>
      <c r="R2298">
        <v>1</v>
      </c>
      <c r="S2298">
        <v>0</v>
      </c>
      <c r="T2298">
        <v>1</v>
      </c>
      <c r="U2298">
        <v>0</v>
      </c>
      <c r="V2298">
        <v>0</v>
      </c>
      <c r="W2298">
        <v>1</v>
      </c>
      <c r="X2298">
        <v>1</v>
      </c>
      <c r="Y2298">
        <v>0</v>
      </c>
      <c r="Z2298">
        <v>0</v>
      </c>
      <c r="AA2298" t="s">
        <v>3049</v>
      </c>
      <c r="AB2298" t="s">
        <v>2110</v>
      </c>
      <c r="AC2298" t="s">
        <v>3049</v>
      </c>
      <c r="AD2298" t="e">
        <f>VLOOKUP(AB2298,#REF!,2,FALSE)</f>
        <v>#REF!</v>
      </c>
      <c r="AE2298" t="e">
        <f>RIGHT(#REF!,(FIND("Complex",#REF!,1)-7))</f>
        <v>#REF!</v>
      </c>
    </row>
    <row r="2299" spans="1:31" x14ac:dyDescent="0.25">
      <c r="A2299">
        <v>3411</v>
      </c>
      <c r="B2299" t="s">
        <v>72</v>
      </c>
      <c r="C2299">
        <v>104</v>
      </c>
      <c r="D2299">
        <v>426</v>
      </c>
      <c r="E2299">
        <v>3411</v>
      </c>
      <c r="F2299">
        <v>8379001</v>
      </c>
      <c r="G2299">
        <v>8467200</v>
      </c>
      <c r="H2299">
        <f t="shared" si="70"/>
        <v>190.00002267573697</v>
      </c>
      <c r="I2299">
        <f t="shared" si="71"/>
        <v>192</v>
      </c>
      <c r="J2299" t="s">
        <v>32</v>
      </c>
      <c r="K2299">
        <v>6</v>
      </c>
      <c r="L2299" t="e">
        <f t="array" ref="L2299">VLOOKUP(J2299:$J$3871&amp;K2299:$K$3871,CHOOSE({1,2},#REF!&amp;#REF!,#REF!),2,0)</f>
        <v>#N/A</v>
      </c>
      <c r="M2299">
        <v>-15</v>
      </c>
      <c r="N2299">
        <v>0</v>
      </c>
      <c r="O2299" t="s">
        <v>7</v>
      </c>
      <c r="P2299">
        <v>1</v>
      </c>
      <c r="Q2299">
        <v>1</v>
      </c>
      <c r="R2299">
        <v>1</v>
      </c>
      <c r="S2299">
        <v>0</v>
      </c>
      <c r="T2299">
        <v>1</v>
      </c>
      <c r="U2299">
        <v>0</v>
      </c>
      <c r="V2299">
        <v>0</v>
      </c>
      <c r="W2299">
        <v>1</v>
      </c>
      <c r="X2299">
        <v>1</v>
      </c>
      <c r="Y2299">
        <v>0</v>
      </c>
      <c r="Z2299">
        <v>0</v>
      </c>
      <c r="AA2299" t="s">
        <v>3091</v>
      </c>
      <c r="AB2299" t="s">
        <v>2111</v>
      </c>
      <c r="AC2299" t="s">
        <v>3091</v>
      </c>
      <c r="AD2299" t="e">
        <f>VLOOKUP(AB2299,#REF!,2,FALSE)</f>
        <v>#REF!</v>
      </c>
      <c r="AE2299" t="e">
        <f>RIGHT(#REF!,(FIND("Complex",#REF!,1)-7))</f>
        <v>#REF!</v>
      </c>
    </row>
    <row r="2300" spans="1:31" x14ac:dyDescent="0.25">
      <c r="A2300">
        <v>3561</v>
      </c>
      <c r="B2300" t="s">
        <v>72</v>
      </c>
      <c r="C2300">
        <v>104</v>
      </c>
      <c r="D2300">
        <v>452</v>
      </c>
      <c r="E2300">
        <v>3561</v>
      </c>
      <c r="F2300">
        <v>8114401</v>
      </c>
      <c r="G2300">
        <v>8202600</v>
      </c>
      <c r="H2300">
        <f t="shared" si="70"/>
        <v>184.00002267573697</v>
      </c>
      <c r="I2300">
        <f t="shared" si="71"/>
        <v>186</v>
      </c>
      <c r="J2300" t="s">
        <v>32</v>
      </c>
      <c r="K2300">
        <v>6</v>
      </c>
      <c r="L2300" t="e">
        <f t="array" ref="L2300">VLOOKUP(J2300:$J$3871&amp;K2300:$K$3871,CHOOSE({1,2},#REF!&amp;#REF!,#REF!),2,0)</f>
        <v>#N/A</v>
      </c>
      <c r="M2300">
        <v>-15</v>
      </c>
      <c r="N2300">
        <v>0</v>
      </c>
      <c r="O2300" t="s">
        <v>7</v>
      </c>
      <c r="P2300">
        <v>1</v>
      </c>
      <c r="Q2300">
        <v>1</v>
      </c>
      <c r="R2300">
        <v>1</v>
      </c>
      <c r="S2300">
        <v>0</v>
      </c>
      <c r="T2300">
        <v>1</v>
      </c>
      <c r="U2300">
        <v>0</v>
      </c>
      <c r="V2300">
        <v>0</v>
      </c>
      <c r="W2300">
        <v>1</v>
      </c>
      <c r="X2300">
        <v>1</v>
      </c>
      <c r="Y2300">
        <v>0</v>
      </c>
      <c r="Z2300">
        <v>0</v>
      </c>
      <c r="AA2300" t="s">
        <v>3114</v>
      </c>
      <c r="AB2300" t="s">
        <v>2112</v>
      </c>
      <c r="AC2300" t="s">
        <v>3114</v>
      </c>
      <c r="AD2300" t="e">
        <f>VLOOKUP(AB2300,#REF!,2,FALSE)</f>
        <v>#REF!</v>
      </c>
      <c r="AE2300" t="e">
        <f>RIGHT(#REF!,(FIND("Complex",#REF!,1)-7))</f>
        <v>#REF!</v>
      </c>
    </row>
    <row r="2301" spans="1:31" x14ac:dyDescent="0.25">
      <c r="A2301">
        <v>220</v>
      </c>
      <c r="B2301" t="s">
        <v>72</v>
      </c>
      <c r="C2301">
        <v>104</v>
      </c>
      <c r="D2301">
        <v>18</v>
      </c>
      <c r="E2301">
        <v>220</v>
      </c>
      <c r="F2301">
        <v>4762801</v>
      </c>
      <c r="G2301">
        <v>4851000</v>
      </c>
      <c r="H2301">
        <f t="shared" si="70"/>
        <v>108.00002267573696</v>
      </c>
      <c r="I2301">
        <f t="shared" si="71"/>
        <v>110</v>
      </c>
      <c r="J2301" t="s">
        <v>32</v>
      </c>
      <c r="K2301">
        <v>6</v>
      </c>
      <c r="L2301" t="e">
        <f t="array" ref="L2301">VLOOKUP(J2301:$J$3871&amp;K2301:$K$3871,CHOOSE({1,2},#REF!&amp;#REF!,#REF!),2,0)</f>
        <v>#N/A</v>
      </c>
      <c r="M2301">
        <v>-15</v>
      </c>
      <c r="N2301">
        <v>0</v>
      </c>
      <c r="O2301" t="s">
        <v>7</v>
      </c>
      <c r="P2301">
        <v>1</v>
      </c>
      <c r="Q2301">
        <v>0</v>
      </c>
      <c r="R2301">
        <v>1</v>
      </c>
      <c r="S2301">
        <v>1</v>
      </c>
      <c r="T2301">
        <v>1</v>
      </c>
      <c r="U2301">
        <v>0</v>
      </c>
      <c r="V2301">
        <v>0</v>
      </c>
      <c r="W2301">
        <v>1</v>
      </c>
      <c r="X2301">
        <v>1</v>
      </c>
      <c r="Y2301">
        <v>0</v>
      </c>
      <c r="Z2301">
        <v>0</v>
      </c>
      <c r="AA2301" t="s">
        <v>3461</v>
      </c>
      <c r="AB2301" t="s">
        <v>2113</v>
      </c>
      <c r="AC2301" t="s">
        <v>3461</v>
      </c>
      <c r="AD2301" t="e">
        <f>VLOOKUP(AB2301,#REF!,2,FALSE)</f>
        <v>#REF!</v>
      </c>
      <c r="AE2301" t="e">
        <f>RIGHT(#REF!,(FIND("Complex",#REF!,1)-6))</f>
        <v>#REF!</v>
      </c>
    </row>
    <row r="2302" spans="1:31" x14ac:dyDescent="0.25">
      <c r="A2302">
        <v>1025</v>
      </c>
      <c r="B2302" t="s">
        <v>72</v>
      </c>
      <c r="C2302">
        <v>104</v>
      </c>
      <c r="D2302">
        <v>85</v>
      </c>
      <c r="E2302">
        <v>1025</v>
      </c>
      <c r="F2302">
        <v>4498201</v>
      </c>
      <c r="G2302">
        <v>4586400</v>
      </c>
      <c r="H2302">
        <f t="shared" si="70"/>
        <v>102.00002267573696</v>
      </c>
      <c r="I2302">
        <f t="shared" si="71"/>
        <v>104</v>
      </c>
      <c r="J2302" t="s">
        <v>32</v>
      </c>
      <c r="K2302">
        <v>6</v>
      </c>
      <c r="L2302" t="e">
        <f t="array" ref="L2302">VLOOKUP(J2302:$J$3871&amp;K2302:$K$3871,CHOOSE({1,2},#REF!&amp;#REF!,#REF!),2,0)</f>
        <v>#N/A</v>
      </c>
      <c r="M2302">
        <v>-15</v>
      </c>
      <c r="N2302">
        <v>0</v>
      </c>
      <c r="O2302" t="s">
        <v>7</v>
      </c>
      <c r="P2302">
        <v>0</v>
      </c>
      <c r="Q2302">
        <v>0</v>
      </c>
      <c r="R2302">
        <v>1</v>
      </c>
      <c r="S2302">
        <v>1</v>
      </c>
      <c r="T2302">
        <v>1</v>
      </c>
      <c r="U2302">
        <v>0</v>
      </c>
      <c r="V2302">
        <v>0</v>
      </c>
      <c r="W2302">
        <v>1</v>
      </c>
      <c r="X2302">
        <v>1</v>
      </c>
      <c r="Y2302">
        <v>1</v>
      </c>
      <c r="Z2302">
        <v>0</v>
      </c>
      <c r="AA2302" t="s">
        <v>3486</v>
      </c>
      <c r="AB2302" t="s">
        <v>2114</v>
      </c>
      <c r="AC2302" t="s">
        <v>3486</v>
      </c>
      <c r="AD2302" t="e">
        <f>VLOOKUP(AB2302,#REF!,2,FALSE)</f>
        <v>#REF!</v>
      </c>
      <c r="AE2302" t="e">
        <f>RIGHT(#REF!,(FIND("Complex",#REF!,1)-7))</f>
        <v>#REF!</v>
      </c>
    </row>
    <row r="2303" spans="1:31" x14ac:dyDescent="0.25">
      <c r="A2303">
        <v>2817</v>
      </c>
      <c r="B2303" t="s">
        <v>90</v>
      </c>
      <c r="C2303">
        <v>111</v>
      </c>
      <c r="D2303">
        <v>301</v>
      </c>
      <c r="E2303">
        <v>2817</v>
      </c>
      <c r="F2303">
        <v>2910601</v>
      </c>
      <c r="G2303">
        <v>2998800</v>
      </c>
      <c r="H2303">
        <f t="shared" si="70"/>
        <v>66.000022675736957</v>
      </c>
      <c r="I2303">
        <f t="shared" si="71"/>
        <v>68</v>
      </c>
      <c r="J2303" t="s">
        <v>32</v>
      </c>
      <c r="K2303">
        <v>6</v>
      </c>
      <c r="L2303" t="e">
        <f t="array" ref="L2303">VLOOKUP(J2303:$J$3871&amp;K2303:$K$3871,CHOOSE({1,2},#REF!&amp;#REF!,#REF!),2,0)</f>
        <v>#N/A</v>
      </c>
      <c r="M2303">
        <v>-15</v>
      </c>
      <c r="N2303">
        <v>0</v>
      </c>
      <c r="O2303" t="s">
        <v>7</v>
      </c>
      <c r="P2303">
        <v>1</v>
      </c>
      <c r="Q2303">
        <v>1</v>
      </c>
      <c r="R2303">
        <v>1</v>
      </c>
      <c r="S2303">
        <v>0</v>
      </c>
      <c r="T2303">
        <v>0</v>
      </c>
      <c r="U2303">
        <v>1</v>
      </c>
      <c r="V2303">
        <v>0</v>
      </c>
      <c r="W2303">
        <v>1</v>
      </c>
      <c r="X2303">
        <v>1</v>
      </c>
      <c r="Y2303">
        <v>0</v>
      </c>
      <c r="Z2303">
        <v>0</v>
      </c>
      <c r="AA2303" t="s">
        <v>2758</v>
      </c>
      <c r="AB2303" t="s">
        <v>2195</v>
      </c>
      <c r="AC2303" t="s">
        <v>2758</v>
      </c>
      <c r="AD2303" t="e">
        <f>VLOOKUP(AB2303,#REF!,2,FALSE)</f>
        <v>#REF!</v>
      </c>
      <c r="AE2303" t="e">
        <f>RIGHT(#REF!,(FIND("Complex",#REF!,1)-8))</f>
        <v>#REF!</v>
      </c>
    </row>
    <row r="2304" spans="1:31" x14ac:dyDescent="0.25">
      <c r="A2304">
        <v>3377</v>
      </c>
      <c r="B2304" t="s">
        <v>90</v>
      </c>
      <c r="C2304">
        <v>111</v>
      </c>
      <c r="D2304">
        <v>421</v>
      </c>
      <c r="E2304">
        <v>3377</v>
      </c>
      <c r="F2304">
        <v>2822401</v>
      </c>
      <c r="G2304">
        <v>2910600</v>
      </c>
      <c r="H2304">
        <f t="shared" si="70"/>
        <v>64.000022675736957</v>
      </c>
      <c r="I2304">
        <f t="shared" si="71"/>
        <v>66</v>
      </c>
      <c r="J2304" t="s">
        <v>32</v>
      </c>
      <c r="K2304">
        <v>6</v>
      </c>
      <c r="L2304" t="e">
        <f t="array" ref="L2304">VLOOKUP(J2304:$J$3871&amp;K2304:$K$3871,CHOOSE({1,2},#REF!&amp;#REF!,#REF!),2,0)</f>
        <v>#N/A</v>
      </c>
      <c r="M2304">
        <v>-15</v>
      </c>
      <c r="N2304">
        <v>0</v>
      </c>
      <c r="O2304" t="s">
        <v>7</v>
      </c>
      <c r="P2304">
        <v>1</v>
      </c>
      <c r="Q2304">
        <v>1</v>
      </c>
      <c r="R2304">
        <v>1</v>
      </c>
      <c r="S2304">
        <v>0</v>
      </c>
      <c r="T2304">
        <v>0</v>
      </c>
      <c r="U2304">
        <v>1</v>
      </c>
      <c r="V2304">
        <v>0</v>
      </c>
      <c r="W2304">
        <v>1</v>
      </c>
      <c r="X2304">
        <v>1</v>
      </c>
      <c r="Y2304">
        <v>0</v>
      </c>
      <c r="Z2304">
        <v>0</v>
      </c>
      <c r="AA2304" t="s">
        <v>2768</v>
      </c>
      <c r="AB2304" t="s">
        <v>2196</v>
      </c>
      <c r="AC2304" t="s">
        <v>2768</v>
      </c>
      <c r="AD2304" t="e">
        <f>VLOOKUP(AB2304,#REF!,2,FALSE)</f>
        <v>#REF!</v>
      </c>
      <c r="AE2304" t="e">
        <f>RIGHT(#REF!,(FIND("Complex",#REF!,1)-8))</f>
        <v>#REF!</v>
      </c>
    </row>
    <row r="2305" spans="1:31" x14ac:dyDescent="0.25">
      <c r="A2305">
        <v>2498</v>
      </c>
      <c r="B2305" t="s">
        <v>90</v>
      </c>
      <c r="C2305">
        <v>111</v>
      </c>
      <c r="D2305">
        <v>245</v>
      </c>
      <c r="E2305">
        <v>2498</v>
      </c>
      <c r="F2305">
        <v>8555401</v>
      </c>
      <c r="G2305">
        <v>8643600</v>
      </c>
      <c r="H2305">
        <f t="shared" si="70"/>
        <v>194.00002267573697</v>
      </c>
      <c r="I2305">
        <f t="shared" si="71"/>
        <v>196</v>
      </c>
      <c r="J2305" t="s">
        <v>32</v>
      </c>
      <c r="K2305">
        <v>6</v>
      </c>
      <c r="L2305" t="e">
        <f t="array" ref="L2305">VLOOKUP(J2305:$J$3871&amp;K2305:$K$3871,CHOOSE({1,2},#REF!&amp;#REF!,#REF!),2,0)</f>
        <v>#N/A</v>
      </c>
      <c r="M2305">
        <v>-15</v>
      </c>
      <c r="N2305">
        <v>0</v>
      </c>
      <c r="O2305" t="s">
        <v>7</v>
      </c>
      <c r="P2305">
        <v>1</v>
      </c>
      <c r="Q2305">
        <v>1</v>
      </c>
      <c r="R2305">
        <v>1</v>
      </c>
      <c r="S2305">
        <v>0</v>
      </c>
      <c r="T2305">
        <v>0</v>
      </c>
      <c r="U2305">
        <v>1</v>
      </c>
      <c r="V2305">
        <v>0</v>
      </c>
      <c r="W2305">
        <v>1</v>
      </c>
      <c r="X2305">
        <v>1</v>
      </c>
      <c r="Y2305">
        <v>0</v>
      </c>
      <c r="Z2305">
        <v>0</v>
      </c>
      <c r="AA2305" t="s">
        <v>3072</v>
      </c>
      <c r="AB2305" t="s">
        <v>2197</v>
      </c>
      <c r="AC2305" t="s">
        <v>3072</v>
      </c>
      <c r="AD2305" t="e">
        <f>VLOOKUP(AB2305,#REF!,2,FALSE)</f>
        <v>#REF!</v>
      </c>
      <c r="AE2305" t="e">
        <f>RIGHT(#REF!,(FIND("Complex",#REF!,1)-7))</f>
        <v>#REF!</v>
      </c>
    </row>
    <row r="2306" spans="1:31" x14ac:dyDescent="0.25">
      <c r="A2306">
        <v>1684</v>
      </c>
      <c r="B2306" t="s">
        <v>90</v>
      </c>
      <c r="C2306">
        <v>111</v>
      </c>
      <c r="D2306">
        <v>152</v>
      </c>
      <c r="E2306">
        <v>1684</v>
      </c>
      <c r="F2306">
        <v>8379001</v>
      </c>
      <c r="G2306">
        <v>8467200</v>
      </c>
      <c r="H2306">
        <f t="shared" ref="H2306:H2369" si="72">F2306/44100</f>
        <v>190.00002267573697</v>
      </c>
      <c r="I2306">
        <f t="shared" ref="I2306:I2369" si="73">G2306/44100</f>
        <v>192</v>
      </c>
      <c r="J2306" t="s">
        <v>32</v>
      </c>
      <c r="K2306">
        <v>6</v>
      </c>
      <c r="L2306" t="e">
        <f t="array" ref="L2306">VLOOKUP(J2306:$J$3871&amp;K2306:$K$3871,CHOOSE({1,2},#REF!&amp;#REF!,#REF!),2,0)</f>
        <v>#N/A</v>
      </c>
      <c r="M2306">
        <v>-15</v>
      </c>
      <c r="N2306">
        <v>0</v>
      </c>
      <c r="O2306" t="s">
        <v>7</v>
      </c>
      <c r="P2306">
        <v>1</v>
      </c>
      <c r="Q2306">
        <v>1</v>
      </c>
      <c r="R2306">
        <v>1</v>
      </c>
      <c r="S2306">
        <v>0</v>
      </c>
      <c r="T2306">
        <v>0</v>
      </c>
      <c r="U2306">
        <v>1</v>
      </c>
      <c r="V2306">
        <v>0</v>
      </c>
      <c r="W2306">
        <v>1</v>
      </c>
      <c r="X2306">
        <v>1</v>
      </c>
      <c r="Y2306">
        <v>0</v>
      </c>
      <c r="Z2306">
        <v>0</v>
      </c>
      <c r="AA2306" t="s">
        <v>3090</v>
      </c>
      <c r="AB2306" t="s">
        <v>2198</v>
      </c>
      <c r="AC2306" t="s">
        <v>3090</v>
      </c>
      <c r="AD2306" t="e">
        <f>VLOOKUP(AB2306,#REF!,2,FALSE)</f>
        <v>#REF!</v>
      </c>
      <c r="AE2306" t="e">
        <f>RIGHT(#REF!,(FIND("Complex",#REF!,1)-7))</f>
        <v>#REF!</v>
      </c>
    </row>
    <row r="2307" spans="1:31" x14ac:dyDescent="0.25">
      <c r="A2307">
        <v>2412</v>
      </c>
      <c r="B2307" t="s">
        <v>90</v>
      </c>
      <c r="C2307">
        <v>111</v>
      </c>
      <c r="D2307">
        <v>232</v>
      </c>
      <c r="E2307">
        <v>2412</v>
      </c>
      <c r="F2307">
        <v>7938001</v>
      </c>
      <c r="G2307">
        <v>8026200</v>
      </c>
      <c r="H2307">
        <f t="shared" si="72"/>
        <v>180.00002267573697</v>
      </c>
      <c r="I2307">
        <f t="shared" si="73"/>
        <v>182</v>
      </c>
      <c r="J2307" t="s">
        <v>32</v>
      </c>
      <c r="K2307">
        <v>6</v>
      </c>
      <c r="L2307" t="e">
        <f t="array" ref="L2307">VLOOKUP(J2307:$J$3871&amp;K2307:$K$3871,CHOOSE({1,2},#REF!&amp;#REF!,#REF!),2,0)</f>
        <v>#N/A</v>
      </c>
      <c r="M2307">
        <v>-15</v>
      </c>
      <c r="N2307">
        <v>0</v>
      </c>
      <c r="O2307" t="s">
        <v>7</v>
      </c>
      <c r="P2307">
        <v>1</v>
      </c>
      <c r="Q2307">
        <v>1</v>
      </c>
      <c r="R2307">
        <v>1</v>
      </c>
      <c r="S2307">
        <v>0</v>
      </c>
      <c r="T2307">
        <v>0</v>
      </c>
      <c r="U2307">
        <v>1</v>
      </c>
      <c r="V2307">
        <v>0</v>
      </c>
      <c r="W2307">
        <v>1</v>
      </c>
      <c r="X2307">
        <v>1</v>
      </c>
      <c r="Y2307">
        <v>0</v>
      </c>
      <c r="Z2307">
        <v>0</v>
      </c>
      <c r="AA2307" t="s">
        <v>3132</v>
      </c>
      <c r="AB2307" t="s">
        <v>2199</v>
      </c>
      <c r="AC2307" t="s">
        <v>3132</v>
      </c>
      <c r="AD2307" t="e">
        <f>VLOOKUP(AB2307,#REF!,2,FALSE)</f>
        <v>#REF!</v>
      </c>
      <c r="AE2307" t="e">
        <f>RIGHT(#REF!,(FIND("Complex",#REF!,1)-7))</f>
        <v>#REF!</v>
      </c>
    </row>
    <row r="2308" spans="1:31" x14ac:dyDescent="0.25">
      <c r="A2308">
        <v>2948</v>
      </c>
      <c r="B2308" t="s">
        <v>90</v>
      </c>
      <c r="C2308">
        <v>111</v>
      </c>
      <c r="D2308">
        <v>331</v>
      </c>
      <c r="E2308">
        <v>2948</v>
      </c>
      <c r="F2308">
        <v>7761601</v>
      </c>
      <c r="G2308">
        <v>7849800</v>
      </c>
      <c r="H2308">
        <f t="shared" si="72"/>
        <v>176.00002267573697</v>
      </c>
      <c r="I2308">
        <f t="shared" si="73"/>
        <v>178</v>
      </c>
      <c r="J2308" t="s">
        <v>32</v>
      </c>
      <c r="K2308">
        <v>6</v>
      </c>
      <c r="L2308" t="e">
        <f t="array" ref="L2308">VLOOKUP(J2308:$J$3871&amp;K2308:$K$3871,CHOOSE({1,2},#REF!&amp;#REF!,#REF!),2,0)</f>
        <v>#N/A</v>
      </c>
      <c r="M2308">
        <v>-15</v>
      </c>
      <c r="N2308">
        <v>0</v>
      </c>
      <c r="O2308" t="s">
        <v>7</v>
      </c>
      <c r="P2308">
        <v>1</v>
      </c>
      <c r="Q2308">
        <v>1</v>
      </c>
      <c r="R2308">
        <v>1</v>
      </c>
      <c r="S2308">
        <v>0</v>
      </c>
      <c r="T2308">
        <v>0</v>
      </c>
      <c r="U2308">
        <v>1</v>
      </c>
      <c r="V2308">
        <v>0</v>
      </c>
      <c r="W2308">
        <v>1</v>
      </c>
      <c r="X2308">
        <v>1</v>
      </c>
      <c r="Y2308">
        <v>0</v>
      </c>
      <c r="Z2308">
        <v>0</v>
      </c>
      <c r="AA2308" t="s">
        <v>3150</v>
      </c>
      <c r="AB2308" t="s">
        <v>161</v>
      </c>
      <c r="AC2308" t="s">
        <v>3150</v>
      </c>
      <c r="AD2308" t="e">
        <f>VLOOKUP(AB2308,#REF!,2,FALSE)</f>
        <v>#REF!</v>
      </c>
      <c r="AE2308" t="e">
        <f>RIGHT(#REF!,(FIND("Complex",#REF!,1)-7))</f>
        <v>#REF!</v>
      </c>
    </row>
    <row r="2309" spans="1:31" x14ac:dyDescent="0.25">
      <c r="A2309">
        <v>1943</v>
      </c>
      <c r="B2309" t="s">
        <v>90</v>
      </c>
      <c r="C2309">
        <v>111</v>
      </c>
      <c r="D2309">
        <v>185</v>
      </c>
      <c r="E2309">
        <v>1943</v>
      </c>
      <c r="F2309">
        <v>6526801</v>
      </c>
      <c r="G2309">
        <v>6615000</v>
      </c>
      <c r="H2309">
        <f t="shared" si="72"/>
        <v>148.00002267573697</v>
      </c>
      <c r="I2309">
        <f t="shared" si="73"/>
        <v>150</v>
      </c>
      <c r="J2309" t="s">
        <v>32</v>
      </c>
      <c r="K2309">
        <v>6</v>
      </c>
      <c r="L2309" t="e">
        <f t="array" ref="L2309">VLOOKUP(J2309:$J$3871&amp;K2309:$K$3871,CHOOSE({1,2},#REF!&amp;#REF!,#REF!),2,0)</f>
        <v>#N/A</v>
      </c>
      <c r="M2309">
        <v>-15</v>
      </c>
      <c r="N2309">
        <v>0</v>
      </c>
      <c r="O2309" t="s">
        <v>7</v>
      </c>
      <c r="P2309">
        <v>1</v>
      </c>
      <c r="Q2309">
        <v>1</v>
      </c>
      <c r="R2309">
        <v>1</v>
      </c>
      <c r="S2309">
        <v>0</v>
      </c>
      <c r="T2309">
        <v>0</v>
      </c>
      <c r="U2309">
        <v>1</v>
      </c>
      <c r="V2309">
        <v>0</v>
      </c>
      <c r="W2309">
        <v>1</v>
      </c>
      <c r="X2309">
        <v>1</v>
      </c>
      <c r="Y2309">
        <v>0</v>
      </c>
      <c r="Z2309">
        <v>0</v>
      </c>
      <c r="AA2309" t="s">
        <v>3236</v>
      </c>
      <c r="AB2309" t="s">
        <v>2200</v>
      </c>
      <c r="AC2309" t="s">
        <v>3236</v>
      </c>
      <c r="AD2309" t="e">
        <f>VLOOKUP(AB2309,#REF!,2,FALSE)</f>
        <v>#REF!</v>
      </c>
      <c r="AE2309" t="e">
        <f>RIGHT(#REF!,(FIND("Complex",#REF!,1)-7))</f>
        <v>#REF!</v>
      </c>
    </row>
    <row r="2310" spans="1:31" x14ac:dyDescent="0.25">
      <c r="A2310">
        <v>872</v>
      </c>
      <c r="B2310" t="s">
        <v>90</v>
      </c>
      <c r="C2310">
        <v>111</v>
      </c>
      <c r="D2310">
        <v>69</v>
      </c>
      <c r="E2310">
        <v>872</v>
      </c>
      <c r="F2310">
        <v>6350401</v>
      </c>
      <c r="G2310">
        <v>6438600</v>
      </c>
      <c r="H2310">
        <f t="shared" si="72"/>
        <v>144.00002267573697</v>
      </c>
      <c r="I2310">
        <f t="shared" si="73"/>
        <v>146</v>
      </c>
      <c r="J2310" t="s">
        <v>32</v>
      </c>
      <c r="K2310">
        <v>6</v>
      </c>
      <c r="L2310" t="e">
        <f t="array" ref="L2310">VLOOKUP(J2310:$J$3871&amp;K2310:$K$3871,CHOOSE({1,2},#REF!&amp;#REF!,#REF!),2,0)</f>
        <v>#N/A</v>
      </c>
      <c r="M2310">
        <v>-15</v>
      </c>
      <c r="N2310">
        <v>0</v>
      </c>
      <c r="O2310" t="s">
        <v>7</v>
      </c>
      <c r="P2310">
        <v>1</v>
      </c>
      <c r="Q2310">
        <v>1</v>
      </c>
      <c r="R2310">
        <v>1</v>
      </c>
      <c r="S2310">
        <v>0</v>
      </c>
      <c r="T2310">
        <v>0</v>
      </c>
      <c r="U2310">
        <v>1</v>
      </c>
      <c r="V2310">
        <v>0</v>
      </c>
      <c r="W2310">
        <v>1</v>
      </c>
      <c r="X2310">
        <v>1</v>
      </c>
      <c r="Y2310">
        <v>0</v>
      </c>
      <c r="Z2310">
        <v>0</v>
      </c>
      <c r="AA2310" t="s">
        <v>3253</v>
      </c>
      <c r="AB2310" t="s">
        <v>2201</v>
      </c>
      <c r="AC2310" t="s">
        <v>3253</v>
      </c>
      <c r="AD2310" t="e">
        <f>VLOOKUP(AB2310,#REF!,2,FALSE)</f>
        <v>#REF!</v>
      </c>
      <c r="AE2310" t="e">
        <f>RIGHT(#REF!,(FIND("Complex",#REF!,1)-6))</f>
        <v>#REF!</v>
      </c>
    </row>
    <row r="2311" spans="1:31" x14ac:dyDescent="0.25">
      <c r="A2311">
        <v>2431</v>
      </c>
      <c r="B2311" t="s">
        <v>90</v>
      </c>
      <c r="C2311">
        <v>111</v>
      </c>
      <c r="D2311">
        <v>233</v>
      </c>
      <c r="E2311">
        <v>2431</v>
      </c>
      <c r="F2311">
        <v>6174001</v>
      </c>
      <c r="G2311">
        <v>6262200</v>
      </c>
      <c r="H2311">
        <f t="shared" si="72"/>
        <v>140.00002267573697</v>
      </c>
      <c r="I2311">
        <f t="shared" si="73"/>
        <v>142</v>
      </c>
      <c r="J2311" t="s">
        <v>32</v>
      </c>
      <c r="K2311">
        <v>6</v>
      </c>
      <c r="L2311" t="e">
        <f t="array" ref="L2311">VLOOKUP(J2311:$J$3871&amp;K2311:$K$3871,CHOOSE({1,2},#REF!&amp;#REF!,#REF!),2,0)</f>
        <v>#N/A</v>
      </c>
      <c r="M2311">
        <v>-15</v>
      </c>
      <c r="N2311">
        <v>0</v>
      </c>
      <c r="O2311" t="s">
        <v>7</v>
      </c>
      <c r="P2311">
        <v>1</v>
      </c>
      <c r="Q2311">
        <v>1</v>
      </c>
      <c r="R2311">
        <v>1</v>
      </c>
      <c r="S2311">
        <v>0</v>
      </c>
      <c r="T2311">
        <v>0</v>
      </c>
      <c r="U2311">
        <v>1</v>
      </c>
      <c r="V2311">
        <v>0</v>
      </c>
      <c r="W2311">
        <v>1</v>
      </c>
      <c r="X2311">
        <v>1</v>
      </c>
      <c r="Y2311">
        <v>0</v>
      </c>
      <c r="Z2311">
        <v>0</v>
      </c>
      <c r="AA2311" t="s">
        <v>3269</v>
      </c>
      <c r="AB2311" t="s">
        <v>2202</v>
      </c>
      <c r="AC2311" t="s">
        <v>3269</v>
      </c>
      <c r="AD2311" t="e">
        <f>VLOOKUP(AB2311,#REF!,2,FALSE)</f>
        <v>#REF!</v>
      </c>
      <c r="AE2311" t="e">
        <f>RIGHT(#REF!,(FIND("Complex",#REF!,1)-7))</f>
        <v>#REF!</v>
      </c>
    </row>
    <row r="2312" spans="1:31" x14ac:dyDescent="0.25">
      <c r="A2312">
        <v>3416</v>
      </c>
      <c r="B2312" t="s">
        <v>90</v>
      </c>
      <c r="C2312">
        <v>111</v>
      </c>
      <c r="D2312">
        <v>427</v>
      </c>
      <c r="E2312">
        <v>3416</v>
      </c>
      <c r="F2312">
        <v>5997601</v>
      </c>
      <c r="G2312">
        <v>6085800</v>
      </c>
      <c r="H2312">
        <f t="shared" si="72"/>
        <v>136.00002267573697</v>
      </c>
      <c r="I2312">
        <f t="shared" si="73"/>
        <v>138</v>
      </c>
      <c r="J2312" t="s">
        <v>32</v>
      </c>
      <c r="K2312">
        <v>6</v>
      </c>
      <c r="L2312" t="e">
        <f t="array" ref="L2312">VLOOKUP(J2312:$J$3871&amp;K2312:$K$3871,CHOOSE({1,2},#REF!&amp;#REF!,#REF!),2,0)</f>
        <v>#N/A</v>
      </c>
      <c r="M2312">
        <v>-15</v>
      </c>
      <c r="N2312">
        <v>0</v>
      </c>
      <c r="O2312" t="s">
        <v>7</v>
      </c>
      <c r="P2312">
        <v>1</v>
      </c>
      <c r="Q2312">
        <v>1</v>
      </c>
      <c r="R2312">
        <v>1</v>
      </c>
      <c r="S2312">
        <v>0</v>
      </c>
      <c r="T2312">
        <v>0</v>
      </c>
      <c r="U2312">
        <v>1</v>
      </c>
      <c r="V2312">
        <v>0</v>
      </c>
      <c r="W2312">
        <v>1</v>
      </c>
      <c r="X2312">
        <v>1</v>
      </c>
      <c r="Y2312">
        <v>0</v>
      </c>
      <c r="Z2312">
        <v>0</v>
      </c>
      <c r="AA2312" t="s">
        <v>3290</v>
      </c>
      <c r="AB2312" t="s">
        <v>2203</v>
      </c>
      <c r="AC2312" t="s">
        <v>3290</v>
      </c>
      <c r="AD2312" t="e">
        <f>VLOOKUP(AB2312,#REF!,2,FALSE)</f>
        <v>#REF!</v>
      </c>
      <c r="AE2312" t="e">
        <f>RIGHT(#REF!,(FIND("Complex",#REF!,1)-7))</f>
        <v>#REF!</v>
      </c>
    </row>
    <row r="2313" spans="1:31" x14ac:dyDescent="0.25">
      <c r="A2313">
        <v>1191</v>
      </c>
      <c r="B2313" t="s">
        <v>90</v>
      </c>
      <c r="C2313">
        <v>111</v>
      </c>
      <c r="D2313">
        <v>103</v>
      </c>
      <c r="E2313">
        <v>1191</v>
      </c>
      <c r="F2313">
        <v>5733001</v>
      </c>
      <c r="G2313">
        <v>5821200</v>
      </c>
      <c r="H2313">
        <f t="shared" si="72"/>
        <v>130.00002267573697</v>
      </c>
      <c r="I2313">
        <f t="shared" si="73"/>
        <v>132</v>
      </c>
      <c r="J2313" t="s">
        <v>32</v>
      </c>
      <c r="K2313">
        <v>6</v>
      </c>
      <c r="L2313" t="e">
        <f t="array" ref="L2313">VLOOKUP(J2313:$J$3871&amp;K2313:$K$3871,CHOOSE({1,2},#REF!&amp;#REF!,#REF!),2,0)</f>
        <v>#N/A</v>
      </c>
      <c r="M2313">
        <v>-15</v>
      </c>
      <c r="N2313">
        <v>0</v>
      </c>
      <c r="O2313" t="s">
        <v>7</v>
      </c>
      <c r="P2313">
        <v>1</v>
      </c>
      <c r="Q2313">
        <v>1</v>
      </c>
      <c r="R2313">
        <v>1</v>
      </c>
      <c r="S2313">
        <v>0</v>
      </c>
      <c r="T2313">
        <v>0</v>
      </c>
      <c r="U2313">
        <v>1</v>
      </c>
      <c r="V2313">
        <v>0</v>
      </c>
      <c r="W2313">
        <v>1</v>
      </c>
      <c r="X2313">
        <v>1</v>
      </c>
      <c r="Y2313">
        <v>0</v>
      </c>
      <c r="Z2313">
        <v>0</v>
      </c>
      <c r="AA2313" t="s">
        <v>3330</v>
      </c>
      <c r="AB2313" t="s">
        <v>2204</v>
      </c>
      <c r="AC2313" t="s">
        <v>3330</v>
      </c>
      <c r="AD2313" t="e">
        <f>VLOOKUP(AB2313,#REF!,2,FALSE)</f>
        <v>#REF!</v>
      </c>
      <c r="AE2313" t="e">
        <f>RIGHT(#REF!,(FIND("Complex",#REF!,1)-7))</f>
        <v>#REF!</v>
      </c>
    </row>
    <row r="2314" spans="1:31" x14ac:dyDescent="0.25">
      <c r="A2314">
        <v>2463</v>
      </c>
      <c r="B2314" t="s">
        <v>82</v>
      </c>
      <c r="C2314">
        <v>115</v>
      </c>
      <c r="D2314">
        <v>238</v>
      </c>
      <c r="E2314">
        <v>2463</v>
      </c>
      <c r="F2314">
        <v>12348001</v>
      </c>
      <c r="G2314">
        <v>12436200</v>
      </c>
      <c r="H2314">
        <f t="shared" si="72"/>
        <v>280.00002267573694</v>
      </c>
      <c r="I2314">
        <f t="shared" si="73"/>
        <v>282</v>
      </c>
      <c r="J2314" t="s">
        <v>32</v>
      </c>
      <c r="K2314">
        <v>6</v>
      </c>
      <c r="L2314" t="e">
        <f t="array" ref="L2314">VLOOKUP(J2314:$J$3871&amp;K2314:$K$3871,CHOOSE({1,2},#REF!&amp;#REF!,#REF!),2,0)</f>
        <v>#N/A</v>
      </c>
      <c r="M2314">
        <v>-15</v>
      </c>
      <c r="N2314">
        <v>0</v>
      </c>
      <c r="O2314" t="s">
        <v>7</v>
      </c>
      <c r="P2314">
        <v>0</v>
      </c>
      <c r="Q2314">
        <v>0</v>
      </c>
      <c r="R2314">
        <v>1</v>
      </c>
      <c r="S2314">
        <v>1</v>
      </c>
      <c r="T2314">
        <v>0</v>
      </c>
      <c r="U2314">
        <v>1</v>
      </c>
      <c r="V2314">
        <v>0</v>
      </c>
      <c r="W2314">
        <v>1</v>
      </c>
      <c r="X2314">
        <v>1</v>
      </c>
      <c r="Y2314">
        <v>1</v>
      </c>
      <c r="Z2314">
        <v>0</v>
      </c>
      <c r="AA2314" t="s">
        <v>2902</v>
      </c>
      <c r="AB2314" t="s">
        <v>2248</v>
      </c>
      <c r="AC2314" t="s">
        <v>2902</v>
      </c>
      <c r="AD2314" t="e">
        <f>VLOOKUP(AB2314,#REF!,2,FALSE)</f>
        <v>#REF!</v>
      </c>
      <c r="AE2314" t="e">
        <f>RIGHT(#REF!,(FIND("Complex",#REF!,1)-7))</f>
        <v>#REF!</v>
      </c>
    </row>
    <row r="2315" spans="1:31" x14ac:dyDescent="0.25">
      <c r="A2315">
        <v>3207</v>
      </c>
      <c r="B2315" t="s">
        <v>82</v>
      </c>
      <c r="C2315">
        <v>115</v>
      </c>
      <c r="D2315">
        <v>394</v>
      </c>
      <c r="E2315">
        <v>3207</v>
      </c>
      <c r="F2315">
        <v>5997601</v>
      </c>
      <c r="G2315">
        <v>6085800</v>
      </c>
      <c r="H2315">
        <f t="shared" si="72"/>
        <v>136.00002267573697</v>
      </c>
      <c r="I2315">
        <f t="shared" si="73"/>
        <v>138</v>
      </c>
      <c r="J2315" t="s">
        <v>32</v>
      </c>
      <c r="K2315">
        <v>6</v>
      </c>
      <c r="L2315" t="e">
        <f t="array" ref="L2315">VLOOKUP(J2315:$J$3871&amp;K2315:$K$3871,CHOOSE({1,2},#REF!&amp;#REF!,#REF!),2,0)</f>
        <v>#N/A</v>
      </c>
      <c r="M2315">
        <v>-15</v>
      </c>
      <c r="N2315">
        <v>0</v>
      </c>
      <c r="O2315" t="s">
        <v>7</v>
      </c>
      <c r="P2315">
        <v>1</v>
      </c>
      <c r="Q2315">
        <v>0</v>
      </c>
      <c r="R2315">
        <v>1</v>
      </c>
      <c r="S2315">
        <v>1</v>
      </c>
      <c r="T2315">
        <v>1</v>
      </c>
      <c r="U2315">
        <v>0</v>
      </c>
      <c r="V2315">
        <v>0</v>
      </c>
      <c r="W2315">
        <v>1</v>
      </c>
      <c r="X2315">
        <v>1</v>
      </c>
      <c r="Y2315">
        <v>0</v>
      </c>
      <c r="Z2315">
        <v>0</v>
      </c>
      <c r="AA2315" t="s">
        <v>3289</v>
      </c>
      <c r="AB2315" t="s">
        <v>2249</v>
      </c>
      <c r="AC2315" t="s">
        <v>3289</v>
      </c>
      <c r="AD2315" t="e">
        <f>VLOOKUP(AB2315,#REF!,2,FALSE)</f>
        <v>#REF!</v>
      </c>
      <c r="AE2315" t="e">
        <f>RIGHT(#REF!,(FIND("Complex",#REF!,1)-7))</f>
        <v>#REF!</v>
      </c>
    </row>
    <row r="2316" spans="1:31" x14ac:dyDescent="0.25">
      <c r="A2316">
        <v>1909</v>
      </c>
      <c r="B2316" t="s">
        <v>82</v>
      </c>
      <c r="C2316">
        <v>115</v>
      </c>
      <c r="D2316">
        <v>179</v>
      </c>
      <c r="E2316">
        <v>1909</v>
      </c>
      <c r="F2316">
        <v>5733001</v>
      </c>
      <c r="G2316">
        <v>5821200</v>
      </c>
      <c r="H2316">
        <f t="shared" si="72"/>
        <v>130.00002267573697</v>
      </c>
      <c r="I2316">
        <f t="shared" si="73"/>
        <v>132</v>
      </c>
      <c r="J2316" t="s">
        <v>32</v>
      </c>
      <c r="K2316">
        <v>6</v>
      </c>
      <c r="L2316" t="e">
        <f t="array" ref="L2316">VLOOKUP(J2316:$J$3871&amp;K2316:$K$3871,CHOOSE({1,2},#REF!&amp;#REF!,#REF!),2,0)</f>
        <v>#N/A</v>
      </c>
      <c r="M2316">
        <v>-15</v>
      </c>
      <c r="N2316">
        <v>0</v>
      </c>
      <c r="O2316" t="s">
        <v>7</v>
      </c>
      <c r="P2316">
        <v>1</v>
      </c>
      <c r="Q2316">
        <v>0</v>
      </c>
      <c r="R2316">
        <v>1</v>
      </c>
      <c r="S2316">
        <v>1</v>
      </c>
      <c r="T2316">
        <v>0</v>
      </c>
      <c r="U2316">
        <v>0</v>
      </c>
      <c r="V2316">
        <v>0</v>
      </c>
      <c r="W2316">
        <v>1</v>
      </c>
      <c r="X2316">
        <v>1</v>
      </c>
      <c r="Y2316">
        <v>1</v>
      </c>
      <c r="Z2316">
        <v>0</v>
      </c>
      <c r="AA2316" t="s">
        <v>3329</v>
      </c>
      <c r="AB2316" t="s">
        <v>297</v>
      </c>
      <c r="AC2316" t="s">
        <v>3329</v>
      </c>
      <c r="AD2316" t="e">
        <f>VLOOKUP(AB2316,#REF!,2,FALSE)</f>
        <v>#REF!</v>
      </c>
      <c r="AE2316" t="e">
        <f>RIGHT(#REF!,(FIND("Complex",#REF!,1)-7))</f>
        <v>#REF!</v>
      </c>
    </row>
    <row r="2317" spans="1:31" x14ac:dyDescent="0.25">
      <c r="A2317">
        <v>3119</v>
      </c>
      <c r="B2317" t="s">
        <v>82</v>
      </c>
      <c r="C2317">
        <v>115</v>
      </c>
      <c r="D2317">
        <v>368</v>
      </c>
      <c r="E2317">
        <v>3119</v>
      </c>
      <c r="F2317">
        <v>5556601</v>
      </c>
      <c r="G2317">
        <v>5644800</v>
      </c>
      <c r="H2317">
        <f t="shared" si="72"/>
        <v>126.00002267573696</v>
      </c>
      <c r="I2317">
        <f t="shared" si="73"/>
        <v>128</v>
      </c>
      <c r="J2317" t="s">
        <v>32</v>
      </c>
      <c r="K2317">
        <v>6</v>
      </c>
      <c r="L2317" t="e">
        <f t="array" ref="L2317">VLOOKUP(J2317:$J$3871&amp;K2317:$K$3871,CHOOSE({1,2},#REF!&amp;#REF!,#REF!),2,0)</f>
        <v>#N/A</v>
      </c>
      <c r="M2317">
        <v>-15</v>
      </c>
      <c r="N2317">
        <v>0</v>
      </c>
      <c r="O2317" t="s">
        <v>7</v>
      </c>
      <c r="P2317">
        <v>1</v>
      </c>
      <c r="Q2317">
        <v>0</v>
      </c>
      <c r="R2317">
        <v>1</v>
      </c>
      <c r="S2317">
        <v>1</v>
      </c>
      <c r="T2317">
        <v>1</v>
      </c>
      <c r="U2317">
        <v>0</v>
      </c>
      <c r="V2317">
        <v>0</v>
      </c>
      <c r="W2317">
        <v>1</v>
      </c>
      <c r="X2317">
        <v>1</v>
      </c>
      <c r="Y2317">
        <v>0</v>
      </c>
      <c r="Z2317">
        <v>0</v>
      </c>
      <c r="AA2317" t="s">
        <v>3352</v>
      </c>
      <c r="AB2317" t="s">
        <v>2247</v>
      </c>
      <c r="AC2317" t="s">
        <v>3352</v>
      </c>
      <c r="AD2317" t="e">
        <f>VLOOKUP(AB2317,#REF!,2,FALSE)</f>
        <v>#REF!</v>
      </c>
      <c r="AE2317" t="e">
        <f>RIGHT(#REF!,(FIND("Complex",#REF!,1)-7))</f>
        <v>#REF!</v>
      </c>
    </row>
    <row r="2318" spans="1:31" x14ac:dyDescent="0.25">
      <c r="A2318">
        <v>2823</v>
      </c>
      <c r="B2318" t="s">
        <v>82</v>
      </c>
      <c r="C2318">
        <v>115</v>
      </c>
      <c r="D2318">
        <v>303</v>
      </c>
      <c r="E2318">
        <v>2823</v>
      </c>
      <c r="F2318">
        <v>5292001</v>
      </c>
      <c r="G2318">
        <v>5380200</v>
      </c>
      <c r="H2318">
        <f t="shared" si="72"/>
        <v>120.00002267573696</v>
      </c>
      <c r="I2318">
        <f t="shared" si="73"/>
        <v>122</v>
      </c>
      <c r="J2318" t="s">
        <v>32</v>
      </c>
      <c r="K2318">
        <v>6</v>
      </c>
      <c r="L2318" t="e">
        <f t="array" ref="L2318">VLOOKUP(J2318:$J$3871&amp;K2318:$K$3871,CHOOSE({1,2},#REF!&amp;#REF!,#REF!),2,0)</f>
        <v>#N/A</v>
      </c>
      <c r="M2318">
        <v>-15</v>
      </c>
      <c r="N2318">
        <v>0</v>
      </c>
      <c r="O2318" t="s">
        <v>7</v>
      </c>
      <c r="P2318">
        <v>0</v>
      </c>
      <c r="Q2318">
        <v>0</v>
      </c>
      <c r="R2318">
        <v>1</v>
      </c>
      <c r="S2318">
        <v>1</v>
      </c>
      <c r="T2318">
        <v>1</v>
      </c>
      <c r="U2318">
        <v>0</v>
      </c>
      <c r="V2318">
        <v>0</v>
      </c>
      <c r="W2318">
        <v>1</v>
      </c>
      <c r="X2318">
        <v>1</v>
      </c>
      <c r="Y2318">
        <v>1</v>
      </c>
      <c r="Z2318">
        <v>0</v>
      </c>
      <c r="AA2318" t="s">
        <v>3387</v>
      </c>
      <c r="AB2318" t="s">
        <v>2250</v>
      </c>
      <c r="AC2318" t="s">
        <v>3387</v>
      </c>
      <c r="AD2318" t="e">
        <f>VLOOKUP(AB2318,#REF!,2,FALSE)</f>
        <v>#REF!</v>
      </c>
      <c r="AE2318" t="e">
        <f>RIGHT(#REF!,(FIND("Complex",#REF!,1)-7))</f>
        <v>#REF!</v>
      </c>
    </row>
    <row r="2319" spans="1:31" x14ac:dyDescent="0.25">
      <c r="A2319">
        <v>2242</v>
      </c>
      <c r="B2319" t="s">
        <v>82</v>
      </c>
      <c r="C2319">
        <v>115</v>
      </c>
      <c r="D2319">
        <v>215</v>
      </c>
      <c r="E2319">
        <v>2242</v>
      </c>
      <c r="F2319">
        <v>5203801</v>
      </c>
      <c r="G2319">
        <v>5292000</v>
      </c>
      <c r="H2319">
        <f t="shared" si="72"/>
        <v>118.00002267573696</v>
      </c>
      <c r="I2319">
        <f t="shared" si="73"/>
        <v>120</v>
      </c>
      <c r="J2319" t="s">
        <v>32</v>
      </c>
      <c r="K2319">
        <v>6</v>
      </c>
      <c r="L2319" t="e">
        <f t="array" ref="L2319">VLOOKUP(J2319:$J$3871&amp;K2319:$K$3871,CHOOSE({1,2},#REF!&amp;#REF!,#REF!),2,0)</f>
        <v>#N/A</v>
      </c>
      <c r="M2319">
        <v>-15</v>
      </c>
      <c r="N2319">
        <v>0</v>
      </c>
      <c r="O2319" t="s">
        <v>7</v>
      </c>
      <c r="P2319">
        <v>1</v>
      </c>
      <c r="Q2319">
        <v>0</v>
      </c>
      <c r="R2319">
        <v>1</v>
      </c>
      <c r="S2319">
        <v>1</v>
      </c>
      <c r="T2319">
        <v>1</v>
      </c>
      <c r="U2319">
        <v>0</v>
      </c>
      <c r="V2319">
        <v>0</v>
      </c>
      <c r="W2319">
        <v>1</v>
      </c>
      <c r="X2319">
        <v>1</v>
      </c>
      <c r="Y2319">
        <v>0</v>
      </c>
      <c r="Z2319">
        <v>0</v>
      </c>
      <c r="AA2319" t="s">
        <v>3402</v>
      </c>
      <c r="AB2319" t="s">
        <v>2251</v>
      </c>
      <c r="AC2319" t="s">
        <v>3402</v>
      </c>
      <c r="AD2319" t="e">
        <f>VLOOKUP(AB2319,#REF!,2,FALSE)</f>
        <v>#REF!</v>
      </c>
      <c r="AE2319" t="e">
        <f>RIGHT(#REF!,(FIND("Complex",#REF!,1)-7))</f>
        <v>#REF!</v>
      </c>
    </row>
    <row r="2320" spans="1:31" x14ac:dyDescent="0.25">
      <c r="A2320">
        <v>2911</v>
      </c>
      <c r="B2320" t="s">
        <v>48</v>
      </c>
      <c r="C2320">
        <v>2</v>
      </c>
      <c r="D2320">
        <v>320</v>
      </c>
      <c r="E2320">
        <v>2911</v>
      </c>
      <c r="F2320">
        <v>6967801</v>
      </c>
      <c r="G2320">
        <v>7056000</v>
      </c>
      <c r="H2320">
        <f t="shared" si="72"/>
        <v>158.00002267573697</v>
      </c>
      <c r="I2320">
        <f t="shared" si="73"/>
        <v>160</v>
      </c>
      <c r="J2320" t="s">
        <v>32</v>
      </c>
      <c r="K2320">
        <v>4</v>
      </c>
      <c r="L2320" t="e">
        <f t="array" ref="L2320">VLOOKUP(J2320:$J$3871&amp;K2320:$K$3871,CHOOSE({1,2},#REF!&amp;#REF!,#REF!),2,0)</f>
        <v>#N/A</v>
      </c>
      <c r="M2320">
        <v>0</v>
      </c>
      <c r="N2320">
        <v>1</v>
      </c>
      <c r="O2320" t="s">
        <v>23</v>
      </c>
      <c r="P2320">
        <v>0</v>
      </c>
      <c r="Q2320">
        <v>1</v>
      </c>
      <c r="R2320">
        <v>1</v>
      </c>
      <c r="S2320">
        <v>0</v>
      </c>
      <c r="T2320">
        <v>0</v>
      </c>
      <c r="U2320">
        <v>0</v>
      </c>
      <c r="V2320">
        <v>0</v>
      </c>
      <c r="W2320">
        <v>1</v>
      </c>
      <c r="X2320">
        <v>1</v>
      </c>
      <c r="Y2320">
        <v>0</v>
      </c>
      <c r="Z2320">
        <v>0</v>
      </c>
      <c r="AA2320" t="s">
        <v>4513</v>
      </c>
      <c r="AB2320" t="s">
        <v>356</v>
      </c>
      <c r="AC2320" t="s">
        <v>4513</v>
      </c>
      <c r="AD2320" t="e">
        <f>VLOOKUP(AB2320,#REF!,2,FALSE)</f>
        <v>#REF!</v>
      </c>
      <c r="AE2320" t="e">
        <f>RIGHT(#REF!,(FIND("Complex",#REF!,1)-7))</f>
        <v>#REF!</v>
      </c>
    </row>
    <row r="2321" spans="1:31" x14ac:dyDescent="0.25">
      <c r="A2321">
        <v>2833</v>
      </c>
      <c r="B2321" t="s">
        <v>48</v>
      </c>
      <c r="C2321">
        <v>2</v>
      </c>
      <c r="D2321">
        <v>305</v>
      </c>
      <c r="E2321">
        <v>2833</v>
      </c>
      <c r="F2321">
        <v>6791401</v>
      </c>
      <c r="G2321">
        <v>6879600</v>
      </c>
      <c r="H2321">
        <f t="shared" si="72"/>
        <v>154.00002267573697</v>
      </c>
      <c r="I2321">
        <f t="shared" si="73"/>
        <v>156</v>
      </c>
      <c r="J2321" t="s">
        <v>32</v>
      </c>
      <c r="K2321">
        <v>4</v>
      </c>
      <c r="L2321" t="e">
        <f t="array" ref="L2321">VLOOKUP(J2321:$J$3871&amp;K2321:$K$3871,CHOOSE({1,2},#REF!&amp;#REF!,#REF!),2,0)</f>
        <v>#N/A</v>
      </c>
      <c r="M2321">
        <v>0</v>
      </c>
      <c r="N2321">
        <v>1</v>
      </c>
      <c r="O2321" t="s">
        <v>23</v>
      </c>
      <c r="P2321">
        <v>0</v>
      </c>
      <c r="Q2321">
        <v>1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1</v>
      </c>
      <c r="Y2321">
        <v>0</v>
      </c>
      <c r="Z2321">
        <v>0</v>
      </c>
      <c r="AA2321" t="s">
        <v>4531</v>
      </c>
      <c r="AB2321" t="s">
        <v>357</v>
      </c>
      <c r="AC2321" t="s">
        <v>4531</v>
      </c>
      <c r="AD2321" t="e">
        <f>VLOOKUP(AB2321,#REF!,2,FALSE)</f>
        <v>#REF!</v>
      </c>
      <c r="AE2321" t="e">
        <f>RIGHT(#REF!,(FIND("Complex",#REF!,1)-7))</f>
        <v>#REF!</v>
      </c>
    </row>
    <row r="2322" spans="1:31" x14ac:dyDescent="0.25">
      <c r="A2322">
        <v>3048</v>
      </c>
      <c r="B2322" t="s">
        <v>48</v>
      </c>
      <c r="C2322">
        <v>2</v>
      </c>
      <c r="D2322">
        <v>353</v>
      </c>
      <c r="E2322">
        <v>3048</v>
      </c>
      <c r="F2322">
        <v>6703201</v>
      </c>
      <c r="G2322">
        <v>6791400</v>
      </c>
      <c r="H2322">
        <f t="shared" si="72"/>
        <v>152.00002267573697</v>
      </c>
      <c r="I2322">
        <f t="shared" si="73"/>
        <v>154</v>
      </c>
      <c r="J2322" t="s">
        <v>32</v>
      </c>
      <c r="K2322">
        <v>4</v>
      </c>
      <c r="L2322" t="e">
        <f t="array" ref="L2322">VLOOKUP(J2322:$J$3871&amp;K2322:$K$3871,CHOOSE({1,2},#REF!&amp;#REF!,#REF!),2,0)</f>
        <v>#N/A</v>
      </c>
      <c r="M2322">
        <v>0</v>
      </c>
      <c r="N2322">
        <v>1</v>
      </c>
      <c r="O2322" t="s">
        <v>23</v>
      </c>
      <c r="P2322">
        <v>0</v>
      </c>
      <c r="Q2322">
        <v>1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1</v>
      </c>
      <c r="Y2322">
        <v>0</v>
      </c>
      <c r="Z2322">
        <v>0</v>
      </c>
      <c r="AA2322" t="s">
        <v>4542</v>
      </c>
      <c r="AB2322" t="s">
        <v>197</v>
      </c>
      <c r="AC2322" t="s">
        <v>4542</v>
      </c>
      <c r="AD2322" t="e">
        <f>VLOOKUP(AB2322,#REF!,2,FALSE)</f>
        <v>#REF!</v>
      </c>
      <c r="AE2322" t="e">
        <f>RIGHT(#REF!,(FIND("Complex",#REF!,1)-7))</f>
        <v>#REF!</v>
      </c>
    </row>
    <row r="2323" spans="1:31" x14ac:dyDescent="0.25">
      <c r="A2323">
        <v>1894</v>
      </c>
      <c r="B2323" t="s">
        <v>48</v>
      </c>
      <c r="C2323">
        <v>2</v>
      </c>
      <c r="D2323">
        <v>175</v>
      </c>
      <c r="E2323">
        <v>1894</v>
      </c>
      <c r="F2323">
        <v>6526801</v>
      </c>
      <c r="G2323">
        <v>6615000</v>
      </c>
      <c r="H2323">
        <f t="shared" si="72"/>
        <v>148.00002267573697</v>
      </c>
      <c r="I2323">
        <f t="shared" si="73"/>
        <v>150</v>
      </c>
      <c r="J2323" t="s">
        <v>32</v>
      </c>
      <c r="K2323">
        <v>4</v>
      </c>
      <c r="L2323" t="e">
        <f t="array" ref="L2323">VLOOKUP(J2323:$J$3871&amp;K2323:$K$3871,CHOOSE({1,2},#REF!&amp;#REF!,#REF!),2,0)</f>
        <v>#N/A</v>
      </c>
      <c r="M2323">
        <v>0</v>
      </c>
      <c r="N2323">
        <v>1</v>
      </c>
      <c r="O2323" t="s">
        <v>23</v>
      </c>
      <c r="P2323">
        <v>0</v>
      </c>
      <c r="Q2323">
        <v>1</v>
      </c>
      <c r="R2323">
        <v>1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1</v>
      </c>
      <c r="Y2323">
        <v>0</v>
      </c>
      <c r="Z2323">
        <v>0</v>
      </c>
      <c r="AA2323" t="s">
        <v>4562</v>
      </c>
      <c r="AB2323" t="s">
        <v>358</v>
      </c>
      <c r="AC2323" t="s">
        <v>4562</v>
      </c>
      <c r="AD2323" t="e">
        <f>VLOOKUP(AB2323,#REF!,2,FALSE)</f>
        <v>#REF!</v>
      </c>
      <c r="AE2323" t="e">
        <f>RIGHT(#REF!,(FIND("Complex",#REF!,1)-7))</f>
        <v>#REF!</v>
      </c>
    </row>
    <row r="2324" spans="1:31" x14ac:dyDescent="0.25">
      <c r="A2324">
        <v>1285</v>
      </c>
      <c r="B2324" t="s">
        <v>48</v>
      </c>
      <c r="C2324">
        <v>2</v>
      </c>
      <c r="D2324">
        <v>117</v>
      </c>
      <c r="E2324">
        <v>1285</v>
      </c>
      <c r="F2324">
        <v>6174001</v>
      </c>
      <c r="G2324">
        <v>6262200</v>
      </c>
      <c r="H2324">
        <f t="shared" si="72"/>
        <v>140.00002267573697</v>
      </c>
      <c r="I2324">
        <f t="shared" si="73"/>
        <v>142</v>
      </c>
      <c r="J2324" t="s">
        <v>32</v>
      </c>
      <c r="K2324">
        <v>4</v>
      </c>
      <c r="L2324" t="e">
        <f t="array" ref="L2324">VLOOKUP(J2324:$J$3871&amp;K2324:$K$3871,CHOOSE({1,2},#REF!&amp;#REF!,#REF!),2,0)</f>
        <v>#N/A</v>
      </c>
      <c r="M2324">
        <v>0</v>
      </c>
      <c r="N2324">
        <v>1</v>
      </c>
      <c r="O2324" t="s">
        <v>23</v>
      </c>
      <c r="P2324">
        <v>0</v>
      </c>
      <c r="Q2324">
        <v>1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1</v>
      </c>
      <c r="Y2324">
        <v>0</v>
      </c>
      <c r="Z2324">
        <v>0</v>
      </c>
      <c r="AA2324" t="s">
        <v>4600</v>
      </c>
      <c r="AB2324" t="s">
        <v>359</v>
      </c>
      <c r="AC2324" t="s">
        <v>4600</v>
      </c>
      <c r="AD2324" t="e">
        <f>VLOOKUP(AB2324,#REF!,2,FALSE)</f>
        <v>#REF!</v>
      </c>
      <c r="AE2324" t="e">
        <f>RIGHT(#REF!,(FIND("Complex",#REF!,1)-7))</f>
        <v>#REF!</v>
      </c>
    </row>
    <row r="2325" spans="1:31" x14ac:dyDescent="0.25">
      <c r="A2325">
        <v>3093</v>
      </c>
      <c r="B2325" t="s">
        <v>48</v>
      </c>
      <c r="C2325">
        <v>2</v>
      </c>
      <c r="D2325">
        <v>359</v>
      </c>
      <c r="E2325">
        <v>3093</v>
      </c>
      <c r="F2325">
        <v>6085801</v>
      </c>
      <c r="G2325">
        <v>6174000</v>
      </c>
      <c r="H2325">
        <f t="shared" si="72"/>
        <v>138.00002267573697</v>
      </c>
      <c r="I2325">
        <f t="shared" si="73"/>
        <v>140</v>
      </c>
      <c r="J2325" t="s">
        <v>32</v>
      </c>
      <c r="K2325">
        <v>4</v>
      </c>
      <c r="L2325" t="e">
        <f t="array" ref="L2325">VLOOKUP(J2325:$J$3871&amp;K2325:$K$3871,CHOOSE({1,2},#REF!&amp;#REF!,#REF!),2,0)</f>
        <v>#N/A</v>
      </c>
      <c r="M2325">
        <v>0</v>
      </c>
      <c r="N2325">
        <v>1</v>
      </c>
      <c r="O2325" t="s">
        <v>23</v>
      </c>
      <c r="P2325">
        <v>0</v>
      </c>
      <c r="Q2325">
        <v>1</v>
      </c>
      <c r="R2325">
        <v>1</v>
      </c>
      <c r="S2325">
        <v>0</v>
      </c>
      <c r="T2325">
        <v>0</v>
      </c>
      <c r="U2325">
        <v>0</v>
      </c>
      <c r="V2325">
        <v>0</v>
      </c>
      <c r="W2325">
        <v>1</v>
      </c>
      <c r="X2325">
        <v>1</v>
      </c>
      <c r="Y2325">
        <v>0</v>
      </c>
      <c r="Z2325">
        <v>0</v>
      </c>
      <c r="AA2325" t="s">
        <v>4633</v>
      </c>
      <c r="AB2325" t="s">
        <v>360</v>
      </c>
      <c r="AC2325" t="s">
        <v>4633</v>
      </c>
      <c r="AD2325" t="e">
        <f>VLOOKUP(AB2325,#REF!,2,FALSE)</f>
        <v>#REF!</v>
      </c>
      <c r="AE2325" t="e">
        <f>RIGHT(#REF!,(FIND("Complex",#REF!,1)-7))</f>
        <v>#REF!</v>
      </c>
    </row>
    <row r="2326" spans="1:31" x14ac:dyDescent="0.25">
      <c r="A2326">
        <v>2980</v>
      </c>
      <c r="B2326" t="s">
        <v>79</v>
      </c>
      <c r="C2326">
        <v>13</v>
      </c>
      <c r="D2326">
        <v>336</v>
      </c>
      <c r="E2326">
        <v>2980</v>
      </c>
      <c r="F2326">
        <v>3175201</v>
      </c>
      <c r="G2326">
        <v>3263400</v>
      </c>
      <c r="H2326">
        <f t="shared" si="72"/>
        <v>72.000022675736957</v>
      </c>
      <c r="I2326">
        <f t="shared" si="73"/>
        <v>74</v>
      </c>
      <c r="J2326" t="s">
        <v>32</v>
      </c>
      <c r="K2326">
        <v>4</v>
      </c>
      <c r="L2326" t="e">
        <f t="array" ref="L2326">VLOOKUP(J2326:$J$3871&amp;K2326:$K$3871,CHOOSE({1,2},#REF!&amp;#REF!,#REF!),2,0)</f>
        <v>#N/A</v>
      </c>
      <c r="M2326">
        <v>0</v>
      </c>
      <c r="N2326">
        <v>1</v>
      </c>
      <c r="O2326" t="s">
        <v>23</v>
      </c>
      <c r="P2326">
        <v>0</v>
      </c>
      <c r="Q2326">
        <v>1</v>
      </c>
      <c r="R2326">
        <v>1</v>
      </c>
      <c r="S2326">
        <v>0</v>
      </c>
      <c r="T2326">
        <v>0</v>
      </c>
      <c r="U2326">
        <v>0</v>
      </c>
      <c r="V2326">
        <v>1</v>
      </c>
      <c r="W2326">
        <v>0</v>
      </c>
      <c r="X2326">
        <v>0</v>
      </c>
      <c r="Y2326">
        <v>1</v>
      </c>
      <c r="Z2326">
        <v>0</v>
      </c>
      <c r="AA2326" t="s">
        <v>3694</v>
      </c>
      <c r="AB2326" t="s">
        <v>559</v>
      </c>
      <c r="AC2326" t="s">
        <v>3694</v>
      </c>
      <c r="AD2326" t="e">
        <f>VLOOKUP(AB2326,#REF!,2,FALSE)</f>
        <v>#REF!</v>
      </c>
      <c r="AE2326" t="e">
        <f>RIGHT(#REF!,(FIND("Complex",#REF!,1)-7))</f>
        <v>#REF!</v>
      </c>
    </row>
    <row r="2327" spans="1:31" x14ac:dyDescent="0.25">
      <c r="A2327">
        <v>2922</v>
      </c>
      <c r="B2327" t="s">
        <v>79</v>
      </c>
      <c r="C2327">
        <v>13</v>
      </c>
      <c r="D2327">
        <v>323</v>
      </c>
      <c r="E2327">
        <v>2922</v>
      </c>
      <c r="F2327">
        <v>6615001</v>
      </c>
      <c r="G2327">
        <v>6703200</v>
      </c>
      <c r="H2327">
        <f t="shared" si="72"/>
        <v>150.00002267573697</v>
      </c>
      <c r="I2327">
        <f t="shared" si="73"/>
        <v>152</v>
      </c>
      <c r="J2327" t="s">
        <v>32</v>
      </c>
      <c r="K2327">
        <v>4</v>
      </c>
      <c r="L2327" t="e">
        <f t="array" ref="L2327">VLOOKUP(J2327:$J$3871&amp;K2327:$K$3871,CHOOSE({1,2},#REF!&amp;#REF!,#REF!),2,0)</f>
        <v>#N/A</v>
      </c>
      <c r="M2327">
        <v>0</v>
      </c>
      <c r="N2327">
        <v>1</v>
      </c>
      <c r="O2327" t="s">
        <v>23</v>
      </c>
      <c r="P2327">
        <v>0</v>
      </c>
      <c r="Q2327">
        <v>1</v>
      </c>
      <c r="R2327">
        <v>1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1</v>
      </c>
      <c r="Z2327">
        <v>0</v>
      </c>
      <c r="AA2327" t="s">
        <v>4556</v>
      </c>
      <c r="AB2327" t="s">
        <v>560</v>
      </c>
      <c r="AC2327" t="s">
        <v>4556</v>
      </c>
      <c r="AD2327" t="e">
        <f>VLOOKUP(AB2327,#REF!,2,FALSE)</f>
        <v>#REF!</v>
      </c>
      <c r="AE2327" t="e">
        <f>RIGHT(#REF!,(FIND("Complex",#REF!,1)-6))</f>
        <v>#REF!</v>
      </c>
    </row>
    <row r="2328" spans="1:31" x14ac:dyDescent="0.25">
      <c r="A2328">
        <v>305</v>
      </c>
      <c r="B2328" t="s">
        <v>43</v>
      </c>
      <c r="C2328">
        <v>19</v>
      </c>
      <c r="D2328">
        <v>27</v>
      </c>
      <c r="E2328">
        <v>305</v>
      </c>
      <c r="F2328">
        <v>3880801</v>
      </c>
      <c r="G2328">
        <v>3969000</v>
      </c>
      <c r="H2328">
        <f t="shared" si="72"/>
        <v>88.000022675736957</v>
      </c>
      <c r="I2328">
        <f t="shared" si="73"/>
        <v>90</v>
      </c>
      <c r="J2328" t="s">
        <v>32</v>
      </c>
      <c r="K2328">
        <v>4</v>
      </c>
      <c r="L2328" t="e">
        <f t="array" ref="L2328">VLOOKUP(J2328:$J$3871&amp;K2328:$K$3871,CHOOSE({1,2},#REF!&amp;#REF!,#REF!),2,0)</f>
        <v>#N/A</v>
      </c>
      <c r="M2328">
        <v>0</v>
      </c>
      <c r="N2328">
        <v>1</v>
      </c>
      <c r="O2328" t="s">
        <v>23</v>
      </c>
      <c r="P2328">
        <v>0</v>
      </c>
      <c r="Q2328">
        <v>1</v>
      </c>
      <c r="R2328">
        <v>1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1</v>
      </c>
      <c r="Y2328">
        <v>0</v>
      </c>
      <c r="Z2328">
        <v>0</v>
      </c>
      <c r="AA2328" t="s">
        <v>3580</v>
      </c>
      <c r="AB2328" t="s">
        <v>671</v>
      </c>
      <c r="AC2328" t="s">
        <v>3580</v>
      </c>
      <c r="AD2328" t="e">
        <f>VLOOKUP(AB2328,#REF!,2,FALSE)</f>
        <v>#REF!</v>
      </c>
      <c r="AE2328" t="e">
        <f>RIGHT(#REF!,(FIND("Complex",#REF!,1)-6))</f>
        <v>#REF!</v>
      </c>
    </row>
    <row r="2329" spans="1:31" x14ac:dyDescent="0.25">
      <c r="A2329">
        <v>2653</v>
      </c>
      <c r="B2329" t="s">
        <v>33</v>
      </c>
      <c r="C2329">
        <v>20</v>
      </c>
      <c r="D2329">
        <v>263</v>
      </c>
      <c r="E2329">
        <v>2653</v>
      </c>
      <c r="F2329">
        <v>4233601</v>
      </c>
      <c r="G2329">
        <v>4321800</v>
      </c>
      <c r="H2329">
        <f t="shared" si="72"/>
        <v>96.000022675736957</v>
      </c>
      <c r="I2329">
        <f t="shared" si="73"/>
        <v>98</v>
      </c>
      <c r="J2329" t="s">
        <v>32</v>
      </c>
      <c r="K2329">
        <v>4</v>
      </c>
      <c r="L2329" t="e">
        <f t="array" ref="L2329">VLOOKUP(J2329:$J$3871&amp;K2329:$K$3871,CHOOSE({1,2},#REF!&amp;#REF!,#REF!),2,0)</f>
        <v>#N/A</v>
      </c>
      <c r="M2329">
        <v>0</v>
      </c>
      <c r="N2329">
        <v>1</v>
      </c>
      <c r="O2329" t="s">
        <v>23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0</v>
      </c>
      <c r="V2329">
        <v>1</v>
      </c>
      <c r="W2329">
        <v>0</v>
      </c>
      <c r="X2329">
        <v>1</v>
      </c>
      <c r="Y2329">
        <v>1</v>
      </c>
      <c r="Z2329">
        <v>0</v>
      </c>
      <c r="AA2329" t="s">
        <v>3521</v>
      </c>
      <c r="AB2329" t="s">
        <v>696</v>
      </c>
      <c r="AC2329" t="s">
        <v>3521</v>
      </c>
      <c r="AD2329" t="e">
        <f>VLOOKUP(AB2329,#REF!,2,FALSE)</f>
        <v>#REF!</v>
      </c>
      <c r="AE2329" t="e">
        <f>RIGHT(#REF!,(FIND("Complex",#REF!,1)-7))</f>
        <v>#REF!</v>
      </c>
    </row>
    <row r="2330" spans="1:31" x14ac:dyDescent="0.25">
      <c r="A2330">
        <v>1767</v>
      </c>
      <c r="B2330" t="s">
        <v>33</v>
      </c>
      <c r="C2330">
        <v>20</v>
      </c>
      <c r="D2330">
        <v>162</v>
      </c>
      <c r="E2330">
        <v>1767</v>
      </c>
      <c r="F2330">
        <v>4145401</v>
      </c>
      <c r="G2330">
        <v>4233600</v>
      </c>
      <c r="H2330">
        <f t="shared" si="72"/>
        <v>94.000022675736957</v>
      </c>
      <c r="I2330">
        <f t="shared" si="73"/>
        <v>96</v>
      </c>
      <c r="J2330" t="s">
        <v>32</v>
      </c>
      <c r="K2330">
        <v>4</v>
      </c>
      <c r="L2330" t="e">
        <f t="array" ref="L2330">VLOOKUP(J2330:$J$3871&amp;K2330:$K$3871,CHOOSE({1,2},#REF!&amp;#REF!,#REF!),2,0)</f>
        <v>#N/A</v>
      </c>
      <c r="M2330">
        <v>0</v>
      </c>
      <c r="N2330">
        <v>1</v>
      </c>
      <c r="O2330" t="s">
        <v>23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0</v>
      </c>
      <c r="V2330">
        <v>1</v>
      </c>
      <c r="W2330">
        <v>0</v>
      </c>
      <c r="X2330">
        <v>1</v>
      </c>
      <c r="Y2330">
        <v>1</v>
      </c>
      <c r="Z2330">
        <v>0</v>
      </c>
      <c r="AA2330" t="s">
        <v>3535</v>
      </c>
      <c r="AB2330" t="s">
        <v>697</v>
      </c>
      <c r="AC2330" t="s">
        <v>3535</v>
      </c>
      <c r="AD2330" t="e">
        <f>VLOOKUP(AB2330,#REF!,2,FALSE)</f>
        <v>#REF!</v>
      </c>
      <c r="AE2330" t="e">
        <f>RIGHT(#REF!,(FIND("Complex",#REF!,1)-7))</f>
        <v>#REF!</v>
      </c>
    </row>
    <row r="2331" spans="1:31" x14ac:dyDescent="0.25">
      <c r="A2331">
        <v>2717</v>
      </c>
      <c r="B2331" t="s">
        <v>33</v>
      </c>
      <c r="C2331">
        <v>20</v>
      </c>
      <c r="D2331">
        <v>278</v>
      </c>
      <c r="E2331">
        <v>2717</v>
      </c>
      <c r="F2331">
        <v>4057201</v>
      </c>
      <c r="G2331">
        <v>4145400</v>
      </c>
      <c r="H2331">
        <f t="shared" si="72"/>
        <v>92.000022675736957</v>
      </c>
      <c r="I2331">
        <f t="shared" si="73"/>
        <v>94</v>
      </c>
      <c r="J2331" t="s">
        <v>32</v>
      </c>
      <c r="K2331">
        <v>4</v>
      </c>
      <c r="L2331" t="e">
        <f t="array" ref="L2331">VLOOKUP(J2331:$J$3871&amp;K2331:$K$3871,CHOOSE({1,2},#REF!&amp;#REF!,#REF!),2,0)</f>
        <v>#N/A</v>
      </c>
      <c r="M2331">
        <v>0</v>
      </c>
      <c r="N2331">
        <v>1</v>
      </c>
      <c r="O2331" t="s">
        <v>23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1</v>
      </c>
      <c r="W2331">
        <v>0</v>
      </c>
      <c r="X2331">
        <v>1</v>
      </c>
      <c r="Y2331">
        <v>1</v>
      </c>
      <c r="Z2331">
        <v>0</v>
      </c>
      <c r="AA2331" t="s">
        <v>3544</v>
      </c>
      <c r="AB2331" t="s">
        <v>698</v>
      </c>
      <c r="AC2331" t="s">
        <v>3544</v>
      </c>
      <c r="AD2331" t="e">
        <f>VLOOKUP(AB2331,#REF!,2,FALSE)</f>
        <v>#REF!</v>
      </c>
      <c r="AE2331" t="e">
        <f>RIGHT(#REF!,(FIND("Complex",#REF!,1)-7))</f>
        <v>#REF!</v>
      </c>
    </row>
    <row r="2332" spans="1:31" x14ac:dyDescent="0.25">
      <c r="A2332">
        <v>640</v>
      </c>
      <c r="B2332" t="s">
        <v>33</v>
      </c>
      <c r="C2332">
        <v>20</v>
      </c>
      <c r="D2332">
        <v>52</v>
      </c>
      <c r="E2332">
        <v>640</v>
      </c>
      <c r="F2332">
        <v>3969001</v>
      </c>
      <c r="G2332">
        <v>4057200</v>
      </c>
      <c r="H2332">
        <f t="shared" si="72"/>
        <v>90.000022675736957</v>
      </c>
      <c r="I2332">
        <f t="shared" si="73"/>
        <v>92</v>
      </c>
      <c r="J2332" t="s">
        <v>32</v>
      </c>
      <c r="K2332">
        <v>4</v>
      </c>
      <c r="L2332" t="e">
        <f t="array" ref="L2332">VLOOKUP(J2332:$J$3871&amp;K2332:$K$3871,CHOOSE({1,2},#REF!&amp;#REF!,#REF!),2,0)</f>
        <v>#N/A</v>
      </c>
      <c r="M2332">
        <v>0</v>
      </c>
      <c r="N2332">
        <v>1</v>
      </c>
      <c r="O2332" t="s">
        <v>23</v>
      </c>
      <c r="P2332">
        <v>0</v>
      </c>
      <c r="Q2332">
        <v>0</v>
      </c>
      <c r="R2332">
        <v>1</v>
      </c>
      <c r="S2332">
        <v>0</v>
      </c>
      <c r="T2332">
        <v>0</v>
      </c>
      <c r="U2332">
        <v>0</v>
      </c>
      <c r="V2332">
        <v>1</v>
      </c>
      <c r="W2332">
        <v>0</v>
      </c>
      <c r="X2332">
        <v>1</v>
      </c>
      <c r="Y2332">
        <v>1</v>
      </c>
      <c r="Z2332">
        <v>0</v>
      </c>
      <c r="AA2332" t="s">
        <v>3564</v>
      </c>
      <c r="AB2332" t="s">
        <v>699</v>
      </c>
      <c r="AC2332" t="s">
        <v>3564</v>
      </c>
      <c r="AD2332" t="e">
        <f>VLOOKUP(AB2332,#REF!,2,FALSE)</f>
        <v>#REF!</v>
      </c>
      <c r="AE2332" t="e">
        <f>RIGHT(#REF!,(FIND("Complex",#REF!,1)-6))</f>
        <v>#REF!</v>
      </c>
    </row>
    <row r="2333" spans="1:31" x14ac:dyDescent="0.25">
      <c r="A2333">
        <v>346</v>
      </c>
      <c r="B2333" t="s">
        <v>33</v>
      </c>
      <c r="C2333">
        <v>20</v>
      </c>
      <c r="D2333">
        <v>31</v>
      </c>
      <c r="E2333">
        <v>346</v>
      </c>
      <c r="F2333">
        <v>3880801</v>
      </c>
      <c r="G2333">
        <v>3969000</v>
      </c>
      <c r="H2333">
        <f t="shared" si="72"/>
        <v>88.000022675736957</v>
      </c>
      <c r="I2333">
        <f t="shared" si="73"/>
        <v>90</v>
      </c>
      <c r="J2333" t="s">
        <v>32</v>
      </c>
      <c r="K2333">
        <v>4</v>
      </c>
      <c r="L2333" t="e">
        <f t="array" ref="L2333">VLOOKUP(J2333:$J$3871&amp;K2333:$K$3871,CHOOSE({1,2},#REF!&amp;#REF!,#REF!),2,0)</f>
        <v>#N/A</v>
      </c>
      <c r="M2333">
        <v>0</v>
      </c>
      <c r="N2333">
        <v>1</v>
      </c>
      <c r="O2333" t="s">
        <v>23</v>
      </c>
      <c r="P2333">
        <v>0</v>
      </c>
      <c r="Q2333">
        <v>0</v>
      </c>
      <c r="R2333">
        <v>1</v>
      </c>
      <c r="S2333">
        <v>0</v>
      </c>
      <c r="T2333">
        <v>0</v>
      </c>
      <c r="U2333">
        <v>0</v>
      </c>
      <c r="V2333">
        <v>1</v>
      </c>
      <c r="W2333">
        <v>0</v>
      </c>
      <c r="X2333">
        <v>1</v>
      </c>
      <c r="Y2333">
        <v>1</v>
      </c>
      <c r="Z2333">
        <v>0</v>
      </c>
      <c r="AA2333" t="s">
        <v>3579</v>
      </c>
      <c r="AB2333" t="s">
        <v>182</v>
      </c>
      <c r="AC2333" t="s">
        <v>3579</v>
      </c>
      <c r="AD2333" t="e">
        <f>VLOOKUP(AB2333,#REF!,2,FALSE)</f>
        <v>#REF!</v>
      </c>
      <c r="AE2333" t="e">
        <f>RIGHT(#REF!,(FIND("Complex",#REF!,1)-6))</f>
        <v>#REF!</v>
      </c>
    </row>
    <row r="2334" spans="1:31" x14ac:dyDescent="0.25">
      <c r="A2334">
        <v>1019</v>
      </c>
      <c r="B2334" t="s">
        <v>33</v>
      </c>
      <c r="C2334">
        <v>20</v>
      </c>
      <c r="D2334">
        <v>84</v>
      </c>
      <c r="E2334">
        <v>1019</v>
      </c>
      <c r="F2334">
        <v>3792601</v>
      </c>
      <c r="G2334">
        <v>3880800</v>
      </c>
      <c r="H2334">
        <f t="shared" si="72"/>
        <v>86.000022675736957</v>
      </c>
      <c r="I2334">
        <f t="shared" si="73"/>
        <v>88</v>
      </c>
      <c r="J2334" t="s">
        <v>32</v>
      </c>
      <c r="K2334">
        <v>4</v>
      </c>
      <c r="L2334" t="e">
        <f t="array" ref="L2334">VLOOKUP(J2334:$J$3871&amp;K2334:$K$3871,CHOOSE({1,2},#REF!&amp;#REF!,#REF!),2,0)</f>
        <v>#N/A</v>
      </c>
      <c r="M2334">
        <v>0</v>
      </c>
      <c r="N2334">
        <v>1</v>
      </c>
      <c r="O2334" t="s">
        <v>23</v>
      </c>
      <c r="P2334">
        <v>0</v>
      </c>
      <c r="Q2334">
        <v>0</v>
      </c>
      <c r="R2334">
        <v>1</v>
      </c>
      <c r="S2334">
        <v>0</v>
      </c>
      <c r="T2334">
        <v>0</v>
      </c>
      <c r="U2334">
        <v>0</v>
      </c>
      <c r="V2334">
        <v>1</v>
      </c>
      <c r="W2334">
        <v>0</v>
      </c>
      <c r="X2334">
        <v>1</v>
      </c>
      <c r="Y2334">
        <v>1</v>
      </c>
      <c r="Z2334">
        <v>0</v>
      </c>
      <c r="AA2334" t="s">
        <v>3588</v>
      </c>
      <c r="AB2334" t="s">
        <v>700</v>
      </c>
      <c r="AC2334" t="s">
        <v>3588</v>
      </c>
      <c r="AD2334" t="e">
        <f>VLOOKUP(AB2334,#REF!,2,FALSE)</f>
        <v>#REF!</v>
      </c>
      <c r="AE2334" t="e">
        <f>RIGHT(#REF!,(FIND("Complex",#REF!,1)-7))</f>
        <v>#REF!</v>
      </c>
    </row>
    <row r="2335" spans="1:31" x14ac:dyDescent="0.25">
      <c r="A2335">
        <v>1568</v>
      </c>
      <c r="B2335" t="s">
        <v>33</v>
      </c>
      <c r="C2335">
        <v>20</v>
      </c>
      <c r="D2335">
        <v>143</v>
      </c>
      <c r="E2335">
        <v>1568</v>
      </c>
      <c r="F2335">
        <v>3704401</v>
      </c>
      <c r="G2335">
        <v>3792600</v>
      </c>
      <c r="H2335">
        <f t="shared" si="72"/>
        <v>84.000022675736957</v>
      </c>
      <c r="I2335">
        <f t="shared" si="73"/>
        <v>86</v>
      </c>
      <c r="J2335" t="s">
        <v>32</v>
      </c>
      <c r="K2335">
        <v>4</v>
      </c>
      <c r="L2335" t="e">
        <f t="array" ref="L2335">VLOOKUP(J2335:$J$3871&amp;K2335:$K$3871,CHOOSE({1,2},#REF!&amp;#REF!,#REF!),2,0)</f>
        <v>#N/A</v>
      </c>
      <c r="M2335">
        <v>0</v>
      </c>
      <c r="N2335">
        <v>1</v>
      </c>
      <c r="O2335" t="s">
        <v>23</v>
      </c>
      <c r="P2335">
        <v>0</v>
      </c>
      <c r="Q2335">
        <v>0</v>
      </c>
      <c r="R2335">
        <v>1</v>
      </c>
      <c r="S2335">
        <v>0</v>
      </c>
      <c r="T2335">
        <v>0</v>
      </c>
      <c r="U2335">
        <v>0</v>
      </c>
      <c r="V2335">
        <v>1</v>
      </c>
      <c r="W2335">
        <v>0</v>
      </c>
      <c r="X2335">
        <v>1</v>
      </c>
      <c r="Y2335">
        <v>1</v>
      </c>
      <c r="Z2335">
        <v>0</v>
      </c>
      <c r="AA2335" t="s">
        <v>3599</v>
      </c>
      <c r="AB2335" t="s">
        <v>701</v>
      </c>
      <c r="AC2335" t="s">
        <v>3599</v>
      </c>
      <c r="AD2335" t="e">
        <f>VLOOKUP(AB2335,#REF!,2,FALSE)</f>
        <v>#REF!</v>
      </c>
      <c r="AE2335" t="e">
        <f>RIGHT(#REF!,(FIND("Complex",#REF!,1)-7))</f>
        <v>#REF!</v>
      </c>
    </row>
    <row r="2336" spans="1:31" x14ac:dyDescent="0.25">
      <c r="A2336">
        <v>2896</v>
      </c>
      <c r="B2336" t="s">
        <v>33</v>
      </c>
      <c r="C2336">
        <v>20</v>
      </c>
      <c r="D2336">
        <v>316</v>
      </c>
      <c r="E2336">
        <v>2896</v>
      </c>
      <c r="F2336">
        <v>1675801</v>
      </c>
      <c r="G2336">
        <v>1764000</v>
      </c>
      <c r="H2336">
        <f t="shared" si="72"/>
        <v>38.000022675736965</v>
      </c>
      <c r="I2336">
        <f t="shared" si="73"/>
        <v>40</v>
      </c>
      <c r="J2336" t="s">
        <v>32</v>
      </c>
      <c r="K2336">
        <v>4</v>
      </c>
      <c r="L2336" t="e">
        <f t="array" ref="L2336">VLOOKUP(J2336:$J$3871&amp;K2336:$K$3871,CHOOSE({1,2},#REF!&amp;#REF!,#REF!),2,0)</f>
        <v>#N/A</v>
      </c>
      <c r="M2336">
        <v>0</v>
      </c>
      <c r="N2336">
        <v>1</v>
      </c>
      <c r="O2336" t="s">
        <v>23</v>
      </c>
      <c r="P2336">
        <v>0</v>
      </c>
      <c r="Q2336">
        <v>0</v>
      </c>
      <c r="R2336">
        <v>1</v>
      </c>
      <c r="S2336">
        <v>0</v>
      </c>
      <c r="T2336">
        <v>0</v>
      </c>
      <c r="U2336">
        <v>0</v>
      </c>
      <c r="V2336">
        <v>1</v>
      </c>
      <c r="W2336">
        <v>0</v>
      </c>
      <c r="X2336">
        <v>1</v>
      </c>
      <c r="Y2336">
        <v>1</v>
      </c>
      <c r="Z2336">
        <v>0</v>
      </c>
      <c r="AA2336" t="s">
        <v>3985</v>
      </c>
      <c r="AB2336" t="s">
        <v>702</v>
      </c>
      <c r="AC2336" t="s">
        <v>3985</v>
      </c>
      <c r="AD2336" t="e">
        <f>VLOOKUP(AB2336,#REF!,2,FALSE)</f>
        <v>#REF!</v>
      </c>
      <c r="AE2336" t="e">
        <f>RIGHT(#REF!,(FIND("Complex",#REF!,1)-7))</f>
        <v>#REF!</v>
      </c>
    </row>
    <row r="2337" spans="1:31" x14ac:dyDescent="0.25">
      <c r="A2337">
        <v>2209</v>
      </c>
      <c r="B2337" t="s">
        <v>33</v>
      </c>
      <c r="C2337">
        <v>20</v>
      </c>
      <c r="D2337">
        <v>211</v>
      </c>
      <c r="E2337">
        <v>2209</v>
      </c>
      <c r="F2337">
        <v>1587601</v>
      </c>
      <c r="G2337">
        <v>1675800</v>
      </c>
      <c r="H2337">
        <f t="shared" si="72"/>
        <v>36.000022675736965</v>
      </c>
      <c r="I2337">
        <f t="shared" si="73"/>
        <v>38</v>
      </c>
      <c r="J2337" t="s">
        <v>32</v>
      </c>
      <c r="K2337">
        <v>4</v>
      </c>
      <c r="L2337" t="e">
        <f t="array" ref="L2337">VLOOKUP(J2337:$J$3871&amp;K2337:$K$3871,CHOOSE({1,2},#REF!&amp;#REF!,#REF!),2,0)</f>
        <v>#N/A</v>
      </c>
      <c r="M2337">
        <v>0</v>
      </c>
      <c r="N2337">
        <v>1</v>
      </c>
      <c r="O2337" t="s">
        <v>23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0</v>
      </c>
      <c r="V2337">
        <v>1</v>
      </c>
      <c r="W2337">
        <v>0</v>
      </c>
      <c r="X2337">
        <v>1</v>
      </c>
      <c r="Y2337">
        <v>1</v>
      </c>
      <c r="Z2337">
        <v>0</v>
      </c>
      <c r="AA2337" t="s">
        <v>4009</v>
      </c>
      <c r="AB2337" t="s">
        <v>703</v>
      </c>
      <c r="AC2337" t="s">
        <v>4009</v>
      </c>
      <c r="AD2337" t="e">
        <f>VLOOKUP(AB2337,#REF!,2,FALSE)</f>
        <v>#REF!</v>
      </c>
      <c r="AE2337" t="e">
        <f>RIGHT(#REF!,(FIND("Complex",#REF!,1)-7))</f>
        <v>#REF!</v>
      </c>
    </row>
    <row r="2338" spans="1:31" x14ac:dyDescent="0.25">
      <c r="A2338">
        <v>2801</v>
      </c>
      <c r="B2338" t="s">
        <v>33</v>
      </c>
      <c r="C2338">
        <v>20</v>
      </c>
      <c r="D2338">
        <v>296</v>
      </c>
      <c r="E2338">
        <v>2801</v>
      </c>
      <c r="F2338">
        <v>1499401</v>
      </c>
      <c r="G2338">
        <v>1587600</v>
      </c>
      <c r="H2338">
        <f t="shared" si="72"/>
        <v>34.000022675736965</v>
      </c>
      <c r="I2338">
        <f t="shared" si="73"/>
        <v>36</v>
      </c>
      <c r="J2338" t="s">
        <v>32</v>
      </c>
      <c r="K2338">
        <v>4</v>
      </c>
      <c r="L2338" t="e">
        <f t="array" ref="L2338">VLOOKUP(J2338:$J$3871&amp;K2338:$K$3871,CHOOSE({1,2},#REF!&amp;#REF!,#REF!),2,0)</f>
        <v>#N/A</v>
      </c>
      <c r="M2338">
        <v>0</v>
      </c>
      <c r="N2338">
        <v>1</v>
      </c>
      <c r="O2338" t="s">
        <v>23</v>
      </c>
      <c r="P2338">
        <v>0</v>
      </c>
      <c r="Q2338">
        <v>0</v>
      </c>
      <c r="R2338">
        <v>1</v>
      </c>
      <c r="S2338">
        <v>0</v>
      </c>
      <c r="T2338">
        <v>0</v>
      </c>
      <c r="U2338">
        <v>0</v>
      </c>
      <c r="V2338">
        <v>1</v>
      </c>
      <c r="W2338">
        <v>0</v>
      </c>
      <c r="X2338">
        <v>1</v>
      </c>
      <c r="Y2338">
        <v>1</v>
      </c>
      <c r="Z2338">
        <v>0</v>
      </c>
      <c r="AA2338" t="s">
        <v>4027</v>
      </c>
      <c r="AB2338" t="s">
        <v>704</v>
      </c>
      <c r="AC2338" t="s">
        <v>4027</v>
      </c>
      <c r="AD2338" t="e">
        <f>VLOOKUP(AB2338,#REF!,2,FALSE)</f>
        <v>#REF!</v>
      </c>
      <c r="AE2338" t="e">
        <f>RIGHT(#REF!,(FIND("Complex",#REF!,1)-7))</f>
        <v>#REF!</v>
      </c>
    </row>
    <row r="2339" spans="1:31" x14ac:dyDescent="0.25">
      <c r="A2339">
        <v>2548</v>
      </c>
      <c r="B2339" t="s">
        <v>61</v>
      </c>
      <c r="C2339">
        <v>21</v>
      </c>
      <c r="D2339">
        <v>251</v>
      </c>
      <c r="E2339">
        <v>2548</v>
      </c>
      <c r="F2339">
        <v>4321801</v>
      </c>
      <c r="G2339">
        <v>4410000</v>
      </c>
      <c r="H2339">
        <f t="shared" si="72"/>
        <v>98.000022675736957</v>
      </c>
      <c r="I2339">
        <f t="shared" si="73"/>
        <v>100</v>
      </c>
      <c r="J2339" t="s">
        <v>32</v>
      </c>
      <c r="K2339">
        <v>4</v>
      </c>
      <c r="L2339" t="e">
        <f t="array" ref="L2339">VLOOKUP(J2339:$J$3871&amp;K2339:$K$3871,CHOOSE({1,2},#REF!&amp;#REF!,#REF!),2,0)</f>
        <v>#N/A</v>
      </c>
      <c r="M2339">
        <v>0</v>
      </c>
      <c r="N2339">
        <v>1</v>
      </c>
      <c r="O2339" t="s">
        <v>23</v>
      </c>
      <c r="P2339">
        <v>0</v>
      </c>
      <c r="Q2339">
        <v>0</v>
      </c>
      <c r="R2339">
        <v>1</v>
      </c>
      <c r="S2339">
        <v>1</v>
      </c>
      <c r="T2339">
        <v>0</v>
      </c>
      <c r="U2339">
        <v>0</v>
      </c>
      <c r="V2339">
        <v>0</v>
      </c>
      <c r="W2339">
        <v>1</v>
      </c>
      <c r="X2339">
        <v>1</v>
      </c>
      <c r="Y2339">
        <v>0</v>
      </c>
      <c r="Z2339">
        <v>0</v>
      </c>
      <c r="AA2339" t="s">
        <v>3508</v>
      </c>
      <c r="AB2339" t="s">
        <v>720</v>
      </c>
      <c r="AC2339" t="s">
        <v>3508</v>
      </c>
      <c r="AD2339" t="e">
        <f>VLOOKUP(AB2339,#REF!,2,FALSE)</f>
        <v>#REF!</v>
      </c>
      <c r="AE2339" t="e">
        <f>RIGHT(#REF!,(FIND("Complex",#REF!,1)-7))</f>
        <v>#REF!</v>
      </c>
    </row>
    <row r="2340" spans="1:31" x14ac:dyDescent="0.25">
      <c r="A2340">
        <v>2511</v>
      </c>
      <c r="B2340" t="s">
        <v>61</v>
      </c>
      <c r="C2340">
        <v>21</v>
      </c>
      <c r="D2340">
        <v>246</v>
      </c>
      <c r="E2340">
        <v>2511</v>
      </c>
      <c r="F2340">
        <v>3616201</v>
      </c>
      <c r="G2340">
        <v>3704400</v>
      </c>
      <c r="H2340">
        <f t="shared" si="72"/>
        <v>82.000022675736957</v>
      </c>
      <c r="I2340">
        <f t="shared" si="73"/>
        <v>84</v>
      </c>
      <c r="J2340" t="s">
        <v>32</v>
      </c>
      <c r="K2340">
        <v>4</v>
      </c>
      <c r="L2340" t="e">
        <f t="array" ref="L2340">VLOOKUP(J2340:$J$3871&amp;K2340:$K$3871,CHOOSE({1,2},#REF!&amp;#REF!,#REF!),2,0)</f>
        <v>#N/A</v>
      </c>
      <c r="M2340">
        <v>0</v>
      </c>
      <c r="N2340">
        <v>1</v>
      </c>
      <c r="O2340" t="s">
        <v>23</v>
      </c>
      <c r="P2340">
        <v>0</v>
      </c>
      <c r="Q2340">
        <v>0</v>
      </c>
      <c r="R2340">
        <v>1</v>
      </c>
      <c r="S2340">
        <v>1</v>
      </c>
      <c r="T2340">
        <v>0</v>
      </c>
      <c r="U2340">
        <v>0</v>
      </c>
      <c r="V2340">
        <v>0</v>
      </c>
      <c r="W2340">
        <v>1</v>
      </c>
      <c r="X2340">
        <v>1</v>
      </c>
      <c r="Y2340">
        <v>0</v>
      </c>
      <c r="Z2340">
        <v>0</v>
      </c>
      <c r="AA2340" t="s">
        <v>3617</v>
      </c>
      <c r="AB2340" t="s">
        <v>721</v>
      </c>
      <c r="AC2340" t="s">
        <v>3617</v>
      </c>
      <c r="AD2340" t="e">
        <f>VLOOKUP(AB2340,#REF!,2,FALSE)</f>
        <v>#REF!</v>
      </c>
      <c r="AE2340" t="e">
        <f>RIGHT(#REF!,(FIND("Complex",#REF!,1)-7))</f>
        <v>#REF!</v>
      </c>
    </row>
    <row r="2341" spans="1:31" x14ac:dyDescent="0.25">
      <c r="A2341">
        <v>723</v>
      </c>
      <c r="B2341" t="s">
        <v>61</v>
      </c>
      <c r="C2341">
        <v>21</v>
      </c>
      <c r="D2341">
        <v>57</v>
      </c>
      <c r="E2341">
        <v>723</v>
      </c>
      <c r="F2341">
        <v>3087001</v>
      </c>
      <c r="G2341">
        <v>3175200</v>
      </c>
      <c r="H2341">
        <f t="shared" si="72"/>
        <v>70.000022675736957</v>
      </c>
      <c r="I2341">
        <f t="shared" si="73"/>
        <v>72</v>
      </c>
      <c r="J2341" t="s">
        <v>32</v>
      </c>
      <c r="K2341">
        <v>4</v>
      </c>
      <c r="L2341" t="e">
        <f t="array" ref="L2341">VLOOKUP(J2341:$J$3871&amp;K2341:$K$3871,CHOOSE({1,2},#REF!&amp;#REF!,#REF!),2,0)</f>
        <v>#N/A</v>
      </c>
      <c r="M2341">
        <v>0</v>
      </c>
      <c r="N2341">
        <v>1</v>
      </c>
      <c r="O2341" t="s">
        <v>23</v>
      </c>
      <c r="P2341">
        <v>0</v>
      </c>
      <c r="Q2341">
        <v>0</v>
      </c>
      <c r="R2341">
        <v>1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1</v>
      </c>
      <c r="Y2341">
        <v>1</v>
      </c>
      <c r="Z2341">
        <v>0</v>
      </c>
      <c r="AA2341" t="s">
        <v>3712</v>
      </c>
      <c r="AB2341" t="s">
        <v>722</v>
      </c>
      <c r="AC2341" t="s">
        <v>3712</v>
      </c>
      <c r="AD2341" t="e">
        <f>VLOOKUP(AB2341,#REF!,2,FALSE)</f>
        <v>#REF!</v>
      </c>
      <c r="AE2341" t="e">
        <f>RIGHT(#REF!,(FIND("Complex",#REF!,1)-6))</f>
        <v>#REF!</v>
      </c>
    </row>
    <row r="2342" spans="1:31" x14ac:dyDescent="0.25">
      <c r="A2342">
        <v>2877</v>
      </c>
      <c r="B2342" t="s">
        <v>61</v>
      </c>
      <c r="C2342">
        <v>21</v>
      </c>
      <c r="D2342">
        <v>311</v>
      </c>
      <c r="E2342">
        <v>2877</v>
      </c>
      <c r="F2342">
        <v>2734201</v>
      </c>
      <c r="G2342">
        <v>2822400</v>
      </c>
      <c r="H2342">
        <f t="shared" si="72"/>
        <v>62.000022675736965</v>
      </c>
      <c r="I2342">
        <f t="shared" si="73"/>
        <v>64</v>
      </c>
      <c r="J2342" t="s">
        <v>32</v>
      </c>
      <c r="K2342">
        <v>4</v>
      </c>
      <c r="L2342" t="e">
        <f t="array" ref="L2342">VLOOKUP(J2342:$J$3871&amp;K2342:$K$3871,CHOOSE({1,2},#REF!&amp;#REF!,#REF!),2,0)</f>
        <v>#N/A</v>
      </c>
      <c r="M2342">
        <v>0</v>
      </c>
      <c r="N2342">
        <v>1</v>
      </c>
      <c r="O2342" t="s">
        <v>23</v>
      </c>
      <c r="P2342">
        <v>0</v>
      </c>
      <c r="Q2342">
        <v>0</v>
      </c>
      <c r="R2342">
        <v>1</v>
      </c>
      <c r="S2342">
        <v>0</v>
      </c>
      <c r="T2342">
        <v>1</v>
      </c>
      <c r="U2342">
        <v>0</v>
      </c>
      <c r="V2342">
        <v>0</v>
      </c>
      <c r="W2342">
        <v>1</v>
      </c>
      <c r="X2342">
        <v>1</v>
      </c>
      <c r="Y2342">
        <v>0</v>
      </c>
      <c r="Z2342">
        <v>0</v>
      </c>
      <c r="AA2342" t="s">
        <v>3768</v>
      </c>
      <c r="AB2342" t="s">
        <v>723</v>
      </c>
      <c r="AC2342" t="s">
        <v>3768</v>
      </c>
      <c r="AD2342" t="e">
        <f>VLOOKUP(AB2342,#REF!,2,FALSE)</f>
        <v>#REF!</v>
      </c>
      <c r="AE2342" t="e">
        <f>RIGHT(#REF!,(FIND("Complex",#REF!,1)-7))</f>
        <v>#REF!</v>
      </c>
    </row>
    <row r="2343" spans="1:31" x14ac:dyDescent="0.25">
      <c r="A2343">
        <v>2275</v>
      </c>
      <c r="B2343" t="s">
        <v>61</v>
      </c>
      <c r="C2343">
        <v>21</v>
      </c>
      <c r="D2343">
        <v>219</v>
      </c>
      <c r="E2343">
        <v>2275</v>
      </c>
      <c r="F2343">
        <v>7320601</v>
      </c>
      <c r="G2343">
        <v>7408800</v>
      </c>
      <c r="H2343">
        <f t="shared" si="72"/>
        <v>166.00002267573697</v>
      </c>
      <c r="I2343">
        <f t="shared" si="73"/>
        <v>168</v>
      </c>
      <c r="J2343" t="s">
        <v>32</v>
      </c>
      <c r="K2343">
        <v>4</v>
      </c>
      <c r="L2343" t="e">
        <f t="array" ref="L2343">VLOOKUP(J2343:$J$3871&amp;K2343:$K$3871,CHOOSE({1,2},#REF!&amp;#REF!,#REF!),2,0)</f>
        <v>#N/A</v>
      </c>
      <c r="M2343">
        <v>0</v>
      </c>
      <c r="N2343">
        <v>1</v>
      </c>
      <c r="O2343" t="s">
        <v>23</v>
      </c>
      <c r="P2343">
        <v>0</v>
      </c>
      <c r="Q2343">
        <v>0</v>
      </c>
      <c r="R2343">
        <v>1</v>
      </c>
      <c r="S2343">
        <v>1</v>
      </c>
      <c r="T2343">
        <v>0</v>
      </c>
      <c r="U2343">
        <v>0</v>
      </c>
      <c r="V2343">
        <v>0</v>
      </c>
      <c r="W2343">
        <v>1</v>
      </c>
      <c r="X2343">
        <v>1</v>
      </c>
      <c r="Y2343">
        <v>0</v>
      </c>
      <c r="Z2343">
        <v>0</v>
      </c>
      <c r="AA2343" t="s">
        <v>4459</v>
      </c>
      <c r="AB2343" t="s">
        <v>724</v>
      </c>
      <c r="AC2343" t="s">
        <v>4459</v>
      </c>
      <c r="AD2343" t="e">
        <f>VLOOKUP(AB2343,#REF!,2,FALSE)</f>
        <v>#REF!</v>
      </c>
      <c r="AE2343" t="e">
        <f>RIGHT(#REF!,(FIND("Complex",#REF!,1)-6))</f>
        <v>#REF!</v>
      </c>
    </row>
    <row r="2344" spans="1:31" x14ac:dyDescent="0.25">
      <c r="A2344">
        <v>1779</v>
      </c>
      <c r="B2344" t="s">
        <v>61</v>
      </c>
      <c r="C2344">
        <v>21</v>
      </c>
      <c r="D2344">
        <v>164</v>
      </c>
      <c r="E2344">
        <v>1779</v>
      </c>
      <c r="F2344">
        <v>6438601</v>
      </c>
      <c r="G2344">
        <v>6526800</v>
      </c>
      <c r="H2344">
        <f t="shared" si="72"/>
        <v>146.00002267573697</v>
      </c>
      <c r="I2344">
        <f t="shared" si="73"/>
        <v>148</v>
      </c>
      <c r="J2344" t="s">
        <v>32</v>
      </c>
      <c r="K2344">
        <v>4</v>
      </c>
      <c r="L2344" t="e">
        <f t="array" ref="L2344">VLOOKUP(J2344:$J$3871&amp;K2344:$K$3871,CHOOSE({1,2},#REF!&amp;#REF!,#REF!),2,0)</f>
        <v>#N/A</v>
      </c>
      <c r="M2344">
        <v>0</v>
      </c>
      <c r="N2344">
        <v>1</v>
      </c>
      <c r="O2344" t="s">
        <v>23</v>
      </c>
      <c r="P2344">
        <v>0</v>
      </c>
      <c r="Q2344">
        <v>0</v>
      </c>
      <c r="R2344">
        <v>1</v>
      </c>
      <c r="S2344">
        <v>1</v>
      </c>
      <c r="T2344">
        <v>0</v>
      </c>
      <c r="U2344">
        <v>0</v>
      </c>
      <c r="V2344">
        <v>0</v>
      </c>
      <c r="W2344">
        <v>1</v>
      </c>
      <c r="X2344">
        <v>1</v>
      </c>
      <c r="Y2344">
        <v>0</v>
      </c>
      <c r="Z2344">
        <v>0</v>
      </c>
      <c r="AA2344" t="s">
        <v>4572</v>
      </c>
      <c r="AB2344" t="s">
        <v>725</v>
      </c>
      <c r="AC2344" t="s">
        <v>4572</v>
      </c>
      <c r="AD2344" t="e">
        <f>VLOOKUP(AB2344,#REF!,2,FALSE)</f>
        <v>#REF!</v>
      </c>
      <c r="AE2344" t="e">
        <f>RIGHT(#REF!,(FIND("Complex",#REF!,1)-6))</f>
        <v>#REF!</v>
      </c>
    </row>
    <row r="2345" spans="1:31" x14ac:dyDescent="0.25">
      <c r="A2345">
        <v>2214</v>
      </c>
      <c r="B2345" t="s">
        <v>61</v>
      </c>
      <c r="C2345">
        <v>21</v>
      </c>
      <c r="D2345">
        <v>212</v>
      </c>
      <c r="E2345">
        <v>2214</v>
      </c>
      <c r="F2345">
        <v>6350401</v>
      </c>
      <c r="G2345">
        <v>6438600</v>
      </c>
      <c r="H2345">
        <f t="shared" si="72"/>
        <v>144.00002267573697</v>
      </c>
      <c r="I2345">
        <f t="shared" si="73"/>
        <v>146</v>
      </c>
      <c r="J2345" t="s">
        <v>32</v>
      </c>
      <c r="K2345">
        <v>4</v>
      </c>
      <c r="L2345" t="e">
        <f t="array" ref="L2345">VLOOKUP(J2345:$J$3871&amp;K2345:$K$3871,CHOOSE({1,2},#REF!&amp;#REF!,#REF!),2,0)</f>
        <v>#N/A</v>
      </c>
      <c r="M2345">
        <v>0</v>
      </c>
      <c r="N2345">
        <v>1</v>
      </c>
      <c r="O2345" t="s">
        <v>23</v>
      </c>
      <c r="P2345">
        <v>0</v>
      </c>
      <c r="Q2345">
        <v>0</v>
      </c>
      <c r="R2345">
        <v>1</v>
      </c>
      <c r="S2345">
        <v>1</v>
      </c>
      <c r="T2345">
        <v>0</v>
      </c>
      <c r="U2345">
        <v>0</v>
      </c>
      <c r="V2345">
        <v>0</v>
      </c>
      <c r="W2345">
        <v>1</v>
      </c>
      <c r="X2345">
        <v>1</v>
      </c>
      <c r="Y2345">
        <v>0</v>
      </c>
      <c r="Z2345">
        <v>0</v>
      </c>
      <c r="AA2345" t="s">
        <v>4584</v>
      </c>
      <c r="AB2345" t="s">
        <v>726</v>
      </c>
      <c r="AC2345" t="s">
        <v>4584</v>
      </c>
      <c r="AD2345" t="e">
        <f>VLOOKUP(AB2345,#REF!,2,FALSE)</f>
        <v>#REF!</v>
      </c>
      <c r="AE2345" t="e">
        <f>RIGHT(#REF!,(FIND("Complex",#REF!,1)-6))</f>
        <v>#REF!</v>
      </c>
    </row>
    <row r="2346" spans="1:31" x14ac:dyDescent="0.25">
      <c r="A2346">
        <v>1603</v>
      </c>
      <c r="B2346" t="s">
        <v>61</v>
      </c>
      <c r="C2346">
        <v>21</v>
      </c>
      <c r="D2346">
        <v>147</v>
      </c>
      <c r="E2346">
        <v>1603</v>
      </c>
      <c r="F2346">
        <v>4851001</v>
      </c>
      <c r="G2346">
        <v>4939200</v>
      </c>
      <c r="H2346">
        <f t="shared" si="72"/>
        <v>110.00002267573696</v>
      </c>
      <c r="I2346">
        <f t="shared" si="73"/>
        <v>112</v>
      </c>
      <c r="J2346" t="s">
        <v>32</v>
      </c>
      <c r="K2346">
        <v>4</v>
      </c>
      <c r="L2346" t="e">
        <f t="array" ref="L2346">VLOOKUP(J2346:$J$3871&amp;K2346:$K$3871,CHOOSE({1,2},#REF!&amp;#REF!,#REF!),2,0)</f>
        <v>#N/A</v>
      </c>
      <c r="M2346">
        <v>0</v>
      </c>
      <c r="N2346">
        <v>1</v>
      </c>
      <c r="O2346" t="s">
        <v>23</v>
      </c>
      <c r="P2346">
        <v>0</v>
      </c>
      <c r="Q2346">
        <v>0</v>
      </c>
      <c r="R2346">
        <v>1</v>
      </c>
      <c r="S2346">
        <v>1</v>
      </c>
      <c r="T2346">
        <v>0</v>
      </c>
      <c r="U2346">
        <v>0</v>
      </c>
      <c r="V2346">
        <v>0</v>
      </c>
      <c r="W2346">
        <v>1</v>
      </c>
      <c r="X2346">
        <v>1</v>
      </c>
      <c r="Y2346">
        <v>0</v>
      </c>
      <c r="Z2346">
        <v>0</v>
      </c>
      <c r="AA2346" t="s">
        <v>4785</v>
      </c>
      <c r="AB2346" t="s">
        <v>727</v>
      </c>
      <c r="AC2346" t="s">
        <v>4785</v>
      </c>
      <c r="AD2346" t="e">
        <f>VLOOKUP(AB2346,#REF!,2,FALSE)</f>
        <v>#REF!</v>
      </c>
      <c r="AE2346" t="e">
        <f>RIGHT(#REF!,(FIND("Complex",#REF!,1)-6))</f>
        <v>#REF!</v>
      </c>
    </row>
    <row r="2347" spans="1:31" x14ac:dyDescent="0.25">
      <c r="A2347">
        <v>2927</v>
      </c>
      <c r="B2347" t="s">
        <v>61</v>
      </c>
      <c r="C2347">
        <v>21</v>
      </c>
      <c r="D2347">
        <v>324</v>
      </c>
      <c r="E2347">
        <v>2927</v>
      </c>
      <c r="F2347">
        <v>4762801</v>
      </c>
      <c r="G2347">
        <v>4851000</v>
      </c>
      <c r="H2347">
        <f t="shared" si="72"/>
        <v>108.00002267573696</v>
      </c>
      <c r="I2347">
        <f t="shared" si="73"/>
        <v>110</v>
      </c>
      <c r="J2347" t="s">
        <v>32</v>
      </c>
      <c r="K2347">
        <v>4</v>
      </c>
      <c r="L2347" t="e">
        <f t="array" ref="L2347">VLOOKUP(J2347:$J$3871&amp;K2347:$K$3871,CHOOSE({1,2},#REF!&amp;#REF!,#REF!),2,0)</f>
        <v>#N/A</v>
      </c>
      <c r="M2347">
        <v>0</v>
      </c>
      <c r="N2347">
        <v>1</v>
      </c>
      <c r="O2347" t="s">
        <v>23</v>
      </c>
      <c r="P2347">
        <v>0</v>
      </c>
      <c r="Q2347">
        <v>0</v>
      </c>
      <c r="R2347">
        <v>1</v>
      </c>
      <c r="S2347">
        <v>1</v>
      </c>
      <c r="T2347">
        <v>0</v>
      </c>
      <c r="U2347">
        <v>0</v>
      </c>
      <c r="V2347">
        <v>0</v>
      </c>
      <c r="W2347">
        <v>1</v>
      </c>
      <c r="X2347">
        <v>1</v>
      </c>
      <c r="Y2347">
        <v>0</v>
      </c>
      <c r="Z2347">
        <v>0</v>
      </c>
      <c r="AA2347" t="s">
        <v>4797</v>
      </c>
      <c r="AB2347" t="s">
        <v>728</v>
      </c>
      <c r="AC2347" t="s">
        <v>4797</v>
      </c>
      <c r="AD2347" t="e">
        <f>VLOOKUP(AB2347,#REF!,2,FALSE)</f>
        <v>#REF!</v>
      </c>
      <c r="AE2347" t="e">
        <f>RIGHT(#REF!,(FIND("Complex",#REF!,1)-6))</f>
        <v>#REF!</v>
      </c>
    </row>
    <row r="2348" spans="1:31" x14ac:dyDescent="0.25">
      <c r="A2348">
        <v>1945</v>
      </c>
      <c r="B2348" t="s">
        <v>35</v>
      </c>
      <c r="C2348">
        <v>23</v>
      </c>
      <c r="D2348">
        <v>186</v>
      </c>
      <c r="E2348">
        <v>1945</v>
      </c>
      <c r="F2348">
        <v>4145401</v>
      </c>
      <c r="G2348">
        <v>4233600</v>
      </c>
      <c r="H2348">
        <f t="shared" si="72"/>
        <v>94.000022675736957</v>
      </c>
      <c r="I2348">
        <f t="shared" si="73"/>
        <v>96</v>
      </c>
      <c r="J2348" t="s">
        <v>32</v>
      </c>
      <c r="K2348">
        <v>4</v>
      </c>
      <c r="L2348" t="e">
        <f t="array" ref="L2348">VLOOKUP(J2348:$J$3871&amp;K2348:$K$3871,CHOOSE({1,2},#REF!&amp;#REF!,#REF!),2,0)</f>
        <v>#N/A</v>
      </c>
      <c r="M2348">
        <v>0</v>
      </c>
      <c r="N2348">
        <v>1</v>
      </c>
      <c r="O2348" t="s">
        <v>23</v>
      </c>
      <c r="P2348">
        <v>1</v>
      </c>
      <c r="Q2348">
        <v>0</v>
      </c>
      <c r="R2348">
        <v>1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1</v>
      </c>
      <c r="Y2348">
        <v>0</v>
      </c>
      <c r="Z2348">
        <v>0</v>
      </c>
      <c r="AA2348" t="s">
        <v>3534</v>
      </c>
      <c r="AB2348" t="s">
        <v>742</v>
      </c>
      <c r="AC2348" t="s">
        <v>3534</v>
      </c>
      <c r="AD2348" t="e">
        <f>VLOOKUP(AB2348,#REF!,2,FALSE)</f>
        <v>#REF!</v>
      </c>
      <c r="AE2348" t="e">
        <f>RIGHT(#REF!,(FIND("Complex",#REF!,1)-7))</f>
        <v>#REF!</v>
      </c>
    </row>
    <row r="2349" spans="1:31" x14ac:dyDescent="0.25">
      <c r="A2349">
        <v>3333</v>
      </c>
      <c r="B2349" t="s">
        <v>35</v>
      </c>
      <c r="C2349">
        <v>23</v>
      </c>
      <c r="D2349">
        <v>415</v>
      </c>
      <c r="E2349">
        <v>3333</v>
      </c>
      <c r="F2349">
        <v>3880801</v>
      </c>
      <c r="G2349">
        <v>3969000</v>
      </c>
      <c r="H2349">
        <f t="shared" si="72"/>
        <v>88.000022675736957</v>
      </c>
      <c r="I2349">
        <f t="shared" si="73"/>
        <v>90</v>
      </c>
      <c r="J2349" t="s">
        <v>32</v>
      </c>
      <c r="K2349">
        <v>4</v>
      </c>
      <c r="L2349" t="e">
        <f t="array" ref="L2349">VLOOKUP(J2349:$J$3871&amp;K2349:$K$3871,CHOOSE({1,2},#REF!&amp;#REF!,#REF!),2,0)</f>
        <v>#N/A</v>
      </c>
      <c r="M2349">
        <v>0</v>
      </c>
      <c r="N2349">
        <v>1</v>
      </c>
      <c r="O2349" t="s">
        <v>23</v>
      </c>
      <c r="P2349">
        <v>1</v>
      </c>
      <c r="Q2349">
        <v>0</v>
      </c>
      <c r="R2349">
        <v>1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1</v>
      </c>
      <c r="Y2349">
        <v>0</v>
      </c>
      <c r="Z2349">
        <v>0</v>
      </c>
      <c r="AA2349" t="s">
        <v>3578</v>
      </c>
      <c r="AB2349" t="s">
        <v>743</v>
      </c>
      <c r="AC2349" t="s">
        <v>3578</v>
      </c>
      <c r="AD2349" t="e">
        <f>VLOOKUP(AB2349,#REF!,2,FALSE)</f>
        <v>#REF!</v>
      </c>
      <c r="AE2349" t="e">
        <f>RIGHT(#REF!,(FIND("Complex",#REF!,1)-7))</f>
        <v>#REF!</v>
      </c>
    </row>
    <row r="2350" spans="1:31" x14ac:dyDescent="0.25">
      <c r="A2350">
        <v>2672</v>
      </c>
      <c r="B2350" t="s">
        <v>35</v>
      </c>
      <c r="C2350">
        <v>23</v>
      </c>
      <c r="D2350">
        <v>266</v>
      </c>
      <c r="E2350">
        <v>2672</v>
      </c>
      <c r="F2350">
        <v>3792601</v>
      </c>
      <c r="G2350">
        <v>3880800</v>
      </c>
      <c r="H2350">
        <f t="shared" si="72"/>
        <v>86.000022675736957</v>
      </c>
      <c r="I2350">
        <f t="shared" si="73"/>
        <v>88</v>
      </c>
      <c r="J2350" t="s">
        <v>32</v>
      </c>
      <c r="K2350">
        <v>4</v>
      </c>
      <c r="L2350" t="e">
        <f t="array" ref="L2350">VLOOKUP(J2350:$J$3871&amp;K2350:$K$3871,CHOOSE({1,2},#REF!&amp;#REF!,#REF!),2,0)</f>
        <v>#N/A</v>
      </c>
      <c r="M2350">
        <v>0</v>
      </c>
      <c r="N2350">
        <v>1</v>
      </c>
      <c r="O2350" t="s">
        <v>23</v>
      </c>
      <c r="P2350">
        <v>1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1</v>
      </c>
      <c r="Y2350">
        <v>0</v>
      </c>
      <c r="Z2350">
        <v>0</v>
      </c>
      <c r="AA2350" t="s">
        <v>3587</v>
      </c>
      <c r="AB2350" t="s">
        <v>744</v>
      </c>
      <c r="AC2350" t="s">
        <v>3587</v>
      </c>
      <c r="AD2350" t="e">
        <f>VLOOKUP(AB2350,#REF!,2,FALSE)</f>
        <v>#REF!</v>
      </c>
      <c r="AE2350" t="e">
        <f>RIGHT(#REF!,(FIND("Complex",#REF!,1)-7))</f>
        <v>#REF!</v>
      </c>
    </row>
    <row r="2351" spans="1:31" x14ac:dyDescent="0.25">
      <c r="A2351">
        <v>652</v>
      </c>
      <c r="B2351" t="s">
        <v>35</v>
      </c>
      <c r="C2351">
        <v>23</v>
      </c>
      <c r="D2351">
        <v>53</v>
      </c>
      <c r="E2351">
        <v>652</v>
      </c>
      <c r="F2351">
        <v>3616201</v>
      </c>
      <c r="G2351">
        <v>3704400</v>
      </c>
      <c r="H2351">
        <f t="shared" si="72"/>
        <v>82.000022675736957</v>
      </c>
      <c r="I2351">
        <f t="shared" si="73"/>
        <v>84</v>
      </c>
      <c r="J2351" t="s">
        <v>32</v>
      </c>
      <c r="K2351">
        <v>4</v>
      </c>
      <c r="L2351" t="e">
        <f t="array" ref="L2351">VLOOKUP(J2351:$J$3871&amp;K2351:$K$3871,CHOOSE({1,2},#REF!&amp;#REF!,#REF!),2,0)</f>
        <v>#N/A</v>
      </c>
      <c r="M2351">
        <v>0</v>
      </c>
      <c r="N2351">
        <v>1</v>
      </c>
      <c r="O2351" t="s">
        <v>23</v>
      </c>
      <c r="P2351">
        <v>1</v>
      </c>
      <c r="Q2351">
        <v>0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1</v>
      </c>
      <c r="Y2351">
        <v>0</v>
      </c>
      <c r="Z2351">
        <v>0</v>
      </c>
      <c r="AA2351" t="s">
        <v>3616</v>
      </c>
      <c r="AB2351" t="s">
        <v>745</v>
      </c>
      <c r="AC2351" t="s">
        <v>3616</v>
      </c>
      <c r="AD2351" t="e">
        <f>VLOOKUP(AB2351,#REF!,2,FALSE)</f>
        <v>#REF!</v>
      </c>
      <c r="AE2351" t="e">
        <f>RIGHT(#REF!,(FIND("Complex",#REF!,1)-6))</f>
        <v>#REF!</v>
      </c>
    </row>
    <row r="2352" spans="1:31" x14ac:dyDescent="0.25">
      <c r="A2352">
        <v>1852</v>
      </c>
      <c r="B2352" t="s">
        <v>35</v>
      </c>
      <c r="C2352">
        <v>23</v>
      </c>
      <c r="D2352">
        <v>169</v>
      </c>
      <c r="E2352">
        <v>1852</v>
      </c>
      <c r="F2352">
        <v>3351601</v>
      </c>
      <c r="G2352">
        <v>3439800</v>
      </c>
      <c r="H2352">
        <f t="shared" si="72"/>
        <v>76.000022675736957</v>
      </c>
      <c r="I2352">
        <f t="shared" si="73"/>
        <v>78</v>
      </c>
      <c r="J2352" t="s">
        <v>32</v>
      </c>
      <c r="K2352">
        <v>4</v>
      </c>
      <c r="L2352" t="e">
        <f t="array" ref="L2352">VLOOKUP(J2352:$J$3871&amp;K2352:$K$3871,CHOOSE({1,2},#REF!&amp;#REF!,#REF!),2,0)</f>
        <v>#N/A</v>
      </c>
      <c r="M2352">
        <v>0</v>
      </c>
      <c r="N2352">
        <v>1</v>
      </c>
      <c r="O2352" t="s">
        <v>23</v>
      </c>
      <c r="P2352">
        <v>1</v>
      </c>
      <c r="Q2352">
        <v>0</v>
      </c>
      <c r="R2352">
        <v>1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1</v>
      </c>
      <c r="Y2352">
        <v>0</v>
      </c>
      <c r="Z2352">
        <v>0</v>
      </c>
      <c r="AA2352" t="s">
        <v>3673</v>
      </c>
      <c r="AB2352" t="s">
        <v>746</v>
      </c>
      <c r="AC2352" t="s">
        <v>3673</v>
      </c>
      <c r="AD2352" t="e">
        <f>VLOOKUP(AB2352,#REF!,2,FALSE)</f>
        <v>#REF!</v>
      </c>
      <c r="AE2352" t="e">
        <f>RIGHT(#REF!,(FIND("Complex",#REF!,1)-7))</f>
        <v>#REF!</v>
      </c>
    </row>
    <row r="2353" spans="1:31" x14ac:dyDescent="0.25">
      <c r="A2353">
        <v>2138</v>
      </c>
      <c r="B2353" t="s">
        <v>35</v>
      </c>
      <c r="C2353">
        <v>23</v>
      </c>
      <c r="D2353">
        <v>204</v>
      </c>
      <c r="E2353">
        <v>2138</v>
      </c>
      <c r="F2353">
        <v>2646001</v>
      </c>
      <c r="G2353">
        <v>2734200</v>
      </c>
      <c r="H2353">
        <f t="shared" si="72"/>
        <v>60.000022675736965</v>
      </c>
      <c r="I2353">
        <f t="shared" si="73"/>
        <v>62</v>
      </c>
      <c r="J2353" t="s">
        <v>32</v>
      </c>
      <c r="K2353">
        <v>4</v>
      </c>
      <c r="L2353" t="e">
        <f t="array" ref="L2353">VLOOKUP(J2353:$J$3871&amp;K2353:$K$3871,CHOOSE({1,2},#REF!&amp;#REF!,#REF!),2,0)</f>
        <v>#N/A</v>
      </c>
      <c r="M2353">
        <v>0</v>
      </c>
      <c r="N2353">
        <v>1</v>
      </c>
      <c r="O2353" t="s">
        <v>23</v>
      </c>
      <c r="P2353">
        <v>1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0</v>
      </c>
      <c r="AA2353" t="s">
        <v>3790</v>
      </c>
      <c r="AB2353" t="s">
        <v>185</v>
      </c>
      <c r="AC2353" t="s">
        <v>3790</v>
      </c>
      <c r="AD2353" t="e">
        <f>VLOOKUP(AB2353,#REF!,2,FALSE)</f>
        <v>#REF!</v>
      </c>
      <c r="AE2353" t="e">
        <f>RIGHT(#REF!,(FIND("Complex",#REF!,1)-7))</f>
        <v>#REF!</v>
      </c>
    </row>
    <row r="2354" spans="1:31" x14ac:dyDescent="0.25">
      <c r="A2354">
        <v>2589</v>
      </c>
      <c r="B2354" t="s">
        <v>35</v>
      </c>
      <c r="C2354">
        <v>23</v>
      </c>
      <c r="D2354">
        <v>258</v>
      </c>
      <c r="E2354">
        <v>2589</v>
      </c>
      <c r="F2354">
        <v>2557801</v>
      </c>
      <c r="G2354">
        <v>2646000</v>
      </c>
      <c r="H2354">
        <f t="shared" si="72"/>
        <v>58.000022675736965</v>
      </c>
      <c r="I2354">
        <f t="shared" si="73"/>
        <v>60</v>
      </c>
      <c r="J2354" t="s">
        <v>32</v>
      </c>
      <c r="K2354">
        <v>4</v>
      </c>
      <c r="L2354" t="e">
        <f t="array" ref="L2354">VLOOKUP(J2354:$J$3871&amp;K2354:$K$3871,CHOOSE({1,2},#REF!&amp;#REF!,#REF!),2,0)</f>
        <v>#N/A</v>
      </c>
      <c r="M2354">
        <v>0</v>
      </c>
      <c r="N2354">
        <v>1</v>
      </c>
      <c r="O2354" t="s">
        <v>23</v>
      </c>
      <c r="P2354">
        <v>1</v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1</v>
      </c>
      <c r="Y2354">
        <v>0</v>
      </c>
      <c r="Z2354">
        <v>0</v>
      </c>
      <c r="AA2354" t="s">
        <v>3822</v>
      </c>
      <c r="AB2354" t="s">
        <v>747</v>
      </c>
      <c r="AC2354" t="s">
        <v>3822</v>
      </c>
      <c r="AD2354" t="e">
        <f>VLOOKUP(AB2354,#REF!,2,FALSE)</f>
        <v>#REF!</v>
      </c>
      <c r="AE2354" t="e">
        <f>RIGHT(#REF!,(FIND("Complex",#REF!,1)-7))</f>
        <v>#REF!</v>
      </c>
    </row>
    <row r="2355" spans="1:31" x14ac:dyDescent="0.25">
      <c r="A2355">
        <v>1240</v>
      </c>
      <c r="B2355" t="s">
        <v>35</v>
      </c>
      <c r="C2355">
        <v>23</v>
      </c>
      <c r="D2355">
        <v>111</v>
      </c>
      <c r="E2355">
        <v>1240</v>
      </c>
      <c r="F2355">
        <v>2205001</v>
      </c>
      <c r="G2355">
        <v>2293200</v>
      </c>
      <c r="H2355">
        <f t="shared" si="72"/>
        <v>50.000022675736965</v>
      </c>
      <c r="I2355">
        <f t="shared" si="73"/>
        <v>52</v>
      </c>
      <c r="J2355" t="s">
        <v>32</v>
      </c>
      <c r="K2355">
        <v>4</v>
      </c>
      <c r="L2355" t="e">
        <f t="array" ref="L2355">VLOOKUP(J2355:$J$3871&amp;K2355:$K$3871,CHOOSE({1,2},#REF!&amp;#REF!,#REF!),2,0)</f>
        <v>#N/A</v>
      </c>
      <c r="M2355">
        <v>0</v>
      </c>
      <c r="N2355">
        <v>1</v>
      </c>
      <c r="O2355" t="s">
        <v>23</v>
      </c>
      <c r="P2355">
        <v>1</v>
      </c>
      <c r="Q2355">
        <v>0</v>
      </c>
      <c r="R2355">
        <v>1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1</v>
      </c>
      <c r="Y2355">
        <v>0</v>
      </c>
      <c r="Z2355">
        <v>0</v>
      </c>
      <c r="AA2355" t="s">
        <v>3878</v>
      </c>
      <c r="AB2355" t="s">
        <v>748</v>
      </c>
      <c r="AC2355" t="s">
        <v>3878</v>
      </c>
      <c r="AD2355" t="e">
        <f>VLOOKUP(AB2355,#REF!,2,FALSE)</f>
        <v>#REF!</v>
      </c>
      <c r="AE2355" t="e">
        <f>RIGHT(#REF!,(FIND("Complex",#REF!,1)-7))</f>
        <v>#REF!</v>
      </c>
    </row>
    <row r="2356" spans="1:31" x14ac:dyDescent="0.25">
      <c r="A2356">
        <v>2759</v>
      </c>
      <c r="B2356" t="s">
        <v>35</v>
      </c>
      <c r="C2356">
        <v>23</v>
      </c>
      <c r="D2356">
        <v>287</v>
      </c>
      <c r="E2356">
        <v>2759</v>
      </c>
      <c r="F2356">
        <v>1940401</v>
      </c>
      <c r="G2356">
        <v>2028600</v>
      </c>
      <c r="H2356">
        <f t="shared" si="72"/>
        <v>44.000022675736965</v>
      </c>
      <c r="I2356">
        <f t="shared" si="73"/>
        <v>46</v>
      </c>
      <c r="J2356" t="s">
        <v>32</v>
      </c>
      <c r="K2356">
        <v>4</v>
      </c>
      <c r="L2356" t="e">
        <f t="array" ref="L2356">VLOOKUP(J2356:$J$3871&amp;K2356:$K$3871,CHOOSE({1,2},#REF!&amp;#REF!,#REF!),2,0)</f>
        <v>#N/A</v>
      </c>
      <c r="M2356">
        <v>0</v>
      </c>
      <c r="N2356">
        <v>1</v>
      </c>
      <c r="O2356" t="s">
        <v>23</v>
      </c>
      <c r="P2356">
        <v>1</v>
      </c>
      <c r="Q2356">
        <v>0</v>
      </c>
      <c r="R2356">
        <v>1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1</v>
      </c>
      <c r="Y2356">
        <v>0</v>
      </c>
      <c r="Z2356">
        <v>0</v>
      </c>
      <c r="AA2356" t="s">
        <v>3918</v>
      </c>
      <c r="AB2356" t="s">
        <v>749</v>
      </c>
      <c r="AC2356" t="s">
        <v>3918</v>
      </c>
      <c r="AD2356" t="e">
        <f>VLOOKUP(AB2356,#REF!,2,FALSE)</f>
        <v>#REF!</v>
      </c>
      <c r="AE2356" t="e">
        <f>RIGHT(#REF!,(FIND("Complex",#REF!,1)-7))</f>
        <v>#REF!</v>
      </c>
    </row>
    <row r="2357" spans="1:31" x14ac:dyDescent="0.25">
      <c r="A2357">
        <v>3071</v>
      </c>
      <c r="B2357" t="s">
        <v>35</v>
      </c>
      <c r="C2357">
        <v>23</v>
      </c>
      <c r="D2357">
        <v>356</v>
      </c>
      <c r="E2357">
        <v>3071</v>
      </c>
      <c r="F2357">
        <v>5644801</v>
      </c>
      <c r="G2357">
        <v>5733000</v>
      </c>
      <c r="H2357">
        <f t="shared" si="72"/>
        <v>128.00002267573697</v>
      </c>
      <c r="I2357">
        <f t="shared" si="73"/>
        <v>130</v>
      </c>
      <c r="J2357" t="s">
        <v>32</v>
      </c>
      <c r="K2357">
        <v>4</v>
      </c>
      <c r="L2357" t="e">
        <f t="array" ref="L2357">VLOOKUP(J2357:$J$3871&amp;K2357:$K$3871,CHOOSE({1,2},#REF!&amp;#REF!,#REF!),2,0)</f>
        <v>#N/A</v>
      </c>
      <c r="M2357">
        <v>0</v>
      </c>
      <c r="N2357">
        <v>1</v>
      </c>
      <c r="O2357" t="s">
        <v>23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1</v>
      </c>
      <c r="Y2357">
        <v>1</v>
      </c>
      <c r="Z2357">
        <v>0</v>
      </c>
      <c r="AA2357" t="s">
        <v>4685</v>
      </c>
      <c r="AB2357" t="s">
        <v>750</v>
      </c>
      <c r="AC2357" t="s">
        <v>4685</v>
      </c>
      <c r="AD2357" t="e">
        <f>VLOOKUP(AB2357,#REF!,2,FALSE)</f>
        <v>#REF!</v>
      </c>
      <c r="AE2357" t="e">
        <f>RIGHT(#REF!,(FIND("Complex",#REF!,1)-6))</f>
        <v>#REF!</v>
      </c>
    </row>
    <row r="2358" spans="1:31" x14ac:dyDescent="0.25">
      <c r="A2358">
        <v>801</v>
      </c>
      <c r="B2358" t="s">
        <v>35</v>
      </c>
      <c r="C2358">
        <v>23</v>
      </c>
      <c r="D2358">
        <v>59</v>
      </c>
      <c r="E2358">
        <v>801</v>
      </c>
      <c r="F2358">
        <v>5468401</v>
      </c>
      <c r="G2358">
        <v>5556600</v>
      </c>
      <c r="H2358">
        <f t="shared" si="72"/>
        <v>124.00002267573696</v>
      </c>
      <c r="I2358">
        <f t="shared" si="73"/>
        <v>126</v>
      </c>
      <c r="J2358" t="s">
        <v>32</v>
      </c>
      <c r="K2358">
        <v>4</v>
      </c>
      <c r="L2358" t="e">
        <f t="array" ref="L2358">VLOOKUP(J2358:$J$3871&amp;K2358:$K$3871,CHOOSE({1,2},#REF!&amp;#REF!,#REF!),2,0)</f>
        <v>#N/A</v>
      </c>
      <c r="M2358">
        <v>0</v>
      </c>
      <c r="N2358">
        <v>1</v>
      </c>
      <c r="O2358" t="s">
        <v>23</v>
      </c>
      <c r="P2358">
        <v>0</v>
      </c>
      <c r="Q2358">
        <v>0</v>
      </c>
      <c r="R2358">
        <v>1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1</v>
      </c>
      <c r="Y2358">
        <v>1</v>
      </c>
      <c r="Z2358">
        <v>0</v>
      </c>
      <c r="AA2358" t="s">
        <v>4700</v>
      </c>
      <c r="AB2358" t="s">
        <v>202</v>
      </c>
      <c r="AC2358" t="s">
        <v>4700</v>
      </c>
      <c r="AD2358" t="e">
        <f>VLOOKUP(AB2358,#REF!,2,FALSE)</f>
        <v>#REF!</v>
      </c>
      <c r="AE2358" t="e">
        <f>RIGHT(#REF!,(FIND("Complex",#REF!,1)-5))</f>
        <v>#REF!</v>
      </c>
    </row>
    <row r="2359" spans="1:31" x14ac:dyDescent="0.25">
      <c r="A2359">
        <v>3184</v>
      </c>
      <c r="B2359" t="s">
        <v>35</v>
      </c>
      <c r="C2359">
        <v>23</v>
      </c>
      <c r="D2359">
        <v>388</v>
      </c>
      <c r="E2359">
        <v>3184</v>
      </c>
      <c r="F2359">
        <v>5380201</v>
      </c>
      <c r="G2359">
        <v>5468400</v>
      </c>
      <c r="H2359">
        <f t="shared" si="72"/>
        <v>122.00002267573696</v>
      </c>
      <c r="I2359">
        <f t="shared" si="73"/>
        <v>124</v>
      </c>
      <c r="J2359" t="s">
        <v>32</v>
      </c>
      <c r="K2359">
        <v>4</v>
      </c>
      <c r="L2359" t="e">
        <f t="array" ref="L2359">VLOOKUP(J2359:$J$3871&amp;K2359:$K$3871,CHOOSE({1,2},#REF!&amp;#REF!,#REF!),2,0)</f>
        <v>#N/A</v>
      </c>
      <c r="M2359">
        <v>0</v>
      </c>
      <c r="N2359">
        <v>1</v>
      </c>
      <c r="O2359" t="s">
        <v>23</v>
      </c>
      <c r="P2359">
        <v>0</v>
      </c>
      <c r="Q2359">
        <v>0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1</v>
      </c>
      <c r="Y2359">
        <v>1</v>
      </c>
      <c r="Z2359">
        <v>0</v>
      </c>
      <c r="AA2359" t="s">
        <v>4709</v>
      </c>
      <c r="AB2359" t="s">
        <v>751</v>
      </c>
      <c r="AC2359" t="s">
        <v>4709</v>
      </c>
      <c r="AD2359" t="e">
        <f>VLOOKUP(AB2359,#REF!,2,FALSE)</f>
        <v>#REF!</v>
      </c>
      <c r="AE2359" t="e">
        <f>RIGHT(#REF!,(FIND("Complex",#REF!,1)-6))</f>
        <v>#REF!</v>
      </c>
    </row>
    <row r="2360" spans="1:31" x14ac:dyDescent="0.25">
      <c r="A2360">
        <v>3369</v>
      </c>
      <c r="B2360" t="s">
        <v>35</v>
      </c>
      <c r="C2360">
        <v>23</v>
      </c>
      <c r="D2360">
        <v>419</v>
      </c>
      <c r="E2360">
        <v>3369</v>
      </c>
      <c r="F2360">
        <v>5203801</v>
      </c>
      <c r="G2360">
        <v>5292000</v>
      </c>
      <c r="H2360">
        <f t="shared" si="72"/>
        <v>118.00002267573696</v>
      </c>
      <c r="I2360">
        <f t="shared" si="73"/>
        <v>120</v>
      </c>
      <c r="J2360" t="s">
        <v>32</v>
      </c>
      <c r="K2360">
        <v>4</v>
      </c>
      <c r="L2360" t="e">
        <f t="array" ref="L2360">VLOOKUP(J2360:$J$3871&amp;K2360:$K$3871,CHOOSE({1,2},#REF!&amp;#REF!,#REF!),2,0)</f>
        <v>#N/A</v>
      </c>
      <c r="M2360">
        <v>0</v>
      </c>
      <c r="N2360">
        <v>1</v>
      </c>
      <c r="O2360" t="s">
        <v>23</v>
      </c>
      <c r="P2360">
        <v>1</v>
      </c>
      <c r="Q2360">
        <v>0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1</v>
      </c>
      <c r="Y2360">
        <v>0</v>
      </c>
      <c r="Z2360">
        <v>0</v>
      </c>
      <c r="AA2360" t="s">
        <v>4747</v>
      </c>
      <c r="AB2360" t="s">
        <v>752</v>
      </c>
      <c r="AC2360" t="s">
        <v>4747</v>
      </c>
      <c r="AD2360" t="e">
        <f>VLOOKUP(AB2360,#REF!,2,FALSE)</f>
        <v>#REF!</v>
      </c>
      <c r="AE2360" t="e">
        <f>RIGHT(#REF!,(FIND("Complex",#REF!,1)-6))</f>
        <v>#REF!</v>
      </c>
    </row>
    <row r="2361" spans="1:31" x14ac:dyDescent="0.25">
      <c r="A2361">
        <v>3522</v>
      </c>
      <c r="B2361" t="s">
        <v>35</v>
      </c>
      <c r="C2361">
        <v>23</v>
      </c>
      <c r="D2361">
        <v>447</v>
      </c>
      <c r="E2361">
        <v>3522</v>
      </c>
      <c r="F2361">
        <v>4851001</v>
      </c>
      <c r="G2361">
        <v>4939200</v>
      </c>
      <c r="H2361">
        <f t="shared" si="72"/>
        <v>110.00002267573696</v>
      </c>
      <c r="I2361">
        <f t="shared" si="73"/>
        <v>112</v>
      </c>
      <c r="J2361" t="s">
        <v>32</v>
      </c>
      <c r="K2361">
        <v>4</v>
      </c>
      <c r="L2361" t="e">
        <f t="array" ref="L2361">VLOOKUP(J2361:$J$3871&amp;K2361:$K$3871,CHOOSE({1,2},#REF!&amp;#REF!,#REF!),2,0)</f>
        <v>#N/A</v>
      </c>
      <c r="M2361">
        <v>0</v>
      </c>
      <c r="N2361">
        <v>1</v>
      </c>
      <c r="O2361" t="s">
        <v>23</v>
      </c>
      <c r="P2361">
        <v>1</v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1</v>
      </c>
      <c r="Y2361">
        <v>0</v>
      </c>
      <c r="Z2361">
        <v>0</v>
      </c>
      <c r="AA2361" t="s">
        <v>4784</v>
      </c>
      <c r="AB2361" t="s">
        <v>753</v>
      </c>
      <c r="AC2361" t="s">
        <v>4784</v>
      </c>
      <c r="AD2361" t="e">
        <f>VLOOKUP(AB2361,#REF!,2,FALSE)</f>
        <v>#REF!</v>
      </c>
      <c r="AE2361" t="e">
        <f>RIGHT(#REF!,(FIND("Complex",#REF!,1)-6))</f>
        <v>#REF!</v>
      </c>
    </row>
    <row r="2362" spans="1:31" x14ac:dyDescent="0.25">
      <c r="A2362">
        <v>1259</v>
      </c>
      <c r="B2362" t="s">
        <v>35</v>
      </c>
      <c r="C2362">
        <v>23</v>
      </c>
      <c r="D2362">
        <v>112</v>
      </c>
      <c r="E2362">
        <v>1259</v>
      </c>
      <c r="F2362">
        <v>4410001</v>
      </c>
      <c r="G2362">
        <v>4498200</v>
      </c>
      <c r="H2362">
        <f t="shared" si="72"/>
        <v>100.00002267573696</v>
      </c>
      <c r="I2362">
        <f t="shared" si="73"/>
        <v>102</v>
      </c>
      <c r="J2362" t="s">
        <v>32</v>
      </c>
      <c r="K2362">
        <v>4</v>
      </c>
      <c r="L2362" t="e">
        <f t="array" ref="L2362">VLOOKUP(J2362:$J$3871&amp;K2362:$K$3871,CHOOSE({1,2},#REF!&amp;#REF!,#REF!),2,0)</f>
        <v>#N/A</v>
      </c>
      <c r="M2362">
        <v>0</v>
      </c>
      <c r="N2362">
        <v>1</v>
      </c>
      <c r="O2362" t="s">
        <v>23</v>
      </c>
      <c r="P2362">
        <v>1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1</v>
      </c>
      <c r="Y2362">
        <v>0</v>
      </c>
      <c r="Z2362">
        <v>0</v>
      </c>
      <c r="AA2362" t="s">
        <v>4844</v>
      </c>
      <c r="AB2362" t="s">
        <v>754</v>
      </c>
      <c r="AC2362" t="s">
        <v>4844</v>
      </c>
      <c r="AD2362" t="e">
        <f>VLOOKUP(AB2362,#REF!,2,FALSE)</f>
        <v>#REF!</v>
      </c>
      <c r="AE2362" t="e">
        <f>RIGHT(#REF!,(FIND("Complex",#REF!,1)-6))</f>
        <v>#REF!</v>
      </c>
    </row>
    <row r="2363" spans="1:31" x14ac:dyDescent="0.25">
      <c r="A2363">
        <v>3027</v>
      </c>
      <c r="B2363" t="s">
        <v>60</v>
      </c>
      <c r="C2363">
        <v>35</v>
      </c>
      <c r="D2363">
        <v>348</v>
      </c>
      <c r="E2363">
        <v>3027</v>
      </c>
      <c r="F2363">
        <v>8202601</v>
      </c>
      <c r="G2363">
        <v>8290800</v>
      </c>
      <c r="H2363">
        <f t="shared" si="72"/>
        <v>186.00002267573697</v>
      </c>
      <c r="I2363">
        <f t="shared" si="73"/>
        <v>188</v>
      </c>
      <c r="J2363" t="s">
        <v>32</v>
      </c>
      <c r="K2363">
        <v>4</v>
      </c>
      <c r="L2363" t="e">
        <f t="array" ref="L2363">VLOOKUP(J2363:$J$3871&amp;K2363:$K$3871,CHOOSE({1,2},#REF!&amp;#REF!,#REF!),2,0)</f>
        <v>#N/A</v>
      </c>
      <c r="M2363">
        <v>0</v>
      </c>
      <c r="N2363">
        <v>1</v>
      </c>
      <c r="O2363" t="s">
        <v>23</v>
      </c>
      <c r="P2363">
        <v>1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1</v>
      </c>
      <c r="Y2363">
        <v>0</v>
      </c>
      <c r="Z2363">
        <v>0</v>
      </c>
      <c r="AA2363" t="s">
        <v>4383</v>
      </c>
      <c r="AB2363" t="s">
        <v>1069</v>
      </c>
      <c r="AC2363" t="s">
        <v>4383</v>
      </c>
      <c r="AD2363" t="e">
        <f>VLOOKUP(AB2363,#REF!,2,FALSE)</f>
        <v>#REF!</v>
      </c>
      <c r="AE2363" t="e">
        <f>RIGHT(#REF!,(FIND("Complex",#REF!,1)-6))</f>
        <v>#REF!</v>
      </c>
    </row>
    <row r="2364" spans="1:31" x14ac:dyDescent="0.25">
      <c r="A2364">
        <v>2939</v>
      </c>
      <c r="B2364" t="s">
        <v>60</v>
      </c>
      <c r="C2364">
        <v>35</v>
      </c>
      <c r="D2364">
        <v>326</v>
      </c>
      <c r="E2364">
        <v>2939</v>
      </c>
      <c r="F2364">
        <v>8026201</v>
      </c>
      <c r="G2364">
        <v>8114400</v>
      </c>
      <c r="H2364">
        <f t="shared" si="72"/>
        <v>182.00002267573697</v>
      </c>
      <c r="I2364">
        <f t="shared" si="73"/>
        <v>184</v>
      </c>
      <c r="J2364" t="s">
        <v>32</v>
      </c>
      <c r="K2364">
        <v>4</v>
      </c>
      <c r="L2364" t="e">
        <f t="array" ref="L2364">VLOOKUP(J2364:$J$3871&amp;K2364:$K$3871,CHOOSE({1,2},#REF!&amp;#REF!,#REF!),2,0)</f>
        <v>#N/A</v>
      </c>
      <c r="M2364">
        <v>0</v>
      </c>
      <c r="N2364">
        <v>1</v>
      </c>
      <c r="O2364" t="s">
        <v>23</v>
      </c>
      <c r="P2364">
        <v>1</v>
      </c>
      <c r="Q2364">
        <v>0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1</v>
      </c>
      <c r="Y2364">
        <v>0</v>
      </c>
      <c r="Z2364">
        <v>0</v>
      </c>
      <c r="AA2364" t="s">
        <v>4393</v>
      </c>
      <c r="AB2364" t="s">
        <v>1070</v>
      </c>
      <c r="AC2364" t="s">
        <v>4393</v>
      </c>
      <c r="AD2364" t="e">
        <f>VLOOKUP(AB2364,#REF!,2,FALSE)</f>
        <v>#REF!</v>
      </c>
      <c r="AE2364" t="e">
        <f>RIGHT(#REF!,(FIND("Complex",#REF!,1)-6))</f>
        <v>#REF!</v>
      </c>
    </row>
    <row r="2365" spans="1:31" x14ac:dyDescent="0.25">
      <c r="A2365">
        <v>852</v>
      </c>
      <c r="B2365" t="s">
        <v>60</v>
      </c>
      <c r="C2365">
        <v>35</v>
      </c>
      <c r="D2365">
        <v>66</v>
      </c>
      <c r="E2365">
        <v>852</v>
      </c>
      <c r="F2365">
        <v>7497001</v>
      </c>
      <c r="G2365">
        <v>7585200</v>
      </c>
      <c r="H2365">
        <f t="shared" si="72"/>
        <v>170.00002267573697</v>
      </c>
      <c r="I2365">
        <f t="shared" si="73"/>
        <v>172</v>
      </c>
      <c r="J2365" t="s">
        <v>32</v>
      </c>
      <c r="K2365">
        <v>4</v>
      </c>
      <c r="L2365" t="e">
        <f t="array" ref="L2365">VLOOKUP(J2365:$J$3871&amp;K2365:$K$3871,CHOOSE({1,2},#REF!&amp;#REF!,#REF!),2,0)</f>
        <v>#N/A</v>
      </c>
      <c r="M2365">
        <v>0</v>
      </c>
      <c r="N2365">
        <v>1</v>
      </c>
      <c r="O2365" t="s">
        <v>23</v>
      </c>
      <c r="P2365">
        <v>1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1</v>
      </c>
      <c r="Y2365">
        <v>0</v>
      </c>
      <c r="Z2365">
        <v>0</v>
      </c>
      <c r="AA2365" t="s">
        <v>4438</v>
      </c>
      <c r="AB2365" t="s">
        <v>1071</v>
      </c>
      <c r="AC2365" t="s">
        <v>4438</v>
      </c>
      <c r="AD2365" t="e">
        <f>VLOOKUP(AB2365,#REF!,2,FALSE)</f>
        <v>#REF!</v>
      </c>
      <c r="AE2365" t="e">
        <f>RIGHT(#REF!,(FIND("Complex",#REF!,1)-5))</f>
        <v>#REF!</v>
      </c>
    </row>
    <row r="2366" spans="1:31" x14ac:dyDescent="0.25">
      <c r="A2366">
        <v>1406</v>
      </c>
      <c r="B2366" t="s">
        <v>60</v>
      </c>
      <c r="C2366">
        <v>35</v>
      </c>
      <c r="D2366">
        <v>131</v>
      </c>
      <c r="E2366">
        <v>1406</v>
      </c>
      <c r="F2366">
        <v>7320601</v>
      </c>
      <c r="G2366">
        <v>7408800</v>
      </c>
      <c r="H2366">
        <f t="shared" si="72"/>
        <v>166.00002267573697</v>
      </c>
      <c r="I2366">
        <f t="shared" si="73"/>
        <v>168</v>
      </c>
      <c r="J2366" t="s">
        <v>32</v>
      </c>
      <c r="K2366">
        <v>4</v>
      </c>
      <c r="L2366" t="e">
        <f t="array" ref="L2366">VLOOKUP(J2366:$J$3871&amp;K2366:$K$3871,CHOOSE({1,2},#REF!&amp;#REF!,#REF!),2,0)</f>
        <v>#N/A</v>
      </c>
      <c r="M2366">
        <v>0</v>
      </c>
      <c r="N2366">
        <v>1</v>
      </c>
      <c r="O2366" t="s">
        <v>23</v>
      </c>
      <c r="P2366">
        <v>1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1</v>
      </c>
      <c r="Y2366">
        <v>0</v>
      </c>
      <c r="Z2366">
        <v>0</v>
      </c>
      <c r="AA2366" t="s">
        <v>4458</v>
      </c>
      <c r="AB2366" t="s">
        <v>1072</v>
      </c>
      <c r="AC2366" t="s">
        <v>4458</v>
      </c>
      <c r="AD2366" t="e">
        <f>VLOOKUP(AB2366,#REF!,2,FALSE)</f>
        <v>#REF!</v>
      </c>
      <c r="AE2366" t="e">
        <f>RIGHT(#REF!,(FIND("Complex",#REF!,1)-6))</f>
        <v>#REF!</v>
      </c>
    </row>
    <row r="2367" spans="1:31" x14ac:dyDescent="0.25">
      <c r="A2367">
        <v>3096</v>
      </c>
      <c r="B2367" t="s">
        <v>60</v>
      </c>
      <c r="C2367">
        <v>35</v>
      </c>
      <c r="D2367">
        <v>360</v>
      </c>
      <c r="E2367">
        <v>3096</v>
      </c>
      <c r="F2367">
        <v>7232401</v>
      </c>
      <c r="G2367">
        <v>7320600</v>
      </c>
      <c r="H2367">
        <f t="shared" si="72"/>
        <v>164.00002267573697</v>
      </c>
      <c r="I2367">
        <f t="shared" si="73"/>
        <v>166</v>
      </c>
      <c r="J2367" t="s">
        <v>32</v>
      </c>
      <c r="K2367">
        <v>4</v>
      </c>
      <c r="L2367" t="e">
        <f t="array" ref="L2367">VLOOKUP(J2367:$J$3871&amp;K2367:$K$3871,CHOOSE({1,2},#REF!&amp;#REF!,#REF!),2,0)</f>
        <v>#N/A</v>
      </c>
      <c r="M2367">
        <v>0</v>
      </c>
      <c r="N2367">
        <v>1</v>
      </c>
      <c r="O2367" t="s">
        <v>23</v>
      </c>
      <c r="P2367">
        <v>1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1</v>
      </c>
      <c r="Y2367">
        <v>0</v>
      </c>
      <c r="Z2367">
        <v>0</v>
      </c>
      <c r="AA2367" t="s">
        <v>4465</v>
      </c>
      <c r="AB2367" t="s">
        <v>1073</v>
      </c>
      <c r="AC2367" t="s">
        <v>4465</v>
      </c>
      <c r="AD2367" t="e">
        <f>VLOOKUP(AB2367,#REF!,2,FALSE)</f>
        <v>#REF!</v>
      </c>
      <c r="AE2367" t="e">
        <f>RIGHT(#REF!,(FIND("Complex",#REF!,1)-6))</f>
        <v>#REF!</v>
      </c>
    </row>
    <row r="2368" spans="1:31" x14ac:dyDescent="0.25">
      <c r="A2368">
        <v>3003</v>
      </c>
      <c r="B2368" t="s">
        <v>60</v>
      </c>
      <c r="C2368">
        <v>35</v>
      </c>
      <c r="D2368">
        <v>341</v>
      </c>
      <c r="E2368">
        <v>3003</v>
      </c>
      <c r="F2368">
        <v>6791401</v>
      </c>
      <c r="G2368">
        <v>6879600</v>
      </c>
      <c r="H2368">
        <f t="shared" si="72"/>
        <v>154.00002267573697</v>
      </c>
      <c r="I2368">
        <f t="shared" si="73"/>
        <v>156</v>
      </c>
      <c r="J2368" t="s">
        <v>32</v>
      </c>
      <c r="K2368">
        <v>4</v>
      </c>
      <c r="L2368" t="e">
        <f t="array" ref="L2368">VLOOKUP(J2368:$J$3871&amp;K2368:$K$3871,CHOOSE({1,2},#REF!&amp;#REF!,#REF!),2,0)</f>
        <v>#N/A</v>
      </c>
      <c r="M2368">
        <v>0</v>
      </c>
      <c r="N2368">
        <v>1</v>
      </c>
      <c r="O2368" t="s">
        <v>23</v>
      </c>
      <c r="P2368">
        <v>0</v>
      </c>
      <c r="Q2368">
        <v>0</v>
      </c>
      <c r="R2368">
        <v>1</v>
      </c>
      <c r="S2368">
        <v>0</v>
      </c>
      <c r="T2368">
        <v>1</v>
      </c>
      <c r="U2368">
        <v>0</v>
      </c>
      <c r="V2368">
        <v>0</v>
      </c>
      <c r="W2368">
        <v>1</v>
      </c>
      <c r="X2368">
        <v>1</v>
      </c>
      <c r="Y2368">
        <v>0</v>
      </c>
      <c r="Z2368">
        <v>0</v>
      </c>
      <c r="AA2368" t="s">
        <v>4530</v>
      </c>
      <c r="AB2368" t="s">
        <v>1074</v>
      </c>
      <c r="AC2368" t="s">
        <v>4530</v>
      </c>
      <c r="AD2368" t="e">
        <f>VLOOKUP(AB2368,#REF!,2,FALSE)</f>
        <v>#REF!</v>
      </c>
      <c r="AE2368" t="e">
        <f>RIGHT(#REF!,(FIND("Complex",#REF!,1)-6))</f>
        <v>#REF!</v>
      </c>
    </row>
    <row r="2369" spans="1:31" x14ac:dyDescent="0.25">
      <c r="A2369">
        <v>2301</v>
      </c>
      <c r="B2369" t="s">
        <v>60</v>
      </c>
      <c r="C2369">
        <v>35</v>
      </c>
      <c r="D2369">
        <v>221</v>
      </c>
      <c r="E2369">
        <v>2301</v>
      </c>
      <c r="F2369">
        <v>6703201</v>
      </c>
      <c r="G2369">
        <v>6791400</v>
      </c>
      <c r="H2369">
        <f t="shared" si="72"/>
        <v>152.00002267573697</v>
      </c>
      <c r="I2369">
        <f t="shared" si="73"/>
        <v>154</v>
      </c>
      <c r="J2369" t="s">
        <v>32</v>
      </c>
      <c r="K2369">
        <v>4</v>
      </c>
      <c r="L2369" t="e">
        <f t="array" ref="L2369">VLOOKUP(J2369:$J$3871&amp;K2369:$K$3871,CHOOSE({1,2},#REF!&amp;#REF!,#REF!),2,0)</f>
        <v>#N/A</v>
      </c>
      <c r="M2369">
        <v>0</v>
      </c>
      <c r="N2369">
        <v>1</v>
      </c>
      <c r="O2369" t="s">
        <v>23</v>
      </c>
      <c r="P2369">
        <v>1</v>
      </c>
      <c r="Q2369">
        <v>0</v>
      </c>
      <c r="R2369">
        <v>1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1</v>
      </c>
      <c r="Y2369">
        <v>0</v>
      </c>
      <c r="Z2369">
        <v>0</v>
      </c>
      <c r="AA2369" t="s">
        <v>4539</v>
      </c>
      <c r="AB2369" t="s">
        <v>1075</v>
      </c>
      <c r="AC2369" t="s">
        <v>4539</v>
      </c>
      <c r="AD2369" t="e">
        <f>VLOOKUP(AB2369,#REF!,2,FALSE)</f>
        <v>#REF!</v>
      </c>
      <c r="AE2369" t="e">
        <f>RIGHT(#REF!,(FIND("Complex",#REF!,1)-6))</f>
        <v>#REF!</v>
      </c>
    </row>
    <row r="2370" spans="1:31" x14ac:dyDescent="0.25">
      <c r="A2370">
        <v>3117</v>
      </c>
      <c r="B2370" t="s">
        <v>60</v>
      </c>
      <c r="C2370">
        <v>35</v>
      </c>
      <c r="D2370">
        <v>367</v>
      </c>
      <c r="E2370">
        <v>3117</v>
      </c>
      <c r="F2370">
        <v>6615001</v>
      </c>
      <c r="G2370">
        <v>6703200</v>
      </c>
      <c r="H2370">
        <f t="shared" ref="H2370:H2433" si="74">F2370/44100</f>
        <v>150.00002267573697</v>
      </c>
      <c r="I2370">
        <f t="shared" ref="I2370:I2433" si="75">G2370/44100</f>
        <v>152</v>
      </c>
      <c r="J2370" t="s">
        <v>32</v>
      </c>
      <c r="K2370">
        <v>4</v>
      </c>
      <c r="L2370" t="e">
        <f t="array" ref="L2370">VLOOKUP(J2370:$J$3871&amp;K2370:$K$3871,CHOOSE({1,2},#REF!&amp;#REF!,#REF!),2,0)</f>
        <v>#N/A</v>
      </c>
      <c r="M2370">
        <v>0</v>
      </c>
      <c r="N2370">
        <v>1</v>
      </c>
      <c r="O2370" t="s">
        <v>23</v>
      </c>
      <c r="P2370">
        <v>0</v>
      </c>
      <c r="Q2370">
        <v>0</v>
      </c>
      <c r="R2370">
        <v>1</v>
      </c>
      <c r="S2370">
        <v>0</v>
      </c>
      <c r="T2370">
        <v>1</v>
      </c>
      <c r="U2370">
        <v>0</v>
      </c>
      <c r="V2370">
        <v>0</v>
      </c>
      <c r="W2370">
        <v>1</v>
      </c>
      <c r="X2370">
        <v>1</v>
      </c>
      <c r="Y2370">
        <v>0</v>
      </c>
      <c r="Z2370">
        <v>0</v>
      </c>
      <c r="AA2370" t="s">
        <v>4553</v>
      </c>
      <c r="AB2370" t="s">
        <v>1076</v>
      </c>
      <c r="AC2370" t="s">
        <v>4553</v>
      </c>
      <c r="AD2370" t="e">
        <f>VLOOKUP(AB2370,#REF!,2,FALSE)</f>
        <v>#REF!</v>
      </c>
      <c r="AE2370" t="e">
        <f>RIGHT(#REF!,(FIND("Complex",#REF!,1)-6))</f>
        <v>#REF!</v>
      </c>
    </row>
    <row r="2371" spans="1:31" x14ac:dyDescent="0.25">
      <c r="A2371">
        <v>3473</v>
      </c>
      <c r="B2371" t="s">
        <v>60</v>
      </c>
      <c r="C2371">
        <v>35</v>
      </c>
      <c r="D2371">
        <v>436</v>
      </c>
      <c r="E2371">
        <v>3473</v>
      </c>
      <c r="F2371">
        <v>6526801</v>
      </c>
      <c r="G2371">
        <v>6615000</v>
      </c>
      <c r="H2371">
        <f t="shared" si="74"/>
        <v>148.00002267573697</v>
      </c>
      <c r="I2371">
        <f t="shared" si="75"/>
        <v>150</v>
      </c>
      <c r="J2371" t="s">
        <v>32</v>
      </c>
      <c r="K2371">
        <v>4</v>
      </c>
      <c r="L2371" t="e">
        <f t="array" ref="L2371">VLOOKUP(J2371:$J$3871&amp;K2371:$K$3871,CHOOSE({1,2},#REF!&amp;#REF!,#REF!),2,0)</f>
        <v>#N/A</v>
      </c>
      <c r="M2371">
        <v>0</v>
      </c>
      <c r="N2371">
        <v>1</v>
      </c>
      <c r="O2371" t="s">
        <v>23</v>
      </c>
      <c r="P2371">
        <v>0</v>
      </c>
      <c r="Q2371">
        <v>0</v>
      </c>
      <c r="R2371">
        <v>1</v>
      </c>
      <c r="S2371">
        <v>0</v>
      </c>
      <c r="T2371">
        <v>1</v>
      </c>
      <c r="U2371">
        <v>0</v>
      </c>
      <c r="V2371">
        <v>0</v>
      </c>
      <c r="W2371">
        <v>1</v>
      </c>
      <c r="X2371">
        <v>1</v>
      </c>
      <c r="Y2371">
        <v>0</v>
      </c>
      <c r="Z2371">
        <v>0</v>
      </c>
      <c r="AA2371" t="s">
        <v>4561</v>
      </c>
      <c r="AB2371" t="s">
        <v>198</v>
      </c>
      <c r="AC2371" t="s">
        <v>4561</v>
      </c>
      <c r="AD2371" t="e">
        <f>VLOOKUP(AB2371,#REF!,2,FALSE)</f>
        <v>#REF!</v>
      </c>
      <c r="AE2371" t="e">
        <f>RIGHT(#REF!,(FIND("Complex",#REF!,1)-6))</f>
        <v>#REF!</v>
      </c>
    </row>
    <row r="2372" spans="1:31" x14ac:dyDescent="0.25">
      <c r="A2372">
        <v>3598</v>
      </c>
      <c r="B2372" t="s">
        <v>60</v>
      </c>
      <c r="C2372">
        <v>35</v>
      </c>
      <c r="D2372">
        <v>459</v>
      </c>
      <c r="E2372">
        <v>3598</v>
      </c>
      <c r="F2372">
        <v>6438601</v>
      </c>
      <c r="G2372">
        <v>6526800</v>
      </c>
      <c r="H2372">
        <f t="shared" si="74"/>
        <v>146.00002267573697</v>
      </c>
      <c r="I2372">
        <f t="shared" si="75"/>
        <v>148</v>
      </c>
      <c r="J2372" t="s">
        <v>32</v>
      </c>
      <c r="K2372">
        <v>4</v>
      </c>
      <c r="L2372" t="e">
        <f t="array" ref="L2372">VLOOKUP(J2372:$J$3871&amp;K2372:$K$3871,CHOOSE({1,2},#REF!&amp;#REF!,#REF!),2,0)</f>
        <v>#N/A</v>
      </c>
      <c r="M2372">
        <v>0</v>
      </c>
      <c r="N2372">
        <v>1</v>
      </c>
      <c r="O2372" t="s">
        <v>23</v>
      </c>
      <c r="P2372">
        <v>0</v>
      </c>
      <c r="Q2372">
        <v>0</v>
      </c>
      <c r="R2372">
        <v>1</v>
      </c>
      <c r="S2372">
        <v>0</v>
      </c>
      <c r="T2372">
        <v>1</v>
      </c>
      <c r="U2372">
        <v>0</v>
      </c>
      <c r="V2372">
        <v>0</v>
      </c>
      <c r="W2372">
        <v>1</v>
      </c>
      <c r="X2372">
        <v>1</v>
      </c>
      <c r="Y2372">
        <v>0</v>
      </c>
      <c r="Z2372">
        <v>0</v>
      </c>
      <c r="AA2372" t="s">
        <v>4570</v>
      </c>
      <c r="AB2372" t="s">
        <v>1077</v>
      </c>
      <c r="AC2372" t="s">
        <v>4570</v>
      </c>
      <c r="AD2372" t="e">
        <f>VLOOKUP(AB2372,#REF!,2,FALSE)</f>
        <v>#REF!</v>
      </c>
      <c r="AE2372" t="e">
        <f>RIGHT(#REF!,(FIND("Complex",#REF!,1)-6))</f>
        <v>#REF!</v>
      </c>
    </row>
    <row r="2373" spans="1:31" x14ac:dyDescent="0.25">
      <c r="A2373">
        <v>3577</v>
      </c>
      <c r="B2373" t="s">
        <v>88</v>
      </c>
      <c r="C2373">
        <v>39</v>
      </c>
      <c r="D2373">
        <v>455</v>
      </c>
      <c r="E2373">
        <v>3577</v>
      </c>
      <c r="F2373">
        <v>8820001</v>
      </c>
      <c r="G2373">
        <v>8908200</v>
      </c>
      <c r="H2373">
        <f t="shared" si="74"/>
        <v>200.00002267573697</v>
      </c>
      <c r="I2373">
        <f t="shared" si="75"/>
        <v>202</v>
      </c>
      <c r="J2373" t="s">
        <v>32</v>
      </c>
      <c r="K2373">
        <v>4</v>
      </c>
      <c r="L2373" t="e">
        <f t="array" ref="L2373">VLOOKUP(J2373:$J$3871&amp;K2373:$K$3871,CHOOSE({1,2},#REF!&amp;#REF!,#REF!),2,0)</f>
        <v>#N/A</v>
      </c>
      <c r="M2373">
        <v>0</v>
      </c>
      <c r="N2373">
        <v>1</v>
      </c>
      <c r="O2373" t="s">
        <v>23</v>
      </c>
      <c r="P2373">
        <v>0</v>
      </c>
      <c r="Q2373">
        <v>1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1</v>
      </c>
      <c r="Y2373">
        <v>0</v>
      </c>
      <c r="Z2373">
        <v>0</v>
      </c>
      <c r="AA2373" t="s">
        <v>4296</v>
      </c>
      <c r="AB2373" t="s">
        <v>1173</v>
      </c>
      <c r="AC2373" t="s">
        <v>4296</v>
      </c>
      <c r="AD2373" t="e">
        <f>VLOOKUP(AB2373,#REF!,2,FALSE)</f>
        <v>#REF!</v>
      </c>
      <c r="AE2373" t="e">
        <f>RIGHT(#REF!,(FIND("Complex",#REF!,1)-6))</f>
        <v>#REF!</v>
      </c>
    </row>
    <row r="2374" spans="1:31" x14ac:dyDescent="0.25">
      <c r="A2374">
        <v>2812</v>
      </c>
      <c r="B2374" t="s">
        <v>88</v>
      </c>
      <c r="C2374">
        <v>39</v>
      </c>
      <c r="D2374">
        <v>299</v>
      </c>
      <c r="E2374">
        <v>2812</v>
      </c>
      <c r="F2374">
        <v>8555401</v>
      </c>
      <c r="G2374">
        <v>8643600</v>
      </c>
      <c r="H2374">
        <f t="shared" si="74"/>
        <v>194.00002267573697</v>
      </c>
      <c r="I2374">
        <f t="shared" si="75"/>
        <v>196</v>
      </c>
      <c r="J2374" t="s">
        <v>32</v>
      </c>
      <c r="K2374">
        <v>4</v>
      </c>
      <c r="L2374" t="e">
        <f t="array" ref="L2374">VLOOKUP(J2374:$J$3871&amp;K2374:$K$3871,CHOOSE({1,2},#REF!&amp;#REF!,#REF!),2,0)</f>
        <v>#N/A</v>
      </c>
      <c r="M2374">
        <v>0</v>
      </c>
      <c r="N2374">
        <v>1</v>
      </c>
      <c r="O2374" t="s">
        <v>23</v>
      </c>
      <c r="P2374">
        <v>0</v>
      </c>
      <c r="Q2374">
        <v>1</v>
      </c>
      <c r="R2374">
        <v>1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1</v>
      </c>
      <c r="Y2374">
        <v>0</v>
      </c>
      <c r="Z2374">
        <v>0</v>
      </c>
      <c r="AA2374" t="s">
        <v>4351</v>
      </c>
      <c r="AB2374" t="s">
        <v>1174</v>
      </c>
      <c r="AC2374" t="s">
        <v>4351</v>
      </c>
      <c r="AD2374" t="e">
        <f>VLOOKUP(AB2374,#REF!,2,FALSE)</f>
        <v>#REF!</v>
      </c>
      <c r="AE2374" t="e">
        <f>RIGHT(#REF!,(FIND("Complex",#REF!,1)-6))</f>
        <v>#REF!</v>
      </c>
    </row>
    <row r="2375" spans="1:31" x14ac:dyDescent="0.25">
      <c r="A2375">
        <v>2783</v>
      </c>
      <c r="B2375" t="s">
        <v>40</v>
      </c>
      <c r="C2375">
        <v>40</v>
      </c>
      <c r="D2375">
        <v>293</v>
      </c>
      <c r="E2375">
        <v>2783</v>
      </c>
      <c r="F2375">
        <v>4233601</v>
      </c>
      <c r="G2375">
        <v>4321800</v>
      </c>
      <c r="H2375">
        <f t="shared" si="74"/>
        <v>96.000022675736957</v>
      </c>
      <c r="I2375">
        <f t="shared" si="75"/>
        <v>98</v>
      </c>
      <c r="J2375" t="s">
        <v>32</v>
      </c>
      <c r="K2375">
        <v>4</v>
      </c>
      <c r="L2375" t="e">
        <f t="array" ref="L2375">VLOOKUP(J2375:$J$3871&amp;K2375:$K$3871,CHOOSE({1,2},#REF!&amp;#REF!,#REF!),2,0)</f>
        <v>#N/A</v>
      </c>
      <c r="M2375">
        <v>0</v>
      </c>
      <c r="N2375">
        <v>1</v>
      </c>
      <c r="O2375" t="s">
        <v>23</v>
      </c>
      <c r="P2375">
        <v>1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1</v>
      </c>
      <c r="Z2375">
        <v>0</v>
      </c>
      <c r="AA2375" t="s">
        <v>3519</v>
      </c>
      <c r="AB2375" t="s">
        <v>1199</v>
      </c>
      <c r="AC2375" t="s">
        <v>3519</v>
      </c>
      <c r="AD2375" t="e">
        <f>VLOOKUP(AB2375,#REF!,2,FALSE)</f>
        <v>#REF!</v>
      </c>
      <c r="AE2375" t="e">
        <f>RIGHT(#REF!,(FIND("Complex",#REF!,1)-7))</f>
        <v>#REF!</v>
      </c>
    </row>
    <row r="2376" spans="1:31" x14ac:dyDescent="0.25">
      <c r="A2376">
        <v>3677</v>
      </c>
      <c r="B2376" t="s">
        <v>40</v>
      </c>
      <c r="C2376">
        <v>40</v>
      </c>
      <c r="D2376">
        <v>469</v>
      </c>
      <c r="E2376">
        <v>3677</v>
      </c>
      <c r="F2376">
        <v>3969001</v>
      </c>
      <c r="G2376">
        <v>4057200</v>
      </c>
      <c r="H2376">
        <f t="shared" si="74"/>
        <v>90.000022675736957</v>
      </c>
      <c r="I2376">
        <f t="shared" si="75"/>
        <v>92</v>
      </c>
      <c r="J2376" t="s">
        <v>32</v>
      </c>
      <c r="K2376">
        <v>4</v>
      </c>
      <c r="L2376" t="e">
        <f t="array" ref="L2376">VLOOKUP(J2376:$J$3871&amp;K2376:$K$3871,CHOOSE({1,2},#REF!&amp;#REF!,#REF!),2,0)</f>
        <v>#N/A</v>
      </c>
      <c r="M2376">
        <v>0</v>
      </c>
      <c r="N2376">
        <v>1</v>
      </c>
      <c r="O2376" t="s">
        <v>23</v>
      </c>
      <c r="P2376">
        <v>1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1</v>
      </c>
      <c r="Y2376">
        <v>1</v>
      </c>
      <c r="Z2376">
        <v>0</v>
      </c>
      <c r="AA2376" t="s">
        <v>3558</v>
      </c>
      <c r="AB2376" t="s">
        <v>1200</v>
      </c>
      <c r="AC2376" t="s">
        <v>3558</v>
      </c>
      <c r="AD2376" t="e">
        <f>VLOOKUP(AB2376,#REF!,2,FALSE)</f>
        <v>#REF!</v>
      </c>
      <c r="AE2376" t="e">
        <f>RIGHT(#REF!,(FIND("Complex",#REF!,1)-7))</f>
        <v>#REF!</v>
      </c>
    </row>
    <row r="2377" spans="1:31" x14ac:dyDescent="0.25">
      <c r="A2377">
        <v>2120</v>
      </c>
      <c r="B2377" t="s">
        <v>40</v>
      </c>
      <c r="C2377">
        <v>40</v>
      </c>
      <c r="D2377">
        <v>201</v>
      </c>
      <c r="E2377">
        <v>2120</v>
      </c>
      <c r="F2377">
        <v>3880801</v>
      </c>
      <c r="G2377">
        <v>3969000</v>
      </c>
      <c r="H2377">
        <f t="shared" si="74"/>
        <v>88.000022675736957</v>
      </c>
      <c r="I2377">
        <f t="shared" si="75"/>
        <v>90</v>
      </c>
      <c r="J2377" t="s">
        <v>32</v>
      </c>
      <c r="K2377">
        <v>4</v>
      </c>
      <c r="L2377" t="e">
        <f t="array" ref="L2377">VLOOKUP(J2377:$J$3871&amp;K2377:$K$3871,CHOOSE({1,2},#REF!&amp;#REF!,#REF!),2,0)</f>
        <v>#N/A</v>
      </c>
      <c r="M2377">
        <v>0</v>
      </c>
      <c r="N2377">
        <v>1</v>
      </c>
      <c r="O2377" t="s">
        <v>23</v>
      </c>
      <c r="P2377">
        <v>1</v>
      </c>
      <c r="Q2377">
        <v>0</v>
      </c>
      <c r="R2377">
        <v>1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1</v>
      </c>
      <c r="Y2377">
        <v>1</v>
      </c>
      <c r="Z2377">
        <v>0</v>
      </c>
      <c r="AA2377" t="s">
        <v>3576</v>
      </c>
      <c r="AB2377" t="s">
        <v>1201</v>
      </c>
      <c r="AC2377" t="s">
        <v>3576</v>
      </c>
      <c r="AD2377" t="e">
        <f>VLOOKUP(AB2377,#REF!,2,FALSE)</f>
        <v>#REF!</v>
      </c>
      <c r="AE2377" t="e">
        <f>RIGHT(#REF!,(FIND("Complex",#REF!,1)-7))</f>
        <v>#REF!</v>
      </c>
    </row>
    <row r="2378" spans="1:31" x14ac:dyDescent="0.25">
      <c r="A2378">
        <v>3130</v>
      </c>
      <c r="B2378" t="s">
        <v>40</v>
      </c>
      <c r="C2378">
        <v>40</v>
      </c>
      <c r="D2378">
        <v>373</v>
      </c>
      <c r="E2378">
        <v>3130</v>
      </c>
      <c r="F2378">
        <v>3792601</v>
      </c>
      <c r="G2378">
        <v>3880800</v>
      </c>
      <c r="H2378">
        <f t="shared" si="74"/>
        <v>86.000022675736957</v>
      </c>
      <c r="I2378">
        <f t="shared" si="75"/>
        <v>88</v>
      </c>
      <c r="J2378" t="s">
        <v>32</v>
      </c>
      <c r="K2378">
        <v>4</v>
      </c>
      <c r="L2378" t="e">
        <f t="array" ref="L2378">VLOOKUP(J2378:$J$3871&amp;K2378:$K$3871,CHOOSE({1,2},#REF!&amp;#REF!,#REF!),2,0)</f>
        <v>#N/A</v>
      </c>
      <c r="M2378">
        <v>0</v>
      </c>
      <c r="N2378">
        <v>1</v>
      </c>
      <c r="O2378" t="s">
        <v>23</v>
      </c>
      <c r="P2378">
        <v>1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</v>
      </c>
      <c r="Y2378">
        <v>1</v>
      </c>
      <c r="Z2378">
        <v>0</v>
      </c>
      <c r="AA2378" t="s">
        <v>3585</v>
      </c>
      <c r="AB2378" t="s">
        <v>1202</v>
      </c>
      <c r="AC2378" t="s">
        <v>3585</v>
      </c>
      <c r="AD2378" t="e">
        <f>VLOOKUP(AB2378,#REF!,2,FALSE)</f>
        <v>#REF!</v>
      </c>
      <c r="AE2378" t="e">
        <f>RIGHT(#REF!,(FIND("Complex",#REF!,1)-7))</f>
        <v>#REF!</v>
      </c>
    </row>
    <row r="2379" spans="1:31" x14ac:dyDescent="0.25">
      <c r="A2379">
        <v>3001</v>
      </c>
      <c r="B2379" t="s">
        <v>40</v>
      </c>
      <c r="C2379">
        <v>40</v>
      </c>
      <c r="D2379">
        <v>339</v>
      </c>
      <c r="E2379">
        <v>3001</v>
      </c>
      <c r="F2379">
        <v>3087001</v>
      </c>
      <c r="G2379">
        <v>3175200</v>
      </c>
      <c r="H2379">
        <f t="shared" si="74"/>
        <v>70.000022675736957</v>
      </c>
      <c r="I2379">
        <f t="shared" si="75"/>
        <v>72</v>
      </c>
      <c r="J2379" t="s">
        <v>32</v>
      </c>
      <c r="K2379">
        <v>4</v>
      </c>
      <c r="L2379" t="e">
        <f t="array" ref="L2379">VLOOKUP(J2379:$J$3871&amp;K2379:$K$3871,CHOOSE({1,2},#REF!&amp;#REF!,#REF!),2,0)</f>
        <v>#N/A</v>
      </c>
      <c r="M2379">
        <v>0</v>
      </c>
      <c r="N2379">
        <v>1</v>
      </c>
      <c r="O2379" t="s">
        <v>23</v>
      </c>
      <c r="P2379">
        <v>1</v>
      </c>
      <c r="Q2379">
        <v>0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1</v>
      </c>
      <c r="Z2379">
        <v>0</v>
      </c>
      <c r="AA2379" t="s">
        <v>3708</v>
      </c>
      <c r="AB2379" t="s">
        <v>1203</v>
      </c>
      <c r="AC2379" t="s">
        <v>3708</v>
      </c>
      <c r="AD2379" t="e">
        <f>VLOOKUP(AB2379,#REF!,2,FALSE)</f>
        <v>#REF!</v>
      </c>
      <c r="AE2379" t="e">
        <f>RIGHT(#REF!,(FIND("Complex",#REF!,1)-7))</f>
        <v>#REF!</v>
      </c>
    </row>
    <row r="2380" spans="1:31" x14ac:dyDescent="0.25">
      <c r="A2380">
        <v>3099</v>
      </c>
      <c r="B2380" t="s">
        <v>40</v>
      </c>
      <c r="C2380">
        <v>40</v>
      </c>
      <c r="D2380">
        <v>361</v>
      </c>
      <c r="E2380">
        <v>3099</v>
      </c>
      <c r="F2380">
        <v>5821201</v>
      </c>
      <c r="G2380">
        <v>5909400</v>
      </c>
      <c r="H2380">
        <f t="shared" si="74"/>
        <v>132.00002267573697</v>
      </c>
      <c r="I2380">
        <f t="shared" si="75"/>
        <v>134</v>
      </c>
      <c r="J2380" t="s">
        <v>32</v>
      </c>
      <c r="K2380">
        <v>4</v>
      </c>
      <c r="L2380" t="e">
        <f t="array" ref="L2380">VLOOKUP(J2380:$J$3871&amp;K2380:$K$3871,CHOOSE({1,2},#REF!&amp;#REF!,#REF!),2,0)</f>
        <v>#N/A</v>
      </c>
      <c r="M2380">
        <v>0</v>
      </c>
      <c r="N2380">
        <v>1</v>
      </c>
      <c r="O2380" t="s">
        <v>23</v>
      </c>
      <c r="P2380">
        <v>1</v>
      </c>
      <c r="Q2380">
        <v>0</v>
      </c>
      <c r="R2380">
        <v>1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1</v>
      </c>
      <c r="Y2380">
        <v>1</v>
      </c>
      <c r="Z2380">
        <v>0</v>
      </c>
      <c r="AA2380" t="s">
        <v>4665</v>
      </c>
      <c r="AB2380" t="s">
        <v>1204</v>
      </c>
      <c r="AC2380" t="s">
        <v>4665</v>
      </c>
      <c r="AD2380" t="e">
        <f>VLOOKUP(AB2380,#REF!,2,FALSE)</f>
        <v>#REF!</v>
      </c>
      <c r="AE2380" t="e">
        <f>RIGHT(#REF!,(FIND("Complex",#REF!,1)-6))</f>
        <v>#REF!</v>
      </c>
    </row>
    <row r="2381" spans="1:31" x14ac:dyDescent="0.25">
      <c r="A2381">
        <v>3640</v>
      </c>
      <c r="B2381" t="s">
        <v>40</v>
      </c>
      <c r="C2381">
        <v>40</v>
      </c>
      <c r="D2381">
        <v>464</v>
      </c>
      <c r="E2381">
        <v>3640</v>
      </c>
      <c r="F2381">
        <v>5733001</v>
      </c>
      <c r="G2381">
        <v>5821200</v>
      </c>
      <c r="H2381">
        <f t="shared" si="74"/>
        <v>130.00002267573697</v>
      </c>
      <c r="I2381">
        <f t="shared" si="75"/>
        <v>132</v>
      </c>
      <c r="J2381" t="s">
        <v>32</v>
      </c>
      <c r="K2381">
        <v>4</v>
      </c>
      <c r="L2381" t="e">
        <f t="array" ref="L2381">VLOOKUP(J2381:$J$3871&amp;K2381:$K$3871,CHOOSE({1,2},#REF!&amp;#REF!,#REF!),2,0)</f>
        <v>#N/A</v>
      </c>
      <c r="M2381">
        <v>0</v>
      </c>
      <c r="N2381">
        <v>1</v>
      </c>
      <c r="O2381" t="s">
        <v>23</v>
      </c>
      <c r="P2381">
        <v>1</v>
      </c>
      <c r="Q2381">
        <v>0</v>
      </c>
      <c r="R2381">
        <v>1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1</v>
      </c>
      <c r="Y2381">
        <v>1</v>
      </c>
      <c r="Z2381">
        <v>0</v>
      </c>
      <c r="AA2381" t="s">
        <v>4673</v>
      </c>
      <c r="AB2381" t="s">
        <v>1205</v>
      </c>
      <c r="AC2381" t="s">
        <v>4673</v>
      </c>
      <c r="AD2381" t="e">
        <f>VLOOKUP(AB2381,#REF!,2,FALSE)</f>
        <v>#REF!</v>
      </c>
      <c r="AE2381" t="e">
        <f>RIGHT(#REF!,(FIND("Complex",#REF!,1)-6))</f>
        <v>#REF!</v>
      </c>
    </row>
    <row r="2382" spans="1:31" x14ac:dyDescent="0.25">
      <c r="A2382">
        <v>3611</v>
      </c>
      <c r="B2382" t="s">
        <v>40</v>
      </c>
      <c r="C2382">
        <v>40</v>
      </c>
      <c r="D2382">
        <v>460</v>
      </c>
      <c r="E2382">
        <v>3611</v>
      </c>
      <c r="F2382">
        <v>5380201</v>
      </c>
      <c r="G2382">
        <v>5468400</v>
      </c>
      <c r="H2382">
        <f t="shared" si="74"/>
        <v>122.00002267573696</v>
      </c>
      <c r="I2382">
        <f t="shared" si="75"/>
        <v>124</v>
      </c>
      <c r="J2382" t="s">
        <v>32</v>
      </c>
      <c r="K2382">
        <v>4</v>
      </c>
      <c r="L2382" t="e">
        <f t="array" ref="L2382">VLOOKUP(J2382:$J$3871&amp;K2382:$K$3871,CHOOSE({1,2},#REF!&amp;#REF!,#REF!),2,0)</f>
        <v>#N/A</v>
      </c>
      <c r="M2382">
        <v>0</v>
      </c>
      <c r="N2382">
        <v>1</v>
      </c>
      <c r="O2382" t="s">
        <v>23</v>
      </c>
      <c r="P2382">
        <v>1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1</v>
      </c>
      <c r="Y2382">
        <v>1</v>
      </c>
      <c r="Z2382">
        <v>0</v>
      </c>
      <c r="AA2382" t="s">
        <v>4705</v>
      </c>
      <c r="AB2382" t="s">
        <v>1206</v>
      </c>
      <c r="AC2382" t="s">
        <v>4705</v>
      </c>
      <c r="AD2382" t="e">
        <f>VLOOKUP(AB2382,#REF!,2,FALSE)</f>
        <v>#REF!</v>
      </c>
      <c r="AE2382" t="e">
        <f>RIGHT(#REF!,(FIND("Complex",#REF!,1)-6))</f>
        <v>#REF!</v>
      </c>
    </row>
    <row r="2383" spans="1:31" x14ac:dyDescent="0.25">
      <c r="A2383">
        <v>3578</v>
      </c>
      <c r="B2383" t="s">
        <v>40</v>
      </c>
      <c r="C2383">
        <v>40</v>
      </c>
      <c r="D2383">
        <v>456</v>
      </c>
      <c r="E2383">
        <v>3578</v>
      </c>
      <c r="F2383">
        <v>5203801</v>
      </c>
      <c r="G2383">
        <v>5292000</v>
      </c>
      <c r="H2383">
        <f t="shared" si="74"/>
        <v>118.00002267573696</v>
      </c>
      <c r="I2383">
        <f t="shared" si="75"/>
        <v>120</v>
      </c>
      <c r="J2383" t="s">
        <v>32</v>
      </c>
      <c r="K2383">
        <v>4</v>
      </c>
      <c r="L2383" t="e">
        <f t="array" ref="L2383">VLOOKUP(J2383:$J$3871&amp;K2383:$K$3871,CHOOSE({1,2},#REF!&amp;#REF!,#REF!),2,0)</f>
        <v>#N/A</v>
      </c>
      <c r="M2383">
        <v>0</v>
      </c>
      <c r="N2383">
        <v>1</v>
      </c>
      <c r="O2383" t="s">
        <v>23</v>
      </c>
      <c r="P2383">
        <v>1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1</v>
      </c>
      <c r="Y2383">
        <v>1</v>
      </c>
      <c r="Z2383">
        <v>0</v>
      </c>
      <c r="AA2383" t="s">
        <v>4746</v>
      </c>
      <c r="AB2383" t="s">
        <v>1207</v>
      </c>
      <c r="AC2383" t="s">
        <v>4746</v>
      </c>
      <c r="AD2383" t="e">
        <f>VLOOKUP(AB2383,#REF!,2,FALSE)</f>
        <v>#REF!</v>
      </c>
      <c r="AE2383" t="e">
        <f>RIGHT(#REF!,(FIND("Complex",#REF!,1)-6))</f>
        <v>#REF!</v>
      </c>
    </row>
    <row r="2384" spans="1:31" x14ac:dyDescent="0.25">
      <c r="A2384">
        <v>3424</v>
      </c>
      <c r="B2384" t="s">
        <v>40</v>
      </c>
      <c r="C2384">
        <v>40</v>
      </c>
      <c r="D2384">
        <v>429</v>
      </c>
      <c r="E2384">
        <v>3424</v>
      </c>
      <c r="F2384">
        <v>4851001</v>
      </c>
      <c r="G2384">
        <v>4939200</v>
      </c>
      <c r="H2384">
        <f t="shared" si="74"/>
        <v>110.00002267573696</v>
      </c>
      <c r="I2384">
        <f t="shared" si="75"/>
        <v>112</v>
      </c>
      <c r="J2384" t="s">
        <v>32</v>
      </c>
      <c r="K2384">
        <v>4</v>
      </c>
      <c r="L2384" t="e">
        <f t="array" ref="L2384">VLOOKUP(J2384:$J$3871&amp;K2384:$K$3871,CHOOSE({1,2},#REF!&amp;#REF!,#REF!),2,0)</f>
        <v>#N/A</v>
      </c>
      <c r="M2384">
        <v>0</v>
      </c>
      <c r="N2384">
        <v>1</v>
      </c>
      <c r="O2384" t="s">
        <v>23</v>
      </c>
      <c r="P2384">
        <v>1</v>
      </c>
      <c r="Q2384">
        <v>0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</v>
      </c>
      <c r="Y2384">
        <v>1</v>
      </c>
      <c r="Z2384">
        <v>0</v>
      </c>
      <c r="AA2384" t="s">
        <v>4780</v>
      </c>
      <c r="AB2384" t="s">
        <v>1208</v>
      </c>
      <c r="AC2384" t="s">
        <v>4780</v>
      </c>
      <c r="AD2384" t="e">
        <f>VLOOKUP(AB2384,#REF!,2,FALSE)</f>
        <v>#REF!</v>
      </c>
      <c r="AE2384" t="e">
        <f>RIGHT(#REF!,(FIND("Complex",#REF!,1)-6))</f>
        <v>#REF!</v>
      </c>
    </row>
    <row r="2385" spans="1:31" x14ac:dyDescent="0.25">
      <c r="A2385">
        <v>3765</v>
      </c>
      <c r="B2385" t="s">
        <v>40</v>
      </c>
      <c r="C2385">
        <v>40</v>
      </c>
      <c r="D2385">
        <v>477</v>
      </c>
      <c r="E2385">
        <v>3765</v>
      </c>
      <c r="F2385">
        <v>4762801</v>
      </c>
      <c r="G2385">
        <v>4851000</v>
      </c>
      <c r="H2385">
        <f t="shared" si="74"/>
        <v>108.00002267573696</v>
      </c>
      <c r="I2385">
        <f t="shared" si="75"/>
        <v>110</v>
      </c>
      <c r="J2385" t="s">
        <v>32</v>
      </c>
      <c r="K2385">
        <v>4</v>
      </c>
      <c r="L2385" t="e">
        <f t="array" ref="L2385">VLOOKUP(J2385:$J$3871&amp;K2385:$K$3871,CHOOSE({1,2},#REF!&amp;#REF!,#REF!),2,0)</f>
        <v>#N/A</v>
      </c>
      <c r="M2385">
        <v>0</v>
      </c>
      <c r="N2385">
        <v>1</v>
      </c>
      <c r="O2385" t="s">
        <v>23</v>
      </c>
      <c r="P2385">
        <v>1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1</v>
      </c>
      <c r="Y2385">
        <v>1</v>
      </c>
      <c r="Z2385">
        <v>0</v>
      </c>
      <c r="AA2385" t="s">
        <v>4795</v>
      </c>
      <c r="AB2385" t="s">
        <v>1209</v>
      </c>
      <c r="AC2385" t="s">
        <v>4795</v>
      </c>
      <c r="AD2385" t="e">
        <f>VLOOKUP(AB2385,#REF!,2,FALSE)</f>
        <v>#REF!</v>
      </c>
      <c r="AE2385" t="e">
        <f>RIGHT(#REF!,(FIND("Complex",#REF!,1)-6))</f>
        <v>#REF!</v>
      </c>
    </row>
    <row r="2386" spans="1:31" x14ac:dyDescent="0.25">
      <c r="A2386">
        <v>3663</v>
      </c>
      <c r="B2386" t="s">
        <v>40</v>
      </c>
      <c r="C2386">
        <v>40</v>
      </c>
      <c r="D2386">
        <v>467</v>
      </c>
      <c r="E2386">
        <v>3663</v>
      </c>
      <c r="F2386">
        <v>4498201</v>
      </c>
      <c r="G2386">
        <v>4586400</v>
      </c>
      <c r="H2386">
        <f t="shared" si="74"/>
        <v>102.00002267573696</v>
      </c>
      <c r="I2386">
        <f t="shared" si="75"/>
        <v>104</v>
      </c>
      <c r="J2386" t="s">
        <v>32</v>
      </c>
      <c r="K2386">
        <v>4</v>
      </c>
      <c r="L2386" t="e">
        <f t="array" ref="L2386">VLOOKUP(J2386:$J$3871&amp;K2386:$K$3871,CHOOSE({1,2},#REF!&amp;#REF!,#REF!),2,0)</f>
        <v>#N/A</v>
      </c>
      <c r="M2386">
        <v>0</v>
      </c>
      <c r="N2386">
        <v>1</v>
      </c>
      <c r="O2386" t="s">
        <v>23</v>
      </c>
      <c r="P2386">
        <v>1</v>
      </c>
      <c r="Q2386">
        <v>0</v>
      </c>
      <c r="R2386">
        <v>1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1</v>
      </c>
      <c r="Y2386">
        <v>1</v>
      </c>
      <c r="Z2386">
        <v>0</v>
      </c>
      <c r="AA2386" t="s">
        <v>4829</v>
      </c>
      <c r="AB2386" t="s">
        <v>1210</v>
      </c>
      <c r="AC2386" t="s">
        <v>4829</v>
      </c>
      <c r="AD2386" t="e">
        <f>VLOOKUP(AB2386,#REF!,2,FALSE)</f>
        <v>#REF!</v>
      </c>
      <c r="AE2386" t="e">
        <f>RIGHT(#REF!,(FIND("Complex",#REF!,1)-6))</f>
        <v>#REF!</v>
      </c>
    </row>
    <row r="2387" spans="1:31" x14ac:dyDescent="0.25">
      <c r="A2387">
        <v>3787</v>
      </c>
      <c r="B2387" t="s">
        <v>40</v>
      </c>
      <c r="C2387">
        <v>40</v>
      </c>
      <c r="D2387">
        <v>481</v>
      </c>
      <c r="E2387">
        <v>3787</v>
      </c>
      <c r="F2387">
        <v>4410001</v>
      </c>
      <c r="G2387">
        <v>4498200</v>
      </c>
      <c r="H2387">
        <f t="shared" si="74"/>
        <v>100.00002267573696</v>
      </c>
      <c r="I2387">
        <f t="shared" si="75"/>
        <v>102</v>
      </c>
      <c r="J2387" t="s">
        <v>32</v>
      </c>
      <c r="K2387">
        <v>4</v>
      </c>
      <c r="L2387" t="e">
        <f t="array" ref="L2387">VLOOKUP(J2387:$J$3871&amp;K2387:$K$3871,CHOOSE({1,2},#REF!&amp;#REF!,#REF!),2,0)</f>
        <v>#N/A</v>
      </c>
      <c r="M2387">
        <v>0</v>
      </c>
      <c r="N2387">
        <v>1</v>
      </c>
      <c r="O2387" t="s">
        <v>23</v>
      </c>
      <c r="P2387">
        <v>1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1</v>
      </c>
      <c r="Y2387">
        <v>1</v>
      </c>
      <c r="Z2387">
        <v>0</v>
      </c>
      <c r="AA2387" t="s">
        <v>4842</v>
      </c>
      <c r="AB2387" t="s">
        <v>206</v>
      </c>
      <c r="AC2387" t="s">
        <v>4842</v>
      </c>
      <c r="AD2387" t="e">
        <f>VLOOKUP(AB2387,#REF!,2,FALSE)</f>
        <v>#REF!</v>
      </c>
      <c r="AE2387" t="e">
        <f>RIGHT(#REF!,(FIND("Complex",#REF!,1)-6))</f>
        <v>#REF!</v>
      </c>
    </row>
    <row r="2388" spans="1:31" x14ac:dyDescent="0.25">
      <c r="A2388">
        <v>2813</v>
      </c>
      <c r="B2388" t="s">
        <v>30</v>
      </c>
      <c r="C2388">
        <v>57</v>
      </c>
      <c r="D2388">
        <v>300</v>
      </c>
      <c r="E2388">
        <v>2813</v>
      </c>
      <c r="F2388">
        <v>4321801</v>
      </c>
      <c r="G2388">
        <v>4410000</v>
      </c>
      <c r="H2388">
        <f t="shared" si="74"/>
        <v>98.000022675736957</v>
      </c>
      <c r="I2388">
        <f t="shared" si="75"/>
        <v>100</v>
      </c>
      <c r="J2388" t="s">
        <v>32</v>
      </c>
      <c r="K2388">
        <v>4</v>
      </c>
      <c r="L2388" t="e">
        <f t="array" ref="L2388">VLOOKUP(J2388:$J$3871&amp;K2388:$K$3871,CHOOSE({1,2},#REF!&amp;#REF!,#REF!),2,0)</f>
        <v>#N/A</v>
      </c>
      <c r="M2388">
        <v>0</v>
      </c>
      <c r="N2388">
        <v>1</v>
      </c>
      <c r="O2388" t="s">
        <v>23</v>
      </c>
      <c r="P2388">
        <v>0</v>
      </c>
      <c r="Q2388">
        <v>1</v>
      </c>
      <c r="R2388">
        <v>1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1</v>
      </c>
      <c r="Y2388">
        <v>0</v>
      </c>
      <c r="Z2388">
        <v>0</v>
      </c>
      <c r="AA2388" t="s">
        <v>3504</v>
      </c>
      <c r="AB2388" t="s">
        <v>1403</v>
      </c>
      <c r="AC2388" t="s">
        <v>3504</v>
      </c>
      <c r="AD2388" t="e">
        <f>VLOOKUP(AB2388,#REF!,2,FALSE)</f>
        <v>#REF!</v>
      </c>
      <c r="AE2388" t="e">
        <f>RIGHT(#REF!,(FIND("Complex",#REF!,1)-7))</f>
        <v>#REF!</v>
      </c>
    </row>
    <row r="2389" spans="1:31" x14ac:dyDescent="0.25">
      <c r="A2389">
        <v>3788</v>
      </c>
      <c r="B2389" t="s">
        <v>30</v>
      </c>
      <c r="C2389">
        <v>57</v>
      </c>
      <c r="D2389">
        <v>482</v>
      </c>
      <c r="E2389">
        <v>3788</v>
      </c>
      <c r="F2389">
        <v>4145401</v>
      </c>
      <c r="G2389">
        <v>4233600</v>
      </c>
      <c r="H2389">
        <f t="shared" si="74"/>
        <v>94.000022675736957</v>
      </c>
      <c r="I2389">
        <f t="shared" si="75"/>
        <v>96</v>
      </c>
      <c r="J2389" t="s">
        <v>32</v>
      </c>
      <c r="K2389">
        <v>4</v>
      </c>
      <c r="L2389" t="e">
        <f t="array" ref="L2389">VLOOKUP(J2389:$J$3871&amp;K2389:$K$3871,CHOOSE({1,2},#REF!&amp;#REF!,#REF!),2,0)</f>
        <v>#N/A</v>
      </c>
      <c r="M2389">
        <v>0</v>
      </c>
      <c r="N2389">
        <v>1</v>
      </c>
      <c r="O2389" t="s">
        <v>23</v>
      </c>
      <c r="P2389">
        <v>0</v>
      </c>
      <c r="Q2389">
        <v>1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1</v>
      </c>
      <c r="Y2389">
        <v>0</v>
      </c>
      <c r="Z2389">
        <v>0</v>
      </c>
      <c r="AA2389" t="s">
        <v>3530</v>
      </c>
      <c r="AB2389" t="s">
        <v>1404</v>
      </c>
      <c r="AC2389" t="s">
        <v>3530</v>
      </c>
      <c r="AD2389" t="e">
        <f>VLOOKUP(AB2389,#REF!,2,FALSE)</f>
        <v>#REF!</v>
      </c>
      <c r="AE2389" t="e">
        <f>RIGHT(#REF!,(FIND("Complex",#REF!,1)-7))</f>
        <v>#REF!</v>
      </c>
    </row>
    <row r="2390" spans="1:31" x14ac:dyDescent="0.25">
      <c r="A2390">
        <v>3408</v>
      </c>
      <c r="B2390" t="s">
        <v>30</v>
      </c>
      <c r="C2390">
        <v>57</v>
      </c>
      <c r="D2390">
        <v>425</v>
      </c>
      <c r="E2390">
        <v>3408</v>
      </c>
      <c r="F2390">
        <v>5909401</v>
      </c>
      <c r="G2390">
        <v>5997600</v>
      </c>
      <c r="H2390">
        <f t="shared" si="74"/>
        <v>134.00002267573697</v>
      </c>
      <c r="I2390">
        <f t="shared" si="75"/>
        <v>136</v>
      </c>
      <c r="J2390" t="s">
        <v>32</v>
      </c>
      <c r="K2390">
        <v>4</v>
      </c>
      <c r="L2390" t="e">
        <f t="array" ref="L2390">VLOOKUP(J2390:$J$3871&amp;K2390:$K$3871,CHOOSE({1,2},#REF!&amp;#REF!,#REF!),2,0)</f>
        <v>#N/A</v>
      </c>
      <c r="M2390">
        <v>0</v>
      </c>
      <c r="N2390">
        <v>1</v>
      </c>
      <c r="O2390" t="s">
        <v>23</v>
      </c>
      <c r="P2390">
        <v>0</v>
      </c>
      <c r="Q2390">
        <v>1</v>
      </c>
      <c r="R2390">
        <v>1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1</v>
      </c>
      <c r="Y2390">
        <v>0</v>
      </c>
      <c r="Z2390">
        <v>0</v>
      </c>
      <c r="AA2390" t="s">
        <v>4653</v>
      </c>
      <c r="AB2390" t="s">
        <v>1405</v>
      </c>
      <c r="AC2390" t="s">
        <v>4653</v>
      </c>
      <c r="AD2390" t="e">
        <f>VLOOKUP(AB2390,#REF!,2,FALSE)</f>
        <v>#REF!</v>
      </c>
      <c r="AE2390" t="e">
        <f>RIGHT(#REF!,(FIND("Complex",#REF!,1)-6))</f>
        <v>#REF!</v>
      </c>
    </row>
    <row r="2391" spans="1:31" x14ac:dyDescent="0.25">
      <c r="A2391">
        <v>1363</v>
      </c>
      <c r="B2391" t="s">
        <v>30</v>
      </c>
      <c r="C2391">
        <v>57</v>
      </c>
      <c r="D2391">
        <v>125</v>
      </c>
      <c r="E2391">
        <v>1363</v>
      </c>
      <c r="F2391">
        <v>5821201</v>
      </c>
      <c r="G2391">
        <v>5909400</v>
      </c>
      <c r="H2391">
        <f t="shared" si="74"/>
        <v>132.00002267573697</v>
      </c>
      <c r="I2391">
        <f t="shared" si="75"/>
        <v>134</v>
      </c>
      <c r="J2391" t="s">
        <v>32</v>
      </c>
      <c r="K2391">
        <v>4</v>
      </c>
      <c r="L2391" t="e">
        <f t="array" ref="L2391">VLOOKUP(J2391:$J$3871&amp;K2391:$K$3871,CHOOSE({1,2},#REF!&amp;#REF!,#REF!),2,0)</f>
        <v>#N/A</v>
      </c>
      <c r="M2391">
        <v>0</v>
      </c>
      <c r="N2391">
        <v>1</v>
      </c>
      <c r="O2391" t="s">
        <v>23</v>
      </c>
      <c r="P2391">
        <v>0</v>
      </c>
      <c r="Q2391">
        <v>1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1</v>
      </c>
      <c r="Y2391">
        <v>0</v>
      </c>
      <c r="Z2391">
        <v>0</v>
      </c>
      <c r="AA2391" t="s">
        <v>4663</v>
      </c>
      <c r="AB2391" t="s">
        <v>1406</v>
      </c>
      <c r="AC2391" t="s">
        <v>4663</v>
      </c>
      <c r="AD2391" t="e">
        <f>VLOOKUP(AB2391,#REF!,2,FALSE)</f>
        <v>#REF!</v>
      </c>
      <c r="AE2391" t="e">
        <f>RIGHT(#REF!,(FIND("Complex",#REF!,1)-6))</f>
        <v>#REF!</v>
      </c>
    </row>
    <row r="2392" spans="1:31" x14ac:dyDescent="0.25">
      <c r="A2392">
        <v>1050</v>
      </c>
      <c r="B2392" t="s">
        <v>30</v>
      </c>
      <c r="C2392">
        <v>57</v>
      </c>
      <c r="D2392">
        <v>90</v>
      </c>
      <c r="E2392">
        <v>1050</v>
      </c>
      <c r="F2392">
        <v>5556601</v>
      </c>
      <c r="G2392">
        <v>5644800</v>
      </c>
      <c r="H2392">
        <f t="shared" si="74"/>
        <v>126.00002267573696</v>
      </c>
      <c r="I2392">
        <f t="shared" si="75"/>
        <v>128</v>
      </c>
      <c r="J2392" t="s">
        <v>32</v>
      </c>
      <c r="K2392">
        <v>4</v>
      </c>
      <c r="L2392" t="e">
        <f t="array" ref="L2392">VLOOKUP(J2392:$J$3871&amp;K2392:$K$3871,CHOOSE({1,2},#REF!&amp;#REF!,#REF!),2,0)</f>
        <v>#N/A</v>
      </c>
      <c r="M2392">
        <v>0</v>
      </c>
      <c r="N2392">
        <v>1</v>
      </c>
      <c r="O2392" t="s">
        <v>23</v>
      </c>
      <c r="P2392">
        <v>0</v>
      </c>
      <c r="Q2392">
        <v>1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1</v>
      </c>
      <c r="Y2392">
        <v>0</v>
      </c>
      <c r="Z2392">
        <v>0</v>
      </c>
      <c r="AA2392" t="s">
        <v>4691</v>
      </c>
      <c r="AB2392" t="s">
        <v>1407</v>
      </c>
      <c r="AC2392" t="s">
        <v>4691</v>
      </c>
      <c r="AD2392" t="e">
        <f>VLOOKUP(AB2392,#REF!,2,FALSE)</f>
        <v>#REF!</v>
      </c>
      <c r="AE2392" t="e">
        <f>RIGHT(#REF!,(FIND("Complex",#REF!,1)-6))</f>
        <v>#REF!</v>
      </c>
    </row>
    <row r="2393" spans="1:31" x14ac:dyDescent="0.25">
      <c r="A2393">
        <v>3147</v>
      </c>
      <c r="B2393" t="s">
        <v>30</v>
      </c>
      <c r="C2393">
        <v>57</v>
      </c>
      <c r="D2393">
        <v>380</v>
      </c>
      <c r="E2393">
        <v>3147</v>
      </c>
      <c r="F2393">
        <v>5468401</v>
      </c>
      <c r="G2393">
        <v>5556600</v>
      </c>
      <c r="H2393">
        <f t="shared" si="74"/>
        <v>124.00002267573696</v>
      </c>
      <c r="I2393">
        <f t="shared" si="75"/>
        <v>126</v>
      </c>
      <c r="J2393" t="s">
        <v>32</v>
      </c>
      <c r="K2393">
        <v>4</v>
      </c>
      <c r="L2393" t="e">
        <f t="array" ref="L2393">VLOOKUP(J2393:$J$3871&amp;K2393:$K$3871,CHOOSE({1,2},#REF!&amp;#REF!,#REF!),2,0)</f>
        <v>#N/A</v>
      </c>
      <c r="M2393">
        <v>0</v>
      </c>
      <c r="N2393">
        <v>1</v>
      </c>
      <c r="O2393" t="s">
        <v>23</v>
      </c>
      <c r="P2393">
        <v>0</v>
      </c>
      <c r="Q2393">
        <v>1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1</v>
      </c>
      <c r="Y2393">
        <v>0</v>
      </c>
      <c r="Z2393">
        <v>0</v>
      </c>
      <c r="AA2393" t="s">
        <v>4696</v>
      </c>
      <c r="AB2393" t="s">
        <v>201</v>
      </c>
      <c r="AC2393" t="s">
        <v>4696</v>
      </c>
      <c r="AD2393" t="e">
        <f>VLOOKUP(AB2393,#REF!,2,FALSE)</f>
        <v>#REF!</v>
      </c>
      <c r="AE2393" t="e">
        <f>RIGHT(#REF!,(FIND("Complex",#REF!,1)-6))</f>
        <v>#REF!</v>
      </c>
    </row>
    <row r="2394" spans="1:31" x14ac:dyDescent="0.25">
      <c r="A2394">
        <v>2432</v>
      </c>
      <c r="B2394" t="s">
        <v>30</v>
      </c>
      <c r="C2394">
        <v>57</v>
      </c>
      <c r="D2394">
        <v>234</v>
      </c>
      <c r="E2394">
        <v>2432</v>
      </c>
      <c r="F2394">
        <v>5380201</v>
      </c>
      <c r="G2394">
        <v>5468400</v>
      </c>
      <c r="H2394">
        <f t="shared" si="74"/>
        <v>122.00002267573696</v>
      </c>
      <c r="I2394">
        <f t="shared" si="75"/>
        <v>124</v>
      </c>
      <c r="J2394" t="s">
        <v>32</v>
      </c>
      <c r="K2394">
        <v>4</v>
      </c>
      <c r="L2394" t="e">
        <f t="array" ref="L2394">VLOOKUP(J2394:$J$3871&amp;K2394:$K$3871,CHOOSE({1,2},#REF!&amp;#REF!,#REF!),2,0)</f>
        <v>#N/A</v>
      </c>
      <c r="M2394">
        <v>0</v>
      </c>
      <c r="N2394">
        <v>1</v>
      </c>
      <c r="O2394" t="s">
        <v>23</v>
      </c>
      <c r="P2394">
        <v>0</v>
      </c>
      <c r="Q2394">
        <v>1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1</v>
      </c>
      <c r="Y2394">
        <v>0</v>
      </c>
      <c r="Z2394">
        <v>0</v>
      </c>
      <c r="AA2394" t="s">
        <v>4704</v>
      </c>
      <c r="AB2394" t="s">
        <v>1408</v>
      </c>
      <c r="AC2394" t="s">
        <v>4704</v>
      </c>
      <c r="AD2394" t="e">
        <f>VLOOKUP(AB2394,#REF!,2,FALSE)</f>
        <v>#REF!</v>
      </c>
      <c r="AE2394" t="e">
        <f>RIGHT(#REF!,(FIND("Complex",#REF!,1)-6))</f>
        <v>#REF!</v>
      </c>
    </row>
    <row r="2395" spans="1:31" x14ac:dyDescent="0.25">
      <c r="A2395">
        <v>2485</v>
      </c>
      <c r="B2395" t="s">
        <v>30</v>
      </c>
      <c r="C2395">
        <v>57</v>
      </c>
      <c r="D2395">
        <v>242</v>
      </c>
      <c r="E2395">
        <v>2485</v>
      </c>
      <c r="F2395">
        <v>5292001</v>
      </c>
      <c r="G2395">
        <v>5380200</v>
      </c>
      <c r="H2395">
        <f t="shared" si="74"/>
        <v>120.00002267573696</v>
      </c>
      <c r="I2395">
        <f t="shared" si="75"/>
        <v>122</v>
      </c>
      <c r="J2395" t="s">
        <v>32</v>
      </c>
      <c r="K2395">
        <v>4</v>
      </c>
      <c r="L2395" t="e">
        <f t="array" ref="L2395">VLOOKUP(J2395:$J$3871&amp;K2395:$K$3871,CHOOSE({1,2},#REF!&amp;#REF!,#REF!),2,0)</f>
        <v>#N/A</v>
      </c>
      <c r="M2395">
        <v>0</v>
      </c>
      <c r="N2395">
        <v>1</v>
      </c>
      <c r="O2395" t="s">
        <v>23</v>
      </c>
      <c r="P2395">
        <v>0</v>
      </c>
      <c r="Q2395">
        <v>1</v>
      </c>
      <c r="R2395">
        <v>1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1</v>
      </c>
      <c r="Y2395">
        <v>0</v>
      </c>
      <c r="Z2395">
        <v>0</v>
      </c>
      <c r="AA2395" t="s">
        <v>4712</v>
      </c>
      <c r="AB2395" t="s">
        <v>1409</v>
      </c>
      <c r="AC2395" t="s">
        <v>4712</v>
      </c>
      <c r="AD2395" t="e">
        <f>VLOOKUP(AB2395,#REF!,2,FALSE)</f>
        <v>#REF!</v>
      </c>
      <c r="AE2395" t="e">
        <f>RIGHT(#REF!,(FIND("Complex",#REF!,1)-6))</f>
        <v>#REF!</v>
      </c>
    </row>
    <row r="2396" spans="1:31" x14ac:dyDescent="0.25">
      <c r="A2396">
        <v>3583</v>
      </c>
      <c r="B2396" t="s">
        <v>30</v>
      </c>
      <c r="C2396">
        <v>57</v>
      </c>
      <c r="D2396">
        <v>458</v>
      </c>
      <c r="E2396">
        <v>3583</v>
      </c>
      <c r="F2396">
        <v>5115601</v>
      </c>
      <c r="G2396">
        <v>5203800</v>
      </c>
      <c r="H2396">
        <f t="shared" si="74"/>
        <v>116.00002267573696</v>
      </c>
      <c r="I2396">
        <f t="shared" si="75"/>
        <v>118</v>
      </c>
      <c r="J2396" t="s">
        <v>32</v>
      </c>
      <c r="K2396">
        <v>4</v>
      </c>
      <c r="L2396" t="e">
        <f t="array" ref="L2396">VLOOKUP(J2396:$J$3871&amp;K2396:$K$3871,CHOOSE({1,2},#REF!&amp;#REF!,#REF!),2,0)</f>
        <v>#N/A</v>
      </c>
      <c r="M2396">
        <v>0</v>
      </c>
      <c r="N2396">
        <v>1</v>
      </c>
      <c r="O2396" t="s">
        <v>23</v>
      </c>
      <c r="P2396">
        <v>0</v>
      </c>
      <c r="Q2396">
        <v>1</v>
      </c>
      <c r="R2396">
        <v>1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1</v>
      </c>
      <c r="Y2396">
        <v>0</v>
      </c>
      <c r="Z2396">
        <v>0</v>
      </c>
      <c r="AA2396" t="s">
        <v>4755</v>
      </c>
      <c r="AB2396" t="s">
        <v>1410</v>
      </c>
      <c r="AC2396" t="s">
        <v>4755</v>
      </c>
      <c r="AD2396" t="e">
        <f>VLOOKUP(AB2396,#REF!,2,FALSE)</f>
        <v>#REF!</v>
      </c>
      <c r="AE2396" t="e">
        <f>RIGHT(#REF!,(FIND("Complex",#REF!,1)-6))</f>
        <v>#REF!</v>
      </c>
    </row>
    <row r="2397" spans="1:31" x14ac:dyDescent="0.25">
      <c r="A2397">
        <v>3475</v>
      </c>
      <c r="B2397" t="s">
        <v>30</v>
      </c>
      <c r="C2397">
        <v>57</v>
      </c>
      <c r="D2397">
        <v>437</v>
      </c>
      <c r="E2397">
        <v>3475</v>
      </c>
      <c r="F2397">
        <v>5027401</v>
      </c>
      <c r="G2397">
        <v>5115600</v>
      </c>
      <c r="H2397">
        <f t="shared" si="74"/>
        <v>114.00002267573696</v>
      </c>
      <c r="I2397">
        <f t="shared" si="75"/>
        <v>116</v>
      </c>
      <c r="J2397" t="s">
        <v>32</v>
      </c>
      <c r="K2397">
        <v>4</v>
      </c>
      <c r="L2397" t="e">
        <f t="array" ref="L2397">VLOOKUP(J2397:$J$3871&amp;K2397:$K$3871,CHOOSE({1,2},#REF!&amp;#REF!,#REF!),2,0)</f>
        <v>#N/A</v>
      </c>
      <c r="M2397">
        <v>0</v>
      </c>
      <c r="N2397">
        <v>1</v>
      </c>
      <c r="O2397" t="s">
        <v>23</v>
      </c>
      <c r="P2397">
        <v>0</v>
      </c>
      <c r="Q2397">
        <v>1</v>
      </c>
      <c r="R2397">
        <v>1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1</v>
      </c>
      <c r="Y2397">
        <v>0</v>
      </c>
      <c r="Z2397">
        <v>0</v>
      </c>
      <c r="AA2397" t="s">
        <v>4764</v>
      </c>
      <c r="AB2397" t="s">
        <v>1411</v>
      </c>
      <c r="AC2397" t="s">
        <v>4764</v>
      </c>
      <c r="AD2397" t="e">
        <f>VLOOKUP(AB2397,#REF!,2,FALSE)</f>
        <v>#REF!</v>
      </c>
      <c r="AE2397" t="e">
        <f>RIGHT(#REF!,(FIND("Complex",#REF!,1)-6))</f>
        <v>#REF!</v>
      </c>
    </row>
    <row r="2398" spans="1:31" x14ac:dyDescent="0.25">
      <c r="A2398">
        <v>2776</v>
      </c>
      <c r="B2398" t="s">
        <v>30</v>
      </c>
      <c r="C2398">
        <v>57</v>
      </c>
      <c r="D2398">
        <v>290</v>
      </c>
      <c r="E2398">
        <v>2776</v>
      </c>
      <c r="F2398">
        <v>4762801</v>
      </c>
      <c r="G2398">
        <v>4851000</v>
      </c>
      <c r="H2398">
        <f t="shared" si="74"/>
        <v>108.00002267573696</v>
      </c>
      <c r="I2398">
        <f t="shared" si="75"/>
        <v>110</v>
      </c>
      <c r="J2398" t="s">
        <v>32</v>
      </c>
      <c r="K2398">
        <v>4</v>
      </c>
      <c r="L2398" t="e">
        <f t="array" ref="L2398">VLOOKUP(J2398:$J$3871&amp;K2398:$K$3871,CHOOSE({1,2},#REF!&amp;#REF!,#REF!),2,0)</f>
        <v>#N/A</v>
      </c>
      <c r="M2398">
        <v>0</v>
      </c>
      <c r="N2398">
        <v>1</v>
      </c>
      <c r="O2398" t="s">
        <v>23</v>
      </c>
      <c r="P2398">
        <v>0</v>
      </c>
      <c r="Q2398">
        <v>1</v>
      </c>
      <c r="R2398">
        <v>1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1</v>
      </c>
      <c r="Y2398">
        <v>0</v>
      </c>
      <c r="Z2398">
        <v>0</v>
      </c>
      <c r="AA2398" t="s">
        <v>4792</v>
      </c>
      <c r="AB2398" t="s">
        <v>1412</v>
      </c>
      <c r="AC2398" t="s">
        <v>4792</v>
      </c>
      <c r="AD2398" t="e">
        <f>VLOOKUP(AB2398,#REF!,2,FALSE)</f>
        <v>#REF!</v>
      </c>
      <c r="AE2398" t="e">
        <f>RIGHT(#REF!,(FIND("Complex",#REF!,1)-6))</f>
        <v>#REF!</v>
      </c>
    </row>
    <row r="2399" spans="1:31" x14ac:dyDescent="0.25">
      <c r="A2399">
        <v>226</v>
      </c>
      <c r="B2399" t="s">
        <v>30</v>
      </c>
      <c r="C2399">
        <v>57</v>
      </c>
      <c r="D2399">
        <v>20</v>
      </c>
      <c r="E2399">
        <v>226</v>
      </c>
      <c r="F2399">
        <v>4410001</v>
      </c>
      <c r="G2399">
        <v>4498200</v>
      </c>
      <c r="H2399">
        <f t="shared" si="74"/>
        <v>100.00002267573696</v>
      </c>
      <c r="I2399">
        <f t="shared" si="75"/>
        <v>102</v>
      </c>
      <c r="J2399" t="s">
        <v>32</v>
      </c>
      <c r="K2399">
        <v>4</v>
      </c>
      <c r="L2399" t="e">
        <f t="array" ref="L2399">VLOOKUP(J2399:$J$3871&amp;K2399:$K$3871,CHOOSE({1,2},#REF!&amp;#REF!,#REF!),2,0)</f>
        <v>#N/A</v>
      </c>
      <c r="M2399">
        <v>0</v>
      </c>
      <c r="N2399">
        <v>1</v>
      </c>
      <c r="O2399" t="s">
        <v>23</v>
      </c>
      <c r="P2399">
        <v>0</v>
      </c>
      <c r="Q2399">
        <v>1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1</v>
      </c>
      <c r="Y2399">
        <v>0</v>
      </c>
      <c r="Z2399">
        <v>0</v>
      </c>
      <c r="AA2399" t="s">
        <v>4838</v>
      </c>
      <c r="AB2399" t="s">
        <v>1413</v>
      </c>
      <c r="AC2399" t="s">
        <v>4838</v>
      </c>
      <c r="AD2399" t="e">
        <f>VLOOKUP(AB2399,#REF!,2,FALSE)</f>
        <v>#REF!</v>
      </c>
      <c r="AE2399" t="e">
        <f>RIGHT(#REF!,(FIND("Complex",#REF!,1)-5))</f>
        <v>#REF!</v>
      </c>
    </row>
    <row r="2400" spans="1:31" x14ac:dyDescent="0.25">
      <c r="A2400">
        <v>565</v>
      </c>
      <c r="B2400" t="s">
        <v>73</v>
      </c>
      <c r="C2400">
        <v>61</v>
      </c>
      <c r="D2400">
        <v>46</v>
      </c>
      <c r="E2400">
        <v>565</v>
      </c>
      <c r="F2400">
        <v>4145401</v>
      </c>
      <c r="G2400">
        <v>4233600</v>
      </c>
      <c r="H2400">
        <f t="shared" si="74"/>
        <v>94.000022675736957</v>
      </c>
      <c r="I2400">
        <f t="shared" si="75"/>
        <v>96</v>
      </c>
      <c r="J2400" t="s">
        <v>32</v>
      </c>
      <c r="K2400">
        <v>4</v>
      </c>
      <c r="L2400" t="e">
        <f t="array" ref="L2400">VLOOKUP(J2400:$J$3871&amp;K2400:$K$3871,CHOOSE({1,2},#REF!&amp;#REF!,#REF!),2,0)</f>
        <v>#N/A</v>
      </c>
      <c r="M2400">
        <v>0</v>
      </c>
      <c r="N2400">
        <v>1</v>
      </c>
      <c r="O2400" t="s">
        <v>23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1</v>
      </c>
      <c r="W2400">
        <v>1</v>
      </c>
      <c r="X2400">
        <v>1</v>
      </c>
      <c r="Y2400">
        <v>0</v>
      </c>
      <c r="Z2400">
        <v>0</v>
      </c>
      <c r="AA2400" t="s">
        <v>3529</v>
      </c>
      <c r="AB2400" t="s">
        <v>1450</v>
      </c>
      <c r="AC2400" t="s">
        <v>3529</v>
      </c>
      <c r="AD2400" t="e">
        <f>VLOOKUP(AB2400,#REF!,2,FALSE)</f>
        <v>#REF!</v>
      </c>
      <c r="AE2400" t="e">
        <f>RIGHT(#REF!,(FIND("Complex",#REF!,1)-6))</f>
        <v>#REF!</v>
      </c>
    </row>
    <row r="2401" spans="1:31" x14ac:dyDescent="0.25">
      <c r="A2401">
        <v>3247</v>
      </c>
      <c r="B2401" t="s">
        <v>73</v>
      </c>
      <c r="C2401">
        <v>61</v>
      </c>
      <c r="D2401">
        <v>398</v>
      </c>
      <c r="E2401">
        <v>3247</v>
      </c>
      <c r="F2401">
        <v>3792601</v>
      </c>
      <c r="G2401">
        <v>3880800</v>
      </c>
      <c r="H2401">
        <f t="shared" si="74"/>
        <v>86.000022675736957</v>
      </c>
      <c r="I2401">
        <f t="shared" si="75"/>
        <v>88</v>
      </c>
      <c r="J2401" t="s">
        <v>32</v>
      </c>
      <c r="K2401">
        <v>4</v>
      </c>
      <c r="L2401" t="e">
        <f t="array" ref="L2401">VLOOKUP(J2401:$J$3871&amp;K2401:$K$3871,CHOOSE({1,2},#REF!&amp;#REF!,#REF!),2,0)</f>
        <v>#N/A</v>
      </c>
      <c r="M2401">
        <v>0</v>
      </c>
      <c r="N2401">
        <v>1</v>
      </c>
      <c r="O2401" t="s">
        <v>23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0</v>
      </c>
      <c r="V2401">
        <v>1</v>
      </c>
      <c r="W2401">
        <v>1</v>
      </c>
      <c r="X2401">
        <v>1</v>
      </c>
      <c r="Y2401">
        <v>0</v>
      </c>
      <c r="Z2401">
        <v>0</v>
      </c>
      <c r="AA2401" t="s">
        <v>3584</v>
      </c>
      <c r="AB2401" t="s">
        <v>1451</v>
      </c>
      <c r="AC2401" t="s">
        <v>3584</v>
      </c>
      <c r="AD2401" t="e">
        <f>VLOOKUP(AB2401,#REF!,2,FALSE)</f>
        <v>#REF!</v>
      </c>
      <c r="AE2401" t="e">
        <f>RIGHT(#REF!,(FIND("Complex",#REF!,1)-7))</f>
        <v>#REF!</v>
      </c>
    </row>
    <row r="2402" spans="1:31" x14ac:dyDescent="0.25">
      <c r="A2402">
        <v>966</v>
      </c>
      <c r="B2402" t="s">
        <v>73</v>
      </c>
      <c r="C2402">
        <v>61</v>
      </c>
      <c r="D2402">
        <v>78</v>
      </c>
      <c r="E2402">
        <v>966</v>
      </c>
      <c r="F2402">
        <v>3704401</v>
      </c>
      <c r="G2402">
        <v>3792600</v>
      </c>
      <c r="H2402">
        <f t="shared" si="74"/>
        <v>84.000022675736957</v>
      </c>
      <c r="I2402">
        <f t="shared" si="75"/>
        <v>86</v>
      </c>
      <c r="J2402" t="s">
        <v>32</v>
      </c>
      <c r="K2402">
        <v>4</v>
      </c>
      <c r="L2402" t="e">
        <f t="array" ref="L2402">VLOOKUP(J2402:$J$3871&amp;K2402:$K$3871,CHOOSE({1,2},#REF!&amp;#REF!,#REF!),2,0)</f>
        <v>#N/A</v>
      </c>
      <c r="M2402">
        <v>0</v>
      </c>
      <c r="N2402">
        <v>1</v>
      </c>
      <c r="O2402" t="s">
        <v>23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1</v>
      </c>
      <c r="W2402">
        <v>1</v>
      </c>
      <c r="X2402">
        <v>1</v>
      </c>
      <c r="Y2402">
        <v>0</v>
      </c>
      <c r="Z2402">
        <v>0</v>
      </c>
      <c r="AA2402" t="s">
        <v>3595</v>
      </c>
      <c r="AB2402" t="s">
        <v>1452</v>
      </c>
      <c r="AC2402" t="s">
        <v>3595</v>
      </c>
      <c r="AD2402" t="e">
        <f>VLOOKUP(AB2402,#REF!,2,FALSE)</f>
        <v>#REF!</v>
      </c>
      <c r="AE2402" t="e">
        <f>RIGHT(#REF!,(FIND("Complex",#REF!,1)-6))</f>
        <v>#REF!</v>
      </c>
    </row>
    <row r="2403" spans="1:31" x14ac:dyDescent="0.25">
      <c r="A2403">
        <v>3273</v>
      </c>
      <c r="B2403" t="s">
        <v>73</v>
      </c>
      <c r="C2403">
        <v>61</v>
      </c>
      <c r="D2403">
        <v>400</v>
      </c>
      <c r="E2403">
        <v>3273</v>
      </c>
      <c r="F2403">
        <v>3528001</v>
      </c>
      <c r="G2403">
        <v>3616200</v>
      </c>
      <c r="H2403">
        <f t="shared" si="74"/>
        <v>80.000022675736957</v>
      </c>
      <c r="I2403">
        <f t="shared" si="75"/>
        <v>82</v>
      </c>
      <c r="J2403" t="s">
        <v>32</v>
      </c>
      <c r="K2403">
        <v>4</v>
      </c>
      <c r="L2403" t="e">
        <f t="array" ref="L2403">VLOOKUP(J2403:$J$3871&amp;K2403:$K$3871,CHOOSE({1,2},#REF!&amp;#REF!,#REF!),2,0)</f>
        <v>#N/A</v>
      </c>
      <c r="M2403">
        <v>0</v>
      </c>
      <c r="N2403">
        <v>1</v>
      </c>
      <c r="O2403" t="s">
        <v>23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0</v>
      </c>
      <c r="V2403">
        <v>1</v>
      </c>
      <c r="W2403">
        <v>1</v>
      </c>
      <c r="X2403">
        <v>1</v>
      </c>
      <c r="Y2403">
        <v>0</v>
      </c>
      <c r="Z2403">
        <v>0</v>
      </c>
      <c r="AA2403" t="s">
        <v>3624</v>
      </c>
      <c r="AB2403" t="s">
        <v>1453</v>
      </c>
      <c r="AC2403" t="s">
        <v>3624</v>
      </c>
      <c r="AD2403" t="e">
        <f>VLOOKUP(AB2403,#REF!,2,FALSE)</f>
        <v>#REF!</v>
      </c>
      <c r="AE2403" t="e">
        <f>RIGHT(#REF!,(FIND("Complex",#REF!,1)-7))</f>
        <v>#REF!</v>
      </c>
    </row>
    <row r="2404" spans="1:31" x14ac:dyDescent="0.25">
      <c r="A2404">
        <v>108</v>
      </c>
      <c r="B2404" t="s">
        <v>73</v>
      </c>
      <c r="C2404">
        <v>61</v>
      </c>
      <c r="D2404">
        <v>7</v>
      </c>
      <c r="E2404">
        <v>108</v>
      </c>
      <c r="F2404">
        <v>3351601</v>
      </c>
      <c r="G2404">
        <v>3439800</v>
      </c>
      <c r="H2404">
        <f t="shared" si="74"/>
        <v>76.000022675736957</v>
      </c>
      <c r="I2404">
        <f t="shared" si="75"/>
        <v>78</v>
      </c>
      <c r="J2404" t="s">
        <v>32</v>
      </c>
      <c r="K2404">
        <v>4</v>
      </c>
      <c r="L2404" t="e">
        <f t="array" ref="L2404">VLOOKUP(J2404:$J$3871&amp;K2404:$K$3871,CHOOSE({1,2},#REF!&amp;#REF!,#REF!),2,0)</f>
        <v>#N/A</v>
      </c>
      <c r="M2404">
        <v>0</v>
      </c>
      <c r="N2404">
        <v>1</v>
      </c>
      <c r="O2404" t="s">
        <v>23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1</v>
      </c>
      <c r="W2404">
        <v>1</v>
      </c>
      <c r="X2404">
        <v>1</v>
      </c>
      <c r="Y2404">
        <v>0</v>
      </c>
      <c r="Z2404">
        <v>0</v>
      </c>
      <c r="AA2404" t="s">
        <v>3666</v>
      </c>
      <c r="AB2404" t="s">
        <v>1454</v>
      </c>
      <c r="AC2404" t="s">
        <v>3666</v>
      </c>
      <c r="AD2404" t="e">
        <f>VLOOKUP(AB2404,#REF!,2,FALSE)</f>
        <v>#REF!</v>
      </c>
      <c r="AE2404" t="e">
        <f>RIGHT(#REF!,(FIND("Complex",#REF!,1)-6))</f>
        <v>#REF!</v>
      </c>
    </row>
    <row r="2405" spans="1:31" x14ac:dyDescent="0.25">
      <c r="A2405">
        <v>2060</v>
      </c>
      <c r="B2405" t="s">
        <v>73</v>
      </c>
      <c r="C2405">
        <v>61</v>
      </c>
      <c r="D2405">
        <v>197</v>
      </c>
      <c r="E2405">
        <v>2060</v>
      </c>
      <c r="F2405">
        <v>2910601</v>
      </c>
      <c r="G2405">
        <v>2998800</v>
      </c>
      <c r="H2405">
        <f t="shared" si="74"/>
        <v>66.000022675736957</v>
      </c>
      <c r="I2405">
        <f t="shared" si="75"/>
        <v>68</v>
      </c>
      <c r="J2405" t="s">
        <v>32</v>
      </c>
      <c r="K2405">
        <v>4</v>
      </c>
      <c r="L2405" t="e">
        <f t="array" ref="L2405">VLOOKUP(J2405:$J$3871&amp;K2405:$K$3871,CHOOSE({1,2},#REF!&amp;#REF!,#REF!),2,0)</f>
        <v>#N/A</v>
      </c>
      <c r="M2405">
        <v>0</v>
      </c>
      <c r="N2405">
        <v>1</v>
      </c>
      <c r="O2405" t="s">
        <v>23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0</v>
      </c>
      <c r="V2405">
        <v>1</v>
      </c>
      <c r="W2405">
        <v>1</v>
      </c>
      <c r="X2405">
        <v>1</v>
      </c>
      <c r="Y2405">
        <v>0</v>
      </c>
      <c r="Z2405">
        <v>0</v>
      </c>
      <c r="AA2405" t="s">
        <v>3737</v>
      </c>
      <c r="AB2405" t="s">
        <v>1455</v>
      </c>
      <c r="AC2405" t="s">
        <v>3737</v>
      </c>
      <c r="AD2405" t="e">
        <f>VLOOKUP(AB2405,#REF!,2,FALSE)</f>
        <v>#REF!</v>
      </c>
      <c r="AE2405" t="e">
        <f>RIGHT(#REF!,(FIND("Complex",#REF!,1)-7))</f>
        <v>#REF!</v>
      </c>
    </row>
    <row r="2406" spans="1:31" x14ac:dyDescent="0.25">
      <c r="A2406">
        <v>1171</v>
      </c>
      <c r="B2406" t="s">
        <v>73</v>
      </c>
      <c r="C2406">
        <v>61</v>
      </c>
      <c r="D2406">
        <v>100</v>
      </c>
      <c r="E2406">
        <v>1171</v>
      </c>
      <c r="F2406">
        <v>2734201</v>
      </c>
      <c r="G2406">
        <v>2822400</v>
      </c>
      <c r="H2406">
        <f t="shared" si="74"/>
        <v>62.000022675736965</v>
      </c>
      <c r="I2406">
        <f t="shared" si="75"/>
        <v>64</v>
      </c>
      <c r="J2406" t="s">
        <v>32</v>
      </c>
      <c r="K2406">
        <v>4</v>
      </c>
      <c r="L2406" t="e">
        <f t="array" ref="L2406">VLOOKUP(J2406:$J$3871&amp;K2406:$K$3871,CHOOSE({1,2},#REF!&amp;#REF!,#REF!),2,0)</f>
        <v>#N/A</v>
      </c>
      <c r="M2406">
        <v>0</v>
      </c>
      <c r="N2406">
        <v>1</v>
      </c>
      <c r="O2406" t="s">
        <v>23</v>
      </c>
      <c r="P2406">
        <v>0</v>
      </c>
      <c r="Q2406">
        <v>0</v>
      </c>
      <c r="R2406">
        <v>1</v>
      </c>
      <c r="S2406">
        <v>0</v>
      </c>
      <c r="T2406">
        <v>0</v>
      </c>
      <c r="U2406">
        <v>0</v>
      </c>
      <c r="V2406">
        <v>1</v>
      </c>
      <c r="W2406">
        <v>1</v>
      </c>
      <c r="X2406">
        <v>1</v>
      </c>
      <c r="Y2406">
        <v>0</v>
      </c>
      <c r="Z2406">
        <v>0</v>
      </c>
      <c r="AA2406" t="s">
        <v>3761</v>
      </c>
      <c r="AB2406" t="s">
        <v>1456</v>
      </c>
      <c r="AC2406" t="s">
        <v>3761</v>
      </c>
      <c r="AD2406" t="e">
        <f>VLOOKUP(AB2406,#REF!,2,FALSE)</f>
        <v>#REF!</v>
      </c>
      <c r="AE2406" t="e">
        <f>RIGHT(#REF!,(FIND("Complex",#REF!,1)-7))</f>
        <v>#REF!</v>
      </c>
    </row>
    <row r="2407" spans="1:31" x14ac:dyDescent="0.25">
      <c r="A2407">
        <v>3178</v>
      </c>
      <c r="B2407" t="s">
        <v>73</v>
      </c>
      <c r="C2407">
        <v>61</v>
      </c>
      <c r="D2407">
        <v>386</v>
      </c>
      <c r="E2407">
        <v>3178</v>
      </c>
      <c r="F2407">
        <v>2646001</v>
      </c>
      <c r="G2407">
        <v>2734200</v>
      </c>
      <c r="H2407">
        <f t="shared" si="74"/>
        <v>60.000022675736965</v>
      </c>
      <c r="I2407">
        <f t="shared" si="75"/>
        <v>62</v>
      </c>
      <c r="J2407" t="s">
        <v>32</v>
      </c>
      <c r="K2407">
        <v>4</v>
      </c>
      <c r="L2407" t="e">
        <f t="array" ref="L2407">VLOOKUP(J2407:$J$3871&amp;K2407:$K$3871,CHOOSE({1,2},#REF!&amp;#REF!,#REF!),2,0)</f>
        <v>#N/A</v>
      </c>
      <c r="M2407">
        <v>0</v>
      </c>
      <c r="N2407">
        <v>1</v>
      </c>
      <c r="O2407" t="s">
        <v>23</v>
      </c>
      <c r="P2407">
        <v>0</v>
      </c>
      <c r="Q2407">
        <v>0</v>
      </c>
      <c r="R2407">
        <v>1</v>
      </c>
      <c r="S2407">
        <v>0</v>
      </c>
      <c r="T2407">
        <v>0</v>
      </c>
      <c r="U2407">
        <v>0</v>
      </c>
      <c r="V2407">
        <v>1</v>
      </c>
      <c r="W2407">
        <v>1</v>
      </c>
      <c r="X2407">
        <v>1</v>
      </c>
      <c r="Y2407">
        <v>0</v>
      </c>
      <c r="Z2407">
        <v>0</v>
      </c>
      <c r="AA2407" t="s">
        <v>3781</v>
      </c>
      <c r="AB2407" t="s">
        <v>1457</v>
      </c>
      <c r="AC2407" t="s">
        <v>3781</v>
      </c>
      <c r="AD2407" t="e">
        <f>VLOOKUP(AB2407,#REF!,2,FALSE)</f>
        <v>#REF!</v>
      </c>
      <c r="AE2407" t="e">
        <f>RIGHT(#REF!,(FIND("Complex",#REF!,1)-7))</f>
        <v>#REF!</v>
      </c>
    </row>
    <row r="2408" spans="1:31" x14ac:dyDescent="0.25">
      <c r="A2408">
        <v>3316</v>
      </c>
      <c r="B2408" t="s">
        <v>73</v>
      </c>
      <c r="C2408">
        <v>61</v>
      </c>
      <c r="D2408">
        <v>410</v>
      </c>
      <c r="E2408">
        <v>3316</v>
      </c>
      <c r="F2408">
        <v>2557801</v>
      </c>
      <c r="G2408">
        <v>2646000</v>
      </c>
      <c r="H2408">
        <f t="shared" si="74"/>
        <v>58.000022675736965</v>
      </c>
      <c r="I2408">
        <f t="shared" si="75"/>
        <v>60</v>
      </c>
      <c r="J2408" t="s">
        <v>32</v>
      </c>
      <c r="K2408">
        <v>4</v>
      </c>
      <c r="L2408" t="e">
        <f t="array" ref="L2408">VLOOKUP(J2408:$J$3871&amp;K2408:$K$3871,CHOOSE({1,2},#REF!&amp;#REF!,#REF!),2,0)</f>
        <v>#N/A</v>
      </c>
      <c r="M2408">
        <v>0</v>
      </c>
      <c r="N2408">
        <v>1</v>
      </c>
      <c r="O2408" t="s">
        <v>23</v>
      </c>
      <c r="P2408">
        <v>0</v>
      </c>
      <c r="Q2408">
        <v>0</v>
      </c>
      <c r="R2408">
        <v>1</v>
      </c>
      <c r="S2408">
        <v>0</v>
      </c>
      <c r="T2408">
        <v>0</v>
      </c>
      <c r="U2408">
        <v>0</v>
      </c>
      <c r="V2408">
        <v>1</v>
      </c>
      <c r="W2408">
        <v>1</v>
      </c>
      <c r="X2408">
        <v>1</v>
      </c>
      <c r="Y2408">
        <v>0</v>
      </c>
      <c r="Z2408">
        <v>0</v>
      </c>
      <c r="AA2408" t="s">
        <v>3818</v>
      </c>
      <c r="AB2408" t="s">
        <v>1458</v>
      </c>
      <c r="AC2408" t="s">
        <v>3818</v>
      </c>
      <c r="AD2408" t="e">
        <f>VLOOKUP(AB2408,#REF!,2,FALSE)</f>
        <v>#REF!</v>
      </c>
      <c r="AE2408" t="e">
        <f>RIGHT(#REF!,(FIND("Complex",#REF!,1)-7))</f>
        <v>#REF!</v>
      </c>
    </row>
    <row r="2409" spans="1:31" x14ac:dyDescent="0.25">
      <c r="A2409">
        <v>2387</v>
      </c>
      <c r="B2409" t="s">
        <v>73</v>
      </c>
      <c r="C2409">
        <v>61</v>
      </c>
      <c r="D2409">
        <v>231</v>
      </c>
      <c r="E2409">
        <v>2387</v>
      </c>
      <c r="F2409">
        <v>2205001</v>
      </c>
      <c r="G2409">
        <v>2293200</v>
      </c>
      <c r="H2409">
        <f t="shared" si="74"/>
        <v>50.000022675736965</v>
      </c>
      <c r="I2409">
        <f t="shared" si="75"/>
        <v>52</v>
      </c>
      <c r="J2409" t="s">
        <v>32</v>
      </c>
      <c r="K2409">
        <v>4</v>
      </c>
      <c r="L2409" t="e">
        <f t="array" ref="L2409">VLOOKUP(J2409:$J$3871&amp;K2409:$K$3871,CHOOSE({1,2},#REF!&amp;#REF!,#REF!),2,0)</f>
        <v>#N/A</v>
      </c>
      <c r="M2409">
        <v>0</v>
      </c>
      <c r="N2409">
        <v>1</v>
      </c>
      <c r="O2409" t="s">
        <v>23</v>
      </c>
      <c r="P2409">
        <v>0</v>
      </c>
      <c r="Q2409">
        <v>0</v>
      </c>
      <c r="R2409">
        <v>1</v>
      </c>
      <c r="S2409">
        <v>0</v>
      </c>
      <c r="T2409">
        <v>0</v>
      </c>
      <c r="U2409">
        <v>0</v>
      </c>
      <c r="V2409">
        <v>1</v>
      </c>
      <c r="W2409">
        <v>1</v>
      </c>
      <c r="X2409">
        <v>1</v>
      </c>
      <c r="Y2409">
        <v>0</v>
      </c>
      <c r="Z2409">
        <v>0</v>
      </c>
      <c r="AA2409" t="s">
        <v>3871</v>
      </c>
      <c r="AB2409" t="s">
        <v>1459</v>
      </c>
      <c r="AC2409" t="s">
        <v>3871</v>
      </c>
      <c r="AD2409" t="e">
        <f>VLOOKUP(AB2409,#REF!,2,FALSE)</f>
        <v>#REF!</v>
      </c>
      <c r="AE2409" t="e">
        <f>RIGHT(#REF!,(FIND("Complex",#REF!,1)-7))</f>
        <v>#REF!</v>
      </c>
    </row>
    <row r="2410" spans="1:31" x14ac:dyDescent="0.25">
      <c r="A2410">
        <v>1903</v>
      </c>
      <c r="B2410" t="s">
        <v>73</v>
      </c>
      <c r="C2410">
        <v>61</v>
      </c>
      <c r="D2410">
        <v>176</v>
      </c>
      <c r="E2410">
        <v>1903</v>
      </c>
      <c r="F2410">
        <v>2116801</v>
      </c>
      <c r="G2410">
        <v>2205000</v>
      </c>
      <c r="H2410">
        <f t="shared" si="74"/>
        <v>48.000022675736965</v>
      </c>
      <c r="I2410">
        <f t="shared" si="75"/>
        <v>50</v>
      </c>
      <c r="J2410" t="s">
        <v>32</v>
      </c>
      <c r="K2410">
        <v>4</v>
      </c>
      <c r="L2410" t="e">
        <f t="array" ref="L2410">VLOOKUP(J2410:$J$3871&amp;K2410:$K$3871,CHOOSE({1,2},#REF!&amp;#REF!,#REF!),2,0)</f>
        <v>#N/A</v>
      </c>
      <c r="M2410">
        <v>0</v>
      </c>
      <c r="N2410">
        <v>1</v>
      </c>
      <c r="O2410" t="s">
        <v>23</v>
      </c>
      <c r="P2410">
        <v>0</v>
      </c>
      <c r="Q2410">
        <v>0</v>
      </c>
      <c r="R2410">
        <v>1</v>
      </c>
      <c r="S2410">
        <v>0</v>
      </c>
      <c r="T2410">
        <v>0</v>
      </c>
      <c r="U2410">
        <v>0</v>
      </c>
      <c r="V2410">
        <v>1</v>
      </c>
      <c r="W2410">
        <v>1</v>
      </c>
      <c r="X2410">
        <v>1</v>
      </c>
      <c r="Y2410">
        <v>0</v>
      </c>
      <c r="Z2410">
        <v>0</v>
      </c>
      <c r="AA2410" t="s">
        <v>3889</v>
      </c>
      <c r="AB2410" t="s">
        <v>1460</v>
      </c>
      <c r="AC2410" t="s">
        <v>3889</v>
      </c>
      <c r="AD2410" t="e">
        <f>VLOOKUP(AB2410,#REF!,2,FALSE)</f>
        <v>#REF!</v>
      </c>
      <c r="AE2410" t="e">
        <f>RIGHT(#REF!,(FIND("Complex",#REF!,1)-7))</f>
        <v>#REF!</v>
      </c>
    </row>
    <row r="2411" spans="1:31" x14ac:dyDescent="0.25">
      <c r="A2411">
        <v>383</v>
      </c>
      <c r="B2411" t="s">
        <v>73</v>
      </c>
      <c r="C2411">
        <v>61</v>
      </c>
      <c r="D2411">
        <v>34</v>
      </c>
      <c r="E2411">
        <v>383</v>
      </c>
      <c r="F2411">
        <v>2028601</v>
      </c>
      <c r="G2411">
        <v>2116800</v>
      </c>
      <c r="H2411">
        <f t="shared" si="74"/>
        <v>46.000022675736965</v>
      </c>
      <c r="I2411">
        <f t="shared" si="75"/>
        <v>48</v>
      </c>
      <c r="J2411" t="s">
        <v>32</v>
      </c>
      <c r="K2411">
        <v>4</v>
      </c>
      <c r="L2411" t="e">
        <f t="array" ref="L2411">VLOOKUP(J2411:$J$3871&amp;K2411:$K$3871,CHOOSE({1,2},#REF!&amp;#REF!,#REF!),2,0)</f>
        <v>#N/A</v>
      </c>
      <c r="M2411">
        <v>0</v>
      </c>
      <c r="N2411">
        <v>1</v>
      </c>
      <c r="O2411" t="s">
        <v>23</v>
      </c>
      <c r="P2411">
        <v>0</v>
      </c>
      <c r="Q2411">
        <v>0</v>
      </c>
      <c r="R2411">
        <v>1</v>
      </c>
      <c r="S2411">
        <v>0</v>
      </c>
      <c r="T2411">
        <v>0</v>
      </c>
      <c r="U2411">
        <v>0</v>
      </c>
      <c r="V2411">
        <v>1</v>
      </c>
      <c r="W2411">
        <v>1</v>
      </c>
      <c r="X2411">
        <v>1</v>
      </c>
      <c r="Y2411">
        <v>0</v>
      </c>
      <c r="Z2411">
        <v>0</v>
      </c>
      <c r="AA2411" t="s">
        <v>3902</v>
      </c>
      <c r="AB2411" t="s">
        <v>1461</v>
      </c>
      <c r="AC2411" t="s">
        <v>3902</v>
      </c>
      <c r="AD2411" t="e">
        <f>VLOOKUP(AB2411,#REF!,2,FALSE)</f>
        <v>#REF!</v>
      </c>
      <c r="AE2411" t="e">
        <f>RIGHT(#REF!,(FIND("Complex",#REF!,1)-6))</f>
        <v>#REF!</v>
      </c>
    </row>
    <row r="2412" spans="1:31" x14ac:dyDescent="0.25">
      <c r="A2412">
        <v>1106</v>
      </c>
      <c r="B2412" t="s">
        <v>73</v>
      </c>
      <c r="C2412">
        <v>61</v>
      </c>
      <c r="D2412">
        <v>94</v>
      </c>
      <c r="E2412">
        <v>1106</v>
      </c>
      <c r="F2412">
        <v>1764001</v>
      </c>
      <c r="G2412">
        <v>1852200</v>
      </c>
      <c r="H2412">
        <f t="shared" si="74"/>
        <v>40.000022675736965</v>
      </c>
      <c r="I2412">
        <f t="shared" si="75"/>
        <v>42</v>
      </c>
      <c r="J2412" t="s">
        <v>32</v>
      </c>
      <c r="K2412">
        <v>4</v>
      </c>
      <c r="L2412" t="e">
        <f t="array" ref="L2412">VLOOKUP(J2412:$J$3871&amp;K2412:$K$3871,CHOOSE({1,2},#REF!&amp;#REF!,#REF!),2,0)</f>
        <v>#N/A</v>
      </c>
      <c r="M2412">
        <v>0</v>
      </c>
      <c r="N2412">
        <v>1</v>
      </c>
      <c r="O2412" t="s">
        <v>23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0</v>
      </c>
      <c r="V2412">
        <v>1</v>
      </c>
      <c r="W2412">
        <v>1</v>
      </c>
      <c r="X2412">
        <v>1</v>
      </c>
      <c r="Y2412">
        <v>0</v>
      </c>
      <c r="Z2412">
        <v>0</v>
      </c>
      <c r="AA2412" t="s">
        <v>3942</v>
      </c>
      <c r="AB2412" t="s">
        <v>1462</v>
      </c>
      <c r="AC2412" t="s">
        <v>3942</v>
      </c>
      <c r="AD2412" t="e">
        <f>VLOOKUP(AB2412,#REF!,2,FALSE)</f>
        <v>#REF!</v>
      </c>
      <c r="AE2412" t="e">
        <f>RIGHT(#REF!,(FIND("Complex",#REF!,1)-7))</f>
        <v>#REF!</v>
      </c>
    </row>
    <row r="2413" spans="1:31" x14ac:dyDescent="0.25">
      <c r="A2413">
        <v>1731</v>
      </c>
      <c r="B2413" t="s">
        <v>73</v>
      </c>
      <c r="C2413">
        <v>61</v>
      </c>
      <c r="D2413">
        <v>158</v>
      </c>
      <c r="E2413">
        <v>1731</v>
      </c>
      <c r="F2413">
        <v>176401</v>
      </c>
      <c r="G2413">
        <v>264600</v>
      </c>
      <c r="H2413">
        <f t="shared" si="74"/>
        <v>4.000022675736961</v>
      </c>
      <c r="I2413">
        <f t="shared" si="75"/>
        <v>6</v>
      </c>
      <c r="J2413" t="s">
        <v>32</v>
      </c>
      <c r="K2413">
        <v>4</v>
      </c>
      <c r="L2413" t="e">
        <f t="array" ref="L2413">VLOOKUP(J2413:$J$3871&amp;K2413:$K$3871,CHOOSE({1,2},#REF!&amp;#REF!,#REF!),2,0)</f>
        <v>#N/A</v>
      </c>
      <c r="M2413">
        <v>0</v>
      </c>
      <c r="N2413">
        <v>1</v>
      </c>
      <c r="O2413" t="s">
        <v>23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1</v>
      </c>
      <c r="W2413">
        <v>1</v>
      </c>
      <c r="X2413">
        <v>1</v>
      </c>
      <c r="Y2413">
        <v>0</v>
      </c>
      <c r="Z2413">
        <v>0</v>
      </c>
      <c r="AA2413" t="s">
        <v>3965</v>
      </c>
      <c r="AB2413" t="s">
        <v>1463</v>
      </c>
      <c r="AC2413" t="s">
        <v>3965</v>
      </c>
      <c r="AD2413" t="e">
        <f>VLOOKUP(AB2413,#REF!,2,FALSE)</f>
        <v>#REF!</v>
      </c>
      <c r="AE2413" t="e">
        <f>RIGHT(#REF!,(FIND("Complex",#REF!,1)-8))</f>
        <v>#REF!</v>
      </c>
    </row>
    <row r="2414" spans="1:31" x14ac:dyDescent="0.25">
      <c r="A2414">
        <v>3135</v>
      </c>
      <c r="B2414" t="s">
        <v>73</v>
      </c>
      <c r="C2414">
        <v>61</v>
      </c>
      <c r="D2414">
        <v>375</v>
      </c>
      <c r="E2414">
        <v>3135</v>
      </c>
      <c r="F2414">
        <v>1587601</v>
      </c>
      <c r="G2414">
        <v>1675800</v>
      </c>
      <c r="H2414">
        <f t="shared" si="74"/>
        <v>36.000022675736965</v>
      </c>
      <c r="I2414">
        <f t="shared" si="75"/>
        <v>38</v>
      </c>
      <c r="J2414" t="s">
        <v>32</v>
      </c>
      <c r="K2414">
        <v>4</v>
      </c>
      <c r="L2414" t="e">
        <f t="array" ref="L2414">VLOOKUP(J2414:$J$3871&amp;K2414:$K$3871,CHOOSE({1,2},#REF!&amp;#REF!,#REF!),2,0)</f>
        <v>#N/A</v>
      </c>
      <c r="M2414">
        <v>0</v>
      </c>
      <c r="N2414">
        <v>1</v>
      </c>
      <c r="O2414" t="s">
        <v>23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0</v>
      </c>
      <c r="V2414">
        <v>1</v>
      </c>
      <c r="W2414">
        <v>1</v>
      </c>
      <c r="X2414">
        <v>1</v>
      </c>
      <c r="Y2414">
        <v>0</v>
      </c>
      <c r="Z2414">
        <v>0</v>
      </c>
      <c r="AA2414" t="s">
        <v>4003</v>
      </c>
      <c r="AB2414" t="s">
        <v>1464</v>
      </c>
      <c r="AC2414" t="s">
        <v>4003</v>
      </c>
      <c r="AD2414" t="e">
        <f>VLOOKUP(AB2414,#REF!,2,FALSE)</f>
        <v>#REF!</v>
      </c>
      <c r="AE2414" t="e">
        <f>RIGHT(#REF!,(FIND("Complex",#REF!,1)-7))</f>
        <v>#REF!</v>
      </c>
    </row>
    <row r="2415" spans="1:31" x14ac:dyDescent="0.25">
      <c r="A2415">
        <v>3109</v>
      </c>
      <c r="B2415" t="s">
        <v>73</v>
      </c>
      <c r="C2415">
        <v>61</v>
      </c>
      <c r="D2415">
        <v>366</v>
      </c>
      <c r="E2415">
        <v>3109</v>
      </c>
      <c r="F2415">
        <v>1411201</v>
      </c>
      <c r="G2415">
        <v>1499400</v>
      </c>
      <c r="H2415">
        <f t="shared" si="74"/>
        <v>32.000022675736965</v>
      </c>
      <c r="I2415">
        <f t="shared" si="75"/>
        <v>34</v>
      </c>
      <c r="J2415" t="s">
        <v>32</v>
      </c>
      <c r="K2415">
        <v>4</v>
      </c>
      <c r="L2415" t="e">
        <f t="array" ref="L2415">VLOOKUP(J2415:$J$3871&amp;K2415:$K$3871,CHOOSE({1,2},#REF!&amp;#REF!,#REF!),2,0)</f>
        <v>#N/A</v>
      </c>
      <c r="M2415">
        <v>0</v>
      </c>
      <c r="N2415">
        <v>1</v>
      </c>
      <c r="O2415" t="s">
        <v>23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1</v>
      </c>
      <c r="W2415">
        <v>1</v>
      </c>
      <c r="X2415">
        <v>1</v>
      </c>
      <c r="Y2415">
        <v>0</v>
      </c>
      <c r="Z2415">
        <v>0</v>
      </c>
      <c r="AA2415" t="s">
        <v>4039</v>
      </c>
      <c r="AB2415" t="s">
        <v>1465</v>
      </c>
      <c r="AC2415" t="s">
        <v>4039</v>
      </c>
      <c r="AD2415" t="e">
        <f>VLOOKUP(AB2415,#REF!,2,FALSE)</f>
        <v>#REF!</v>
      </c>
      <c r="AE2415" t="e">
        <f>RIGHT(#REF!,(FIND("Complex",#REF!,1)-7))</f>
        <v>#REF!</v>
      </c>
    </row>
    <row r="2416" spans="1:31" x14ac:dyDescent="0.25">
      <c r="A2416">
        <v>1743</v>
      </c>
      <c r="B2416" t="s">
        <v>73</v>
      </c>
      <c r="C2416">
        <v>61</v>
      </c>
      <c r="D2416">
        <v>159</v>
      </c>
      <c r="E2416">
        <v>1743</v>
      </c>
      <c r="F2416">
        <v>1323001</v>
      </c>
      <c r="G2416">
        <v>1411200</v>
      </c>
      <c r="H2416">
        <f t="shared" si="74"/>
        <v>30.000022675736961</v>
      </c>
      <c r="I2416">
        <f t="shared" si="75"/>
        <v>32</v>
      </c>
      <c r="J2416" t="s">
        <v>32</v>
      </c>
      <c r="K2416">
        <v>4</v>
      </c>
      <c r="L2416" t="e">
        <f t="array" ref="L2416">VLOOKUP(J2416:$J$3871&amp;K2416:$K$3871,CHOOSE({1,2},#REF!&amp;#REF!,#REF!),2,0)</f>
        <v>#N/A</v>
      </c>
      <c r="M2416">
        <v>0</v>
      </c>
      <c r="N2416">
        <v>1</v>
      </c>
      <c r="O2416" t="s">
        <v>23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0</v>
      </c>
      <c r="V2416">
        <v>1</v>
      </c>
      <c r="W2416">
        <v>1</v>
      </c>
      <c r="X2416">
        <v>1</v>
      </c>
      <c r="Y2416">
        <v>0</v>
      </c>
      <c r="Z2416">
        <v>0</v>
      </c>
      <c r="AA2416" t="s">
        <v>4066</v>
      </c>
      <c r="AB2416" t="s">
        <v>1466</v>
      </c>
      <c r="AC2416" t="s">
        <v>4066</v>
      </c>
      <c r="AD2416" t="e">
        <f>VLOOKUP(AB2416,#REF!,2,FALSE)</f>
        <v>#REF!</v>
      </c>
      <c r="AE2416" t="e">
        <f>RIGHT(#REF!,(FIND("Complex",#REF!,1)-7))</f>
        <v>#REF!</v>
      </c>
    </row>
    <row r="2417" spans="1:31" x14ac:dyDescent="0.25">
      <c r="A2417">
        <v>2919</v>
      </c>
      <c r="B2417" t="s">
        <v>73</v>
      </c>
      <c r="C2417">
        <v>61</v>
      </c>
      <c r="D2417">
        <v>322</v>
      </c>
      <c r="E2417">
        <v>2919</v>
      </c>
      <c r="F2417">
        <v>1146601</v>
      </c>
      <c r="G2417">
        <v>1234800</v>
      </c>
      <c r="H2417">
        <f t="shared" si="74"/>
        <v>26.000022675736961</v>
      </c>
      <c r="I2417">
        <f t="shared" si="75"/>
        <v>28</v>
      </c>
      <c r="J2417" t="s">
        <v>32</v>
      </c>
      <c r="K2417">
        <v>4</v>
      </c>
      <c r="L2417" t="e">
        <f t="array" ref="L2417">VLOOKUP(J2417:$J$3871&amp;K2417:$K$3871,CHOOSE({1,2},#REF!&amp;#REF!,#REF!),2,0)</f>
        <v>#N/A</v>
      </c>
      <c r="M2417">
        <v>0</v>
      </c>
      <c r="N2417">
        <v>1</v>
      </c>
      <c r="O2417" t="s">
        <v>23</v>
      </c>
      <c r="P2417">
        <v>0</v>
      </c>
      <c r="Q2417">
        <v>0</v>
      </c>
      <c r="R2417">
        <v>1</v>
      </c>
      <c r="S2417">
        <v>0</v>
      </c>
      <c r="T2417">
        <v>0</v>
      </c>
      <c r="U2417">
        <v>0</v>
      </c>
      <c r="V2417">
        <v>1</v>
      </c>
      <c r="W2417">
        <v>1</v>
      </c>
      <c r="X2417">
        <v>1</v>
      </c>
      <c r="Y2417">
        <v>0</v>
      </c>
      <c r="Z2417">
        <v>0</v>
      </c>
      <c r="AA2417" t="s">
        <v>4148</v>
      </c>
      <c r="AB2417" t="s">
        <v>194</v>
      </c>
      <c r="AC2417" t="s">
        <v>4148</v>
      </c>
      <c r="AD2417" t="e">
        <f>VLOOKUP(AB2417,#REF!,2,FALSE)</f>
        <v>#REF!</v>
      </c>
      <c r="AE2417" t="e">
        <f>RIGHT(#REF!,(FIND("Complex",#REF!,1)-7))</f>
        <v>#REF!</v>
      </c>
    </row>
    <row r="2418" spans="1:31" x14ac:dyDescent="0.25">
      <c r="A2418">
        <v>258</v>
      </c>
      <c r="B2418" t="s">
        <v>73</v>
      </c>
      <c r="C2418">
        <v>61</v>
      </c>
      <c r="D2418">
        <v>24</v>
      </c>
      <c r="E2418">
        <v>258</v>
      </c>
      <c r="F2418">
        <v>970201</v>
      </c>
      <c r="G2418">
        <v>1058400</v>
      </c>
      <c r="H2418">
        <f t="shared" si="74"/>
        <v>22.000022675736961</v>
      </c>
      <c r="I2418">
        <f t="shared" si="75"/>
        <v>24</v>
      </c>
      <c r="J2418" t="s">
        <v>32</v>
      </c>
      <c r="K2418">
        <v>4</v>
      </c>
      <c r="L2418" t="e">
        <f t="array" ref="L2418">VLOOKUP(J2418:$J$3871&amp;K2418:$K$3871,CHOOSE({1,2},#REF!&amp;#REF!,#REF!),2,0)</f>
        <v>#N/A</v>
      </c>
      <c r="M2418">
        <v>0</v>
      </c>
      <c r="N2418">
        <v>1</v>
      </c>
      <c r="O2418" t="s">
        <v>23</v>
      </c>
      <c r="P2418">
        <v>0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1</v>
      </c>
      <c r="W2418">
        <v>1</v>
      </c>
      <c r="X2418">
        <v>1</v>
      </c>
      <c r="Y2418">
        <v>0</v>
      </c>
      <c r="Z2418">
        <v>0</v>
      </c>
      <c r="AA2418" t="s">
        <v>4245</v>
      </c>
      <c r="AB2418" t="s">
        <v>1467</v>
      </c>
      <c r="AC2418" t="s">
        <v>4245</v>
      </c>
      <c r="AD2418" t="e">
        <f>VLOOKUP(AB2418,#REF!,2,FALSE)</f>
        <v>#REF!</v>
      </c>
      <c r="AE2418" t="e">
        <f>RIGHT(#REF!,(FIND("Complex",#REF!,1)-6))</f>
        <v>#REF!</v>
      </c>
    </row>
    <row r="2419" spans="1:31" x14ac:dyDescent="0.25">
      <c r="A2419">
        <v>2322</v>
      </c>
      <c r="B2419" t="s">
        <v>73</v>
      </c>
      <c r="C2419">
        <v>61</v>
      </c>
      <c r="D2419">
        <v>223</v>
      </c>
      <c r="E2419">
        <v>2322</v>
      </c>
      <c r="F2419">
        <v>882001</v>
      </c>
      <c r="G2419">
        <v>970200</v>
      </c>
      <c r="H2419">
        <f t="shared" si="74"/>
        <v>20.000022675736961</v>
      </c>
      <c r="I2419">
        <f t="shared" si="75"/>
        <v>22</v>
      </c>
      <c r="J2419" t="s">
        <v>32</v>
      </c>
      <c r="K2419">
        <v>4</v>
      </c>
      <c r="L2419" t="e">
        <f t="array" ref="L2419">VLOOKUP(J2419:$J$3871&amp;K2419:$K$3871,CHOOSE({1,2},#REF!&amp;#REF!,#REF!),2,0)</f>
        <v>#N/A</v>
      </c>
      <c r="M2419">
        <v>0</v>
      </c>
      <c r="N2419">
        <v>1</v>
      </c>
      <c r="O2419" t="s">
        <v>23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0</v>
      </c>
      <c r="V2419">
        <v>1</v>
      </c>
      <c r="W2419">
        <v>1</v>
      </c>
      <c r="X2419">
        <v>1</v>
      </c>
      <c r="Y2419">
        <v>0</v>
      </c>
      <c r="Z2419">
        <v>0</v>
      </c>
      <c r="AA2419" t="s">
        <v>4312</v>
      </c>
      <c r="AB2419" t="s">
        <v>1468</v>
      </c>
      <c r="AC2419" t="s">
        <v>4312</v>
      </c>
      <c r="AD2419" t="e">
        <f>VLOOKUP(AB2419,#REF!,2,FALSE)</f>
        <v>#REF!</v>
      </c>
      <c r="AE2419" t="e">
        <f>RIGHT(#REF!,(FIND("Complex",#REF!,1)-7))</f>
        <v>#REF!</v>
      </c>
    </row>
    <row r="2420" spans="1:31" x14ac:dyDescent="0.25">
      <c r="A2420">
        <v>2573</v>
      </c>
      <c r="B2420" t="s">
        <v>73</v>
      </c>
      <c r="C2420">
        <v>61</v>
      </c>
      <c r="D2420">
        <v>254</v>
      </c>
      <c r="E2420">
        <v>2573</v>
      </c>
      <c r="F2420">
        <v>88201</v>
      </c>
      <c r="G2420">
        <v>176400</v>
      </c>
      <c r="H2420">
        <f t="shared" si="74"/>
        <v>2.0000226757369615</v>
      </c>
      <c r="I2420">
        <f t="shared" si="75"/>
        <v>4</v>
      </c>
      <c r="J2420" t="s">
        <v>32</v>
      </c>
      <c r="K2420">
        <v>4</v>
      </c>
      <c r="L2420" t="e">
        <f t="array" ref="L2420">VLOOKUP(J2420:$J$3871&amp;K2420:$K$3871,CHOOSE({1,2},#REF!&amp;#REF!,#REF!),2,0)</f>
        <v>#N/A</v>
      </c>
      <c r="M2420">
        <v>0</v>
      </c>
      <c r="N2420">
        <v>1</v>
      </c>
      <c r="O2420" t="s">
        <v>23</v>
      </c>
      <c r="P2420">
        <v>0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1</v>
      </c>
      <c r="W2420">
        <v>1</v>
      </c>
      <c r="X2420">
        <v>1</v>
      </c>
      <c r="Y2420">
        <v>0</v>
      </c>
      <c r="Z2420">
        <v>0</v>
      </c>
      <c r="AA2420" t="s">
        <v>4331</v>
      </c>
      <c r="AB2420" t="s">
        <v>1469</v>
      </c>
      <c r="AC2420" t="s">
        <v>4331</v>
      </c>
      <c r="AD2420" t="e">
        <f>VLOOKUP(AB2420,#REF!,2,FALSE)</f>
        <v>#REF!</v>
      </c>
      <c r="AE2420" t="e">
        <f>RIGHT(#REF!,(FIND("Complex",#REF!,1)-8))</f>
        <v>#REF!</v>
      </c>
    </row>
    <row r="2421" spans="1:31" x14ac:dyDescent="0.25">
      <c r="A2421">
        <v>139</v>
      </c>
      <c r="B2421" t="s">
        <v>73</v>
      </c>
      <c r="C2421">
        <v>61</v>
      </c>
      <c r="D2421">
        <v>11</v>
      </c>
      <c r="E2421">
        <v>139</v>
      </c>
      <c r="F2421">
        <v>529201</v>
      </c>
      <c r="G2421">
        <v>617400</v>
      </c>
      <c r="H2421">
        <f t="shared" si="74"/>
        <v>12.000022675736961</v>
      </c>
      <c r="I2421">
        <f t="shared" si="75"/>
        <v>14</v>
      </c>
      <c r="J2421" t="s">
        <v>32</v>
      </c>
      <c r="K2421">
        <v>4</v>
      </c>
      <c r="L2421" t="e">
        <f t="array" ref="L2421">VLOOKUP(J2421:$J$3871&amp;K2421:$K$3871,CHOOSE({1,2},#REF!&amp;#REF!,#REF!),2,0)</f>
        <v>#N/A</v>
      </c>
      <c r="M2421">
        <v>0</v>
      </c>
      <c r="N2421">
        <v>1</v>
      </c>
      <c r="O2421" t="s">
        <v>23</v>
      </c>
      <c r="P2421">
        <v>0</v>
      </c>
      <c r="Q2421">
        <v>0</v>
      </c>
      <c r="R2421">
        <v>1</v>
      </c>
      <c r="S2421">
        <v>0</v>
      </c>
      <c r="T2421">
        <v>0</v>
      </c>
      <c r="U2421">
        <v>0</v>
      </c>
      <c r="V2421">
        <v>1</v>
      </c>
      <c r="W2421">
        <v>1</v>
      </c>
      <c r="X2421">
        <v>1</v>
      </c>
      <c r="Y2421">
        <v>0</v>
      </c>
      <c r="Z2421">
        <v>0</v>
      </c>
      <c r="AA2421" t="s">
        <v>4736</v>
      </c>
      <c r="AB2421" t="s">
        <v>1470</v>
      </c>
      <c r="AC2421" t="s">
        <v>4736</v>
      </c>
      <c r="AD2421" t="e">
        <f>VLOOKUP(AB2421,#REF!,2,FALSE)</f>
        <v>#REF!</v>
      </c>
      <c r="AE2421" t="e">
        <f>RIGHT(#REF!,(FIND("Complex",#REF!,1)-6))</f>
        <v>#REF!</v>
      </c>
    </row>
    <row r="2422" spans="1:31" x14ac:dyDescent="0.25">
      <c r="A2422">
        <v>2476</v>
      </c>
      <c r="B2422" t="s">
        <v>73</v>
      </c>
      <c r="C2422">
        <v>61</v>
      </c>
      <c r="D2422">
        <v>240</v>
      </c>
      <c r="E2422">
        <v>2476</v>
      </c>
      <c r="F2422">
        <v>4410001</v>
      </c>
      <c r="G2422">
        <v>4498200</v>
      </c>
      <c r="H2422">
        <f t="shared" si="74"/>
        <v>100.00002267573696</v>
      </c>
      <c r="I2422">
        <f t="shared" si="75"/>
        <v>102</v>
      </c>
      <c r="J2422" t="s">
        <v>32</v>
      </c>
      <c r="K2422">
        <v>4</v>
      </c>
      <c r="L2422" t="e">
        <f t="array" ref="L2422">VLOOKUP(J2422:$J$3871&amp;K2422:$K$3871,CHOOSE({1,2},#REF!&amp;#REF!,#REF!),2,0)</f>
        <v>#N/A</v>
      </c>
      <c r="M2422">
        <v>0</v>
      </c>
      <c r="N2422">
        <v>1</v>
      </c>
      <c r="O2422" t="s">
        <v>23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1</v>
      </c>
      <c r="W2422">
        <v>1</v>
      </c>
      <c r="X2422">
        <v>1</v>
      </c>
      <c r="Y2422">
        <v>0</v>
      </c>
      <c r="Z2422">
        <v>0</v>
      </c>
      <c r="AA2422" t="s">
        <v>4837</v>
      </c>
      <c r="AB2422" t="s">
        <v>1471</v>
      </c>
      <c r="AC2422" t="s">
        <v>4837</v>
      </c>
      <c r="AD2422" t="e">
        <f>VLOOKUP(AB2422,#REF!,2,FALSE)</f>
        <v>#REF!</v>
      </c>
      <c r="AE2422" t="e">
        <f>RIGHT(#REF!,(FIND("Complex",#REF!,1)-6))</f>
        <v>#REF!</v>
      </c>
    </row>
    <row r="2423" spans="1:31" x14ac:dyDescent="0.25">
      <c r="A2423">
        <v>909</v>
      </c>
      <c r="B2423" t="s">
        <v>39</v>
      </c>
      <c r="C2423">
        <v>63</v>
      </c>
      <c r="D2423">
        <v>74</v>
      </c>
      <c r="E2423">
        <v>909</v>
      </c>
      <c r="F2423">
        <v>3969001</v>
      </c>
      <c r="G2423">
        <v>4057200</v>
      </c>
      <c r="H2423">
        <f t="shared" si="74"/>
        <v>90.000022675736957</v>
      </c>
      <c r="I2423">
        <f t="shared" si="75"/>
        <v>92</v>
      </c>
      <c r="J2423" t="s">
        <v>32</v>
      </c>
      <c r="K2423">
        <v>4</v>
      </c>
      <c r="L2423" t="e">
        <f t="array" ref="L2423">VLOOKUP(J2423:$J$3871&amp;K2423:$K$3871,CHOOSE({1,2},#REF!&amp;#REF!,#REF!),2,0)</f>
        <v>#N/A</v>
      </c>
      <c r="M2423">
        <v>0</v>
      </c>
      <c r="N2423">
        <v>1</v>
      </c>
      <c r="O2423" t="s">
        <v>23</v>
      </c>
      <c r="P2423">
        <v>0</v>
      </c>
      <c r="Q2423">
        <v>0</v>
      </c>
      <c r="R2423">
        <v>1</v>
      </c>
      <c r="S2423">
        <v>0</v>
      </c>
      <c r="T2423">
        <v>0</v>
      </c>
      <c r="U2423">
        <v>0</v>
      </c>
      <c r="V2423">
        <v>1</v>
      </c>
      <c r="W2423">
        <v>1</v>
      </c>
      <c r="X2423">
        <v>1</v>
      </c>
      <c r="Y2423">
        <v>0</v>
      </c>
      <c r="Z2423">
        <v>0</v>
      </c>
      <c r="AA2423" t="s">
        <v>3553</v>
      </c>
      <c r="AB2423" t="s">
        <v>181</v>
      </c>
      <c r="AC2423" t="s">
        <v>3553</v>
      </c>
      <c r="AD2423" t="e">
        <f>VLOOKUP(AB2423,#REF!,2,FALSE)</f>
        <v>#REF!</v>
      </c>
      <c r="AE2423" t="e">
        <f>RIGHT(#REF!,(FIND("Complex",#REF!,1)-6))</f>
        <v>#REF!</v>
      </c>
    </row>
    <row r="2424" spans="1:31" x14ac:dyDescent="0.25">
      <c r="A2424">
        <v>2617</v>
      </c>
      <c r="B2424" t="s">
        <v>39</v>
      </c>
      <c r="C2424">
        <v>63</v>
      </c>
      <c r="D2424">
        <v>260</v>
      </c>
      <c r="E2424">
        <v>2617</v>
      </c>
      <c r="F2424">
        <v>3880801</v>
      </c>
      <c r="G2424">
        <v>3969000</v>
      </c>
      <c r="H2424">
        <f t="shared" si="74"/>
        <v>88.000022675736957</v>
      </c>
      <c r="I2424">
        <f t="shared" si="75"/>
        <v>90</v>
      </c>
      <c r="J2424" t="s">
        <v>32</v>
      </c>
      <c r="K2424">
        <v>4</v>
      </c>
      <c r="L2424" t="e">
        <f t="array" ref="L2424">VLOOKUP(J2424:$J$3871&amp;K2424:$K$3871,CHOOSE({1,2},#REF!&amp;#REF!,#REF!),2,0)</f>
        <v>#N/A</v>
      </c>
      <c r="M2424">
        <v>0</v>
      </c>
      <c r="N2424">
        <v>1</v>
      </c>
      <c r="O2424" t="s">
        <v>23</v>
      </c>
      <c r="P2424">
        <v>0</v>
      </c>
      <c r="Q2424">
        <v>0</v>
      </c>
      <c r="R2424">
        <v>1</v>
      </c>
      <c r="S2424">
        <v>0</v>
      </c>
      <c r="T2424">
        <v>0</v>
      </c>
      <c r="U2424">
        <v>0</v>
      </c>
      <c r="V2424">
        <v>1</v>
      </c>
      <c r="W2424">
        <v>1</v>
      </c>
      <c r="X2424">
        <v>1</v>
      </c>
      <c r="Y2424">
        <v>0</v>
      </c>
      <c r="Z2424">
        <v>0</v>
      </c>
      <c r="AA2424" t="s">
        <v>3572</v>
      </c>
      <c r="AB2424" t="s">
        <v>1476</v>
      </c>
      <c r="AC2424" t="s">
        <v>3572</v>
      </c>
      <c r="AD2424" t="e">
        <f>VLOOKUP(AB2424,#REF!,2,FALSE)</f>
        <v>#REF!</v>
      </c>
      <c r="AE2424" t="e">
        <f>RIGHT(#REF!,(FIND("Complex",#REF!,1)-7))</f>
        <v>#REF!</v>
      </c>
    </row>
    <row r="2425" spans="1:31" x14ac:dyDescent="0.25">
      <c r="A2425">
        <v>2008</v>
      </c>
      <c r="B2425" t="s">
        <v>39</v>
      </c>
      <c r="C2425">
        <v>63</v>
      </c>
      <c r="D2425">
        <v>192</v>
      </c>
      <c r="E2425">
        <v>2008</v>
      </c>
      <c r="F2425">
        <v>3616201</v>
      </c>
      <c r="G2425">
        <v>3704400</v>
      </c>
      <c r="H2425">
        <f t="shared" si="74"/>
        <v>82.000022675736957</v>
      </c>
      <c r="I2425">
        <f t="shared" si="75"/>
        <v>84</v>
      </c>
      <c r="J2425" t="s">
        <v>32</v>
      </c>
      <c r="K2425">
        <v>4</v>
      </c>
      <c r="L2425" t="e">
        <f t="array" ref="L2425">VLOOKUP(J2425:$J$3871&amp;K2425:$K$3871,CHOOSE({1,2},#REF!&amp;#REF!,#REF!),2,0)</f>
        <v>#N/A</v>
      </c>
      <c r="M2425">
        <v>0</v>
      </c>
      <c r="N2425">
        <v>1</v>
      </c>
      <c r="O2425" t="s">
        <v>23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1</v>
      </c>
      <c r="W2425">
        <v>1</v>
      </c>
      <c r="X2425">
        <v>1</v>
      </c>
      <c r="Y2425">
        <v>0</v>
      </c>
      <c r="Z2425">
        <v>0</v>
      </c>
      <c r="AA2425" t="s">
        <v>3607</v>
      </c>
      <c r="AB2425" t="s">
        <v>1477</v>
      </c>
      <c r="AC2425" t="s">
        <v>3607</v>
      </c>
      <c r="AD2425" t="e">
        <f>VLOOKUP(AB2425,#REF!,2,FALSE)</f>
        <v>#REF!</v>
      </c>
      <c r="AE2425" t="e">
        <f>RIGHT(#REF!,(FIND("Complex",#REF!,1)-7))</f>
        <v>#REF!</v>
      </c>
    </row>
    <row r="2426" spans="1:31" x14ac:dyDescent="0.25">
      <c r="A2426">
        <v>3222</v>
      </c>
      <c r="B2426" t="s">
        <v>39</v>
      </c>
      <c r="C2426">
        <v>63</v>
      </c>
      <c r="D2426">
        <v>396</v>
      </c>
      <c r="E2426">
        <v>3222</v>
      </c>
      <c r="F2426">
        <v>3439801</v>
      </c>
      <c r="G2426">
        <v>3528000</v>
      </c>
      <c r="H2426">
        <f t="shared" si="74"/>
        <v>78.000022675736957</v>
      </c>
      <c r="I2426">
        <f t="shared" si="75"/>
        <v>80</v>
      </c>
      <c r="J2426" t="s">
        <v>32</v>
      </c>
      <c r="K2426">
        <v>4</v>
      </c>
      <c r="L2426" t="e">
        <f t="array" ref="L2426">VLOOKUP(J2426:$J$3871&amp;K2426:$K$3871,CHOOSE({1,2},#REF!&amp;#REF!,#REF!),2,0)</f>
        <v>#N/A</v>
      </c>
      <c r="M2426">
        <v>0</v>
      </c>
      <c r="N2426">
        <v>1</v>
      </c>
      <c r="O2426" t="s">
        <v>23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1</v>
      </c>
      <c r="W2426">
        <v>1</v>
      </c>
      <c r="X2426">
        <v>1</v>
      </c>
      <c r="Y2426">
        <v>0</v>
      </c>
      <c r="Z2426">
        <v>0</v>
      </c>
      <c r="AA2426" t="s">
        <v>3652</v>
      </c>
      <c r="AB2426" t="s">
        <v>1478</v>
      </c>
      <c r="AC2426" t="s">
        <v>3652</v>
      </c>
      <c r="AD2426" t="e">
        <f>VLOOKUP(AB2426,#REF!,2,FALSE)</f>
        <v>#REF!</v>
      </c>
      <c r="AE2426" t="e">
        <f>RIGHT(#REF!,(FIND("Complex",#REF!,1)-7))</f>
        <v>#REF!</v>
      </c>
    </row>
    <row r="2427" spans="1:31" x14ac:dyDescent="0.25">
      <c r="A2427">
        <v>3037</v>
      </c>
      <c r="B2427" t="s">
        <v>39</v>
      </c>
      <c r="C2427">
        <v>63</v>
      </c>
      <c r="D2427">
        <v>350</v>
      </c>
      <c r="E2427">
        <v>3037</v>
      </c>
      <c r="F2427">
        <v>3351601</v>
      </c>
      <c r="G2427">
        <v>3439800</v>
      </c>
      <c r="H2427">
        <f t="shared" si="74"/>
        <v>76.000022675736957</v>
      </c>
      <c r="I2427">
        <f t="shared" si="75"/>
        <v>78</v>
      </c>
      <c r="J2427" t="s">
        <v>32</v>
      </c>
      <c r="K2427">
        <v>4</v>
      </c>
      <c r="L2427" t="e">
        <f t="array" ref="L2427">VLOOKUP(J2427:$J$3871&amp;K2427:$K$3871,CHOOSE({1,2},#REF!&amp;#REF!,#REF!),2,0)</f>
        <v>#N/A</v>
      </c>
      <c r="M2427">
        <v>0</v>
      </c>
      <c r="N2427">
        <v>1</v>
      </c>
      <c r="O2427" t="s">
        <v>23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0</v>
      </c>
      <c r="V2427">
        <v>1</v>
      </c>
      <c r="W2427">
        <v>1</v>
      </c>
      <c r="X2427">
        <v>1</v>
      </c>
      <c r="Y2427">
        <v>0</v>
      </c>
      <c r="Z2427">
        <v>0</v>
      </c>
      <c r="AA2427" t="s">
        <v>3665</v>
      </c>
      <c r="AB2427" t="s">
        <v>1479</v>
      </c>
      <c r="AC2427" t="s">
        <v>3665</v>
      </c>
      <c r="AD2427" t="e">
        <f>VLOOKUP(AB2427,#REF!,2,FALSE)</f>
        <v>#REF!</v>
      </c>
      <c r="AE2427" t="e">
        <f>RIGHT(#REF!,(FIND("Complex",#REF!,1)-7))</f>
        <v>#REF!</v>
      </c>
    </row>
    <row r="2428" spans="1:31" x14ac:dyDescent="0.25">
      <c r="A2428">
        <v>2553</v>
      </c>
      <c r="B2428" t="s">
        <v>39</v>
      </c>
      <c r="C2428">
        <v>63</v>
      </c>
      <c r="D2428">
        <v>252</v>
      </c>
      <c r="E2428">
        <v>2553</v>
      </c>
      <c r="F2428">
        <v>3175201</v>
      </c>
      <c r="G2428">
        <v>3263400</v>
      </c>
      <c r="H2428">
        <f t="shared" si="74"/>
        <v>72.000022675736957</v>
      </c>
      <c r="I2428">
        <f t="shared" si="75"/>
        <v>74</v>
      </c>
      <c r="J2428" t="s">
        <v>32</v>
      </c>
      <c r="K2428">
        <v>4</v>
      </c>
      <c r="L2428" t="e">
        <f t="array" ref="L2428">VLOOKUP(J2428:$J$3871&amp;K2428:$K$3871,CHOOSE({1,2},#REF!&amp;#REF!,#REF!),2,0)</f>
        <v>#N/A</v>
      </c>
      <c r="M2428">
        <v>0</v>
      </c>
      <c r="N2428">
        <v>1</v>
      </c>
      <c r="O2428" t="s">
        <v>23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0</v>
      </c>
      <c r="V2428">
        <v>1</v>
      </c>
      <c r="W2428">
        <v>1</v>
      </c>
      <c r="X2428">
        <v>1</v>
      </c>
      <c r="Y2428">
        <v>0</v>
      </c>
      <c r="Z2428">
        <v>0</v>
      </c>
      <c r="AA2428" t="s">
        <v>3690</v>
      </c>
      <c r="AB2428" t="s">
        <v>1480</v>
      </c>
      <c r="AC2428" t="s">
        <v>3690</v>
      </c>
      <c r="AD2428" t="e">
        <f>VLOOKUP(AB2428,#REF!,2,FALSE)</f>
        <v>#REF!</v>
      </c>
      <c r="AE2428" t="e">
        <f>RIGHT(#REF!,(FIND("Complex",#REF!,1)-7))</f>
        <v>#REF!</v>
      </c>
    </row>
    <row r="2429" spans="1:31" x14ac:dyDescent="0.25">
      <c r="A2429">
        <v>2897</v>
      </c>
      <c r="B2429" t="s">
        <v>39</v>
      </c>
      <c r="C2429">
        <v>63</v>
      </c>
      <c r="D2429">
        <v>317</v>
      </c>
      <c r="E2429">
        <v>2897</v>
      </c>
      <c r="F2429">
        <v>3087001</v>
      </c>
      <c r="G2429">
        <v>3175200</v>
      </c>
      <c r="H2429">
        <f t="shared" si="74"/>
        <v>70.000022675736957</v>
      </c>
      <c r="I2429">
        <f t="shared" si="75"/>
        <v>72</v>
      </c>
      <c r="J2429" t="s">
        <v>32</v>
      </c>
      <c r="K2429">
        <v>4</v>
      </c>
      <c r="L2429" t="e">
        <f t="array" ref="L2429">VLOOKUP(J2429:$J$3871&amp;K2429:$K$3871,CHOOSE({1,2},#REF!&amp;#REF!,#REF!),2,0)</f>
        <v>#N/A</v>
      </c>
      <c r="M2429">
        <v>0</v>
      </c>
      <c r="N2429">
        <v>1</v>
      </c>
      <c r="O2429" t="s">
        <v>23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0</v>
      </c>
      <c r="V2429">
        <v>1</v>
      </c>
      <c r="W2429">
        <v>1</v>
      </c>
      <c r="X2429">
        <v>1</v>
      </c>
      <c r="Y2429">
        <v>0</v>
      </c>
      <c r="Z2429">
        <v>0</v>
      </c>
      <c r="AA2429" t="s">
        <v>3705</v>
      </c>
      <c r="AB2429" t="s">
        <v>1481</v>
      </c>
      <c r="AC2429" t="s">
        <v>3705</v>
      </c>
      <c r="AD2429" t="e">
        <f>VLOOKUP(AB2429,#REF!,2,FALSE)</f>
        <v>#REF!</v>
      </c>
      <c r="AE2429" t="e">
        <f>RIGHT(#REF!,(FIND("Complex",#REF!,1)-7))</f>
        <v>#REF!</v>
      </c>
    </row>
    <row r="2430" spans="1:31" x14ac:dyDescent="0.25">
      <c r="A2430">
        <v>518</v>
      </c>
      <c r="B2430" t="s">
        <v>39</v>
      </c>
      <c r="C2430">
        <v>63</v>
      </c>
      <c r="D2430">
        <v>43</v>
      </c>
      <c r="E2430">
        <v>518</v>
      </c>
      <c r="F2430">
        <v>2998801</v>
      </c>
      <c r="G2430">
        <v>3087000</v>
      </c>
      <c r="H2430">
        <f t="shared" si="74"/>
        <v>68.000022675736957</v>
      </c>
      <c r="I2430">
        <f t="shared" si="75"/>
        <v>70</v>
      </c>
      <c r="J2430" t="s">
        <v>32</v>
      </c>
      <c r="K2430">
        <v>4</v>
      </c>
      <c r="L2430" t="e">
        <f t="array" ref="L2430">VLOOKUP(J2430:$J$3871&amp;K2430:$K$3871,CHOOSE({1,2},#REF!&amp;#REF!,#REF!),2,0)</f>
        <v>#N/A</v>
      </c>
      <c r="M2430">
        <v>0</v>
      </c>
      <c r="N2430">
        <v>1</v>
      </c>
      <c r="O2430" t="s">
        <v>23</v>
      </c>
      <c r="P2430">
        <v>0</v>
      </c>
      <c r="Q2430">
        <v>0</v>
      </c>
      <c r="R2430">
        <v>1</v>
      </c>
      <c r="S2430">
        <v>0</v>
      </c>
      <c r="T2430">
        <v>0</v>
      </c>
      <c r="U2430">
        <v>0</v>
      </c>
      <c r="V2430">
        <v>1</v>
      </c>
      <c r="W2430">
        <v>1</v>
      </c>
      <c r="X2430">
        <v>1</v>
      </c>
      <c r="Y2430">
        <v>0</v>
      </c>
      <c r="Z2430">
        <v>0</v>
      </c>
      <c r="AA2430" t="s">
        <v>3723</v>
      </c>
      <c r="AB2430" t="s">
        <v>1482</v>
      </c>
      <c r="AC2430" t="s">
        <v>3723</v>
      </c>
      <c r="AD2430" t="e">
        <f>VLOOKUP(AB2430,#REF!,2,FALSE)</f>
        <v>#REF!</v>
      </c>
      <c r="AE2430" t="e">
        <f>RIGHT(#REF!,(FIND("Complex",#REF!,1)-6))</f>
        <v>#REF!</v>
      </c>
    </row>
    <row r="2431" spans="1:31" x14ac:dyDescent="0.25">
      <c r="A2431">
        <v>2347</v>
      </c>
      <c r="B2431" t="s">
        <v>39</v>
      </c>
      <c r="C2431">
        <v>63</v>
      </c>
      <c r="D2431">
        <v>226</v>
      </c>
      <c r="E2431">
        <v>2347</v>
      </c>
      <c r="F2431">
        <v>2910601</v>
      </c>
      <c r="G2431">
        <v>2998800</v>
      </c>
      <c r="H2431">
        <f t="shared" si="74"/>
        <v>66.000022675736957</v>
      </c>
      <c r="I2431">
        <f t="shared" si="75"/>
        <v>68</v>
      </c>
      <c r="J2431" t="s">
        <v>32</v>
      </c>
      <c r="K2431">
        <v>4</v>
      </c>
      <c r="L2431" t="e">
        <f t="array" ref="L2431">VLOOKUP(J2431:$J$3871&amp;K2431:$K$3871,CHOOSE({1,2},#REF!&amp;#REF!,#REF!),2,0)</f>
        <v>#N/A</v>
      </c>
      <c r="M2431">
        <v>0</v>
      </c>
      <c r="N2431">
        <v>1</v>
      </c>
      <c r="O2431" t="s">
        <v>23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0</v>
      </c>
      <c r="V2431">
        <v>1</v>
      </c>
      <c r="W2431">
        <v>1</v>
      </c>
      <c r="X2431">
        <v>1</v>
      </c>
      <c r="Y2431">
        <v>0</v>
      </c>
      <c r="Z2431">
        <v>0</v>
      </c>
      <c r="AA2431" t="s">
        <v>3736</v>
      </c>
      <c r="AB2431" t="s">
        <v>1483</v>
      </c>
      <c r="AC2431" t="s">
        <v>3736</v>
      </c>
      <c r="AD2431" t="e">
        <f>VLOOKUP(AB2431,#REF!,2,FALSE)</f>
        <v>#REF!</v>
      </c>
      <c r="AE2431" t="e">
        <f>RIGHT(#REF!,(FIND("Complex",#REF!,1)-7))</f>
        <v>#REF!</v>
      </c>
    </row>
    <row r="2432" spans="1:31" x14ac:dyDescent="0.25">
      <c r="A2432">
        <v>112</v>
      </c>
      <c r="B2432" t="s">
        <v>39</v>
      </c>
      <c r="C2432">
        <v>63</v>
      </c>
      <c r="D2432">
        <v>8</v>
      </c>
      <c r="E2432">
        <v>112</v>
      </c>
      <c r="F2432">
        <v>264601</v>
      </c>
      <c r="G2432">
        <v>352800</v>
      </c>
      <c r="H2432">
        <f t="shared" si="74"/>
        <v>6.000022675736961</v>
      </c>
      <c r="I2432">
        <f t="shared" si="75"/>
        <v>8</v>
      </c>
      <c r="J2432" t="s">
        <v>32</v>
      </c>
      <c r="K2432">
        <v>4</v>
      </c>
      <c r="L2432" t="e">
        <f t="array" ref="L2432">VLOOKUP(J2432:$J$3871&amp;K2432:$K$3871,CHOOSE({1,2},#REF!&amp;#REF!,#REF!),2,0)</f>
        <v>#N/A</v>
      </c>
      <c r="M2432">
        <v>0</v>
      </c>
      <c r="N2432">
        <v>1</v>
      </c>
      <c r="O2432" t="s">
        <v>23</v>
      </c>
      <c r="P2432">
        <v>0</v>
      </c>
      <c r="Q2432">
        <v>0</v>
      </c>
      <c r="R2432">
        <v>1</v>
      </c>
      <c r="S2432">
        <v>0</v>
      </c>
      <c r="T2432">
        <v>0</v>
      </c>
      <c r="U2432">
        <v>0</v>
      </c>
      <c r="V2432">
        <v>1</v>
      </c>
      <c r="W2432">
        <v>1</v>
      </c>
      <c r="X2432">
        <v>1</v>
      </c>
      <c r="Y2432">
        <v>0</v>
      </c>
      <c r="Z2432">
        <v>0</v>
      </c>
      <c r="AA2432" t="s">
        <v>3808</v>
      </c>
      <c r="AB2432" t="s">
        <v>1484</v>
      </c>
      <c r="AC2432" t="s">
        <v>3808</v>
      </c>
      <c r="AD2432" t="e">
        <f>VLOOKUP(AB2432,#REF!,2,FALSE)</f>
        <v>#REF!</v>
      </c>
      <c r="AE2432" t="e">
        <f>RIGHT(#REF!,(FIND("Complex",#REF!,1)-7))</f>
        <v>#REF!</v>
      </c>
    </row>
    <row r="2433" spans="1:31" x14ac:dyDescent="0.25">
      <c r="A2433">
        <v>3126</v>
      </c>
      <c r="B2433" t="s">
        <v>39</v>
      </c>
      <c r="C2433">
        <v>63</v>
      </c>
      <c r="D2433">
        <v>371</v>
      </c>
      <c r="E2433">
        <v>3126</v>
      </c>
      <c r="F2433">
        <v>2469601</v>
      </c>
      <c r="G2433">
        <v>2557800</v>
      </c>
      <c r="H2433">
        <f t="shared" si="74"/>
        <v>56.000022675736965</v>
      </c>
      <c r="I2433">
        <f t="shared" si="75"/>
        <v>58</v>
      </c>
      <c r="J2433" t="s">
        <v>32</v>
      </c>
      <c r="K2433">
        <v>4</v>
      </c>
      <c r="L2433" t="e">
        <f t="array" ref="L2433">VLOOKUP(J2433:$J$3871&amp;K2433:$K$3871,CHOOSE({1,2},#REF!&amp;#REF!,#REF!),2,0)</f>
        <v>#N/A</v>
      </c>
      <c r="M2433">
        <v>0</v>
      </c>
      <c r="N2433">
        <v>1</v>
      </c>
      <c r="O2433" t="s">
        <v>23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1</v>
      </c>
      <c r="W2433">
        <v>1</v>
      </c>
      <c r="X2433">
        <v>1</v>
      </c>
      <c r="Y2433">
        <v>0</v>
      </c>
      <c r="Z2433">
        <v>0</v>
      </c>
      <c r="AA2433" t="s">
        <v>3834</v>
      </c>
      <c r="AB2433" t="s">
        <v>1485</v>
      </c>
      <c r="AC2433" t="s">
        <v>3834</v>
      </c>
      <c r="AD2433" t="e">
        <f>VLOOKUP(AB2433,#REF!,2,FALSE)</f>
        <v>#REF!</v>
      </c>
      <c r="AE2433" t="e">
        <f>RIGHT(#REF!,(FIND("Complex",#REF!,1)-7))</f>
        <v>#REF!</v>
      </c>
    </row>
    <row r="2434" spans="1:31" x14ac:dyDescent="0.25">
      <c r="A2434">
        <v>329</v>
      </c>
      <c r="B2434" t="s">
        <v>39</v>
      </c>
      <c r="C2434">
        <v>63</v>
      </c>
      <c r="D2434">
        <v>28</v>
      </c>
      <c r="E2434">
        <v>329</v>
      </c>
      <c r="F2434">
        <v>2381401</v>
      </c>
      <c r="G2434">
        <v>2469600</v>
      </c>
      <c r="H2434">
        <f t="shared" ref="H2434:H2497" si="76">F2434/44100</f>
        <v>54.000022675736965</v>
      </c>
      <c r="I2434">
        <f t="shared" ref="I2434:I2497" si="77">G2434/44100</f>
        <v>56</v>
      </c>
      <c r="J2434" t="s">
        <v>32</v>
      </c>
      <c r="K2434">
        <v>4</v>
      </c>
      <c r="L2434" t="e">
        <f t="array" ref="L2434">VLOOKUP(J2434:$J$3871&amp;K2434:$K$3871,CHOOSE({1,2},#REF!&amp;#REF!,#REF!),2,0)</f>
        <v>#N/A</v>
      </c>
      <c r="M2434">
        <v>0</v>
      </c>
      <c r="N2434">
        <v>1</v>
      </c>
      <c r="O2434" t="s">
        <v>23</v>
      </c>
      <c r="P2434">
        <v>0</v>
      </c>
      <c r="Q2434">
        <v>0</v>
      </c>
      <c r="R2434">
        <v>1</v>
      </c>
      <c r="S2434">
        <v>0</v>
      </c>
      <c r="T2434">
        <v>0</v>
      </c>
      <c r="U2434">
        <v>0</v>
      </c>
      <c r="V2434">
        <v>1</v>
      </c>
      <c r="W2434">
        <v>1</v>
      </c>
      <c r="X2434">
        <v>1</v>
      </c>
      <c r="Y2434">
        <v>0</v>
      </c>
      <c r="Z2434">
        <v>0</v>
      </c>
      <c r="AA2434" t="s">
        <v>3844</v>
      </c>
      <c r="AB2434" t="s">
        <v>1486</v>
      </c>
      <c r="AC2434" t="s">
        <v>3844</v>
      </c>
      <c r="AD2434" t="e">
        <f>VLOOKUP(AB2434,#REF!,2,FALSE)</f>
        <v>#REF!</v>
      </c>
      <c r="AE2434" t="e">
        <f>RIGHT(#REF!,(FIND("Complex",#REF!,1)-6))</f>
        <v>#REF!</v>
      </c>
    </row>
    <row r="2435" spans="1:31" x14ac:dyDescent="0.25">
      <c r="A2435">
        <v>1690</v>
      </c>
      <c r="B2435" t="s">
        <v>39</v>
      </c>
      <c r="C2435">
        <v>63</v>
      </c>
      <c r="D2435">
        <v>153</v>
      </c>
      <c r="E2435">
        <v>1690</v>
      </c>
      <c r="F2435">
        <v>2116801</v>
      </c>
      <c r="G2435">
        <v>2205000</v>
      </c>
      <c r="H2435">
        <f t="shared" si="76"/>
        <v>48.000022675736965</v>
      </c>
      <c r="I2435">
        <f t="shared" si="77"/>
        <v>50</v>
      </c>
      <c r="J2435" t="s">
        <v>32</v>
      </c>
      <c r="K2435">
        <v>4</v>
      </c>
      <c r="L2435" t="e">
        <f t="array" ref="L2435">VLOOKUP(J2435:$J$3871&amp;K2435:$K$3871,CHOOSE({1,2},#REF!&amp;#REF!,#REF!),2,0)</f>
        <v>#N/A</v>
      </c>
      <c r="M2435">
        <v>0</v>
      </c>
      <c r="N2435">
        <v>1</v>
      </c>
      <c r="O2435" t="s">
        <v>23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0</v>
      </c>
      <c r="V2435">
        <v>1</v>
      </c>
      <c r="W2435">
        <v>1</v>
      </c>
      <c r="X2435">
        <v>1</v>
      </c>
      <c r="Y2435">
        <v>0</v>
      </c>
      <c r="Z2435">
        <v>0</v>
      </c>
      <c r="AA2435" t="s">
        <v>3888</v>
      </c>
      <c r="AB2435" t="s">
        <v>1487</v>
      </c>
      <c r="AC2435" t="s">
        <v>3888</v>
      </c>
      <c r="AD2435" t="e">
        <f>VLOOKUP(AB2435,#REF!,2,FALSE)</f>
        <v>#REF!</v>
      </c>
      <c r="AE2435" t="e">
        <f>RIGHT(#REF!,(FIND("Complex",#REF!,1)-7))</f>
        <v>#REF!</v>
      </c>
    </row>
    <row r="2436" spans="1:31" x14ac:dyDescent="0.25">
      <c r="A2436">
        <v>2946</v>
      </c>
      <c r="B2436" t="s">
        <v>39</v>
      </c>
      <c r="C2436">
        <v>63</v>
      </c>
      <c r="D2436">
        <v>330</v>
      </c>
      <c r="E2436">
        <v>2946</v>
      </c>
      <c r="F2436">
        <v>1852201</v>
      </c>
      <c r="G2436">
        <v>1940400</v>
      </c>
      <c r="H2436">
        <f t="shared" si="76"/>
        <v>42.000022675736965</v>
      </c>
      <c r="I2436">
        <f t="shared" si="77"/>
        <v>44</v>
      </c>
      <c r="J2436" t="s">
        <v>32</v>
      </c>
      <c r="K2436">
        <v>4</v>
      </c>
      <c r="L2436" t="e">
        <f t="array" ref="L2436">VLOOKUP(J2436:$J$3871&amp;K2436:$K$3871,CHOOSE({1,2},#REF!&amp;#REF!,#REF!),2,0)</f>
        <v>#N/A</v>
      </c>
      <c r="M2436">
        <v>0</v>
      </c>
      <c r="N2436">
        <v>1</v>
      </c>
      <c r="O2436" t="s">
        <v>23</v>
      </c>
      <c r="P2436">
        <v>0</v>
      </c>
      <c r="Q2436">
        <v>0</v>
      </c>
      <c r="R2436">
        <v>1</v>
      </c>
      <c r="S2436">
        <v>0</v>
      </c>
      <c r="T2436">
        <v>0</v>
      </c>
      <c r="U2436">
        <v>0</v>
      </c>
      <c r="V2436">
        <v>1</v>
      </c>
      <c r="W2436">
        <v>1</v>
      </c>
      <c r="X2436">
        <v>1</v>
      </c>
      <c r="Y2436">
        <v>0</v>
      </c>
      <c r="Z2436">
        <v>0</v>
      </c>
      <c r="AA2436" t="s">
        <v>3929</v>
      </c>
      <c r="AB2436" t="s">
        <v>1488</v>
      </c>
      <c r="AC2436" t="s">
        <v>3929</v>
      </c>
      <c r="AD2436" t="e">
        <f>VLOOKUP(AB2436,#REF!,2,FALSE)</f>
        <v>#REF!</v>
      </c>
      <c r="AE2436" t="e">
        <f>RIGHT(#REF!,(FIND("Complex",#REF!,1)-7))</f>
        <v>#REF!</v>
      </c>
    </row>
    <row r="2437" spans="1:31" x14ac:dyDescent="0.25">
      <c r="A2437">
        <v>1440</v>
      </c>
      <c r="B2437" t="s">
        <v>39</v>
      </c>
      <c r="C2437">
        <v>63</v>
      </c>
      <c r="D2437">
        <v>134</v>
      </c>
      <c r="E2437">
        <v>1440</v>
      </c>
      <c r="F2437">
        <v>1675801</v>
      </c>
      <c r="G2437">
        <v>1764000</v>
      </c>
      <c r="H2437">
        <f t="shared" si="76"/>
        <v>38.000022675736965</v>
      </c>
      <c r="I2437">
        <f t="shared" si="77"/>
        <v>40</v>
      </c>
      <c r="J2437" t="s">
        <v>32</v>
      </c>
      <c r="K2437">
        <v>4</v>
      </c>
      <c r="L2437" t="e">
        <f t="array" ref="L2437">VLOOKUP(J2437:$J$3871&amp;K2437:$K$3871,CHOOSE({1,2},#REF!&amp;#REF!,#REF!),2,0)</f>
        <v>#N/A</v>
      </c>
      <c r="M2437">
        <v>0</v>
      </c>
      <c r="N2437">
        <v>1</v>
      </c>
      <c r="O2437" t="s">
        <v>23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1</v>
      </c>
      <c r="W2437">
        <v>1</v>
      </c>
      <c r="X2437">
        <v>1</v>
      </c>
      <c r="Y2437">
        <v>0</v>
      </c>
      <c r="Z2437">
        <v>0</v>
      </c>
      <c r="AA2437" t="s">
        <v>3975</v>
      </c>
      <c r="AB2437" t="s">
        <v>1489</v>
      </c>
      <c r="AC2437" t="s">
        <v>3975</v>
      </c>
      <c r="AD2437" t="e">
        <f>VLOOKUP(AB2437,#REF!,2,FALSE)</f>
        <v>#REF!</v>
      </c>
      <c r="AE2437" t="e">
        <f>RIGHT(#REF!,(FIND("Complex",#REF!,1)-7))</f>
        <v>#REF!</v>
      </c>
    </row>
    <row r="2438" spans="1:31" x14ac:dyDescent="0.25">
      <c r="A2438">
        <v>2493</v>
      </c>
      <c r="B2438" t="s">
        <v>39</v>
      </c>
      <c r="C2438">
        <v>63</v>
      </c>
      <c r="D2438">
        <v>243</v>
      </c>
      <c r="E2438">
        <v>2493</v>
      </c>
      <c r="F2438">
        <v>1587601</v>
      </c>
      <c r="G2438">
        <v>1675800</v>
      </c>
      <c r="H2438">
        <f t="shared" si="76"/>
        <v>36.000022675736965</v>
      </c>
      <c r="I2438">
        <f t="shared" si="77"/>
        <v>38</v>
      </c>
      <c r="J2438" t="s">
        <v>32</v>
      </c>
      <c r="K2438">
        <v>4</v>
      </c>
      <c r="L2438" t="e">
        <f t="array" ref="L2438">VLOOKUP(J2438:$J$3871&amp;K2438:$K$3871,CHOOSE({1,2},#REF!&amp;#REF!,#REF!),2,0)</f>
        <v>#N/A</v>
      </c>
      <c r="M2438">
        <v>0</v>
      </c>
      <c r="N2438">
        <v>1</v>
      </c>
      <c r="O2438" t="s">
        <v>23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1</v>
      </c>
      <c r="W2438">
        <v>1</v>
      </c>
      <c r="X2438">
        <v>1</v>
      </c>
      <c r="Y2438">
        <v>0</v>
      </c>
      <c r="Z2438">
        <v>0</v>
      </c>
      <c r="AA2438" t="s">
        <v>4002</v>
      </c>
      <c r="AB2438" t="s">
        <v>1490</v>
      </c>
      <c r="AC2438" t="s">
        <v>4002</v>
      </c>
      <c r="AD2438" t="e">
        <f>VLOOKUP(AB2438,#REF!,2,FALSE)</f>
        <v>#REF!</v>
      </c>
      <c r="AE2438" t="e">
        <f>RIGHT(#REF!,(FIND("Complex",#REF!,1)-7))</f>
        <v>#REF!</v>
      </c>
    </row>
    <row r="2439" spans="1:31" x14ac:dyDescent="0.25">
      <c r="A2439">
        <v>3176</v>
      </c>
      <c r="B2439" t="s">
        <v>39</v>
      </c>
      <c r="C2439">
        <v>63</v>
      </c>
      <c r="D2439">
        <v>384</v>
      </c>
      <c r="E2439">
        <v>3176</v>
      </c>
      <c r="F2439">
        <v>1499401</v>
      </c>
      <c r="G2439">
        <v>1587600</v>
      </c>
      <c r="H2439">
        <f t="shared" si="76"/>
        <v>34.000022675736965</v>
      </c>
      <c r="I2439">
        <f t="shared" si="77"/>
        <v>36</v>
      </c>
      <c r="J2439" t="s">
        <v>32</v>
      </c>
      <c r="K2439">
        <v>4</v>
      </c>
      <c r="L2439" t="e">
        <f t="array" ref="L2439">VLOOKUP(J2439:$J$3871&amp;K2439:$K$3871,CHOOSE({1,2},#REF!&amp;#REF!,#REF!),2,0)</f>
        <v>#N/A</v>
      </c>
      <c r="M2439">
        <v>0</v>
      </c>
      <c r="N2439">
        <v>1</v>
      </c>
      <c r="O2439" t="s">
        <v>23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0</v>
      </c>
      <c r="V2439">
        <v>1</v>
      </c>
      <c r="W2439">
        <v>1</v>
      </c>
      <c r="X2439">
        <v>1</v>
      </c>
      <c r="Y2439">
        <v>0</v>
      </c>
      <c r="Z2439">
        <v>0</v>
      </c>
      <c r="AA2439" t="s">
        <v>4021</v>
      </c>
      <c r="AB2439" t="s">
        <v>1491</v>
      </c>
      <c r="AC2439" t="s">
        <v>4021</v>
      </c>
      <c r="AD2439" t="e">
        <f>VLOOKUP(AB2439,#REF!,2,FALSE)</f>
        <v>#REF!</v>
      </c>
      <c r="AE2439" t="e">
        <f>RIGHT(#REF!,(FIND("Complex",#REF!,1)-7))</f>
        <v>#REF!</v>
      </c>
    </row>
    <row r="2440" spans="1:31" x14ac:dyDescent="0.25">
      <c r="A2440">
        <v>3014</v>
      </c>
      <c r="B2440" t="s">
        <v>39</v>
      </c>
      <c r="C2440">
        <v>63</v>
      </c>
      <c r="D2440">
        <v>344</v>
      </c>
      <c r="E2440">
        <v>3014</v>
      </c>
      <c r="F2440">
        <v>1411201</v>
      </c>
      <c r="G2440">
        <v>1499400</v>
      </c>
      <c r="H2440">
        <f t="shared" si="76"/>
        <v>32.000022675736965</v>
      </c>
      <c r="I2440">
        <f t="shared" si="77"/>
        <v>34</v>
      </c>
      <c r="J2440" t="s">
        <v>32</v>
      </c>
      <c r="K2440">
        <v>4</v>
      </c>
      <c r="L2440" t="e">
        <f t="array" ref="L2440">VLOOKUP(J2440:$J$3871&amp;K2440:$K$3871,CHOOSE({1,2},#REF!&amp;#REF!,#REF!),2,0)</f>
        <v>#N/A</v>
      </c>
      <c r="M2440">
        <v>0</v>
      </c>
      <c r="N2440">
        <v>1</v>
      </c>
      <c r="O2440" t="s">
        <v>23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1</v>
      </c>
      <c r="W2440">
        <v>1</v>
      </c>
      <c r="X2440">
        <v>1</v>
      </c>
      <c r="Y2440">
        <v>0</v>
      </c>
      <c r="Z2440">
        <v>0</v>
      </c>
      <c r="AA2440" t="s">
        <v>4038</v>
      </c>
      <c r="AB2440" t="s">
        <v>1492</v>
      </c>
      <c r="AC2440" t="s">
        <v>4038</v>
      </c>
      <c r="AD2440" t="e">
        <f>VLOOKUP(AB2440,#REF!,2,FALSE)</f>
        <v>#REF!</v>
      </c>
      <c r="AE2440" t="e">
        <f>RIGHT(#REF!,(FIND("Complex",#REF!,1)-7))</f>
        <v>#REF!</v>
      </c>
    </row>
    <row r="2441" spans="1:31" x14ac:dyDescent="0.25">
      <c r="A2441">
        <v>1933</v>
      </c>
      <c r="B2441" t="s">
        <v>39</v>
      </c>
      <c r="C2441">
        <v>63</v>
      </c>
      <c r="D2441">
        <v>182</v>
      </c>
      <c r="E2441">
        <v>1933</v>
      </c>
      <c r="F2441">
        <v>1323001</v>
      </c>
      <c r="G2441">
        <v>1411200</v>
      </c>
      <c r="H2441">
        <f t="shared" si="76"/>
        <v>30.000022675736961</v>
      </c>
      <c r="I2441">
        <f t="shared" si="77"/>
        <v>32</v>
      </c>
      <c r="J2441" t="s">
        <v>32</v>
      </c>
      <c r="K2441">
        <v>4</v>
      </c>
      <c r="L2441" t="e">
        <f t="array" ref="L2441">VLOOKUP(J2441:$J$3871&amp;K2441:$K$3871,CHOOSE({1,2},#REF!&amp;#REF!,#REF!),2,0)</f>
        <v>#N/A</v>
      </c>
      <c r="M2441">
        <v>0</v>
      </c>
      <c r="N2441">
        <v>1</v>
      </c>
      <c r="O2441" t="s">
        <v>23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0</v>
      </c>
      <c r="V2441">
        <v>1</v>
      </c>
      <c r="W2441">
        <v>1</v>
      </c>
      <c r="X2441">
        <v>1</v>
      </c>
      <c r="Y2441">
        <v>0</v>
      </c>
      <c r="Z2441">
        <v>0</v>
      </c>
      <c r="AA2441" t="s">
        <v>4065</v>
      </c>
      <c r="AB2441" t="s">
        <v>1493</v>
      </c>
      <c r="AC2441" t="s">
        <v>4065</v>
      </c>
      <c r="AD2441" t="e">
        <f>VLOOKUP(AB2441,#REF!,2,FALSE)</f>
        <v>#REF!</v>
      </c>
      <c r="AE2441" t="e">
        <f>RIGHT(#REF!,(FIND("Complex",#REF!,1)-7))</f>
        <v>#REF!</v>
      </c>
    </row>
    <row r="2442" spans="1:31" x14ac:dyDescent="0.25">
      <c r="A2442">
        <v>3240</v>
      </c>
      <c r="B2442" t="s">
        <v>39</v>
      </c>
      <c r="C2442">
        <v>63</v>
      </c>
      <c r="D2442">
        <v>397</v>
      </c>
      <c r="E2442">
        <v>3240</v>
      </c>
      <c r="F2442">
        <v>970201</v>
      </c>
      <c r="G2442">
        <v>1058400</v>
      </c>
      <c r="H2442">
        <f t="shared" si="76"/>
        <v>22.000022675736961</v>
      </c>
      <c r="I2442">
        <f t="shared" si="77"/>
        <v>24</v>
      </c>
      <c r="J2442" t="s">
        <v>32</v>
      </c>
      <c r="K2442">
        <v>4</v>
      </c>
      <c r="L2442" t="e">
        <f t="array" ref="L2442">VLOOKUP(J2442:$J$3871&amp;K2442:$K$3871,CHOOSE({1,2},#REF!&amp;#REF!,#REF!),2,0)</f>
        <v>#N/A</v>
      </c>
      <c r="M2442">
        <v>0</v>
      </c>
      <c r="N2442">
        <v>1</v>
      </c>
      <c r="O2442" t="s">
        <v>23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1</v>
      </c>
      <c r="W2442">
        <v>1</v>
      </c>
      <c r="X2442">
        <v>1</v>
      </c>
      <c r="Y2442">
        <v>0</v>
      </c>
      <c r="Z2442">
        <v>0</v>
      </c>
      <c r="AA2442" t="s">
        <v>4244</v>
      </c>
      <c r="AB2442" t="s">
        <v>1494</v>
      </c>
      <c r="AC2442" t="s">
        <v>4244</v>
      </c>
      <c r="AD2442" t="e">
        <f>VLOOKUP(AB2442,#REF!,2,FALSE)</f>
        <v>#REF!</v>
      </c>
      <c r="AE2442" t="e">
        <f>RIGHT(#REF!,(FIND("Complex",#REF!,1)-7))</f>
        <v>#REF!</v>
      </c>
    </row>
    <row r="2443" spans="1:31" x14ac:dyDescent="0.25">
      <c r="A2443">
        <v>2384</v>
      </c>
      <c r="B2443" t="s">
        <v>39</v>
      </c>
      <c r="C2443">
        <v>63</v>
      </c>
      <c r="D2443">
        <v>229</v>
      </c>
      <c r="E2443">
        <v>2384</v>
      </c>
      <c r="F2443">
        <v>882001</v>
      </c>
      <c r="G2443">
        <v>970200</v>
      </c>
      <c r="H2443">
        <f t="shared" si="76"/>
        <v>20.000022675736961</v>
      </c>
      <c r="I2443">
        <f t="shared" si="77"/>
        <v>22</v>
      </c>
      <c r="J2443" t="s">
        <v>32</v>
      </c>
      <c r="K2443">
        <v>4</v>
      </c>
      <c r="L2443" t="e">
        <f t="array" ref="L2443">VLOOKUP(J2443:$J$3871&amp;K2443:$K$3871,CHOOSE({1,2},#REF!&amp;#REF!,#REF!),2,0)</f>
        <v>#N/A</v>
      </c>
      <c r="M2443">
        <v>0</v>
      </c>
      <c r="N2443">
        <v>1</v>
      </c>
      <c r="O2443" t="s">
        <v>23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1</v>
      </c>
      <c r="W2443">
        <v>1</v>
      </c>
      <c r="X2443">
        <v>1</v>
      </c>
      <c r="Y2443">
        <v>0</v>
      </c>
      <c r="Z2443">
        <v>0</v>
      </c>
      <c r="AA2443" t="s">
        <v>4311</v>
      </c>
      <c r="AB2443" t="s">
        <v>195</v>
      </c>
      <c r="AC2443" t="s">
        <v>4311</v>
      </c>
      <c r="AD2443" t="e">
        <f>VLOOKUP(AB2443,#REF!,2,FALSE)</f>
        <v>#REF!</v>
      </c>
      <c r="AE2443" t="e">
        <f>RIGHT(#REF!,(FIND("Complex",#REF!,1)-7))</f>
        <v>#REF!</v>
      </c>
    </row>
    <row r="2444" spans="1:31" x14ac:dyDescent="0.25">
      <c r="A2444">
        <v>1223</v>
      </c>
      <c r="B2444" t="s">
        <v>39</v>
      </c>
      <c r="C2444">
        <v>63</v>
      </c>
      <c r="D2444">
        <v>106</v>
      </c>
      <c r="E2444">
        <v>1223</v>
      </c>
      <c r="F2444">
        <v>793801</v>
      </c>
      <c r="G2444">
        <v>882000</v>
      </c>
      <c r="H2444">
        <f t="shared" si="76"/>
        <v>18.000022675736961</v>
      </c>
      <c r="I2444">
        <f t="shared" si="77"/>
        <v>20</v>
      </c>
      <c r="J2444" t="s">
        <v>32</v>
      </c>
      <c r="K2444">
        <v>4</v>
      </c>
      <c r="L2444" t="e">
        <f t="array" ref="L2444">VLOOKUP(J2444:$J$3871&amp;K2444:$K$3871,CHOOSE({1,2},#REF!&amp;#REF!,#REF!),2,0)</f>
        <v>#N/A</v>
      </c>
      <c r="M2444">
        <v>0</v>
      </c>
      <c r="N2444">
        <v>1</v>
      </c>
      <c r="O2444" t="s">
        <v>23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1</v>
      </c>
      <c r="W2444">
        <v>1</v>
      </c>
      <c r="X2444">
        <v>1</v>
      </c>
      <c r="Y2444">
        <v>0</v>
      </c>
      <c r="Z2444">
        <v>0</v>
      </c>
      <c r="AA2444" t="s">
        <v>4413</v>
      </c>
      <c r="AB2444" t="s">
        <v>1495</v>
      </c>
      <c r="AC2444" t="s">
        <v>4413</v>
      </c>
      <c r="AD2444" t="e">
        <f>VLOOKUP(AB2444,#REF!,2,FALSE)</f>
        <v>#REF!</v>
      </c>
      <c r="AE2444" t="e">
        <f>RIGHT(#REF!,(FIND("Complex",#REF!,1)-7))</f>
        <v>#REF!</v>
      </c>
    </row>
    <row r="2445" spans="1:31" x14ac:dyDescent="0.25">
      <c r="A2445">
        <v>996</v>
      </c>
      <c r="B2445" t="s">
        <v>39</v>
      </c>
      <c r="C2445">
        <v>63</v>
      </c>
      <c r="D2445">
        <v>81</v>
      </c>
      <c r="E2445">
        <v>996</v>
      </c>
      <c r="F2445">
        <v>617401</v>
      </c>
      <c r="G2445">
        <v>705600</v>
      </c>
      <c r="H2445">
        <f t="shared" si="76"/>
        <v>14.000022675736961</v>
      </c>
      <c r="I2445">
        <f t="shared" si="77"/>
        <v>16</v>
      </c>
      <c r="J2445" t="s">
        <v>32</v>
      </c>
      <c r="K2445">
        <v>4</v>
      </c>
      <c r="L2445" t="e">
        <f t="array" ref="L2445">VLOOKUP(J2445:$J$3871&amp;K2445:$K$3871,CHOOSE({1,2},#REF!&amp;#REF!,#REF!),2,0)</f>
        <v>#N/A</v>
      </c>
      <c r="M2445">
        <v>0</v>
      </c>
      <c r="N2445">
        <v>1</v>
      </c>
      <c r="O2445" t="s">
        <v>23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0</v>
      </c>
      <c r="V2445">
        <v>1</v>
      </c>
      <c r="W2445">
        <v>1</v>
      </c>
      <c r="X2445">
        <v>1</v>
      </c>
      <c r="Y2445">
        <v>0</v>
      </c>
      <c r="Z2445">
        <v>0</v>
      </c>
      <c r="AA2445" t="s">
        <v>4617</v>
      </c>
      <c r="AB2445" t="s">
        <v>1496</v>
      </c>
      <c r="AC2445" t="s">
        <v>4617</v>
      </c>
      <c r="AD2445" t="e">
        <f>VLOOKUP(AB2445,#REF!,2,FALSE)</f>
        <v>#REF!</v>
      </c>
      <c r="AE2445" t="e">
        <f>RIGHT(#REF!,(FIND("Complex",#REF!,1)-6))</f>
        <v>#REF!</v>
      </c>
    </row>
    <row r="2446" spans="1:31" x14ac:dyDescent="0.25">
      <c r="A2446">
        <v>1789</v>
      </c>
      <c r="B2446" t="s">
        <v>39</v>
      </c>
      <c r="C2446">
        <v>63</v>
      </c>
      <c r="D2446">
        <v>165</v>
      </c>
      <c r="E2446">
        <v>1789</v>
      </c>
      <c r="F2446">
        <v>441001</v>
      </c>
      <c r="G2446">
        <v>529200</v>
      </c>
      <c r="H2446">
        <f t="shared" si="76"/>
        <v>10.000022675736961</v>
      </c>
      <c r="I2446">
        <f t="shared" si="77"/>
        <v>12</v>
      </c>
      <c r="J2446" t="s">
        <v>32</v>
      </c>
      <c r="K2446">
        <v>4</v>
      </c>
      <c r="L2446" t="e">
        <f t="array" ref="L2446">VLOOKUP(J2446:$J$3871&amp;K2446:$K$3871,CHOOSE({1,2},#REF!&amp;#REF!,#REF!),2,0)</f>
        <v>#N/A</v>
      </c>
      <c r="M2446">
        <v>0</v>
      </c>
      <c r="N2446">
        <v>1</v>
      </c>
      <c r="O2446" t="s">
        <v>23</v>
      </c>
      <c r="P2446">
        <v>0</v>
      </c>
      <c r="Q2446">
        <v>0</v>
      </c>
      <c r="R2446">
        <v>1</v>
      </c>
      <c r="S2446">
        <v>0</v>
      </c>
      <c r="T2446">
        <v>0</v>
      </c>
      <c r="U2446">
        <v>0</v>
      </c>
      <c r="V2446">
        <v>1</v>
      </c>
      <c r="W2446">
        <v>1</v>
      </c>
      <c r="X2446">
        <v>1</v>
      </c>
      <c r="Y2446">
        <v>0</v>
      </c>
      <c r="Z2446">
        <v>0</v>
      </c>
      <c r="AA2446" t="s">
        <v>4862</v>
      </c>
      <c r="AB2446" t="s">
        <v>1497</v>
      </c>
      <c r="AC2446" t="s">
        <v>4862</v>
      </c>
      <c r="AD2446" t="e">
        <f>VLOOKUP(AB2446,#REF!,2,FALSE)</f>
        <v>#REF!</v>
      </c>
      <c r="AE2446" t="e">
        <f>RIGHT(#REF!,(FIND("Complex",#REF!,1)-7))</f>
        <v>#REF!</v>
      </c>
    </row>
    <row r="2447" spans="1:31" x14ac:dyDescent="0.25">
      <c r="A2447">
        <v>2037</v>
      </c>
      <c r="B2447" t="s">
        <v>91</v>
      </c>
      <c r="C2447">
        <v>81</v>
      </c>
      <c r="D2447">
        <v>193</v>
      </c>
      <c r="E2447">
        <v>2037</v>
      </c>
      <c r="F2447">
        <v>3439801</v>
      </c>
      <c r="G2447">
        <v>3528000</v>
      </c>
      <c r="H2447">
        <f t="shared" si="76"/>
        <v>78.000022675736957</v>
      </c>
      <c r="I2447">
        <f t="shared" si="77"/>
        <v>80</v>
      </c>
      <c r="J2447" t="s">
        <v>32</v>
      </c>
      <c r="K2447">
        <v>4</v>
      </c>
      <c r="L2447" t="e">
        <f t="array" ref="L2447">VLOOKUP(J2447:$J$3871&amp;K2447:$K$3871,CHOOSE({1,2},#REF!&amp;#REF!,#REF!),2,0)</f>
        <v>#N/A</v>
      </c>
      <c r="M2447">
        <v>0</v>
      </c>
      <c r="N2447">
        <v>1</v>
      </c>
      <c r="O2447" t="s">
        <v>23</v>
      </c>
      <c r="P2447">
        <v>0</v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1</v>
      </c>
      <c r="W2447">
        <v>1</v>
      </c>
      <c r="X2447">
        <v>1</v>
      </c>
      <c r="Y2447">
        <v>0</v>
      </c>
      <c r="Z2447">
        <v>0</v>
      </c>
      <c r="AA2447" t="s">
        <v>3651</v>
      </c>
      <c r="AB2447" t="s">
        <v>1640</v>
      </c>
      <c r="AC2447" t="s">
        <v>3651</v>
      </c>
      <c r="AD2447" t="e">
        <f>VLOOKUP(AB2447,#REF!,2,FALSE)</f>
        <v>#REF!</v>
      </c>
      <c r="AE2447" t="e">
        <f>RIGHT(#REF!,(FIND("Complex",#REF!,1)-7))</f>
        <v>#REF!</v>
      </c>
    </row>
    <row r="2448" spans="1:31" x14ac:dyDescent="0.25">
      <c r="A2448">
        <v>2192</v>
      </c>
      <c r="B2448" t="s">
        <v>91</v>
      </c>
      <c r="C2448">
        <v>81</v>
      </c>
      <c r="D2448">
        <v>209</v>
      </c>
      <c r="E2448">
        <v>2192</v>
      </c>
      <c r="F2448">
        <v>3175201</v>
      </c>
      <c r="G2448">
        <v>3263400</v>
      </c>
      <c r="H2448">
        <f t="shared" si="76"/>
        <v>72.000022675736957</v>
      </c>
      <c r="I2448">
        <f t="shared" si="77"/>
        <v>74</v>
      </c>
      <c r="J2448" t="s">
        <v>32</v>
      </c>
      <c r="K2448">
        <v>4</v>
      </c>
      <c r="L2448" t="e">
        <f t="array" ref="L2448">VLOOKUP(J2448:$J$3871&amp;K2448:$K$3871,CHOOSE({1,2},#REF!&amp;#REF!,#REF!),2,0)</f>
        <v>#N/A</v>
      </c>
      <c r="M2448">
        <v>0</v>
      </c>
      <c r="N2448">
        <v>1</v>
      </c>
      <c r="O2448" t="s">
        <v>23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0</v>
      </c>
      <c r="V2448">
        <v>1</v>
      </c>
      <c r="W2448">
        <v>1</v>
      </c>
      <c r="X2448">
        <v>1</v>
      </c>
      <c r="Y2448">
        <v>0</v>
      </c>
      <c r="Z2448">
        <v>0</v>
      </c>
      <c r="AA2448" t="s">
        <v>3688</v>
      </c>
      <c r="AB2448" t="s">
        <v>1641</v>
      </c>
      <c r="AC2448" t="s">
        <v>3688</v>
      </c>
      <c r="AD2448" t="e">
        <f>VLOOKUP(AB2448,#REF!,2,FALSE)</f>
        <v>#REF!</v>
      </c>
      <c r="AE2448" t="e">
        <f>RIGHT(#REF!,(FIND("Complex",#REF!,1)-7))</f>
        <v>#REF!</v>
      </c>
    </row>
    <row r="2449" spans="1:31" x14ac:dyDescent="0.25">
      <c r="A2449">
        <v>2331</v>
      </c>
      <c r="B2449" t="s">
        <v>91</v>
      </c>
      <c r="C2449">
        <v>81</v>
      </c>
      <c r="D2449">
        <v>225</v>
      </c>
      <c r="E2449">
        <v>2331</v>
      </c>
      <c r="F2449">
        <v>3087001</v>
      </c>
      <c r="G2449">
        <v>3175200</v>
      </c>
      <c r="H2449">
        <f t="shared" si="76"/>
        <v>70.000022675736957</v>
      </c>
      <c r="I2449">
        <f t="shared" si="77"/>
        <v>72</v>
      </c>
      <c r="J2449" t="s">
        <v>32</v>
      </c>
      <c r="K2449">
        <v>4</v>
      </c>
      <c r="L2449" t="e">
        <f t="array" ref="L2449">VLOOKUP(J2449:$J$3871&amp;K2449:$K$3871,CHOOSE({1,2},#REF!&amp;#REF!,#REF!),2,0)</f>
        <v>#N/A</v>
      </c>
      <c r="M2449">
        <v>0</v>
      </c>
      <c r="N2449">
        <v>1</v>
      </c>
      <c r="O2449" t="s">
        <v>23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1</v>
      </c>
      <c r="W2449">
        <v>1</v>
      </c>
      <c r="X2449">
        <v>1</v>
      </c>
      <c r="Y2449">
        <v>0</v>
      </c>
      <c r="Z2449">
        <v>0</v>
      </c>
      <c r="AA2449" t="s">
        <v>3702</v>
      </c>
      <c r="AB2449" t="s">
        <v>1642</v>
      </c>
      <c r="AC2449" t="s">
        <v>3702</v>
      </c>
      <c r="AD2449" t="e">
        <f>VLOOKUP(AB2449,#REF!,2,FALSE)</f>
        <v>#REF!</v>
      </c>
      <c r="AE2449" t="e">
        <f>RIGHT(#REF!,(FIND("Complex",#REF!,1)-7))</f>
        <v>#REF!</v>
      </c>
    </row>
    <row r="2450" spans="1:31" x14ac:dyDescent="0.25">
      <c r="A2450">
        <v>2818</v>
      </c>
      <c r="B2450" t="s">
        <v>91</v>
      </c>
      <c r="C2450">
        <v>81</v>
      </c>
      <c r="D2450">
        <v>302</v>
      </c>
      <c r="E2450">
        <v>2818</v>
      </c>
      <c r="F2450">
        <v>2910601</v>
      </c>
      <c r="G2450">
        <v>2998800</v>
      </c>
      <c r="H2450">
        <f t="shared" si="76"/>
        <v>66.000022675736957</v>
      </c>
      <c r="I2450">
        <f t="shared" si="77"/>
        <v>68</v>
      </c>
      <c r="J2450" t="s">
        <v>32</v>
      </c>
      <c r="K2450">
        <v>4</v>
      </c>
      <c r="L2450" t="e">
        <f t="array" ref="L2450">VLOOKUP(J2450:$J$3871&amp;K2450:$K$3871,CHOOSE({1,2},#REF!&amp;#REF!,#REF!),2,0)</f>
        <v>#N/A</v>
      </c>
      <c r="M2450">
        <v>0</v>
      </c>
      <c r="N2450">
        <v>1</v>
      </c>
      <c r="O2450" t="s">
        <v>23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0</v>
      </c>
      <c r="V2450">
        <v>1</v>
      </c>
      <c r="W2450">
        <v>1</v>
      </c>
      <c r="X2450">
        <v>1</v>
      </c>
      <c r="Y2450">
        <v>0</v>
      </c>
      <c r="Z2450">
        <v>0</v>
      </c>
      <c r="AA2450" t="s">
        <v>3735</v>
      </c>
      <c r="AB2450" t="s">
        <v>184</v>
      </c>
      <c r="AC2450" t="s">
        <v>3735</v>
      </c>
      <c r="AD2450" t="e">
        <f>VLOOKUP(AB2450,#REF!,2,FALSE)</f>
        <v>#REF!</v>
      </c>
      <c r="AE2450" t="e">
        <f>RIGHT(#REF!,(FIND("Complex",#REF!,1)-7))</f>
        <v>#REF!</v>
      </c>
    </row>
    <row r="2451" spans="1:31" x14ac:dyDescent="0.25">
      <c r="A2451">
        <v>2519</v>
      </c>
      <c r="B2451" t="s">
        <v>91</v>
      </c>
      <c r="C2451">
        <v>81</v>
      </c>
      <c r="D2451">
        <v>249</v>
      </c>
      <c r="E2451">
        <v>2519</v>
      </c>
      <c r="F2451">
        <v>2646001</v>
      </c>
      <c r="G2451">
        <v>2734200</v>
      </c>
      <c r="H2451">
        <f t="shared" si="76"/>
        <v>60.000022675736965</v>
      </c>
      <c r="I2451">
        <f t="shared" si="77"/>
        <v>62</v>
      </c>
      <c r="J2451" t="s">
        <v>32</v>
      </c>
      <c r="K2451">
        <v>4</v>
      </c>
      <c r="L2451" t="e">
        <f t="array" ref="L2451">VLOOKUP(J2451:$J$3871&amp;K2451:$K$3871,CHOOSE({1,2},#REF!&amp;#REF!,#REF!),2,0)</f>
        <v>#N/A</v>
      </c>
      <c r="M2451">
        <v>0</v>
      </c>
      <c r="N2451">
        <v>1</v>
      </c>
      <c r="O2451" t="s">
        <v>23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v>1</v>
      </c>
      <c r="W2451">
        <v>1</v>
      </c>
      <c r="X2451">
        <v>1</v>
      </c>
      <c r="Y2451">
        <v>0</v>
      </c>
      <c r="Z2451">
        <v>0</v>
      </c>
      <c r="AA2451" t="s">
        <v>3776</v>
      </c>
      <c r="AB2451" t="s">
        <v>1643</v>
      </c>
      <c r="AC2451" t="s">
        <v>3776</v>
      </c>
      <c r="AD2451" t="e">
        <f>VLOOKUP(AB2451,#REF!,2,FALSE)</f>
        <v>#REF!</v>
      </c>
      <c r="AE2451" t="e">
        <f>RIGHT(#REF!,(FIND("Complex",#REF!,1)-7))</f>
        <v>#REF!</v>
      </c>
    </row>
    <row r="2452" spans="1:31" x14ac:dyDescent="0.25">
      <c r="A2452">
        <v>2699</v>
      </c>
      <c r="B2452" t="s">
        <v>91</v>
      </c>
      <c r="C2452">
        <v>81</v>
      </c>
      <c r="D2452">
        <v>274</v>
      </c>
      <c r="E2452">
        <v>2699</v>
      </c>
      <c r="F2452">
        <v>2469601</v>
      </c>
      <c r="G2452">
        <v>2557800</v>
      </c>
      <c r="H2452">
        <f t="shared" si="76"/>
        <v>56.000022675736965</v>
      </c>
      <c r="I2452">
        <f t="shared" si="77"/>
        <v>58</v>
      </c>
      <c r="J2452" t="s">
        <v>32</v>
      </c>
      <c r="K2452">
        <v>4</v>
      </c>
      <c r="L2452" t="e">
        <f t="array" ref="L2452">VLOOKUP(J2452:$J$3871&amp;K2452:$K$3871,CHOOSE({1,2},#REF!&amp;#REF!,#REF!),2,0)</f>
        <v>#N/A</v>
      </c>
      <c r="M2452">
        <v>0</v>
      </c>
      <c r="N2452">
        <v>1</v>
      </c>
      <c r="O2452" t="s">
        <v>23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1</v>
      </c>
      <c r="W2452">
        <v>1</v>
      </c>
      <c r="X2452">
        <v>1</v>
      </c>
      <c r="Y2452">
        <v>0</v>
      </c>
      <c r="Z2452">
        <v>0</v>
      </c>
      <c r="AA2452" t="s">
        <v>3831</v>
      </c>
      <c r="AB2452" t="s">
        <v>1644</v>
      </c>
      <c r="AC2452" t="s">
        <v>3831</v>
      </c>
      <c r="AD2452" t="e">
        <f>VLOOKUP(AB2452,#REF!,2,FALSE)</f>
        <v>#REF!</v>
      </c>
      <c r="AE2452" t="e">
        <f>RIGHT(#REF!,(FIND("Complex",#REF!,1)-7))</f>
        <v>#REF!</v>
      </c>
    </row>
    <row r="2453" spans="1:31" x14ac:dyDescent="0.25">
      <c r="A2453">
        <v>2578</v>
      </c>
      <c r="B2453" t="s">
        <v>91</v>
      </c>
      <c r="C2453">
        <v>81</v>
      </c>
      <c r="D2453">
        <v>255</v>
      </c>
      <c r="E2453">
        <v>2578</v>
      </c>
      <c r="F2453">
        <v>2381401</v>
      </c>
      <c r="G2453">
        <v>2469600</v>
      </c>
      <c r="H2453">
        <f t="shared" si="76"/>
        <v>54.000022675736965</v>
      </c>
      <c r="I2453">
        <f t="shared" si="77"/>
        <v>56</v>
      </c>
      <c r="J2453" t="s">
        <v>32</v>
      </c>
      <c r="K2453">
        <v>4</v>
      </c>
      <c r="L2453" t="e">
        <f t="array" ref="L2453">VLOOKUP(J2453:$J$3871&amp;K2453:$K$3871,CHOOSE({1,2},#REF!&amp;#REF!,#REF!),2,0)</f>
        <v>#N/A</v>
      </c>
      <c r="M2453">
        <v>0</v>
      </c>
      <c r="N2453">
        <v>1</v>
      </c>
      <c r="O2453" t="s">
        <v>23</v>
      </c>
      <c r="P2453">
        <v>0</v>
      </c>
      <c r="Q2453">
        <v>0</v>
      </c>
      <c r="R2453">
        <v>1</v>
      </c>
      <c r="S2453">
        <v>0</v>
      </c>
      <c r="T2453">
        <v>0</v>
      </c>
      <c r="U2453">
        <v>0</v>
      </c>
      <c r="V2453">
        <v>1</v>
      </c>
      <c r="W2453">
        <v>1</v>
      </c>
      <c r="X2453">
        <v>1</v>
      </c>
      <c r="Y2453">
        <v>0</v>
      </c>
      <c r="Z2453">
        <v>0</v>
      </c>
      <c r="AA2453" t="s">
        <v>3841</v>
      </c>
      <c r="AB2453" t="s">
        <v>1645</v>
      </c>
      <c r="AC2453" t="s">
        <v>3841</v>
      </c>
      <c r="AD2453" t="e">
        <f>VLOOKUP(AB2453,#REF!,2,FALSE)</f>
        <v>#REF!</v>
      </c>
      <c r="AE2453" t="e">
        <f>RIGHT(#REF!,(FIND("Complex",#REF!,1)-7))</f>
        <v>#REF!</v>
      </c>
    </row>
    <row r="2454" spans="1:31" x14ac:dyDescent="0.25">
      <c r="A2454">
        <v>133</v>
      </c>
      <c r="B2454" t="s">
        <v>91</v>
      </c>
      <c r="C2454">
        <v>81</v>
      </c>
      <c r="D2454">
        <v>10</v>
      </c>
      <c r="E2454">
        <v>133</v>
      </c>
      <c r="F2454">
        <v>2293201</v>
      </c>
      <c r="G2454">
        <v>2381400</v>
      </c>
      <c r="H2454">
        <f t="shared" si="76"/>
        <v>52.000022675736965</v>
      </c>
      <c r="I2454">
        <f t="shared" si="77"/>
        <v>54</v>
      </c>
      <c r="J2454" t="s">
        <v>32</v>
      </c>
      <c r="K2454">
        <v>4</v>
      </c>
      <c r="L2454" t="e">
        <f t="array" ref="L2454">VLOOKUP(J2454:$J$3871&amp;K2454:$K$3871,CHOOSE({1,2},#REF!&amp;#REF!,#REF!),2,0)</f>
        <v>#N/A</v>
      </c>
      <c r="M2454">
        <v>0</v>
      </c>
      <c r="N2454">
        <v>1</v>
      </c>
      <c r="O2454" t="s">
        <v>23</v>
      </c>
      <c r="P2454">
        <v>0</v>
      </c>
      <c r="Q2454">
        <v>0</v>
      </c>
      <c r="R2454">
        <v>1</v>
      </c>
      <c r="S2454">
        <v>0</v>
      </c>
      <c r="T2454">
        <v>0</v>
      </c>
      <c r="U2454">
        <v>0</v>
      </c>
      <c r="V2454">
        <v>1</v>
      </c>
      <c r="W2454">
        <v>1</v>
      </c>
      <c r="X2454">
        <v>1</v>
      </c>
      <c r="Y2454">
        <v>0</v>
      </c>
      <c r="Z2454">
        <v>0</v>
      </c>
      <c r="AA2454" t="s">
        <v>3857</v>
      </c>
      <c r="AB2454" t="s">
        <v>1646</v>
      </c>
      <c r="AC2454" t="s">
        <v>3857</v>
      </c>
      <c r="AD2454" t="e">
        <f>VLOOKUP(AB2454,#REF!,2,FALSE)</f>
        <v>#REF!</v>
      </c>
      <c r="AE2454" t="e">
        <f>RIGHT(#REF!,(FIND("Complex",#REF!,1)-6))</f>
        <v>#REF!</v>
      </c>
    </row>
    <row r="2455" spans="1:31" x14ac:dyDescent="0.25">
      <c r="A2455">
        <v>825</v>
      </c>
      <c r="B2455" t="s">
        <v>91</v>
      </c>
      <c r="C2455">
        <v>81</v>
      </c>
      <c r="D2455">
        <v>62</v>
      </c>
      <c r="E2455">
        <v>825</v>
      </c>
      <c r="F2455">
        <v>1852201</v>
      </c>
      <c r="G2455">
        <v>1940400</v>
      </c>
      <c r="H2455">
        <f t="shared" si="76"/>
        <v>42.000022675736965</v>
      </c>
      <c r="I2455">
        <f t="shared" si="77"/>
        <v>44</v>
      </c>
      <c r="J2455" t="s">
        <v>32</v>
      </c>
      <c r="K2455">
        <v>4</v>
      </c>
      <c r="L2455" t="e">
        <f t="array" ref="L2455">VLOOKUP(J2455:$J$3871&amp;K2455:$K$3871,CHOOSE({1,2},#REF!&amp;#REF!,#REF!),2,0)</f>
        <v>#N/A</v>
      </c>
      <c r="M2455">
        <v>0</v>
      </c>
      <c r="N2455">
        <v>1</v>
      </c>
      <c r="O2455" t="s">
        <v>23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1</v>
      </c>
      <c r="W2455">
        <v>1</v>
      </c>
      <c r="X2455">
        <v>1</v>
      </c>
      <c r="Y2455">
        <v>0</v>
      </c>
      <c r="Z2455">
        <v>0</v>
      </c>
      <c r="AA2455" t="s">
        <v>3923</v>
      </c>
      <c r="AB2455" t="s">
        <v>1647</v>
      </c>
      <c r="AC2455" t="s">
        <v>3923</v>
      </c>
      <c r="AD2455" t="e">
        <f>VLOOKUP(AB2455,#REF!,2,FALSE)</f>
        <v>#REF!</v>
      </c>
      <c r="AE2455" t="e">
        <f>RIGHT(#REF!,(FIND("Complex",#REF!,1)-6))</f>
        <v>#REF!</v>
      </c>
    </row>
    <row r="2456" spans="1:31" x14ac:dyDescent="0.25">
      <c r="A2456">
        <v>1388</v>
      </c>
      <c r="B2456" t="s">
        <v>91</v>
      </c>
      <c r="C2456">
        <v>81</v>
      </c>
      <c r="D2456">
        <v>127</v>
      </c>
      <c r="E2456">
        <v>1388</v>
      </c>
      <c r="F2456">
        <v>1764001</v>
      </c>
      <c r="G2456">
        <v>1852200</v>
      </c>
      <c r="H2456">
        <f t="shared" si="76"/>
        <v>40.000022675736965</v>
      </c>
      <c r="I2456">
        <f t="shared" si="77"/>
        <v>42</v>
      </c>
      <c r="J2456" t="s">
        <v>32</v>
      </c>
      <c r="K2456">
        <v>4</v>
      </c>
      <c r="L2456" t="e">
        <f t="array" ref="L2456">VLOOKUP(J2456:$J$3871&amp;K2456:$K$3871,CHOOSE({1,2},#REF!&amp;#REF!,#REF!),2,0)</f>
        <v>#N/A</v>
      </c>
      <c r="M2456">
        <v>0</v>
      </c>
      <c r="N2456">
        <v>1</v>
      </c>
      <c r="O2456" t="s">
        <v>23</v>
      </c>
      <c r="P2456">
        <v>0</v>
      </c>
      <c r="Q2456">
        <v>0</v>
      </c>
      <c r="R2456">
        <v>1</v>
      </c>
      <c r="S2456">
        <v>0</v>
      </c>
      <c r="T2456">
        <v>0</v>
      </c>
      <c r="U2456">
        <v>0</v>
      </c>
      <c r="V2456">
        <v>1</v>
      </c>
      <c r="W2456">
        <v>1</v>
      </c>
      <c r="X2456">
        <v>1</v>
      </c>
      <c r="Y2456">
        <v>0</v>
      </c>
      <c r="Z2456">
        <v>0</v>
      </c>
      <c r="AA2456" t="s">
        <v>3939</v>
      </c>
      <c r="AB2456" t="s">
        <v>1648</v>
      </c>
      <c r="AC2456" t="s">
        <v>3939</v>
      </c>
      <c r="AD2456" t="e">
        <f>VLOOKUP(AB2456,#REF!,2,FALSE)</f>
        <v>#REF!</v>
      </c>
      <c r="AE2456" t="e">
        <f>RIGHT(#REF!,(FIND("Complex",#REF!,1)-7))</f>
        <v>#REF!</v>
      </c>
    </row>
    <row r="2457" spans="1:31" x14ac:dyDescent="0.25">
      <c r="A2457">
        <v>927</v>
      </c>
      <c r="B2457" t="s">
        <v>91</v>
      </c>
      <c r="C2457">
        <v>81</v>
      </c>
      <c r="D2457">
        <v>76</v>
      </c>
      <c r="E2457">
        <v>927</v>
      </c>
      <c r="F2457">
        <v>1234801</v>
      </c>
      <c r="G2457">
        <v>1323000</v>
      </c>
      <c r="H2457">
        <f t="shared" si="76"/>
        <v>28.000022675736961</v>
      </c>
      <c r="I2457">
        <f t="shared" si="77"/>
        <v>30</v>
      </c>
      <c r="J2457" t="s">
        <v>32</v>
      </c>
      <c r="K2457">
        <v>4</v>
      </c>
      <c r="L2457" t="e">
        <f t="array" ref="L2457">VLOOKUP(J2457:$J$3871&amp;K2457:$K$3871,CHOOSE({1,2},#REF!&amp;#REF!,#REF!),2,0)</f>
        <v>#N/A</v>
      </c>
      <c r="M2457">
        <v>0</v>
      </c>
      <c r="N2457">
        <v>1</v>
      </c>
      <c r="O2457" t="s">
        <v>23</v>
      </c>
      <c r="P2457">
        <v>0</v>
      </c>
      <c r="Q2457">
        <v>0</v>
      </c>
      <c r="R2457">
        <v>1</v>
      </c>
      <c r="S2457">
        <v>0</v>
      </c>
      <c r="T2457">
        <v>0</v>
      </c>
      <c r="U2457">
        <v>0</v>
      </c>
      <c r="V2457">
        <v>1</v>
      </c>
      <c r="W2457">
        <v>1</v>
      </c>
      <c r="X2457">
        <v>1</v>
      </c>
      <c r="Y2457">
        <v>0</v>
      </c>
      <c r="Z2457">
        <v>0</v>
      </c>
      <c r="AA2457" t="s">
        <v>4097</v>
      </c>
      <c r="AB2457" t="s">
        <v>1649</v>
      </c>
      <c r="AC2457" t="s">
        <v>4097</v>
      </c>
      <c r="AD2457" t="e">
        <f>VLOOKUP(AB2457,#REF!,2,FALSE)</f>
        <v>#REF!</v>
      </c>
      <c r="AE2457" t="e">
        <f>RIGHT(#REF!,(FIND("Complex",#REF!,1)-6))</f>
        <v>#REF!</v>
      </c>
    </row>
    <row r="2458" spans="1:31" x14ac:dyDescent="0.25">
      <c r="A2458">
        <v>2603</v>
      </c>
      <c r="B2458" t="s">
        <v>91</v>
      </c>
      <c r="C2458">
        <v>81</v>
      </c>
      <c r="D2458">
        <v>259</v>
      </c>
      <c r="E2458">
        <v>2603</v>
      </c>
      <c r="F2458">
        <v>1146601</v>
      </c>
      <c r="G2458">
        <v>1234800</v>
      </c>
      <c r="H2458">
        <f t="shared" si="76"/>
        <v>26.000022675736961</v>
      </c>
      <c r="I2458">
        <f t="shared" si="77"/>
        <v>28</v>
      </c>
      <c r="J2458" t="s">
        <v>32</v>
      </c>
      <c r="K2458">
        <v>4</v>
      </c>
      <c r="L2458" t="e">
        <f t="array" ref="L2458">VLOOKUP(J2458:$J$3871&amp;K2458:$K$3871,CHOOSE({1,2},#REF!&amp;#REF!,#REF!),2,0)</f>
        <v>#N/A</v>
      </c>
      <c r="M2458">
        <v>0</v>
      </c>
      <c r="N2458">
        <v>1</v>
      </c>
      <c r="O2458" t="s">
        <v>23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0</v>
      </c>
      <c r="V2458">
        <v>1</v>
      </c>
      <c r="W2458">
        <v>1</v>
      </c>
      <c r="X2458">
        <v>1</v>
      </c>
      <c r="Y2458">
        <v>0</v>
      </c>
      <c r="Z2458">
        <v>0</v>
      </c>
      <c r="AA2458" t="s">
        <v>4140</v>
      </c>
      <c r="AB2458" t="s">
        <v>1650</v>
      </c>
      <c r="AC2458" t="s">
        <v>4140</v>
      </c>
      <c r="AD2458" t="e">
        <f>VLOOKUP(AB2458,#REF!,2,FALSE)</f>
        <v>#REF!</v>
      </c>
      <c r="AE2458" t="e">
        <f>RIGHT(#REF!,(FIND("Complex",#REF!,1)-7))</f>
        <v>#REF!</v>
      </c>
    </row>
    <row r="2459" spans="1:31" x14ac:dyDescent="0.25">
      <c r="A2459">
        <v>434</v>
      </c>
      <c r="B2459" t="s">
        <v>91</v>
      </c>
      <c r="C2459">
        <v>81</v>
      </c>
      <c r="D2459">
        <v>37</v>
      </c>
      <c r="E2459">
        <v>434</v>
      </c>
      <c r="F2459">
        <v>1058401</v>
      </c>
      <c r="G2459">
        <v>1146600</v>
      </c>
      <c r="H2459">
        <f t="shared" si="76"/>
        <v>24.000022675736961</v>
      </c>
      <c r="I2459">
        <f t="shared" si="77"/>
        <v>26</v>
      </c>
      <c r="J2459" t="s">
        <v>32</v>
      </c>
      <c r="K2459">
        <v>4</v>
      </c>
      <c r="L2459" t="e">
        <f t="array" ref="L2459">VLOOKUP(J2459:$J$3871&amp;K2459:$K$3871,CHOOSE({1,2},#REF!&amp;#REF!,#REF!),2,0)</f>
        <v>#N/A</v>
      </c>
      <c r="M2459">
        <v>0</v>
      </c>
      <c r="N2459">
        <v>1</v>
      </c>
      <c r="O2459" t="s">
        <v>23</v>
      </c>
      <c r="P2459">
        <v>0</v>
      </c>
      <c r="Q2459">
        <v>0</v>
      </c>
      <c r="R2459">
        <v>1</v>
      </c>
      <c r="S2459">
        <v>0</v>
      </c>
      <c r="T2459">
        <v>0</v>
      </c>
      <c r="U2459">
        <v>0</v>
      </c>
      <c r="V2459">
        <v>1</v>
      </c>
      <c r="W2459">
        <v>1</v>
      </c>
      <c r="X2459">
        <v>1</v>
      </c>
      <c r="Y2459">
        <v>0</v>
      </c>
      <c r="Z2459">
        <v>0</v>
      </c>
      <c r="AA2459" t="s">
        <v>4178</v>
      </c>
      <c r="AB2459" t="s">
        <v>1651</v>
      </c>
      <c r="AC2459" t="s">
        <v>4178</v>
      </c>
      <c r="AD2459" t="e">
        <f>VLOOKUP(AB2459,#REF!,2,FALSE)</f>
        <v>#REF!</v>
      </c>
      <c r="AE2459" t="e">
        <f>RIGHT(#REF!,(FIND("Complex",#REF!,1)-6))</f>
        <v>#REF!</v>
      </c>
    </row>
    <row r="2460" spans="1:31" x14ac:dyDescent="0.25">
      <c r="A2460">
        <v>2746</v>
      </c>
      <c r="B2460" t="s">
        <v>91</v>
      </c>
      <c r="C2460">
        <v>81</v>
      </c>
      <c r="D2460">
        <v>283</v>
      </c>
      <c r="E2460">
        <v>2746</v>
      </c>
      <c r="F2460">
        <v>882001</v>
      </c>
      <c r="G2460">
        <v>970200</v>
      </c>
      <c r="H2460">
        <f t="shared" si="76"/>
        <v>20.000022675736961</v>
      </c>
      <c r="I2460">
        <f t="shared" si="77"/>
        <v>22</v>
      </c>
      <c r="J2460" t="s">
        <v>32</v>
      </c>
      <c r="K2460">
        <v>4</v>
      </c>
      <c r="L2460" t="e">
        <f t="array" ref="L2460">VLOOKUP(J2460:$J$3871&amp;K2460:$K$3871,CHOOSE({1,2},#REF!&amp;#REF!,#REF!),2,0)</f>
        <v>#N/A</v>
      </c>
      <c r="M2460">
        <v>0</v>
      </c>
      <c r="N2460">
        <v>1</v>
      </c>
      <c r="O2460" t="s">
        <v>23</v>
      </c>
      <c r="P2460">
        <v>0</v>
      </c>
      <c r="Q2460">
        <v>0</v>
      </c>
      <c r="R2460">
        <v>1</v>
      </c>
      <c r="S2460">
        <v>0</v>
      </c>
      <c r="T2460">
        <v>0</v>
      </c>
      <c r="U2460">
        <v>0</v>
      </c>
      <c r="V2460">
        <v>1</v>
      </c>
      <c r="W2460">
        <v>1</v>
      </c>
      <c r="X2460">
        <v>1</v>
      </c>
      <c r="Y2460">
        <v>0</v>
      </c>
      <c r="Z2460">
        <v>0</v>
      </c>
      <c r="AA2460" t="s">
        <v>4302</v>
      </c>
      <c r="AB2460" t="s">
        <v>1652</v>
      </c>
      <c r="AC2460" t="s">
        <v>4302</v>
      </c>
      <c r="AD2460" t="e">
        <f>VLOOKUP(AB2460,#REF!,2,FALSE)</f>
        <v>#REF!</v>
      </c>
      <c r="AE2460" t="e">
        <f>RIGHT(#REF!,(FIND("Complex",#REF!,1)-7))</f>
        <v>#REF!</v>
      </c>
    </row>
    <row r="2461" spans="1:31" x14ac:dyDescent="0.25">
      <c r="A2461">
        <v>2940</v>
      </c>
      <c r="B2461" t="s">
        <v>91</v>
      </c>
      <c r="C2461">
        <v>81</v>
      </c>
      <c r="D2461">
        <v>327</v>
      </c>
      <c r="E2461">
        <v>2940</v>
      </c>
      <c r="F2461">
        <v>793801</v>
      </c>
      <c r="G2461">
        <v>882000</v>
      </c>
      <c r="H2461">
        <f t="shared" si="76"/>
        <v>18.000022675736961</v>
      </c>
      <c r="I2461">
        <f t="shared" si="77"/>
        <v>20</v>
      </c>
      <c r="J2461" t="s">
        <v>32</v>
      </c>
      <c r="K2461">
        <v>4</v>
      </c>
      <c r="L2461" t="e">
        <f t="array" ref="L2461">VLOOKUP(J2461:$J$3871&amp;K2461:$K$3871,CHOOSE({1,2},#REF!&amp;#REF!,#REF!),2,0)</f>
        <v>#N/A</v>
      </c>
      <c r="M2461">
        <v>0</v>
      </c>
      <c r="N2461">
        <v>1</v>
      </c>
      <c r="O2461" t="s">
        <v>23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1</v>
      </c>
      <c r="W2461">
        <v>1</v>
      </c>
      <c r="X2461">
        <v>1</v>
      </c>
      <c r="Y2461">
        <v>0</v>
      </c>
      <c r="Z2461">
        <v>0</v>
      </c>
      <c r="AA2461" t="s">
        <v>4405</v>
      </c>
      <c r="AB2461" t="s">
        <v>1653</v>
      </c>
      <c r="AC2461" t="s">
        <v>4405</v>
      </c>
      <c r="AD2461" t="e">
        <f>VLOOKUP(AB2461,#REF!,2,FALSE)</f>
        <v>#REF!</v>
      </c>
      <c r="AE2461" t="e">
        <f>RIGHT(#REF!,(FIND("Complex",#REF!,1)-7))</f>
        <v>#REF!</v>
      </c>
    </row>
    <row r="2462" spans="1:31" x14ac:dyDescent="0.25">
      <c r="A2462">
        <v>698</v>
      </c>
      <c r="B2462" t="s">
        <v>91</v>
      </c>
      <c r="C2462">
        <v>81</v>
      </c>
      <c r="D2462">
        <v>55</v>
      </c>
      <c r="E2462">
        <v>698</v>
      </c>
      <c r="F2462">
        <v>705601</v>
      </c>
      <c r="G2462">
        <v>793800</v>
      </c>
      <c r="H2462">
        <f t="shared" si="76"/>
        <v>16.000022675736961</v>
      </c>
      <c r="I2462">
        <f t="shared" si="77"/>
        <v>18</v>
      </c>
      <c r="J2462" t="s">
        <v>32</v>
      </c>
      <c r="K2462">
        <v>4</v>
      </c>
      <c r="L2462" t="e">
        <f t="array" ref="L2462">VLOOKUP(J2462:$J$3871&amp;K2462:$K$3871,CHOOSE({1,2},#REF!&amp;#REF!,#REF!),2,0)</f>
        <v>#N/A</v>
      </c>
      <c r="M2462">
        <v>0</v>
      </c>
      <c r="N2462">
        <v>1</v>
      </c>
      <c r="O2462" t="s">
        <v>23</v>
      </c>
      <c r="P2462">
        <v>0</v>
      </c>
      <c r="Q2462">
        <v>0</v>
      </c>
      <c r="R2462">
        <v>1</v>
      </c>
      <c r="S2462">
        <v>0</v>
      </c>
      <c r="T2462">
        <v>0</v>
      </c>
      <c r="U2462">
        <v>0</v>
      </c>
      <c r="V2462">
        <v>1</v>
      </c>
      <c r="W2462">
        <v>1</v>
      </c>
      <c r="X2462">
        <v>1</v>
      </c>
      <c r="Y2462">
        <v>0</v>
      </c>
      <c r="Z2462">
        <v>0</v>
      </c>
      <c r="AA2462" t="s">
        <v>4490</v>
      </c>
      <c r="AB2462" t="s">
        <v>1654</v>
      </c>
      <c r="AC2462" t="s">
        <v>4490</v>
      </c>
      <c r="AD2462" t="e">
        <f>VLOOKUP(AB2462,#REF!,2,FALSE)</f>
        <v>#REF!</v>
      </c>
      <c r="AE2462" t="e">
        <f>RIGHT(#REF!,(FIND("Complex",#REF!,1)-6))</f>
        <v>#REF!</v>
      </c>
    </row>
    <row r="2463" spans="1:31" x14ac:dyDescent="0.25">
      <c r="A2463">
        <v>2258</v>
      </c>
      <c r="B2463" t="s">
        <v>91</v>
      </c>
      <c r="C2463">
        <v>81</v>
      </c>
      <c r="D2463">
        <v>216</v>
      </c>
      <c r="E2463">
        <v>2258</v>
      </c>
      <c r="F2463">
        <v>441001</v>
      </c>
      <c r="G2463">
        <v>529200</v>
      </c>
      <c r="H2463">
        <f t="shared" si="76"/>
        <v>10.000022675736961</v>
      </c>
      <c r="I2463">
        <f t="shared" si="77"/>
        <v>12</v>
      </c>
      <c r="J2463" t="s">
        <v>32</v>
      </c>
      <c r="K2463">
        <v>4</v>
      </c>
      <c r="L2463" t="e">
        <f t="array" ref="L2463">VLOOKUP(J2463:$J$3871&amp;K2463:$K$3871,CHOOSE({1,2},#REF!&amp;#REF!,#REF!),2,0)</f>
        <v>#N/A</v>
      </c>
      <c r="M2463">
        <v>0</v>
      </c>
      <c r="N2463">
        <v>1</v>
      </c>
      <c r="O2463" t="s">
        <v>23</v>
      </c>
      <c r="P2463">
        <v>0</v>
      </c>
      <c r="Q2463">
        <v>0</v>
      </c>
      <c r="R2463">
        <v>1</v>
      </c>
      <c r="S2463">
        <v>0</v>
      </c>
      <c r="T2463">
        <v>0</v>
      </c>
      <c r="U2463">
        <v>0</v>
      </c>
      <c r="V2463">
        <v>1</v>
      </c>
      <c r="W2463">
        <v>1</v>
      </c>
      <c r="X2463">
        <v>1</v>
      </c>
      <c r="Y2463">
        <v>0</v>
      </c>
      <c r="Z2463">
        <v>0</v>
      </c>
      <c r="AA2463" t="s">
        <v>4852</v>
      </c>
      <c r="AB2463" t="s">
        <v>1655</v>
      </c>
      <c r="AC2463" t="s">
        <v>4852</v>
      </c>
      <c r="AD2463" t="e">
        <f>VLOOKUP(AB2463,#REF!,2,FALSE)</f>
        <v>#REF!</v>
      </c>
      <c r="AE2463" t="e">
        <f>RIGHT(#REF!,(FIND("Complex",#REF!,1)-7))</f>
        <v>#REF!</v>
      </c>
    </row>
    <row r="2464" spans="1:31" x14ac:dyDescent="0.25">
      <c r="A2464">
        <v>840</v>
      </c>
      <c r="B2464" t="s">
        <v>31</v>
      </c>
      <c r="C2464">
        <v>83</v>
      </c>
      <c r="D2464">
        <v>63</v>
      </c>
      <c r="E2464">
        <v>840</v>
      </c>
      <c r="F2464">
        <v>2998801</v>
      </c>
      <c r="G2464">
        <v>3087000</v>
      </c>
      <c r="H2464">
        <f t="shared" si="76"/>
        <v>68.000022675736957</v>
      </c>
      <c r="I2464">
        <f t="shared" si="77"/>
        <v>70</v>
      </c>
      <c r="J2464" t="s">
        <v>32</v>
      </c>
      <c r="K2464">
        <v>4</v>
      </c>
      <c r="L2464" t="e">
        <f t="array" ref="L2464">VLOOKUP(J2464:$J$3871&amp;K2464:$K$3871,CHOOSE({1,2},#REF!&amp;#REF!,#REF!),2,0)</f>
        <v>#N/A</v>
      </c>
      <c r="M2464">
        <v>0</v>
      </c>
      <c r="N2464">
        <v>1</v>
      </c>
      <c r="O2464" t="s">
        <v>23</v>
      </c>
      <c r="P2464">
        <v>0</v>
      </c>
      <c r="Q2464">
        <v>1</v>
      </c>
      <c r="R2464">
        <v>1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1</v>
      </c>
      <c r="Y2464">
        <v>0</v>
      </c>
      <c r="Z2464">
        <v>0</v>
      </c>
      <c r="AA2464" t="s">
        <v>3719</v>
      </c>
      <c r="AB2464" t="s">
        <v>1686</v>
      </c>
      <c r="AC2464" t="s">
        <v>3719</v>
      </c>
      <c r="AD2464" t="e">
        <f>VLOOKUP(AB2464,#REF!,2,FALSE)</f>
        <v>#REF!</v>
      </c>
      <c r="AE2464" t="e">
        <f>RIGHT(#REF!,(FIND("Complex",#REF!,1)-6))</f>
        <v>#REF!</v>
      </c>
    </row>
    <row r="2465" spans="1:31" x14ac:dyDescent="0.25">
      <c r="A2465">
        <v>2674</v>
      </c>
      <c r="B2465" t="s">
        <v>31</v>
      </c>
      <c r="C2465">
        <v>83</v>
      </c>
      <c r="D2465">
        <v>267</v>
      </c>
      <c r="E2465">
        <v>2674</v>
      </c>
      <c r="F2465">
        <v>5027401</v>
      </c>
      <c r="G2465">
        <v>5115600</v>
      </c>
      <c r="H2465">
        <f t="shared" si="76"/>
        <v>114.00002267573696</v>
      </c>
      <c r="I2465">
        <f t="shared" si="77"/>
        <v>116</v>
      </c>
      <c r="J2465" t="s">
        <v>32</v>
      </c>
      <c r="K2465">
        <v>4</v>
      </c>
      <c r="L2465" t="e">
        <f t="array" ref="L2465">VLOOKUP(J2465:$J$3871&amp;K2465:$K$3871,CHOOSE({1,2},#REF!&amp;#REF!,#REF!),2,0)</f>
        <v>#N/A</v>
      </c>
      <c r="M2465">
        <v>0</v>
      </c>
      <c r="N2465">
        <v>1</v>
      </c>
      <c r="O2465" t="s">
        <v>23</v>
      </c>
      <c r="P2465">
        <v>0</v>
      </c>
      <c r="Q2465">
        <v>1</v>
      </c>
      <c r="R2465">
        <v>1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1</v>
      </c>
      <c r="Y2465">
        <v>0</v>
      </c>
      <c r="Z2465">
        <v>0</v>
      </c>
      <c r="AA2465" t="s">
        <v>4762</v>
      </c>
      <c r="AB2465" t="s">
        <v>1687</v>
      </c>
      <c r="AC2465" t="s">
        <v>4762</v>
      </c>
      <c r="AD2465" t="e">
        <f>VLOOKUP(AB2465,#REF!,2,FALSE)</f>
        <v>#REF!</v>
      </c>
      <c r="AE2465" t="e">
        <f>RIGHT(#REF!,(FIND("Complex",#REF!,1)-6))</f>
        <v>#REF!</v>
      </c>
    </row>
    <row r="2466" spans="1:31" x14ac:dyDescent="0.25">
      <c r="A2466">
        <v>471</v>
      </c>
      <c r="B2466" t="s">
        <v>76</v>
      </c>
      <c r="C2466">
        <v>93</v>
      </c>
      <c r="D2466">
        <v>40</v>
      </c>
      <c r="E2466">
        <v>471</v>
      </c>
      <c r="F2466">
        <v>4057201</v>
      </c>
      <c r="G2466">
        <v>4145400</v>
      </c>
      <c r="H2466">
        <f t="shared" si="76"/>
        <v>92.000022675736957</v>
      </c>
      <c r="I2466">
        <f t="shared" si="77"/>
        <v>94</v>
      </c>
      <c r="J2466" t="s">
        <v>32</v>
      </c>
      <c r="K2466">
        <v>4</v>
      </c>
      <c r="L2466" t="e">
        <f t="array" ref="L2466">VLOOKUP(J2466:$J$3871&amp;K2466:$K$3871,CHOOSE({1,2},#REF!&amp;#REF!,#REF!),2,0)</f>
        <v>#N/A</v>
      </c>
      <c r="M2466">
        <v>0</v>
      </c>
      <c r="N2466">
        <v>1</v>
      </c>
      <c r="O2466" t="s">
        <v>23</v>
      </c>
      <c r="P2466">
        <v>1</v>
      </c>
      <c r="Q2466">
        <v>1</v>
      </c>
      <c r="R2466">
        <v>1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 t="s">
        <v>3538</v>
      </c>
      <c r="AB2466" t="s">
        <v>1825</v>
      </c>
      <c r="AC2466" t="s">
        <v>3538</v>
      </c>
      <c r="AD2466" t="e">
        <f>VLOOKUP(AB2466,#REF!,2,FALSE)</f>
        <v>#REF!</v>
      </c>
      <c r="AE2466" t="e">
        <f>RIGHT(#REF!,(FIND("Complex",#REF!,1)-6))</f>
        <v>#REF!</v>
      </c>
    </row>
    <row r="2467" spans="1:31" x14ac:dyDescent="0.25">
      <c r="A2467">
        <v>2662</v>
      </c>
      <c r="B2467" t="s">
        <v>76</v>
      </c>
      <c r="C2467">
        <v>93</v>
      </c>
      <c r="D2467">
        <v>265</v>
      </c>
      <c r="E2467">
        <v>2662</v>
      </c>
      <c r="F2467">
        <v>3792601</v>
      </c>
      <c r="G2467">
        <v>3880800</v>
      </c>
      <c r="H2467">
        <f t="shared" si="76"/>
        <v>86.000022675736957</v>
      </c>
      <c r="I2467">
        <f t="shared" si="77"/>
        <v>88</v>
      </c>
      <c r="J2467" t="s">
        <v>32</v>
      </c>
      <c r="K2467">
        <v>4</v>
      </c>
      <c r="L2467" t="e">
        <f t="array" ref="L2467">VLOOKUP(J2467:$J$3871&amp;K2467:$K$3871,CHOOSE({1,2},#REF!&amp;#REF!,#REF!),2,0)</f>
        <v>#N/A</v>
      </c>
      <c r="M2467">
        <v>0</v>
      </c>
      <c r="N2467">
        <v>1</v>
      </c>
      <c r="O2467" t="s">
        <v>23</v>
      </c>
      <c r="P2467">
        <v>1</v>
      </c>
      <c r="Q2467">
        <v>1</v>
      </c>
      <c r="R2467">
        <v>1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0</v>
      </c>
      <c r="Z2467">
        <v>0</v>
      </c>
      <c r="AA2467" t="s">
        <v>3581</v>
      </c>
      <c r="AB2467" t="s">
        <v>1826</v>
      </c>
      <c r="AC2467" t="s">
        <v>3581</v>
      </c>
      <c r="AD2467" t="e">
        <f>VLOOKUP(AB2467,#REF!,2,FALSE)</f>
        <v>#REF!</v>
      </c>
      <c r="AE2467" t="e">
        <f>RIGHT(#REF!,(FIND("Complex",#REF!,1)-7))</f>
        <v>#REF!</v>
      </c>
    </row>
    <row r="2468" spans="1:31" x14ac:dyDescent="0.25">
      <c r="A2468">
        <v>2516</v>
      </c>
      <c r="B2468" t="s">
        <v>76</v>
      </c>
      <c r="C2468">
        <v>93</v>
      </c>
      <c r="D2468">
        <v>248</v>
      </c>
      <c r="E2468">
        <v>2516</v>
      </c>
      <c r="F2468">
        <v>4410001</v>
      </c>
      <c r="G2468">
        <v>4498200</v>
      </c>
      <c r="H2468">
        <f t="shared" si="76"/>
        <v>100.00002267573696</v>
      </c>
      <c r="I2468">
        <f t="shared" si="77"/>
        <v>102</v>
      </c>
      <c r="J2468" t="s">
        <v>32</v>
      </c>
      <c r="K2468">
        <v>4</v>
      </c>
      <c r="L2468" t="e">
        <f t="array" ref="L2468">VLOOKUP(J2468:$J$3871&amp;K2468:$K$3871,CHOOSE({1,2},#REF!&amp;#REF!,#REF!),2,0)</f>
        <v>#N/A</v>
      </c>
      <c r="M2468">
        <v>0</v>
      </c>
      <c r="N2468">
        <v>1</v>
      </c>
      <c r="O2468" t="s">
        <v>23</v>
      </c>
      <c r="P2468">
        <v>1</v>
      </c>
      <c r="Q2468">
        <v>1</v>
      </c>
      <c r="R2468">
        <v>1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1</v>
      </c>
      <c r="Y2468">
        <v>0</v>
      </c>
      <c r="Z2468">
        <v>0</v>
      </c>
      <c r="AA2468" t="s">
        <v>4834</v>
      </c>
      <c r="AB2468" t="s">
        <v>205</v>
      </c>
      <c r="AC2468" t="s">
        <v>4834</v>
      </c>
      <c r="AD2468" t="e">
        <f>VLOOKUP(AB2468,#REF!,2,FALSE)</f>
        <v>#REF!</v>
      </c>
      <c r="AE2468" t="e">
        <f>RIGHT(#REF!,(FIND("Complex",#REF!,1)-6))</f>
        <v>#REF!</v>
      </c>
    </row>
    <row r="2469" spans="1:31" x14ac:dyDescent="0.25">
      <c r="A2469">
        <v>3293</v>
      </c>
      <c r="B2469" t="s">
        <v>83</v>
      </c>
      <c r="C2469">
        <v>97</v>
      </c>
      <c r="D2469">
        <v>405</v>
      </c>
      <c r="E2469">
        <v>3293</v>
      </c>
      <c r="F2469">
        <v>3969001</v>
      </c>
      <c r="G2469">
        <v>4057200</v>
      </c>
      <c r="H2469">
        <f t="shared" si="76"/>
        <v>90.000022675736957</v>
      </c>
      <c r="I2469">
        <f t="shared" si="77"/>
        <v>92</v>
      </c>
      <c r="J2469" t="s">
        <v>32</v>
      </c>
      <c r="K2469">
        <v>4</v>
      </c>
      <c r="L2469" t="e">
        <f t="array" ref="L2469">VLOOKUP(J2469:$J$3871&amp;K2469:$K$3871,CHOOSE({1,2},#REF!&amp;#REF!,#REF!),2,0)</f>
        <v>#N/A</v>
      </c>
      <c r="M2469">
        <v>0</v>
      </c>
      <c r="N2469">
        <v>1</v>
      </c>
      <c r="O2469" t="s">
        <v>23</v>
      </c>
      <c r="P2469">
        <v>0</v>
      </c>
      <c r="Q2469">
        <v>1</v>
      </c>
      <c r="R2469">
        <v>1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1</v>
      </c>
      <c r="Y2469">
        <v>0</v>
      </c>
      <c r="Z2469">
        <v>0</v>
      </c>
      <c r="AA2469" t="s">
        <v>3548</v>
      </c>
      <c r="AB2469" t="s">
        <v>1880</v>
      </c>
      <c r="AC2469" t="s">
        <v>3548</v>
      </c>
      <c r="AD2469" t="e">
        <f>VLOOKUP(AB2469,#REF!,2,FALSE)</f>
        <v>#REF!</v>
      </c>
      <c r="AE2469" t="e">
        <f>RIGHT(#REF!,(FIND("Complex",#REF!,1)-7))</f>
        <v>#REF!</v>
      </c>
    </row>
    <row r="2470" spans="1:31" x14ac:dyDescent="0.25">
      <c r="A2470">
        <v>3708</v>
      </c>
      <c r="B2470" t="s">
        <v>83</v>
      </c>
      <c r="C2470">
        <v>97</v>
      </c>
      <c r="D2470">
        <v>471</v>
      </c>
      <c r="E2470">
        <v>3708</v>
      </c>
      <c r="F2470">
        <v>264601</v>
      </c>
      <c r="G2470">
        <v>352800</v>
      </c>
      <c r="H2470">
        <f t="shared" si="76"/>
        <v>6.000022675736961</v>
      </c>
      <c r="I2470">
        <f t="shared" si="77"/>
        <v>8</v>
      </c>
      <c r="J2470" t="s">
        <v>32</v>
      </c>
      <c r="K2470">
        <v>4</v>
      </c>
      <c r="L2470" t="e">
        <f t="array" ref="L2470">VLOOKUP(J2470:$J$3871&amp;K2470:$K$3871,CHOOSE({1,2},#REF!&amp;#REF!,#REF!),2,0)</f>
        <v>#N/A</v>
      </c>
      <c r="M2470">
        <v>0</v>
      </c>
      <c r="N2470">
        <v>1</v>
      </c>
      <c r="O2470" t="s">
        <v>23</v>
      </c>
      <c r="P2470">
        <v>0</v>
      </c>
      <c r="Q2470">
        <v>0</v>
      </c>
      <c r="R2470">
        <v>1</v>
      </c>
      <c r="S2470">
        <v>1</v>
      </c>
      <c r="T2470">
        <v>0</v>
      </c>
      <c r="U2470">
        <v>0</v>
      </c>
      <c r="V2470">
        <v>0</v>
      </c>
      <c r="W2470">
        <v>1</v>
      </c>
      <c r="X2470">
        <v>1</v>
      </c>
      <c r="Y2470">
        <v>0</v>
      </c>
      <c r="Z2470">
        <v>0</v>
      </c>
      <c r="AA2470" t="s">
        <v>3797</v>
      </c>
      <c r="AB2470" t="s">
        <v>1881</v>
      </c>
      <c r="AC2470" t="s">
        <v>3797</v>
      </c>
      <c r="AD2470" t="e">
        <f>VLOOKUP(AB2470,#REF!,2,FALSE)</f>
        <v>#REF!</v>
      </c>
      <c r="AE2470" t="e">
        <f>RIGHT(#REF!,(FIND("Complex",#REF!,1)-8))</f>
        <v>#REF!</v>
      </c>
    </row>
    <row r="2471" spans="1:31" x14ac:dyDescent="0.25">
      <c r="A2471">
        <v>3633</v>
      </c>
      <c r="B2471" t="s">
        <v>83</v>
      </c>
      <c r="C2471">
        <v>97</v>
      </c>
      <c r="D2471">
        <v>462</v>
      </c>
      <c r="E2471">
        <v>3633</v>
      </c>
      <c r="F2471">
        <v>1234801</v>
      </c>
      <c r="G2471">
        <v>1323000</v>
      </c>
      <c r="H2471">
        <f t="shared" si="76"/>
        <v>28.000022675736961</v>
      </c>
      <c r="I2471">
        <f t="shared" si="77"/>
        <v>30</v>
      </c>
      <c r="J2471" t="s">
        <v>32</v>
      </c>
      <c r="K2471">
        <v>4</v>
      </c>
      <c r="L2471" t="e">
        <f t="array" ref="L2471">VLOOKUP(J2471:$J$3871&amp;K2471:$K$3871,CHOOSE({1,2},#REF!&amp;#REF!,#REF!),2,0)</f>
        <v>#N/A</v>
      </c>
      <c r="M2471">
        <v>0</v>
      </c>
      <c r="N2471">
        <v>1</v>
      </c>
      <c r="O2471" t="s">
        <v>23</v>
      </c>
      <c r="P2471">
        <v>0</v>
      </c>
      <c r="Q2471">
        <v>1</v>
      </c>
      <c r="R2471">
        <v>1</v>
      </c>
      <c r="S2471">
        <v>1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 t="s">
        <v>4093</v>
      </c>
      <c r="AB2471" t="s">
        <v>1882</v>
      </c>
      <c r="AC2471" t="s">
        <v>4093</v>
      </c>
      <c r="AD2471" t="e">
        <f>VLOOKUP(AB2471,#REF!,2,FALSE)</f>
        <v>#REF!</v>
      </c>
      <c r="AE2471" t="e">
        <f>RIGHT(#REF!,(FIND("Complex",#REF!,1)-7))</f>
        <v>#REF!</v>
      </c>
    </row>
    <row r="2472" spans="1:31" x14ac:dyDescent="0.25">
      <c r="A2472">
        <v>2990</v>
      </c>
      <c r="B2472" t="s">
        <v>83</v>
      </c>
      <c r="C2472">
        <v>97</v>
      </c>
      <c r="D2472">
        <v>337</v>
      </c>
      <c r="E2472">
        <v>2990</v>
      </c>
      <c r="F2472">
        <v>8290801</v>
      </c>
      <c r="G2472">
        <v>8379000</v>
      </c>
      <c r="H2472">
        <f t="shared" si="76"/>
        <v>188.00002267573697</v>
      </c>
      <c r="I2472">
        <f t="shared" si="77"/>
        <v>190</v>
      </c>
      <c r="J2472" t="s">
        <v>32</v>
      </c>
      <c r="K2472">
        <v>4</v>
      </c>
      <c r="L2472" t="e">
        <f t="array" ref="L2472">VLOOKUP(J2472:$J$3871&amp;K2472:$K$3871,CHOOSE({1,2},#REF!&amp;#REF!,#REF!),2,0)</f>
        <v>#N/A</v>
      </c>
      <c r="M2472">
        <v>0</v>
      </c>
      <c r="N2472">
        <v>1</v>
      </c>
      <c r="O2472" t="s">
        <v>23</v>
      </c>
      <c r="P2472">
        <v>1</v>
      </c>
      <c r="Q2472">
        <v>0</v>
      </c>
      <c r="R2472">
        <v>1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1</v>
      </c>
      <c r="Y2472">
        <v>0</v>
      </c>
      <c r="Z2472">
        <v>0</v>
      </c>
      <c r="AA2472" t="s">
        <v>4373</v>
      </c>
      <c r="AB2472" t="s">
        <v>1883</v>
      </c>
      <c r="AC2472" t="s">
        <v>4373</v>
      </c>
      <c r="AD2472" t="e">
        <f>VLOOKUP(AB2472,#REF!,2,FALSE)</f>
        <v>#REF!</v>
      </c>
      <c r="AE2472" t="e">
        <f>RIGHT(#REF!,(FIND("Complex",#REF!,1)-6))</f>
        <v>#REF!</v>
      </c>
    </row>
    <row r="2473" spans="1:31" x14ac:dyDescent="0.25">
      <c r="A2473">
        <v>1723</v>
      </c>
      <c r="B2473" t="s">
        <v>83</v>
      </c>
      <c r="C2473">
        <v>97</v>
      </c>
      <c r="D2473">
        <v>156</v>
      </c>
      <c r="E2473">
        <v>1723</v>
      </c>
      <c r="F2473">
        <v>6085801</v>
      </c>
      <c r="G2473">
        <v>6174000</v>
      </c>
      <c r="H2473">
        <f t="shared" si="76"/>
        <v>138.00002267573697</v>
      </c>
      <c r="I2473">
        <f t="shared" si="77"/>
        <v>140</v>
      </c>
      <c r="J2473" t="s">
        <v>32</v>
      </c>
      <c r="K2473">
        <v>4</v>
      </c>
      <c r="L2473" t="e">
        <f t="array" ref="L2473">VLOOKUP(J2473:$J$3871&amp;K2473:$K$3871,CHOOSE({1,2},#REF!&amp;#REF!,#REF!),2,0)</f>
        <v>#N/A</v>
      </c>
      <c r="M2473">
        <v>0</v>
      </c>
      <c r="N2473">
        <v>1</v>
      </c>
      <c r="O2473" t="s">
        <v>23</v>
      </c>
      <c r="P2473">
        <v>0</v>
      </c>
      <c r="Q2473">
        <v>1</v>
      </c>
      <c r="R2473">
        <v>1</v>
      </c>
      <c r="S2473">
        <v>1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 t="s">
        <v>4626</v>
      </c>
      <c r="AB2473" t="s">
        <v>1884</v>
      </c>
      <c r="AC2473" t="s">
        <v>4626</v>
      </c>
      <c r="AD2473" t="e">
        <f>VLOOKUP(AB2473,#REF!,2,FALSE)</f>
        <v>#REF!</v>
      </c>
      <c r="AE2473" t="e">
        <f>RIGHT(#REF!,(FIND("Complex",#REF!,1)-6))</f>
        <v>#REF!</v>
      </c>
    </row>
    <row r="2474" spans="1:31" x14ac:dyDescent="0.25">
      <c r="A2474">
        <v>1028</v>
      </c>
      <c r="B2474" t="s">
        <v>83</v>
      </c>
      <c r="C2474">
        <v>97</v>
      </c>
      <c r="D2474">
        <v>86</v>
      </c>
      <c r="E2474">
        <v>1028</v>
      </c>
      <c r="F2474">
        <v>529201</v>
      </c>
      <c r="G2474">
        <v>617400</v>
      </c>
      <c r="H2474">
        <f t="shared" si="76"/>
        <v>12.000022675736961</v>
      </c>
      <c r="I2474">
        <f t="shared" si="77"/>
        <v>14</v>
      </c>
      <c r="J2474" t="s">
        <v>32</v>
      </c>
      <c r="K2474">
        <v>4</v>
      </c>
      <c r="L2474" t="e">
        <f t="array" ref="L2474">VLOOKUP(J2474:$J$3871&amp;K2474:$K$3871,CHOOSE({1,2},#REF!&amp;#REF!,#REF!),2,0)</f>
        <v>#N/A</v>
      </c>
      <c r="M2474">
        <v>0</v>
      </c>
      <c r="N2474">
        <v>1</v>
      </c>
      <c r="O2474" t="s">
        <v>23</v>
      </c>
      <c r="P2474">
        <v>0</v>
      </c>
      <c r="Q2474">
        <v>0</v>
      </c>
      <c r="R2474">
        <v>1</v>
      </c>
      <c r="S2474">
        <v>1</v>
      </c>
      <c r="T2474">
        <v>0</v>
      </c>
      <c r="U2474">
        <v>0</v>
      </c>
      <c r="V2474">
        <v>0</v>
      </c>
      <c r="W2474">
        <v>1</v>
      </c>
      <c r="X2474">
        <v>1</v>
      </c>
      <c r="Y2474">
        <v>0</v>
      </c>
      <c r="Z2474">
        <v>0</v>
      </c>
      <c r="AA2474" t="s">
        <v>4722</v>
      </c>
      <c r="AB2474" t="s">
        <v>1885</v>
      </c>
      <c r="AC2474" t="s">
        <v>4722</v>
      </c>
      <c r="AD2474" t="e">
        <f>VLOOKUP(AB2474,#REF!,2,FALSE)</f>
        <v>#REF!</v>
      </c>
      <c r="AE2474" t="e">
        <f>RIGHT(#REF!,(FIND("Complex",#REF!,1)-7))</f>
        <v>#REF!</v>
      </c>
    </row>
    <row r="2475" spans="1:31" x14ac:dyDescent="0.25">
      <c r="A2475">
        <v>3837</v>
      </c>
      <c r="B2475" t="s">
        <v>55</v>
      </c>
      <c r="C2475">
        <v>102</v>
      </c>
      <c r="D2475">
        <v>489</v>
      </c>
      <c r="E2475">
        <v>3837</v>
      </c>
      <c r="F2475">
        <v>3175201</v>
      </c>
      <c r="G2475">
        <v>3263400</v>
      </c>
      <c r="H2475">
        <f t="shared" si="76"/>
        <v>72.000022675736957</v>
      </c>
      <c r="I2475">
        <f t="shared" si="77"/>
        <v>74</v>
      </c>
      <c r="J2475" t="s">
        <v>32</v>
      </c>
      <c r="K2475">
        <v>4</v>
      </c>
      <c r="L2475" t="e">
        <f t="array" ref="L2475">VLOOKUP(J2475:$J$3871&amp;K2475:$K$3871,CHOOSE({1,2},#REF!&amp;#REF!,#REF!),2,0)</f>
        <v>#N/A</v>
      </c>
      <c r="M2475">
        <v>0</v>
      </c>
      <c r="N2475">
        <v>1</v>
      </c>
      <c r="O2475" t="s">
        <v>23</v>
      </c>
      <c r="P2475">
        <v>0</v>
      </c>
      <c r="Q2475">
        <v>0</v>
      </c>
      <c r="R2475">
        <v>1</v>
      </c>
      <c r="S2475">
        <v>1</v>
      </c>
      <c r="T2475">
        <v>0</v>
      </c>
      <c r="U2475">
        <v>0</v>
      </c>
      <c r="V2475">
        <v>0</v>
      </c>
      <c r="W2475">
        <v>1</v>
      </c>
      <c r="X2475">
        <v>1</v>
      </c>
      <c r="Y2475">
        <v>0</v>
      </c>
      <c r="Z2475">
        <v>0</v>
      </c>
      <c r="AA2475" t="s">
        <v>3698</v>
      </c>
      <c r="AB2475" t="s">
        <v>1997</v>
      </c>
      <c r="AC2475" t="s">
        <v>3698</v>
      </c>
      <c r="AD2475" t="e">
        <f>VLOOKUP(AB2475,#REF!,2,FALSE)</f>
        <v>#REF!</v>
      </c>
      <c r="AE2475" t="e">
        <f>RIGHT(#REF!,(FIND("Complex",#REF!,1)-6))</f>
        <v>#REF!</v>
      </c>
    </row>
    <row r="2476" spans="1:31" x14ac:dyDescent="0.25">
      <c r="A2476">
        <v>3661</v>
      </c>
      <c r="B2476" t="s">
        <v>55</v>
      </c>
      <c r="C2476">
        <v>102</v>
      </c>
      <c r="D2476">
        <v>466</v>
      </c>
      <c r="E2476">
        <v>3661</v>
      </c>
      <c r="F2476">
        <v>970201</v>
      </c>
      <c r="G2476">
        <v>1058400</v>
      </c>
      <c r="H2476">
        <f t="shared" si="76"/>
        <v>22.000022675736961</v>
      </c>
      <c r="I2476">
        <f t="shared" si="77"/>
        <v>24</v>
      </c>
      <c r="J2476" t="s">
        <v>32</v>
      </c>
      <c r="K2476">
        <v>4</v>
      </c>
      <c r="L2476" t="e">
        <f t="array" ref="L2476">VLOOKUP(J2476:$J$3871&amp;K2476:$K$3871,CHOOSE({1,2},#REF!&amp;#REF!,#REF!),2,0)</f>
        <v>#N/A</v>
      </c>
      <c r="M2476">
        <v>0</v>
      </c>
      <c r="N2476">
        <v>1</v>
      </c>
      <c r="O2476" t="s">
        <v>23</v>
      </c>
      <c r="P2476">
        <v>0</v>
      </c>
      <c r="Q2476">
        <v>0</v>
      </c>
      <c r="R2476">
        <v>1</v>
      </c>
      <c r="S2476">
        <v>1</v>
      </c>
      <c r="T2476">
        <v>0</v>
      </c>
      <c r="U2476">
        <v>0</v>
      </c>
      <c r="V2476">
        <v>0</v>
      </c>
      <c r="W2476">
        <v>1</v>
      </c>
      <c r="X2476">
        <v>1</v>
      </c>
      <c r="Y2476">
        <v>0</v>
      </c>
      <c r="Z2476">
        <v>0</v>
      </c>
      <c r="AA2476" t="s">
        <v>4254</v>
      </c>
      <c r="AB2476" t="s">
        <v>1998</v>
      </c>
      <c r="AC2476" t="s">
        <v>4254</v>
      </c>
      <c r="AD2476" t="e">
        <f>VLOOKUP(AB2476,#REF!,2,FALSE)</f>
        <v>#REF!</v>
      </c>
      <c r="AE2476" t="e">
        <f>RIGHT(#REF!,(FIND("Complex",#REF!,1)-6))</f>
        <v>#REF!</v>
      </c>
    </row>
    <row r="2477" spans="1:31" x14ac:dyDescent="0.25">
      <c r="A2477">
        <v>2070</v>
      </c>
      <c r="B2477" t="s">
        <v>95</v>
      </c>
      <c r="C2477">
        <v>103</v>
      </c>
      <c r="D2477">
        <v>199</v>
      </c>
      <c r="E2477">
        <v>2070</v>
      </c>
      <c r="F2477">
        <v>4321801</v>
      </c>
      <c r="G2477">
        <v>4410000</v>
      </c>
      <c r="H2477">
        <f t="shared" si="76"/>
        <v>98.000022675736957</v>
      </c>
      <c r="I2477">
        <f t="shared" si="77"/>
        <v>100</v>
      </c>
      <c r="J2477" t="s">
        <v>32</v>
      </c>
      <c r="K2477">
        <v>4</v>
      </c>
      <c r="L2477" t="e">
        <f t="array" ref="L2477">VLOOKUP(J2477:$J$3871&amp;K2477:$K$3871,CHOOSE({1,2},#REF!&amp;#REF!,#REF!),2,0)</f>
        <v>#N/A</v>
      </c>
      <c r="M2477">
        <v>0</v>
      </c>
      <c r="N2477">
        <v>1</v>
      </c>
      <c r="O2477" t="s">
        <v>23</v>
      </c>
      <c r="P2477">
        <v>0</v>
      </c>
      <c r="Q2477">
        <v>0</v>
      </c>
      <c r="R2477">
        <v>1</v>
      </c>
      <c r="S2477">
        <v>1</v>
      </c>
      <c r="T2477">
        <v>0</v>
      </c>
      <c r="U2477">
        <v>0</v>
      </c>
      <c r="V2477">
        <v>0</v>
      </c>
      <c r="W2477">
        <v>1</v>
      </c>
      <c r="X2477">
        <v>1</v>
      </c>
      <c r="Y2477">
        <v>0</v>
      </c>
      <c r="Z2477">
        <v>0</v>
      </c>
      <c r="AA2477" t="s">
        <v>3513</v>
      </c>
      <c r="AB2477" t="s">
        <v>2044</v>
      </c>
      <c r="AC2477" t="s">
        <v>3513</v>
      </c>
      <c r="AD2477" t="e">
        <f>VLOOKUP(AB2477,#REF!,2,FALSE)</f>
        <v>#REF!</v>
      </c>
      <c r="AE2477" t="e">
        <f>RIGHT(#REF!,(FIND("Complex",#REF!,1)-6))</f>
        <v>#REF!</v>
      </c>
    </row>
    <row r="2478" spans="1:31" x14ac:dyDescent="0.25">
      <c r="A2478">
        <v>3557</v>
      </c>
      <c r="B2478" t="s">
        <v>95</v>
      </c>
      <c r="C2478">
        <v>103</v>
      </c>
      <c r="D2478">
        <v>451</v>
      </c>
      <c r="E2478">
        <v>3557</v>
      </c>
      <c r="F2478">
        <v>4145401</v>
      </c>
      <c r="G2478">
        <v>4233600</v>
      </c>
      <c r="H2478">
        <f t="shared" si="76"/>
        <v>94.000022675736957</v>
      </c>
      <c r="I2478">
        <f t="shared" si="77"/>
        <v>96</v>
      </c>
      <c r="J2478" t="s">
        <v>32</v>
      </c>
      <c r="K2478">
        <v>4</v>
      </c>
      <c r="L2478" t="e">
        <f t="array" ref="L2478">VLOOKUP(J2478:$J$3871&amp;K2478:$K$3871,CHOOSE({1,2},#REF!&amp;#REF!,#REF!),2,0)</f>
        <v>#N/A</v>
      </c>
      <c r="M2478">
        <v>0</v>
      </c>
      <c r="N2478">
        <v>1</v>
      </c>
      <c r="O2478" t="s">
        <v>23</v>
      </c>
      <c r="P2478">
        <v>0</v>
      </c>
      <c r="Q2478">
        <v>0</v>
      </c>
      <c r="R2478">
        <v>1</v>
      </c>
      <c r="S2478">
        <v>1</v>
      </c>
      <c r="T2478">
        <v>0</v>
      </c>
      <c r="U2478">
        <v>0</v>
      </c>
      <c r="V2478">
        <v>0</v>
      </c>
      <c r="W2478">
        <v>1</v>
      </c>
      <c r="X2478">
        <v>1</v>
      </c>
      <c r="Y2478">
        <v>0</v>
      </c>
      <c r="Z2478">
        <v>0</v>
      </c>
      <c r="AA2478" t="s">
        <v>3537</v>
      </c>
      <c r="AB2478" t="s">
        <v>2045</v>
      </c>
      <c r="AC2478" t="s">
        <v>3537</v>
      </c>
      <c r="AD2478" t="e">
        <f>VLOOKUP(AB2478,#REF!,2,FALSE)</f>
        <v>#REF!</v>
      </c>
      <c r="AE2478" t="e">
        <f>RIGHT(#REF!,(FIND("Complex",#REF!,1)-6))</f>
        <v>#REF!</v>
      </c>
    </row>
    <row r="2479" spans="1:31" x14ac:dyDescent="0.25">
      <c r="A2479">
        <v>1982</v>
      </c>
      <c r="B2479" t="s">
        <v>95</v>
      </c>
      <c r="C2479">
        <v>103</v>
      </c>
      <c r="D2479">
        <v>189</v>
      </c>
      <c r="E2479">
        <v>1982</v>
      </c>
      <c r="F2479">
        <v>4057201</v>
      </c>
      <c r="G2479">
        <v>4145400</v>
      </c>
      <c r="H2479">
        <f t="shared" si="76"/>
        <v>92.000022675736957</v>
      </c>
      <c r="I2479">
        <f t="shared" si="77"/>
        <v>94</v>
      </c>
      <c r="J2479" t="s">
        <v>32</v>
      </c>
      <c r="K2479">
        <v>4</v>
      </c>
      <c r="L2479" t="e">
        <f t="array" ref="L2479">VLOOKUP(J2479:$J$3871&amp;K2479:$K$3871,CHOOSE({1,2},#REF!&amp;#REF!,#REF!),2,0)</f>
        <v>#N/A</v>
      </c>
      <c r="M2479">
        <v>0</v>
      </c>
      <c r="N2479">
        <v>1</v>
      </c>
      <c r="O2479" t="s">
        <v>23</v>
      </c>
      <c r="P2479">
        <v>0</v>
      </c>
      <c r="Q2479">
        <v>0</v>
      </c>
      <c r="R2479">
        <v>1</v>
      </c>
      <c r="S2479">
        <v>1</v>
      </c>
      <c r="T2479">
        <v>0</v>
      </c>
      <c r="U2479">
        <v>0</v>
      </c>
      <c r="V2479">
        <v>0</v>
      </c>
      <c r="W2479">
        <v>1</v>
      </c>
      <c r="X2479">
        <v>1</v>
      </c>
      <c r="Y2479">
        <v>0</v>
      </c>
      <c r="Z2479">
        <v>0</v>
      </c>
      <c r="AA2479" t="s">
        <v>3547</v>
      </c>
      <c r="AB2479" t="s">
        <v>2046</v>
      </c>
      <c r="AC2479" t="s">
        <v>3547</v>
      </c>
      <c r="AD2479" t="e">
        <f>VLOOKUP(AB2479,#REF!,2,FALSE)</f>
        <v>#REF!</v>
      </c>
      <c r="AE2479" t="e">
        <f>RIGHT(#REF!,(FIND("Complex",#REF!,1)-6))</f>
        <v>#REF!</v>
      </c>
    </row>
    <row r="2480" spans="1:31" x14ac:dyDescent="0.25">
      <c r="A2480">
        <v>2581</v>
      </c>
      <c r="B2480" t="s">
        <v>95</v>
      </c>
      <c r="C2480">
        <v>103</v>
      </c>
      <c r="D2480">
        <v>256</v>
      </c>
      <c r="E2480">
        <v>2581</v>
      </c>
      <c r="F2480">
        <v>2116801</v>
      </c>
      <c r="G2480">
        <v>2205000</v>
      </c>
      <c r="H2480">
        <f t="shared" si="76"/>
        <v>48.000022675736965</v>
      </c>
      <c r="I2480">
        <f t="shared" si="77"/>
        <v>50</v>
      </c>
      <c r="J2480" t="s">
        <v>32</v>
      </c>
      <c r="K2480">
        <v>4</v>
      </c>
      <c r="L2480" t="e">
        <f t="array" ref="L2480">VLOOKUP(J2480:$J$3871&amp;K2480:$K$3871,CHOOSE({1,2},#REF!&amp;#REF!,#REF!),2,0)</f>
        <v>#N/A</v>
      </c>
      <c r="M2480">
        <v>0</v>
      </c>
      <c r="N2480">
        <v>1</v>
      </c>
      <c r="O2480" t="s">
        <v>23</v>
      </c>
      <c r="P2480">
        <v>0</v>
      </c>
      <c r="Q2480">
        <v>0</v>
      </c>
      <c r="R2480">
        <v>1</v>
      </c>
      <c r="S2480">
        <v>1</v>
      </c>
      <c r="T2480">
        <v>0</v>
      </c>
      <c r="U2480">
        <v>0</v>
      </c>
      <c r="V2480">
        <v>0</v>
      </c>
      <c r="W2480">
        <v>1</v>
      </c>
      <c r="X2480">
        <v>1</v>
      </c>
      <c r="Y2480">
        <v>0</v>
      </c>
      <c r="Z2480">
        <v>0</v>
      </c>
      <c r="AA2480" t="s">
        <v>3895</v>
      </c>
      <c r="AB2480" t="s">
        <v>2047</v>
      </c>
      <c r="AC2480" t="s">
        <v>3895</v>
      </c>
      <c r="AD2480" t="e">
        <f>VLOOKUP(AB2480,#REF!,2,FALSE)</f>
        <v>#REF!</v>
      </c>
      <c r="AE2480" t="e">
        <f>RIGHT(#REF!,(FIND("Complex",#REF!,1)-6))</f>
        <v>#REF!</v>
      </c>
    </row>
    <row r="2481" spans="1:31" x14ac:dyDescent="0.25">
      <c r="A2481">
        <v>3322</v>
      </c>
      <c r="B2481" t="s">
        <v>95</v>
      </c>
      <c r="C2481">
        <v>103</v>
      </c>
      <c r="D2481">
        <v>412</v>
      </c>
      <c r="E2481">
        <v>3322</v>
      </c>
      <c r="F2481">
        <v>4851001</v>
      </c>
      <c r="G2481">
        <v>4939200</v>
      </c>
      <c r="H2481">
        <f t="shared" si="76"/>
        <v>110.00002267573696</v>
      </c>
      <c r="I2481">
        <f t="shared" si="77"/>
        <v>112</v>
      </c>
      <c r="J2481" t="s">
        <v>32</v>
      </c>
      <c r="K2481">
        <v>4</v>
      </c>
      <c r="L2481" t="e">
        <f t="array" ref="L2481">VLOOKUP(J2481:$J$3871&amp;K2481:$K$3871,CHOOSE({1,2},#REF!&amp;#REF!,#REF!),2,0)</f>
        <v>#N/A</v>
      </c>
      <c r="M2481">
        <v>0</v>
      </c>
      <c r="N2481">
        <v>1</v>
      </c>
      <c r="O2481" t="s">
        <v>23</v>
      </c>
      <c r="P2481">
        <v>0</v>
      </c>
      <c r="Q2481">
        <v>0</v>
      </c>
      <c r="R2481">
        <v>1</v>
      </c>
      <c r="S2481">
        <v>1</v>
      </c>
      <c r="T2481">
        <v>0</v>
      </c>
      <c r="U2481">
        <v>0</v>
      </c>
      <c r="V2481">
        <v>0</v>
      </c>
      <c r="W2481">
        <v>1</v>
      </c>
      <c r="X2481">
        <v>1</v>
      </c>
      <c r="Y2481">
        <v>0</v>
      </c>
      <c r="Z2481">
        <v>0</v>
      </c>
      <c r="AA2481" t="s">
        <v>4789</v>
      </c>
      <c r="AB2481" t="s">
        <v>2048</v>
      </c>
      <c r="AC2481" t="s">
        <v>4789</v>
      </c>
      <c r="AD2481" t="e">
        <f>VLOOKUP(AB2481,#REF!,2,FALSE)</f>
        <v>#REF!</v>
      </c>
      <c r="AE2481" t="e">
        <f>RIGHT(#REF!,(FIND("Complex",#REF!,1)-5))</f>
        <v>#REF!</v>
      </c>
    </row>
    <row r="2482" spans="1:31" x14ac:dyDescent="0.25">
      <c r="A2482">
        <v>2943</v>
      </c>
      <c r="B2482" t="s">
        <v>95</v>
      </c>
      <c r="C2482">
        <v>103</v>
      </c>
      <c r="D2482">
        <v>329</v>
      </c>
      <c r="E2482">
        <v>2943</v>
      </c>
      <c r="F2482">
        <v>4410001</v>
      </c>
      <c r="G2482">
        <v>4498200</v>
      </c>
      <c r="H2482">
        <f t="shared" si="76"/>
        <v>100.00002267573696</v>
      </c>
      <c r="I2482">
        <f t="shared" si="77"/>
        <v>102</v>
      </c>
      <c r="J2482" t="s">
        <v>32</v>
      </c>
      <c r="K2482">
        <v>4</v>
      </c>
      <c r="L2482" t="e">
        <f t="array" ref="L2482">VLOOKUP(J2482:$J$3871&amp;K2482:$K$3871,CHOOSE({1,2},#REF!&amp;#REF!,#REF!),2,0)</f>
        <v>#N/A</v>
      </c>
      <c r="M2482">
        <v>0</v>
      </c>
      <c r="N2482">
        <v>1</v>
      </c>
      <c r="O2482" t="s">
        <v>23</v>
      </c>
      <c r="P2482">
        <v>0</v>
      </c>
      <c r="Q2482">
        <v>0</v>
      </c>
      <c r="R2482">
        <v>1</v>
      </c>
      <c r="S2482">
        <v>1</v>
      </c>
      <c r="T2482">
        <v>0</v>
      </c>
      <c r="U2482">
        <v>0</v>
      </c>
      <c r="V2482">
        <v>0</v>
      </c>
      <c r="W2482">
        <v>1</v>
      </c>
      <c r="X2482">
        <v>1</v>
      </c>
      <c r="Y2482">
        <v>0</v>
      </c>
      <c r="Z2482">
        <v>0</v>
      </c>
      <c r="AA2482" t="s">
        <v>4849</v>
      </c>
      <c r="AB2482" t="s">
        <v>2049</v>
      </c>
      <c r="AC2482" t="s">
        <v>4849</v>
      </c>
      <c r="AD2482" t="e">
        <f>VLOOKUP(AB2482,#REF!,2,FALSE)</f>
        <v>#REF!</v>
      </c>
      <c r="AE2482" t="e">
        <f>RIGHT(#REF!,(FIND("Complex",#REF!,1)-5))</f>
        <v>#REF!</v>
      </c>
    </row>
    <row r="2483" spans="1:31" x14ac:dyDescent="0.25">
      <c r="A2483">
        <v>2952</v>
      </c>
      <c r="B2483" t="s">
        <v>72</v>
      </c>
      <c r="C2483">
        <v>104</v>
      </c>
      <c r="D2483">
        <v>332</v>
      </c>
      <c r="E2483">
        <v>2952</v>
      </c>
      <c r="F2483">
        <v>1499401</v>
      </c>
      <c r="G2483">
        <v>1587600</v>
      </c>
      <c r="H2483">
        <f t="shared" si="76"/>
        <v>34.000022675736965</v>
      </c>
      <c r="I2483">
        <f t="shared" si="77"/>
        <v>36</v>
      </c>
      <c r="J2483" t="s">
        <v>32</v>
      </c>
      <c r="K2483">
        <v>4</v>
      </c>
      <c r="L2483" t="e">
        <f t="array" ref="L2483">VLOOKUP(J2483:$J$3871&amp;K2483:$K$3871,CHOOSE({1,2},#REF!&amp;#REF!,#REF!),2,0)</f>
        <v>#N/A</v>
      </c>
      <c r="M2483">
        <v>0</v>
      </c>
      <c r="N2483">
        <v>1</v>
      </c>
      <c r="O2483" t="s">
        <v>23</v>
      </c>
      <c r="P2483">
        <v>0</v>
      </c>
      <c r="Q2483">
        <v>0</v>
      </c>
      <c r="R2483">
        <v>1</v>
      </c>
      <c r="S2483">
        <v>1</v>
      </c>
      <c r="T2483">
        <v>1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 t="s">
        <v>4031</v>
      </c>
      <c r="AB2483" t="s">
        <v>2115</v>
      </c>
      <c r="AC2483" t="s">
        <v>4031</v>
      </c>
      <c r="AD2483" t="e">
        <f>VLOOKUP(AB2483,#REF!,2,FALSE)</f>
        <v>#REF!</v>
      </c>
      <c r="AE2483" t="e">
        <f>RIGHT(#REF!,(FIND("Complex",#REF!,1)-6))</f>
        <v>#REF!</v>
      </c>
    </row>
    <row r="2484" spans="1:31" x14ac:dyDescent="0.25">
      <c r="A2484">
        <v>2755</v>
      </c>
      <c r="B2484" t="s">
        <v>72</v>
      </c>
      <c r="C2484">
        <v>104</v>
      </c>
      <c r="D2484">
        <v>285</v>
      </c>
      <c r="E2484">
        <v>2755</v>
      </c>
      <c r="F2484">
        <v>7585201</v>
      </c>
      <c r="G2484">
        <v>7673400</v>
      </c>
      <c r="H2484">
        <f t="shared" si="76"/>
        <v>172.00002267573697</v>
      </c>
      <c r="I2484">
        <f t="shared" si="77"/>
        <v>174</v>
      </c>
      <c r="J2484" t="s">
        <v>32</v>
      </c>
      <c r="K2484">
        <v>4</v>
      </c>
      <c r="L2484" t="e">
        <f t="array" ref="L2484">VLOOKUP(J2484:$J$3871&amp;K2484:$K$3871,CHOOSE({1,2},#REF!&amp;#REF!,#REF!),2,0)</f>
        <v>#N/A</v>
      </c>
      <c r="M2484">
        <v>0</v>
      </c>
      <c r="N2484">
        <v>1</v>
      </c>
      <c r="O2484" t="s">
        <v>23</v>
      </c>
      <c r="P2484">
        <v>0</v>
      </c>
      <c r="Q2484">
        <v>1</v>
      </c>
      <c r="R2484">
        <v>1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1</v>
      </c>
      <c r="Y2484">
        <v>0</v>
      </c>
      <c r="Z2484">
        <v>0</v>
      </c>
      <c r="AA2484" t="s">
        <v>4435</v>
      </c>
      <c r="AB2484" t="s">
        <v>2116</v>
      </c>
      <c r="AC2484" t="s">
        <v>4435</v>
      </c>
      <c r="AD2484" t="e">
        <f>VLOOKUP(AB2484,#REF!,2,FALSE)</f>
        <v>#REF!</v>
      </c>
      <c r="AE2484" t="e">
        <f>RIGHT(#REF!,(FIND("Complex",#REF!,1)-5))</f>
        <v>#REF!</v>
      </c>
    </row>
    <row r="2485" spans="1:31" x14ac:dyDescent="0.25">
      <c r="A2485">
        <v>3826</v>
      </c>
      <c r="B2485" t="s">
        <v>72</v>
      </c>
      <c r="C2485">
        <v>104</v>
      </c>
      <c r="D2485">
        <v>486</v>
      </c>
      <c r="E2485">
        <v>3826</v>
      </c>
      <c r="F2485">
        <v>7408801</v>
      </c>
      <c r="G2485">
        <v>7497000</v>
      </c>
      <c r="H2485">
        <f t="shared" si="76"/>
        <v>168.00002267573697</v>
      </c>
      <c r="I2485">
        <f t="shared" si="77"/>
        <v>170</v>
      </c>
      <c r="J2485" t="s">
        <v>32</v>
      </c>
      <c r="K2485">
        <v>4</v>
      </c>
      <c r="L2485" t="e">
        <f t="array" ref="L2485">VLOOKUP(J2485:$J$3871&amp;K2485:$K$3871,CHOOSE({1,2},#REF!&amp;#REF!,#REF!),2,0)</f>
        <v>#N/A</v>
      </c>
      <c r="M2485">
        <v>0</v>
      </c>
      <c r="N2485">
        <v>1</v>
      </c>
      <c r="O2485" t="s">
        <v>23</v>
      </c>
      <c r="P2485">
        <v>0</v>
      </c>
      <c r="Q2485">
        <v>1</v>
      </c>
      <c r="R2485">
        <v>1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1</v>
      </c>
      <c r="Y2485">
        <v>0</v>
      </c>
      <c r="Z2485">
        <v>0</v>
      </c>
      <c r="AA2485" t="s">
        <v>4451</v>
      </c>
      <c r="AB2485" t="s">
        <v>2117</v>
      </c>
      <c r="AC2485" t="s">
        <v>4451</v>
      </c>
      <c r="AD2485" t="e">
        <f>VLOOKUP(AB2485,#REF!,2,FALSE)</f>
        <v>#REF!</v>
      </c>
      <c r="AE2485" t="e">
        <f>RIGHT(#REF!,(FIND("Complex",#REF!,1)-5))</f>
        <v>#REF!</v>
      </c>
    </row>
    <row r="2486" spans="1:31" x14ac:dyDescent="0.25">
      <c r="A2486">
        <v>2834</v>
      </c>
      <c r="B2486" t="s">
        <v>72</v>
      </c>
      <c r="C2486">
        <v>104</v>
      </c>
      <c r="D2486">
        <v>306</v>
      </c>
      <c r="E2486">
        <v>2834</v>
      </c>
      <c r="F2486">
        <v>5997601</v>
      </c>
      <c r="G2486">
        <v>6085800</v>
      </c>
      <c r="H2486">
        <f t="shared" si="76"/>
        <v>136.00002267573697</v>
      </c>
      <c r="I2486">
        <f t="shared" si="77"/>
        <v>138</v>
      </c>
      <c r="J2486" t="s">
        <v>32</v>
      </c>
      <c r="K2486">
        <v>4</v>
      </c>
      <c r="L2486" t="e">
        <f t="array" ref="L2486">VLOOKUP(J2486:$J$3871&amp;K2486:$K$3871,CHOOSE({1,2},#REF!&amp;#REF!,#REF!),2,0)</f>
        <v>#N/A</v>
      </c>
      <c r="M2486">
        <v>0</v>
      </c>
      <c r="N2486">
        <v>1</v>
      </c>
      <c r="O2486" t="s">
        <v>23</v>
      </c>
      <c r="P2486">
        <v>0</v>
      </c>
      <c r="Q2486">
        <v>1</v>
      </c>
      <c r="R2486">
        <v>1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1</v>
      </c>
      <c r="Y2486">
        <v>0</v>
      </c>
      <c r="Z2486">
        <v>0</v>
      </c>
      <c r="AA2486" t="s">
        <v>4650</v>
      </c>
      <c r="AB2486" t="s">
        <v>2118</v>
      </c>
      <c r="AC2486" t="s">
        <v>4650</v>
      </c>
      <c r="AD2486" t="e">
        <f>VLOOKUP(AB2486,#REF!,2,FALSE)</f>
        <v>#REF!</v>
      </c>
      <c r="AE2486" t="e">
        <f>RIGHT(#REF!,(FIND("Complex",#REF!,1)-5))</f>
        <v>#REF!</v>
      </c>
    </row>
    <row r="2487" spans="1:31" x14ac:dyDescent="0.25">
      <c r="A2487">
        <v>3020</v>
      </c>
      <c r="B2487" t="s">
        <v>72</v>
      </c>
      <c r="C2487">
        <v>104</v>
      </c>
      <c r="D2487">
        <v>347</v>
      </c>
      <c r="E2487">
        <v>3020</v>
      </c>
      <c r="F2487">
        <v>5821201</v>
      </c>
      <c r="G2487">
        <v>5909400</v>
      </c>
      <c r="H2487">
        <f t="shared" si="76"/>
        <v>132.00002267573697</v>
      </c>
      <c r="I2487">
        <f t="shared" si="77"/>
        <v>134</v>
      </c>
      <c r="J2487" t="s">
        <v>32</v>
      </c>
      <c r="K2487">
        <v>4</v>
      </c>
      <c r="L2487" t="e">
        <f t="array" ref="L2487">VLOOKUP(J2487:$J$3871&amp;K2487:$K$3871,CHOOSE({1,2},#REF!&amp;#REF!,#REF!),2,0)</f>
        <v>#N/A</v>
      </c>
      <c r="M2487">
        <v>0</v>
      </c>
      <c r="N2487">
        <v>1</v>
      </c>
      <c r="O2487" t="s">
        <v>23</v>
      </c>
      <c r="P2487">
        <v>0</v>
      </c>
      <c r="Q2487">
        <v>1</v>
      </c>
      <c r="R2487">
        <v>1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1</v>
      </c>
      <c r="Y2487">
        <v>0</v>
      </c>
      <c r="Z2487">
        <v>0</v>
      </c>
      <c r="AA2487" t="s">
        <v>4669</v>
      </c>
      <c r="AB2487" t="s">
        <v>2119</v>
      </c>
      <c r="AC2487" t="s">
        <v>4669</v>
      </c>
      <c r="AD2487" t="e">
        <f>VLOOKUP(AB2487,#REF!,2,FALSE)</f>
        <v>#REF!</v>
      </c>
      <c r="AE2487" t="e">
        <f>RIGHT(#REF!,(FIND("Complex",#REF!,1)-5))</f>
        <v>#REF!</v>
      </c>
    </row>
    <row r="2488" spans="1:31" x14ac:dyDescent="0.25">
      <c r="A2488">
        <v>1957</v>
      </c>
      <c r="B2488" t="s">
        <v>72</v>
      </c>
      <c r="C2488">
        <v>104</v>
      </c>
      <c r="D2488">
        <v>188</v>
      </c>
      <c r="E2488">
        <v>1957</v>
      </c>
      <c r="F2488">
        <v>5733001</v>
      </c>
      <c r="G2488">
        <v>5821200</v>
      </c>
      <c r="H2488">
        <f t="shared" si="76"/>
        <v>130.00002267573697</v>
      </c>
      <c r="I2488">
        <f t="shared" si="77"/>
        <v>132</v>
      </c>
      <c r="J2488" t="s">
        <v>32</v>
      </c>
      <c r="K2488">
        <v>4</v>
      </c>
      <c r="L2488" t="e">
        <f t="array" ref="L2488">VLOOKUP(J2488:$J$3871&amp;K2488:$K$3871,CHOOSE({1,2},#REF!&amp;#REF!,#REF!),2,0)</f>
        <v>#N/A</v>
      </c>
      <c r="M2488">
        <v>0</v>
      </c>
      <c r="N2488">
        <v>1</v>
      </c>
      <c r="O2488" t="s">
        <v>23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1</v>
      </c>
      <c r="Y2488">
        <v>0</v>
      </c>
      <c r="Z2488">
        <v>0</v>
      </c>
      <c r="AA2488" t="s">
        <v>4678</v>
      </c>
      <c r="AB2488" t="s">
        <v>2120</v>
      </c>
      <c r="AC2488" t="s">
        <v>4678</v>
      </c>
      <c r="AD2488" t="e">
        <f>VLOOKUP(AB2488,#REF!,2,FALSE)</f>
        <v>#REF!</v>
      </c>
      <c r="AE2488" t="e">
        <f>RIGHT(#REF!,(FIND("Complex",#REF!,1)-5))</f>
        <v>#REF!</v>
      </c>
    </row>
    <row r="2489" spans="1:31" x14ac:dyDescent="0.25">
      <c r="A2489">
        <v>3768</v>
      </c>
      <c r="B2489" t="s">
        <v>72</v>
      </c>
      <c r="C2489">
        <v>104</v>
      </c>
      <c r="D2489">
        <v>478</v>
      </c>
      <c r="E2489">
        <v>3768</v>
      </c>
      <c r="F2489">
        <v>5644801</v>
      </c>
      <c r="G2489">
        <v>5733000</v>
      </c>
      <c r="H2489">
        <f t="shared" si="76"/>
        <v>128.00002267573697</v>
      </c>
      <c r="I2489">
        <f t="shared" si="77"/>
        <v>130</v>
      </c>
      <c r="J2489" t="s">
        <v>32</v>
      </c>
      <c r="K2489">
        <v>4</v>
      </c>
      <c r="L2489" t="e">
        <f t="array" ref="L2489">VLOOKUP(J2489:$J$3871&amp;K2489:$K$3871,CHOOSE({1,2},#REF!&amp;#REF!,#REF!),2,0)</f>
        <v>#N/A</v>
      </c>
      <c r="M2489">
        <v>0</v>
      </c>
      <c r="N2489">
        <v>1</v>
      </c>
      <c r="O2489" t="s">
        <v>23</v>
      </c>
      <c r="P2489">
        <v>0</v>
      </c>
      <c r="Q2489">
        <v>1</v>
      </c>
      <c r="R2489">
        <v>1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1</v>
      </c>
      <c r="Y2489">
        <v>0</v>
      </c>
      <c r="Z2489">
        <v>0</v>
      </c>
      <c r="AA2489" t="s">
        <v>4687</v>
      </c>
      <c r="AB2489" t="s">
        <v>2121</v>
      </c>
      <c r="AC2489" t="s">
        <v>4687</v>
      </c>
      <c r="AD2489" t="e">
        <f>VLOOKUP(AB2489,#REF!,2,FALSE)</f>
        <v>#REF!</v>
      </c>
      <c r="AE2489" t="e">
        <f>RIGHT(#REF!,(FIND("Complex",#REF!,1)-5))</f>
        <v>#REF!</v>
      </c>
    </row>
    <row r="2490" spans="1:31" x14ac:dyDescent="0.25">
      <c r="A2490">
        <v>3478</v>
      </c>
      <c r="B2490" t="s">
        <v>72</v>
      </c>
      <c r="C2490">
        <v>104</v>
      </c>
      <c r="D2490">
        <v>439</v>
      </c>
      <c r="E2490">
        <v>3478</v>
      </c>
      <c r="F2490">
        <v>4586401</v>
      </c>
      <c r="G2490">
        <v>4674600</v>
      </c>
      <c r="H2490">
        <f t="shared" si="76"/>
        <v>104.00002267573696</v>
      </c>
      <c r="I2490">
        <f t="shared" si="77"/>
        <v>106</v>
      </c>
      <c r="J2490" t="s">
        <v>32</v>
      </c>
      <c r="K2490">
        <v>4</v>
      </c>
      <c r="L2490" t="e">
        <f t="array" ref="L2490">VLOOKUP(J2490:$J$3871&amp;K2490:$K$3871,CHOOSE({1,2},#REF!&amp;#REF!,#REF!),2,0)</f>
        <v>#N/A</v>
      </c>
      <c r="M2490">
        <v>0</v>
      </c>
      <c r="N2490">
        <v>1</v>
      </c>
      <c r="O2490" t="s">
        <v>23</v>
      </c>
      <c r="P2490">
        <v>0</v>
      </c>
      <c r="Q2490">
        <v>0</v>
      </c>
      <c r="R2490">
        <v>1</v>
      </c>
      <c r="S2490">
        <v>1</v>
      </c>
      <c r="T2490">
        <v>1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 t="s">
        <v>4823</v>
      </c>
      <c r="AB2490" t="s">
        <v>2122</v>
      </c>
      <c r="AC2490" t="s">
        <v>4823</v>
      </c>
      <c r="AD2490" t="e">
        <f>VLOOKUP(AB2490,#REF!,2,FALSE)</f>
        <v>#REF!</v>
      </c>
      <c r="AE2490" t="e">
        <f>RIGHT(#REF!,(FIND("Complex",#REF!,1)-5))</f>
        <v>#REF!</v>
      </c>
    </row>
    <row r="2491" spans="1:31" x14ac:dyDescent="0.25">
      <c r="A2491">
        <v>2903</v>
      </c>
      <c r="B2491" t="s">
        <v>90</v>
      </c>
      <c r="C2491">
        <v>111</v>
      </c>
      <c r="D2491">
        <v>319</v>
      </c>
      <c r="E2491">
        <v>2903</v>
      </c>
      <c r="F2491">
        <v>1764001</v>
      </c>
      <c r="G2491">
        <v>1852200</v>
      </c>
      <c r="H2491">
        <f t="shared" si="76"/>
        <v>40.000022675736965</v>
      </c>
      <c r="I2491">
        <f t="shared" si="77"/>
        <v>42</v>
      </c>
      <c r="J2491" t="s">
        <v>32</v>
      </c>
      <c r="K2491">
        <v>4</v>
      </c>
      <c r="L2491" t="e">
        <f t="array" ref="L2491">VLOOKUP(J2491:$J$3871&amp;K2491:$K$3871,CHOOSE({1,2},#REF!&amp;#REF!,#REF!),2,0)</f>
        <v>#N/A</v>
      </c>
      <c r="M2491">
        <v>0</v>
      </c>
      <c r="N2491">
        <v>1</v>
      </c>
      <c r="O2491" t="s">
        <v>23</v>
      </c>
      <c r="P2491">
        <v>0</v>
      </c>
      <c r="Q2491">
        <v>0</v>
      </c>
      <c r="R2491">
        <v>1</v>
      </c>
      <c r="S2491">
        <v>0</v>
      </c>
      <c r="T2491">
        <v>0</v>
      </c>
      <c r="U2491">
        <v>1</v>
      </c>
      <c r="V2491">
        <v>0</v>
      </c>
      <c r="W2491">
        <v>1</v>
      </c>
      <c r="X2491">
        <v>1</v>
      </c>
      <c r="Y2491">
        <v>0</v>
      </c>
      <c r="Z2491">
        <v>0</v>
      </c>
      <c r="AA2491" t="s">
        <v>3953</v>
      </c>
      <c r="AB2491" t="s">
        <v>2205</v>
      </c>
      <c r="AC2491" t="s">
        <v>3953</v>
      </c>
      <c r="AD2491" t="e">
        <f>VLOOKUP(AB2491,#REF!,2,FALSE)</f>
        <v>#REF!</v>
      </c>
      <c r="AE2491" t="e">
        <f>RIGHT(#REF!,(FIND("Complex",#REF!,1)-6))</f>
        <v>#REF!</v>
      </c>
    </row>
    <row r="2492" spans="1:31" x14ac:dyDescent="0.25">
      <c r="A2492">
        <v>3329</v>
      </c>
      <c r="B2492" t="s">
        <v>90</v>
      </c>
      <c r="C2492">
        <v>111</v>
      </c>
      <c r="D2492">
        <v>413</v>
      </c>
      <c r="E2492">
        <v>3329</v>
      </c>
      <c r="F2492">
        <v>6879601</v>
      </c>
      <c r="G2492">
        <v>6967800</v>
      </c>
      <c r="H2492">
        <f t="shared" si="76"/>
        <v>156.00002267573697</v>
      </c>
      <c r="I2492">
        <f t="shared" si="77"/>
        <v>158</v>
      </c>
      <c r="J2492" t="s">
        <v>32</v>
      </c>
      <c r="K2492">
        <v>4</v>
      </c>
      <c r="L2492" t="e">
        <f t="array" ref="L2492">VLOOKUP(J2492:$J$3871&amp;K2492:$K$3871,CHOOSE({1,2},#REF!&amp;#REF!,#REF!),2,0)</f>
        <v>#N/A</v>
      </c>
      <c r="M2492">
        <v>0</v>
      </c>
      <c r="N2492">
        <v>1</v>
      </c>
      <c r="O2492" t="s">
        <v>23</v>
      </c>
      <c r="P2492">
        <v>0</v>
      </c>
      <c r="Q2492">
        <v>1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1</v>
      </c>
      <c r="Y2492">
        <v>0</v>
      </c>
      <c r="Z2492">
        <v>0</v>
      </c>
      <c r="AA2492" t="s">
        <v>4522</v>
      </c>
      <c r="AB2492" t="s">
        <v>2206</v>
      </c>
      <c r="AC2492" t="s">
        <v>4522</v>
      </c>
      <c r="AD2492" t="e">
        <f>VLOOKUP(AB2492,#REF!,2,FALSE)</f>
        <v>#REF!</v>
      </c>
      <c r="AE2492" t="e">
        <f>RIGHT(#REF!,(FIND("Complex",#REF!,1)-5))</f>
        <v>#REF!</v>
      </c>
    </row>
    <row r="2493" spans="1:31" x14ac:dyDescent="0.25">
      <c r="A2493">
        <v>247</v>
      </c>
      <c r="B2493" t="s">
        <v>90</v>
      </c>
      <c r="C2493">
        <v>111</v>
      </c>
      <c r="D2493">
        <v>23</v>
      </c>
      <c r="E2493">
        <v>247</v>
      </c>
      <c r="F2493">
        <v>5115601</v>
      </c>
      <c r="G2493">
        <v>5203800</v>
      </c>
      <c r="H2493">
        <f t="shared" si="76"/>
        <v>116.00002267573696</v>
      </c>
      <c r="I2493">
        <f t="shared" si="77"/>
        <v>118</v>
      </c>
      <c r="J2493" t="s">
        <v>32</v>
      </c>
      <c r="K2493">
        <v>4</v>
      </c>
      <c r="L2493" t="e">
        <f t="array" ref="L2493">VLOOKUP(J2493:$J$3871&amp;K2493:$K$3871,CHOOSE({1,2},#REF!&amp;#REF!,#REF!),2,0)</f>
        <v>#N/A</v>
      </c>
      <c r="M2493">
        <v>0</v>
      </c>
      <c r="N2493">
        <v>1</v>
      </c>
      <c r="O2493" t="s">
        <v>23</v>
      </c>
      <c r="P2493">
        <v>1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1</v>
      </c>
      <c r="Y2493">
        <v>0</v>
      </c>
      <c r="Z2493">
        <v>0</v>
      </c>
      <c r="AA2493" t="s">
        <v>4759</v>
      </c>
      <c r="AB2493" t="s">
        <v>2207</v>
      </c>
      <c r="AC2493" t="s">
        <v>4759</v>
      </c>
      <c r="AD2493" t="e">
        <f>VLOOKUP(AB2493,#REF!,2,FALSE)</f>
        <v>#REF!</v>
      </c>
      <c r="AE2493" t="e">
        <f>RIGHT(#REF!,(FIND("Complex",#REF!,1)-4))</f>
        <v>#REF!</v>
      </c>
    </row>
    <row r="2494" spans="1:31" x14ac:dyDescent="0.25">
      <c r="A2494">
        <v>2898</v>
      </c>
      <c r="B2494" t="s">
        <v>82</v>
      </c>
      <c r="C2494">
        <v>115</v>
      </c>
      <c r="D2494">
        <v>318</v>
      </c>
      <c r="E2494">
        <v>2898</v>
      </c>
      <c r="F2494">
        <v>4233601</v>
      </c>
      <c r="G2494">
        <v>4321800</v>
      </c>
      <c r="H2494">
        <f t="shared" si="76"/>
        <v>96.000022675736957</v>
      </c>
      <c r="I2494">
        <f t="shared" si="77"/>
        <v>98</v>
      </c>
      <c r="J2494" t="s">
        <v>32</v>
      </c>
      <c r="K2494">
        <v>4</v>
      </c>
      <c r="L2494" t="e">
        <f t="array" ref="L2494">VLOOKUP(J2494:$J$3871&amp;K2494:$K$3871,CHOOSE({1,2},#REF!&amp;#REF!,#REF!),2,0)</f>
        <v>#N/A</v>
      </c>
      <c r="M2494">
        <v>0</v>
      </c>
      <c r="N2494">
        <v>1</v>
      </c>
      <c r="O2494" t="s">
        <v>23</v>
      </c>
      <c r="P2494">
        <v>0</v>
      </c>
      <c r="Q2494">
        <v>0</v>
      </c>
      <c r="R2494">
        <v>1</v>
      </c>
      <c r="S2494">
        <v>1</v>
      </c>
      <c r="T2494">
        <v>0</v>
      </c>
      <c r="U2494">
        <v>0</v>
      </c>
      <c r="V2494">
        <v>0</v>
      </c>
      <c r="W2494">
        <v>1</v>
      </c>
      <c r="X2494">
        <v>1</v>
      </c>
      <c r="Y2494">
        <v>0</v>
      </c>
      <c r="Z2494">
        <v>0</v>
      </c>
      <c r="AA2494" t="s">
        <v>3523</v>
      </c>
      <c r="AB2494" t="s">
        <v>2252</v>
      </c>
      <c r="AC2494" t="s">
        <v>3523</v>
      </c>
      <c r="AD2494" t="e">
        <f>VLOOKUP(AB2494,#REF!,2,FALSE)</f>
        <v>#REF!</v>
      </c>
      <c r="AE2494" t="e">
        <f>RIGHT(#REF!,(FIND("Complex",#REF!,1)-6))</f>
        <v>#REF!</v>
      </c>
    </row>
    <row r="2495" spans="1:31" x14ac:dyDescent="0.25">
      <c r="A2495">
        <v>2675</v>
      </c>
      <c r="B2495" t="s">
        <v>82</v>
      </c>
      <c r="C2495">
        <v>115</v>
      </c>
      <c r="D2495">
        <v>268</v>
      </c>
      <c r="E2495">
        <v>2675</v>
      </c>
      <c r="F2495">
        <v>4057201</v>
      </c>
      <c r="G2495">
        <v>4145400</v>
      </c>
      <c r="H2495">
        <f t="shared" si="76"/>
        <v>92.000022675736957</v>
      </c>
      <c r="I2495">
        <f t="shared" si="77"/>
        <v>94</v>
      </c>
      <c r="J2495" t="s">
        <v>32</v>
      </c>
      <c r="K2495">
        <v>4</v>
      </c>
      <c r="L2495" t="e">
        <f t="array" ref="L2495">VLOOKUP(J2495:$J$3871&amp;K2495:$K$3871,CHOOSE({1,2},#REF!&amp;#REF!,#REF!),2,0)</f>
        <v>#N/A</v>
      </c>
      <c r="M2495">
        <v>0</v>
      </c>
      <c r="N2495">
        <v>1</v>
      </c>
      <c r="O2495" t="s">
        <v>23</v>
      </c>
      <c r="P2495">
        <v>0</v>
      </c>
      <c r="Q2495">
        <v>0</v>
      </c>
      <c r="R2495">
        <v>1</v>
      </c>
      <c r="S2495">
        <v>0</v>
      </c>
      <c r="T2495">
        <v>1</v>
      </c>
      <c r="U2495">
        <v>0</v>
      </c>
      <c r="V2495">
        <v>0</v>
      </c>
      <c r="W2495">
        <v>1</v>
      </c>
      <c r="X2495">
        <v>1</v>
      </c>
      <c r="Y2495">
        <v>0</v>
      </c>
      <c r="Z2495">
        <v>0</v>
      </c>
      <c r="AA2495" t="s">
        <v>3546</v>
      </c>
      <c r="AB2495" t="s">
        <v>2253</v>
      </c>
      <c r="AC2495" t="s">
        <v>3546</v>
      </c>
      <c r="AD2495" t="e">
        <f>VLOOKUP(AB2495,#REF!,2,FALSE)</f>
        <v>#REF!</v>
      </c>
      <c r="AE2495" t="e">
        <f>RIGHT(#REF!,(FIND("Complex",#REF!,1)-6))</f>
        <v>#REF!</v>
      </c>
    </row>
    <row r="2496" spans="1:31" x14ac:dyDescent="0.25">
      <c r="A2496">
        <v>1276</v>
      </c>
      <c r="B2496" t="s">
        <v>82</v>
      </c>
      <c r="C2496">
        <v>115</v>
      </c>
      <c r="D2496">
        <v>116</v>
      </c>
      <c r="E2496">
        <v>1276</v>
      </c>
      <c r="F2496">
        <v>3969001</v>
      </c>
      <c r="G2496">
        <v>4057200</v>
      </c>
      <c r="H2496">
        <f t="shared" si="76"/>
        <v>90.000022675736957</v>
      </c>
      <c r="I2496">
        <f t="shared" si="77"/>
        <v>92</v>
      </c>
      <c r="J2496" t="s">
        <v>32</v>
      </c>
      <c r="K2496">
        <v>4</v>
      </c>
      <c r="L2496" t="e">
        <f t="array" ref="L2496">VLOOKUP(J2496:$J$3871&amp;K2496:$K$3871,CHOOSE({1,2},#REF!&amp;#REF!,#REF!),2,0)</f>
        <v>#N/A</v>
      </c>
      <c r="M2496">
        <v>0</v>
      </c>
      <c r="N2496">
        <v>1</v>
      </c>
      <c r="O2496" t="s">
        <v>23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1</v>
      </c>
      <c r="Y2496">
        <v>1</v>
      </c>
      <c r="Z2496">
        <v>0</v>
      </c>
      <c r="AA2496" t="s">
        <v>3565</v>
      </c>
      <c r="AB2496" t="s">
        <v>2254</v>
      </c>
      <c r="AC2496" t="s">
        <v>3565</v>
      </c>
      <c r="AD2496" t="e">
        <f>VLOOKUP(AB2496,#REF!,2,FALSE)</f>
        <v>#REF!</v>
      </c>
      <c r="AE2496" t="e">
        <f>RIGHT(#REF!,(FIND("Complex",#REF!,1)-6))</f>
        <v>#REF!</v>
      </c>
    </row>
    <row r="2497" spans="1:31" x14ac:dyDescent="0.25">
      <c r="A2497">
        <v>3181</v>
      </c>
      <c r="B2497" t="s">
        <v>82</v>
      </c>
      <c r="C2497">
        <v>115</v>
      </c>
      <c r="D2497">
        <v>387</v>
      </c>
      <c r="E2497">
        <v>3181</v>
      </c>
      <c r="F2497">
        <v>3704401</v>
      </c>
      <c r="G2497">
        <v>3792600</v>
      </c>
      <c r="H2497">
        <f t="shared" si="76"/>
        <v>84.000022675736957</v>
      </c>
      <c r="I2497">
        <f t="shared" si="77"/>
        <v>86</v>
      </c>
      <c r="J2497" t="s">
        <v>32</v>
      </c>
      <c r="K2497">
        <v>4</v>
      </c>
      <c r="L2497" t="e">
        <f t="array" ref="L2497">VLOOKUP(J2497:$J$3871&amp;K2497:$K$3871,CHOOSE({1,2},#REF!&amp;#REF!,#REF!),2,0)</f>
        <v>#N/A</v>
      </c>
      <c r="M2497">
        <v>0</v>
      </c>
      <c r="N2497">
        <v>1</v>
      </c>
      <c r="O2497" t="s">
        <v>23</v>
      </c>
      <c r="P2497">
        <v>1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1</v>
      </c>
      <c r="Y2497">
        <v>0</v>
      </c>
      <c r="Z2497">
        <v>0</v>
      </c>
      <c r="AA2497" t="s">
        <v>3600</v>
      </c>
      <c r="AB2497" t="s">
        <v>2255</v>
      </c>
      <c r="AC2497" t="s">
        <v>3600</v>
      </c>
      <c r="AD2497" t="e">
        <f>VLOOKUP(AB2497,#REF!,2,FALSE)</f>
        <v>#REF!</v>
      </c>
      <c r="AE2497" t="e">
        <f>RIGHT(#REF!,(FIND("Complex",#REF!,1)-6))</f>
        <v>#REF!</v>
      </c>
    </row>
    <row r="2498" spans="1:31" x14ac:dyDescent="0.25">
      <c r="A2498">
        <v>2731</v>
      </c>
      <c r="B2498" t="s">
        <v>82</v>
      </c>
      <c r="C2498">
        <v>115</v>
      </c>
      <c r="D2498">
        <v>281</v>
      </c>
      <c r="E2498">
        <v>2731</v>
      </c>
      <c r="F2498">
        <v>3439801</v>
      </c>
      <c r="G2498">
        <v>3528000</v>
      </c>
      <c r="H2498">
        <f t="shared" ref="H2498:H2561" si="78">F2498/44100</f>
        <v>78.000022675736957</v>
      </c>
      <c r="I2498">
        <f t="shared" ref="I2498:I2561" si="79">G2498/44100</f>
        <v>80</v>
      </c>
      <c r="J2498" t="s">
        <v>32</v>
      </c>
      <c r="K2498">
        <v>4</v>
      </c>
      <c r="L2498" t="e">
        <f t="array" ref="L2498">VLOOKUP(J2498:$J$3871&amp;K2498:$K$3871,CHOOSE({1,2},#REF!&amp;#REF!,#REF!),2,0)</f>
        <v>#N/A</v>
      </c>
      <c r="M2498">
        <v>0</v>
      </c>
      <c r="N2498">
        <v>1</v>
      </c>
      <c r="O2498" t="s">
        <v>23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1</v>
      </c>
      <c r="Y2498">
        <v>1</v>
      </c>
      <c r="Z2498">
        <v>0</v>
      </c>
      <c r="AA2498" t="s">
        <v>3659</v>
      </c>
      <c r="AB2498" t="s">
        <v>2256</v>
      </c>
      <c r="AC2498" t="s">
        <v>3659</v>
      </c>
      <c r="AD2498" t="e">
        <f>VLOOKUP(AB2498,#REF!,2,FALSE)</f>
        <v>#REF!</v>
      </c>
      <c r="AE2498" t="e">
        <f>RIGHT(#REF!,(FIND("Complex",#REF!,1)-6))</f>
        <v>#REF!</v>
      </c>
    </row>
    <row r="2499" spans="1:31" x14ac:dyDescent="0.25">
      <c r="A2499">
        <v>3105</v>
      </c>
      <c r="B2499" t="s">
        <v>82</v>
      </c>
      <c r="C2499">
        <v>115</v>
      </c>
      <c r="D2499">
        <v>364</v>
      </c>
      <c r="E2499">
        <v>3105</v>
      </c>
      <c r="F2499">
        <v>2910601</v>
      </c>
      <c r="G2499">
        <v>2998800</v>
      </c>
      <c r="H2499">
        <f t="shared" si="78"/>
        <v>66.000022675736957</v>
      </c>
      <c r="I2499">
        <f t="shared" si="79"/>
        <v>68</v>
      </c>
      <c r="J2499" t="s">
        <v>32</v>
      </c>
      <c r="K2499">
        <v>4</v>
      </c>
      <c r="L2499" t="e">
        <f t="array" ref="L2499">VLOOKUP(J2499:$J$3871&amp;K2499:$K$3871,CHOOSE({1,2},#REF!&amp;#REF!,#REF!),2,0)</f>
        <v>#N/A</v>
      </c>
      <c r="M2499">
        <v>0</v>
      </c>
      <c r="N2499">
        <v>1</v>
      </c>
      <c r="O2499" t="s">
        <v>23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 t="s">
        <v>3743</v>
      </c>
      <c r="AB2499" t="s">
        <v>2257</v>
      </c>
      <c r="AC2499" t="s">
        <v>3743</v>
      </c>
      <c r="AD2499" t="e">
        <f>VLOOKUP(AB2499,#REF!,2,FALSE)</f>
        <v>#REF!</v>
      </c>
      <c r="AE2499" t="e">
        <f>RIGHT(#REF!,(FIND("Complex",#REF!,1)-6))</f>
        <v>#REF!</v>
      </c>
    </row>
    <row r="2500" spans="1:31" x14ac:dyDescent="0.25">
      <c r="A2500">
        <v>864</v>
      </c>
      <c r="B2500" t="s">
        <v>48</v>
      </c>
      <c r="C2500">
        <v>2</v>
      </c>
      <c r="D2500">
        <v>68</v>
      </c>
      <c r="E2500">
        <v>864</v>
      </c>
      <c r="F2500">
        <v>7056001</v>
      </c>
      <c r="G2500">
        <v>7144200</v>
      </c>
      <c r="H2500">
        <f t="shared" si="78"/>
        <v>160.00002267573697</v>
      </c>
      <c r="I2500">
        <f t="shared" si="79"/>
        <v>162</v>
      </c>
      <c r="J2500" t="s">
        <v>32</v>
      </c>
      <c r="K2500">
        <v>3</v>
      </c>
      <c r="L2500" t="e">
        <f t="array" ref="L2500">VLOOKUP(J2500:$J$3871&amp;K2500:$K$3871,CHOOSE({1,2},#REF!&amp;#REF!,#REF!),2,0)</f>
        <v>#N/A</v>
      </c>
      <c r="M2500">
        <v>-15</v>
      </c>
      <c r="N2500">
        <v>0</v>
      </c>
      <c r="O2500" t="s">
        <v>7</v>
      </c>
      <c r="P2500">
        <v>0</v>
      </c>
      <c r="Q2500">
        <v>1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 t="s">
        <v>5803</v>
      </c>
      <c r="AB2500" t="s">
        <v>361</v>
      </c>
      <c r="AC2500" t="s">
        <v>5803</v>
      </c>
      <c r="AD2500" t="e">
        <f>VLOOKUP(AB2500,#REF!,2,FALSE)</f>
        <v>#REF!</v>
      </c>
      <c r="AE2500" t="e">
        <f>RIGHT(#REF!,(FIND("Complex",#REF!,1)-8))</f>
        <v>#REF!</v>
      </c>
    </row>
    <row r="2501" spans="1:31" x14ac:dyDescent="0.25">
      <c r="A2501">
        <v>380</v>
      </c>
      <c r="B2501" t="s">
        <v>52</v>
      </c>
      <c r="C2501">
        <v>12</v>
      </c>
      <c r="D2501">
        <v>33</v>
      </c>
      <c r="E2501">
        <v>380</v>
      </c>
      <c r="F2501">
        <v>1058401</v>
      </c>
      <c r="G2501">
        <v>1146600</v>
      </c>
      <c r="H2501">
        <f t="shared" si="78"/>
        <v>24.000022675736961</v>
      </c>
      <c r="I2501">
        <f t="shared" si="79"/>
        <v>26</v>
      </c>
      <c r="J2501" t="s">
        <v>32</v>
      </c>
      <c r="K2501">
        <v>3</v>
      </c>
      <c r="L2501" t="e">
        <f t="array" ref="L2501">VLOOKUP(J2501:$J$3871&amp;K2501:$K$3871,CHOOSE({1,2},#REF!&amp;#REF!,#REF!),2,0)</f>
        <v>#N/A</v>
      </c>
      <c r="M2501">
        <v>-15</v>
      </c>
      <c r="N2501">
        <v>0</v>
      </c>
      <c r="O2501" t="s">
        <v>7</v>
      </c>
      <c r="P2501">
        <v>1</v>
      </c>
      <c r="Q2501">
        <v>0</v>
      </c>
      <c r="R2501">
        <v>1</v>
      </c>
      <c r="S2501">
        <v>0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 t="s">
        <v>5530</v>
      </c>
      <c r="AB2501" t="s">
        <v>523</v>
      </c>
      <c r="AC2501" t="s">
        <v>5530</v>
      </c>
      <c r="AD2501" t="e">
        <f>VLOOKUP(AB2501,#REF!,2,FALSE)</f>
        <v>#REF!</v>
      </c>
      <c r="AE2501" t="e">
        <f>RIGHT(#REF!,(FIND("Complex",#REF!,1)-8))</f>
        <v>#REF!</v>
      </c>
    </row>
    <row r="2502" spans="1:31" x14ac:dyDescent="0.25">
      <c r="A2502">
        <v>238</v>
      </c>
      <c r="B2502" t="s">
        <v>52</v>
      </c>
      <c r="C2502">
        <v>12</v>
      </c>
      <c r="D2502">
        <v>21</v>
      </c>
      <c r="E2502">
        <v>238</v>
      </c>
      <c r="F2502">
        <v>5380201</v>
      </c>
      <c r="G2502">
        <v>5468400</v>
      </c>
      <c r="H2502">
        <f t="shared" si="78"/>
        <v>122.00002267573696</v>
      </c>
      <c r="I2502">
        <f t="shared" si="79"/>
        <v>124</v>
      </c>
      <c r="J2502" t="s">
        <v>32</v>
      </c>
      <c r="K2502">
        <v>3</v>
      </c>
      <c r="L2502" t="e">
        <f t="array" ref="L2502">VLOOKUP(J2502:$J$3871&amp;K2502:$K$3871,CHOOSE({1,2},#REF!&amp;#REF!,#REF!),2,0)</f>
        <v>#N/A</v>
      </c>
      <c r="M2502">
        <v>-15</v>
      </c>
      <c r="N2502">
        <v>0</v>
      </c>
      <c r="O2502" t="s">
        <v>7</v>
      </c>
      <c r="P2502">
        <v>1</v>
      </c>
      <c r="Q2502">
        <v>0</v>
      </c>
      <c r="R2502">
        <v>1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 t="s">
        <v>6010</v>
      </c>
      <c r="AB2502" t="s">
        <v>226</v>
      </c>
      <c r="AC2502" t="s">
        <v>6010</v>
      </c>
      <c r="AD2502" t="e">
        <f>VLOOKUP(AB2502,#REF!,2,FALSE)</f>
        <v>#REF!</v>
      </c>
      <c r="AE2502" t="e">
        <f>RIGHT(#REF!,(FIND("Complex",#REF!,1)-7))</f>
        <v>#REF!</v>
      </c>
    </row>
    <row r="2503" spans="1:31" x14ac:dyDescent="0.25">
      <c r="A2503">
        <v>82</v>
      </c>
      <c r="B2503" t="s">
        <v>52</v>
      </c>
      <c r="C2503">
        <v>12</v>
      </c>
      <c r="D2503">
        <v>4</v>
      </c>
      <c r="E2503">
        <v>82</v>
      </c>
      <c r="F2503">
        <v>4586401</v>
      </c>
      <c r="G2503">
        <v>4674600</v>
      </c>
      <c r="H2503">
        <f t="shared" si="78"/>
        <v>104.00002267573696</v>
      </c>
      <c r="I2503">
        <f t="shared" si="79"/>
        <v>106</v>
      </c>
      <c r="J2503" t="s">
        <v>32</v>
      </c>
      <c r="K2503">
        <v>3</v>
      </c>
      <c r="L2503" t="e">
        <f t="array" ref="L2503">VLOOKUP(J2503:$J$3871&amp;K2503:$K$3871,CHOOSE({1,2},#REF!&amp;#REF!,#REF!),2,0)</f>
        <v>#N/A</v>
      </c>
      <c r="M2503">
        <v>-15</v>
      </c>
      <c r="N2503">
        <v>0</v>
      </c>
      <c r="O2503" t="s">
        <v>7</v>
      </c>
      <c r="P2503">
        <v>1</v>
      </c>
      <c r="Q2503">
        <v>0</v>
      </c>
      <c r="R2503">
        <v>1</v>
      </c>
      <c r="S2503">
        <v>0</v>
      </c>
      <c r="T2503">
        <v>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 t="s">
        <v>6103</v>
      </c>
      <c r="AB2503" t="s">
        <v>524</v>
      </c>
      <c r="AC2503" t="s">
        <v>6103</v>
      </c>
      <c r="AD2503" t="e">
        <f>VLOOKUP(AB2503,#REF!,2,FALSE)</f>
        <v>#REF!</v>
      </c>
      <c r="AE2503" t="e">
        <f>RIGHT(#REF!,(FIND("Complex",#REF!,1)-6))</f>
        <v>#REF!</v>
      </c>
    </row>
    <row r="2504" spans="1:31" x14ac:dyDescent="0.25">
      <c r="A2504">
        <v>3487</v>
      </c>
      <c r="B2504" t="s">
        <v>79</v>
      </c>
      <c r="C2504">
        <v>13</v>
      </c>
      <c r="D2504">
        <v>440</v>
      </c>
      <c r="E2504">
        <v>3487</v>
      </c>
      <c r="F2504">
        <v>10672201</v>
      </c>
      <c r="G2504">
        <v>10760400</v>
      </c>
      <c r="H2504">
        <f t="shared" si="78"/>
        <v>242.00002267573697</v>
      </c>
      <c r="I2504">
        <f t="shared" si="79"/>
        <v>244</v>
      </c>
      <c r="J2504" t="s">
        <v>32</v>
      </c>
      <c r="K2504">
        <v>3</v>
      </c>
      <c r="L2504" t="e">
        <f t="array" ref="L2504">VLOOKUP(J2504:$J$3871&amp;K2504:$K$3871,CHOOSE({1,2},#REF!&amp;#REF!,#REF!),2,0)</f>
        <v>#N/A</v>
      </c>
      <c r="M2504">
        <v>-15</v>
      </c>
      <c r="N2504">
        <v>0</v>
      </c>
      <c r="O2504" t="s">
        <v>7</v>
      </c>
      <c r="P2504">
        <v>1</v>
      </c>
      <c r="Q2504">
        <v>1</v>
      </c>
      <c r="R2504">
        <v>1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 t="s">
        <v>5508</v>
      </c>
      <c r="AB2504" t="s">
        <v>294</v>
      </c>
      <c r="AC2504" t="s">
        <v>5508</v>
      </c>
      <c r="AD2504" t="e">
        <f>VLOOKUP(AB2504,#REF!,2,FALSE)</f>
        <v>#REF!</v>
      </c>
      <c r="AE2504" t="e">
        <f>RIGHT(#REF!,(FIND("Complex",#REF!,1)-8))</f>
        <v>#REF!</v>
      </c>
    </row>
    <row r="2505" spans="1:31" x14ac:dyDescent="0.25">
      <c r="A2505">
        <v>1462</v>
      </c>
      <c r="B2505" t="s">
        <v>33</v>
      </c>
      <c r="C2505">
        <v>20</v>
      </c>
      <c r="D2505">
        <v>135</v>
      </c>
      <c r="E2505">
        <v>1462</v>
      </c>
      <c r="F2505">
        <v>1323001</v>
      </c>
      <c r="G2505">
        <v>1411200</v>
      </c>
      <c r="H2505">
        <f t="shared" si="78"/>
        <v>30.000022675736961</v>
      </c>
      <c r="I2505">
        <f t="shared" si="79"/>
        <v>32</v>
      </c>
      <c r="J2505" t="s">
        <v>32</v>
      </c>
      <c r="K2505">
        <v>3</v>
      </c>
      <c r="L2505" t="e">
        <f t="array" ref="L2505">VLOOKUP(J2505:$J$3871&amp;K2505:$K$3871,CHOOSE({1,2},#REF!&amp;#REF!,#REF!),2,0)</f>
        <v>#N/A</v>
      </c>
      <c r="M2505">
        <v>-15</v>
      </c>
      <c r="N2505">
        <v>0</v>
      </c>
      <c r="O2505" t="s">
        <v>7</v>
      </c>
      <c r="P2505">
        <v>1</v>
      </c>
      <c r="Q2505">
        <v>0</v>
      </c>
      <c r="R2505">
        <v>1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0</v>
      </c>
      <c r="Z2505">
        <v>0</v>
      </c>
      <c r="AA2505" t="s">
        <v>5389</v>
      </c>
      <c r="AB2505" t="s">
        <v>705</v>
      </c>
      <c r="AC2505" t="s">
        <v>5389</v>
      </c>
      <c r="AD2505" t="e">
        <f>VLOOKUP(AB2505,#REF!,2,FALSE)</f>
        <v>#REF!</v>
      </c>
      <c r="AE2505" t="e">
        <f>RIGHT(#REF!,(FIND("Complex",#REF!,1)-9))</f>
        <v>#REF!</v>
      </c>
    </row>
    <row r="2506" spans="1:31" x14ac:dyDescent="0.25">
      <c r="A2506">
        <v>1401</v>
      </c>
      <c r="B2506" t="s">
        <v>33</v>
      </c>
      <c r="C2506">
        <v>20</v>
      </c>
      <c r="D2506">
        <v>129</v>
      </c>
      <c r="E2506">
        <v>1401</v>
      </c>
      <c r="F2506">
        <v>1058401</v>
      </c>
      <c r="G2506">
        <v>1146600</v>
      </c>
      <c r="H2506">
        <f t="shared" si="78"/>
        <v>24.000022675736961</v>
      </c>
      <c r="I2506">
        <f t="shared" si="79"/>
        <v>26</v>
      </c>
      <c r="J2506" t="s">
        <v>32</v>
      </c>
      <c r="K2506">
        <v>3</v>
      </c>
      <c r="L2506" t="e">
        <f t="array" ref="L2506">VLOOKUP(J2506:$J$3871&amp;K2506:$K$3871,CHOOSE({1,2},#REF!&amp;#REF!,#REF!),2,0)</f>
        <v>#N/A</v>
      </c>
      <c r="M2506">
        <v>-15</v>
      </c>
      <c r="N2506">
        <v>0</v>
      </c>
      <c r="O2506" t="s">
        <v>7</v>
      </c>
      <c r="P2506">
        <v>1</v>
      </c>
      <c r="Q2506">
        <v>0</v>
      </c>
      <c r="R2506">
        <v>1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0</v>
      </c>
      <c r="AA2506" t="s">
        <v>5527</v>
      </c>
      <c r="AB2506" t="s">
        <v>706</v>
      </c>
      <c r="AC2506" t="s">
        <v>5527</v>
      </c>
      <c r="AD2506" t="e">
        <f>VLOOKUP(AB2506,#REF!,2,FALSE)</f>
        <v>#REF!</v>
      </c>
      <c r="AE2506" t="e">
        <f>RIGHT(#REF!,(FIND("Complex",#REF!,1)-9))</f>
        <v>#REF!</v>
      </c>
    </row>
    <row r="2507" spans="1:31" x14ac:dyDescent="0.25">
      <c r="A2507">
        <v>157</v>
      </c>
      <c r="B2507" t="s">
        <v>33</v>
      </c>
      <c r="C2507">
        <v>20</v>
      </c>
      <c r="D2507">
        <v>12</v>
      </c>
      <c r="E2507">
        <v>157</v>
      </c>
      <c r="F2507">
        <v>529201</v>
      </c>
      <c r="G2507">
        <v>617400</v>
      </c>
      <c r="H2507">
        <f t="shared" si="78"/>
        <v>12.000022675736961</v>
      </c>
      <c r="I2507">
        <f t="shared" si="79"/>
        <v>14</v>
      </c>
      <c r="J2507" t="s">
        <v>32</v>
      </c>
      <c r="K2507">
        <v>3</v>
      </c>
      <c r="L2507" t="e">
        <f t="array" ref="L2507">VLOOKUP(J2507:$J$3871&amp;K2507:$K$3871,CHOOSE({1,2},#REF!&amp;#REF!,#REF!),2,0)</f>
        <v>#N/A</v>
      </c>
      <c r="M2507">
        <v>-15</v>
      </c>
      <c r="N2507">
        <v>0</v>
      </c>
      <c r="O2507" t="s">
        <v>7</v>
      </c>
      <c r="P2507">
        <v>1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0</v>
      </c>
      <c r="AA2507" t="s">
        <v>6037</v>
      </c>
      <c r="AB2507" t="s">
        <v>707</v>
      </c>
      <c r="AC2507" t="s">
        <v>6037</v>
      </c>
      <c r="AD2507" t="e">
        <f>VLOOKUP(AB2507,#REF!,2,FALSE)</f>
        <v>#REF!</v>
      </c>
      <c r="AE2507" t="e">
        <f>RIGHT(#REF!,(FIND("Complex",#REF!,1)-8))</f>
        <v>#REF!</v>
      </c>
    </row>
    <row r="2508" spans="1:31" x14ac:dyDescent="0.25">
      <c r="A2508">
        <v>1150</v>
      </c>
      <c r="B2508" t="s">
        <v>61</v>
      </c>
      <c r="C2508">
        <v>21</v>
      </c>
      <c r="D2508">
        <v>99</v>
      </c>
      <c r="E2508">
        <v>1150</v>
      </c>
      <c r="F2508">
        <v>2028601</v>
      </c>
      <c r="G2508">
        <v>2116800</v>
      </c>
      <c r="H2508">
        <f t="shared" si="78"/>
        <v>46.000022675736965</v>
      </c>
      <c r="I2508">
        <f t="shared" si="79"/>
        <v>48</v>
      </c>
      <c r="J2508" t="s">
        <v>32</v>
      </c>
      <c r="K2508">
        <v>3</v>
      </c>
      <c r="L2508" t="e">
        <f t="array" ref="L2508">VLOOKUP(J2508:$J$3871&amp;K2508:$K$3871,CHOOSE({1,2},#REF!&amp;#REF!,#REF!),2,0)</f>
        <v>#N/A</v>
      </c>
      <c r="M2508">
        <v>-15</v>
      </c>
      <c r="N2508">
        <v>0</v>
      </c>
      <c r="O2508" t="s">
        <v>7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1</v>
      </c>
      <c r="Y2508">
        <v>0</v>
      </c>
      <c r="Z2508">
        <v>0</v>
      </c>
      <c r="AA2508" t="s">
        <v>5223</v>
      </c>
      <c r="AB2508" t="s">
        <v>215</v>
      </c>
      <c r="AC2508" t="s">
        <v>5223</v>
      </c>
      <c r="AD2508" t="e">
        <f>VLOOKUP(AB2508,#REF!,2,FALSE)</f>
        <v>#REF!</v>
      </c>
      <c r="AE2508" t="e">
        <f>RIGHT(#REF!,(FIND("Complex",#REF!,1)-9))</f>
        <v>#REF!</v>
      </c>
    </row>
    <row r="2509" spans="1:31" x14ac:dyDescent="0.25">
      <c r="A2509">
        <v>990</v>
      </c>
      <c r="B2509" t="s">
        <v>61</v>
      </c>
      <c r="C2509">
        <v>21</v>
      </c>
      <c r="D2509">
        <v>80</v>
      </c>
      <c r="E2509">
        <v>990</v>
      </c>
      <c r="F2509">
        <v>6879601</v>
      </c>
      <c r="G2509">
        <v>6967800</v>
      </c>
      <c r="H2509">
        <f t="shared" si="78"/>
        <v>156.00002267573697</v>
      </c>
      <c r="I2509">
        <f t="shared" si="79"/>
        <v>158</v>
      </c>
      <c r="J2509" t="s">
        <v>32</v>
      </c>
      <c r="K2509">
        <v>3</v>
      </c>
      <c r="L2509" t="e">
        <f t="array" ref="L2509">VLOOKUP(J2509:$J$3871&amp;K2509:$K$3871,CHOOSE({1,2},#REF!&amp;#REF!,#REF!),2,0)</f>
        <v>#N/A</v>
      </c>
      <c r="M2509">
        <v>-15</v>
      </c>
      <c r="N2509">
        <v>0</v>
      </c>
      <c r="O2509" t="s">
        <v>7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1</v>
      </c>
      <c r="Y2509">
        <v>0</v>
      </c>
      <c r="Z2509">
        <v>0</v>
      </c>
      <c r="AA2509" t="s">
        <v>5847</v>
      </c>
      <c r="AB2509" t="s">
        <v>729</v>
      </c>
      <c r="AC2509" t="s">
        <v>5847</v>
      </c>
      <c r="AD2509" t="e">
        <f>VLOOKUP(AB2509,#REF!,2,FALSE)</f>
        <v>#REF!</v>
      </c>
      <c r="AE2509" t="e">
        <f>RIGHT(#REF!,(FIND("Complex",#REF!,1)-7))</f>
        <v>#REF!</v>
      </c>
    </row>
    <row r="2510" spans="1:31" x14ac:dyDescent="0.25">
      <c r="A2510">
        <v>3493</v>
      </c>
      <c r="B2510" t="s">
        <v>35</v>
      </c>
      <c r="C2510">
        <v>23</v>
      </c>
      <c r="D2510">
        <v>442</v>
      </c>
      <c r="E2510">
        <v>3493</v>
      </c>
      <c r="F2510">
        <v>3439801</v>
      </c>
      <c r="G2510">
        <v>3528000</v>
      </c>
      <c r="H2510">
        <f t="shared" si="78"/>
        <v>78.000022675736957</v>
      </c>
      <c r="I2510">
        <f t="shared" si="79"/>
        <v>80</v>
      </c>
      <c r="J2510" t="s">
        <v>32</v>
      </c>
      <c r="K2510">
        <v>3</v>
      </c>
      <c r="L2510" t="e">
        <f t="array" ref="L2510">VLOOKUP(J2510:$J$3871&amp;K2510:$K$3871,CHOOSE({1,2},#REF!&amp;#REF!,#REF!),2,0)</f>
        <v>#N/A</v>
      </c>
      <c r="M2510">
        <v>-15</v>
      </c>
      <c r="N2510">
        <v>0</v>
      </c>
      <c r="O2510" t="s">
        <v>7</v>
      </c>
      <c r="P2510">
        <v>0</v>
      </c>
      <c r="Q2510">
        <v>0</v>
      </c>
      <c r="R2510">
        <v>1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1</v>
      </c>
      <c r="Y2510">
        <v>0</v>
      </c>
      <c r="Z2510">
        <v>0</v>
      </c>
      <c r="AA2510" t="s">
        <v>5010</v>
      </c>
      <c r="AB2510" t="s">
        <v>755</v>
      </c>
      <c r="AC2510" t="s">
        <v>5010</v>
      </c>
      <c r="AD2510" t="e">
        <f>VLOOKUP(AB2510,#REF!,2,FALSE)</f>
        <v>#REF!</v>
      </c>
      <c r="AE2510" t="e">
        <f>RIGHT(#REF!,(FIND("Complex",#REF!,1)-9))</f>
        <v>#REF!</v>
      </c>
    </row>
    <row r="2511" spans="1:31" x14ac:dyDescent="0.25">
      <c r="A2511">
        <v>604</v>
      </c>
      <c r="B2511" t="s">
        <v>35</v>
      </c>
      <c r="C2511">
        <v>23</v>
      </c>
      <c r="D2511">
        <v>47</v>
      </c>
      <c r="E2511">
        <v>604</v>
      </c>
      <c r="F2511">
        <v>2998801</v>
      </c>
      <c r="G2511">
        <v>3087000</v>
      </c>
      <c r="H2511">
        <f t="shared" si="78"/>
        <v>68.000022675736957</v>
      </c>
      <c r="I2511">
        <f t="shared" si="79"/>
        <v>70</v>
      </c>
      <c r="J2511" t="s">
        <v>32</v>
      </c>
      <c r="K2511">
        <v>3</v>
      </c>
      <c r="L2511" t="e">
        <f t="array" ref="L2511">VLOOKUP(J2511:$J$3871&amp;K2511:$K$3871,CHOOSE({1,2},#REF!&amp;#REF!,#REF!),2,0)</f>
        <v>#N/A</v>
      </c>
      <c r="M2511">
        <v>-15</v>
      </c>
      <c r="N2511">
        <v>0</v>
      </c>
      <c r="O2511" t="s">
        <v>7</v>
      </c>
      <c r="P2511">
        <v>0</v>
      </c>
      <c r="Q2511">
        <v>0</v>
      </c>
      <c r="R2511">
        <v>1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1</v>
      </c>
      <c r="Y2511">
        <v>0</v>
      </c>
      <c r="Z2511">
        <v>0</v>
      </c>
      <c r="AA2511" t="s">
        <v>5075</v>
      </c>
      <c r="AB2511" t="s">
        <v>756</v>
      </c>
      <c r="AC2511" t="s">
        <v>5075</v>
      </c>
      <c r="AD2511" t="e">
        <f>VLOOKUP(AB2511,#REF!,2,FALSE)</f>
        <v>#REF!</v>
      </c>
      <c r="AE2511" t="e">
        <f>RIGHT(#REF!,(FIND("Complex",#REF!,1)-8))</f>
        <v>#REF!</v>
      </c>
    </row>
    <row r="2512" spans="1:31" x14ac:dyDescent="0.25">
      <c r="A2512">
        <v>2229</v>
      </c>
      <c r="B2512" t="s">
        <v>35</v>
      </c>
      <c r="C2512">
        <v>23</v>
      </c>
      <c r="D2512">
        <v>214</v>
      </c>
      <c r="E2512">
        <v>2229</v>
      </c>
      <c r="F2512">
        <v>1499401</v>
      </c>
      <c r="G2512">
        <v>1587600</v>
      </c>
      <c r="H2512">
        <f t="shared" si="78"/>
        <v>34.000022675736965</v>
      </c>
      <c r="I2512">
        <f t="shared" si="79"/>
        <v>36</v>
      </c>
      <c r="J2512" t="s">
        <v>32</v>
      </c>
      <c r="K2512">
        <v>3</v>
      </c>
      <c r="L2512" t="e">
        <f t="array" ref="L2512">VLOOKUP(J2512:$J$3871&amp;K2512:$K$3871,CHOOSE({1,2},#REF!&amp;#REF!,#REF!),2,0)</f>
        <v>#N/A</v>
      </c>
      <c r="M2512">
        <v>-15</v>
      </c>
      <c r="N2512">
        <v>0</v>
      </c>
      <c r="O2512" t="s">
        <v>7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1</v>
      </c>
      <c r="Y2512">
        <v>0</v>
      </c>
      <c r="Z2512">
        <v>0</v>
      </c>
      <c r="AA2512" t="s">
        <v>5341</v>
      </c>
      <c r="AB2512" t="s">
        <v>757</v>
      </c>
      <c r="AC2512" t="s">
        <v>5341</v>
      </c>
      <c r="AD2512" t="e">
        <f>VLOOKUP(AB2512,#REF!,2,FALSE)</f>
        <v>#REF!</v>
      </c>
      <c r="AE2512" t="e">
        <f>RIGHT(#REF!,(FIND("Complex",#REF!,1)-9))</f>
        <v>#REF!</v>
      </c>
    </row>
    <row r="2513" spans="1:31" x14ac:dyDescent="0.25">
      <c r="A2513">
        <v>2709</v>
      </c>
      <c r="B2513" t="s">
        <v>35</v>
      </c>
      <c r="C2513">
        <v>23</v>
      </c>
      <c r="D2513">
        <v>276</v>
      </c>
      <c r="E2513">
        <v>2709</v>
      </c>
      <c r="F2513">
        <v>1411201</v>
      </c>
      <c r="G2513">
        <v>1499400</v>
      </c>
      <c r="H2513">
        <f t="shared" si="78"/>
        <v>32.000022675736965</v>
      </c>
      <c r="I2513">
        <f t="shared" si="79"/>
        <v>34</v>
      </c>
      <c r="J2513" t="s">
        <v>32</v>
      </c>
      <c r="K2513">
        <v>3</v>
      </c>
      <c r="L2513" t="e">
        <f t="array" ref="L2513">VLOOKUP(J2513:$J$3871&amp;K2513:$K$3871,CHOOSE({1,2},#REF!&amp;#REF!,#REF!),2,0)</f>
        <v>#N/A</v>
      </c>
      <c r="M2513">
        <v>-15</v>
      </c>
      <c r="N2513">
        <v>0</v>
      </c>
      <c r="O2513" t="s">
        <v>7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1</v>
      </c>
      <c r="Y2513">
        <v>0</v>
      </c>
      <c r="Z2513">
        <v>0</v>
      </c>
      <c r="AA2513" t="s">
        <v>5367</v>
      </c>
      <c r="AB2513" t="s">
        <v>218</v>
      </c>
      <c r="AC2513" t="s">
        <v>5367</v>
      </c>
      <c r="AD2513" t="e">
        <f>VLOOKUP(AB2513,#REF!,2,FALSE)</f>
        <v>#REF!</v>
      </c>
      <c r="AE2513" t="e">
        <f>RIGHT(#REF!,(FIND("Complex",#REF!,1)-9))</f>
        <v>#REF!</v>
      </c>
    </row>
    <row r="2514" spans="1:31" x14ac:dyDescent="0.25">
      <c r="A2514">
        <v>2200</v>
      </c>
      <c r="B2514" t="s">
        <v>35</v>
      </c>
      <c r="C2514">
        <v>23</v>
      </c>
      <c r="D2514">
        <v>210</v>
      </c>
      <c r="E2514">
        <v>2200</v>
      </c>
      <c r="F2514">
        <v>1234801</v>
      </c>
      <c r="G2514">
        <v>1323000</v>
      </c>
      <c r="H2514">
        <f t="shared" si="78"/>
        <v>28.000022675736961</v>
      </c>
      <c r="I2514">
        <f t="shared" si="79"/>
        <v>30</v>
      </c>
      <c r="J2514" t="s">
        <v>32</v>
      </c>
      <c r="K2514">
        <v>3</v>
      </c>
      <c r="L2514" t="e">
        <f t="array" ref="L2514">VLOOKUP(J2514:$J$3871&amp;K2514:$K$3871,CHOOSE({1,2},#REF!&amp;#REF!,#REF!),2,0)</f>
        <v>#N/A</v>
      </c>
      <c r="M2514">
        <v>-15</v>
      </c>
      <c r="N2514">
        <v>0</v>
      </c>
      <c r="O2514" t="s">
        <v>7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1</v>
      </c>
      <c r="Y2514">
        <v>0</v>
      </c>
      <c r="Z2514">
        <v>0</v>
      </c>
      <c r="AA2514" t="s">
        <v>5419</v>
      </c>
      <c r="AB2514" t="s">
        <v>758</v>
      </c>
      <c r="AC2514" t="s">
        <v>5419</v>
      </c>
      <c r="AD2514" t="e">
        <f>VLOOKUP(AB2514,#REF!,2,FALSE)</f>
        <v>#REF!</v>
      </c>
      <c r="AE2514" t="e">
        <f>RIGHT(#REF!,(FIND("Complex",#REF!,1)-9))</f>
        <v>#REF!</v>
      </c>
    </row>
    <row r="2515" spans="1:31" x14ac:dyDescent="0.25">
      <c r="A2515">
        <v>3451</v>
      </c>
      <c r="B2515" t="s">
        <v>35</v>
      </c>
      <c r="C2515">
        <v>23</v>
      </c>
      <c r="D2515">
        <v>433</v>
      </c>
      <c r="E2515">
        <v>3451</v>
      </c>
      <c r="F2515">
        <v>970201</v>
      </c>
      <c r="G2515">
        <v>1058400</v>
      </c>
      <c r="H2515">
        <f t="shared" si="78"/>
        <v>22.000022675736961</v>
      </c>
      <c r="I2515">
        <f t="shared" si="79"/>
        <v>24</v>
      </c>
      <c r="J2515" t="s">
        <v>32</v>
      </c>
      <c r="K2515">
        <v>3</v>
      </c>
      <c r="L2515" t="e">
        <f t="array" ref="L2515">VLOOKUP(J2515:$J$3871&amp;K2515:$K$3871,CHOOSE({1,2},#REF!&amp;#REF!,#REF!),2,0)</f>
        <v>#N/A</v>
      </c>
      <c r="M2515">
        <v>-15</v>
      </c>
      <c r="N2515">
        <v>0</v>
      </c>
      <c r="O2515" t="s">
        <v>7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1</v>
      </c>
      <c r="Y2515">
        <v>0</v>
      </c>
      <c r="Z2515">
        <v>0</v>
      </c>
      <c r="AA2515" t="s">
        <v>5584</v>
      </c>
      <c r="AB2515" t="s">
        <v>759</v>
      </c>
      <c r="AC2515" t="s">
        <v>5584</v>
      </c>
      <c r="AD2515" t="e">
        <f>VLOOKUP(AB2515,#REF!,2,FALSE)</f>
        <v>#REF!</v>
      </c>
      <c r="AE2515" t="e">
        <f>RIGHT(#REF!,(FIND("Complex",#REF!,1)-9))</f>
        <v>#REF!</v>
      </c>
    </row>
    <row r="2516" spans="1:31" x14ac:dyDescent="0.25">
      <c r="A2516">
        <v>3303</v>
      </c>
      <c r="B2516" t="s">
        <v>35</v>
      </c>
      <c r="C2516">
        <v>23</v>
      </c>
      <c r="D2516">
        <v>408</v>
      </c>
      <c r="E2516">
        <v>3303</v>
      </c>
      <c r="F2516">
        <v>882001</v>
      </c>
      <c r="G2516">
        <v>970200</v>
      </c>
      <c r="H2516">
        <f t="shared" si="78"/>
        <v>20.000022675736961</v>
      </c>
      <c r="I2516">
        <f t="shared" si="79"/>
        <v>22</v>
      </c>
      <c r="J2516" t="s">
        <v>32</v>
      </c>
      <c r="K2516">
        <v>3</v>
      </c>
      <c r="L2516" t="e">
        <f t="array" ref="L2516">VLOOKUP(J2516:$J$3871&amp;K2516:$K$3871,CHOOSE({1,2},#REF!&amp;#REF!,#REF!),2,0)</f>
        <v>#N/A</v>
      </c>
      <c r="M2516">
        <v>-15</v>
      </c>
      <c r="N2516">
        <v>0</v>
      </c>
      <c r="O2516" t="s">
        <v>7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1</v>
      </c>
      <c r="Y2516">
        <v>0</v>
      </c>
      <c r="Z2516">
        <v>0</v>
      </c>
      <c r="AA2516" t="s">
        <v>5642</v>
      </c>
      <c r="AB2516" t="s">
        <v>760</v>
      </c>
      <c r="AC2516" t="s">
        <v>5642</v>
      </c>
      <c r="AD2516" t="e">
        <f>VLOOKUP(AB2516,#REF!,2,FALSE)</f>
        <v>#REF!</v>
      </c>
      <c r="AE2516" t="e">
        <f>RIGHT(#REF!,(FIND("Complex",#REF!,1)-9))</f>
        <v>#REF!</v>
      </c>
    </row>
    <row r="2517" spans="1:31" x14ac:dyDescent="0.25">
      <c r="A2517">
        <v>3581</v>
      </c>
      <c r="B2517" t="s">
        <v>35</v>
      </c>
      <c r="C2517">
        <v>23</v>
      </c>
      <c r="D2517">
        <v>457</v>
      </c>
      <c r="E2517">
        <v>3581</v>
      </c>
      <c r="F2517">
        <v>793801</v>
      </c>
      <c r="G2517">
        <v>882000</v>
      </c>
      <c r="H2517">
        <f t="shared" si="78"/>
        <v>18.000022675736961</v>
      </c>
      <c r="I2517">
        <f t="shared" si="79"/>
        <v>20</v>
      </c>
      <c r="J2517" t="s">
        <v>32</v>
      </c>
      <c r="K2517">
        <v>3</v>
      </c>
      <c r="L2517" t="e">
        <f t="array" ref="L2517">VLOOKUP(J2517:$J$3871&amp;K2517:$K$3871,CHOOSE({1,2},#REF!&amp;#REF!,#REF!),2,0)</f>
        <v>#N/A</v>
      </c>
      <c r="M2517">
        <v>-15</v>
      </c>
      <c r="N2517">
        <v>0</v>
      </c>
      <c r="O2517" t="s">
        <v>7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1</v>
      </c>
      <c r="Y2517">
        <v>0</v>
      </c>
      <c r="Z2517">
        <v>0</v>
      </c>
      <c r="AA2517" t="s">
        <v>5713</v>
      </c>
      <c r="AB2517" t="s">
        <v>761</v>
      </c>
      <c r="AC2517" t="s">
        <v>5713</v>
      </c>
      <c r="AD2517" t="e">
        <f>VLOOKUP(AB2517,#REF!,2,FALSE)</f>
        <v>#REF!</v>
      </c>
      <c r="AE2517" t="e">
        <f>RIGHT(#REF!,(FIND("Complex",#REF!,1)-9))</f>
        <v>#REF!</v>
      </c>
    </row>
    <row r="2518" spans="1:31" x14ac:dyDescent="0.25">
      <c r="A2518">
        <v>3349</v>
      </c>
      <c r="B2518" t="s">
        <v>35</v>
      </c>
      <c r="C2518">
        <v>23</v>
      </c>
      <c r="D2518">
        <v>416</v>
      </c>
      <c r="E2518">
        <v>3349</v>
      </c>
      <c r="F2518">
        <v>705601</v>
      </c>
      <c r="G2518">
        <v>793800</v>
      </c>
      <c r="H2518">
        <f t="shared" si="78"/>
        <v>16.000022675736961</v>
      </c>
      <c r="I2518">
        <f t="shared" si="79"/>
        <v>18</v>
      </c>
      <c r="J2518" t="s">
        <v>32</v>
      </c>
      <c r="K2518">
        <v>3</v>
      </c>
      <c r="L2518" t="e">
        <f t="array" ref="L2518">VLOOKUP(J2518:$J$3871&amp;K2518:$K$3871,CHOOSE({1,2},#REF!&amp;#REF!,#REF!),2,0)</f>
        <v>#N/A</v>
      </c>
      <c r="M2518">
        <v>-15</v>
      </c>
      <c r="N2518">
        <v>0</v>
      </c>
      <c r="O2518" t="s">
        <v>7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1</v>
      </c>
      <c r="Y2518">
        <v>0</v>
      </c>
      <c r="Z2518">
        <v>0</v>
      </c>
      <c r="AA2518" t="s">
        <v>5824</v>
      </c>
      <c r="AB2518" t="s">
        <v>762</v>
      </c>
      <c r="AC2518" t="s">
        <v>5824</v>
      </c>
      <c r="AD2518" t="e">
        <f>VLOOKUP(AB2518,#REF!,2,FALSE)</f>
        <v>#REF!</v>
      </c>
      <c r="AE2518" t="e">
        <f>RIGHT(#REF!,(FIND("Complex",#REF!,1)-9))</f>
        <v>#REF!</v>
      </c>
    </row>
    <row r="2519" spans="1:31" x14ac:dyDescent="0.25">
      <c r="A2519">
        <v>3158</v>
      </c>
      <c r="B2519" t="s">
        <v>35</v>
      </c>
      <c r="C2519">
        <v>23</v>
      </c>
      <c r="D2519">
        <v>382</v>
      </c>
      <c r="E2519">
        <v>3158</v>
      </c>
      <c r="F2519">
        <v>6526801</v>
      </c>
      <c r="G2519">
        <v>6615000</v>
      </c>
      <c r="H2519">
        <f t="shared" si="78"/>
        <v>148.00002267573697</v>
      </c>
      <c r="I2519">
        <f t="shared" si="79"/>
        <v>150</v>
      </c>
      <c r="J2519" t="s">
        <v>32</v>
      </c>
      <c r="K2519">
        <v>3</v>
      </c>
      <c r="L2519" t="e">
        <f t="array" ref="L2519">VLOOKUP(J2519:$J$3871&amp;K2519:$K$3871,CHOOSE({1,2},#REF!&amp;#REF!,#REF!),2,0)</f>
        <v>#N/A</v>
      </c>
      <c r="M2519">
        <v>-15</v>
      </c>
      <c r="N2519">
        <v>0</v>
      </c>
      <c r="O2519" t="s">
        <v>7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1</v>
      </c>
      <c r="Y2519">
        <v>0</v>
      </c>
      <c r="Z2519">
        <v>0</v>
      </c>
      <c r="AA2519" t="s">
        <v>5890</v>
      </c>
      <c r="AB2519" t="s">
        <v>763</v>
      </c>
      <c r="AC2519" t="s">
        <v>5890</v>
      </c>
      <c r="AD2519" t="e">
        <f>VLOOKUP(AB2519,#REF!,2,FALSE)</f>
        <v>#REF!</v>
      </c>
      <c r="AE2519" t="e">
        <f>RIGHT(#REF!,(FIND("Complex",#REF!,1)-8))</f>
        <v>#REF!</v>
      </c>
    </row>
    <row r="2520" spans="1:31" x14ac:dyDescent="0.25">
      <c r="A2520">
        <v>8</v>
      </c>
      <c r="B2520" t="s">
        <v>35</v>
      </c>
      <c r="C2520">
        <v>23</v>
      </c>
      <c r="D2520">
        <v>1</v>
      </c>
      <c r="E2520">
        <v>8</v>
      </c>
      <c r="F2520">
        <v>6350401</v>
      </c>
      <c r="G2520">
        <v>6438600</v>
      </c>
      <c r="H2520">
        <f t="shared" si="78"/>
        <v>144.00002267573697</v>
      </c>
      <c r="I2520">
        <f t="shared" si="79"/>
        <v>146</v>
      </c>
      <c r="J2520" t="s">
        <v>32</v>
      </c>
      <c r="K2520">
        <v>3</v>
      </c>
      <c r="L2520" t="e">
        <f t="array" ref="L2520">VLOOKUP(J2520:$J$3871&amp;K2520:$K$3871,CHOOSE({1,2},#REF!&amp;#REF!,#REF!),2,0)</f>
        <v>#N/A</v>
      </c>
      <c r="M2520">
        <v>-15</v>
      </c>
      <c r="N2520">
        <v>0</v>
      </c>
      <c r="O2520" t="s">
        <v>7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1</v>
      </c>
      <c r="Y2520">
        <v>0</v>
      </c>
      <c r="Z2520">
        <v>0</v>
      </c>
      <c r="AA2520" t="s">
        <v>5908</v>
      </c>
      <c r="AB2520" t="s">
        <v>764</v>
      </c>
      <c r="AC2520" t="s">
        <v>5908</v>
      </c>
      <c r="AD2520" t="e">
        <f>VLOOKUP(AB2520,#REF!,2,FALSE)</f>
        <v>#REF!</v>
      </c>
      <c r="AE2520" t="e">
        <f>RIGHT(#REF!,(FIND("Complex",#REF!,1)-5))</f>
        <v>#REF!</v>
      </c>
    </row>
    <row r="2521" spans="1:31" x14ac:dyDescent="0.25">
      <c r="A2521">
        <v>3425</v>
      </c>
      <c r="B2521" t="s">
        <v>35</v>
      </c>
      <c r="C2521">
        <v>23</v>
      </c>
      <c r="D2521">
        <v>430</v>
      </c>
      <c r="E2521">
        <v>3425</v>
      </c>
      <c r="F2521">
        <v>6174001</v>
      </c>
      <c r="G2521">
        <v>6262200</v>
      </c>
      <c r="H2521">
        <f t="shared" si="78"/>
        <v>140.00002267573697</v>
      </c>
      <c r="I2521">
        <f t="shared" si="79"/>
        <v>142</v>
      </c>
      <c r="J2521" t="s">
        <v>32</v>
      </c>
      <c r="K2521">
        <v>3</v>
      </c>
      <c r="L2521" t="e">
        <f t="array" ref="L2521">VLOOKUP(J2521:$J$3871&amp;K2521:$K$3871,CHOOSE({1,2},#REF!&amp;#REF!,#REF!),2,0)</f>
        <v>#N/A</v>
      </c>
      <c r="M2521">
        <v>-15</v>
      </c>
      <c r="N2521">
        <v>0</v>
      </c>
      <c r="O2521" t="s">
        <v>7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1</v>
      </c>
      <c r="Y2521">
        <v>0</v>
      </c>
      <c r="Z2521">
        <v>0</v>
      </c>
      <c r="AA2521" t="s">
        <v>5927</v>
      </c>
      <c r="AB2521" t="s">
        <v>765</v>
      </c>
      <c r="AC2521" t="s">
        <v>5927</v>
      </c>
      <c r="AD2521" t="e">
        <f>VLOOKUP(AB2521,#REF!,2,FALSE)</f>
        <v>#REF!</v>
      </c>
      <c r="AE2521" t="e">
        <f>RIGHT(#REF!,(FIND("Complex",#REF!,1)-8))</f>
        <v>#REF!</v>
      </c>
    </row>
    <row r="2522" spans="1:31" x14ac:dyDescent="0.25">
      <c r="A2522">
        <v>2329</v>
      </c>
      <c r="B2522" t="s">
        <v>35</v>
      </c>
      <c r="C2522">
        <v>23</v>
      </c>
      <c r="D2522">
        <v>224</v>
      </c>
      <c r="E2522">
        <v>2329</v>
      </c>
      <c r="F2522">
        <v>617401</v>
      </c>
      <c r="G2522">
        <v>705600</v>
      </c>
      <c r="H2522">
        <f t="shared" si="78"/>
        <v>14.000022675736961</v>
      </c>
      <c r="I2522">
        <f t="shared" si="79"/>
        <v>16</v>
      </c>
      <c r="J2522" t="s">
        <v>32</v>
      </c>
      <c r="K2522">
        <v>3</v>
      </c>
      <c r="L2522" t="e">
        <f t="array" ref="L2522">VLOOKUP(J2522:$J$3871&amp;K2522:$K$3871,CHOOSE({1,2},#REF!&amp;#REF!,#REF!),2,0)</f>
        <v>#N/A</v>
      </c>
      <c r="M2522">
        <v>-15</v>
      </c>
      <c r="N2522">
        <v>0</v>
      </c>
      <c r="O2522" t="s">
        <v>7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1</v>
      </c>
      <c r="Y2522">
        <v>0</v>
      </c>
      <c r="Z2522">
        <v>0</v>
      </c>
      <c r="AA2522" t="s">
        <v>5947</v>
      </c>
      <c r="AB2522" t="s">
        <v>766</v>
      </c>
      <c r="AC2522" t="s">
        <v>5947</v>
      </c>
      <c r="AD2522" t="e">
        <f>VLOOKUP(AB2522,#REF!,2,FALSE)</f>
        <v>#REF!</v>
      </c>
      <c r="AE2522" t="e">
        <f>RIGHT(#REF!,(FIND("Complex",#REF!,1)-9))</f>
        <v>#REF!</v>
      </c>
    </row>
    <row r="2523" spans="1:31" x14ac:dyDescent="0.25">
      <c r="A2523">
        <v>2497</v>
      </c>
      <c r="B2523" t="s">
        <v>35</v>
      </c>
      <c r="C2523">
        <v>23</v>
      </c>
      <c r="D2523">
        <v>244</v>
      </c>
      <c r="E2523">
        <v>2497</v>
      </c>
      <c r="F2523">
        <v>6085801</v>
      </c>
      <c r="G2523">
        <v>6174000</v>
      </c>
      <c r="H2523">
        <f t="shared" si="78"/>
        <v>138.00002267573697</v>
      </c>
      <c r="I2523">
        <f t="shared" si="79"/>
        <v>140</v>
      </c>
      <c r="J2523" t="s">
        <v>32</v>
      </c>
      <c r="K2523">
        <v>3</v>
      </c>
      <c r="L2523" t="e">
        <f t="array" ref="L2523">VLOOKUP(J2523:$J$3871&amp;K2523:$K$3871,CHOOSE({1,2},#REF!&amp;#REF!,#REF!),2,0)</f>
        <v>#N/A</v>
      </c>
      <c r="M2523">
        <v>-15</v>
      </c>
      <c r="N2523">
        <v>0</v>
      </c>
      <c r="O2523" t="s">
        <v>7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1</v>
      </c>
      <c r="Y2523">
        <v>0</v>
      </c>
      <c r="Z2523">
        <v>0</v>
      </c>
      <c r="AA2523" t="s">
        <v>5954</v>
      </c>
      <c r="AB2523" t="s">
        <v>767</v>
      </c>
      <c r="AC2523" t="s">
        <v>5954</v>
      </c>
      <c r="AD2523" t="e">
        <f>VLOOKUP(AB2523,#REF!,2,FALSE)</f>
        <v>#REF!</v>
      </c>
      <c r="AE2523" t="e">
        <f>RIGHT(#REF!,(FIND("Complex",#REF!,1)-8))</f>
        <v>#REF!</v>
      </c>
    </row>
    <row r="2524" spans="1:31" x14ac:dyDescent="0.25">
      <c r="A2524">
        <v>921</v>
      </c>
      <c r="B2524" t="s">
        <v>45</v>
      </c>
      <c r="C2524">
        <v>28</v>
      </c>
      <c r="D2524">
        <v>75</v>
      </c>
      <c r="E2524">
        <v>921</v>
      </c>
      <c r="F2524">
        <v>4321801</v>
      </c>
      <c r="G2524">
        <v>4410000</v>
      </c>
      <c r="H2524">
        <f t="shared" si="78"/>
        <v>98.000022675736957</v>
      </c>
      <c r="I2524">
        <f t="shared" si="79"/>
        <v>100</v>
      </c>
      <c r="J2524" t="s">
        <v>32</v>
      </c>
      <c r="K2524">
        <v>3</v>
      </c>
      <c r="L2524" t="e">
        <f t="array" ref="L2524">VLOOKUP(J2524:$J$3871&amp;K2524:$K$3871,CHOOSE({1,2},#REF!&amp;#REF!,#REF!),2,0)</f>
        <v>#N/A</v>
      </c>
      <c r="M2524">
        <v>-15</v>
      </c>
      <c r="N2524">
        <v>0</v>
      </c>
      <c r="O2524" t="s">
        <v>7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1</v>
      </c>
      <c r="Y2524">
        <v>0</v>
      </c>
      <c r="Z2524">
        <v>0</v>
      </c>
      <c r="AA2524" t="s">
        <v>4887</v>
      </c>
      <c r="AB2524" t="s">
        <v>873</v>
      </c>
      <c r="AC2524" t="s">
        <v>4887</v>
      </c>
      <c r="AD2524" t="e">
        <f>VLOOKUP(AB2524,#REF!,2,FALSE)</f>
        <v>#REF!</v>
      </c>
      <c r="AE2524" t="e">
        <f>RIGHT(#REF!,(FIND("Complex",#REF!,1)-8))</f>
        <v>#REF!</v>
      </c>
    </row>
    <row r="2525" spans="1:31" x14ac:dyDescent="0.25">
      <c r="A2525">
        <v>1953</v>
      </c>
      <c r="B2525" t="s">
        <v>45</v>
      </c>
      <c r="C2525">
        <v>28</v>
      </c>
      <c r="D2525">
        <v>187</v>
      </c>
      <c r="E2525">
        <v>1953</v>
      </c>
      <c r="F2525">
        <v>4233601</v>
      </c>
      <c r="G2525">
        <v>4321800</v>
      </c>
      <c r="H2525">
        <f t="shared" si="78"/>
        <v>96.000022675736957</v>
      </c>
      <c r="I2525">
        <f t="shared" si="79"/>
        <v>98</v>
      </c>
      <c r="J2525" t="s">
        <v>32</v>
      </c>
      <c r="K2525">
        <v>3</v>
      </c>
      <c r="L2525" t="e">
        <f t="array" ref="L2525">VLOOKUP(J2525:$J$3871&amp;K2525:$K$3871,CHOOSE({1,2},#REF!&amp;#REF!,#REF!),2,0)</f>
        <v>#N/A</v>
      </c>
      <c r="M2525">
        <v>-15</v>
      </c>
      <c r="N2525">
        <v>0</v>
      </c>
      <c r="O2525" t="s">
        <v>7</v>
      </c>
      <c r="P2525">
        <v>0</v>
      </c>
      <c r="Q2525">
        <v>0</v>
      </c>
      <c r="R2525">
        <v>1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1</v>
      </c>
      <c r="Y2525">
        <v>0</v>
      </c>
      <c r="Z2525">
        <v>0</v>
      </c>
      <c r="AA2525" t="s">
        <v>4899</v>
      </c>
      <c r="AB2525" t="s">
        <v>874</v>
      </c>
      <c r="AC2525" t="s">
        <v>4899</v>
      </c>
      <c r="AD2525" t="e">
        <f>VLOOKUP(AB2525,#REF!,2,FALSE)</f>
        <v>#REF!</v>
      </c>
      <c r="AE2525" t="e">
        <f>RIGHT(#REF!,(FIND("Complex",#REF!,1)-9))</f>
        <v>#REF!</v>
      </c>
    </row>
    <row r="2526" spans="1:31" x14ac:dyDescent="0.25">
      <c r="A2526">
        <v>18</v>
      </c>
      <c r="B2526" t="s">
        <v>45</v>
      </c>
      <c r="C2526">
        <v>28</v>
      </c>
      <c r="D2526">
        <v>3</v>
      </c>
      <c r="E2526">
        <v>18</v>
      </c>
      <c r="F2526">
        <v>4145401</v>
      </c>
      <c r="G2526">
        <v>4233600</v>
      </c>
      <c r="H2526">
        <f t="shared" si="78"/>
        <v>94.000022675736957</v>
      </c>
      <c r="I2526">
        <f t="shared" si="79"/>
        <v>96</v>
      </c>
      <c r="J2526" t="s">
        <v>32</v>
      </c>
      <c r="K2526">
        <v>3</v>
      </c>
      <c r="L2526" t="e">
        <f t="array" ref="L2526">VLOOKUP(J2526:$J$3871&amp;K2526:$K$3871,CHOOSE({1,2},#REF!&amp;#REF!,#REF!),2,0)</f>
        <v>#N/A</v>
      </c>
      <c r="M2526">
        <v>-15</v>
      </c>
      <c r="N2526">
        <v>0</v>
      </c>
      <c r="O2526" t="s">
        <v>7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1</v>
      </c>
      <c r="Y2526">
        <v>0</v>
      </c>
      <c r="Z2526">
        <v>0</v>
      </c>
      <c r="AA2526" t="s">
        <v>4907</v>
      </c>
      <c r="AB2526" t="s">
        <v>872</v>
      </c>
      <c r="AC2526" t="s">
        <v>4907</v>
      </c>
      <c r="AD2526" t="e">
        <f>VLOOKUP(AB2526,#REF!,2,FALSE)</f>
        <v>#REF!</v>
      </c>
      <c r="AE2526" t="e">
        <f>RIGHT(#REF!,(FIND("Complex",#REF!,1)-7))</f>
        <v>#REF!</v>
      </c>
    </row>
    <row r="2527" spans="1:31" x14ac:dyDescent="0.25">
      <c r="A2527">
        <v>1507</v>
      </c>
      <c r="B2527" t="s">
        <v>45</v>
      </c>
      <c r="C2527">
        <v>28</v>
      </c>
      <c r="D2527">
        <v>137</v>
      </c>
      <c r="E2527">
        <v>1507</v>
      </c>
      <c r="F2527">
        <v>4057201</v>
      </c>
      <c r="G2527">
        <v>4145400</v>
      </c>
      <c r="H2527">
        <f t="shared" si="78"/>
        <v>92.000022675736957</v>
      </c>
      <c r="I2527">
        <f t="shared" si="79"/>
        <v>94</v>
      </c>
      <c r="J2527" t="s">
        <v>32</v>
      </c>
      <c r="K2527">
        <v>3</v>
      </c>
      <c r="L2527" t="e">
        <f t="array" ref="L2527">VLOOKUP(J2527:$J$3871&amp;K2527:$K$3871,CHOOSE({1,2},#REF!&amp;#REF!,#REF!),2,0)</f>
        <v>#N/A</v>
      </c>
      <c r="M2527">
        <v>-15</v>
      </c>
      <c r="N2527">
        <v>0</v>
      </c>
      <c r="O2527" t="s">
        <v>7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</v>
      </c>
      <c r="Y2527">
        <v>0</v>
      </c>
      <c r="Z2527">
        <v>0</v>
      </c>
      <c r="AA2527" t="s">
        <v>4917</v>
      </c>
      <c r="AB2527" t="s">
        <v>875</v>
      </c>
      <c r="AC2527" t="s">
        <v>4917</v>
      </c>
      <c r="AD2527" t="e">
        <f>VLOOKUP(AB2527,#REF!,2,FALSE)</f>
        <v>#REF!</v>
      </c>
      <c r="AE2527" t="e">
        <f>RIGHT(#REF!,(FIND("Complex",#REF!,1)-9))</f>
        <v>#REF!</v>
      </c>
    </row>
    <row r="2528" spans="1:31" x14ac:dyDescent="0.25">
      <c r="A2528">
        <v>1273</v>
      </c>
      <c r="B2528" t="s">
        <v>45</v>
      </c>
      <c r="C2528">
        <v>28</v>
      </c>
      <c r="D2528">
        <v>115</v>
      </c>
      <c r="E2528">
        <v>1273</v>
      </c>
      <c r="F2528">
        <v>3969001</v>
      </c>
      <c r="G2528">
        <v>4057200</v>
      </c>
      <c r="H2528">
        <f t="shared" si="78"/>
        <v>90.000022675736957</v>
      </c>
      <c r="I2528">
        <f t="shared" si="79"/>
        <v>92</v>
      </c>
      <c r="J2528" t="s">
        <v>32</v>
      </c>
      <c r="K2528">
        <v>3</v>
      </c>
      <c r="L2528" t="e">
        <f t="array" ref="L2528">VLOOKUP(J2528:$J$3871&amp;K2528:$K$3871,CHOOSE({1,2},#REF!&amp;#REF!,#REF!),2,0)</f>
        <v>#N/A</v>
      </c>
      <c r="M2528">
        <v>-15</v>
      </c>
      <c r="N2528">
        <v>0</v>
      </c>
      <c r="O2528" t="s">
        <v>7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1</v>
      </c>
      <c r="Y2528">
        <v>0</v>
      </c>
      <c r="Z2528">
        <v>0</v>
      </c>
      <c r="AA2528" t="s">
        <v>4930</v>
      </c>
      <c r="AB2528" t="s">
        <v>876</v>
      </c>
      <c r="AC2528" t="s">
        <v>4930</v>
      </c>
      <c r="AD2528" t="e">
        <f>VLOOKUP(AB2528,#REF!,2,FALSE)</f>
        <v>#REF!</v>
      </c>
      <c r="AE2528" t="e">
        <f>RIGHT(#REF!,(FIND("Complex",#REF!,1)-9))</f>
        <v>#REF!</v>
      </c>
    </row>
    <row r="2529" spans="1:31" x14ac:dyDescent="0.25">
      <c r="A2529">
        <v>2993</v>
      </c>
      <c r="B2529" t="s">
        <v>45</v>
      </c>
      <c r="C2529">
        <v>28</v>
      </c>
      <c r="D2529">
        <v>338</v>
      </c>
      <c r="E2529">
        <v>2993</v>
      </c>
      <c r="F2529">
        <v>3880801</v>
      </c>
      <c r="G2529">
        <v>3969000</v>
      </c>
      <c r="H2529">
        <f t="shared" si="78"/>
        <v>88.000022675736957</v>
      </c>
      <c r="I2529">
        <f t="shared" si="79"/>
        <v>90</v>
      </c>
      <c r="J2529" t="s">
        <v>32</v>
      </c>
      <c r="K2529">
        <v>3</v>
      </c>
      <c r="L2529" t="e">
        <f t="array" ref="L2529">VLOOKUP(J2529:$J$3871&amp;K2529:$K$3871,CHOOSE({1,2},#REF!&amp;#REF!,#REF!),2,0)</f>
        <v>#N/A</v>
      </c>
      <c r="M2529">
        <v>-15</v>
      </c>
      <c r="N2529">
        <v>0</v>
      </c>
      <c r="O2529" t="s">
        <v>7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1</v>
      </c>
      <c r="Y2529">
        <v>0</v>
      </c>
      <c r="Z2529">
        <v>0</v>
      </c>
      <c r="AA2529" t="s">
        <v>4940</v>
      </c>
      <c r="AB2529" t="s">
        <v>877</v>
      </c>
      <c r="AC2529" t="s">
        <v>4940</v>
      </c>
      <c r="AD2529" t="e">
        <f>VLOOKUP(AB2529,#REF!,2,FALSE)</f>
        <v>#REF!</v>
      </c>
      <c r="AE2529" t="e">
        <f>RIGHT(#REF!,(FIND("Complex",#REF!,1)-9))</f>
        <v>#REF!</v>
      </c>
    </row>
    <row r="2530" spans="1:31" x14ac:dyDescent="0.25">
      <c r="A2530">
        <v>2933</v>
      </c>
      <c r="B2530" t="s">
        <v>45</v>
      </c>
      <c r="C2530">
        <v>28</v>
      </c>
      <c r="D2530">
        <v>325</v>
      </c>
      <c r="E2530">
        <v>2933</v>
      </c>
      <c r="F2530">
        <v>3792601</v>
      </c>
      <c r="G2530">
        <v>3880800</v>
      </c>
      <c r="H2530">
        <f t="shared" si="78"/>
        <v>86.000022675736957</v>
      </c>
      <c r="I2530">
        <f t="shared" si="79"/>
        <v>88</v>
      </c>
      <c r="J2530" t="s">
        <v>32</v>
      </c>
      <c r="K2530">
        <v>3</v>
      </c>
      <c r="L2530" t="e">
        <f t="array" ref="L2530">VLOOKUP(J2530:$J$3871&amp;K2530:$K$3871,CHOOSE({1,2},#REF!&amp;#REF!,#REF!),2,0)</f>
        <v>#N/A</v>
      </c>
      <c r="M2530">
        <v>-15</v>
      </c>
      <c r="N2530">
        <v>0</v>
      </c>
      <c r="O2530" t="s">
        <v>7</v>
      </c>
      <c r="P2530">
        <v>0</v>
      </c>
      <c r="Q2530">
        <v>0</v>
      </c>
      <c r="R2530">
        <v>1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1</v>
      </c>
      <c r="Y2530">
        <v>0</v>
      </c>
      <c r="Z2530">
        <v>0</v>
      </c>
      <c r="AA2530" t="s">
        <v>4953</v>
      </c>
      <c r="AB2530" t="s">
        <v>878</v>
      </c>
      <c r="AC2530" t="s">
        <v>4953</v>
      </c>
      <c r="AD2530" t="e">
        <f>VLOOKUP(AB2530,#REF!,2,FALSE)</f>
        <v>#REF!</v>
      </c>
      <c r="AE2530" t="e">
        <f>RIGHT(#REF!,(FIND("Complex",#REF!,1)-9))</f>
        <v>#REF!</v>
      </c>
    </row>
    <row r="2531" spans="1:31" x14ac:dyDescent="0.25">
      <c r="A2531">
        <v>850</v>
      </c>
      <c r="B2531" t="s">
        <v>45</v>
      </c>
      <c r="C2531">
        <v>28</v>
      </c>
      <c r="D2531">
        <v>65</v>
      </c>
      <c r="E2531">
        <v>850</v>
      </c>
      <c r="F2531">
        <v>3704401</v>
      </c>
      <c r="G2531">
        <v>3792600</v>
      </c>
      <c r="H2531">
        <f t="shared" si="78"/>
        <v>84.000022675736957</v>
      </c>
      <c r="I2531">
        <f t="shared" si="79"/>
        <v>86</v>
      </c>
      <c r="J2531" t="s">
        <v>32</v>
      </c>
      <c r="K2531">
        <v>3</v>
      </c>
      <c r="L2531" t="e">
        <f t="array" ref="L2531">VLOOKUP(J2531:$J$3871&amp;K2531:$K$3871,CHOOSE({1,2},#REF!&amp;#REF!,#REF!),2,0)</f>
        <v>#N/A</v>
      </c>
      <c r="M2531">
        <v>-15</v>
      </c>
      <c r="N2531">
        <v>0</v>
      </c>
      <c r="O2531" t="s">
        <v>7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1</v>
      </c>
      <c r="Y2531">
        <v>0</v>
      </c>
      <c r="Z2531">
        <v>0</v>
      </c>
      <c r="AA2531" t="s">
        <v>4961</v>
      </c>
      <c r="AB2531" t="s">
        <v>879</v>
      </c>
      <c r="AC2531" t="s">
        <v>4961</v>
      </c>
      <c r="AD2531" t="e">
        <f>VLOOKUP(AB2531,#REF!,2,FALSE)</f>
        <v>#REF!</v>
      </c>
      <c r="AE2531" t="e">
        <f>RIGHT(#REF!,(FIND("Complex",#REF!,1)-8))</f>
        <v>#REF!</v>
      </c>
    </row>
    <row r="2532" spans="1:31" x14ac:dyDescent="0.25">
      <c r="A2532">
        <v>2350</v>
      </c>
      <c r="B2532" t="s">
        <v>45</v>
      </c>
      <c r="C2532">
        <v>28</v>
      </c>
      <c r="D2532">
        <v>227</v>
      </c>
      <c r="E2532">
        <v>2350</v>
      </c>
      <c r="F2532">
        <v>3616201</v>
      </c>
      <c r="G2532">
        <v>3704400</v>
      </c>
      <c r="H2532">
        <f t="shared" si="78"/>
        <v>82.000022675736957</v>
      </c>
      <c r="I2532">
        <f t="shared" si="79"/>
        <v>84</v>
      </c>
      <c r="J2532" t="s">
        <v>32</v>
      </c>
      <c r="K2532">
        <v>3</v>
      </c>
      <c r="L2532" t="e">
        <f t="array" ref="L2532">VLOOKUP(J2532:$J$3871&amp;K2532:$K$3871,CHOOSE({1,2},#REF!&amp;#REF!,#REF!),2,0)</f>
        <v>#N/A</v>
      </c>
      <c r="M2532">
        <v>-15</v>
      </c>
      <c r="N2532">
        <v>0</v>
      </c>
      <c r="O2532" t="s">
        <v>7</v>
      </c>
      <c r="P2532">
        <v>0</v>
      </c>
      <c r="Q2532">
        <v>0</v>
      </c>
      <c r="R2532">
        <v>1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1</v>
      </c>
      <c r="Y2532">
        <v>0</v>
      </c>
      <c r="Z2532">
        <v>0</v>
      </c>
      <c r="AA2532" t="s">
        <v>4971</v>
      </c>
      <c r="AB2532" t="s">
        <v>880</v>
      </c>
      <c r="AC2532" t="s">
        <v>4971</v>
      </c>
      <c r="AD2532" t="e">
        <f>VLOOKUP(AB2532,#REF!,2,FALSE)</f>
        <v>#REF!</v>
      </c>
      <c r="AE2532" t="e">
        <f>RIGHT(#REF!,(FIND("Complex",#REF!,1)-9))</f>
        <v>#REF!</v>
      </c>
    </row>
    <row r="2533" spans="1:31" x14ac:dyDescent="0.25">
      <c r="A2533">
        <v>2711</v>
      </c>
      <c r="B2533" t="s">
        <v>45</v>
      </c>
      <c r="C2533">
        <v>28</v>
      </c>
      <c r="D2533">
        <v>277</v>
      </c>
      <c r="E2533">
        <v>2711</v>
      </c>
      <c r="F2533">
        <v>3528001</v>
      </c>
      <c r="G2533">
        <v>3616200</v>
      </c>
      <c r="H2533">
        <f t="shared" si="78"/>
        <v>80.000022675736957</v>
      </c>
      <c r="I2533">
        <f t="shared" si="79"/>
        <v>82</v>
      </c>
      <c r="J2533" t="s">
        <v>32</v>
      </c>
      <c r="K2533">
        <v>3</v>
      </c>
      <c r="L2533" t="e">
        <f t="array" ref="L2533">VLOOKUP(J2533:$J$3871&amp;K2533:$K$3871,CHOOSE({1,2},#REF!&amp;#REF!,#REF!),2,0)</f>
        <v>#N/A</v>
      </c>
      <c r="M2533">
        <v>-15</v>
      </c>
      <c r="N2533">
        <v>0</v>
      </c>
      <c r="O2533" t="s">
        <v>7</v>
      </c>
      <c r="P2533">
        <v>0</v>
      </c>
      <c r="Q2533">
        <v>0</v>
      </c>
      <c r="R2533">
        <v>1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1</v>
      </c>
      <c r="Y2533">
        <v>0</v>
      </c>
      <c r="Z2533">
        <v>0</v>
      </c>
      <c r="AA2533" t="s">
        <v>4983</v>
      </c>
      <c r="AB2533" t="s">
        <v>881</v>
      </c>
      <c r="AC2533" t="s">
        <v>4983</v>
      </c>
      <c r="AD2533" t="e">
        <f>VLOOKUP(AB2533,#REF!,2,FALSE)</f>
        <v>#REF!</v>
      </c>
      <c r="AE2533" t="e">
        <f>RIGHT(#REF!,(FIND("Complex",#REF!,1)-9))</f>
        <v>#REF!</v>
      </c>
    </row>
    <row r="2534" spans="1:31" x14ac:dyDescent="0.25">
      <c r="A2534">
        <v>1078</v>
      </c>
      <c r="B2534" t="s">
        <v>45</v>
      </c>
      <c r="C2534">
        <v>28</v>
      </c>
      <c r="D2534">
        <v>92</v>
      </c>
      <c r="E2534">
        <v>1078</v>
      </c>
      <c r="F2534">
        <v>3439801</v>
      </c>
      <c r="G2534">
        <v>3528000</v>
      </c>
      <c r="H2534">
        <f t="shared" si="78"/>
        <v>78.000022675736957</v>
      </c>
      <c r="I2534">
        <f t="shared" si="79"/>
        <v>80</v>
      </c>
      <c r="J2534" t="s">
        <v>32</v>
      </c>
      <c r="K2534">
        <v>3</v>
      </c>
      <c r="L2534" t="e">
        <f t="array" ref="L2534">VLOOKUP(J2534:$J$3871&amp;K2534:$K$3871,CHOOSE({1,2},#REF!&amp;#REF!,#REF!),2,0)</f>
        <v>#N/A</v>
      </c>
      <c r="M2534">
        <v>-15</v>
      </c>
      <c r="N2534">
        <v>0</v>
      </c>
      <c r="O2534" t="s">
        <v>7</v>
      </c>
      <c r="P2534">
        <v>0</v>
      </c>
      <c r="Q2534">
        <v>0</v>
      </c>
      <c r="R2534">
        <v>1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1</v>
      </c>
      <c r="Y2534">
        <v>0</v>
      </c>
      <c r="Z2534">
        <v>0</v>
      </c>
      <c r="AA2534" t="s">
        <v>5009</v>
      </c>
      <c r="AB2534" t="s">
        <v>882</v>
      </c>
      <c r="AC2534" t="s">
        <v>5009</v>
      </c>
      <c r="AD2534" t="e">
        <f>VLOOKUP(AB2534,#REF!,2,FALSE)</f>
        <v>#REF!</v>
      </c>
      <c r="AE2534" t="e">
        <f>RIGHT(#REF!,(FIND("Complex",#REF!,1)-9))</f>
        <v>#REF!</v>
      </c>
    </row>
    <row r="2535" spans="1:31" x14ac:dyDescent="0.25">
      <c r="A2535">
        <v>411</v>
      </c>
      <c r="B2535" t="s">
        <v>45</v>
      </c>
      <c r="C2535">
        <v>28</v>
      </c>
      <c r="D2535">
        <v>36</v>
      </c>
      <c r="E2535">
        <v>411</v>
      </c>
      <c r="F2535">
        <v>3351601</v>
      </c>
      <c r="G2535">
        <v>3439800</v>
      </c>
      <c r="H2535">
        <f t="shared" si="78"/>
        <v>76.000022675736957</v>
      </c>
      <c r="I2535">
        <f t="shared" si="79"/>
        <v>78</v>
      </c>
      <c r="J2535" t="s">
        <v>32</v>
      </c>
      <c r="K2535">
        <v>3</v>
      </c>
      <c r="L2535" t="e">
        <f t="array" ref="L2535">VLOOKUP(J2535:$J$3871&amp;K2535:$K$3871,CHOOSE({1,2},#REF!&amp;#REF!,#REF!),2,0)</f>
        <v>#N/A</v>
      </c>
      <c r="M2535">
        <v>-15</v>
      </c>
      <c r="N2535">
        <v>0</v>
      </c>
      <c r="O2535" t="s">
        <v>7</v>
      </c>
      <c r="P2535">
        <v>0</v>
      </c>
      <c r="Q2535">
        <v>0</v>
      </c>
      <c r="R2535">
        <v>1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1</v>
      </c>
      <c r="Y2535">
        <v>0</v>
      </c>
      <c r="Z2535">
        <v>0</v>
      </c>
      <c r="AA2535" t="s">
        <v>5019</v>
      </c>
      <c r="AB2535" t="s">
        <v>883</v>
      </c>
      <c r="AC2535" t="s">
        <v>5019</v>
      </c>
      <c r="AD2535" t="e">
        <f>VLOOKUP(AB2535,#REF!,2,FALSE)</f>
        <v>#REF!</v>
      </c>
      <c r="AE2535" t="e">
        <f>RIGHT(#REF!,(FIND("Complex",#REF!,1)-8))</f>
        <v>#REF!</v>
      </c>
    </row>
    <row r="2536" spans="1:31" x14ac:dyDescent="0.25">
      <c r="A2536">
        <v>2264</v>
      </c>
      <c r="B2536" t="s">
        <v>45</v>
      </c>
      <c r="C2536">
        <v>28</v>
      </c>
      <c r="D2536">
        <v>218</v>
      </c>
      <c r="E2536">
        <v>2264</v>
      </c>
      <c r="F2536">
        <v>3263401</v>
      </c>
      <c r="G2536">
        <v>3351600</v>
      </c>
      <c r="H2536">
        <f t="shared" si="78"/>
        <v>74.000022675736957</v>
      </c>
      <c r="I2536">
        <f t="shared" si="79"/>
        <v>76</v>
      </c>
      <c r="J2536" t="s">
        <v>32</v>
      </c>
      <c r="K2536">
        <v>3</v>
      </c>
      <c r="L2536" t="e">
        <f t="array" ref="L2536">VLOOKUP(J2536:$J$3871&amp;K2536:$K$3871,CHOOSE({1,2},#REF!&amp;#REF!,#REF!),2,0)</f>
        <v>#N/A</v>
      </c>
      <c r="M2536">
        <v>-15</v>
      </c>
      <c r="N2536">
        <v>0</v>
      </c>
      <c r="O2536" t="s">
        <v>7</v>
      </c>
      <c r="P2536">
        <v>0</v>
      </c>
      <c r="Q2536">
        <v>0</v>
      </c>
      <c r="R2536">
        <v>1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1</v>
      </c>
      <c r="Y2536">
        <v>0</v>
      </c>
      <c r="Z2536">
        <v>0</v>
      </c>
      <c r="AA2536" t="s">
        <v>5035</v>
      </c>
      <c r="AB2536" t="s">
        <v>884</v>
      </c>
      <c r="AC2536" t="s">
        <v>5035</v>
      </c>
      <c r="AD2536" t="e">
        <f>VLOOKUP(AB2536,#REF!,2,FALSE)</f>
        <v>#REF!</v>
      </c>
      <c r="AE2536" t="e">
        <f>RIGHT(#REF!,(FIND("Complex",#REF!,1)-9))</f>
        <v>#REF!</v>
      </c>
    </row>
    <row r="2537" spans="1:31" x14ac:dyDescent="0.25">
      <c r="A2537">
        <v>1890</v>
      </c>
      <c r="B2537" t="s">
        <v>45</v>
      </c>
      <c r="C2537">
        <v>28</v>
      </c>
      <c r="D2537">
        <v>173</v>
      </c>
      <c r="E2537">
        <v>1890</v>
      </c>
      <c r="F2537">
        <v>3175201</v>
      </c>
      <c r="G2537">
        <v>3263400</v>
      </c>
      <c r="H2537">
        <f t="shared" si="78"/>
        <v>72.000022675736957</v>
      </c>
      <c r="I2537">
        <f t="shared" si="79"/>
        <v>74</v>
      </c>
      <c r="J2537" t="s">
        <v>32</v>
      </c>
      <c r="K2537">
        <v>3</v>
      </c>
      <c r="L2537" t="e">
        <f t="array" ref="L2537">VLOOKUP(J2537:$J$3871&amp;K2537:$K$3871,CHOOSE({1,2},#REF!&amp;#REF!,#REF!),2,0)</f>
        <v>#N/A</v>
      </c>
      <c r="M2537">
        <v>-15</v>
      </c>
      <c r="N2537">
        <v>0</v>
      </c>
      <c r="O2537" t="s">
        <v>7</v>
      </c>
      <c r="P2537">
        <v>0</v>
      </c>
      <c r="Q2537">
        <v>0</v>
      </c>
      <c r="R2537">
        <v>1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1</v>
      </c>
      <c r="Y2537">
        <v>0</v>
      </c>
      <c r="Z2537">
        <v>0</v>
      </c>
      <c r="AA2537" t="s">
        <v>5047</v>
      </c>
      <c r="AB2537" t="s">
        <v>885</v>
      </c>
      <c r="AC2537" t="s">
        <v>5047</v>
      </c>
      <c r="AD2537" t="e">
        <f>VLOOKUP(AB2537,#REF!,2,FALSE)</f>
        <v>#REF!</v>
      </c>
      <c r="AE2537" t="e">
        <f>RIGHT(#REF!,(FIND("Complex",#REF!,1)-9))</f>
        <v>#REF!</v>
      </c>
    </row>
    <row r="2538" spans="1:31" x14ac:dyDescent="0.25">
      <c r="A2538">
        <v>3079</v>
      </c>
      <c r="B2538" t="s">
        <v>45</v>
      </c>
      <c r="C2538">
        <v>28</v>
      </c>
      <c r="D2538">
        <v>358</v>
      </c>
      <c r="E2538">
        <v>3079</v>
      </c>
      <c r="F2538">
        <v>3087001</v>
      </c>
      <c r="G2538">
        <v>3175200</v>
      </c>
      <c r="H2538">
        <f t="shared" si="78"/>
        <v>70.000022675736957</v>
      </c>
      <c r="I2538">
        <f t="shared" si="79"/>
        <v>72</v>
      </c>
      <c r="J2538" t="s">
        <v>32</v>
      </c>
      <c r="K2538">
        <v>3</v>
      </c>
      <c r="L2538" t="e">
        <f t="array" ref="L2538">VLOOKUP(J2538:$J$3871&amp;K2538:$K$3871,CHOOSE({1,2},#REF!&amp;#REF!,#REF!),2,0)</f>
        <v>#N/A</v>
      </c>
      <c r="M2538">
        <v>-15</v>
      </c>
      <c r="N2538">
        <v>0</v>
      </c>
      <c r="O2538" t="s">
        <v>7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1</v>
      </c>
      <c r="Y2538">
        <v>0</v>
      </c>
      <c r="Z2538">
        <v>0</v>
      </c>
      <c r="AA2538" t="s">
        <v>5063</v>
      </c>
      <c r="AB2538" t="s">
        <v>210</v>
      </c>
      <c r="AC2538" t="s">
        <v>5063</v>
      </c>
      <c r="AD2538" t="e">
        <f>VLOOKUP(AB2538,#REF!,2,FALSE)</f>
        <v>#REF!</v>
      </c>
      <c r="AE2538" t="e">
        <f>RIGHT(#REF!,(FIND("Complex",#REF!,1)-9))</f>
        <v>#REF!</v>
      </c>
    </row>
    <row r="2539" spans="1:31" x14ac:dyDescent="0.25">
      <c r="A2539">
        <v>2976</v>
      </c>
      <c r="B2539" t="s">
        <v>45</v>
      </c>
      <c r="C2539">
        <v>28</v>
      </c>
      <c r="D2539">
        <v>335</v>
      </c>
      <c r="E2539">
        <v>2976</v>
      </c>
      <c r="F2539">
        <v>2998801</v>
      </c>
      <c r="G2539">
        <v>3087000</v>
      </c>
      <c r="H2539">
        <f t="shared" si="78"/>
        <v>68.000022675736957</v>
      </c>
      <c r="I2539">
        <f t="shared" si="79"/>
        <v>70</v>
      </c>
      <c r="J2539" t="s">
        <v>32</v>
      </c>
      <c r="K2539">
        <v>3</v>
      </c>
      <c r="L2539" t="e">
        <f t="array" ref="L2539">VLOOKUP(J2539:$J$3871&amp;K2539:$K$3871,CHOOSE({1,2},#REF!&amp;#REF!,#REF!),2,0)</f>
        <v>#N/A</v>
      </c>
      <c r="M2539">
        <v>-15</v>
      </c>
      <c r="N2539">
        <v>0</v>
      </c>
      <c r="O2539" t="s">
        <v>7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1</v>
      </c>
      <c r="Y2539">
        <v>0</v>
      </c>
      <c r="Z2539">
        <v>0</v>
      </c>
      <c r="AA2539" t="s">
        <v>5074</v>
      </c>
      <c r="AB2539" t="s">
        <v>886</v>
      </c>
      <c r="AC2539" t="s">
        <v>5074</v>
      </c>
      <c r="AD2539" t="e">
        <f>VLOOKUP(AB2539,#REF!,2,FALSE)</f>
        <v>#REF!</v>
      </c>
      <c r="AE2539" t="e">
        <f>RIGHT(#REF!,(FIND("Complex",#REF!,1)-9))</f>
        <v>#REF!</v>
      </c>
    </row>
    <row r="2540" spans="1:31" x14ac:dyDescent="0.25">
      <c r="A2540">
        <v>2515</v>
      </c>
      <c r="B2540" t="s">
        <v>45</v>
      </c>
      <c r="C2540">
        <v>28</v>
      </c>
      <c r="D2540">
        <v>247</v>
      </c>
      <c r="E2540">
        <v>2515</v>
      </c>
      <c r="F2540">
        <v>2910601</v>
      </c>
      <c r="G2540">
        <v>2998800</v>
      </c>
      <c r="H2540">
        <f t="shared" si="78"/>
        <v>66.000022675736957</v>
      </c>
      <c r="I2540">
        <f t="shared" si="79"/>
        <v>68</v>
      </c>
      <c r="J2540" t="s">
        <v>32</v>
      </c>
      <c r="K2540">
        <v>3</v>
      </c>
      <c r="L2540" t="e">
        <f t="array" ref="L2540">VLOOKUP(J2540:$J$3871&amp;K2540:$K$3871,CHOOSE({1,2},#REF!&amp;#REF!,#REF!),2,0)</f>
        <v>#N/A</v>
      </c>
      <c r="M2540">
        <v>-15</v>
      </c>
      <c r="N2540">
        <v>0</v>
      </c>
      <c r="O2540" t="s">
        <v>7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1</v>
      </c>
      <c r="Y2540">
        <v>0</v>
      </c>
      <c r="Z2540">
        <v>0</v>
      </c>
      <c r="AA2540" t="s">
        <v>5083</v>
      </c>
      <c r="AB2540" t="s">
        <v>887</v>
      </c>
      <c r="AC2540" t="s">
        <v>5083</v>
      </c>
      <c r="AD2540" t="e">
        <f>VLOOKUP(AB2540,#REF!,2,FALSE)</f>
        <v>#REF!</v>
      </c>
      <c r="AE2540" t="e">
        <f>RIGHT(#REF!,(FIND("Complex",#REF!,1)-9))</f>
        <v>#REF!</v>
      </c>
    </row>
    <row r="2541" spans="1:31" x14ac:dyDescent="0.25">
      <c r="A2541">
        <v>3141</v>
      </c>
      <c r="B2541" t="s">
        <v>45</v>
      </c>
      <c r="C2541">
        <v>28</v>
      </c>
      <c r="D2541">
        <v>377</v>
      </c>
      <c r="E2541">
        <v>3141</v>
      </c>
      <c r="F2541">
        <v>2822401</v>
      </c>
      <c r="G2541">
        <v>2910600</v>
      </c>
      <c r="H2541">
        <f t="shared" si="78"/>
        <v>64.000022675736957</v>
      </c>
      <c r="I2541">
        <f t="shared" si="79"/>
        <v>66</v>
      </c>
      <c r="J2541" t="s">
        <v>32</v>
      </c>
      <c r="K2541">
        <v>3</v>
      </c>
      <c r="L2541" t="e">
        <f t="array" ref="L2541">VLOOKUP(J2541:$J$3871&amp;K2541:$K$3871,CHOOSE({1,2},#REF!&amp;#REF!,#REF!),2,0)</f>
        <v>#N/A</v>
      </c>
      <c r="M2541">
        <v>-15</v>
      </c>
      <c r="N2541">
        <v>0</v>
      </c>
      <c r="O2541" t="s">
        <v>7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1</v>
      </c>
      <c r="Y2541">
        <v>0</v>
      </c>
      <c r="Z2541">
        <v>0</v>
      </c>
      <c r="AA2541" t="s">
        <v>5090</v>
      </c>
      <c r="AB2541" t="s">
        <v>888</v>
      </c>
      <c r="AC2541" t="s">
        <v>5090</v>
      </c>
      <c r="AD2541" t="e">
        <f>VLOOKUP(AB2541,#REF!,2,FALSE)</f>
        <v>#REF!</v>
      </c>
      <c r="AE2541" t="e">
        <f>RIGHT(#REF!,(FIND("Complex",#REF!,1)-9))</f>
        <v>#REF!</v>
      </c>
    </row>
    <row r="2542" spans="1:31" x14ac:dyDescent="0.25">
      <c r="A2542">
        <v>1753</v>
      </c>
      <c r="B2542" t="s">
        <v>45</v>
      </c>
      <c r="C2542">
        <v>28</v>
      </c>
      <c r="D2542">
        <v>160</v>
      </c>
      <c r="E2542">
        <v>1753</v>
      </c>
      <c r="F2542">
        <v>2734201</v>
      </c>
      <c r="G2542">
        <v>2822400</v>
      </c>
      <c r="H2542">
        <f t="shared" si="78"/>
        <v>62.000022675736965</v>
      </c>
      <c r="I2542">
        <f t="shared" si="79"/>
        <v>64</v>
      </c>
      <c r="J2542" t="s">
        <v>32</v>
      </c>
      <c r="K2542">
        <v>3</v>
      </c>
      <c r="L2542" t="e">
        <f t="array" ref="L2542">VLOOKUP(J2542:$J$3871&amp;K2542:$K$3871,CHOOSE({1,2},#REF!&amp;#REF!,#REF!),2,0)</f>
        <v>#N/A</v>
      </c>
      <c r="M2542">
        <v>-15</v>
      </c>
      <c r="N2542">
        <v>0</v>
      </c>
      <c r="O2542" t="s">
        <v>7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1</v>
      </c>
      <c r="Y2542">
        <v>0</v>
      </c>
      <c r="Z2542">
        <v>0</v>
      </c>
      <c r="AA2542" t="s">
        <v>5101</v>
      </c>
      <c r="AB2542" t="s">
        <v>889</v>
      </c>
      <c r="AC2542" t="s">
        <v>5101</v>
      </c>
      <c r="AD2542" t="e">
        <f>VLOOKUP(AB2542,#REF!,2,FALSE)</f>
        <v>#REF!</v>
      </c>
      <c r="AE2542" t="e">
        <f>RIGHT(#REF!,(FIND("Complex",#REF!,1)-9))</f>
        <v>#REF!</v>
      </c>
    </row>
    <row r="2543" spans="1:31" x14ac:dyDescent="0.25">
      <c r="A2543">
        <v>2861</v>
      </c>
      <c r="B2543" t="s">
        <v>45</v>
      </c>
      <c r="C2543">
        <v>28</v>
      </c>
      <c r="D2543">
        <v>308</v>
      </c>
      <c r="E2543">
        <v>2861</v>
      </c>
      <c r="F2543">
        <v>2646001</v>
      </c>
      <c r="G2543">
        <v>2734200</v>
      </c>
      <c r="H2543">
        <f t="shared" si="78"/>
        <v>60.000022675736965</v>
      </c>
      <c r="I2543">
        <f t="shared" si="79"/>
        <v>62</v>
      </c>
      <c r="J2543" t="s">
        <v>32</v>
      </c>
      <c r="K2543">
        <v>3</v>
      </c>
      <c r="L2543" t="e">
        <f t="array" ref="L2543">VLOOKUP(J2543:$J$3871&amp;K2543:$K$3871,CHOOSE({1,2},#REF!&amp;#REF!,#REF!),2,0)</f>
        <v>#N/A</v>
      </c>
      <c r="M2543">
        <v>-15</v>
      </c>
      <c r="N2543">
        <v>0</v>
      </c>
      <c r="O2543" t="s">
        <v>7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1</v>
      </c>
      <c r="Y2543">
        <v>0</v>
      </c>
      <c r="Z2543">
        <v>0</v>
      </c>
      <c r="AA2543" t="s">
        <v>5116</v>
      </c>
      <c r="AB2543" t="s">
        <v>890</v>
      </c>
      <c r="AC2543" t="s">
        <v>5116</v>
      </c>
      <c r="AD2543" t="e">
        <f>VLOOKUP(AB2543,#REF!,2,FALSE)</f>
        <v>#REF!</v>
      </c>
      <c r="AE2543" t="e">
        <f>RIGHT(#REF!,(FIND("Complex",#REF!,1)-9))</f>
        <v>#REF!</v>
      </c>
    </row>
    <row r="2544" spans="1:31" x14ac:dyDescent="0.25">
      <c r="A2544">
        <v>727</v>
      </c>
      <c r="B2544" t="s">
        <v>45</v>
      </c>
      <c r="C2544">
        <v>28</v>
      </c>
      <c r="D2544">
        <v>58</v>
      </c>
      <c r="E2544">
        <v>727</v>
      </c>
      <c r="F2544">
        <v>2557801</v>
      </c>
      <c r="G2544">
        <v>2646000</v>
      </c>
      <c r="H2544">
        <f t="shared" si="78"/>
        <v>58.000022675736965</v>
      </c>
      <c r="I2544">
        <f t="shared" si="79"/>
        <v>60</v>
      </c>
      <c r="J2544" t="s">
        <v>32</v>
      </c>
      <c r="K2544">
        <v>3</v>
      </c>
      <c r="L2544" t="e">
        <f t="array" ref="L2544">VLOOKUP(J2544:$J$3871&amp;K2544:$K$3871,CHOOSE({1,2},#REF!&amp;#REF!,#REF!),2,0)</f>
        <v>#N/A</v>
      </c>
      <c r="M2544">
        <v>-15</v>
      </c>
      <c r="N2544">
        <v>0</v>
      </c>
      <c r="O2544" t="s">
        <v>7</v>
      </c>
      <c r="P2544">
        <v>0</v>
      </c>
      <c r="Q2544">
        <v>0</v>
      </c>
      <c r="R2544">
        <v>1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1</v>
      </c>
      <c r="Y2544">
        <v>0</v>
      </c>
      <c r="Z2544">
        <v>0</v>
      </c>
      <c r="AA2544" t="s">
        <v>5144</v>
      </c>
      <c r="AB2544" t="s">
        <v>891</v>
      </c>
      <c r="AC2544" t="s">
        <v>5144</v>
      </c>
      <c r="AD2544" t="e">
        <f>VLOOKUP(AB2544,#REF!,2,FALSE)</f>
        <v>#REF!</v>
      </c>
      <c r="AE2544" t="e">
        <f>RIGHT(#REF!,(FIND("Complex",#REF!,1)-8))</f>
        <v>#REF!</v>
      </c>
    </row>
    <row r="2545" spans="1:31" x14ac:dyDescent="0.25">
      <c r="A2545">
        <v>1433</v>
      </c>
      <c r="B2545" t="s">
        <v>45</v>
      </c>
      <c r="C2545">
        <v>28</v>
      </c>
      <c r="D2545">
        <v>133</v>
      </c>
      <c r="E2545">
        <v>1433</v>
      </c>
      <c r="F2545">
        <v>2469601</v>
      </c>
      <c r="G2545">
        <v>2557800</v>
      </c>
      <c r="H2545">
        <f t="shared" si="78"/>
        <v>56.000022675736965</v>
      </c>
      <c r="I2545">
        <f t="shared" si="79"/>
        <v>58</v>
      </c>
      <c r="J2545" t="s">
        <v>32</v>
      </c>
      <c r="K2545">
        <v>3</v>
      </c>
      <c r="L2545" t="e">
        <f t="array" ref="L2545">VLOOKUP(J2545:$J$3871&amp;K2545:$K$3871,CHOOSE({1,2},#REF!&amp;#REF!,#REF!),2,0)</f>
        <v>#N/A</v>
      </c>
      <c r="M2545">
        <v>-15</v>
      </c>
      <c r="N2545">
        <v>0</v>
      </c>
      <c r="O2545" t="s">
        <v>7</v>
      </c>
      <c r="P2545">
        <v>0</v>
      </c>
      <c r="Q2545">
        <v>0</v>
      </c>
      <c r="R2545">
        <v>1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1</v>
      </c>
      <c r="Y2545">
        <v>0</v>
      </c>
      <c r="Z2545">
        <v>0</v>
      </c>
      <c r="AA2545" t="s">
        <v>5159</v>
      </c>
      <c r="AB2545" t="s">
        <v>892</v>
      </c>
      <c r="AC2545" t="s">
        <v>5159</v>
      </c>
      <c r="AD2545" t="e">
        <f>VLOOKUP(AB2545,#REF!,2,FALSE)</f>
        <v>#REF!</v>
      </c>
      <c r="AE2545" t="e">
        <f>RIGHT(#REF!,(FIND("Complex",#REF!,1)-9))</f>
        <v>#REF!</v>
      </c>
    </row>
    <row r="2546" spans="1:31" x14ac:dyDescent="0.25">
      <c r="A2546">
        <v>2644</v>
      </c>
      <c r="B2546" t="s">
        <v>45</v>
      </c>
      <c r="C2546">
        <v>28</v>
      </c>
      <c r="D2546">
        <v>262</v>
      </c>
      <c r="E2546">
        <v>2644</v>
      </c>
      <c r="F2546">
        <v>2381401</v>
      </c>
      <c r="G2546">
        <v>2469600</v>
      </c>
      <c r="H2546">
        <f t="shared" si="78"/>
        <v>54.000022675736965</v>
      </c>
      <c r="I2546">
        <f t="shared" si="79"/>
        <v>56</v>
      </c>
      <c r="J2546" t="s">
        <v>32</v>
      </c>
      <c r="K2546">
        <v>3</v>
      </c>
      <c r="L2546" t="e">
        <f t="array" ref="L2546">VLOOKUP(J2546:$J$3871&amp;K2546:$K$3871,CHOOSE({1,2},#REF!&amp;#REF!,#REF!),2,0)</f>
        <v>#N/A</v>
      </c>
      <c r="M2546">
        <v>-15</v>
      </c>
      <c r="N2546">
        <v>0</v>
      </c>
      <c r="O2546" t="s">
        <v>7</v>
      </c>
      <c r="P2546">
        <v>0</v>
      </c>
      <c r="Q2546">
        <v>0</v>
      </c>
      <c r="R2546">
        <v>1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1</v>
      </c>
      <c r="Y2546">
        <v>0</v>
      </c>
      <c r="Z2546">
        <v>0</v>
      </c>
      <c r="AA2546" t="s">
        <v>5171</v>
      </c>
      <c r="AB2546" t="s">
        <v>893</v>
      </c>
      <c r="AC2546" t="s">
        <v>5171</v>
      </c>
      <c r="AD2546" t="e">
        <f>VLOOKUP(AB2546,#REF!,2,FALSE)</f>
        <v>#REF!</v>
      </c>
      <c r="AE2546" t="e">
        <f>RIGHT(#REF!,(FIND("Complex",#REF!,1)-9))</f>
        <v>#REF!</v>
      </c>
    </row>
    <row r="2547" spans="1:31" x14ac:dyDescent="0.25">
      <c r="A2547">
        <v>2583</v>
      </c>
      <c r="B2547" t="s">
        <v>45</v>
      </c>
      <c r="C2547">
        <v>28</v>
      </c>
      <c r="D2547">
        <v>257</v>
      </c>
      <c r="E2547">
        <v>2583</v>
      </c>
      <c r="F2547">
        <v>2293201</v>
      </c>
      <c r="G2547">
        <v>2381400</v>
      </c>
      <c r="H2547">
        <f t="shared" si="78"/>
        <v>52.000022675736965</v>
      </c>
      <c r="I2547">
        <f t="shared" si="79"/>
        <v>54</v>
      </c>
      <c r="J2547" t="s">
        <v>32</v>
      </c>
      <c r="K2547">
        <v>3</v>
      </c>
      <c r="L2547" t="e">
        <f t="array" ref="L2547">VLOOKUP(J2547:$J$3871&amp;K2547:$K$3871,CHOOSE({1,2},#REF!&amp;#REF!,#REF!),2,0)</f>
        <v>#N/A</v>
      </c>
      <c r="M2547">
        <v>-15</v>
      </c>
      <c r="N2547">
        <v>0</v>
      </c>
      <c r="O2547" t="s">
        <v>7</v>
      </c>
      <c r="P2547">
        <v>0</v>
      </c>
      <c r="Q2547">
        <v>0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1</v>
      </c>
      <c r="Y2547">
        <v>0</v>
      </c>
      <c r="Z2547">
        <v>0</v>
      </c>
      <c r="AA2547" t="s">
        <v>5184</v>
      </c>
      <c r="AB2547" t="s">
        <v>894</v>
      </c>
      <c r="AC2547" t="s">
        <v>5184</v>
      </c>
      <c r="AD2547" t="e">
        <f>VLOOKUP(AB2547,#REF!,2,FALSE)</f>
        <v>#REF!</v>
      </c>
      <c r="AE2547" t="e">
        <f>RIGHT(#REF!,(FIND("Complex",#REF!,1)-9))</f>
        <v>#REF!</v>
      </c>
    </row>
    <row r="2548" spans="1:31" x14ac:dyDescent="0.25">
      <c r="A2548">
        <v>3046</v>
      </c>
      <c r="B2548" t="s">
        <v>45</v>
      </c>
      <c r="C2548">
        <v>28</v>
      </c>
      <c r="D2548">
        <v>352</v>
      </c>
      <c r="E2548">
        <v>3046</v>
      </c>
      <c r="F2548">
        <v>2205001</v>
      </c>
      <c r="G2548">
        <v>2293200</v>
      </c>
      <c r="H2548">
        <f t="shared" si="78"/>
        <v>50.000022675736965</v>
      </c>
      <c r="I2548">
        <f t="shared" si="79"/>
        <v>52</v>
      </c>
      <c r="J2548" t="s">
        <v>32</v>
      </c>
      <c r="K2548">
        <v>3</v>
      </c>
      <c r="L2548" t="e">
        <f t="array" ref="L2548">VLOOKUP(J2548:$J$3871&amp;K2548:$K$3871,CHOOSE({1,2},#REF!&amp;#REF!,#REF!),2,0)</f>
        <v>#N/A</v>
      </c>
      <c r="M2548">
        <v>-15</v>
      </c>
      <c r="N2548">
        <v>0</v>
      </c>
      <c r="O2548" t="s">
        <v>7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1</v>
      </c>
      <c r="Y2548">
        <v>0</v>
      </c>
      <c r="Z2548">
        <v>0</v>
      </c>
      <c r="AA2548" t="s">
        <v>5197</v>
      </c>
      <c r="AB2548" t="s">
        <v>895</v>
      </c>
      <c r="AC2548" t="s">
        <v>5197</v>
      </c>
      <c r="AD2548" t="e">
        <f>VLOOKUP(AB2548,#REF!,2,FALSE)</f>
        <v>#REF!</v>
      </c>
      <c r="AE2548" t="e">
        <f>RIGHT(#REF!,(FIND("Complex",#REF!,1)-9))</f>
        <v>#REF!</v>
      </c>
    </row>
    <row r="2549" spans="1:31" x14ac:dyDescent="0.25">
      <c r="A2549">
        <v>294</v>
      </c>
      <c r="B2549" t="s">
        <v>45</v>
      </c>
      <c r="C2549">
        <v>28</v>
      </c>
      <c r="D2549">
        <v>25</v>
      </c>
      <c r="E2549">
        <v>294</v>
      </c>
      <c r="F2549">
        <v>2116801</v>
      </c>
      <c r="G2549">
        <v>2205000</v>
      </c>
      <c r="H2549">
        <f t="shared" si="78"/>
        <v>48.000022675736965</v>
      </c>
      <c r="I2549">
        <f t="shared" si="79"/>
        <v>50</v>
      </c>
      <c r="J2549" t="s">
        <v>32</v>
      </c>
      <c r="K2549">
        <v>3</v>
      </c>
      <c r="L2549" t="e">
        <f t="array" ref="L2549">VLOOKUP(J2549:$J$3871&amp;K2549:$K$3871,CHOOSE({1,2},#REF!&amp;#REF!,#REF!),2,0)</f>
        <v>#N/A</v>
      </c>
      <c r="M2549">
        <v>-15</v>
      </c>
      <c r="N2549">
        <v>0</v>
      </c>
      <c r="O2549" t="s">
        <v>7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1</v>
      </c>
      <c r="Y2549">
        <v>0</v>
      </c>
      <c r="Z2549">
        <v>0</v>
      </c>
      <c r="AA2549" t="s">
        <v>5209</v>
      </c>
      <c r="AB2549" t="s">
        <v>896</v>
      </c>
      <c r="AC2549" t="s">
        <v>5209</v>
      </c>
      <c r="AD2549" t="e">
        <f>VLOOKUP(AB2549,#REF!,2,FALSE)</f>
        <v>#REF!</v>
      </c>
      <c r="AE2549" t="e">
        <f>RIGHT(#REF!,(FIND("Complex",#REF!,1)-8))</f>
        <v>#REF!</v>
      </c>
    </row>
    <row r="2550" spans="1:31" x14ac:dyDescent="0.25">
      <c r="A2550">
        <v>2062</v>
      </c>
      <c r="B2550" t="s">
        <v>45</v>
      </c>
      <c r="C2550">
        <v>28</v>
      </c>
      <c r="D2550">
        <v>198</v>
      </c>
      <c r="E2550">
        <v>2062</v>
      </c>
      <c r="F2550">
        <v>2028601</v>
      </c>
      <c r="G2550">
        <v>2116800</v>
      </c>
      <c r="H2550">
        <f t="shared" si="78"/>
        <v>46.000022675736965</v>
      </c>
      <c r="I2550">
        <f t="shared" si="79"/>
        <v>48</v>
      </c>
      <c r="J2550" t="s">
        <v>32</v>
      </c>
      <c r="K2550">
        <v>3</v>
      </c>
      <c r="L2550" t="e">
        <f t="array" ref="L2550">VLOOKUP(J2550:$J$3871&amp;K2550:$K$3871,CHOOSE({1,2},#REF!&amp;#REF!,#REF!),2,0)</f>
        <v>#N/A</v>
      </c>
      <c r="M2550">
        <v>-15</v>
      </c>
      <c r="N2550">
        <v>0</v>
      </c>
      <c r="O2550" t="s">
        <v>7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1</v>
      </c>
      <c r="Y2550">
        <v>0</v>
      </c>
      <c r="Z2550">
        <v>0</v>
      </c>
      <c r="AA2550" t="s">
        <v>5221</v>
      </c>
      <c r="AB2550" t="s">
        <v>897</v>
      </c>
      <c r="AC2550" t="s">
        <v>5221</v>
      </c>
      <c r="AD2550" t="e">
        <f>VLOOKUP(AB2550,#REF!,2,FALSE)</f>
        <v>#REF!</v>
      </c>
      <c r="AE2550" t="e">
        <f>RIGHT(#REF!,(FIND("Complex",#REF!,1)-9))</f>
        <v>#REF!</v>
      </c>
    </row>
    <row r="2551" spans="1:31" x14ac:dyDescent="0.25">
      <c r="A2551">
        <v>199</v>
      </c>
      <c r="B2551" t="s">
        <v>45</v>
      </c>
      <c r="C2551">
        <v>28</v>
      </c>
      <c r="D2551">
        <v>16</v>
      </c>
      <c r="E2551">
        <v>199</v>
      </c>
      <c r="F2551">
        <v>1940401</v>
      </c>
      <c r="G2551">
        <v>2028600</v>
      </c>
      <c r="H2551">
        <f t="shared" si="78"/>
        <v>44.000022675736965</v>
      </c>
      <c r="I2551">
        <f t="shared" si="79"/>
        <v>46</v>
      </c>
      <c r="J2551" t="s">
        <v>32</v>
      </c>
      <c r="K2551">
        <v>3</v>
      </c>
      <c r="L2551" t="e">
        <f t="array" ref="L2551">VLOOKUP(J2551:$J$3871&amp;K2551:$K$3871,CHOOSE({1,2},#REF!&amp;#REF!,#REF!),2,0)</f>
        <v>#N/A</v>
      </c>
      <c r="M2551">
        <v>-15</v>
      </c>
      <c r="N2551">
        <v>0</v>
      </c>
      <c r="O2551" t="s">
        <v>7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1</v>
      </c>
      <c r="Y2551">
        <v>0</v>
      </c>
      <c r="Z2551">
        <v>0</v>
      </c>
      <c r="AA2551" t="s">
        <v>5238</v>
      </c>
      <c r="AB2551" t="s">
        <v>898</v>
      </c>
      <c r="AC2551" t="s">
        <v>5238</v>
      </c>
      <c r="AD2551" t="e">
        <f>VLOOKUP(AB2551,#REF!,2,FALSE)</f>
        <v>#REF!</v>
      </c>
      <c r="AE2551" t="e">
        <f>RIGHT(#REF!,(FIND("Complex",#REF!,1)-8))</f>
        <v>#REF!</v>
      </c>
    </row>
    <row r="2552" spans="1:31" x14ac:dyDescent="0.25">
      <c r="A2552">
        <v>1650</v>
      </c>
      <c r="B2552" t="s">
        <v>45</v>
      </c>
      <c r="C2552">
        <v>28</v>
      </c>
      <c r="D2552">
        <v>149</v>
      </c>
      <c r="E2552">
        <v>1650</v>
      </c>
      <c r="F2552">
        <v>1852201</v>
      </c>
      <c r="G2552">
        <v>1940400</v>
      </c>
      <c r="H2552">
        <f t="shared" si="78"/>
        <v>42.000022675736965</v>
      </c>
      <c r="I2552">
        <f t="shared" si="79"/>
        <v>44</v>
      </c>
      <c r="J2552" t="s">
        <v>32</v>
      </c>
      <c r="K2552">
        <v>3</v>
      </c>
      <c r="L2552" t="e">
        <f t="array" ref="L2552">VLOOKUP(J2552:$J$3871&amp;K2552:$K$3871,CHOOSE({1,2},#REF!&amp;#REF!,#REF!),2,0)</f>
        <v>#N/A</v>
      </c>
      <c r="M2552">
        <v>-15</v>
      </c>
      <c r="N2552">
        <v>0</v>
      </c>
      <c r="O2552" t="s">
        <v>7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1</v>
      </c>
      <c r="Y2552">
        <v>0</v>
      </c>
      <c r="Z2552">
        <v>0</v>
      </c>
      <c r="AA2552" t="s">
        <v>5249</v>
      </c>
      <c r="AB2552" t="s">
        <v>899</v>
      </c>
      <c r="AC2552" t="s">
        <v>5249</v>
      </c>
      <c r="AD2552" t="e">
        <f>VLOOKUP(AB2552,#REF!,2,FALSE)</f>
        <v>#REF!</v>
      </c>
      <c r="AE2552" t="e">
        <f>RIGHT(#REF!,(FIND("Complex",#REF!,1)-9))</f>
        <v>#REF!</v>
      </c>
    </row>
    <row r="2553" spans="1:31" x14ac:dyDescent="0.25">
      <c r="A2553">
        <v>2791</v>
      </c>
      <c r="B2553" t="s">
        <v>45</v>
      </c>
      <c r="C2553">
        <v>28</v>
      </c>
      <c r="D2553">
        <v>295</v>
      </c>
      <c r="E2553">
        <v>2791</v>
      </c>
      <c r="F2553">
        <v>1764001</v>
      </c>
      <c r="G2553">
        <v>1852200</v>
      </c>
      <c r="H2553">
        <f t="shared" si="78"/>
        <v>40.000022675736965</v>
      </c>
      <c r="I2553">
        <f t="shared" si="79"/>
        <v>42</v>
      </c>
      <c r="J2553" t="s">
        <v>32</v>
      </c>
      <c r="K2553">
        <v>3</v>
      </c>
      <c r="L2553" t="e">
        <f t="array" ref="L2553">VLOOKUP(J2553:$J$3871&amp;K2553:$K$3871,CHOOSE({1,2},#REF!&amp;#REF!,#REF!),2,0)</f>
        <v>#N/A</v>
      </c>
      <c r="M2553">
        <v>-15</v>
      </c>
      <c r="N2553">
        <v>0</v>
      </c>
      <c r="O2553" t="s">
        <v>7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1</v>
      </c>
      <c r="Y2553">
        <v>0</v>
      </c>
      <c r="Z2553">
        <v>0</v>
      </c>
      <c r="AA2553" t="s">
        <v>5263</v>
      </c>
      <c r="AB2553" t="s">
        <v>900</v>
      </c>
      <c r="AC2553" t="s">
        <v>5263</v>
      </c>
      <c r="AD2553" t="e">
        <f>VLOOKUP(AB2553,#REF!,2,FALSE)</f>
        <v>#REF!</v>
      </c>
      <c r="AE2553" t="e">
        <f>RIGHT(#REF!,(FIND("Complex",#REF!,1)-9))</f>
        <v>#REF!</v>
      </c>
    </row>
    <row r="2554" spans="1:31" x14ac:dyDescent="0.25">
      <c r="A2554">
        <v>2688</v>
      </c>
      <c r="B2554" t="s">
        <v>45</v>
      </c>
      <c r="C2554">
        <v>28</v>
      </c>
      <c r="D2554">
        <v>271</v>
      </c>
      <c r="E2554">
        <v>2688</v>
      </c>
      <c r="F2554">
        <v>1675801</v>
      </c>
      <c r="G2554">
        <v>1764000</v>
      </c>
      <c r="H2554">
        <f t="shared" si="78"/>
        <v>38.000022675736965</v>
      </c>
      <c r="I2554">
        <f t="shared" si="79"/>
        <v>40</v>
      </c>
      <c r="J2554" t="s">
        <v>32</v>
      </c>
      <c r="K2554">
        <v>3</v>
      </c>
      <c r="L2554" t="e">
        <f t="array" ref="L2554">VLOOKUP(J2554:$J$3871&amp;K2554:$K$3871,CHOOSE({1,2},#REF!&amp;#REF!,#REF!),2,0)</f>
        <v>#N/A</v>
      </c>
      <c r="M2554">
        <v>-15</v>
      </c>
      <c r="N2554">
        <v>0</v>
      </c>
      <c r="O2554" t="s">
        <v>7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1</v>
      </c>
      <c r="Y2554">
        <v>0</v>
      </c>
      <c r="Z2554">
        <v>0</v>
      </c>
      <c r="AA2554" t="s">
        <v>5296</v>
      </c>
      <c r="AB2554" t="s">
        <v>901</v>
      </c>
      <c r="AC2554" t="s">
        <v>5296</v>
      </c>
      <c r="AD2554" t="e">
        <f>VLOOKUP(AB2554,#REF!,2,FALSE)</f>
        <v>#REF!</v>
      </c>
      <c r="AE2554" t="e">
        <f>RIGHT(#REF!,(FIND("Complex",#REF!,1)-9))</f>
        <v>#REF!</v>
      </c>
    </row>
    <row r="2555" spans="1:31" x14ac:dyDescent="0.25">
      <c r="A2555">
        <v>2941</v>
      </c>
      <c r="B2555" t="s">
        <v>45</v>
      </c>
      <c r="C2555">
        <v>28</v>
      </c>
      <c r="D2555">
        <v>328</v>
      </c>
      <c r="E2555">
        <v>2941</v>
      </c>
      <c r="F2555">
        <v>5556601</v>
      </c>
      <c r="G2555">
        <v>5644800</v>
      </c>
      <c r="H2555">
        <f t="shared" si="78"/>
        <v>126.00002267573696</v>
      </c>
      <c r="I2555">
        <f t="shared" si="79"/>
        <v>128</v>
      </c>
      <c r="J2555" t="s">
        <v>32</v>
      </c>
      <c r="K2555">
        <v>3</v>
      </c>
      <c r="L2555" t="e">
        <f t="array" ref="L2555">VLOOKUP(J2555:$J$3871&amp;K2555:$K$3871,CHOOSE({1,2},#REF!&amp;#REF!,#REF!),2,0)</f>
        <v>#N/A</v>
      </c>
      <c r="M2555">
        <v>-15</v>
      </c>
      <c r="N2555">
        <v>0</v>
      </c>
      <c r="O2555" t="s">
        <v>7</v>
      </c>
      <c r="P2555">
        <v>0</v>
      </c>
      <c r="Q2555">
        <v>0</v>
      </c>
      <c r="R2555">
        <v>1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1</v>
      </c>
      <c r="Y2555">
        <v>0</v>
      </c>
      <c r="Z2555">
        <v>0</v>
      </c>
      <c r="AA2555" t="s">
        <v>5992</v>
      </c>
      <c r="AB2555" t="s">
        <v>295</v>
      </c>
      <c r="AC2555" t="s">
        <v>5992</v>
      </c>
      <c r="AD2555" t="e">
        <f>VLOOKUP(AB2555,#REF!,2,FALSE)</f>
        <v>#REF!</v>
      </c>
      <c r="AE2555" t="e">
        <f>RIGHT(#REF!,(FIND("Complex",#REF!,1)-8))</f>
        <v>#REF!</v>
      </c>
    </row>
    <row r="2556" spans="1:31" x14ac:dyDescent="0.25">
      <c r="A2556">
        <v>2891</v>
      </c>
      <c r="B2556" t="s">
        <v>45</v>
      </c>
      <c r="C2556">
        <v>28</v>
      </c>
      <c r="D2556">
        <v>315</v>
      </c>
      <c r="E2556">
        <v>2891</v>
      </c>
      <c r="F2556">
        <v>5468401</v>
      </c>
      <c r="G2556">
        <v>5556600</v>
      </c>
      <c r="H2556">
        <f t="shared" si="78"/>
        <v>124.00002267573696</v>
      </c>
      <c r="I2556">
        <f t="shared" si="79"/>
        <v>126</v>
      </c>
      <c r="J2556" t="s">
        <v>32</v>
      </c>
      <c r="K2556">
        <v>3</v>
      </c>
      <c r="L2556" t="e">
        <f t="array" ref="L2556">VLOOKUP(J2556:$J$3871&amp;K2556:$K$3871,CHOOSE({1,2},#REF!&amp;#REF!,#REF!),2,0)</f>
        <v>#N/A</v>
      </c>
      <c r="M2556">
        <v>-15</v>
      </c>
      <c r="N2556">
        <v>0</v>
      </c>
      <c r="O2556" t="s">
        <v>7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1</v>
      </c>
      <c r="Y2556">
        <v>0</v>
      </c>
      <c r="Z2556">
        <v>0</v>
      </c>
      <c r="AA2556" t="s">
        <v>6001</v>
      </c>
      <c r="AB2556" t="s">
        <v>902</v>
      </c>
      <c r="AC2556" t="s">
        <v>6001</v>
      </c>
      <c r="AD2556" t="e">
        <f>VLOOKUP(AB2556,#REF!,2,FALSE)</f>
        <v>#REF!</v>
      </c>
      <c r="AE2556" t="e">
        <f>RIGHT(#REF!,(FIND("Complex",#REF!,1)-8))</f>
        <v>#REF!</v>
      </c>
    </row>
    <row r="2557" spans="1:31" x14ac:dyDescent="0.25">
      <c r="A2557">
        <v>2780</v>
      </c>
      <c r="B2557" t="s">
        <v>45</v>
      </c>
      <c r="C2557">
        <v>28</v>
      </c>
      <c r="D2557">
        <v>291</v>
      </c>
      <c r="E2557">
        <v>2780</v>
      </c>
      <c r="F2557">
        <v>5380201</v>
      </c>
      <c r="G2557">
        <v>5468400</v>
      </c>
      <c r="H2557">
        <f t="shared" si="78"/>
        <v>122.00002267573696</v>
      </c>
      <c r="I2557">
        <f t="shared" si="79"/>
        <v>124</v>
      </c>
      <c r="J2557" t="s">
        <v>32</v>
      </c>
      <c r="K2557">
        <v>3</v>
      </c>
      <c r="L2557" t="e">
        <f t="array" ref="L2557">VLOOKUP(J2557:$J$3871&amp;K2557:$K$3871,CHOOSE({1,2},#REF!&amp;#REF!,#REF!),2,0)</f>
        <v>#N/A</v>
      </c>
      <c r="M2557">
        <v>-15</v>
      </c>
      <c r="N2557">
        <v>0</v>
      </c>
      <c r="O2557" t="s">
        <v>7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1</v>
      </c>
      <c r="Y2557">
        <v>0</v>
      </c>
      <c r="Z2557">
        <v>0</v>
      </c>
      <c r="AA2557" t="s">
        <v>6008</v>
      </c>
      <c r="AB2557" t="s">
        <v>903</v>
      </c>
      <c r="AC2557" t="s">
        <v>6008</v>
      </c>
      <c r="AD2557" t="e">
        <f>VLOOKUP(AB2557,#REF!,2,FALSE)</f>
        <v>#REF!</v>
      </c>
      <c r="AE2557" t="e">
        <f>RIGHT(#REF!,(FIND("Complex",#REF!,1)-8))</f>
        <v>#REF!</v>
      </c>
    </row>
    <row r="2558" spans="1:31" x14ac:dyDescent="0.25">
      <c r="A2558">
        <v>2468</v>
      </c>
      <c r="B2558" t="s">
        <v>45</v>
      </c>
      <c r="C2558">
        <v>28</v>
      </c>
      <c r="D2558">
        <v>239</v>
      </c>
      <c r="E2558">
        <v>2468</v>
      </c>
      <c r="F2558">
        <v>5292001</v>
      </c>
      <c r="G2558">
        <v>5380200</v>
      </c>
      <c r="H2558">
        <f t="shared" si="78"/>
        <v>120.00002267573696</v>
      </c>
      <c r="I2558">
        <f t="shared" si="79"/>
        <v>122</v>
      </c>
      <c r="J2558" t="s">
        <v>32</v>
      </c>
      <c r="K2558">
        <v>3</v>
      </c>
      <c r="L2558" t="e">
        <f t="array" ref="L2558">VLOOKUP(J2558:$J$3871&amp;K2558:$K$3871,CHOOSE({1,2},#REF!&amp;#REF!,#REF!),2,0)</f>
        <v>#N/A</v>
      </c>
      <c r="M2558">
        <v>-15</v>
      </c>
      <c r="N2558">
        <v>0</v>
      </c>
      <c r="O2558" t="s">
        <v>7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1</v>
      </c>
      <c r="Y2558">
        <v>0</v>
      </c>
      <c r="Z2558">
        <v>0</v>
      </c>
      <c r="AA2558" t="s">
        <v>6020</v>
      </c>
      <c r="AB2558" t="s">
        <v>904</v>
      </c>
      <c r="AC2558" t="s">
        <v>6020</v>
      </c>
      <c r="AD2558" t="e">
        <f>VLOOKUP(AB2558,#REF!,2,FALSE)</f>
        <v>#REF!</v>
      </c>
      <c r="AE2558" t="e">
        <f>RIGHT(#REF!,(FIND("Complex",#REF!,1)-8))</f>
        <v>#REF!</v>
      </c>
    </row>
    <row r="2559" spans="1:31" x14ac:dyDescent="0.25">
      <c r="A2559">
        <v>2372</v>
      </c>
      <c r="B2559" t="s">
        <v>45</v>
      </c>
      <c r="C2559">
        <v>28</v>
      </c>
      <c r="D2559">
        <v>228</v>
      </c>
      <c r="E2559">
        <v>2372</v>
      </c>
      <c r="F2559">
        <v>5203801</v>
      </c>
      <c r="G2559">
        <v>5292000</v>
      </c>
      <c r="H2559">
        <f t="shared" si="78"/>
        <v>118.00002267573696</v>
      </c>
      <c r="I2559">
        <f t="shared" si="79"/>
        <v>120</v>
      </c>
      <c r="J2559" t="s">
        <v>32</v>
      </c>
      <c r="K2559">
        <v>3</v>
      </c>
      <c r="L2559" t="e">
        <f t="array" ref="L2559">VLOOKUP(J2559:$J$3871&amp;K2559:$K$3871,CHOOSE({1,2},#REF!&amp;#REF!,#REF!),2,0)</f>
        <v>#N/A</v>
      </c>
      <c r="M2559">
        <v>-15</v>
      </c>
      <c r="N2559">
        <v>0</v>
      </c>
      <c r="O2559" t="s">
        <v>7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1</v>
      </c>
      <c r="Y2559">
        <v>0</v>
      </c>
      <c r="Z2559">
        <v>0</v>
      </c>
      <c r="AA2559" t="s">
        <v>6051</v>
      </c>
      <c r="AB2559" t="s">
        <v>905</v>
      </c>
      <c r="AC2559" t="s">
        <v>6051</v>
      </c>
      <c r="AD2559" t="e">
        <f>VLOOKUP(AB2559,#REF!,2,FALSE)</f>
        <v>#REF!</v>
      </c>
      <c r="AE2559" t="e">
        <f>RIGHT(#REF!,(FIND("Complex",#REF!,1)-8))</f>
        <v>#REF!</v>
      </c>
    </row>
    <row r="2560" spans="1:31" x14ac:dyDescent="0.25">
      <c r="A2560">
        <v>446</v>
      </c>
      <c r="B2560" t="s">
        <v>45</v>
      </c>
      <c r="C2560">
        <v>28</v>
      </c>
      <c r="D2560">
        <v>38</v>
      </c>
      <c r="E2560">
        <v>446</v>
      </c>
      <c r="F2560">
        <v>5115601</v>
      </c>
      <c r="G2560">
        <v>5203800</v>
      </c>
      <c r="H2560">
        <f t="shared" si="78"/>
        <v>116.00002267573696</v>
      </c>
      <c r="I2560">
        <f t="shared" si="79"/>
        <v>118</v>
      </c>
      <c r="J2560" t="s">
        <v>32</v>
      </c>
      <c r="K2560">
        <v>3</v>
      </c>
      <c r="L2560" t="e">
        <f t="array" ref="L2560">VLOOKUP(J2560:$J$3871&amp;K2560:$K$3871,CHOOSE({1,2},#REF!&amp;#REF!,#REF!),2,0)</f>
        <v>#N/A</v>
      </c>
      <c r="M2560">
        <v>-15</v>
      </c>
      <c r="N2560">
        <v>0</v>
      </c>
      <c r="O2560" t="s">
        <v>7</v>
      </c>
      <c r="P2560">
        <v>0</v>
      </c>
      <c r="Q2560">
        <v>0</v>
      </c>
      <c r="R2560">
        <v>1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1</v>
      </c>
      <c r="Y2560">
        <v>0</v>
      </c>
      <c r="Z2560">
        <v>0</v>
      </c>
      <c r="AA2560" t="s">
        <v>6056</v>
      </c>
      <c r="AB2560" t="s">
        <v>906</v>
      </c>
      <c r="AC2560" t="s">
        <v>6056</v>
      </c>
      <c r="AD2560" t="e">
        <f>VLOOKUP(AB2560,#REF!,2,FALSE)</f>
        <v>#REF!</v>
      </c>
      <c r="AE2560" t="e">
        <f>RIGHT(#REF!,(FIND("Complex",#REF!,1)-7))</f>
        <v>#REF!</v>
      </c>
    </row>
    <row r="2561" spans="1:31" x14ac:dyDescent="0.25">
      <c r="A2561">
        <v>1186</v>
      </c>
      <c r="B2561" t="s">
        <v>45</v>
      </c>
      <c r="C2561">
        <v>28</v>
      </c>
      <c r="D2561">
        <v>102</v>
      </c>
      <c r="E2561">
        <v>1186</v>
      </c>
      <c r="F2561">
        <v>5027401</v>
      </c>
      <c r="G2561">
        <v>5115600</v>
      </c>
      <c r="H2561">
        <f t="shared" si="78"/>
        <v>114.00002267573696</v>
      </c>
      <c r="I2561">
        <f t="shared" si="79"/>
        <v>116</v>
      </c>
      <c r="J2561" t="s">
        <v>32</v>
      </c>
      <c r="K2561">
        <v>3</v>
      </c>
      <c r="L2561" t="e">
        <f t="array" ref="L2561">VLOOKUP(J2561:$J$3871&amp;K2561:$K$3871,CHOOSE({1,2},#REF!&amp;#REF!,#REF!),2,0)</f>
        <v>#N/A</v>
      </c>
      <c r="M2561">
        <v>-15</v>
      </c>
      <c r="N2561">
        <v>0</v>
      </c>
      <c r="O2561" t="s">
        <v>7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1</v>
      </c>
      <c r="Y2561">
        <v>0</v>
      </c>
      <c r="Z2561">
        <v>0</v>
      </c>
      <c r="AA2561" t="s">
        <v>6060</v>
      </c>
      <c r="AB2561" t="s">
        <v>907</v>
      </c>
      <c r="AC2561" t="s">
        <v>6060</v>
      </c>
      <c r="AD2561" t="e">
        <f>VLOOKUP(AB2561,#REF!,2,FALSE)</f>
        <v>#REF!</v>
      </c>
      <c r="AE2561" t="e">
        <f>RIGHT(#REF!,(FIND("Complex",#REF!,1)-8))</f>
        <v>#REF!</v>
      </c>
    </row>
    <row r="2562" spans="1:31" x14ac:dyDescent="0.25">
      <c r="A2562">
        <v>3122</v>
      </c>
      <c r="B2562" t="s">
        <v>45</v>
      </c>
      <c r="C2562">
        <v>28</v>
      </c>
      <c r="D2562">
        <v>369</v>
      </c>
      <c r="E2562">
        <v>3122</v>
      </c>
      <c r="F2562">
        <v>4939201</v>
      </c>
      <c r="G2562">
        <v>5027400</v>
      </c>
      <c r="H2562">
        <f t="shared" ref="H2562:H2625" si="80">F2562/44100</f>
        <v>112.00002267573696</v>
      </c>
      <c r="I2562">
        <f t="shared" ref="I2562:I2625" si="81">G2562/44100</f>
        <v>114</v>
      </c>
      <c r="J2562" t="s">
        <v>32</v>
      </c>
      <c r="K2562">
        <v>3</v>
      </c>
      <c r="L2562" t="e">
        <f t="array" ref="L2562">VLOOKUP(J2562:$J$3871&amp;K2562:$K$3871,CHOOSE({1,2},#REF!&amp;#REF!,#REF!),2,0)</f>
        <v>#N/A</v>
      </c>
      <c r="M2562">
        <v>-15</v>
      </c>
      <c r="N2562">
        <v>0</v>
      </c>
      <c r="O2562" t="s">
        <v>7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1</v>
      </c>
      <c r="Y2562">
        <v>0</v>
      </c>
      <c r="Z2562">
        <v>0</v>
      </c>
      <c r="AA2562" t="s">
        <v>6070</v>
      </c>
      <c r="AB2562" t="s">
        <v>908</v>
      </c>
      <c r="AC2562" t="s">
        <v>6070</v>
      </c>
      <c r="AD2562" t="e">
        <f>VLOOKUP(AB2562,#REF!,2,FALSE)</f>
        <v>#REF!</v>
      </c>
      <c r="AE2562" t="e">
        <f>RIGHT(#REF!,(FIND("Complex",#REF!,1)-8))</f>
        <v>#REF!</v>
      </c>
    </row>
    <row r="2563" spans="1:31" x14ac:dyDescent="0.25">
      <c r="A2563">
        <v>617</v>
      </c>
      <c r="B2563" t="s">
        <v>45</v>
      </c>
      <c r="C2563">
        <v>28</v>
      </c>
      <c r="D2563">
        <v>49</v>
      </c>
      <c r="E2563">
        <v>617</v>
      </c>
      <c r="F2563">
        <v>4851001</v>
      </c>
      <c r="G2563">
        <v>4939200</v>
      </c>
      <c r="H2563">
        <f t="shared" si="80"/>
        <v>110.00002267573696</v>
      </c>
      <c r="I2563">
        <f t="shared" si="81"/>
        <v>112</v>
      </c>
      <c r="J2563" t="s">
        <v>32</v>
      </c>
      <c r="K2563">
        <v>3</v>
      </c>
      <c r="L2563" t="e">
        <f t="array" ref="L2563">VLOOKUP(J2563:$J$3871&amp;K2563:$K$3871,CHOOSE({1,2},#REF!&amp;#REF!,#REF!),2,0)</f>
        <v>#N/A</v>
      </c>
      <c r="M2563">
        <v>-15</v>
      </c>
      <c r="N2563">
        <v>0</v>
      </c>
      <c r="O2563" t="s">
        <v>7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1</v>
      </c>
      <c r="Y2563">
        <v>0</v>
      </c>
      <c r="Z2563">
        <v>0</v>
      </c>
      <c r="AA2563" t="s">
        <v>6078</v>
      </c>
      <c r="AB2563" t="s">
        <v>909</v>
      </c>
      <c r="AC2563" t="s">
        <v>6078</v>
      </c>
      <c r="AD2563" t="e">
        <f>VLOOKUP(AB2563,#REF!,2,FALSE)</f>
        <v>#REF!</v>
      </c>
      <c r="AE2563" t="e">
        <f>RIGHT(#REF!,(FIND("Complex",#REF!,1)-7))</f>
        <v>#REF!</v>
      </c>
    </row>
    <row r="2564" spans="1:31" x14ac:dyDescent="0.25">
      <c r="A2564">
        <v>2087</v>
      </c>
      <c r="B2564" t="s">
        <v>45</v>
      </c>
      <c r="C2564">
        <v>28</v>
      </c>
      <c r="D2564">
        <v>200</v>
      </c>
      <c r="E2564">
        <v>2087</v>
      </c>
      <c r="F2564">
        <v>4762801</v>
      </c>
      <c r="G2564">
        <v>4851000</v>
      </c>
      <c r="H2564">
        <f t="shared" si="80"/>
        <v>108.00002267573696</v>
      </c>
      <c r="I2564">
        <f t="shared" si="81"/>
        <v>110</v>
      </c>
      <c r="J2564" t="s">
        <v>32</v>
      </c>
      <c r="K2564">
        <v>3</v>
      </c>
      <c r="L2564" t="e">
        <f t="array" ref="L2564">VLOOKUP(J2564:$J$3871&amp;K2564:$K$3871,CHOOSE({1,2},#REF!&amp;#REF!,#REF!),2,0)</f>
        <v>#N/A</v>
      </c>
      <c r="M2564">
        <v>-15</v>
      </c>
      <c r="N2564">
        <v>0</v>
      </c>
      <c r="O2564" t="s">
        <v>7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1</v>
      </c>
      <c r="Y2564">
        <v>0</v>
      </c>
      <c r="Z2564">
        <v>0</v>
      </c>
      <c r="AA2564" t="s">
        <v>6089</v>
      </c>
      <c r="AB2564" t="s">
        <v>910</v>
      </c>
      <c r="AC2564" t="s">
        <v>6089</v>
      </c>
      <c r="AD2564" t="e">
        <f>VLOOKUP(AB2564,#REF!,2,FALSE)</f>
        <v>#REF!</v>
      </c>
      <c r="AE2564" t="e">
        <f>RIGHT(#REF!,(FIND("Complex",#REF!,1)-8))</f>
        <v>#REF!</v>
      </c>
    </row>
    <row r="2565" spans="1:31" x14ac:dyDescent="0.25">
      <c r="A2565">
        <v>3104</v>
      </c>
      <c r="B2565" t="s">
        <v>45</v>
      </c>
      <c r="C2565">
        <v>28</v>
      </c>
      <c r="D2565">
        <v>363</v>
      </c>
      <c r="E2565">
        <v>3104</v>
      </c>
      <c r="F2565">
        <v>4674601</v>
      </c>
      <c r="G2565">
        <v>4762800</v>
      </c>
      <c r="H2565">
        <f t="shared" si="80"/>
        <v>106.00002267573696</v>
      </c>
      <c r="I2565">
        <f t="shared" si="81"/>
        <v>108</v>
      </c>
      <c r="J2565" t="s">
        <v>32</v>
      </c>
      <c r="K2565">
        <v>3</v>
      </c>
      <c r="L2565" t="e">
        <f t="array" ref="L2565">VLOOKUP(J2565:$J$3871&amp;K2565:$K$3871,CHOOSE({1,2},#REF!&amp;#REF!,#REF!),2,0)</f>
        <v>#N/A</v>
      </c>
      <c r="M2565">
        <v>-15</v>
      </c>
      <c r="N2565">
        <v>0</v>
      </c>
      <c r="O2565" t="s">
        <v>7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1</v>
      </c>
      <c r="Y2565">
        <v>0</v>
      </c>
      <c r="Z2565">
        <v>0</v>
      </c>
      <c r="AA2565" t="s">
        <v>6095</v>
      </c>
      <c r="AB2565" t="s">
        <v>911</v>
      </c>
      <c r="AC2565" t="s">
        <v>6095</v>
      </c>
      <c r="AD2565" t="e">
        <f>VLOOKUP(AB2565,#REF!,2,FALSE)</f>
        <v>#REF!</v>
      </c>
      <c r="AE2565" t="e">
        <f>RIGHT(#REF!,(FIND("Complex",#REF!,1)-8))</f>
        <v>#REF!</v>
      </c>
    </row>
    <row r="2566" spans="1:31" x14ac:dyDescent="0.25">
      <c r="A2566">
        <v>2179</v>
      </c>
      <c r="B2566" t="s">
        <v>45</v>
      </c>
      <c r="C2566">
        <v>28</v>
      </c>
      <c r="D2566">
        <v>208</v>
      </c>
      <c r="E2566">
        <v>2179</v>
      </c>
      <c r="F2566">
        <v>4586401</v>
      </c>
      <c r="G2566">
        <v>4674600</v>
      </c>
      <c r="H2566">
        <f t="shared" si="80"/>
        <v>104.00002267573696</v>
      </c>
      <c r="I2566">
        <f t="shared" si="81"/>
        <v>106</v>
      </c>
      <c r="J2566" t="s">
        <v>32</v>
      </c>
      <c r="K2566">
        <v>3</v>
      </c>
      <c r="L2566" t="e">
        <f t="array" ref="L2566">VLOOKUP(J2566:$J$3871&amp;K2566:$K$3871,CHOOSE({1,2},#REF!&amp;#REF!,#REF!),2,0)</f>
        <v>#N/A</v>
      </c>
      <c r="M2566">
        <v>-15</v>
      </c>
      <c r="N2566">
        <v>0</v>
      </c>
      <c r="O2566" t="s">
        <v>7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1</v>
      </c>
      <c r="Y2566">
        <v>0</v>
      </c>
      <c r="Z2566">
        <v>0</v>
      </c>
      <c r="AA2566" t="s">
        <v>6102</v>
      </c>
      <c r="AB2566" t="s">
        <v>912</v>
      </c>
      <c r="AC2566" t="s">
        <v>6102</v>
      </c>
      <c r="AD2566" t="e">
        <f>VLOOKUP(AB2566,#REF!,2,FALSE)</f>
        <v>#REF!</v>
      </c>
      <c r="AE2566" t="e">
        <f>RIGHT(#REF!,(FIND("Complex",#REF!,1)-8))</f>
        <v>#REF!</v>
      </c>
    </row>
    <row r="2567" spans="1:31" x14ac:dyDescent="0.25">
      <c r="A2567">
        <v>1041</v>
      </c>
      <c r="B2567" t="s">
        <v>45</v>
      </c>
      <c r="C2567">
        <v>28</v>
      </c>
      <c r="D2567">
        <v>89</v>
      </c>
      <c r="E2567">
        <v>1041</v>
      </c>
      <c r="F2567">
        <v>4498201</v>
      </c>
      <c r="G2567">
        <v>4586400</v>
      </c>
      <c r="H2567">
        <f t="shared" si="80"/>
        <v>102.00002267573696</v>
      </c>
      <c r="I2567">
        <f t="shared" si="81"/>
        <v>104</v>
      </c>
      <c r="J2567" t="s">
        <v>32</v>
      </c>
      <c r="K2567">
        <v>3</v>
      </c>
      <c r="L2567" t="e">
        <f t="array" ref="L2567">VLOOKUP(J2567:$J$3871&amp;K2567:$K$3871,CHOOSE({1,2},#REF!&amp;#REF!,#REF!),2,0)</f>
        <v>#N/A</v>
      </c>
      <c r="M2567">
        <v>-15</v>
      </c>
      <c r="N2567">
        <v>0</v>
      </c>
      <c r="O2567" t="s">
        <v>7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1</v>
      </c>
      <c r="Y2567">
        <v>0</v>
      </c>
      <c r="Z2567">
        <v>0</v>
      </c>
      <c r="AA2567" t="s">
        <v>6113</v>
      </c>
      <c r="AB2567" t="s">
        <v>913</v>
      </c>
      <c r="AC2567" t="s">
        <v>6113</v>
      </c>
      <c r="AD2567" t="e">
        <f>VLOOKUP(AB2567,#REF!,2,FALSE)</f>
        <v>#REF!</v>
      </c>
      <c r="AE2567" t="e">
        <f>RIGHT(#REF!,(FIND("Complex",#REF!,1)-8))</f>
        <v>#REF!</v>
      </c>
    </row>
    <row r="2568" spans="1:31" x14ac:dyDescent="0.25">
      <c r="A2568">
        <v>1544</v>
      </c>
      <c r="B2568" t="s">
        <v>45</v>
      </c>
      <c r="C2568">
        <v>28</v>
      </c>
      <c r="D2568">
        <v>142</v>
      </c>
      <c r="E2568">
        <v>1544</v>
      </c>
      <c r="F2568">
        <v>4410001</v>
      </c>
      <c r="G2568">
        <v>4498200</v>
      </c>
      <c r="H2568">
        <f t="shared" si="80"/>
        <v>100.00002267573696</v>
      </c>
      <c r="I2568">
        <f t="shared" si="81"/>
        <v>102</v>
      </c>
      <c r="J2568" t="s">
        <v>32</v>
      </c>
      <c r="K2568">
        <v>3</v>
      </c>
      <c r="L2568" t="e">
        <f t="array" ref="L2568">VLOOKUP(J2568:$J$3871&amp;K2568:$K$3871,CHOOSE({1,2},#REF!&amp;#REF!,#REF!),2,0)</f>
        <v>#N/A</v>
      </c>
      <c r="M2568">
        <v>-15</v>
      </c>
      <c r="N2568">
        <v>0</v>
      </c>
      <c r="O2568" t="s">
        <v>7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1</v>
      </c>
      <c r="Y2568">
        <v>0</v>
      </c>
      <c r="Z2568">
        <v>0</v>
      </c>
      <c r="AA2568" t="s">
        <v>6125</v>
      </c>
      <c r="AB2568" t="s">
        <v>914</v>
      </c>
      <c r="AC2568" t="s">
        <v>6125</v>
      </c>
      <c r="AD2568" t="e">
        <f>VLOOKUP(AB2568,#REF!,2,FALSE)</f>
        <v>#REF!</v>
      </c>
      <c r="AE2568" t="e">
        <f>RIGHT(#REF!,(FIND("Complex",#REF!,1)-8))</f>
        <v>#REF!</v>
      </c>
    </row>
    <row r="2569" spans="1:31" x14ac:dyDescent="0.25">
      <c r="A2569">
        <v>3319</v>
      </c>
      <c r="B2569" t="s">
        <v>60</v>
      </c>
      <c r="C2569">
        <v>35</v>
      </c>
      <c r="D2569">
        <v>411</v>
      </c>
      <c r="E2569">
        <v>3319</v>
      </c>
      <c r="F2569">
        <v>7849801</v>
      </c>
      <c r="G2569">
        <v>7938000</v>
      </c>
      <c r="H2569">
        <f t="shared" si="80"/>
        <v>178.00002267573697</v>
      </c>
      <c r="I2569">
        <f t="shared" si="81"/>
        <v>180</v>
      </c>
      <c r="J2569" t="s">
        <v>32</v>
      </c>
      <c r="K2569">
        <v>3</v>
      </c>
      <c r="L2569" t="e">
        <f t="array" ref="L2569">VLOOKUP(J2569:$J$3871&amp;K2569:$K$3871,CHOOSE({1,2},#REF!&amp;#REF!,#REF!),2,0)</f>
        <v>#N/A</v>
      </c>
      <c r="M2569">
        <v>-15</v>
      </c>
      <c r="N2569">
        <v>0</v>
      </c>
      <c r="O2569" t="s">
        <v>7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1</v>
      </c>
      <c r="Y2569">
        <v>0</v>
      </c>
      <c r="Z2569">
        <v>0</v>
      </c>
      <c r="AA2569" t="s">
        <v>5724</v>
      </c>
      <c r="AB2569" t="s">
        <v>1078</v>
      </c>
      <c r="AC2569" t="s">
        <v>5724</v>
      </c>
      <c r="AD2569" t="e">
        <f>VLOOKUP(AB2569,#REF!,2,FALSE)</f>
        <v>#REF!</v>
      </c>
      <c r="AE2569" t="e">
        <f>RIGHT(#REF!,(FIND("Complex",#REF!,1)-8))</f>
        <v>#REF!</v>
      </c>
    </row>
    <row r="2570" spans="1:31" x14ac:dyDescent="0.25">
      <c r="A2570">
        <v>855</v>
      </c>
      <c r="B2570" t="s">
        <v>88</v>
      </c>
      <c r="C2570">
        <v>39</v>
      </c>
      <c r="D2570">
        <v>67</v>
      </c>
      <c r="E2570">
        <v>855</v>
      </c>
      <c r="F2570">
        <v>6350401</v>
      </c>
      <c r="G2570">
        <v>6438600</v>
      </c>
      <c r="H2570">
        <f t="shared" si="80"/>
        <v>144.00002267573697</v>
      </c>
      <c r="I2570">
        <f t="shared" si="81"/>
        <v>146</v>
      </c>
      <c r="J2570" t="s">
        <v>32</v>
      </c>
      <c r="K2570">
        <v>3</v>
      </c>
      <c r="L2570" t="e">
        <f t="array" ref="L2570">VLOOKUP(J2570:$J$3871&amp;K2570:$K$3871,CHOOSE({1,2},#REF!&amp;#REF!,#REF!),2,0)</f>
        <v>#N/A</v>
      </c>
      <c r="M2570">
        <v>-15</v>
      </c>
      <c r="N2570">
        <v>0</v>
      </c>
      <c r="O2570" t="s">
        <v>7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1</v>
      </c>
      <c r="Y2570">
        <v>0</v>
      </c>
      <c r="Z2570">
        <v>0</v>
      </c>
      <c r="AA2570" t="s">
        <v>5906</v>
      </c>
      <c r="AB2570" t="s">
        <v>1175</v>
      </c>
      <c r="AC2570" t="s">
        <v>5906</v>
      </c>
      <c r="AD2570" t="e">
        <f>VLOOKUP(AB2570,#REF!,2,FALSE)</f>
        <v>#REF!</v>
      </c>
      <c r="AE2570" t="e">
        <f>RIGHT(#REF!,(FIND("Complex",#REF!,1)-7))</f>
        <v>#REF!</v>
      </c>
    </row>
    <row r="2571" spans="1:31" x14ac:dyDescent="0.25">
      <c r="A2571">
        <v>3288</v>
      </c>
      <c r="B2571" t="s">
        <v>88</v>
      </c>
      <c r="C2571">
        <v>39</v>
      </c>
      <c r="D2571">
        <v>403</v>
      </c>
      <c r="E2571">
        <v>3288</v>
      </c>
      <c r="F2571">
        <v>6262201</v>
      </c>
      <c r="G2571">
        <v>6350400</v>
      </c>
      <c r="H2571">
        <f t="shared" si="80"/>
        <v>142.00002267573697</v>
      </c>
      <c r="I2571">
        <f t="shared" si="81"/>
        <v>144</v>
      </c>
      <c r="J2571" t="s">
        <v>32</v>
      </c>
      <c r="K2571">
        <v>3</v>
      </c>
      <c r="L2571" t="e">
        <f t="array" ref="L2571">VLOOKUP(J2571:$J$3871&amp;K2571:$K$3871,CHOOSE({1,2},#REF!&amp;#REF!,#REF!),2,0)</f>
        <v>#N/A</v>
      </c>
      <c r="M2571">
        <v>-15</v>
      </c>
      <c r="N2571">
        <v>0</v>
      </c>
      <c r="O2571" t="s">
        <v>7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1</v>
      </c>
      <c r="Y2571">
        <v>0</v>
      </c>
      <c r="Z2571">
        <v>0</v>
      </c>
      <c r="AA2571" t="s">
        <v>5918</v>
      </c>
      <c r="AB2571" t="s">
        <v>1176</v>
      </c>
      <c r="AC2571" t="s">
        <v>5918</v>
      </c>
      <c r="AD2571" t="e">
        <f>VLOOKUP(AB2571,#REF!,2,FALSE)</f>
        <v>#REF!</v>
      </c>
      <c r="AE2571" t="e">
        <f>RIGHT(#REF!,(FIND("Complex",#REF!,1)-8))</f>
        <v>#REF!</v>
      </c>
    </row>
    <row r="2572" spans="1:31" x14ac:dyDescent="0.25">
      <c r="A2572">
        <v>1352</v>
      </c>
      <c r="B2572" t="s">
        <v>40</v>
      </c>
      <c r="C2572">
        <v>40</v>
      </c>
      <c r="D2572">
        <v>121</v>
      </c>
      <c r="E2572">
        <v>1352</v>
      </c>
      <c r="F2572">
        <v>3704401</v>
      </c>
      <c r="G2572">
        <v>3792600</v>
      </c>
      <c r="H2572">
        <f t="shared" si="80"/>
        <v>84.000022675736957</v>
      </c>
      <c r="I2572">
        <f t="shared" si="81"/>
        <v>86</v>
      </c>
      <c r="J2572" t="s">
        <v>32</v>
      </c>
      <c r="K2572">
        <v>3</v>
      </c>
      <c r="L2572" t="e">
        <f t="array" ref="L2572">VLOOKUP(J2572:$J$3871&amp;K2572:$K$3871,CHOOSE({1,2},#REF!&amp;#REF!,#REF!),2,0)</f>
        <v>#N/A</v>
      </c>
      <c r="M2572">
        <v>-15</v>
      </c>
      <c r="N2572">
        <v>0</v>
      </c>
      <c r="O2572" t="s">
        <v>7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1</v>
      </c>
      <c r="Z2572">
        <v>0</v>
      </c>
      <c r="AA2572" t="s">
        <v>4959</v>
      </c>
      <c r="AB2572" t="s">
        <v>1211</v>
      </c>
      <c r="AC2572" t="s">
        <v>4959</v>
      </c>
      <c r="AD2572" t="e">
        <f>VLOOKUP(AB2572,#REF!,2,FALSE)</f>
        <v>#REF!</v>
      </c>
      <c r="AE2572" t="e">
        <f>RIGHT(#REF!,(FIND("Complex",#REF!,1)-9))</f>
        <v>#REF!</v>
      </c>
    </row>
    <row r="2573" spans="1:31" x14ac:dyDescent="0.25">
      <c r="A2573">
        <v>3353</v>
      </c>
      <c r="B2573" t="s">
        <v>40</v>
      </c>
      <c r="C2573">
        <v>40</v>
      </c>
      <c r="D2573">
        <v>417</v>
      </c>
      <c r="E2573">
        <v>3353</v>
      </c>
      <c r="F2573">
        <v>2646001</v>
      </c>
      <c r="G2573">
        <v>2734200</v>
      </c>
      <c r="H2573">
        <f t="shared" si="80"/>
        <v>60.000022675736965</v>
      </c>
      <c r="I2573">
        <f t="shared" si="81"/>
        <v>62</v>
      </c>
      <c r="J2573" t="s">
        <v>32</v>
      </c>
      <c r="K2573">
        <v>3</v>
      </c>
      <c r="L2573" t="e">
        <f t="array" ref="L2573">VLOOKUP(J2573:$J$3871&amp;K2573:$K$3871,CHOOSE({1,2},#REF!&amp;#REF!,#REF!),2,0)</f>
        <v>#N/A</v>
      </c>
      <c r="M2573">
        <v>-15</v>
      </c>
      <c r="N2573">
        <v>0</v>
      </c>
      <c r="O2573" t="s">
        <v>7</v>
      </c>
      <c r="P2573">
        <v>1</v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1</v>
      </c>
      <c r="Z2573">
        <v>0</v>
      </c>
      <c r="AA2573" t="s">
        <v>5113</v>
      </c>
      <c r="AB2573" t="s">
        <v>1212</v>
      </c>
      <c r="AC2573" t="s">
        <v>5113</v>
      </c>
      <c r="AD2573" t="e">
        <f>VLOOKUP(AB2573,#REF!,2,FALSE)</f>
        <v>#REF!</v>
      </c>
      <c r="AE2573" t="e">
        <f>RIGHT(#REF!,(FIND("Complex",#REF!,1)-9))</f>
        <v>#REF!</v>
      </c>
    </row>
    <row r="2574" spans="1:31" x14ac:dyDescent="0.25">
      <c r="A2574">
        <v>1079</v>
      </c>
      <c r="B2574" t="s">
        <v>40</v>
      </c>
      <c r="C2574">
        <v>40</v>
      </c>
      <c r="D2574">
        <v>93</v>
      </c>
      <c r="E2574">
        <v>1079</v>
      </c>
      <c r="F2574">
        <v>2381401</v>
      </c>
      <c r="G2574">
        <v>2469600</v>
      </c>
      <c r="H2574">
        <f t="shared" si="80"/>
        <v>54.000022675736965</v>
      </c>
      <c r="I2574">
        <f t="shared" si="81"/>
        <v>56</v>
      </c>
      <c r="J2574" t="s">
        <v>32</v>
      </c>
      <c r="K2574">
        <v>3</v>
      </c>
      <c r="L2574" t="e">
        <f t="array" ref="L2574">VLOOKUP(J2574:$J$3871&amp;K2574:$K$3871,CHOOSE({1,2},#REF!&amp;#REF!,#REF!),2,0)</f>
        <v>#N/A</v>
      </c>
      <c r="M2574">
        <v>-15</v>
      </c>
      <c r="N2574">
        <v>0</v>
      </c>
      <c r="O2574" t="s">
        <v>7</v>
      </c>
      <c r="P2574">
        <v>1</v>
      </c>
      <c r="Q2574">
        <v>0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1</v>
      </c>
      <c r="Z2574">
        <v>0</v>
      </c>
      <c r="AA2574" t="s">
        <v>5168</v>
      </c>
      <c r="AB2574" t="s">
        <v>1213</v>
      </c>
      <c r="AC2574" t="s">
        <v>5168</v>
      </c>
      <c r="AD2574" t="e">
        <f>VLOOKUP(AB2574,#REF!,2,FALSE)</f>
        <v>#REF!</v>
      </c>
      <c r="AE2574" t="e">
        <f>RIGHT(#REF!,(FIND("Complex",#REF!,1)-9))</f>
        <v>#REF!</v>
      </c>
    </row>
    <row r="2575" spans="1:31" x14ac:dyDescent="0.25">
      <c r="A2575">
        <v>1225</v>
      </c>
      <c r="B2575" t="s">
        <v>40</v>
      </c>
      <c r="C2575">
        <v>40</v>
      </c>
      <c r="D2575">
        <v>107</v>
      </c>
      <c r="E2575">
        <v>1225</v>
      </c>
      <c r="F2575">
        <v>2293201</v>
      </c>
      <c r="G2575">
        <v>2381400</v>
      </c>
      <c r="H2575">
        <f t="shared" si="80"/>
        <v>52.000022675736965</v>
      </c>
      <c r="I2575">
        <f t="shared" si="81"/>
        <v>54</v>
      </c>
      <c r="J2575" t="s">
        <v>32</v>
      </c>
      <c r="K2575">
        <v>3</v>
      </c>
      <c r="L2575" t="e">
        <f t="array" ref="L2575">VLOOKUP(J2575:$J$3871&amp;K2575:$K$3871,CHOOSE({1,2},#REF!&amp;#REF!,#REF!),2,0)</f>
        <v>#N/A</v>
      </c>
      <c r="M2575">
        <v>-15</v>
      </c>
      <c r="N2575">
        <v>0</v>
      </c>
      <c r="O2575" t="s">
        <v>7</v>
      </c>
      <c r="P2575">
        <v>1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1</v>
      </c>
      <c r="Z2575">
        <v>0</v>
      </c>
      <c r="AA2575" t="s">
        <v>5180</v>
      </c>
      <c r="AB2575" t="s">
        <v>1214</v>
      </c>
      <c r="AC2575" t="s">
        <v>5180</v>
      </c>
      <c r="AD2575" t="e">
        <f>VLOOKUP(AB2575,#REF!,2,FALSE)</f>
        <v>#REF!</v>
      </c>
      <c r="AE2575" t="e">
        <f>RIGHT(#REF!,(FIND("Complex",#REF!,1)-9))</f>
        <v>#REF!</v>
      </c>
    </row>
    <row r="2576" spans="1:31" x14ac:dyDescent="0.25">
      <c r="A2576">
        <v>3729</v>
      </c>
      <c r="B2576" t="s">
        <v>40</v>
      </c>
      <c r="C2576">
        <v>40</v>
      </c>
      <c r="D2576">
        <v>473</v>
      </c>
      <c r="E2576">
        <v>3729</v>
      </c>
      <c r="F2576">
        <v>2028601</v>
      </c>
      <c r="G2576">
        <v>2116800</v>
      </c>
      <c r="H2576">
        <f t="shared" si="80"/>
        <v>46.000022675736965</v>
      </c>
      <c r="I2576">
        <f t="shared" si="81"/>
        <v>48</v>
      </c>
      <c r="J2576" t="s">
        <v>32</v>
      </c>
      <c r="K2576">
        <v>3</v>
      </c>
      <c r="L2576" t="e">
        <f t="array" ref="L2576">VLOOKUP(J2576:$J$3871&amp;K2576:$K$3871,CHOOSE({1,2},#REF!&amp;#REF!,#REF!),2,0)</f>
        <v>#N/A</v>
      </c>
      <c r="M2576">
        <v>-15</v>
      </c>
      <c r="N2576">
        <v>0</v>
      </c>
      <c r="O2576" t="s">
        <v>7</v>
      </c>
      <c r="P2576">
        <v>1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1</v>
      </c>
      <c r="Z2576">
        <v>0</v>
      </c>
      <c r="AA2576" t="s">
        <v>5219</v>
      </c>
      <c r="AB2576" t="s">
        <v>1215</v>
      </c>
      <c r="AC2576" t="s">
        <v>5219</v>
      </c>
      <c r="AD2576" t="e">
        <f>VLOOKUP(AB2576,#REF!,2,FALSE)</f>
        <v>#REF!</v>
      </c>
      <c r="AE2576" t="e">
        <f>RIGHT(#REF!,(FIND("Complex",#REF!,1)-9))</f>
        <v>#REF!</v>
      </c>
    </row>
    <row r="2577" spans="1:31" x14ac:dyDescent="0.25">
      <c r="A2577">
        <v>1264</v>
      </c>
      <c r="B2577" t="s">
        <v>40</v>
      </c>
      <c r="C2577">
        <v>40</v>
      </c>
      <c r="D2577">
        <v>113</v>
      </c>
      <c r="E2577">
        <v>1264</v>
      </c>
      <c r="F2577">
        <v>1940401</v>
      </c>
      <c r="G2577">
        <v>2028600</v>
      </c>
      <c r="H2577">
        <f t="shared" si="80"/>
        <v>44.000022675736965</v>
      </c>
      <c r="I2577">
        <f t="shared" si="81"/>
        <v>46</v>
      </c>
      <c r="J2577" t="s">
        <v>32</v>
      </c>
      <c r="K2577">
        <v>3</v>
      </c>
      <c r="L2577" t="e">
        <f t="array" ref="L2577">VLOOKUP(J2577:$J$3871&amp;K2577:$K$3871,CHOOSE({1,2},#REF!&amp;#REF!,#REF!),2,0)</f>
        <v>#N/A</v>
      </c>
      <c r="M2577">
        <v>-15</v>
      </c>
      <c r="N2577">
        <v>0</v>
      </c>
      <c r="O2577" t="s">
        <v>7</v>
      </c>
      <c r="P2577">
        <v>1</v>
      </c>
      <c r="Q2577">
        <v>0</v>
      </c>
      <c r="R2577">
        <v>1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1</v>
      </c>
      <c r="Z2577">
        <v>0</v>
      </c>
      <c r="AA2577" t="s">
        <v>5233</v>
      </c>
      <c r="AB2577" t="s">
        <v>1216</v>
      </c>
      <c r="AC2577" t="s">
        <v>5233</v>
      </c>
      <c r="AD2577" t="e">
        <f>VLOOKUP(AB2577,#REF!,2,FALSE)</f>
        <v>#REF!</v>
      </c>
      <c r="AE2577" t="e">
        <f>RIGHT(#REF!,(FIND("Complex",#REF!,1)-9))</f>
        <v>#REF!</v>
      </c>
    </row>
    <row r="2578" spans="1:31" x14ac:dyDescent="0.25">
      <c r="A2578">
        <v>3501</v>
      </c>
      <c r="B2578" t="s">
        <v>40</v>
      </c>
      <c r="C2578">
        <v>40</v>
      </c>
      <c r="D2578">
        <v>443</v>
      </c>
      <c r="E2578">
        <v>3501</v>
      </c>
      <c r="F2578">
        <v>1675801</v>
      </c>
      <c r="G2578">
        <v>1764000</v>
      </c>
      <c r="H2578">
        <f t="shared" si="80"/>
        <v>38.000022675736965</v>
      </c>
      <c r="I2578">
        <f t="shared" si="81"/>
        <v>40</v>
      </c>
      <c r="J2578" t="s">
        <v>32</v>
      </c>
      <c r="K2578">
        <v>3</v>
      </c>
      <c r="L2578" t="e">
        <f t="array" ref="L2578">VLOOKUP(J2578:$J$3871&amp;K2578:$K$3871,CHOOSE({1,2},#REF!&amp;#REF!,#REF!),2,0)</f>
        <v>#N/A</v>
      </c>
      <c r="M2578">
        <v>-15</v>
      </c>
      <c r="N2578">
        <v>0</v>
      </c>
      <c r="O2578" t="s">
        <v>7</v>
      </c>
      <c r="P2578">
        <v>1</v>
      </c>
      <c r="Q2578">
        <v>0</v>
      </c>
      <c r="R2578">
        <v>1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1</v>
      </c>
      <c r="Z2578">
        <v>0</v>
      </c>
      <c r="AA2578" t="s">
        <v>5293</v>
      </c>
      <c r="AB2578" t="s">
        <v>1217</v>
      </c>
      <c r="AC2578" t="s">
        <v>5293</v>
      </c>
      <c r="AD2578" t="e">
        <f>VLOOKUP(AB2578,#REF!,2,FALSE)</f>
        <v>#REF!</v>
      </c>
      <c r="AE2578" t="e">
        <f>RIGHT(#REF!,(FIND("Complex",#REF!,1)-9))</f>
        <v>#REF!</v>
      </c>
    </row>
    <row r="2579" spans="1:31" x14ac:dyDescent="0.25">
      <c r="A2579">
        <v>3519</v>
      </c>
      <c r="B2579" t="s">
        <v>40</v>
      </c>
      <c r="C2579">
        <v>40</v>
      </c>
      <c r="D2579">
        <v>445</v>
      </c>
      <c r="E2579">
        <v>3519</v>
      </c>
      <c r="F2579">
        <v>1587601</v>
      </c>
      <c r="G2579">
        <v>1675800</v>
      </c>
      <c r="H2579">
        <f t="shared" si="80"/>
        <v>36.000022675736965</v>
      </c>
      <c r="I2579">
        <f t="shared" si="81"/>
        <v>38</v>
      </c>
      <c r="J2579" t="s">
        <v>32</v>
      </c>
      <c r="K2579">
        <v>3</v>
      </c>
      <c r="L2579" t="e">
        <f t="array" ref="L2579">VLOOKUP(J2579:$J$3871&amp;K2579:$K$3871,CHOOSE({1,2},#REF!&amp;#REF!,#REF!),2,0)</f>
        <v>#N/A</v>
      </c>
      <c r="M2579">
        <v>-15</v>
      </c>
      <c r="N2579">
        <v>0</v>
      </c>
      <c r="O2579" t="s">
        <v>7</v>
      </c>
      <c r="P2579">
        <v>0</v>
      </c>
      <c r="Q2579">
        <v>0</v>
      </c>
      <c r="R2579">
        <v>1</v>
      </c>
      <c r="S2579">
        <v>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1</v>
      </c>
      <c r="Z2579">
        <v>0</v>
      </c>
      <c r="AA2579" t="s">
        <v>5315</v>
      </c>
      <c r="AB2579" t="s">
        <v>1218</v>
      </c>
      <c r="AC2579" t="s">
        <v>5315</v>
      </c>
      <c r="AD2579" t="e">
        <f>VLOOKUP(AB2579,#REF!,2,FALSE)</f>
        <v>#REF!</v>
      </c>
      <c r="AE2579" t="e">
        <f>RIGHT(#REF!,(FIND("Complex",#REF!,1)-9))</f>
        <v>#REF!</v>
      </c>
    </row>
    <row r="2580" spans="1:31" x14ac:dyDescent="0.25">
      <c r="A2580">
        <v>3206</v>
      </c>
      <c r="B2580" t="s">
        <v>40</v>
      </c>
      <c r="C2580">
        <v>40</v>
      </c>
      <c r="D2580">
        <v>393</v>
      </c>
      <c r="E2580">
        <v>3206</v>
      </c>
      <c r="F2580">
        <v>1323001</v>
      </c>
      <c r="G2580">
        <v>1411200</v>
      </c>
      <c r="H2580">
        <f t="shared" si="80"/>
        <v>30.000022675736961</v>
      </c>
      <c r="I2580">
        <f t="shared" si="81"/>
        <v>32</v>
      </c>
      <c r="J2580" t="s">
        <v>32</v>
      </c>
      <c r="K2580">
        <v>3</v>
      </c>
      <c r="L2580" t="e">
        <f t="array" ref="L2580">VLOOKUP(J2580:$J$3871&amp;K2580:$K$3871,CHOOSE({1,2},#REF!&amp;#REF!,#REF!),2,0)</f>
        <v>#N/A</v>
      </c>
      <c r="M2580">
        <v>-15</v>
      </c>
      <c r="N2580">
        <v>0</v>
      </c>
      <c r="O2580" t="s">
        <v>7</v>
      </c>
      <c r="P2580">
        <v>1</v>
      </c>
      <c r="Q2580">
        <v>0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1</v>
      </c>
      <c r="Z2580">
        <v>0</v>
      </c>
      <c r="AA2580" t="s">
        <v>5383</v>
      </c>
      <c r="AB2580" t="s">
        <v>1219</v>
      </c>
      <c r="AC2580" t="s">
        <v>5383</v>
      </c>
      <c r="AD2580" t="e">
        <f>VLOOKUP(AB2580,#REF!,2,FALSE)</f>
        <v>#REF!</v>
      </c>
      <c r="AE2580" t="e">
        <f>RIGHT(#REF!,(FIND("Complex",#REF!,1)-9))</f>
        <v>#REF!</v>
      </c>
    </row>
    <row r="2581" spans="1:31" x14ac:dyDescent="0.25">
      <c r="A2581">
        <v>849</v>
      </c>
      <c r="B2581" t="s">
        <v>40</v>
      </c>
      <c r="C2581">
        <v>40</v>
      </c>
      <c r="D2581">
        <v>64</v>
      </c>
      <c r="E2581">
        <v>849</v>
      </c>
      <c r="F2581">
        <v>1146601</v>
      </c>
      <c r="G2581">
        <v>1234800</v>
      </c>
      <c r="H2581">
        <f t="shared" si="80"/>
        <v>26.000022675736961</v>
      </c>
      <c r="I2581">
        <f t="shared" si="81"/>
        <v>28</v>
      </c>
      <c r="J2581" t="s">
        <v>32</v>
      </c>
      <c r="K2581">
        <v>3</v>
      </c>
      <c r="L2581" t="e">
        <f t="array" ref="L2581">VLOOKUP(J2581:$J$3871&amp;K2581:$K$3871,CHOOSE({1,2},#REF!&amp;#REF!,#REF!),2,0)</f>
        <v>#N/A</v>
      </c>
      <c r="M2581">
        <v>-15</v>
      </c>
      <c r="N2581">
        <v>0</v>
      </c>
      <c r="O2581" t="s">
        <v>7</v>
      </c>
      <c r="P2581">
        <v>1</v>
      </c>
      <c r="Q2581">
        <v>0</v>
      </c>
      <c r="R2581">
        <v>1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 t="s">
        <v>5464</v>
      </c>
      <c r="AB2581" t="s">
        <v>1220</v>
      </c>
      <c r="AC2581" t="s">
        <v>5464</v>
      </c>
      <c r="AD2581" t="e">
        <f>VLOOKUP(AB2581,#REF!,2,FALSE)</f>
        <v>#REF!</v>
      </c>
      <c r="AE2581" t="e">
        <f>RIGHT(#REF!,(FIND("Complex",#REF!,1)-8))</f>
        <v>#REF!</v>
      </c>
    </row>
    <row r="2582" spans="1:31" x14ac:dyDescent="0.25">
      <c r="A2582">
        <v>2456</v>
      </c>
      <c r="B2582" t="s">
        <v>40</v>
      </c>
      <c r="C2582">
        <v>40</v>
      </c>
      <c r="D2582">
        <v>236</v>
      </c>
      <c r="E2582">
        <v>2456</v>
      </c>
      <c r="F2582">
        <v>882001</v>
      </c>
      <c r="G2582">
        <v>970200</v>
      </c>
      <c r="H2582">
        <f t="shared" si="80"/>
        <v>20.000022675736961</v>
      </c>
      <c r="I2582">
        <f t="shared" si="81"/>
        <v>22</v>
      </c>
      <c r="J2582" t="s">
        <v>32</v>
      </c>
      <c r="K2582">
        <v>3</v>
      </c>
      <c r="L2582" t="e">
        <f t="array" ref="L2582">VLOOKUP(J2582:$J$3871&amp;K2582:$K$3871,CHOOSE({1,2},#REF!&amp;#REF!,#REF!),2,0)</f>
        <v>#N/A</v>
      </c>
      <c r="M2582">
        <v>-15</v>
      </c>
      <c r="N2582">
        <v>0</v>
      </c>
      <c r="O2582" t="s">
        <v>7</v>
      </c>
      <c r="P2582">
        <v>1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1</v>
      </c>
      <c r="Z2582">
        <v>0</v>
      </c>
      <c r="AA2582" t="s">
        <v>5641</v>
      </c>
      <c r="AB2582" t="s">
        <v>1221</v>
      </c>
      <c r="AC2582" t="s">
        <v>5641</v>
      </c>
      <c r="AD2582" t="e">
        <f>VLOOKUP(AB2582,#REF!,2,FALSE)</f>
        <v>#REF!</v>
      </c>
      <c r="AE2582" t="e">
        <f>RIGHT(#REF!,(FIND("Complex",#REF!,1)-9))</f>
        <v>#REF!</v>
      </c>
    </row>
    <row r="2583" spans="1:31" x14ac:dyDescent="0.25">
      <c r="A2583">
        <v>3368</v>
      </c>
      <c r="B2583" t="s">
        <v>40</v>
      </c>
      <c r="C2583">
        <v>40</v>
      </c>
      <c r="D2583">
        <v>418</v>
      </c>
      <c r="E2583">
        <v>3368</v>
      </c>
      <c r="F2583">
        <v>5468401</v>
      </c>
      <c r="G2583">
        <v>5556600</v>
      </c>
      <c r="H2583">
        <f t="shared" si="80"/>
        <v>124.00002267573696</v>
      </c>
      <c r="I2583">
        <f t="shared" si="81"/>
        <v>126</v>
      </c>
      <c r="J2583" t="s">
        <v>32</v>
      </c>
      <c r="K2583">
        <v>3</v>
      </c>
      <c r="L2583" t="e">
        <f t="array" ref="L2583">VLOOKUP(J2583:$J$3871&amp;K2583:$K$3871,CHOOSE({1,2},#REF!&amp;#REF!,#REF!),2,0)</f>
        <v>#N/A</v>
      </c>
      <c r="M2583">
        <v>-15</v>
      </c>
      <c r="N2583">
        <v>0</v>
      </c>
      <c r="O2583" t="s">
        <v>7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1</v>
      </c>
      <c r="Z2583">
        <v>0</v>
      </c>
      <c r="AA2583" t="s">
        <v>5999</v>
      </c>
      <c r="AB2583" t="s">
        <v>1222</v>
      </c>
      <c r="AC2583" t="s">
        <v>5999</v>
      </c>
      <c r="AD2583" t="e">
        <f>VLOOKUP(AB2583,#REF!,2,FALSE)</f>
        <v>#REF!</v>
      </c>
      <c r="AE2583" t="e">
        <f>RIGHT(#REF!,(FIND("Complex",#REF!,1)-8))</f>
        <v>#REF!</v>
      </c>
    </row>
    <row r="2584" spans="1:31" x14ac:dyDescent="0.25">
      <c r="A2584">
        <v>3703</v>
      </c>
      <c r="B2584" t="s">
        <v>40</v>
      </c>
      <c r="C2584">
        <v>40</v>
      </c>
      <c r="D2584">
        <v>470</v>
      </c>
      <c r="E2584">
        <v>3703</v>
      </c>
      <c r="F2584">
        <v>5027401</v>
      </c>
      <c r="G2584">
        <v>5115600</v>
      </c>
      <c r="H2584">
        <f t="shared" si="80"/>
        <v>114.00002267573696</v>
      </c>
      <c r="I2584">
        <f t="shared" si="81"/>
        <v>116</v>
      </c>
      <c r="J2584" t="s">
        <v>32</v>
      </c>
      <c r="K2584">
        <v>3</v>
      </c>
      <c r="L2584" t="e">
        <f t="array" ref="L2584">VLOOKUP(J2584:$J$3871&amp;K2584:$K$3871,CHOOSE({1,2},#REF!&amp;#REF!,#REF!),2,0)</f>
        <v>#N/A</v>
      </c>
      <c r="M2584">
        <v>-15</v>
      </c>
      <c r="N2584">
        <v>0</v>
      </c>
      <c r="O2584" t="s">
        <v>7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1</v>
      </c>
      <c r="Y2584">
        <v>1</v>
      </c>
      <c r="Z2584">
        <v>0</v>
      </c>
      <c r="AA2584" t="s">
        <v>6058</v>
      </c>
      <c r="AB2584" t="s">
        <v>229</v>
      </c>
      <c r="AC2584" t="s">
        <v>6058</v>
      </c>
      <c r="AD2584" t="e">
        <f>VLOOKUP(AB2584,#REF!,2,FALSE)</f>
        <v>#REF!</v>
      </c>
      <c r="AE2584" t="e">
        <f>RIGHT(#REF!,(FIND("Complex",#REF!,1)-8))</f>
        <v>#REF!</v>
      </c>
    </row>
    <row r="2585" spans="1:31" x14ac:dyDescent="0.25">
      <c r="A2585">
        <v>689</v>
      </c>
      <c r="B2585" t="s">
        <v>47</v>
      </c>
      <c r="C2585">
        <v>42</v>
      </c>
      <c r="D2585">
        <v>54</v>
      </c>
      <c r="E2585">
        <v>689</v>
      </c>
      <c r="F2585">
        <v>4321801</v>
      </c>
      <c r="G2585">
        <v>4410000</v>
      </c>
      <c r="H2585">
        <f t="shared" si="80"/>
        <v>98.000022675736957</v>
      </c>
      <c r="I2585">
        <f t="shared" si="81"/>
        <v>100</v>
      </c>
      <c r="J2585" t="s">
        <v>32</v>
      </c>
      <c r="K2585">
        <v>3</v>
      </c>
      <c r="L2585" t="e">
        <f t="array" ref="L2585">VLOOKUP(J2585:$J$3871&amp;K2585:$K$3871,CHOOSE({1,2},#REF!&amp;#REF!,#REF!),2,0)</f>
        <v>#N/A</v>
      </c>
      <c r="M2585">
        <v>-15</v>
      </c>
      <c r="N2585">
        <v>0</v>
      </c>
      <c r="O2585" t="s">
        <v>7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1</v>
      </c>
      <c r="V2585">
        <v>1</v>
      </c>
      <c r="W2585">
        <v>0</v>
      </c>
      <c r="X2585">
        <v>0</v>
      </c>
      <c r="Y2585">
        <v>0</v>
      </c>
      <c r="Z2585">
        <v>0</v>
      </c>
      <c r="AA2585" t="s">
        <v>4885</v>
      </c>
      <c r="AB2585" t="s">
        <v>1227</v>
      </c>
      <c r="AC2585" t="s">
        <v>4885</v>
      </c>
      <c r="AD2585" t="e">
        <f>VLOOKUP(AB2585,#REF!,2,FALSE)</f>
        <v>#REF!</v>
      </c>
      <c r="AE2585" t="e">
        <f>RIGHT(#REF!,(FIND("Complex",#REF!,1)-8))</f>
        <v>#REF!</v>
      </c>
    </row>
    <row r="2586" spans="1:31" x14ac:dyDescent="0.25">
      <c r="A2586">
        <v>85</v>
      </c>
      <c r="B2586" t="s">
        <v>47</v>
      </c>
      <c r="C2586">
        <v>42</v>
      </c>
      <c r="D2586">
        <v>6</v>
      </c>
      <c r="E2586">
        <v>85</v>
      </c>
      <c r="F2586">
        <v>4233601</v>
      </c>
      <c r="G2586">
        <v>4321800</v>
      </c>
      <c r="H2586">
        <f t="shared" si="80"/>
        <v>96.000022675736957</v>
      </c>
      <c r="I2586">
        <f t="shared" si="81"/>
        <v>98</v>
      </c>
      <c r="J2586" t="s">
        <v>32</v>
      </c>
      <c r="K2586">
        <v>3</v>
      </c>
      <c r="L2586" t="e">
        <f t="array" ref="L2586">VLOOKUP(J2586:$J$3871&amp;K2586:$K$3871,CHOOSE({1,2},#REF!&amp;#REF!,#REF!),2,0)</f>
        <v>#N/A</v>
      </c>
      <c r="M2586">
        <v>-15</v>
      </c>
      <c r="N2586">
        <v>0</v>
      </c>
      <c r="O2586" t="s">
        <v>7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1</v>
      </c>
      <c r="V2586">
        <v>1</v>
      </c>
      <c r="W2586">
        <v>0</v>
      </c>
      <c r="X2586">
        <v>0</v>
      </c>
      <c r="Y2586">
        <v>0</v>
      </c>
      <c r="Z2586">
        <v>0</v>
      </c>
      <c r="AA2586" t="s">
        <v>4897</v>
      </c>
      <c r="AB2586" t="s">
        <v>1228</v>
      </c>
      <c r="AC2586" t="s">
        <v>4897</v>
      </c>
      <c r="AD2586" t="e">
        <f>VLOOKUP(AB2586,#REF!,2,FALSE)</f>
        <v>#REF!</v>
      </c>
      <c r="AE2586" t="e">
        <f>RIGHT(#REF!,(FIND("Complex",#REF!,1)-7))</f>
        <v>#REF!</v>
      </c>
    </row>
    <row r="2587" spans="1:31" x14ac:dyDescent="0.25">
      <c r="A2587">
        <v>898</v>
      </c>
      <c r="B2587" t="s">
        <v>47</v>
      </c>
      <c r="C2587">
        <v>42</v>
      </c>
      <c r="D2587">
        <v>71</v>
      </c>
      <c r="E2587">
        <v>898</v>
      </c>
      <c r="F2587">
        <v>4145401</v>
      </c>
      <c r="G2587">
        <v>4233600</v>
      </c>
      <c r="H2587">
        <f t="shared" si="80"/>
        <v>94.000022675736957</v>
      </c>
      <c r="I2587">
        <f t="shared" si="81"/>
        <v>96</v>
      </c>
      <c r="J2587" t="s">
        <v>32</v>
      </c>
      <c r="K2587">
        <v>3</v>
      </c>
      <c r="L2587" t="e">
        <f t="array" ref="L2587">VLOOKUP(J2587:$J$3871&amp;K2587:$K$3871,CHOOSE({1,2},#REF!&amp;#REF!,#REF!),2,0)</f>
        <v>#N/A</v>
      </c>
      <c r="M2587">
        <v>-15</v>
      </c>
      <c r="N2587">
        <v>0</v>
      </c>
      <c r="O2587" t="s">
        <v>7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1</v>
      </c>
      <c r="V2587">
        <v>1</v>
      </c>
      <c r="W2587">
        <v>0</v>
      </c>
      <c r="X2587">
        <v>0</v>
      </c>
      <c r="Y2587">
        <v>0</v>
      </c>
      <c r="Z2587">
        <v>0</v>
      </c>
      <c r="AA2587" t="s">
        <v>4904</v>
      </c>
      <c r="AB2587" t="s">
        <v>1229</v>
      </c>
      <c r="AC2587" t="s">
        <v>4904</v>
      </c>
      <c r="AD2587" t="e">
        <f>VLOOKUP(AB2587,#REF!,2,FALSE)</f>
        <v>#REF!</v>
      </c>
      <c r="AE2587" t="e">
        <f>RIGHT(#REF!,(FIND("Complex",#REF!,1)-8))</f>
        <v>#REF!</v>
      </c>
    </row>
    <row r="2588" spans="1:31" x14ac:dyDescent="0.25">
      <c r="A2588">
        <v>1516</v>
      </c>
      <c r="B2588" t="s">
        <v>47</v>
      </c>
      <c r="C2588">
        <v>42</v>
      </c>
      <c r="D2588">
        <v>138</v>
      </c>
      <c r="E2588">
        <v>1516</v>
      </c>
      <c r="F2588">
        <v>8202601</v>
      </c>
      <c r="G2588">
        <v>8290800</v>
      </c>
      <c r="H2588">
        <f t="shared" si="80"/>
        <v>186.00002267573697</v>
      </c>
      <c r="I2588">
        <f t="shared" si="81"/>
        <v>188</v>
      </c>
      <c r="J2588" t="s">
        <v>32</v>
      </c>
      <c r="K2588">
        <v>3</v>
      </c>
      <c r="L2588" t="e">
        <f t="array" ref="L2588">VLOOKUP(J2588:$J$3871&amp;K2588:$K$3871,CHOOSE({1,2},#REF!&amp;#REF!,#REF!),2,0)</f>
        <v>#N/A</v>
      </c>
      <c r="M2588">
        <v>-15</v>
      </c>
      <c r="N2588">
        <v>0</v>
      </c>
      <c r="O2588" t="s">
        <v>7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1</v>
      </c>
      <c r="V2588">
        <v>1</v>
      </c>
      <c r="W2588">
        <v>0</v>
      </c>
      <c r="X2588">
        <v>0</v>
      </c>
      <c r="Y2588">
        <v>0</v>
      </c>
      <c r="Z2588">
        <v>0</v>
      </c>
      <c r="AA2588" t="s">
        <v>5685</v>
      </c>
      <c r="AB2588" t="s">
        <v>1230</v>
      </c>
      <c r="AC2588" t="s">
        <v>5685</v>
      </c>
      <c r="AD2588" t="e">
        <f>VLOOKUP(AB2588,#REF!,2,FALSE)</f>
        <v>#REF!</v>
      </c>
      <c r="AE2588" t="e">
        <f>RIGHT(#REF!,(FIND("Complex",#REF!,1)-8))</f>
        <v>#REF!</v>
      </c>
    </row>
    <row r="2589" spans="1:31" x14ac:dyDescent="0.25">
      <c r="A2589">
        <v>334</v>
      </c>
      <c r="B2589" t="s">
        <v>47</v>
      </c>
      <c r="C2589">
        <v>42</v>
      </c>
      <c r="D2589">
        <v>30</v>
      </c>
      <c r="E2589">
        <v>334</v>
      </c>
      <c r="F2589">
        <v>8114401</v>
      </c>
      <c r="G2589">
        <v>8202600</v>
      </c>
      <c r="H2589">
        <f t="shared" si="80"/>
        <v>184.00002267573697</v>
      </c>
      <c r="I2589">
        <f t="shared" si="81"/>
        <v>186</v>
      </c>
      <c r="J2589" t="s">
        <v>32</v>
      </c>
      <c r="K2589">
        <v>3</v>
      </c>
      <c r="L2589" t="e">
        <f t="array" ref="L2589">VLOOKUP(J2589:$J$3871&amp;K2589:$K$3871,CHOOSE({1,2},#REF!&amp;#REF!,#REF!),2,0)</f>
        <v>#N/A</v>
      </c>
      <c r="M2589">
        <v>-15</v>
      </c>
      <c r="N2589">
        <v>0</v>
      </c>
      <c r="O2589" t="s">
        <v>7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1</v>
      </c>
      <c r="V2589">
        <v>1</v>
      </c>
      <c r="W2589">
        <v>0</v>
      </c>
      <c r="X2589">
        <v>0</v>
      </c>
      <c r="Y2589">
        <v>0</v>
      </c>
      <c r="Z2589">
        <v>0</v>
      </c>
      <c r="AA2589" t="s">
        <v>5688</v>
      </c>
      <c r="AB2589" t="s">
        <v>1231</v>
      </c>
      <c r="AC2589" t="s">
        <v>5688</v>
      </c>
      <c r="AD2589" t="e">
        <f>VLOOKUP(AB2589,#REF!,2,FALSE)</f>
        <v>#REF!</v>
      </c>
      <c r="AE2589" t="e">
        <f>RIGHT(#REF!,(FIND("Complex",#REF!,1)-7))</f>
        <v>#REF!</v>
      </c>
    </row>
    <row r="2590" spans="1:31" x14ac:dyDescent="0.25">
      <c r="A2590">
        <v>1893</v>
      </c>
      <c r="B2590" t="s">
        <v>47</v>
      </c>
      <c r="C2590">
        <v>42</v>
      </c>
      <c r="D2590">
        <v>174</v>
      </c>
      <c r="E2590">
        <v>1893</v>
      </c>
      <c r="F2590">
        <v>8026201</v>
      </c>
      <c r="G2590">
        <v>8114400</v>
      </c>
      <c r="H2590">
        <f t="shared" si="80"/>
        <v>182.00002267573697</v>
      </c>
      <c r="I2590">
        <f t="shared" si="81"/>
        <v>184</v>
      </c>
      <c r="J2590" t="s">
        <v>32</v>
      </c>
      <c r="K2590">
        <v>3</v>
      </c>
      <c r="L2590" t="e">
        <f t="array" ref="L2590">VLOOKUP(J2590:$J$3871&amp;K2590:$K$3871,CHOOSE({1,2},#REF!&amp;#REF!,#REF!),2,0)</f>
        <v>#N/A</v>
      </c>
      <c r="M2590">
        <v>-15</v>
      </c>
      <c r="N2590">
        <v>0</v>
      </c>
      <c r="O2590" t="s">
        <v>7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1</v>
      </c>
      <c r="V2590">
        <v>1</v>
      </c>
      <c r="W2590">
        <v>0</v>
      </c>
      <c r="X2590">
        <v>0</v>
      </c>
      <c r="Y2590">
        <v>0</v>
      </c>
      <c r="Z2590">
        <v>0</v>
      </c>
      <c r="AA2590" t="s">
        <v>5695</v>
      </c>
      <c r="AB2590" t="s">
        <v>1232</v>
      </c>
      <c r="AC2590" t="s">
        <v>5695</v>
      </c>
      <c r="AD2590" t="e">
        <f>VLOOKUP(AB2590,#REF!,2,FALSE)</f>
        <v>#REF!</v>
      </c>
      <c r="AE2590" t="e">
        <f>RIGHT(#REF!,(FIND("Complex",#REF!,1)-8))</f>
        <v>#REF!</v>
      </c>
    </row>
    <row r="2591" spans="1:31" x14ac:dyDescent="0.25">
      <c r="A2591">
        <v>1725</v>
      </c>
      <c r="B2591" t="s">
        <v>47</v>
      </c>
      <c r="C2591">
        <v>42</v>
      </c>
      <c r="D2591">
        <v>157</v>
      </c>
      <c r="E2591">
        <v>1725</v>
      </c>
      <c r="F2591">
        <v>7938001</v>
      </c>
      <c r="G2591">
        <v>8026200</v>
      </c>
      <c r="H2591">
        <f t="shared" si="80"/>
        <v>180.00002267573697</v>
      </c>
      <c r="I2591">
        <f t="shared" si="81"/>
        <v>182</v>
      </c>
      <c r="J2591" t="s">
        <v>32</v>
      </c>
      <c r="K2591">
        <v>3</v>
      </c>
      <c r="L2591" t="e">
        <f t="array" ref="L2591">VLOOKUP(J2591:$J$3871&amp;K2591:$K$3871,CHOOSE({1,2},#REF!&amp;#REF!,#REF!),2,0)</f>
        <v>#N/A</v>
      </c>
      <c r="M2591">
        <v>-15</v>
      </c>
      <c r="N2591">
        <v>0</v>
      </c>
      <c r="O2591" t="s">
        <v>7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1</v>
      </c>
      <c r="V2591">
        <v>1</v>
      </c>
      <c r="W2591">
        <v>0</v>
      </c>
      <c r="X2591">
        <v>0</v>
      </c>
      <c r="Y2591">
        <v>0</v>
      </c>
      <c r="Z2591">
        <v>0</v>
      </c>
      <c r="AA2591" t="s">
        <v>5704</v>
      </c>
      <c r="AB2591" t="s">
        <v>1233</v>
      </c>
      <c r="AC2591" t="s">
        <v>5704</v>
      </c>
      <c r="AD2591" t="e">
        <f>VLOOKUP(AB2591,#REF!,2,FALSE)</f>
        <v>#REF!</v>
      </c>
      <c r="AE2591" t="e">
        <f>RIGHT(#REF!,(FIND("Complex",#REF!,1)-8))</f>
        <v>#REF!</v>
      </c>
    </row>
    <row r="2592" spans="1:31" x14ac:dyDescent="0.25">
      <c r="A2592">
        <v>805</v>
      </c>
      <c r="B2592" t="s">
        <v>47</v>
      </c>
      <c r="C2592">
        <v>42</v>
      </c>
      <c r="D2592">
        <v>61</v>
      </c>
      <c r="E2592">
        <v>805</v>
      </c>
      <c r="F2592">
        <v>7849801</v>
      </c>
      <c r="G2592">
        <v>7938000</v>
      </c>
      <c r="H2592">
        <f t="shared" si="80"/>
        <v>178.00002267573697</v>
      </c>
      <c r="I2592">
        <f t="shared" si="81"/>
        <v>180</v>
      </c>
      <c r="J2592" t="s">
        <v>32</v>
      </c>
      <c r="K2592">
        <v>3</v>
      </c>
      <c r="L2592" t="e">
        <f t="array" ref="L2592">VLOOKUP(J2592:$J$3871&amp;K2592:$K$3871,CHOOSE({1,2},#REF!&amp;#REF!,#REF!),2,0)</f>
        <v>#N/A</v>
      </c>
      <c r="M2592">
        <v>-15</v>
      </c>
      <c r="N2592">
        <v>0</v>
      </c>
      <c r="O2592" t="s">
        <v>7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1</v>
      </c>
      <c r="V2592">
        <v>1</v>
      </c>
      <c r="W2592">
        <v>0</v>
      </c>
      <c r="X2592">
        <v>0</v>
      </c>
      <c r="Y2592">
        <v>0</v>
      </c>
      <c r="Z2592">
        <v>0</v>
      </c>
      <c r="AA2592" t="s">
        <v>5723</v>
      </c>
      <c r="AB2592" t="s">
        <v>1234</v>
      </c>
      <c r="AC2592" t="s">
        <v>5723</v>
      </c>
      <c r="AD2592" t="e">
        <f>VLOOKUP(AB2592,#REF!,2,FALSE)</f>
        <v>#REF!</v>
      </c>
      <c r="AE2592" t="e">
        <f>RIGHT(#REF!,(FIND("Complex",#REF!,1)-7))</f>
        <v>#REF!</v>
      </c>
    </row>
    <row r="2593" spans="1:31" x14ac:dyDescent="0.25">
      <c r="A2593">
        <v>1127</v>
      </c>
      <c r="B2593" t="s">
        <v>47</v>
      </c>
      <c r="C2593">
        <v>42</v>
      </c>
      <c r="D2593">
        <v>97</v>
      </c>
      <c r="E2593">
        <v>1127</v>
      </c>
      <c r="F2593">
        <v>7761601</v>
      </c>
      <c r="G2593">
        <v>7849800</v>
      </c>
      <c r="H2593">
        <f t="shared" si="80"/>
        <v>176.00002267573697</v>
      </c>
      <c r="I2593">
        <f t="shared" si="81"/>
        <v>178</v>
      </c>
      <c r="J2593" t="s">
        <v>32</v>
      </c>
      <c r="K2593">
        <v>3</v>
      </c>
      <c r="L2593" t="e">
        <f t="array" ref="L2593">VLOOKUP(J2593:$J$3871&amp;K2593:$K$3871,CHOOSE({1,2},#REF!&amp;#REF!,#REF!),2,0)</f>
        <v>#N/A</v>
      </c>
      <c r="M2593">
        <v>-15</v>
      </c>
      <c r="N2593">
        <v>0</v>
      </c>
      <c r="O2593" t="s">
        <v>7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1</v>
      </c>
      <c r="V2593">
        <v>1</v>
      </c>
      <c r="W2593">
        <v>0</v>
      </c>
      <c r="X2593">
        <v>0</v>
      </c>
      <c r="Y2593">
        <v>0</v>
      </c>
      <c r="Z2593">
        <v>0</v>
      </c>
      <c r="AA2593" t="s">
        <v>5730</v>
      </c>
      <c r="AB2593" t="s">
        <v>1235</v>
      </c>
      <c r="AC2593" t="s">
        <v>5730</v>
      </c>
      <c r="AD2593" t="e">
        <f>VLOOKUP(AB2593,#REF!,2,FALSE)</f>
        <v>#REF!</v>
      </c>
      <c r="AE2593" t="e">
        <f>RIGHT(#REF!,(FIND("Complex",#REF!,1)-8))</f>
        <v>#REF!</v>
      </c>
    </row>
    <row r="2594" spans="1:31" x14ac:dyDescent="0.25">
      <c r="A2594">
        <v>1229</v>
      </c>
      <c r="B2594" t="s">
        <v>47</v>
      </c>
      <c r="C2594">
        <v>42</v>
      </c>
      <c r="D2594">
        <v>108</v>
      </c>
      <c r="E2594">
        <v>1229</v>
      </c>
      <c r="F2594">
        <v>7673401</v>
      </c>
      <c r="G2594">
        <v>7761600</v>
      </c>
      <c r="H2594">
        <f t="shared" si="80"/>
        <v>174.00002267573697</v>
      </c>
      <c r="I2594">
        <f t="shared" si="81"/>
        <v>176</v>
      </c>
      <c r="J2594" t="s">
        <v>32</v>
      </c>
      <c r="K2594">
        <v>3</v>
      </c>
      <c r="L2594" t="e">
        <f t="array" ref="L2594">VLOOKUP(J2594:$J$3871&amp;K2594:$K$3871,CHOOSE({1,2},#REF!&amp;#REF!,#REF!),2,0)</f>
        <v>#N/A</v>
      </c>
      <c r="M2594">
        <v>-15</v>
      </c>
      <c r="N2594">
        <v>0</v>
      </c>
      <c r="O2594" t="s">
        <v>7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 t="s">
        <v>5739</v>
      </c>
      <c r="AB2594" t="s">
        <v>1236</v>
      </c>
      <c r="AC2594" t="s">
        <v>5739</v>
      </c>
      <c r="AD2594" t="e">
        <f>VLOOKUP(AB2594,#REF!,2,FALSE)</f>
        <v>#REF!</v>
      </c>
      <c r="AE2594" t="e">
        <f>RIGHT(#REF!,(FIND("Complex",#REF!,1)-8))</f>
        <v>#REF!</v>
      </c>
    </row>
    <row r="2595" spans="1:31" x14ac:dyDescent="0.25">
      <c r="A2595">
        <v>301</v>
      </c>
      <c r="B2595" t="s">
        <v>47</v>
      </c>
      <c r="C2595">
        <v>42</v>
      </c>
      <c r="D2595">
        <v>26</v>
      </c>
      <c r="E2595">
        <v>301</v>
      </c>
      <c r="F2595">
        <v>7144201</v>
      </c>
      <c r="G2595">
        <v>7232400</v>
      </c>
      <c r="H2595">
        <f t="shared" si="80"/>
        <v>162.00002267573697</v>
      </c>
      <c r="I2595">
        <f t="shared" si="81"/>
        <v>164</v>
      </c>
      <c r="J2595" t="s">
        <v>32</v>
      </c>
      <c r="K2595">
        <v>3</v>
      </c>
      <c r="L2595" t="e">
        <f t="array" ref="L2595">VLOOKUP(J2595:$J$3871&amp;K2595:$K$3871,CHOOSE({1,2},#REF!&amp;#REF!,#REF!),2,0)</f>
        <v>#N/A</v>
      </c>
      <c r="M2595">
        <v>-15</v>
      </c>
      <c r="N2595">
        <v>0</v>
      </c>
      <c r="O2595" t="s">
        <v>7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0</v>
      </c>
      <c r="V2595">
        <v>1</v>
      </c>
      <c r="W2595">
        <v>0</v>
      </c>
      <c r="X2595">
        <v>1</v>
      </c>
      <c r="Y2595">
        <v>0</v>
      </c>
      <c r="Z2595">
        <v>0</v>
      </c>
      <c r="AA2595" t="s">
        <v>5790</v>
      </c>
      <c r="AB2595" t="s">
        <v>1237</v>
      </c>
      <c r="AC2595" t="s">
        <v>5790</v>
      </c>
      <c r="AD2595" t="e">
        <f>VLOOKUP(AB2595,#REF!,2,FALSE)</f>
        <v>#REF!</v>
      </c>
      <c r="AE2595" t="e">
        <f>RIGHT(#REF!,(FIND("Complex",#REF!,1)-7))</f>
        <v>#REF!</v>
      </c>
    </row>
    <row r="2596" spans="1:31" x14ac:dyDescent="0.25">
      <c r="A2596">
        <v>1358</v>
      </c>
      <c r="B2596" t="s">
        <v>47</v>
      </c>
      <c r="C2596">
        <v>42</v>
      </c>
      <c r="D2596">
        <v>123</v>
      </c>
      <c r="E2596">
        <v>1358</v>
      </c>
      <c r="F2596">
        <v>7056001</v>
      </c>
      <c r="G2596">
        <v>7144200</v>
      </c>
      <c r="H2596">
        <f t="shared" si="80"/>
        <v>160.00002267573697</v>
      </c>
      <c r="I2596">
        <f t="shared" si="81"/>
        <v>162</v>
      </c>
      <c r="J2596" t="s">
        <v>32</v>
      </c>
      <c r="K2596">
        <v>3</v>
      </c>
      <c r="L2596" t="e">
        <f t="array" ref="L2596">VLOOKUP(J2596:$J$3871&amp;K2596:$K$3871,CHOOSE({1,2},#REF!&amp;#REF!,#REF!),2,0)</f>
        <v>#N/A</v>
      </c>
      <c r="M2596">
        <v>-15</v>
      </c>
      <c r="N2596">
        <v>0</v>
      </c>
      <c r="O2596" t="s">
        <v>7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1</v>
      </c>
      <c r="Y2596">
        <v>0</v>
      </c>
      <c r="Z2596">
        <v>0</v>
      </c>
      <c r="AA2596" t="s">
        <v>5799</v>
      </c>
      <c r="AB2596" t="s">
        <v>1238</v>
      </c>
      <c r="AC2596" t="s">
        <v>5799</v>
      </c>
      <c r="AD2596" t="e">
        <f>VLOOKUP(AB2596,#REF!,2,FALSE)</f>
        <v>#REF!</v>
      </c>
      <c r="AE2596" t="e">
        <f>RIGHT(#REF!,(FIND("Complex",#REF!,1)-8))</f>
        <v>#REF!</v>
      </c>
    </row>
    <row r="2597" spans="1:31" x14ac:dyDescent="0.25">
      <c r="A2597">
        <v>1543</v>
      </c>
      <c r="B2597" t="s">
        <v>47</v>
      </c>
      <c r="C2597">
        <v>42</v>
      </c>
      <c r="D2597">
        <v>141</v>
      </c>
      <c r="E2597">
        <v>1543</v>
      </c>
      <c r="F2597">
        <v>6967801</v>
      </c>
      <c r="G2597">
        <v>7056000</v>
      </c>
      <c r="H2597">
        <f t="shared" si="80"/>
        <v>158.00002267573697</v>
      </c>
      <c r="I2597">
        <f t="shared" si="81"/>
        <v>160</v>
      </c>
      <c r="J2597" t="s">
        <v>32</v>
      </c>
      <c r="K2597">
        <v>3</v>
      </c>
      <c r="L2597" t="e">
        <f t="array" ref="L2597">VLOOKUP(J2597:$J$3871&amp;K2597:$K$3871,CHOOSE({1,2},#REF!&amp;#REF!,#REF!),2,0)</f>
        <v>#N/A</v>
      </c>
      <c r="M2597">
        <v>-15</v>
      </c>
      <c r="N2597">
        <v>0</v>
      </c>
      <c r="O2597" t="s">
        <v>7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1</v>
      </c>
      <c r="W2597">
        <v>0</v>
      </c>
      <c r="X2597">
        <v>1</v>
      </c>
      <c r="Y2597">
        <v>0</v>
      </c>
      <c r="Z2597">
        <v>0</v>
      </c>
      <c r="AA2597" t="s">
        <v>5832</v>
      </c>
      <c r="AB2597" t="s">
        <v>1239</v>
      </c>
      <c r="AC2597" t="s">
        <v>5832</v>
      </c>
      <c r="AD2597" t="e">
        <f>VLOOKUP(AB2597,#REF!,2,FALSE)</f>
        <v>#REF!</v>
      </c>
      <c r="AE2597" t="e">
        <f>RIGHT(#REF!,(FIND("Complex",#REF!,1)-8))</f>
        <v>#REF!</v>
      </c>
    </row>
    <row r="2598" spans="1:31" x14ac:dyDescent="0.25">
      <c r="A2598">
        <v>1316</v>
      </c>
      <c r="B2598" t="s">
        <v>47</v>
      </c>
      <c r="C2598">
        <v>42</v>
      </c>
      <c r="D2598">
        <v>119</v>
      </c>
      <c r="E2598">
        <v>1316</v>
      </c>
      <c r="F2598">
        <v>6879601</v>
      </c>
      <c r="G2598">
        <v>6967800</v>
      </c>
      <c r="H2598">
        <f t="shared" si="80"/>
        <v>156.00002267573697</v>
      </c>
      <c r="I2598">
        <f t="shared" si="81"/>
        <v>158</v>
      </c>
      <c r="J2598" t="s">
        <v>32</v>
      </c>
      <c r="K2598">
        <v>3</v>
      </c>
      <c r="L2598" t="e">
        <f t="array" ref="L2598">VLOOKUP(J2598:$J$3871&amp;K2598:$K$3871,CHOOSE({1,2},#REF!&amp;#REF!,#REF!),2,0)</f>
        <v>#N/A</v>
      </c>
      <c r="M2598">
        <v>-15</v>
      </c>
      <c r="N2598">
        <v>0</v>
      </c>
      <c r="O2598" t="s">
        <v>7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1</v>
      </c>
      <c r="W2598">
        <v>0</v>
      </c>
      <c r="X2598">
        <v>1</v>
      </c>
      <c r="Y2598">
        <v>0</v>
      </c>
      <c r="Z2598">
        <v>0</v>
      </c>
      <c r="AA2598" t="s">
        <v>5842</v>
      </c>
      <c r="AB2598" t="s">
        <v>1240</v>
      </c>
      <c r="AC2598" t="s">
        <v>5842</v>
      </c>
      <c r="AD2598" t="e">
        <f>VLOOKUP(AB2598,#REF!,2,FALSE)</f>
        <v>#REF!</v>
      </c>
      <c r="AE2598" t="e">
        <f>RIGHT(#REF!,(FIND("Complex",#REF!,1)-8))</f>
        <v>#REF!</v>
      </c>
    </row>
    <row r="2599" spans="1:31" x14ac:dyDescent="0.25">
      <c r="A2599">
        <v>531</v>
      </c>
      <c r="B2599" t="s">
        <v>47</v>
      </c>
      <c r="C2599">
        <v>42</v>
      </c>
      <c r="D2599">
        <v>45</v>
      </c>
      <c r="E2599">
        <v>531</v>
      </c>
      <c r="F2599">
        <v>6791401</v>
      </c>
      <c r="G2599">
        <v>6879600</v>
      </c>
      <c r="H2599">
        <f t="shared" si="80"/>
        <v>154.00002267573697</v>
      </c>
      <c r="I2599">
        <f t="shared" si="81"/>
        <v>156</v>
      </c>
      <c r="J2599" t="s">
        <v>32</v>
      </c>
      <c r="K2599">
        <v>3</v>
      </c>
      <c r="L2599" t="e">
        <f t="array" ref="L2599">VLOOKUP(J2599:$J$3871&amp;K2599:$K$3871,CHOOSE({1,2},#REF!&amp;#REF!,#REF!),2,0)</f>
        <v>#N/A</v>
      </c>
      <c r="M2599">
        <v>-15</v>
      </c>
      <c r="N2599">
        <v>0</v>
      </c>
      <c r="O2599" t="s">
        <v>7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1</v>
      </c>
      <c r="W2599">
        <v>0</v>
      </c>
      <c r="X2599">
        <v>1</v>
      </c>
      <c r="Y2599">
        <v>0</v>
      </c>
      <c r="Z2599">
        <v>0</v>
      </c>
      <c r="AA2599" t="s">
        <v>5858</v>
      </c>
      <c r="AB2599" t="s">
        <v>1241</v>
      </c>
      <c r="AC2599" t="s">
        <v>5858</v>
      </c>
      <c r="AD2599" t="e">
        <f>VLOOKUP(AB2599,#REF!,2,FALSE)</f>
        <v>#REF!</v>
      </c>
      <c r="AE2599" t="e">
        <f>RIGHT(#REF!,(FIND("Complex",#REF!,1)-7))</f>
        <v>#REF!</v>
      </c>
    </row>
    <row r="2600" spans="1:31" x14ac:dyDescent="0.25">
      <c r="A2600">
        <v>163</v>
      </c>
      <c r="B2600" t="s">
        <v>47</v>
      </c>
      <c r="C2600">
        <v>42</v>
      </c>
      <c r="D2600">
        <v>13</v>
      </c>
      <c r="E2600">
        <v>163</v>
      </c>
      <c r="F2600">
        <v>6703201</v>
      </c>
      <c r="G2600">
        <v>6791400</v>
      </c>
      <c r="H2600">
        <f t="shared" si="80"/>
        <v>152.00002267573697</v>
      </c>
      <c r="I2600">
        <f t="shared" si="81"/>
        <v>154</v>
      </c>
      <c r="J2600" t="s">
        <v>32</v>
      </c>
      <c r="K2600">
        <v>3</v>
      </c>
      <c r="L2600" t="e">
        <f t="array" ref="L2600">VLOOKUP(J2600:$J$3871&amp;K2600:$K$3871,CHOOSE({1,2},#REF!&amp;#REF!,#REF!),2,0)</f>
        <v>#N/A</v>
      </c>
      <c r="M2600">
        <v>-15</v>
      </c>
      <c r="N2600">
        <v>0</v>
      </c>
      <c r="O2600" t="s">
        <v>7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1</v>
      </c>
      <c r="W2600">
        <v>0</v>
      </c>
      <c r="X2600">
        <v>1</v>
      </c>
      <c r="Y2600">
        <v>0</v>
      </c>
      <c r="Z2600">
        <v>0</v>
      </c>
      <c r="AA2600" t="s">
        <v>5867</v>
      </c>
      <c r="AB2600" t="s">
        <v>1242</v>
      </c>
      <c r="AC2600" t="s">
        <v>5867</v>
      </c>
      <c r="AD2600" t="e">
        <f>VLOOKUP(AB2600,#REF!,2,FALSE)</f>
        <v>#REF!</v>
      </c>
      <c r="AE2600" t="e">
        <f>RIGHT(#REF!,(FIND("Complex",#REF!,1)-7))</f>
        <v>#REF!</v>
      </c>
    </row>
    <row r="2601" spans="1:31" x14ac:dyDescent="0.25">
      <c r="A2601">
        <v>1016</v>
      </c>
      <c r="B2601" t="s">
        <v>47</v>
      </c>
      <c r="C2601">
        <v>42</v>
      </c>
      <c r="D2601">
        <v>82</v>
      </c>
      <c r="E2601">
        <v>1016</v>
      </c>
      <c r="F2601">
        <v>6615001</v>
      </c>
      <c r="G2601">
        <v>6703200</v>
      </c>
      <c r="H2601">
        <f t="shared" si="80"/>
        <v>150.00002267573697</v>
      </c>
      <c r="I2601">
        <f t="shared" si="81"/>
        <v>152</v>
      </c>
      <c r="J2601" t="s">
        <v>32</v>
      </c>
      <c r="K2601">
        <v>3</v>
      </c>
      <c r="L2601" t="e">
        <f t="array" ref="L2601">VLOOKUP(J2601:$J$3871&amp;K2601:$K$3871,CHOOSE({1,2},#REF!&amp;#REF!,#REF!),2,0)</f>
        <v>#N/A</v>
      </c>
      <c r="M2601">
        <v>-15</v>
      </c>
      <c r="N2601">
        <v>0</v>
      </c>
      <c r="O2601" t="s">
        <v>7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1</v>
      </c>
      <c r="W2601">
        <v>0</v>
      </c>
      <c r="X2601">
        <v>1</v>
      </c>
      <c r="Y2601">
        <v>0</v>
      </c>
      <c r="Z2601">
        <v>0</v>
      </c>
      <c r="AA2601" t="s">
        <v>5878</v>
      </c>
      <c r="AB2601" t="s">
        <v>1243</v>
      </c>
      <c r="AC2601" t="s">
        <v>5878</v>
      </c>
      <c r="AD2601" t="e">
        <f>VLOOKUP(AB2601,#REF!,2,FALSE)</f>
        <v>#REF!</v>
      </c>
      <c r="AE2601" t="e">
        <f>RIGHT(#REF!,(FIND("Complex",#REF!,1)-8))</f>
        <v>#REF!</v>
      </c>
    </row>
    <row r="2602" spans="1:31" x14ac:dyDescent="0.25">
      <c r="A2602">
        <v>2040</v>
      </c>
      <c r="B2602" t="s">
        <v>47</v>
      </c>
      <c r="C2602">
        <v>42</v>
      </c>
      <c r="D2602">
        <v>194</v>
      </c>
      <c r="E2602">
        <v>2040</v>
      </c>
      <c r="F2602">
        <v>6526801</v>
      </c>
      <c r="G2602">
        <v>6615000</v>
      </c>
      <c r="H2602">
        <f t="shared" si="80"/>
        <v>148.00002267573697</v>
      </c>
      <c r="I2602">
        <f t="shared" si="81"/>
        <v>150</v>
      </c>
      <c r="J2602" t="s">
        <v>32</v>
      </c>
      <c r="K2602">
        <v>3</v>
      </c>
      <c r="L2602" t="e">
        <f t="array" ref="L2602">VLOOKUP(J2602:$J$3871&amp;K2602:$K$3871,CHOOSE({1,2},#REF!&amp;#REF!,#REF!),2,0)</f>
        <v>#N/A</v>
      </c>
      <c r="M2602">
        <v>-15</v>
      </c>
      <c r="N2602">
        <v>0</v>
      </c>
      <c r="O2602" t="s">
        <v>7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1</v>
      </c>
      <c r="W2602">
        <v>0</v>
      </c>
      <c r="X2602">
        <v>1</v>
      </c>
      <c r="Y2602">
        <v>0</v>
      </c>
      <c r="Z2602">
        <v>0</v>
      </c>
      <c r="AA2602" t="s">
        <v>5886</v>
      </c>
      <c r="AB2602" t="s">
        <v>1244</v>
      </c>
      <c r="AC2602" t="s">
        <v>5886</v>
      </c>
      <c r="AD2602" t="e">
        <f>VLOOKUP(AB2602,#REF!,2,FALSE)</f>
        <v>#REF!</v>
      </c>
      <c r="AE2602" t="e">
        <f>RIGHT(#REF!,(FIND("Complex",#REF!,1)-8))</f>
        <v>#REF!</v>
      </c>
    </row>
    <row r="2603" spans="1:31" x14ac:dyDescent="0.25">
      <c r="A2603">
        <v>2136</v>
      </c>
      <c r="B2603" t="s">
        <v>47</v>
      </c>
      <c r="C2603">
        <v>42</v>
      </c>
      <c r="D2603">
        <v>203</v>
      </c>
      <c r="E2603">
        <v>2136</v>
      </c>
      <c r="F2603">
        <v>6438601</v>
      </c>
      <c r="G2603">
        <v>6526800</v>
      </c>
      <c r="H2603">
        <f t="shared" si="80"/>
        <v>146.00002267573697</v>
      </c>
      <c r="I2603">
        <f t="shared" si="81"/>
        <v>148</v>
      </c>
      <c r="J2603" t="s">
        <v>32</v>
      </c>
      <c r="K2603">
        <v>3</v>
      </c>
      <c r="L2603" t="e">
        <f t="array" ref="L2603">VLOOKUP(J2603:$J$3871&amp;K2603:$K$3871,CHOOSE({1,2},#REF!&amp;#REF!,#REF!),2,0)</f>
        <v>#N/A</v>
      </c>
      <c r="M2603">
        <v>-15</v>
      </c>
      <c r="N2603">
        <v>0</v>
      </c>
      <c r="O2603" t="s">
        <v>7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1</v>
      </c>
      <c r="W2603">
        <v>0</v>
      </c>
      <c r="X2603">
        <v>1</v>
      </c>
      <c r="Y2603">
        <v>0</v>
      </c>
      <c r="Z2603">
        <v>0</v>
      </c>
      <c r="AA2603" t="s">
        <v>5898</v>
      </c>
      <c r="AB2603" t="s">
        <v>1245</v>
      </c>
      <c r="AC2603" t="s">
        <v>5898</v>
      </c>
      <c r="AD2603" t="e">
        <f>VLOOKUP(AB2603,#REF!,2,FALSE)</f>
        <v>#REF!</v>
      </c>
      <c r="AE2603" t="e">
        <f>RIGHT(#REF!,(FIND("Complex",#REF!,1)-8))</f>
        <v>#REF!</v>
      </c>
    </row>
    <row r="2604" spans="1:31" x14ac:dyDescent="0.25">
      <c r="A2604">
        <v>1813</v>
      </c>
      <c r="B2604" t="s">
        <v>47</v>
      </c>
      <c r="C2604">
        <v>42</v>
      </c>
      <c r="D2604">
        <v>167</v>
      </c>
      <c r="E2604">
        <v>1813</v>
      </c>
      <c r="F2604">
        <v>4586401</v>
      </c>
      <c r="G2604">
        <v>4674600</v>
      </c>
      <c r="H2604">
        <f t="shared" si="80"/>
        <v>104.00002267573696</v>
      </c>
      <c r="I2604">
        <f t="shared" si="81"/>
        <v>106</v>
      </c>
      <c r="J2604" t="s">
        <v>32</v>
      </c>
      <c r="K2604">
        <v>3</v>
      </c>
      <c r="L2604" t="e">
        <f t="array" ref="L2604">VLOOKUP(J2604:$J$3871&amp;K2604:$K$3871,CHOOSE({1,2},#REF!&amp;#REF!,#REF!),2,0)</f>
        <v>#N/A</v>
      </c>
      <c r="M2604">
        <v>-15</v>
      </c>
      <c r="N2604">
        <v>0</v>
      </c>
      <c r="O2604" t="s">
        <v>7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1</v>
      </c>
      <c r="V2604">
        <v>1</v>
      </c>
      <c r="W2604">
        <v>0</v>
      </c>
      <c r="X2604">
        <v>0</v>
      </c>
      <c r="Y2604">
        <v>0</v>
      </c>
      <c r="Z2604">
        <v>0</v>
      </c>
      <c r="AA2604" t="s">
        <v>6099</v>
      </c>
      <c r="AB2604" t="s">
        <v>1246</v>
      </c>
      <c r="AC2604" t="s">
        <v>6099</v>
      </c>
      <c r="AD2604" t="e">
        <f>VLOOKUP(AB2604,#REF!,2,FALSE)</f>
        <v>#REF!</v>
      </c>
      <c r="AE2604" t="e">
        <f>RIGHT(#REF!,(FIND("Complex",#REF!,1)-8))</f>
        <v>#REF!</v>
      </c>
    </row>
    <row r="2605" spans="1:31" x14ac:dyDescent="0.25">
      <c r="A2605">
        <v>1924</v>
      </c>
      <c r="B2605" t="s">
        <v>47</v>
      </c>
      <c r="C2605">
        <v>42</v>
      </c>
      <c r="D2605">
        <v>180</v>
      </c>
      <c r="E2605">
        <v>1924</v>
      </c>
      <c r="F2605">
        <v>4498201</v>
      </c>
      <c r="G2605">
        <v>4586400</v>
      </c>
      <c r="H2605">
        <f t="shared" si="80"/>
        <v>102.00002267573696</v>
      </c>
      <c r="I2605">
        <f t="shared" si="81"/>
        <v>104</v>
      </c>
      <c r="J2605" t="s">
        <v>32</v>
      </c>
      <c r="K2605">
        <v>3</v>
      </c>
      <c r="L2605" t="e">
        <f t="array" ref="L2605">VLOOKUP(J2605:$J$3871&amp;K2605:$K$3871,CHOOSE({1,2},#REF!&amp;#REF!,#REF!),2,0)</f>
        <v>#N/A</v>
      </c>
      <c r="M2605">
        <v>-15</v>
      </c>
      <c r="N2605">
        <v>0</v>
      </c>
      <c r="O2605" t="s">
        <v>7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1</v>
      </c>
      <c r="V2605">
        <v>1</v>
      </c>
      <c r="W2605">
        <v>0</v>
      </c>
      <c r="X2605">
        <v>0</v>
      </c>
      <c r="Y2605">
        <v>0</v>
      </c>
      <c r="Z2605">
        <v>0</v>
      </c>
      <c r="AA2605" t="s">
        <v>6110</v>
      </c>
      <c r="AB2605" t="s">
        <v>230</v>
      </c>
      <c r="AC2605" t="s">
        <v>6110</v>
      </c>
      <c r="AD2605" t="e">
        <f>VLOOKUP(AB2605,#REF!,2,FALSE)</f>
        <v>#REF!</v>
      </c>
      <c r="AE2605" t="e">
        <f>RIGHT(#REF!,(FIND("Complex",#REF!,1)-8))</f>
        <v>#REF!</v>
      </c>
    </row>
    <row r="2606" spans="1:31" x14ac:dyDescent="0.25">
      <c r="A2606">
        <v>612</v>
      </c>
      <c r="B2606" t="s">
        <v>47</v>
      </c>
      <c r="C2606">
        <v>42</v>
      </c>
      <c r="D2606">
        <v>48</v>
      </c>
      <c r="E2606">
        <v>612</v>
      </c>
      <c r="F2606">
        <v>4410001</v>
      </c>
      <c r="G2606">
        <v>4498200</v>
      </c>
      <c r="H2606">
        <f t="shared" si="80"/>
        <v>100.00002267573696</v>
      </c>
      <c r="I2606">
        <f t="shared" si="81"/>
        <v>102</v>
      </c>
      <c r="J2606" t="s">
        <v>32</v>
      </c>
      <c r="K2606">
        <v>3</v>
      </c>
      <c r="L2606" t="e">
        <f t="array" ref="L2606">VLOOKUP(J2606:$J$3871&amp;K2606:$K$3871,CHOOSE({1,2},#REF!&amp;#REF!,#REF!),2,0)</f>
        <v>#N/A</v>
      </c>
      <c r="M2606">
        <v>-15</v>
      </c>
      <c r="N2606">
        <v>0</v>
      </c>
      <c r="O2606" t="s">
        <v>7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1</v>
      </c>
      <c r="V2606">
        <v>1</v>
      </c>
      <c r="W2606">
        <v>0</v>
      </c>
      <c r="X2606">
        <v>0</v>
      </c>
      <c r="Y2606">
        <v>0</v>
      </c>
      <c r="Z2606">
        <v>0</v>
      </c>
      <c r="AA2606" t="s">
        <v>6123</v>
      </c>
      <c r="AB2606" t="s">
        <v>1247</v>
      </c>
      <c r="AC2606" t="s">
        <v>6123</v>
      </c>
      <c r="AD2606" t="e">
        <f>VLOOKUP(AB2606,#REF!,2,FALSE)</f>
        <v>#REF!</v>
      </c>
      <c r="AE2606" t="e">
        <f>RIGHT(#REF!,(FIND("Complex",#REF!,1)-7))</f>
        <v>#REF!</v>
      </c>
    </row>
    <row r="2607" spans="1:31" x14ac:dyDescent="0.25">
      <c r="A2607">
        <v>330</v>
      </c>
      <c r="B2607" t="s">
        <v>34</v>
      </c>
      <c r="C2607">
        <v>53</v>
      </c>
      <c r="D2607">
        <v>29</v>
      </c>
      <c r="E2607">
        <v>330</v>
      </c>
      <c r="F2607">
        <v>2381401</v>
      </c>
      <c r="G2607">
        <v>2469600</v>
      </c>
      <c r="H2607">
        <f t="shared" si="80"/>
        <v>54.000022675736965</v>
      </c>
      <c r="I2607">
        <f t="shared" si="81"/>
        <v>56</v>
      </c>
      <c r="J2607" t="s">
        <v>32</v>
      </c>
      <c r="K2607">
        <v>3</v>
      </c>
      <c r="L2607" t="e">
        <f t="array" ref="L2607">VLOOKUP(J2607:$J$3871&amp;K2607:$K$3871,CHOOSE({1,2},#REF!&amp;#REF!,#REF!),2,0)</f>
        <v>#N/A</v>
      </c>
      <c r="M2607">
        <v>-15</v>
      </c>
      <c r="N2607">
        <v>0</v>
      </c>
      <c r="O2607" t="s">
        <v>7</v>
      </c>
      <c r="P2607">
        <v>1</v>
      </c>
      <c r="Q2607">
        <v>0</v>
      </c>
      <c r="R2607">
        <v>1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 t="s">
        <v>5166</v>
      </c>
      <c r="AB2607" t="s">
        <v>212</v>
      </c>
      <c r="AC2607" t="s">
        <v>5166</v>
      </c>
      <c r="AD2607" t="e">
        <f>VLOOKUP(AB2607,#REF!,2,FALSE)</f>
        <v>#REF!</v>
      </c>
      <c r="AE2607" t="e">
        <f>RIGHT(#REF!,(FIND("Complex",#REF!,1)-8))</f>
        <v>#REF!</v>
      </c>
    </row>
    <row r="2608" spans="1:31" x14ac:dyDescent="0.25">
      <c r="A2608">
        <v>1939</v>
      </c>
      <c r="B2608" t="s">
        <v>34</v>
      </c>
      <c r="C2608">
        <v>53</v>
      </c>
      <c r="D2608">
        <v>183</v>
      </c>
      <c r="E2608">
        <v>1939</v>
      </c>
      <c r="F2608">
        <v>2028601</v>
      </c>
      <c r="G2608">
        <v>2116800</v>
      </c>
      <c r="H2608">
        <f t="shared" si="80"/>
        <v>46.000022675736965</v>
      </c>
      <c r="I2608">
        <f t="shared" si="81"/>
        <v>48</v>
      </c>
      <c r="J2608" t="s">
        <v>32</v>
      </c>
      <c r="K2608">
        <v>3</v>
      </c>
      <c r="L2608" t="e">
        <f t="array" ref="L2608">VLOOKUP(J2608:$J$3871&amp;K2608:$K$3871,CHOOSE({1,2},#REF!&amp;#REF!,#REF!),2,0)</f>
        <v>#N/A</v>
      </c>
      <c r="M2608">
        <v>-15</v>
      </c>
      <c r="N2608">
        <v>0</v>
      </c>
      <c r="O2608" t="s">
        <v>7</v>
      </c>
      <c r="P2608">
        <v>1</v>
      </c>
      <c r="Q2608">
        <v>0</v>
      </c>
      <c r="R2608">
        <v>1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 t="s">
        <v>5218</v>
      </c>
      <c r="AB2608" t="s">
        <v>1374</v>
      </c>
      <c r="AC2608" t="s">
        <v>5218</v>
      </c>
      <c r="AD2608" t="e">
        <f>VLOOKUP(AB2608,#REF!,2,FALSE)</f>
        <v>#REF!</v>
      </c>
      <c r="AE2608" t="e">
        <f>RIGHT(#REF!,(FIND("Complex",#REF!,1)-9))</f>
        <v>#REF!</v>
      </c>
    </row>
    <row r="2609" spans="1:31" x14ac:dyDescent="0.25">
      <c r="A2609">
        <v>170</v>
      </c>
      <c r="B2609" t="s">
        <v>34</v>
      </c>
      <c r="C2609">
        <v>53</v>
      </c>
      <c r="D2609">
        <v>14</v>
      </c>
      <c r="E2609">
        <v>170</v>
      </c>
      <c r="F2609">
        <v>1940401</v>
      </c>
      <c r="G2609">
        <v>2028600</v>
      </c>
      <c r="H2609">
        <f t="shared" si="80"/>
        <v>44.000022675736965</v>
      </c>
      <c r="I2609">
        <f t="shared" si="81"/>
        <v>46</v>
      </c>
      <c r="J2609" t="s">
        <v>32</v>
      </c>
      <c r="K2609">
        <v>3</v>
      </c>
      <c r="L2609" t="e">
        <f t="array" ref="L2609">VLOOKUP(J2609:$J$3871&amp;K2609:$K$3871,CHOOSE({1,2},#REF!&amp;#REF!,#REF!),2,0)</f>
        <v>#N/A</v>
      </c>
      <c r="M2609">
        <v>-15</v>
      </c>
      <c r="N2609">
        <v>0</v>
      </c>
      <c r="O2609" t="s">
        <v>7</v>
      </c>
      <c r="P2609">
        <v>1</v>
      </c>
      <c r="Q2609">
        <v>0</v>
      </c>
      <c r="R2609">
        <v>1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 t="s">
        <v>5231</v>
      </c>
      <c r="AB2609" t="s">
        <v>1375</v>
      </c>
      <c r="AC2609" t="s">
        <v>5231</v>
      </c>
      <c r="AD2609" t="e">
        <f>VLOOKUP(AB2609,#REF!,2,FALSE)</f>
        <v>#REF!</v>
      </c>
      <c r="AE2609" t="e">
        <f>RIGHT(#REF!,(FIND("Complex",#REF!,1)-8))</f>
        <v>#REF!</v>
      </c>
    </row>
    <row r="2610" spans="1:31" x14ac:dyDescent="0.25">
      <c r="A2610">
        <v>1214</v>
      </c>
      <c r="B2610" t="s">
        <v>34</v>
      </c>
      <c r="C2610">
        <v>53</v>
      </c>
      <c r="D2610">
        <v>105</v>
      </c>
      <c r="E2610">
        <v>1214</v>
      </c>
      <c r="F2610">
        <v>1764001</v>
      </c>
      <c r="G2610">
        <v>1852200</v>
      </c>
      <c r="H2610">
        <f t="shared" si="80"/>
        <v>40.000022675736965</v>
      </c>
      <c r="I2610">
        <f t="shared" si="81"/>
        <v>42</v>
      </c>
      <c r="J2610" t="s">
        <v>32</v>
      </c>
      <c r="K2610">
        <v>3</v>
      </c>
      <c r="L2610" t="e">
        <f t="array" ref="L2610">VLOOKUP(J2610:$J$3871&amp;K2610:$K$3871,CHOOSE({1,2},#REF!&amp;#REF!,#REF!),2,0)</f>
        <v>#N/A</v>
      </c>
      <c r="M2610">
        <v>-15</v>
      </c>
      <c r="N2610">
        <v>0</v>
      </c>
      <c r="O2610" t="s">
        <v>7</v>
      </c>
      <c r="P2610">
        <v>1</v>
      </c>
      <c r="Q2610">
        <v>0</v>
      </c>
      <c r="R2610">
        <v>1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 t="s">
        <v>5258</v>
      </c>
      <c r="AB2610" t="s">
        <v>1376</v>
      </c>
      <c r="AC2610" t="s">
        <v>5258</v>
      </c>
      <c r="AD2610" t="e">
        <f>VLOOKUP(AB2610,#REF!,2,FALSE)</f>
        <v>#REF!</v>
      </c>
      <c r="AE2610" t="e">
        <f>RIGHT(#REF!,(FIND("Complex",#REF!,1)-9))</f>
        <v>#REF!</v>
      </c>
    </row>
    <row r="2611" spans="1:31" x14ac:dyDescent="0.25">
      <c r="A2611">
        <v>2215</v>
      </c>
      <c r="B2611" t="s">
        <v>34</v>
      </c>
      <c r="C2611">
        <v>53</v>
      </c>
      <c r="D2611">
        <v>213</v>
      </c>
      <c r="E2611">
        <v>2215</v>
      </c>
      <c r="F2611">
        <v>1675801</v>
      </c>
      <c r="G2611">
        <v>1764000</v>
      </c>
      <c r="H2611">
        <f t="shared" si="80"/>
        <v>38.000022675736965</v>
      </c>
      <c r="I2611">
        <f t="shared" si="81"/>
        <v>40</v>
      </c>
      <c r="J2611" t="s">
        <v>32</v>
      </c>
      <c r="K2611">
        <v>3</v>
      </c>
      <c r="L2611" t="e">
        <f t="array" ref="L2611">VLOOKUP(J2611:$J$3871&amp;K2611:$K$3871,CHOOSE({1,2},#REF!&amp;#REF!,#REF!),2,0)</f>
        <v>#N/A</v>
      </c>
      <c r="M2611">
        <v>-15</v>
      </c>
      <c r="N2611">
        <v>0</v>
      </c>
      <c r="O2611" t="s">
        <v>7</v>
      </c>
      <c r="P2611">
        <v>1</v>
      </c>
      <c r="Q2611">
        <v>0</v>
      </c>
      <c r="R2611">
        <v>1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 t="s">
        <v>5291</v>
      </c>
      <c r="AB2611" t="s">
        <v>1377</v>
      </c>
      <c r="AC2611" t="s">
        <v>5291</v>
      </c>
      <c r="AD2611" t="e">
        <f>VLOOKUP(AB2611,#REF!,2,FALSE)</f>
        <v>#REF!</v>
      </c>
      <c r="AE2611" t="e">
        <f>RIGHT(#REF!,(FIND("Complex",#REF!,1)-9))</f>
        <v>#REF!</v>
      </c>
    </row>
    <row r="2612" spans="1:31" x14ac:dyDescent="0.25">
      <c r="A2612">
        <v>722</v>
      </c>
      <c r="B2612" t="s">
        <v>34</v>
      </c>
      <c r="C2612">
        <v>53</v>
      </c>
      <c r="D2612">
        <v>56</v>
      </c>
      <c r="E2612">
        <v>722</v>
      </c>
      <c r="F2612">
        <v>1587601</v>
      </c>
      <c r="G2612">
        <v>1675800</v>
      </c>
      <c r="H2612">
        <f t="shared" si="80"/>
        <v>36.000022675736965</v>
      </c>
      <c r="I2612">
        <f t="shared" si="81"/>
        <v>38</v>
      </c>
      <c r="J2612" t="s">
        <v>32</v>
      </c>
      <c r="K2612">
        <v>3</v>
      </c>
      <c r="L2612" t="e">
        <f t="array" ref="L2612">VLOOKUP(J2612:$J$3871&amp;K2612:$K$3871,CHOOSE({1,2},#REF!&amp;#REF!,#REF!),2,0)</f>
        <v>#N/A</v>
      </c>
      <c r="M2612">
        <v>-15</v>
      </c>
      <c r="N2612">
        <v>0</v>
      </c>
      <c r="O2612" t="s">
        <v>7</v>
      </c>
      <c r="P2612">
        <v>1</v>
      </c>
      <c r="Q2612">
        <v>0</v>
      </c>
      <c r="R2612">
        <v>1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 t="s">
        <v>5314</v>
      </c>
      <c r="AB2612" t="s">
        <v>1378</v>
      </c>
      <c r="AC2612" t="s">
        <v>5314</v>
      </c>
      <c r="AD2612" t="e">
        <f>VLOOKUP(AB2612,#REF!,2,FALSE)</f>
        <v>#REF!</v>
      </c>
      <c r="AE2612" t="e">
        <f>RIGHT(#REF!,(FIND("Complex",#REF!,1)-8))</f>
        <v>#REF!</v>
      </c>
    </row>
    <row r="2613" spans="1:31" x14ac:dyDescent="0.25">
      <c r="A2613">
        <v>1144</v>
      </c>
      <c r="B2613" t="s">
        <v>34</v>
      </c>
      <c r="C2613">
        <v>53</v>
      </c>
      <c r="D2613">
        <v>98</v>
      </c>
      <c r="E2613">
        <v>1144</v>
      </c>
      <c r="F2613">
        <v>1499401</v>
      </c>
      <c r="G2613">
        <v>1587600</v>
      </c>
      <c r="H2613">
        <f t="shared" si="80"/>
        <v>34.000022675736965</v>
      </c>
      <c r="I2613">
        <f t="shared" si="81"/>
        <v>36</v>
      </c>
      <c r="J2613" t="s">
        <v>32</v>
      </c>
      <c r="K2613">
        <v>3</v>
      </c>
      <c r="L2613" t="e">
        <f t="array" ref="L2613">VLOOKUP(J2613:$J$3871&amp;K2613:$K$3871,CHOOSE({1,2},#REF!&amp;#REF!,#REF!),2,0)</f>
        <v>#N/A</v>
      </c>
      <c r="M2613">
        <v>-15</v>
      </c>
      <c r="N2613">
        <v>0</v>
      </c>
      <c r="O2613" t="s">
        <v>7</v>
      </c>
      <c r="P2613">
        <v>1</v>
      </c>
      <c r="Q2613">
        <v>0</v>
      </c>
      <c r="R2613">
        <v>1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 t="s">
        <v>5336</v>
      </c>
      <c r="AB2613" t="s">
        <v>1379</v>
      </c>
      <c r="AC2613" t="s">
        <v>5336</v>
      </c>
      <c r="AD2613" t="e">
        <f>VLOOKUP(AB2613,#REF!,2,FALSE)</f>
        <v>#REF!</v>
      </c>
      <c r="AE2613" t="e">
        <f>RIGHT(#REF!,(FIND("Complex",#REF!,1)-9))</f>
        <v>#REF!</v>
      </c>
    </row>
    <row r="2614" spans="1:31" x14ac:dyDescent="0.25">
      <c r="A2614">
        <v>618</v>
      </c>
      <c r="B2614" t="s">
        <v>34</v>
      </c>
      <c r="C2614">
        <v>53</v>
      </c>
      <c r="D2614">
        <v>50</v>
      </c>
      <c r="E2614">
        <v>618</v>
      </c>
      <c r="F2614">
        <v>1323001</v>
      </c>
      <c r="G2614">
        <v>1411200</v>
      </c>
      <c r="H2614">
        <f t="shared" si="80"/>
        <v>30.000022675736961</v>
      </c>
      <c r="I2614">
        <f t="shared" si="81"/>
        <v>32</v>
      </c>
      <c r="J2614" t="s">
        <v>32</v>
      </c>
      <c r="K2614">
        <v>3</v>
      </c>
      <c r="L2614" t="e">
        <f t="array" ref="L2614">VLOOKUP(J2614:$J$3871&amp;K2614:$K$3871,CHOOSE({1,2},#REF!&amp;#REF!,#REF!),2,0)</f>
        <v>#N/A</v>
      </c>
      <c r="M2614">
        <v>-15</v>
      </c>
      <c r="N2614">
        <v>0</v>
      </c>
      <c r="O2614" t="s">
        <v>7</v>
      </c>
      <c r="P2614">
        <v>1</v>
      </c>
      <c r="Q2614">
        <v>0</v>
      </c>
      <c r="R2614">
        <v>1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 t="s">
        <v>5381</v>
      </c>
      <c r="AB2614" t="s">
        <v>1380</v>
      </c>
      <c r="AC2614" t="s">
        <v>5381</v>
      </c>
      <c r="AD2614" t="e">
        <f>VLOOKUP(AB2614,#REF!,2,FALSE)</f>
        <v>#REF!</v>
      </c>
      <c r="AE2614" t="e">
        <f>RIGHT(#REF!,(FIND("Complex",#REF!,1)-8))</f>
        <v>#REF!</v>
      </c>
    </row>
    <row r="2615" spans="1:31" x14ac:dyDescent="0.25">
      <c r="A2615">
        <v>2738</v>
      </c>
      <c r="B2615" t="s">
        <v>39</v>
      </c>
      <c r="C2615">
        <v>63</v>
      </c>
      <c r="D2615">
        <v>282</v>
      </c>
      <c r="E2615">
        <v>2738</v>
      </c>
      <c r="F2615">
        <v>4233601</v>
      </c>
      <c r="G2615">
        <v>4321800</v>
      </c>
      <c r="H2615">
        <f t="shared" si="80"/>
        <v>96.000022675736957</v>
      </c>
      <c r="I2615">
        <f t="shared" si="81"/>
        <v>98</v>
      </c>
      <c r="J2615" t="s">
        <v>32</v>
      </c>
      <c r="K2615">
        <v>3</v>
      </c>
      <c r="L2615" t="e">
        <f t="array" ref="L2615">VLOOKUP(J2615:$J$3871&amp;K2615:$K$3871,CHOOSE({1,2},#REF!&amp;#REF!,#REF!),2,0)</f>
        <v>#N/A</v>
      </c>
      <c r="M2615">
        <v>-15</v>
      </c>
      <c r="N2615">
        <v>0</v>
      </c>
      <c r="O2615" t="s">
        <v>7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1</v>
      </c>
      <c r="W2615">
        <v>1</v>
      </c>
      <c r="X2615">
        <v>0</v>
      </c>
      <c r="Y2615">
        <v>0</v>
      </c>
      <c r="Z2615">
        <v>0</v>
      </c>
      <c r="AA2615" t="s">
        <v>4895</v>
      </c>
      <c r="AB2615" t="s">
        <v>1498</v>
      </c>
      <c r="AC2615" t="s">
        <v>4895</v>
      </c>
      <c r="AD2615" t="e">
        <f>VLOOKUP(AB2615,#REF!,2,FALSE)</f>
        <v>#REF!</v>
      </c>
      <c r="AE2615" t="e">
        <f>RIGHT(#REF!,(FIND("Complex",#REF!,1)-9))</f>
        <v>#REF!</v>
      </c>
    </row>
    <row r="2616" spans="1:31" x14ac:dyDescent="0.25">
      <c r="A2616">
        <v>2126</v>
      </c>
      <c r="B2616" t="s">
        <v>39</v>
      </c>
      <c r="C2616">
        <v>63</v>
      </c>
      <c r="D2616">
        <v>202</v>
      </c>
      <c r="E2616">
        <v>2126</v>
      </c>
      <c r="F2616">
        <v>176401</v>
      </c>
      <c r="G2616">
        <v>264600</v>
      </c>
      <c r="H2616">
        <f t="shared" si="80"/>
        <v>4.000022675736961</v>
      </c>
      <c r="I2616">
        <f t="shared" si="81"/>
        <v>6</v>
      </c>
      <c r="J2616" t="s">
        <v>32</v>
      </c>
      <c r="K2616">
        <v>3</v>
      </c>
      <c r="L2616" t="e">
        <f t="array" ref="L2616">VLOOKUP(J2616:$J$3871&amp;K2616:$K$3871,CHOOSE({1,2},#REF!&amp;#REF!,#REF!),2,0)</f>
        <v>#N/A</v>
      </c>
      <c r="M2616">
        <v>-15</v>
      </c>
      <c r="N2616">
        <v>0</v>
      </c>
      <c r="O2616" t="s">
        <v>7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1</v>
      </c>
      <c r="Y2616">
        <v>0</v>
      </c>
      <c r="Z2616">
        <v>0</v>
      </c>
      <c r="AA2616" t="s">
        <v>5276</v>
      </c>
      <c r="AB2616" t="s">
        <v>1499</v>
      </c>
      <c r="AC2616" t="s">
        <v>5276</v>
      </c>
      <c r="AD2616" t="e">
        <f>VLOOKUP(AB2616,#REF!,2,FALSE)</f>
        <v>#REF!</v>
      </c>
      <c r="AE2616" t="e">
        <f>RIGHT(#REF!,(FIND("Complex",#REF!,1)-10))</f>
        <v>#REF!</v>
      </c>
    </row>
    <row r="2617" spans="1:31" x14ac:dyDescent="0.25">
      <c r="A2617">
        <v>3145</v>
      </c>
      <c r="B2617" t="s">
        <v>39</v>
      </c>
      <c r="C2617">
        <v>63</v>
      </c>
      <c r="D2617">
        <v>379</v>
      </c>
      <c r="E2617">
        <v>3145</v>
      </c>
      <c r="F2617">
        <v>1</v>
      </c>
      <c r="G2617">
        <v>88200</v>
      </c>
      <c r="H2617">
        <f t="shared" si="80"/>
        <v>2.2675736961451248E-5</v>
      </c>
      <c r="I2617">
        <f t="shared" si="81"/>
        <v>2</v>
      </c>
      <c r="J2617" t="s">
        <v>32</v>
      </c>
      <c r="K2617">
        <v>3</v>
      </c>
      <c r="L2617" t="e">
        <f t="array" ref="L2617">VLOOKUP(J2617:$J$3871&amp;K2617:$K$3871,CHOOSE({1,2},#REF!&amp;#REF!,#REF!),2,0)</f>
        <v>#N/A</v>
      </c>
      <c r="M2617">
        <v>-15</v>
      </c>
      <c r="N2617">
        <v>0</v>
      </c>
      <c r="O2617" t="s">
        <v>7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1</v>
      </c>
      <c r="Y2617">
        <v>0</v>
      </c>
      <c r="Z2617">
        <v>0</v>
      </c>
      <c r="AA2617" t="s">
        <v>6147</v>
      </c>
      <c r="AB2617" t="s">
        <v>1500</v>
      </c>
      <c r="AC2617" t="s">
        <v>6147</v>
      </c>
      <c r="AD2617" t="e">
        <f>VLOOKUP(AB2617,#REF!,2,FALSE)</f>
        <v>#REF!</v>
      </c>
      <c r="AE2617" t="e">
        <f>RIGHT(#REF!,(FIND("Complex",#REF!,1)-10))</f>
        <v>#REF!</v>
      </c>
    </row>
    <row r="2618" spans="1:31" x14ac:dyDescent="0.25">
      <c r="A2618">
        <v>3016</v>
      </c>
      <c r="B2618" t="s">
        <v>91</v>
      </c>
      <c r="C2618">
        <v>81</v>
      </c>
      <c r="D2618">
        <v>345</v>
      </c>
      <c r="E2618">
        <v>3016</v>
      </c>
      <c r="F2618">
        <v>2116801</v>
      </c>
      <c r="G2618">
        <v>2205000</v>
      </c>
      <c r="H2618">
        <f t="shared" si="80"/>
        <v>48.000022675736965</v>
      </c>
      <c r="I2618">
        <f t="shared" si="81"/>
        <v>50</v>
      </c>
      <c r="J2618" t="s">
        <v>32</v>
      </c>
      <c r="K2618">
        <v>3</v>
      </c>
      <c r="L2618" t="e">
        <f t="array" ref="L2618">VLOOKUP(J2618:$J$3871&amp;K2618:$K$3871,CHOOSE({1,2},#REF!&amp;#REF!,#REF!),2,0)</f>
        <v>#N/A</v>
      </c>
      <c r="M2618">
        <v>-15</v>
      </c>
      <c r="N2618">
        <v>0</v>
      </c>
      <c r="O2618" t="s">
        <v>7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1</v>
      </c>
      <c r="Y2618">
        <v>0</v>
      </c>
      <c r="Z2618">
        <v>0</v>
      </c>
      <c r="AA2618" t="s">
        <v>5202</v>
      </c>
      <c r="AB2618" t="s">
        <v>1656</v>
      </c>
      <c r="AC2618" t="s">
        <v>5202</v>
      </c>
      <c r="AD2618" t="e">
        <f>VLOOKUP(AB2618,#REF!,2,FALSE)</f>
        <v>#REF!</v>
      </c>
      <c r="AE2618" t="e">
        <f>RIGHT(#REF!,(FIND("Complex",#REF!,1)-9))</f>
        <v>#REF!</v>
      </c>
    </row>
    <row r="2619" spans="1:31" x14ac:dyDescent="0.25">
      <c r="A2619">
        <v>1570</v>
      </c>
      <c r="B2619" t="s">
        <v>91</v>
      </c>
      <c r="C2619">
        <v>81</v>
      </c>
      <c r="D2619">
        <v>144</v>
      </c>
      <c r="E2619">
        <v>1570</v>
      </c>
      <c r="F2619">
        <v>2028601</v>
      </c>
      <c r="G2619">
        <v>2116800</v>
      </c>
      <c r="H2619">
        <f t="shared" si="80"/>
        <v>46.000022675736965</v>
      </c>
      <c r="I2619">
        <f t="shared" si="81"/>
        <v>48</v>
      </c>
      <c r="J2619" t="s">
        <v>32</v>
      </c>
      <c r="K2619">
        <v>3</v>
      </c>
      <c r="L2619" t="e">
        <f t="array" ref="L2619">VLOOKUP(J2619:$J$3871&amp;K2619:$K$3871,CHOOSE({1,2},#REF!&amp;#REF!,#REF!),2,0)</f>
        <v>#N/A</v>
      </c>
      <c r="M2619">
        <v>-15</v>
      </c>
      <c r="N2619">
        <v>0</v>
      </c>
      <c r="O2619" t="s">
        <v>7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1</v>
      </c>
      <c r="Y2619">
        <v>0</v>
      </c>
      <c r="Z2619">
        <v>0</v>
      </c>
      <c r="AA2619" t="s">
        <v>5216</v>
      </c>
      <c r="AB2619" t="s">
        <v>296</v>
      </c>
      <c r="AC2619" t="s">
        <v>5216</v>
      </c>
      <c r="AD2619" t="e">
        <f>VLOOKUP(AB2619,#REF!,2,FALSE)</f>
        <v>#REF!</v>
      </c>
      <c r="AE2619" t="e">
        <f>RIGHT(#REF!,(FIND("Complex",#REF!,1)-9))</f>
        <v>#REF!</v>
      </c>
    </row>
    <row r="2620" spans="1:31" x14ac:dyDescent="0.25">
      <c r="A2620">
        <v>1709</v>
      </c>
      <c r="B2620" t="s">
        <v>91</v>
      </c>
      <c r="C2620">
        <v>81</v>
      </c>
      <c r="D2620">
        <v>154</v>
      </c>
      <c r="E2620">
        <v>1709</v>
      </c>
      <c r="F2620">
        <v>88201</v>
      </c>
      <c r="G2620">
        <v>176400</v>
      </c>
      <c r="H2620">
        <f t="shared" si="80"/>
        <v>2.0000226757369615</v>
      </c>
      <c r="I2620">
        <f t="shared" si="81"/>
        <v>4</v>
      </c>
      <c r="J2620" t="s">
        <v>32</v>
      </c>
      <c r="K2620">
        <v>3</v>
      </c>
      <c r="L2620" t="e">
        <f t="array" ref="L2620">VLOOKUP(J2620:$J$3871&amp;K2620:$K$3871,CHOOSE({1,2},#REF!&amp;#REF!,#REF!),2,0)</f>
        <v>#N/A</v>
      </c>
      <c r="M2620">
        <v>-15</v>
      </c>
      <c r="N2620">
        <v>0</v>
      </c>
      <c r="O2620" t="s">
        <v>7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1</v>
      </c>
      <c r="Y2620">
        <v>0</v>
      </c>
      <c r="Z2620">
        <v>0</v>
      </c>
      <c r="AA2620" t="s">
        <v>5649</v>
      </c>
      <c r="AB2620" t="s">
        <v>1657</v>
      </c>
      <c r="AC2620" t="s">
        <v>5649</v>
      </c>
      <c r="AD2620" t="e">
        <f>VLOOKUP(AB2620,#REF!,2,FALSE)</f>
        <v>#REF!</v>
      </c>
      <c r="AE2620" t="e">
        <f>RIGHT(#REF!,(FIND("Complex",#REF!,1)-10))</f>
        <v>#REF!</v>
      </c>
    </row>
    <row r="2621" spans="1:31" x14ac:dyDescent="0.25">
      <c r="A2621">
        <v>1360</v>
      </c>
      <c r="B2621" t="s">
        <v>31</v>
      </c>
      <c r="C2621">
        <v>83</v>
      </c>
      <c r="D2621">
        <v>124</v>
      </c>
      <c r="E2621">
        <v>1360</v>
      </c>
      <c r="F2621">
        <v>4233601</v>
      </c>
      <c r="G2621">
        <v>4321800</v>
      </c>
      <c r="H2621">
        <f t="shared" si="80"/>
        <v>96.000022675736957</v>
      </c>
      <c r="I2621">
        <f t="shared" si="81"/>
        <v>98</v>
      </c>
      <c r="J2621" t="s">
        <v>32</v>
      </c>
      <c r="K2621">
        <v>3</v>
      </c>
      <c r="L2621" t="e">
        <f t="array" ref="L2621">VLOOKUP(J2621:$J$3871&amp;K2621:$K$3871,CHOOSE({1,2},#REF!&amp;#REF!,#REF!),2,0)</f>
        <v>#N/A</v>
      </c>
      <c r="M2621">
        <v>-15</v>
      </c>
      <c r="N2621">
        <v>0</v>
      </c>
      <c r="O2621" t="s">
        <v>7</v>
      </c>
      <c r="P2621">
        <v>1</v>
      </c>
      <c r="Q2621">
        <v>1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 t="s">
        <v>4894</v>
      </c>
      <c r="AB2621" t="s">
        <v>207</v>
      </c>
      <c r="AC2621" t="s">
        <v>4894</v>
      </c>
      <c r="AD2621" t="e">
        <f>VLOOKUP(AB2621,#REF!,2,FALSE)</f>
        <v>#REF!</v>
      </c>
      <c r="AE2621" t="e">
        <f>RIGHT(#REF!,(FIND("Complex",#REF!,1)-9))</f>
        <v>#REF!</v>
      </c>
    </row>
    <row r="2622" spans="1:31" x14ac:dyDescent="0.25">
      <c r="A2622">
        <v>2827</v>
      </c>
      <c r="B2622" t="s">
        <v>31</v>
      </c>
      <c r="C2622">
        <v>83</v>
      </c>
      <c r="D2622">
        <v>304</v>
      </c>
      <c r="E2622">
        <v>2827</v>
      </c>
      <c r="F2622">
        <v>4057201</v>
      </c>
      <c r="G2622">
        <v>4145400</v>
      </c>
      <c r="H2622">
        <f t="shared" si="80"/>
        <v>92.000022675736957</v>
      </c>
      <c r="I2622">
        <f t="shared" si="81"/>
        <v>94</v>
      </c>
      <c r="J2622" t="s">
        <v>32</v>
      </c>
      <c r="K2622">
        <v>3</v>
      </c>
      <c r="L2622" t="e">
        <f t="array" ref="L2622">VLOOKUP(J2622:$J$3871&amp;K2622:$K$3871,CHOOSE({1,2},#REF!&amp;#REF!,#REF!),2,0)</f>
        <v>#N/A</v>
      </c>
      <c r="M2622">
        <v>-15</v>
      </c>
      <c r="N2622">
        <v>0</v>
      </c>
      <c r="O2622" t="s">
        <v>7</v>
      </c>
      <c r="P2622">
        <v>1</v>
      </c>
      <c r="Q2622">
        <v>1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 t="s">
        <v>4913</v>
      </c>
      <c r="AB2622" t="s">
        <v>1688</v>
      </c>
      <c r="AC2622" t="s">
        <v>4913</v>
      </c>
      <c r="AD2622" t="e">
        <f>VLOOKUP(AB2622,#REF!,2,FALSE)</f>
        <v>#REF!</v>
      </c>
      <c r="AE2622" t="e">
        <f>RIGHT(#REF!,(FIND("Complex",#REF!,1)-9))</f>
        <v>#REF!</v>
      </c>
    </row>
    <row r="2623" spans="1:31" x14ac:dyDescent="0.25">
      <c r="A2623">
        <v>3292</v>
      </c>
      <c r="B2623" t="s">
        <v>76</v>
      </c>
      <c r="C2623">
        <v>93</v>
      </c>
      <c r="D2623">
        <v>404</v>
      </c>
      <c r="E2623">
        <v>3292</v>
      </c>
      <c r="F2623">
        <v>3616201</v>
      </c>
      <c r="G2623">
        <v>3704400</v>
      </c>
      <c r="H2623">
        <f t="shared" si="80"/>
        <v>82.000022675736957</v>
      </c>
      <c r="I2623">
        <f t="shared" si="81"/>
        <v>84</v>
      </c>
      <c r="J2623" t="s">
        <v>32</v>
      </c>
      <c r="K2623">
        <v>3</v>
      </c>
      <c r="L2623" t="e">
        <f t="array" ref="L2623">VLOOKUP(J2623:$J$3871&amp;K2623:$K$3871,CHOOSE({1,2},#REF!&amp;#REF!,#REF!),2,0)</f>
        <v>#N/A</v>
      </c>
      <c r="M2623">
        <v>-15</v>
      </c>
      <c r="N2623">
        <v>0</v>
      </c>
      <c r="O2623" t="s">
        <v>7</v>
      </c>
      <c r="P2623">
        <v>0</v>
      </c>
      <c r="Q2623">
        <v>1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</v>
      </c>
      <c r="Y2623">
        <v>0</v>
      </c>
      <c r="Z2623">
        <v>0</v>
      </c>
      <c r="AA2623" t="s">
        <v>4965</v>
      </c>
      <c r="AB2623" t="s">
        <v>1827</v>
      </c>
      <c r="AC2623" t="s">
        <v>4965</v>
      </c>
      <c r="AD2623" t="e">
        <f>VLOOKUP(AB2623,#REF!,2,FALSE)</f>
        <v>#REF!</v>
      </c>
      <c r="AE2623" t="e">
        <f>RIGHT(#REF!,(FIND("Complex",#REF!,1)-9))</f>
        <v>#REF!</v>
      </c>
    </row>
    <row r="2624" spans="1:31" x14ac:dyDescent="0.25">
      <c r="A2624">
        <v>3002</v>
      </c>
      <c r="B2624" t="s">
        <v>76</v>
      </c>
      <c r="C2624">
        <v>93</v>
      </c>
      <c r="D2624">
        <v>340</v>
      </c>
      <c r="E2624">
        <v>3002</v>
      </c>
      <c r="F2624">
        <v>3439801</v>
      </c>
      <c r="G2624">
        <v>3528000</v>
      </c>
      <c r="H2624">
        <f t="shared" si="80"/>
        <v>78.000022675736957</v>
      </c>
      <c r="I2624">
        <f t="shared" si="81"/>
        <v>80</v>
      </c>
      <c r="J2624" t="s">
        <v>32</v>
      </c>
      <c r="K2624">
        <v>3</v>
      </c>
      <c r="L2624" t="e">
        <f t="array" ref="L2624">VLOOKUP(J2624:$J$3871&amp;K2624:$K$3871,CHOOSE({1,2},#REF!&amp;#REF!,#REF!),2,0)</f>
        <v>#N/A</v>
      </c>
      <c r="M2624">
        <v>-15</v>
      </c>
      <c r="N2624">
        <v>0</v>
      </c>
      <c r="O2624" t="s">
        <v>7</v>
      </c>
      <c r="P2624">
        <v>0</v>
      </c>
      <c r="Q2624">
        <v>1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0</v>
      </c>
      <c r="AA2624" t="s">
        <v>5001</v>
      </c>
      <c r="AB2624" t="s">
        <v>1828</v>
      </c>
      <c r="AC2624" t="s">
        <v>5001</v>
      </c>
      <c r="AD2624" t="e">
        <f>VLOOKUP(AB2624,#REF!,2,FALSE)</f>
        <v>#REF!</v>
      </c>
      <c r="AE2624" t="e">
        <f>RIGHT(#REF!,(FIND("Complex",#REF!,1)-9))</f>
        <v>#REF!</v>
      </c>
    </row>
    <row r="2625" spans="1:31" x14ac:dyDescent="0.25">
      <c r="A2625">
        <v>3197</v>
      </c>
      <c r="B2625" t="s">
        <v>76</v>
      </c>
      <c r="C2625">
        <v>93</v>
      </c>
      <c r="D2625">
        <v>390</v>
      </c>
      <c r="E2625">
        <v>3197</v>
      </c>
      <c r="F2625">
        <v>3351601</v>
      </c>
      <c r="G2625">
        <v>3439800</v>
      </c>
      <c r="H2625">
        <f t="shared" si="80"/>
        <v>76.000022675736957</v>
      </c>
      <c r="I2625">
        <f t="shared" si="81"/>
        <v>78</v>
      </c>
      <c r="J2625" t="s">
        <v>32</v>
      </c>
      <c r="K2625">
        <v>3</v>
      </c>
      <c r="L2625" t="e">
        <f t="array" ref="L2625">VLOOKUP(J2625:$J$3871&amp;K2625:$K$3871,CHOOSE({1,2},#REF!&amp;#REF!,#REF!),2,0)</f>
        <v>#N/A</v>
      </c>
      <c r="M2625">
        <v>-15</v>
      </c>
      <c r="N2625">
        <v>0</v>
      </c>
      <c r="O2625" t="s">
        <v>7</v>
      </c>
      <c r="P2625">
        <v>0</v>
      </c>
      <c r="Q2625">
        <v>1</v>
      </c>
      <c r="R2625">
        <v>1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1</v>
      </c>
      <c r="Y2625">
        <v>0</v>
      </c>
      <c r="Z2625">
        <v>0</v>
      </c>
      <c r="AA2625" t="s">
        <v>5014</v>
      </c>
      <c r="AB2625" t="s">
        <v>1829</v>
      </c>
      <c r="AC2625" t="s">
        <v>5014</v>
      </c>
      <c r="AD2625" t="e">
        <f>VLOOKUP(AB2625,#REF!,2,FALSE)</f>
        <v>#REF!</v>
      </c>
      <c r="AE2625" t="e">
        <f>RIGHT(#REF!,(FIND("Complex",#REF!,1)-9))</f>
        <v>#REF!</v>
      </c>
    </row>
    <row r="2626" spans="1:31" x14ac:dyDescent="0.25">
      <c r="A2626">
        <v>2774</v>
      </c>
      <c r="B2626" t="s">
        <v>76</v>
      </c>
      <c r="C2626">
        <v>93</v>
      </c>
      <c r="D2626">
        <v>289</v>
      </c>
      <c r="E2626">
        <v>2774</v>
      </c>
      <c r="F2626">
        <v>3263401</v>
      </c>
      <c r="G2626">
        <v>3351600</v>
      </c>
      <c r="H2626">
        <f t="shared" ref="H2626:H2689" si="82">F2626/44100</f>
        <v>74.000022675736957</v>
      </c>
      <c r="I2626">
        <f t="shared" ref="I2626:I2689" si="83">G2626/44100</f>
        <v>76</v>
      </c>
      <c r="J2626" t="s">
        <v>32</v>
      </c>
      <c r="K2626">
        <v>3</v>
      </c>
      <c r="L2626" t="e">
        <f t="array" ref="L2626">VLOOKUP(J2626:$J$3871&amp;K2626:$K$3871,CHOOSE({1,2},#REF!&amp;#REF!,#REF!),2,0)</f>
        <v>#N/A</v>
      </c>
      <c r="M2626">
        <v>-15</v>
      </c>
      <c r="N2626">
        <v>0</v>
      </c>
      <c r="O2626" t="s">
        <v>7</v>
      </c>
      <c r="P2626">
        <v>0</v>
      </c>
      <c r="Q2626">
        <v>1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1</v>
      </c>
      <c r="Y2626">
        <v>0</v>
      </c>
      <c r="Z2626">
        <v>0</v>
      </c>
      <c r="AA2626" t="s">
        <v>5028</v>
      </c>
      <c r="AB2626" t="s">
        <v>1830</v>
      </c>
      <c r="AC2626" t="s">
        <v>5028</v>
      </c>
      <c r="AD2626" t="e">
        <f>VLOOKUP(AB2626,#REF!,2,FALSE)</f>
        <v>#REF!</v>
      </c>
      <c r="AE2626" t="e">
        <f>RIGHT(#REF!,(FIND("Complex",#REF!,1)-9))</f>
        <v>#REF!</v>
      </c>
    </row>
    <row r="2627" spans="1:31" x14ac:dyDescent="0.25">
      <c r="A2627">
        <v>3033</v>
      </c>
      <c r="B2627" t="s">
        <v>76</v>
      </c>
      <c r="C2627">
        <v>93</v>
      </c>
      <c r="D2627">
        <v>349</v>
      </c>
      <c r="E2627">
        <v>3033</v>
      </c>
      <c r="F2627">
        <v>3087001</v>
      </c>
      <c r="G2627">
        <v>3175200</v>
      </c>
      <c r="H2627">
        <f t="shared" si="82"/>
        <v>70.000022675736957</v>
      </c>
      <c r="I2627">
        <f t="shared" si="83"/>
        <v>72</v>
      </c>
      <c r="J2627" t="s">
        <v>32</v>
      </c>
      <c r="K2627">
        <v>3</v>
      </c>
      <c r="L2627" t="e">
        <f t="array" ref="L2627">VLOOKUP(J2627:$J$3871&amp;K2627:$K$3871,CHOOSE({1,2},#REF!&amp;#REF!,#REF!),2,0)</f>
        <v>#N/A</v>
      </c>
      <c r="M2627">
        <v>-15</v>
      </c>
      <c r="N2627">
        <v>0</v>
      </c>
      <c r="O2627" t="s">
        <v>7</v>
      </c>
      <c r="P2627">
        <v>0</v>
      </c>
      <c r="Q2627">
        <v>1</v>
      </c>
      <c r="R2627">
        <v>1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1</v>
      </c>
      <c r="Y2627">
        <v>0</v>
      </c>
      <c r="Z2627">
        <v>0</v>
      </c>
      <c r="AA2627" t="s">
        <v>5052</v>
      </c>
      <c r="AB2627" t="s">
        <v>1831</v>
      </c>
      <c r="AC2627" t="s">
        <v>5052</v>
      </c>
      <c r="AD2627" t="e">
        <f>VLOOKUP(AB2627,#REF!,2,FALSE)</f>
        <v>#REF!</v>
      </c>
      <c r="AE2627" t="e">
        <f>RIGHT(#REF!,(FIND("Complex",#REF!,1)-9))</f>
        <v>#REF!</v>
      </c>
    </row>
    <row r="2628" spans="1:31" x14ac:dyDescent="0.25">
      <c r="A2628">
        <v>3133</v>
      </c>
      <c r="B2628" t="s">
        <v>76</v>
      </c>
      <c r="C2628">
        <v>93</v>
      </c>
      <c r="D2628">
        <v>374</v>
      </c>
      <c r="E2628">
        <v>3133</v>
      </c>
      <c r="F2628">
        <v>2998801</v>
      </c>
      <c r="G2628">
        <v>3087000</v>
      </c>
      <c r="H2628">
        <f t="shared" si="82"/>
        <v>68.000022675736957</v>
      </c>
      <c r="I2628">
        <f t="shared" si="83"/>
        <v>70</v>
      </c>
      <c r="J2628" t="s">
        <v>32</v>
      </c>
      <c r="K2628">
        <v>3</v>
      </c>
      <c r="L2628" t="e">
        <f t="array" ref="L2628">VLOOKUP(J2628:$J$3871&amp;K2628:$K$3871,CHOOSE({1,2},#REF!&amp;#REF!,#REF!),2,0)</f>
        <v>#N/A</v>
      </c>
      <c r="M2628">
        <v>-15</v>
      </c>
      <c r="N2628">
        <v>0</v>
      </c>
      <c r="O2628" t="s">
        <v>7</v>
      </c>
      <c r="P2628">
        <v>0</v>
      </c>
      <c r="Q2628">
        <v>1</v>
      </c>
      <c r="R2628">
        <v>1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 t="s">
        <v>5066</v>
      </c>
      <c r="AB2628" t="s">
        <v>1832</v>
      </c>
      <c r="AC2628" t="s">
        <v>5066</v>
      </c>
      <c r="AD2628" t="e">
        <f>VLOOKUP(AB2628,#REF!,2,FALSE)</f>
        <v>#REF!</v>
      </c>
      <c r="AE2628" t="e">
        <f>RIGHT(#REF!,(FIND("Complex",#REF!,1)-9))</f>
        <v>#REF!</v>
      </c>
    </row>
    <row r="2629" spans="1:31" x14ac:dyDescent="0.25">
      <c r="A2629">
        <v>1031</v>
      </c>
      <c r="B2629" t="s">
        <v>76</v>
      </c>
      <c r="C2629">
        <v>93</v>
      </c>
      <c r="D2629">
        <v>87</v>
      </c>
      <c r="E2629">
        <v>1031</v>
      </c>
      <c r="F2629">
        <v>2734201</v>
      </c>
      <c r="G2629">
        <v>2822400</v>
      </c>
      <c r="H2629">
        <f t="shared" si="82"/>
        <v>62.000022675736965</v>
      </c>
      <c r="I2629">
        <f t="shared" si="83"/>
        <v>64</v>
      </c>
      <c r="J2629" t="s">
        <v>32</v>
      </c>
      <c r="K2629">
        <v>3</v>
      </c>
      <c r="L2629" t="e">
        <f t="array" ref="L2629">VLOOKUP(J2629:$J$3871&amp;K2629:$K$3871,CHOOSE({1,2},#REF!&amp;#REF!,#REF!),2,0)</f>
        <v>#N/A</v>
      </c>
      <c r="M2629">
        <v>-15</v>
      </c>
      <c r="N2629">
        <v>0</v>
      </c>
      <c r="O2629" t="s">
        <v>7</v>
      </c>
      <c r="P2629">
        <v>0</v>
      </c>
      <c r="Q2629">
        <v>1</v>
      </c>
      <c r="R2629">
        <v>1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1</v>
      </c>
      <c r="Y2629">
        <v>0</v>
      </c>
      <c r="Z2629">
        <v>0</v>
      </c>
      <c r="AA2629" t="s">
        <v>5095</v>
      </c>
      <c r="AB2629" t="s">
        <v>1833</v>
      </c>
      <c r="AC2629" t="s">
        <v>5095</v>
      </c>
      <c r="AD2629" t="e">
        <f>VLOOKUP(AB2629,#REF!,2,FALSE)</f>
        <v>#REF!</v>
      </c>
      <c r="AE2629" t="e">
        <f>RIGHT(#REF!,(FIND("Complex",#REF!,1)-9))</f>
        <v>#REF!</v>
      </c>
    </row>
    <row r="2630" spans="1:31" x14ac:dyDescent="0.25">
      <c r="A2630">
        <v>3074</v>
      </c>
      <c r="B2630" t="s">
        <v>83</v>
      </c>
      <c r="C2630">
        <v>97</v>
      </c>
      <c r="D2630">
        <v>357</v>
      </c>
      <c r="E2630">
        <v>3074</v>
      </c>
      <c r="F2630">
        <v>2557801</v>
      </c>
      <c r="G2630">
        <v>2646000</v>
      </c>
      <c r="H2630">
        <f t="shared" si="82"/>
        <v>58.000022675736965</v>
      </c>
      <c r="I2630">
        <f t="shared" si="83"/>
        <v>60</v>
      </c>
      <c r="J2630" t="s">
        <v>32</v>
      </c>
      <c r="K2630">
        <v>3</v>
      </c>
      <c r="L2630" t="e">
        <f t="array" ref="L2630">VLOOKUP(J2630:$J$3871&amp;K2630:$K$3871,CHOOSE({1,2},#REF!&amp;#REF!,#REF!),2,0)</f>
        <v>#N/A</v>
      </c>
      <c r="M2630">
        <v>-15</v>
      </c>
      <c r="N2630">
        <v>0</v>
      </c>
      <c r="O2630" t="s">
        <v>7</v>
      </c>
      <c r="P2630">
        <v>0</v>
      </c>
      <c r="Q2630">
        <v>0</v>
      </c>
      <c r="R2630">
        <v>1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1</v>
      </c>
      <c r="Y2630">
        <v>0</v>
      </c>
      <c r="Z2630">
        <v>0</v>
      </c>
      <c r="AA2630" t="s">
        <v>5138</v>
      </c>
      <c r="AB2630" t="s">
        <v>1886</v>
      </c>
      <c r="AC2630" t="s">
        <v>5138</v>
      </c>
      <c r="AD2630" t="e">
        <f>VLOOKUP(AB2630,#REF!,2,FALSE)</f>
        <v>#REF!</v>
      </c>
      <c r="AE2630" t="e">
        <f>RIGHT(#REF!,(FIND("Complex",#REF!,1)-9))</f>
        <v>#REF!</v>
      </c>
    </row>
    <row r="2631" spans="1:31" x14ac:dyDescent="0.25">
      <c r="A2631">
        <v>3277</v>
      </c>
      <c r="B2631" t="s">
        <v>83</v>
      </c>
      <c r="C2631">
        <v>97</v>
      </c>
      <c r="D2631">
        <v>401</v>
      </c>
      <c r="E2631">
        <v>3277</v>
      </c>
      <c r="F2631">
        <v>14641201</v>
      </c>
      <c r="G2631">
        <v>14729400</v>
      </c>
      <c r="H2631">
        <f t="shared" si="82"/>
        <v>332.00002267573694</v>
      </c>
      <c r="I2631">
        <f t="shared" si="83"/>
        <v>334</v>
      </c>
      <c r="J2631" t="s">
        <v>32</v>
      </c>
      <c r="K2631">
        <v>3</v>
      </c>
      <c r="L2631" t="e">
        <f t="array" ref="L2631">VLOOKUP(J2631:$J$3871&amp;K2631:$K$3871,CHOOSE({1,2},#REF!&amp;#REF!,#REF!),2,0)</f>
        <v>#N/A</v>
      </c>
      <c r="M2631">
        <v>-15</v>
      </c>
      <c r="N2631">
        <v>0</v>
      </c>
      <c r="O2631" t="s">
        <v>7</v>
      </c>
      <c r="P2631">
        <v>0</v>
      </c>
      <c r="Q2631">
        <v>0</v>
      </c>
      <c r="R2631">
        <v>1</v>
      </c>
      <c r="S2631">
        <v>1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 t="s">
        <v>5350</v>
      </c>
      <c r="AB2631" t="s">
        <v>1887</v>
      </c>
      <c r="AC2631" t="s">
        <v>5350</v>
      </c>
      <c r="AD2631" t="e">
        <f>VLOOKUP(AB2631,#REF!,2,FALSE)</f>
        <v>#REF!</v>
      </c>
      <c r="AE2631" t="e">
        <f>RIGHT(#REF!,(FIND("Complex",#REF!,1)-8))</f>
        <v>#REF!</v>
      </c>
    </row>
    <row r="2632" spans="1:31" x14ac:dyDescent="0.25">
      <c r="A2632">
        <v>3453</v>
      </c>
      <c r="B2632" t="s">
        <v>83</v>
      </c>
      <c r="C2632">
        <v>97</v>
      </c>
      <c r="D2632">
        <v>434</v>
      </c>
      <c r="E2632">
        <v>3453</v>
      </c>
      <c r="F2632">
        <v>14553001</v>
      </c>
      <c r="G2632">
        <v>14641200</v>
      </c>
      <c r="H2632">
        <f t="shared" si="82"/>
        <v>330.00002267573694</v>
      </c>
      <c r="I2632">
        <f t="shared" si="83"/>
        <v>332</v>
      </c>
      <c r="J2632" t="s">
        <v>32</v>
      </c>
      <c r="K2632">
        <v>3</v>
      </c>
      <c r="L2632" t="e">
        <f t="array" ref="L2632">VLOOKUP(J2632:$J$3871&amp;K2632:$K$3871,CHOOSE({1,2},#REF!&amp;#REF!,#REF!),2,0)</f>
        <v>#N/A</v>
      </c>
      <c r="M2632">
        <v>-15</v>
      </c>
      <c r="N2632">
        <v>0</v>
      </c>
      <c r="O2632" t="s">
        <v>7</v>
      </c>
      <c r="P2632">
        <v>0</v>
      </c>
      <c r="Q2632">
        <v>0</v>
      </c>
      <c r="R2632">
        <v>1</v>
      </c>
      <c r="S2632">
        <v>1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 t="s">
        <v>5352</v>
      </c>
      <c r="AB2632" t="s">
        <v>1888</v>
      </c>
      <c r="AC2632" t="s">
        <v>5352</v>
      </c>
      <c r="AD2632" t="e">
        <f>VLOOKUP(AB2632,#REF!,2,FALSE)</f>
        <v>#REF!</v>
      </c>
      <c r="AE2632" t="e">
        <f>RIGHT(#REF!,(FIND("Complex",#REF!,1)-8))</f>
        <v>#REF!</v>
      </c>
    </row>
    <row r="2633" spans="1:31" x14ac:dyDescent="0.25">
      <c r="A2633">
        <v>240</v>
      </c>
      <c r="B2633" t="s">
        <v>83</v>
      </c>
      <c r="C2633">
        <v>97</v>
      </c>
      <c r="D2633">
        <v>22</v>
      </c>
      <c r="E2633">
        <v>240</v>
      </c>
      <c r="F2633">
        <v>14464801</v>
      </c>
      <c r="G2633">
        <v>14553000</v>
      </c>
      <c r="H2633">
        <f t="shared" si="82"/>
        <v>328.00002267573694</v>
      </c>
      <c r="I2633">
        <f t="shared" si="83"/>
        <v>330</v>
      </c>
      <c r="J2633" t="s">
        <v>32</v>
      </c>
      <c r="K2633">
        <v>3</v>
      </c>
      <c r="L2633" t="e">
        <f t="array" ref="L2633">VLOOKUP(J2633:$J$3871&amp;K2633:$K$3871,CHOOSE({1,2},#REF!&amp;#REF!,#REF!),2,0)</f>
        <v>#N/A</v>
      </c>
      <c r="M2633">
        <v>-15</v>
      </c>
      <c r="N2633">
        <v>0</v>
      </c>
      <c r="O2633" t="s">
        <v>7</v>
      </c>
      <c r="P2633">
        <v>0</v>
      </c>
      <c r="Q2633">
        <v>0</v>
      </c>
      <c r="R2633">
        <v>1</v>
      </c>
      <c r="S2633">
        <v>1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 t="s">
        <v>5353</v>
      </c>
      <c r="AB2633" t="s">
        <v>1889</v>
      </c>
      <c r="AC2633" t="s">
        <v>5353</v>
      </c>
      <c r="AD2633" t="e">
        <f>VLOOKUP(AB2633,#REF!,2,FALSE)</f>
        <v>#REF!</v>
      </c>
      <c r="AE2633" t="e">
        <f>RIGHT(#REF!,(FIND("Complex",#REF!,1)-7))</f>
        <v>#REF!</v>
      </c>
    </row>
    <row r="2634" spans="1:31" x14ac:dyDescent="0.25">
      <c r="A2634">
        <v>3659</v>
      </c>
      <c r="B2634" t="s">
        <v>83</v>
      </c>
      <c r="C2634">
        <v>97</v>
      </c>
      <c r="D2634">
        <v>465</v>
      </c>
      <c r="E2634">
        <v>3659</v>
      </c>
      <c r="F2634">
        <v>14376601</v>
      </c>
      <c r="G2634">
        <v>14464800</v>
      </c>
      <c r="H2634">
        <f t="shared" si="82"/>
        <v>326.00002267573694</v>
      </c>
      <c r="I2634">
        <f t="shared" si="83"/>
        <v>328</v>
      </c>
      <c r="J2634" t="s">
        <v>32</v>
      </c>
      <c r="K2634">
        <v>3</v>
      </c>
      <c r="L2634" t="e">
        <f t="array" ref="L2634">VLOOKUP(J2634:$J$3871&amp;K2634:$K$3871,CHOOSE({1,2},#REF!&amp;#REF!,#REF!),2,0)</f>
        <v>#N/A</v>
      </c>
      <c r="M2634">
        <v>-15</v>
      </c>
      <c r="N2634">
        <v>0</v>
      </c>
      <c r="O2634" t="s">
        <v>7</v>
      </c>
      <c r="P2634">
        <v>0</v>
      </c>
      <c r="Q2634">
        <v>0</v>
      </c>
      <c r="R2634">
        <v>1</v>
      </c>
      <c r="S2634">
        <v>1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 t="s">
        <v>5354</v>
      </c>
      <c r="AB2634" t="s">
        <v>1890</v>
      </c>
      <c r="AC2634" t="s">
        <v>5354</v>
      </c>
      <c r="AD2634" t="e">
        <f>VLOOKUP(AB2634,#REF!,2,FALSE)</f>
        <v>#REF!</v>
      </c>
      <c r="AE2634" t="e">
        <f>RIGHT(#REF!,(FIND("Complex",#REF!,1)-8))</f>
        <v>#REF!</v>
      </c>
    </row>
    <row r="2635" spans="1:31" x14ac:dyDescent="0.25">
      <c r="A2635">
        <v>2810</v>
      </c>
      <c r="B2635" t="s">
        <v>83</v>
      </c>
      <c r="C2635">
        <v>97</v>
      </c>
      <c r="D2635">
        <v>298</v>
      </c>
      <c r="E2635">
        <v>2810</v>
      </c>
      <c r="F2635">
        <v>5556601</v>
      </c>
      <c r="G2635">
        <v>5644800</v>
      </c>
      <c r="H2635">
        <f t="shared" si="82"/>
        <v>126.00002267573696</v>
      </c>
      <c r="I2635">
        <f t="shared" si="83"/>
        <v>128</v>
      </c>
      <c r="J2635" t="s">
        <v>32</v>
      </c>
      <c r="K2635">
        <v>3</v>
      </c>
      <c r="L2635" t="e">
        <f t="array" ref="L2635">VLOOKUP(J2635:$J$3871&amp;K2635:$K$3871,CHOOSE({1,2},#REF!&amp;#REF!,#REF!),2,0)</f>
        <v>#N/A</v>
      </c>
      <c r="M2635">
        <v>-15</v>
      </c>
      <c r="N2635">
        <v>0</v>
      </c>
      <c r="O2635" t="s">
        <v>7</v>
      </c>
      <c r="P2635">
        <v>0</v>
      </c>
      <c r="Q2635">
        <v>0</v>
      </c>
      <c r="R2635">
        <v>1</v>
      </c>
      <c r="S2635">
        <v>1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 t="s">
        <v>5985</v>
      </c>
      <c r="AB2635" t="s">
        <v>1891</v>
      </c>
      <c r="AC2635" t="s">
        <v>5985</v>
      </c>
      <c r="AD2635" t="e">
        <f>VLOOKUP(AB2635,#REF!,2,FALSE)</f>
        <v>#REF!</v>
      </c>
      <c r="AE2635" t="e">
        <f>RIGHT(#REF!,(FIND("Complex",#REF!,1)-8))</f>
        <v>#REF!</v>
      </c>
    </row>
    <row r="2636" spans="1:31" x14ac:dyDescent="0.25">
      <c r="A2636">
        <v>3843</v>
      </c>
      <c r="B2636" t="s">
        <v>55</v>
      </c>
      <c r="C2636">
        <v>102</v>
      </c>
      <c r="D2636">
        <v>491</v>
      </c>
      <c r="E2636">
        <v>3843</v>
      </c>
      <c r="F2636">
        <v>3439801</v>
      </c>
      <c r="G2636">
        <v>3528000</v>
      </c>
      <c r="H2636">
        <f t="shared" si="82"/>
        <v>78.000022675736957</v>
      </c>
      <c r="I2636">
        <f t="shared" si="83"/>
        <v>80</v>
      </c>
      <c r="J2636" t="s">
        <v>32</v>
      </c>
      <c r="K2636">
        <v>3</v>
      </c>
      <c r="L2636" t="e">
        <f t="array" ref="L2636">VLOOKUP(J2636:$J$3871&amp;K2636:$K$3871,CHOOSE({1,2},#REF!&amp;#REF!,#REF!),2,0)</f>
        <v>#N/A</v>
      </c>
      <c r="M2636">
        <v>-15</v>
      </c>
      <c r="N2636">
        <v>0</v>
      </c>
      <c r="O2636" t="s">
        <v>7</v>
      </c>
      <c r="P2636">
        <v>0</v>
      </c>
      <c r="Q2636">
        <v>0</v>
      </c>
      <c r="R2636">
        <v>1</v>
      </c>
      <c r="S2636">
        <v>1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 t="s">
        <v>5011</v>
      </c>
      <c r="AB2636" t="s">
        <v>1999</v>
      </c>
      <c r="AC2636" t="s">
        <v>5011</v>
      </c>
      <c r="AD2636" t="e">
        <f>VLOOKUP(AB2636,#REF!,2,FALSE)</f>
        <v>#REF!</v>
      </c>
      <c r="AE2636" t="e">
        <f>RIGHT(#REF!,(FIND("Complex",#REF!,1)-8))</f>
        <v>#REF!</v>
      </c>
    </row>
    <row r="2637" spans="1:31" x14ac:dyDescent="0.25">
      <c r="A2637">
        <v>3285</v>
      </c>
      <c r="B2637" t="s">
        <v>55</v>
      </c>
      <c r="C2637">
        <v>102</v>
      </c>
      <c r="D2637">
        <v>402</v>
      </c>
      <c r="E2637">
        <v>3285</v>
      </c>
      <c r="F2637">
        <v>3263401</v>
      </c>
      <c r="G2637">
        <v>3351600</v>
      </c>
      <c r="H2637">
        <f t="shared" si="82"/>
        <v>74.000022675736957</v>
      </c>
      <c r="I2637">
        <f t="shared" si="83"/>
        <v>76</v>
      </c>
      <c r="J2637" t="s">
        <v>32</v>
      </c>
      <c r="K2637">
        <v>3</v>
      </c>
      <c r="L2637" t="e">
        <f t="array" ref="L2637">VLOOKUP(J2637:$J$3871&amp;K2637:$K$3871,CHOOSE({1,2},#REF!&amp;#REF!,#REF!),2,0)</f>
        <v>#N/A</v>
      </c>
      <c r="M2637">
        <v>-15</v>
      </c>
      <c r="N2637">
        <v>0</v>
      </c>
      <c r="O2637" t="s">
        <v>7</v>
      </c>
      <c r="P2637">
        <v>0</v>
      </c>
      <c r="Q2637">
        <v>0</v>
      </c>
      <c r="R2637">
        <v>1</v>
      </c>
      <c r="S2637">
        <v>1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 t="s">
        <v>5037</v>
      </c>
      <c r="AB2637" t="s">
        <v>2000</v>
      </c>
      <c r="AC2637" t="s">
        <v>5037</v>
      </c>
      <c r="AD2637" t="e">
        <f>VLOOKUP(AB2637,#REF!,2,FALSE)</f>
        <v>#REF!</v>
      </c>
      <c r="AE2637" t="e">
        <f>RIGHT(#REF!,(FIND("Complex",#REF!,1)-8))</f>
        <v>#REF!</v>
      </c>
    </row>
    <row r="2638" spans="1:31" x14ac:dyDescent="0.25">
      <c r="A2638">
        <v>448</v>
      </c>
      <c r="B2638" t="s">
        <v>95</v>
      </c>
      <c r="C2638">
        <v>103</v>
      </c>
      <c r="D2638">
        <v>39</v>
      </c>
      <c r="E2638">
        <v>448</v>
      </c>
      <c r="F2638">
        <v>6350401</v>
      </c>
      <c r="G2638">
        <v>6438600</v>
      </c>
      <c r="H2638">
        <f t="shared" si="82"/>
        <v>144.00002267573697</v>
      </c>
      <c r="I2638">
        <f t="shared" si="83"/>
        <v>146</v>
      </c>
      <c r="J2638" t="s">
        <v>32</v>
      </c>
      <c r="K2638">
        <v>3</v>
      </c>
      <c r="L2638" t="e">
        <f t="array" ref="L2638">VLOOKUP(J2638:$J$3871&amp;K2638:$K$3871,CHOOSE({1,2},#REF!&amp;#REF!,#REF!),2,0)</f>
        <v>#N/A</v>
      </c>
      <c r="M2638">
        <v>-15</v>
      </c>
      <c r="N2638">
        <v>0</v>
      </c>
      <c r="O2638" t="s">
        <v>7</v>
      </c>
      <c r="P2638">
        <v>1</v>
      </c>
      <c r="Q2638">
        <v>0</v>
      </c>
      <c r="R2638">
        <v>1</v>
      </c>
      <c r="S2638">
        <v>0</v>
      </c>
      <c r="T2638">
        <v>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 t="s">
        <v>5912</v>
      </c>
      <c r="AB2638" t="s">
        <v>2050</v>
      </c>
      <c r="AC2638" t="s">
        <v>5912</v>
      </c>
      <c r="AD2638" t="e">
        <f>VLOOKUP(AB2638,#REF!,2,FALSE)</f>
        <v>#REF!</v>
      </c>
      <c r="AE2638" t="e">
        <f>RIGHT(#REF!,(FIND("Complex",#REF!,1)-6))</f>
        <v>#REF!</v>
      </c>
    </row>
    <row r="2639" spans="1:31" x14ac:dyDescent="0.25">
      <c r="A2639">
        <v>3431</v>
      </c>
      <c r="B2639" t="s">
        <v>95</v>
      </c>
      <c r="C2639">
        <v>103</v>
      </c>
      <c r="D2639">
        <v>431</v>
      </c>
      <c r="E2639">
        <v>3431</v>
      </c>
      <c r="F2639">
        <v>6085801</v>
      </c>
      <c r="G2639">
        <v>6174000</v>
      </c>
      <c r="H2639">
        <f t="shared" si="82"/>
        <v>138.00002267573697</v>
      </c>
      <c r="I2639">
        <f t="shared" si="83"/>
        <v>140</v>
      </c>
      <c r="J2639" t="s">
        <v>32</v>
      </c>
      <c r="K2639">
        <v>3</v>
      </c>
      <c r="L2639" t="e">
        <f t="array" ref="L2639">VLOOKUP(J2639:$J$3871&amp;K2639:$K$3871,CHOOSE({1,2},#REF!&amp;#REF!,#REF!),2,0)</f>
        <v>#N/A</v>
      </c>
      <c r="M2639">
        <v>-15</v>
      </c>
      <c r="N2639">
        <v>0</v>
      </c>
      <c r="O2639" t="s">
        <v>7</v>
      </c>
      <c r="P2639">
        <v>1</v>
      </c>
      <c r="Q2639">
        <v>0</v>
      </c>
      <c r="R2639">
        <v>1</v>
      </c>
      <c r="S2639">
        <v>0</v>
      </c>
      <c r="T2639">
        <v>1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 t="s">
        <v>5955</v>
      </c>
      <c r="AB2639" t="s">
        <v>2051</v>
      </c>
      <c r="AC2639" t="s">
        <v>5955</v>
      </c>
      <c r="AD2639" t="e">
        <f>VLOOKUP(AB2639,#REF!,2,FALSE)</f>
        <v>#REF!</v>
      </c>
      <c r="AE2639" t="e">
        <f>RIGHT(#REF!,(FIND("Complex",#REF!,1)-7))</f>
        <v>#REF!</v>
      </c>
    </row>
    <row r="2640" spans="1:31" x14ac:dyDescent="0.25">
      <c r="A2640">
        <v>3719</v>
      </c>
      <c r="B2640" t="s">
        <v>72</v>
      </c>
      <c r="C2640">
        <v>104</v>
      </c>
      <c r="D2640">
        <v>472</v>
      </c>
      <c r="E2640">
        <v>3719</v>
      </c>
      <c r="F2640">
        <v>5556601</v>
      </c>
      <c r="G2640">
        <v>5644800</v>
      </c>
      <c r="H2640">
        <f t="shared" si="82"/>
        <v>126.00002267573696</v>
      </c>
      <c r="I2640">
        <f t="shared" si="83"/>
        <v>128</v>
      </c>
      <c r="J2640" t="s">
        <v>32</v>
      </c>
      <c r="K2640">
        <v>3</v>
      </c>
      <c r="L2640" t="e">
        <f t="array" ref="L2640">VLOOKUP(J2640:$J$3871&amp;K2640:$K$3871,CHOOSE({1,2},#REF!&amp;#REF!,#REF!),2,0)</f>
        <v>#N/A</v>
      </c>
      <c r="M2640">
        <v>-15</v>
      </c>
      <c r="N2640">
        <v>0</v>
      </c>
      <c r="O2640" t="s">
        <v>7</v>
      </c>
      <c r="P2640">
        <v>0</v>
      </c>
      <c r="Q2640">
        <v>1</v>
      </c>
      <c r="R2640">
        <v>1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1</v>
      </c>
      <c r="Y2640">
        <v>0</v>
      </c>
      <c r="Z2640">
        <v>0</v>
      </c>
      <c r="AA2640" t="s">
        <v>5994</v>
      </c>
      <c r="AB2640" t="s">
        <v>2123</v>
      </c>
      <c r="AC2640" t="s">
        <v>5994</v>
      </c>
      <c r="AD2640" t="e">
        <f>VLOOKUP(AB2640,#REF!,2,FALSE)</f>
        <v>#REF!</v>
      </c>
      <c r="AE2640" t="e">
        <f>RIGHT(#REF!,(FIND("Complex",#REF!,1)-7))</f>
        <v>#REF!</v>
      </c>
    </row>
    <row r="2641" spans="1:31" x14ac:dyDescent="0.25">
      <c r="A2641">
        <v>3775</v>
      </c>
      <c r="B2641" t="s">
        <v>72</v>
      </c>
      <c r="C2641">
        <v>104</v>
      </c>
      <c r="D2641">
        <v>480</v>
      </c>
      <c r="E2641">
        <v>3775</v>
      </c>
      <c r="F2641">
        <v>5380201</v>
      </c>
      <c r="G2641">
        <v>5468400</v>
      </c>
      <c r="H2641">
        <f t="shared" si="82"/>
        <v>122.00002267573696</v>
      </c>
      <c r="I2641">
        <f t="shared" si="83"/>
        <v>124</v>
      </c>
      <c r="J2641" t="s">
        <v>32</v>
      </c>
      <c r="K2641">
        <v>3</v>
      </c>
      <c r="L2641" t="e">
        <f t="array" ref="L2641">VLOOKUP(J2641:$J$3871&amp;K2641:$K$3871,CHOOSE({1,2},#REF!&amp;#REF!,#REF!),2,0)</f>
        <v>#N/A</v>
      </c>
      <c r="M2641">
        <v>-15</v>
      </c>
      <c r="N2641">
        <v>0</v>
      </c>
      <c r="O2641" t="s">
        <v>7</v>
      </c>
      <c r="P2641">
        <v>0</v>
      </c>
      <c r="Q2641">
        <v>1</v>
      </c>
      <c r="R2641">
        <v>1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1</v>
      </c>
      <c r="Y2641">
        <v>0</v>
      </c>
      <c r="Z2641">
        <v>0</v>
      </c>
      <c r="AA2641" t="s">
        <v>6012</v>
      </c>
      <c r="AB2641" t="s">
        <v>227</v>
      </c>
      <c r="AC2641" t="s">
        <v>6012</v>
      </c>
      <c r="AD2641" t="e">
        <f>VLOOKUP(AB2641,#REF!,2,FALSE)</f>
        <v>#REF!</v>
      </c>
      <c r="AE2641" t="e">
        <f>RIGHT(#REF!,(FIND("Complex",#REF!,1)-7))</f>
        <v>#REF!</v>
      </c>
    </row>
    <row r="2642" spans="1:31" x14ac:dyDescent="0.25">
      <c r="A2642">
        <v>3266</v>
      </c>
      <c r="B2642" t="s">
        <v>90</v>
      </c>
      <c r="C2642">
        <v>111</v>
      </c>
      <c r="D2642">
        <v>399</v>
      </c>
      <c r="E2642">
        <v>3266</v>
      </c>
      <c r="F2642">
        <v>2734201</v>
      </c>
      <c r="G2642">
        <v>2822400</v>
      </c>
      <c r="H2642">
        <f t="shared" si="82"/>
        <v>62.000022675736965</v>
      </c>
      <c r="I2642">
        <f t="shared" si="83"/>
        <v>64</v>
      </c>
      <c r="J2642" t="s">
        <v>32</v>
      </c>
      <c r="K2642">
        <v>3</v>
      </c>
      <c r="L2642" t="e">
        <f t="array" ref="L2642">VLOOKUP(J2642:$J$3871&amp;K2642:$K$3871,CHOOSE({1,2},#REF!&amp;#REF!,#REF!),2,0)</f>
        <v>#N/A</v>
      </c>
      <c r="M2642">
        <v>-15</v>
      </c>
      <c r="N2642">
        <v>0</v>
      </c>
      <c r="O2642" t="s">
        <v>7</v>
      </c>
      <c r="P2642">
        <v>1</v>
      </c>
      <c r="Q2642">
        <v>0</v>
      </c>
      <c r="R2642">
        <v>1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1</v>
      </c>
      <c r="Y2642">
        <v>0</v>
      </c>
      <c r="Z2642">
        <v>0</v>
      </c>
      <c r="AA2642" t="s">
        <v>5104</v>
      </c>
      <c r="AB2642" t="s">
        <v>2208</v>
      </c>
      <c r="AC2642" t="s">
        <v>5104</v>
      </c>
      <c r="AD2642" t="e">
        <f>VLOOKUP(AB2642,#REF!,2,FALSE)</f>
        <v>#REF!</v>
      </c>
      <c r="AE2642" t="e">
        <f>RIGHT(#REF!,(FIND("Complex",#REF!,1)-8))</f>
        <v>#REF!</v>
      </c>
    </row>
    <row r="2643" spans="1:31" x14ac:dyDescent="0.25">
      <c r="A2643">
        <v>2166</v>
      </c>
      <c r="B2643" t="s">
        <v>82</v>
      </c>
      <c r="C2643">
        <v>115</v>
      </c>
      <c r="D2643">
        <v>207</v>
      </c>
      <c r="E2643">
        <v>2166</v>
      </c>
      <c r="F2643">
        <v>3528001</v>
      </c>
      <c r="G2643">
        <v>3616200</v>
      </c>
      <c r="H2643">
        <f t="shared" si="82"/>
        <v>80.000022675736957</v>
      </c>
      <c r="I2643">
        <f t="shared" si="83"/>
        <v>82</v>
      </c>
      <c r="J2643" t="s">
        <v>32</v>
      </c>
      <c r="K2643">
        <v>3</v>
      </c>
      <c r="L2643" t="e">
        <f t="array" ref="L2643">VLOOKUP(J2643:$J$3871&amp;K2643:$K$3871,CHOOSE({1,2},#REF!&amp;#REF!,#REF!),2,0)</f>
        <v>#N/A</v>
      </c>
      <c r="M2643">
        <v>-15</v>
      </c>
      <c r="N2643">
        <v>0</v>
      </c>
      <c r="O2643" t="s">
        <v>7</v>
      </c>
      <c r="P2643">
        <v>0</v>
      </c>
      <c r="Q2643">
        <v>0</v>
      </c>
      <c r="R2643">
        <v>1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1</v>
      </c>
      <c r="Y2643">
        <v>0</v>
      </c>
      <c r="Z2643">
        <v>0</v>
      </c>
      <c r="AA2643" t="s">
        <v>4984</v>
      </c>
      <c r="AB2643" t="s">
        <v>2258</v>
      </c>
      <c r="AC2643" t="s">
        <v>4984</v>
      </c>
      <c r="AD2643" t="e">
        <f>VLOOKUP(AB2643,#REF!,2,FALSE)</f>
        <v>#REF!</v>
      </c>
      <c r="AE2643" t="e">
        <f>RIGHT(#REF!,(FIND("Complex",#REF!,1)-8))</f>
        <v>#REF!</v>
      </c>
    </row>
    <row r="2644" spans="1:31" x14ac:dyDescent="0.25">
      <c r="A2644">
        <v>2045</v>
      </c>
      <c r="B2644" t="s">
        <v>82</v>
      </c>
      <c r="C2644">
        <v>115</v>
      </c>
      <c r="D2644">
        <v>195</v>
      </c>
      <c r="E2644">
        <v>2045</v>
      </c>
      <c r="F2644">
        <v>2293201</v>
      </c>
      <c r="G2644">
        <v>2381400</v>
      </c>
      <c r="H2644">
        <f t="shared" si="82"/>
        <v>52.000022675736965</v>
      </c>
      <c r="I2644">
        <f t="shared" si="83"/>
        <v>54</v>
      </c>
      <c r="J2644" t="s">
        <v>32</v>
      </c>
      <c r="K2644">
        <v>3</v>
      </c>
      <c r="L2644" t="e">
        <f t="array" ref="L2644">VLOOKUP(J2644:$J$3871&amp;K2644:$K$3871,CHOOSE({1,2},#REF!&amp;#REF!,#REF!),2,0)</f>
        <v>#N/A</v>
      </c>
      <c r="M2644">
        <v>-15</v>
      </c>
      <c r="N2644">
        <v>0</v>
      </c>
      <c r="O2644" t="s">
        <v>7</v>
      </c>
      <c r="P2644">
        <v>0</v>
      </c>
      <c r="Q2644">
        <v>0</v>
      </c>
      <c r="R2644">
        <v>1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1</v>
      </c>
      <c r="AA2644" t="s">
        <v>5188</v>
      </c>
      <c r="AB2644" t="s">
        <v>2259</v>
      </c>
      <c r="AC2644" t="s">
        <v>5188</v>
      </c>
      <c r="AD2644" t="e">
        <f>VLOOKUP(AB2644,#REF!,2,FALSE)</f>
        <v>#REF!</v>
      </c>
      <c r="AE2644" t="e">
        <f>RIGHT(#REF!,(FIND("Complex",#REF!,1)-8))</f>
        <v>#REF!</v>
      </c>
    </row>
    <row r="2645" spans="1:31" x14ac:dyDescent="0.25">
      <c r="A2645">
        <v>3042</v>
      </c>
      <c r="B2645" t="s">
        <v>82</v>
      </c>
      <c r="C2645">
        <v>115</v>
      </c>
      <c r="D2645">
        <v>351</v>
      </c>
      <c r="E2645">
        <v>3042</v>
      </c>
      <c r="F2645">
        <v>2116801</v>
      </c>
      <c r="G2645">
        <v>2205000</v>
      </c>
      <c r="H2645">
        <f t="shared" si="82"/>
        <v>48.000022675736965</v>
      </c>
      <c r="I2645">
        <f t="shared" si="83"/>
        <v>50</v>
      </c>
      <c r="J2645" t="s">
        <v>32</v>
      </c>
      <c r="K2645">
        <v>3</v>
      </c>
      <c r="L2645" t="e">
        <f t="array" ref="L2645">VLOOKUP(J2645:$J$3871&amp;K2645:$K$3871,CHOOSE({1,2},#REF!&amp;#REF!,#REF!),2,0)</f>
        <v>#N/A</v>
      </c>
      <c r="M2645">
        <v>-15</v>
      </c>
      <c r="N2645">
        <v>0</v>
      </c>
      <c r="O2645" t="s">
        <v>7</v>
      </c>
      <c r="P2645">
        <v>0</v>
      </c>
      <c r="Q2645">
        <v>0</v>
      </c>
      <c r="R2645">
        <v>1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1</v>
      </c>
      <c r="AA2645" t="s">
        <v>5212</v>
      </c>
      <c r="AB2645" t="s">
        <v>2260</v>
      </c>
      <c r="AC2645" t="s">
        <v>5212</v>
      </c>
      <c r="AD2645" t="e">
        <f>VLOOKUP(AB2645,#REF!,2,FALSE)</f>
        <v>#REF!</v>
      </c>
      <c r="AE2645" t="e">
        <f>RIGHT(#REF!,(FIND("Complex",#REF!,1)-8))</f>
        <v>#REF!</v>
      </c>
    </row>
    <row r="2646" spans="1:31" x14ac:dyDescent="0.25">
      <c r="A2646">
        <v>1637</v>
      </c>
      <c r="B2646" t="s">
        <v>68</v>
      </c>
      <c r="C2646">
        <v>4</v>
      </c>
      <c r="D2646">
        <v>712</v>
      </c>
      <c r="E2646">
        <v>1637</v>
      </c>
      <c r="F2646">
        <v>12259801</v>
      </c>
      <c r="G2646">
        <v>12348000</v>
      </c>
      <c r="H2646">
        <f t="shared" si="82"/>
        <v>278.00002267573694</v>
      </c>
      <c r="I2646">
        <f t="shared" si="83"/>
        <v>280</v>
      </c>
      <c r="J2646" t="s">
        <v>25</v>
      </c>
      <c r="K2646">
        <v>7</v>
      </c>
      <c r="L2646" t="e">
        <f t="array" ref="L2646">VLOOKUP(J2646:$J$3871&amp;K2646:$K$3871,CHOOSE({1,2},#REF!&amp;#REF!,#REF!),2,0)</f>
        <v>#N/A</v>
      </c>
      <c r="M2646">
        <v>0</v>
      </c>
      <c r="N2646">
        <v>1</v>
      </c>
      <c r="O2646" t="s">
        <v>23</v>
      </c>
      <c r="P2646">
        <v>1</v>
      </c>
      <c r="Q2646">
        <v>1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1</v>
      </c>
      <c r="X2646">
        <v>1</v>
      </c>
      <c r="Y2646">
        <v>0</v>
      </c>
      <c r="Z2646">
        <v>1</v>
      </c>
      <c r="AA2646" t="s">
        <v>2356</v>
      </c>
      <c r="AB2646" t="s">
        <v>403</v>
      </c>
      <c r="AC2646" t="s">
        <v>2356</v>
      </c>
      <c r="AD2646" t="e">
        <f>VLOOKUP(AB2646,#REF!,2,FALSE)</f>
        <v>#REF!</v>
      </c>
      <c r="AE2646" t="e">
        <f>RIGHT(#REF!,(FIND("Complex",#REF!,1)-6))</f>
        <v>#REF!</v>
      </c>
    </row>
    <row r="2647" spans="1:31" x14ac:dyDescent="0.25">
      <c r="A2647">
        <v>3864</v>
      </c>
      <c r="B2647" t="s">
        <v>68</v>
      </c>
      <c r="C2647">
        <v>4</v>
      </c>
      <c r="D2647">
        <v>1224</v>
      </c>
      <c r="E2647">
        <v>3864</v>
      </c>
      <c r="F2647">
        <v>12083401</v>
      </c>
      <c r="G2647">
        <v>12171600</v>
      </c>
      <c r="H2647">
        <f t="shared" si="82"/>
        <v>274.00002267573694</v>
      </c>
      <c r="I2647">
        <f t="shared" si="83"/>
        <v>276</v>
      </c>
      <c r="J2647" t="s">
        <v>25</v>
      </c>
      <c r="K2647">
        <v>7</v>
      </c>
      <c r="L2647" t="e">
        <f t="array" ref="L2647">VLOOKUP(J2647:$J$3871&amp;K2647:$K$3871,CHOOSE({1,2},#REF!&amp;#REF!,#REF!),2,0)</f>
        <v>#N/A</v>
      </c>
      <c r="M2647">
        <v>0</v>
      </c>
      <c r="N2647">
        <v>1</v>
      </c>
      <c r="O2647" t="s">
        <v>23</v>
      </c>
      <c r="P2647">
        <v>1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1</v>
      </c>
      <c r="X2647">
        <v>1</v>
      </c>
      <c r="Y2647">
        <v>0</v>
      </c>
      <c r="Z2647">
        <v>1</v>
      </c>
      <c r="AA2647" t="s">
        <v>2360</v>
      </c>
      <c r="AB2647" t="s">
        <v>404</v>
      </c>
      <c r="AC2647" t="s">
        <v>2360</v>
      </c>
      <c r="AD2647" t="e">
        <f>VLOOKUP(AB2647,#REF!,2,FALSE)</f>
        <v>#REF!</v>
      </c>
      <c r="AE2647" t="e">
        <f>RIGHT(#REF!,(FIND("Complex",#REF!,1)-7))</f>
        <v>#REF!</v>
      </c>
    </row>
    <row r="2648" spans="1:31" x14ac:dyDescent="0.25">
      <c r="A2648">
        <v>3384</v>
      </c>
      <c r="B2648" t="s">
        <v>68</v>
      </c>
      <c r="C2648">
        <v>4</v>
      </c>
      <c r="D2648">
        <v>1090</v>
      </c>
      <c r="E2648">
        <v>3384</v>
      </c>
      <c r="F2648">
        <v>11995201</v>
      </c>
      <c r="G2648">
        <v>12083400</v>
      </c>
      <c r="H2648">
        <f t="shared" si="82"/>
        <v>272.00002267573694</v>
      </c>
      <c r="I2648">
        <f t="shared" si="83"/>
        <v>274</v>
      </c>
      <c r="J2648" t="s">
        <v>25</v>
      </c>
      <c r="K2648">
        <v>7</v>
      </c>
      <c r="L2648" t="e">
        <f t="array" ref="L2648">VLOOKUP(J2648:$J$3871&amp;K2648:$K$3871,CHOOSE({1,2},#REF!&amp;#REF!,#REF!),2,0)</f>
        <v>#N/A</v>
      </c>
      <c r="M2648">
        <v>0</v>
      </c>
      <c r="N2648">
        <v>1</v>
      </c>
      <c r="O2648" t="s">
        <v>23</v>
      </c>
      <c r="P2648">
        <v>1</v>
      </c>
      <c r="Q2648">
        <v>1</v>
      </c>
      <c r="R2648">
        <v>0</v>
      </c>
      <c r="S2648">
        <v>0</v>
      </c>
      <c r="T2648">
        <v>0</v>
      </c>
      <c r="U2648">
        <v>1</v>
      </c>
      <c r="V2648">
        <v>1</v>
      </c>
      <c r="W2648">
        <v>1</v>
      </c>
      <c r="X2648">
        <v>1</v>
      </c>
      <c r="Y2648">
        <v>0</v>
      </c>
      <c r="Z2648">
        <v>1</v>
      </c>
      <c r="AA2648" t="s">
        <v>2363</v>
      </c>
      <c r="AB2648" t="s">
        <v>405</v>
      </c>
      <c r="AC2648" t="s">
        <v>2363</v>
      </c>
      <c r="AD2648" t="e">
        <f>VLOOKUP(AB2648,#REF!,2,FALSE)</f>
        <v>#REF!</v>
      </c>
      <c r="AE2648" t="e">
        <f>RIGHT(#REF!,(FIND("Complex",#REF!,1)-7))</f>
        <v>#REF!</v>
      </c>
    </row>
    <row r="2649" spans="1:31" x14ac:dyDescent="0.25">
      <c r="A2649">
        <v>3774</v>
      </c>
      <c r="B2649" t="s">
        <v>68</v>
      </c>
      <c r="C2649">
        <v>4</v>
      </c>
      <c r="D2649">
        <v>1202</v>
      </c>
      <c r="E2649">
        <v>3774</v>
      </c>
      <c r="F2649">
        <v>11377801</v>
      </c>
      <c r="G2649">
        <v>11466000</v>
      </c>
      <c r="H2649">
        <f t="shared" si="82"/>
        <v>258.00002267573694</v>
      </c>
      <c r="I2649">
        <f t="shared" si="83"/>
        <v>260</v>
      </c>
      <c r="J2649" t="s">
        <v>25</v>
      </c>
      <c r="K2649">
        <v>7</v>
      </c>
      <c r="L2649" t="e">
        <f t="array" ref="L2649">VLOOKUP(J2649:$J$3871&amp;K2649:$K$3871,CHOOSE({1,2},#REF!&amp;#REF!,#REF!),2,0)</f>
        <v>#N/A</v>
      </c>
      <c r="M2649">
        <v>0</v>
      </c>
      <c r="N2649">
        <v>1</v>
      </c>
      <c r="O2649" t="s">
        <v>23</v>
      </c>
      <c r="P2649">
        <v>1</v>
      </c>
      <c r="Q2649">
        <v>1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1</v>
      </c>
      <c r="X2649">
        <v>1</v>
      </c>
      <c r="Y2649">
        <v>0</v>
      </c>
      <c r="Z2649">
        <v>1</v>
      </c>
      <c r="AA2649" t="s">
        <v>2382</v>
      </c>
      <c r="AB2649" t="s">
        <v>406</v>
      </c>
      <c r="AC2649" t="s">
        <v>2382</v>
      </c>
      <c r="AD2649" t="e">
        <f>VLOOKUP(AB2649,#REF!,2,FALSE)</f>
        <v>#REF!</v>
      </c>
      <c r="AE2649" t="e">
        <f>RIGHT(#REF!,(FIND("Complex",#REF!,1)-7))</f>
        <v>#REF!</v>
      </c>
    </row>
    <row r="2650" spans="1:31" x14ac:dyDescent="0.25">
      <c r="A2650">
        <v>3481</v>
      </c>
      <c r="B2650" t="s">
        <v>81</v>
      </c>
      <c r="C2650">
        <v>5</v>
      </c>
      <c r="D2650">
        <v>1112</v>
      </c>
      <c r="E2650">
        <v>3481</v>
      </c>
      <c r="F2650">
        <v>21256201</v>
      </c>
      <c r="G2650">
        <v>21344400</v>
      </c>
      <c r="H2650">
        <f t="shared" si="82"/>
        <v>482.00002267573694</v>
      </c>
      <c r="I2650">
        <f t="shared" si="83"/>
        <v>484</v>
      </c>
      <c r="J2650" t="s">
        <v>25</v>
      </c>
      <c r="K2650">
        <v>7</v>
      </c>
      <c r="L2650" t="e">
        <f t="array" ref="L2650">VLOOKUP(J2650:$J$3871&amp;K2650:$K$3871,CHOOSE({1,2},#REF!&amp;#REF!,#REF!),2,0)</f>
        <v>#N/A</v>
      </c>
      <c r="M2650">
        <v>0</v>
      </c>
      <c r="N2650">
        <v>1</v>
      </c>
      <c r="O2650" t="s">
        <v>23</v>
      </c>
      <c r="P2650">
        <v>0</v>
      </c>
      <c r="Q2650">
        <v>1</v>
      </c>
      <c r="R2650">
        <v>0</v>
      </c>
      <c r="S2650">
        <v>0</v>
      </c>
      <c r="T2650">
        <v>1</v>
      </c>
      <c r="U2650">
        <v>1</v>
      </c>
      <c r="V2650">
        <v>1</v>
      </c>
      <c r="W2650">
        <v>1</v>
      </c>
      <c r="X2650">
        <v>1</v>
      </c>
      <c r="Y2650">
        <v>0</v>
      </c>
      <c r="Z2650">
        <v>1</v>
      </c>
      <c r="AA2650" t="s">
        <v>2305</v>
      </c>
      <c r="AB2650" t="s">
        <v>440</v>
      </c>
      <c r="AC2650" t="s">
        <v>2305</v>
      </c>
      <c r="AD2650" t="e">
        <f>VLOOKUP(AB2650,#REF!,2,FALSE)</f>
        <v>#REF!</v>
      </c>
      <c r="AE2650" t="e">
        <f>RIGHT(#REF!,(FIND("Complex",#REF!,1)-7))</f>
        <v>#REF!</v>
      </c>
    </row>
    <row r="2651" spans="1:31" x14ac:dyDescent="0.25">
      <c r="A2651">
        <v>1346</v>
      </c>
      <c r="B2651" t="s">
        <v>81</v>
      </c>
      <c r="C2651">
        <v>5</v>
      </c>
      <c r="D2651">
        <v>588</v>
      </c>
      <c r="E2651">
        <v>1346</v>
      </c>
      <c r="F2651">
        <v>20991601</v>
      </c>
      <c r="G2651">
        <v>21079800</v>
      </c>
      <c r="H2651">
        <f t="shared" si="82"/>
        <v>476.00002267573694</v>
      </c>
      <c r="I2651">
        <f t="shared" si="83"/>
        <v>478</v>
      </c>
      <c r="J2651" t="s">
        <v>25</v>
      </c>
      <c r="K2651">
        <v>7</v>
      </c>
      <c r="L2651" t="e">
        <f t="array" ref="L2651">VLOOKUP(J2651:$J$3871&amp;K2651:$K$3871,CHOOSE({1,2},#REF!&amp;#REF!,#REF!),2,0)</f>
        <v>#N/A</v>
      </c>
      <c r="M2651">
        <v>0</v>
      </c>
      <c r="N2651">
        <v>1</v>
      </c>
      <c r="O2651" t="s">
        <v>23</v>
      </c>
      <c r="P2651">
        <v>0</v>
      </c>
      <c r="Q2651">
        <v>1</v>
      </c>
      <c r="R2651">
        <v>0</v>
      </c>
      <c r="S2651">
        <v>0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0</v>
      </c>
      <c r="Z2651">
        <v>1</v>
      </c>
      <c r="AA2651" t="s">
        <v>2308</v>
      </c>
      <c r="AB2651" t="s">
        <v>441</v>
      </c>
      <c r="AC2651" t="s">
        <v>2308</v>
      </c>
      <c r="AD2651" t="e">
        <f>VLOOKUP(AB2651,#REF!,2,FALSE)</f>
        <v>#REF!</v>
      </c>
      <c r="AE2651" t="e">
        <f>RIGHT(#REF!,(FIND("Complex",#REF!,1)-6))</f>
        <v>#REF!</v>
      </c>
    </row>
    <row r="2652" spans="1:31" x14ac:dyDescent="0.25">
      <c r="A2652">
        <v>2233</v>
      </c>
      <c r="B2652" t="s">
        <v>81</v>
      </c>
      <c r="C2652">
        <v>5</v>
      </c>
      <c r="D2652">
        <v>921</v>
      </c>
      <c r="E2652">
        <v>2233</v>
      </c>
      <c r="F2652">
        <v>20903401</v>
      </c>
      <c r="G2652">
        <v>20991600</v>
      </c>
      <c r="H2652">
        <f t="shared" si="82"/>
        <v>474.00002267573694</v>
      </c>
      <c r="I2652">
        <f t="shared" si="83"/>
        <v>476</v>
      </c>
      <c r="J2652" t="s">
        <v>25</v>
      </c>
      <c r="K2652">
        <v>7</v>
      </c>
      <c r="L2652" t="e">
        <f t="array" ref="L2652">VLOOKUP(J2652:$J$3871&amp;K2652:$K$3871,CHOOSE({1,2},#REF!&amp;#REF!,#REF!),2,0)</f>
        <v>#N/A</v>
      </c>
      <c r="M2652">
        <v>0</v>
      </c>
      <c r="N2652">
        <v>1</v>
      </c>
      <c r="O2652" t="s">
        <v>23</v>
      </c>
      <c r="P2652">
        <v>0</v>
      </c>
      <c r="Q2652">
        <v>1</v>
      </c>
      <c r="R2652">
        <v>0</v>
      </c>
      <c r="S2652">
        <v>0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0</v>
      </c>
      <c r="Z2652">
        <v>1</v>
      </c>
      <c r="AA2652" t="s">
        <v>2309</v>
      </c>
      <c r="AB2652" t="s">
        <v>442</v>
      </c>
      <c r="AC2652" t="s">
        <v>2309</v>
      </c>
      <c r="AD2652" t="e">
        <f>VLOOKUP(AB2652,#REF!,2,FALSE)</f>
        <v>#REF!</v>
      </c>
      <c r="AE2652" t="e">
        <f>RIGHT(#REF!,(FIND("Complex",#REF!,1)-6))</f>
        <v>#REF!</v>
      </c>
    </row>
    <row r="2653" spans="1:31" x14ac:dyDescent="0.25">
      <c r="A2653">
        <v>3664</v>
      </c>
      <c r="B2653" t="s">
        <v>81</v>
      </c>
      <c r="C2653">
        <v>5</v>
      </c>
      <c r="D2653">
        <v>1162</v>
      </c>
      <c r="E2653">
        <v>3664</v>
      </c>
      <c r="F2653">
        <v>20815201</v>
      </c>
      <c r="G2653">
        <v>20903400</v>
      </c>
      <c r="H2653">
        <f t="shared" si="82"/>
        <v>472.00002267573694</v>
      </c>
      <c r="I2653">
        <f t="shared" si="83"/>
        <v>474</v>
      </c>
      <c r="J2653" t="s">
        <v>25</v>
      </c>
      <c r="K2653">
        <v>7</v>
      </c>
      <c r="L2653" t="e">
        <f t="array" ref="L2653">VLOOKUP(J2653:$J$3871&amp;K2653:$K$3871,CHOOSE({1,2},#REF!&amp;#REF!,#REF!),2,0)</f>
        <v>#N/A</v>
      </c>
      <c r="M2653">
        <v>0</v>
      </c>
      <c r="N2653">
        <v>1</v>
      </c>
      <c r="O2653" t="s">
        <v>23</v>
      </c>
      <c r="P2653">
        <v>0</v>
      </c>
      <c r="Q2653">
        <v>1</v>
      </c>
      <c r="R2653">
        <v>0</v>
      </c>
      <c r="S2653">
        <v>0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0</v>
      </c>
      <c r="Z2653">
        <v>1</v>
      </c>
      <c r="AA2653" t="s">
        <v>2310</v>
      </c>
      <c r="AB2653" t="s">
        <v>443</v>
      </c>
      <c r="AC2653" t="s">
        <v>2310</v>
      </c>
      <c r="AD2653" t="e">
        <f>VLOOKUP(AB2653,#REF!,2,FALSE)</f>
        <v>#REF!</v>
      </c>
      <c r="AE2653" t="e">
        <f>RIGHT(#REF!,(FIND("Complex",#REF!,1)-7))</f>
        <v>#REF!</v>
      </c>
    </row>
    <row r="2654" spans="1:31" x14ac:dyDescent="0.25">
      <c r="A2654">
        <v>2337</v>
      </c>
      <c r="B2654" t="s">
        <v>81</v>
      </c>
      <c r="C2654">
        <v>5</v>
      </c>
      <c r="D2654">
        <v>946</v>
      </c>
      <c r="E2654">
        <v>2337</v>
      </c>
      <c r="F2654">
        <v>20727001</v>
      </c>
      <c r="G2654">
        <v>20815200</v>
      </c>
      <c r="H2654">
        <f t="shared" si="82"/>
        <v>470.00002267573694</v>
      </c>
      <c r="I2654">
        <f t="shared" si="83"/>
        <v>472</v>
      </c>
      <c r="J2654" t="s">
        <v>25</v>
      </c>
      <c r="K2654">
        <v>7</v>
      </c>
      <c r="L2654" t="e">
        <f t="array" ref="L2654">VLOOKUP(J2654:$J$3871&amp;K2654:$K$3871,CHOOSE({1,2},#REF!&amp;#REF!,#REF!),2,0)</f>
        <v>#N/A</v>
      </c>
      <c r="M2654">
        <v>0</v>
      </c>
      <c r="N2654">
        <v>1</v>
      </c>
      <c r="O2654" t="s">
        <v>23</v>
      </c>
      <c r="P2654">
        <v>0</v>
      </c>
      <c r="Q2654">
        <v>1</v>
      </c>
      <c r="R2654">
        <v>0</v>
      </c>
      <c r="S2654">
        <v>0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0</v>
      </c>
      <c r="Z2654">
        <v>1</v>
      </c>
      <c r="AA2654" t="s">
        <v>2311</v>
      </c>
      <c r="AB2654" t="s">
        <v>444</v>
      </c>
      <c r="AC2654" t="s">
        <v>2311</v>
      </c>
      <c r="AD2654" t="e">
        <f>VLOOKUP(AB2654,#REF!,2,FALSE)</f>
        <v>#REF!</v>
      </c>
      <c r="AE2654" t="e">
        <f>RIGHT(#REF!,(FIND("Complex",#REF!,1)-6))</f>
        <v>#REF!</v>
      </c>
    </row>
    <row r="2655" spans="1:31" x14ac:dyDescent="0.25">
      <c r="A2655">
        <v>3509</v>
      </c>
      <c r="B2655" t="s">
        <v>81</v>
      </c>
      <c r="C2655">
        <v>5</v>
      </c>
      <c r="D2655">
        <v>1119</v>
      </c>
      <c r="E2655">
        <v>3509</v>
      </c>
      <c r="F2655">
        <v>20286001</v>
      </c>
      <c r="G2655">
        <v>20374200</v>
      </c>
      <c r="H2655">
        <f t="shared" si="82"/>
        <v>460.00002267573694</v>
      </c>
      <c r="I2655">
        <f t="shared" si="83"/>
        <v>462</v>
      </c>
      <c r="J2655" t="s">
        <v>25</v>
      </c>
      <c r="K2655">
        <v>7</v>
      </c>
      <c r="L2655" t="e">
        <f t="array" ref="L2655">VLOOKUP(J2655:$J$3871&amp;K2655:$K$3871,CHOOSE({1,2},#REF!&amp;#REF!,#REF!),2,0)</f>
        <v>#N/A</v>
      </c>
      <c r="M2655">
        <v>0</v>
      </c>
      <c r="N2655">
        <v>1</v>
      </c>
      <c r="O2655" t="s">
        <v>23</v>
      </c>
      <c r="P2655">
        <v>0</v>
      </c>
      <c r="Q2655">
        <v>1</v>
      </c>
      <c r="R2655">
        <v>0</v>
      </c>
      <c r="S2655">
        <v>0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0</v>
      </c>
      <c r="Z2655">
        <v>1</v>
      </c>
      <c r="AA2655" t="s">
        <v>2316</v>
      </c>
      <c r="AB2655" t="s">
        <v>445</v>
      </c>
      <c r="AC2655" t="s">
        <v>2316</v>
      </c>
      <c r="AD2655" t="e">
        <f>VLOOKUP(AB2655,#REF!,2,FALSE)</f>
        <v>#REF!</v>
      </c>
      <c r="AE2655" t="e">
        <f>RIGHT(#REF!,(FIND("Complex",#REF!,1)-7))</f>
        <v>#REF!</v>
      </c>
    </row>
    <row r="2656" spans="1:31" x14ac:dyDescent="0.25">
      <c r="A2656">
        <v>3031</v>
      </c>
      <c r="B2656" t="s">
        <v>81</v>
      </c>
      <c r="C2656">
        <v>5</v>
      </c>
      <c r="D2656">
        <v>1028</v>
      </c>
      <c r="E2656">
        <v>3031</v>
      </c>
      <c r="F2656">
        <v>20109601</v>
      </c>
      <c r="G2656">
        <v>20197800</v>
      </c>
      <c r="H2656">
        <f t="shared" si="82"/>
        <v>456.00002267573694</v>
      </c>
      <c r="I2656">
        <f t="shared" si="83"/>
        <v>458</v>
      </c>
      <c r="J2656" t="s">
        <v>25</v>
      </c>
      <c r="K2656">
        <v>7</v>
      </c>
      <c r="L2656" t="e">
        <f t="array" ref="L2656">VLOOKUP(J2656:$J$3871&amp;K2656:$K$3871,CHOOSE({1,2},#REF!&amp;#REF!,#REF!),2,0)</f>
        <v>#N/A</v>
      </c>
      <c r="M2656">
        <v>0</v>
      </c>
      <c r="N2656">
        <v>1</v>
      </c>
      <c r="O2656" t="s">
        <v>23</v>
      </c>
      <c r="P2656">
        <v>1</v>
      </c>
      <c r="Q2656">
        <v>1</v>
      </c>
      <c r="R2656">
        <v>0</v>
      </c>
      <c r="S2656">
        <v>0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0</v>
      </c>
      <c r="Z2656">
        <v>0</v>
      </c>
      <c r="AA2656" t="s">
        <v>2317</v>
      </c>
      <c r="AB2656" t="s">
        <v>446</v>
      </c>
      <c r="AC2656" t="s">
        <v>2317</v>
      </c>
      <c r="AD2656" t="e">
        <f>VLOOKUP(AB2656,#REF!,2,FALSE)</f>
        <v>#REF!</v>
      </c>
      <c r="AE2656" t="e">
        <f>RIGHT(#REF!,(FIND("Complex",#REF!,1)-7))</f>
        <v>#REF!</v>
      </c>
    </row>
    <row r="2657" spans="1:31" x14ac:dyDescent="0.25">
      <c r="A2657">
        <v>3551</v>
      </c>
      <c r="B2657" t="s">
        <v>81</v>
      </c>
      <c r="C2657">
        <v>5</v>
      </c>
      <c r="D2657">
        <v>1130</v>
      </c>
      <c r="E2657">
        <v>3551</v>
      </c>
      <c r="F2657">
        <v>19404001</v>
      </c>
      <c r="G2657">
        <v>19492200</v>
      </c>
      <c r="H2657">
        <f t="shared" si="82"/>
        <v>440.00002267573694</v>
      </c>
      <c r="I2657">
        <f t="shared" si="83"/>
        <v>442</v>
      </c>
      <c r="J2657" t="s">
        <v>25</v>
      </c>
      <c r="K2657">
        <v>7</v>
      </c>
      <c r="L2657" t="e">
        <f t="array" ref="L2657">VLOOKUP(J2657:$J$3871&amp;K2657:$K$3871,CHOOSE({1,2},#REF!&amp;#REF!,#REF!),2,0)</f>
        <v>#N/A</v>
      </c>
      <c r="M2657">
        <v>0</v>
      </c>
      <c r="N2657">
        <v>1</v>
      </c>
      <c r="O2657" t="s">
        <v>23</v>
      </c>
      <c r="P2657">
        <v>1</v>
      </c>
      <c r="Q2657">
        <v>1</v>
      </c>
      <c r="R2657">
        <v>0</v>
      </c>
      <c r="S2657">
        <v>0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0</v>
      </c>
      <c r="Z2657">
        <v>0</v>
      </c>
      <c r="AA2657" t="s">
        <v>2324</v>
      </c>
      <c r="AB2657" t="s">
        <v>447</v>
      </c>
      <c r="AC2657" t="s">
        <v>2324</v>
      </c>
      <c r="AD2657" t="e">
        <f>VLOOKUP(AB2657,#REF!,2,FALSE)</f>
        <v>#REF!</v>
      </c>
      <c r="AE2657" t="e">
        <f>RIGHT(#REF!,(FIND("Complex",#REF!,1)-7))</f>
        <v>#REF!</v>
      </c>
    </row>
    <row r="2658" spans="1:31" x14ac:dyDescent="0.25">
      <c r="A2658">
        <v>2849</v>
      </c>
      <c r="B2658" t="s">
        <v>81</v>
      </c>
      <c r="C2658">
        <v>5</v>
      </c>
      <c r="D2658">
        <v>989</v>
      </c>
      <c r="E2658">
        <v>2849</v>
      </c>
      <c r="F2658">
        <v>19315801</v>
      </c>
      <c r="G2658">
        <v>19404000</v>
      </c>
      <c r="H2658">
        <f t="shared" si="82"/>
        <v>438.00002267573694</v>
      </c>
      <c r="I2658">
        <f t="shared" si="83"/>
        <v>440</v>
      </c>
      <c r="J2658" t="s">
        <v>25</v>
      </c>
      <c r="K2658">
        <v>7</v>
      </c>
      <c r="L2658" t="e">
        <f t="array" ref="L2658">VLOOKUP(J2658:$J$3871&amp;K2658:$K$3871,CHOOSE({1,2},#REF!&amp;#REF!,#REF!),2,0)</f>
        <v>#N/A</v>
      </c>
      <c r="M2658">
        <v>0</v>
      </c>
      <c r="N2658">
        <v>1</v>
      </c>
      <c r="O2658" t="s">
        <v>23</v>
      </c>
      <c r="P2658">
        <v>1</v>
      </c>
      <c r="Q2658">
        <v>1</v>
      </c>
      <c r="R2658">
        <v>0</v>
      </c>
      <c r="S2658">
        <v>0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0</v>
      </c>
      <c r="Z2658">
        <v>0</v>
      </c>
      <c r="AA2658" t="s">
        <v>2325</v>
      </c>
      <c r="AB2658" t="s">
        <v>448</v>
      </c>
      <c r="AC2658" t="s">
        <v>2325</v>
      </c>
      <c r="AD2658" t="e">
        <f>VLOOKUP(AB2658,#REF!,2,FALSE)</f>
        <v>#REF!</v>
      </c>
      <c r="AE2658" t="e">
        <f>RIGHT(#REF!,(FIND("Complex",#REF!,1)-6))</f>
        <v>#REF!</v>
      </c>
    </row>
    <row r="2659" spans="1:31" x14ac:dyDescent="0.25">
      <c r="A2659">
        <v>3576</v>
      </c>
      <c r="B2659" t="s">
        <v>81</v>
      </c>
      <c r="C2659">
        <v>5</v>
      </c>
      <c r="D2659">
        <v>1136</v>
      </c>
      <c r="E2659">
        <v>3576</v>
      </c>
      <c r="F2659">
        <v>19227601</v>
      </c>
      <c r="G2659">
        <v>19315800</v>
      </c>
      <c r="H2659">
        <f t="shared" si="82"/>
        <v>436.00002267573694</v>
      </c>
      <c r="I2659">
        <f t="shared" si="83"/>
        <v>438</v>
      </c>
      <c r="J2659" t="s">
        <v>25</v>
      </c>
      <c r="K2659">
        <v>7</v>
      </c>
      <c r="L2659" t="e">
        <f t="array" ref="L2659">VLOOKUP(J2659:$J$3871&amp;K2659:$K$3871,CHOOSE({1,2},#REF!&amp;#REF!,#REF!),2,0)</f>
        <v>#N/A</v>
      </c>
      <c r="M2659">
        <v>0</v>
      </c>
      <c r="N2659">
        <v>1</v>
      </c>
      <c r="O2659" t="s">
        <v>23</v>
      </c>
      <c r="P2659">
        <v>1</v>
      </c>
      <c r="Q2659">
        <v>1</v>
      </c>
      <c r="R2659">
        <v>0</v>
      </c>
      <c r="S2659">
        <v>0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0</v>
      </c>
      <c r="Z2659">
        <v>0</v>
      </c>
      <c r="AA2659" t="s">
        <v>2326</v>
      </c>
      <c r="AB2659" t="s">
        <v>449</v>
      </c>
      <c r="AC2659" t="s">
        <v>2326</v>
      </c>
      <c r="AD2659" t="e">
        <f>VLOOKUP(AB2659,#REF!,2,FALSE)</f>
        <v>#REF!</v>
      </c>
      <c r="AE2659" t="e">
        <f>RIGHT(#REF!,(FIND("Complex",#REF!,1)-7))</f>
        <v>#REF!</v>
      </c>
    </row>
    <row r="2660" spans="1:31" x14ac:dyDescent="0.25">
      <c r="A2660">
        <v>3258</v>
      </c>
      <c r="B2660" t="s">
        <v>81</v>
      </c>
      <c r="C2660">
        <v>5</v>
      </c>
      <c r="D2660">
        <v>1068</v>
      </c>
      <c r="E2660">
        <v>3258</v>
      </c>
      <c r="F2660">
        <v>18874801</v>
      </c>
      <c r="G2660">
        <v>18963000</v>
      </c>
      <c r="H2660">
        <f t="shared" si="82"/>
        <v>428.00002267573694</v>
      </c>
      <c r="I2660">
        <f t="shared" si="83"/>
        <v>430</v>
      </c>
      <c r="J2660" t="s">
        <v>25</v>
      </c>
      <c r="K2660">
        <v>7</v>
      </c>
      <c r="L2660" t="e">
        <f t="array" ref="L2660">VLOOKUP(J2660:$J$3871&amp;K2660:$K$3871,CHOOSE({1,2},#REF!&amp;#REF!,#REF!),2,0)</f>
        <v>#N/A</v>
      </c>
      <c r="M2660">
        <v>0</v>
      </c>
      <c r="N2660">
        <v>1</v>
      </c>
      <c r="O2660" t="s">
        <v>23</v>
      </c>
      <c r="P2660">
        <v>1</v>
      </c>
      <c r="Q2660">
        <v>1</v>
      </c>
      <c r="R2660">
        <v>0</v>
      </c>
      <c r="S2660">
        <v>0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0</v>
      </c>
      <c r="Z2660">
        <v>0</v>
      </c>
      <c r="AA2660" t="s">
        <v>2328</v>
      </c>
      <c r="AB2660" t="s">
        <v>450</v>
      </c>
      <c r="AC2660" t="s">
        <v>2328</v>
      </c>
      <c r="AD2660" t="e">
        <f>VLOOKUP(AB2660,#REF!,2,FALSE)</f>
        <v>#REF!</v>
      </c>
      <c r="AE2660" t="e">
        <f>RIGHT(#REF!,(FIND("Complex",#REF!,1)-7))</f>
        <v>#REF!</v>
      </c>
    </row>
    <row r="2661" spans="1:31" x14ac:dyDescent="0.25">
      <c r="A2661">
        <v>2798</v>
      </c>
      <c r="B2661" t="s">
        <v>94</v>
      </c>
      <c r="C2661">
        <v>7</v>
      </c>
      <c r="D2661">
        <v>980</v>
      </c>
      <c r="E2661">
        <v>2798</v>
      </c>
      <c r="F2661">
        <v>8379001</v>
      </c>
      <c r="G2661">
        <v>8467200</v>
      </c>
      <c r="H2661">
        <f t="shared" si="82"/>
        <v>190.00002267573697</v>
      </c>
      <c r="I2661">
        <f t="shared" si="83"/>
        <v>192</v>
      </c>
      <c r="J2661" t="s">
        <v>25</v>
      </c>
      <c r="K2661">
        <v>7</v>
      </c>
      <c r="L2661" t="e">
        <f t="array" ref="L2661">VLOOKUP(J2661:$J$3871&amp;K2661:$K$3871,CHOOSE({1,2},#REF!&amp;#REF!,#REF!),2,0)</f>
        <v>#N/A</v>
      </c>
      <c r="M2661">
        <v>0</v>
      </c>
      <c r="N2661">
        <v>1</v>
      </c>
      <c r="O2661" t="s">
        <v>23</v>
      </c>
      <c r="P2661">
        <v>0</v>
      </c>
      <c r="Q2661">
        <v>1</v>
      </c>
      <c r="R2661">
        <v>1</v>
      </c>
      <c r="S2661">
        <v>0</v>
      </c>
      <c r="T2661">
        <v>0</v>
      </c>
      <c r="U2661">
        <v>0</v>
      </c>
      <c r="V2661">
        <v>1</v>
      </c>
      <c r="W2661">
        <v>1</v>
      </c>
      <c r="X2661">
        <v>1</v>
      </c>
      <c r="Y2661">
        <v>1</v>
      </c>
      <c r="Z2661">
        <v>1</v>
      </c>
      <c r="AA2661" t="s">
        <v>2496</v>
      </c>
      <c r="AB2661" t="s">
        <v>476</v>
      </c>
      <c r="AC2661" t="s">
        <v>2496</v>
      </c>
      <c r="AD2661" t="e">
        <f>VLOOKUP(AB2661,#REF!,2,FALSE)</f>
        <v>#REF!</v>
      </c>
      <c r="AE2661" t="e">
        <f>RIGHT(#REF!,(FIND("Complex",#REF!,1)-6))</f>
        <v>#REF!</v>
      </c>
    </row>
    <row r="2662" spans="1:31" x14ac:dyDescent="0.25">
      <c r="A2662">
        <v>3101</v>
      </c>
      <c r="B2662" t="s">
        <v>94</v>
      </c>
      <c r="C2662">
        <v>7</v>
      </c>
      <c r="D2662">
        <v>1040</v>
      </c>
      <c r="E2662">
        <v>3101</v>
      </c>
      <c r="F2662">
        <v>8290801</v>
      </c>
      <c r="G2662">
        <v>8379000</v>
      </c>
      <c r="H2662">
        <f t="shared" si="82"/>
        <v>188.00002267573697</v>
      </c>
      <c r="I2662">
        <f t="shared" si="83"/>
        <v>190</v>
      </c>
      <c r="J2662" t="s">
        <v>25</v>
      </c>
      <c r="K2662">
        <v>7</v>
      </c>
      <c r="L2662" t="e">
        <f t="array" ref="L2662">VLOOKUP(J2662:$J$3871&amp;K2662:$K$3871,CHOOSE({1,2},#REF!&amp;#REF!,#REF!),2,0)</f>
        <v>#N/A</v>
      </c>
      <c r="M2662">
        <v>0</v>
      </c>
      <c r="N2662">
        <v>1</v>
      </c>
      <c r="O2662" t="s">
        <v>23</v>
      </c>
      <c r="P2662">
        <v>0</v>
      </c>
      <c r="Q2662">
        <v>1</v>
      </c>
      <c r="R2662">
        <v>1</v>
      </c>
      <c r="S2662">
        <v>0</v>
      </c>
      <c r="T2662">
        <v>0</v>
      </c>
      <c r="U2662">
        <v>0</v>
      </c>
      <c r="V2662">
        <v>1</v>
      </c>
      <c r="W2662">
        <v>1</v>
      </c>
      <c r="X2662">
        <v>1</v>
      </c>
      <c r="Y2662">
        <v>1</v>
      </c>
      <c r="Z2662">
        <v>1</v>
      </c>
      <c r="AA2662" t="s">
        <v>2499</v>
      </c>
      <c r="AB2662" t="s">
        <v>477</v>
      </c>
      <c r="AC2662" t="s">
        <v>2499</v>
      </c>
      <c r="AD2662" t="e">
        <f>VLOOKUP(AB2662,#REF!,2,FALSE)</f>
        <v>#REF!</v>
      </c>
      <c r="AE2662" t="e">
        <f>RIGHT(#REF!,(FIND("Complex",#REF!,1)-7))</f>
        <v>#REF!</v>
      </c>
    </row>
    <row r="2663" spans="1:31" x14ac:dyDescent="0.25">
      <c r="A2663">
        <v>3072</v>
      </c>
      <c r="B2663" t="s">
        <v>94</v>
      </c>
      <c r="C2663">
        <v>7</v>
      </c>
      <c r="D2663">
        <v>1034</v>
      </c>
      <c r="E2663">
        <v>3072</v>
      </c>
      <c r="F2663">
        <v>8202601</v>
      </c>
      <c r="G2663">
        <v>8290800</v>
      </c>
      <c r="H2663">
        <f t="shared" si="82"/>
        <v>186.00002267573697</v>
      </c>
      <c r="I2663">
        <f t="shared" si="83"/>
        <v>188</v>
      </c>
      <c r="J2663" t="s">
        <v>25</v>
      </c>
      <c r="K2663">
        <v>7</v>
      </c>
      <c r="L2663" t="e">
        <f t="array" ref="L2663">VLOOKUP(J2663:$J$3871&amp;K2663:$K$3871,CHOOSE({1,2},#REF!&amp;#REF!,#REF!),2,0)</f>
        <v>#N/A</v>
      </c>
      <c r="M2663">
        <v>0</v>
      </c>
      <c r="N2663">
        <v>1</v>
      </c>
      <c r="O2663" t="s">
        <v>23</v>
      </c>
      <c r="P2663">
        <v>0</v>
      </c>
      <c r="Q2663">
        <v>1</v>
      </c>
      <c r="R2663">
        <v>1</v>
      </c>
      <c r="S2663">
        <v>0</v>
      </c>
      <c r="T2663">
        <v>0</v>
      </c>
      <c r="U2663">
        <v>0</v>
      </c>
      <c r="V2663">
        <v>1</v>
      </c>
      <c r="W2663">
        <v>1</v>
      </c>
      <c r="X2663">
        <v>1</v>
      </c>
      <c r="Y2663">
        <v>1</v>
      </c>
      <c r="Z2663">
        <v>1</v>
      </c>
      <c r="AA2663" t="s">
        <v>2503</v>
      </c>
      <c r="AB2663" t="s">
        <v>478</v>
      </c>
      <c r="AC2663" t="s">
        <v>2503</v>
      </c>
      <c r="AD2663" t="e">
        <f>VLOOKUP(AB2663,#REF!,2,FALSE)</f>
        <v>#REF!</v>
      </c>
      <c r="AE2663" t="e">
        <f>RIGHT(#REF!,(FIND("Complex",#REF!,1)-7))</f>
        <v>#REF!</v>
      </c>
    </row>
    <row r="2664" spans="1:31" x14ac:dyDescent="0.25">
      <c r="A2664">
        <v>1374</v>
      </c>
      <c r="B2664" t="s">
        <v>94</v>
      </c>
      <c r="C2664">
        <v>7</v>
      </c>
      <c r="D2664">
        <v>601</v>
      </c>
      <c r="E2664">
        <v>1374</v>
      </c>
      <c r="F2664">
        <v>7849801</v>
      </c>
      <c r="G2664">
        <v>7938000</v>
      </c>
      <c r="H2664">
        <f t="shared" si="82"/>
        <v>178.00002267573697</v>
      </c>
      <c r="I2664">
        <f t="shared" si="83"/>
        <v>180</v>
      </c>
      <c r="J2664" t="s">
        <v>25</v>
      </c>
      <c r="K2664">
        <v>7</v>
      </c>
      <c r="L2664" t="e">
        <f t="array" ref="L2664">VLOOKUP(J2664:$J$3871&amp;K2664:$K$3871,CHOOSE({1,2},#REF!&amp;#REF!,#REF!),2,0)</f>
        <v>#N/A</v>
      </c>
      <c r="M2664">
        <v>0</v>
      </c>
      <c r="N2664">
        <v>1</v>
      </c>
      <c r="O2664" t="s">
        <v>23</v>
      </c>
      <c r="P2664">
        <v>0</v>
      </c>
      <c r="Q2664">
        <v>1</v>
      </c>
      <c r="R2664">
        <v>1</v>
      </c>
      <c r="S2664">
        <v>0</v>
      </c>
      <c r="T2664">
        <v>0</v>
      </c>
      <c r="U2664">
        <v>0</v>
      </c>
      <c r="V2664">
        <v>1</v>
      </c>
      <c r="W2664">
        <v>1</v>
      </c>
      <c r="X2664">
        <v>1</v>
      </c>
      <c r="Y2664">
        <v>1</v>
      </c>
      <c r="Z2664">
        <v>1</v>
      </c>
      <c r="AA2664" t="s">
        <v>2516</v>
      </c>
      <c r="AB2664" t="s">
        <v>479</v>
      </c>
      <c r="AC2664" t="s">
        <v>2516</v>
      </c>
      <c r="AD2664" t="e">
        <f>VLOOKUP(AB2664,#REF!,2,FALSE)</f>
        <v>#REF!</v>
      </c>
      <c r="AE2664" t="e">
        <f>RIGHT(#REF!,(FIND("Complex",#REF!,1)-6))</f>
        <v>#REF!</v>
      </c>
    </row>
    <row r="2665" spans="1:31" x14ac:dyDescent="0.25">
      <c r="A2665">
        <v>2201</v>
      </c>
      <c r="B2665" t="s">
        <v>94</v>
      </c>
      <c r="C2665">
        <v>7</v>
      </c>
      <c r="D2665">
        <v>913</v>
      </c>
      <c r="E2665">
        <v>2201</v>
      </c>
      <c r="F2665">
        <v>7585201</v>
      </c>
      <c r="G2665">
        <v>7673400</v>
      </c>
      <c r="H2665">
        <f t="shared" si="82"/>
        <v>172.00002267573697</v>
      </c>
      <c r="I2665">
        <f t="shared" si="83"/>
        <v>174</v>
      </c>
      <c r="J2665" t="s">
        <v>25</v>
      </c>
      <c r="K2665">
        <v>7</v>
      </c>
      <c r="L2665" t="e">
        <f t="array" ref="L2665">VLOOKUP(J2665:$J$3871&amp;K2665:$K$3871,CHOOSE({1,2},#REF!&amp;#REF!,#REF!),2,0)</f>
        <v>#N/A</v>
      </c>
      <c r="M2665">
        <v>0</v>
      </c>
      <c r="N2665">
        <v>1</v>
      </c>
      <c r="O2665" t="s">
        <v>23</v>
      </c>
      <c r="P2665">
        <v>0</v>
      </c>
      <c r="Q2665">
        <v>1</v>
      </c>
      <c r="R2665">
        <v>1</v>
      </c>
      <c r="S2665">
        <v>0</v>
      </c>
      <c r="T2665">
        <v>0</v>
      </c>
      <c r="U2665">
        <v>0</v>
      </c>
      <c r="V2665">
        <v>1</v>
      </c>
      <c r="W2665">
        <v>1</v>
      </c>
      <c r="X2665">
        <v>1</v>
      </c>
      <c r="Y2665">
        <v>1</v>
      </c>
      <c r="Z2665">
        <v>1</v>
      </c>
      <c r="AA2665" t="s">
        <v>2522</v>
      </c>
      <c r="AB2665" t="s">
        <v>480</v>
      </c>
      <c r="AC2665" t="s">
        <v>2522</v>
      </c>
      <c r="AD2665" t="e">
        <f>VLOOKUP(AB2665,#REF!,2,FALSE)</f>
        <v>#REF!</v>
      </c>
      <c r="AE2665" t="e">
        <f>RIGHT(#REF!,(FIND("Complex",#REF!,1)-6))</f>
        <v>#REF!</v>
      </c>
    </row>
    <row r="2666" spans="1:31" x14ac:dyDescent="0.25">
      <c r="A2666">
        <v>3035</v>
      </c>
      <c r="B2666" t="s">
        <v>94</v>
      </c>
      <c r="C2666">
        <v>7</v>
      </c>
      <c r="D2666">
        <v>1029</v>
      </c>
      <c r="E2666">
        <v>3035</v>
      </c>
      <c r="F2666">
        <v>7320601</v>
      </c>
      <c r="G2666">
        <v>7408800</v>
      </c>
      <c r="H2666">
        <f t="shared" si="82"/>
        <v>166.00002267573697</v>
      </c>
      <c r="I2666">
        <f t="shared" si="83"/>
        <v>168</v>
      </c>
      <c r="J2666" t="s">
        <v>25</v>
      </c>
      <c r="K2666">
        <v>7</v>
      </c>
      <c r="L2666" t="e">
        <f t="array" ref="L2666">VLOOKUP(J2666:$J$3871&amp;K2666:$K$3871,CHOOSE({1,2},#REF!&amp;#REF!,#REF!),2,0)</f>
        <v>#N/A</v>
      </c>
      <c r="M2666">
        <v>0</v>
      </c>
      <c r="N2666">
        <v>1</v>
      </c>
      <c r="O2666" t="s">
        <v>23</v>
      </c>
      <c r="P2666">
        <v>0</v>
      </c>
      <c r="Q2666">
        <v>1</v>
      </c>
      <c r="R2666">
        <v>1</v>
      </c>
      <c r="S2666">
        <v>0</v>
      </c>
      <c r="T2666">
        <v>0</v>
      </c>
      <c r="U2666">
        <v>0</v>
      </c>
      <c r="V2666">
        <v>1</v>
      </c>
      <c r="W2666">
        <v>1</v>
      </c>
      <c r="X2666">
        <v>1</v>
      </c>
      <c r="Y2666">
        <v>1</v>
      </c>
      <c r="Z2666">
        <v>1</v>
      </c>
      <c r="AA2666" t="s">
        <v>2528</v>
      </c>
      <c r="AB2666" t="s">
        <v>128</v>
      </c>
      <c r="AC2666" t="s">
        <v>2528</v>
      </c>
      <c r="AD2666" t="e">
        <f>VLOOKUP(AB2666,#REF!,2,FALSE)</f>
        <v>#REF!</v>
      </c>
      <c r="AE2666" t="e">
        <f>RIGHT(#REF!,(FIND("Complex",#REF!,1)-7))</f>
        <v>#REF!</v>
      </c>
    </row>
    <row r="2667" spans="1:31" x14ac:dyDescent="0.25">
      <c r="A2667">
        <v>3226</v>
      </c>
      <c r="B2667" t="s">
        <v>89</v>
      </c>
      <c r="C2667">
        <v>8</v>
      </c>
      <c r="D2667">
        <v>1060</v>
      </c>
      <c r="E2667">
        <v>3226</v>
      </c>
      <c r="F2667">
        <v>3351601</v>
      </c>
      <c r="G2667">
        <v>3439800</v>
      </c>
      <c r="H2667">
        <f t="shared" si="82"/>
        <v>76.000022675736957</v>
      </c>
      <c r="I2667">
        <f t="shared" si="83"/>
        <v>78</v>
      </c>
      <c r="J2667" t="s">
        <v>25</v>
      </c>
      <c r="K2667">
        <v>7</v>
      </c>
      <c r="L2667" t="e">
        <f t="array" ref="L2667">VLOOKUP(J2667:$J$3871&amp;K2667:$K$3871,CHOOSE({1,2},#REF!&amp;#REF!,#REF!),2,0)</f>
        <v>#N/A</v>
      </c>
      <c r="M2667">
        <v>0</v>
      </c>
      <c r="N2667">
        <v>1</v>
      </c>
      <c r="O2667" t="s">
        <v>23</v>
      </c>
      <c r="P2667">
        <v>1</v>
      </c>
      <c r="Q2667">
        <v>1</v>
      </c>
      <c r="R2667">
        <v>0</v>
      </c>
      <c r="S2667">
        <v>1</v>
      </c>
      <c r="T2667">
        <v>1</v>
      </c>
      <c r="U2667">
        <v>0</v>
      </c>
      <c r="V2667">
        <v>0</v>
      </c>
      <c r="W2667">
        <v>1</v>
      </c>
      <c r="X2667">
        <v>1</v>
      </c>
      <c r="Y2667">
        <v>1</v>
      </c>
      <c r="Z2667">
        <v>0</v>
      </c>
      <c r="AA2667" t="s">
        <v>2299</v>
      </c>
      <c r="AB2667" t="s">
        <v>510</v>
      </c>
      <c r="AC2667" t="s">
        <v>2299</v>
      </c>
      <c r="AD2667" t="e">
        <f>VLOOKUP(AB2667,#REF!,2,FALSE)</f>
        <v>#REF!</v>
      </c>
      <c r="AE2667" t="e">
        <f>RIGHT(#REF!,(FIND("Complex",#REF!,1)-8))</f>
        <v>#REF!</v>
      </c>
    </row>
    <row r="2668" spans="1:31" x14ac:dyDescent="0.25">
      <c r="A2668">
        <v>1644</v>
      </c>
      <c r="B2668" t="s">
        <v>79</v>
      </c>
      <c r="C2668">
        <v>13</v>
      </c>
      <c r="D2668">
        <v>719</v>
      </c>
      <c r="E2668">
        <v>1644</v>
      </c>
      <c r="F2668">
        <v>4145401</v>
      </c>
      <c r="G2668">
        <v>4233600</v>
      </c>
      <c r="H2668">
        <f t="shared" si="82"/>
        <v>94.000022675736957</v>
      </c>
      <c r="I2668">
        <f t="shared" si="83"/>
        <v>96</v>
      </c>
      <c r="J2668" t="s">
        <v>25</v>
      </c>
      <c r="K2668">
        <v>7</v>
      </c>
      <c r="L2668" t="e">
        <f t="array" ref="L2668">VLOOKUP(J2668:$J$3871&amp;K2668:$K$3871,CHOOSE({1,2},#REF!&amp;#REF!,#REF!),2,0)</f>
        <v>#N/A</v>
      </c>
      <c r="M2668">
        <v>0</v>
      </c>
      <c r="N2668">
        <v>1</v>
      </c>
      <c r="O2668" t="s">
        <v>23</v>
      </c>
      <c r="P2668">
        <v>1</v>
      </c>
      <c r="Q2668">
        <v>1</v>
      </c>
      <c r="R2668">
        <v>1</v>
      </c>
      <c r="S2668">
        <v>0</v>
      </c>
      <c r="T2668">
        <v>0</v>
      </c>
      <c r="U2668">
        <v>1</v>
      </c>
      <c r="V2668">
        <v>1</v>
      </c>
      <c r="W2668">
        <v>1</v>
      </c>
      <c r="X2668">
        <v>0</v>
      </c>
      <c r="Y2668">
        <v>1</v>
      </c>
      <c r="Z2668">
        <v>0</v>
      </c>
      <c r="AA2668" t="s">
        <v>2287</v>
      </c>
      <c r="AB2668" t="s">
        <v>561</v>
      </c>
      <c r="AC2668" t="s">
        <v>2287</v>
      </c>
      <c r="AD2668" t="e">
        <f>VLOOKUP(AB2668,#REF!,2,FALSE)</f>
        <v>#REF!</v>
      </c>
      <c r="AE2668" t="e">
        <f>RIGHT(#REF!,(FIND("Complex",#REF!,1)-6))</f>
        <v>#REF!</v>
      </c>
    </row>
    <row r="2669" spans="1:31" x14ac:dyDescent="0.25">
      <c r="A2669">
        <v>3525</v>
      </c>
      <c r="B2669" t="s">
        <v>79</v>
      </c>
      <c r="C2669">
        <v>13</v>
      </c>
      <c r="D2669">
        <v>1124</v>
      </c>
      <c r="E2669">
        <v>3525</v>
      </c>
      <c r="F2669">
        <v>3792601</v>
      </c>
      <c r="G2669">
        <v>3880800</v>
      </c>
      <c r="H2669">
        <f t="shared" si="82"/>
        <v>86.000022675736957</v>
      </c>
      <c r="I2669">
        <f t="shared" si="83"/>
        <v>88</v>
      </c>
      <c r="J2669" t="s">
        <v>25</v>
      </c>
      <c r="K2669">
        <v>7</v>
      </c>
      <c r="L2669" t="e">
        <f t="array" ref="L2669">VLOOKUP(J2669:$J$3871&amp;K2669:$K$3871,CHOOSE({1,2},#REF!&amp;#REF!,#REF!),2,0)</f>
        <v>#N/A</v>
      </c>
      <c r="M2669">
        <v>0</v>
      </c>
      <c r="N2669">
        <v>1</v>
      </c>
      <c r="O2669" t="s">
        <v>23</v>
      </c>
      <c r="P2669">
        <v>1</v>
      </c>
      <c r="Q2669">
        <v>1</v>
      </c>
      <c r="R2669">
        <v>1</v>
      </c>
      <c r="S2669">
        <v>0</v>
      </c>
      <c r="T2669">
        <v>0</v>
      </c>
      <c r="U2669">
        <v>1</v>
      </c>
      <c r="V2669">
        <v>1</v>
      </c>
      <c r="W2669">
        <v>1</v>
      </c>
      <c r="X2669">
        <v>0</v>
      </c>
      <c r="Y2669">
        <v>1</v>
      </c>
      <c r="Z2669">
        <v>0</v>
      </c>
      <c r="AA2669" t="s">
        <v>2296</v>
      </c>
      <c r="AB2669" t="s">
        <v>562</v>
      </c>
      <c r="AC2669" t="s">
        <v>2296</v>
      </c>
      <c r="AD2669" t="e">
        <f>VLOOKUP(AB2669,#REF!,2,FALSE)</f>
        <v>#REF!</v>
      </c>
      <c r="AE2669" t="e">
        <f>RIGHT(#REF!,(FIND("Complex",#REF!,1)-7))</f>
        <v>#REF!</v>
      </c>
    </row>
    <row r="2670" spans="1:31" x14ac:dyDescent="0.25">
      <c r="A2670">
        <v>36</v>
      </c>
      <c r="B2670" t="s">
        <v>79</v>
      </c>
      <c r="C2670">
        <v>13</v>
      </c>
      <c r="D2670">
        <v>17</v>
      </c>
      <c r="E2670">
        <v>36</v>
      </c>
      <c r="F2670">
        <v>9790201</v>
      </c>
      <c r="G2670">
        <v>9878400</v>
      </c>
      <c r="H2670">
        <f t="shared" si="82"/>
        <v>222.00002267573697</v>
      </c>
      <c r="I2670">
        <f t="shared" si="83"/>
        <v>224</v>
      </c>
      <c r="J2670" t="s">
        <v>25</v>
      </c>
      <c r="K2670">
        <v>7</v>
      </c>
      <c r="L2670" t="e">
        <f t="array" ref="L2670">VLOOKUP(J2670:$J$3871&amp;K2670:$K$3871,CHOOSE({1,2},#REF!&amp;#REF!,#REF!),2,0)</f>
        <v>#N/A</v>
      </c>
      <c r="M2670">
        <v>0</v>
      </c>
      <c r="N2670">
        <v>1</v>
      </c>
      <c r="O2670" t="s">
        <v>23</v>
      </c>
      <c r="P2670">
        <v>1</v>
      </c>
      <c r="Q2670">
        <v>1</v>
      </c>
      <c r="R2670">
        <v>1</v>
      </c>
      <c r="S2670">
        <v>0</v>
      </c>
      <c r="T2670">
        <v>1</v>
      </c>
      <c r="U2670">
        <v>1</v>
      </c>
      <c r="V2670">
        <v>0</v>
      </c>
      <c r="W2670">
        <v>1</v>
      </c>
      <c r="X2670">
        <v>0</v>
      </c>
      <c r="Y2670">
        <v>1</v>
      </c>
      <c r="Z2670">
        <v>0</v>
      </c>
      <c r="AA2670" t="s">
        <v>2448</v>
      </c>
      <c r="AB2670" t="s">
        <v>563</v>
      </c>
      <c r="AC2670" t="s">
        <v>2448</v>
      </c>
      <c r="AD2670" t="e">
        <f>VLOOKUP(AB2670,#REF!,2,FALSE)</f>
        <v>#REF!</v>
      </c>
      <c r="AE2670" t="e">
        <f>RIGHT(#REF!,(FIND("Complex",#REF!,1)-3))</f>
        <v>#REF!</v>
      </c>
    </row>
    <row r="2671" spans="1:31" x14ac:dyDescent="0.25">
      <c r="A2671">
        <v>1421</v>
      </c>
      <c r="B2671" t="s">
        <v>79</v>
      </c>
      <c r="C2671">
        <v>13</v>
      </c>
      <c r="D2671">
        <v>622</v>
      </c>
      <c r="E2671">
        <v>1421</v>
      </c>
      <c r="F2671">
        <v>8643601</v>
      </c>
      <c r="G2671">
        <v>8731800</v>
      </c>
      <c r="H2671">
        <f t="shared" si="82"/>
        <v>196.00002267573697</v>
      </c>
      <c r="I2671">
        <f t="shared" si="83"/>
        <v>198</v>
      </c>
      <c r="J2671" t="s">
        <v>25</v>
      </c>
      <c r="K2671">
        <v>7</v>
      </c>
      <c r="L2671" t="e">
        <f t="array" ref="L2671">VLOOKUP(J2671:$J$3871&amp;K2671:$K$3871,CHOOSE({1,2},#REF!&amp;#REF!,#REF!),2,0)</f>
        <v>#N/A</v>
      </c>
      <c r="M2671">
        <v>0</v>
      </c>
      <c r="N2671">
        <v>1</v>
      </c>
      <c r="O2671" t="s">
        <v>23</v>
      </c>
      <c r="P2671">
        <v>1</v>
      </c>
      <c r="Q2671">
        <v>1</v>
      </c>
      <c r="R2671">
        <v>1</v>
      </c>
      <c r="S2671">
        <v>0</v>
      </c>
      <c r="T2671">
        <v>1</v>
      </c>
      <c r="U2671">
        <v>1</v>
      </c>
      <c r="V2671">
        <v>0</v>
      </c>
      <c r="W2671">
        <v>1</v>
      </c>
      <c r="X2671">
        <v>0</v>
      </c>
      <c r="Y2671">
        <v>1</v>
      </c>
      <c r="Z2671">
        <v>0</v>
      </c>
      <c r="AA2671" t="s">
        <v>2490</v>
      </c>
      <c r="AB2671" t="s">
        <v>564</v>
      </c>
      <c r="AC2671" t="s">
        <v>2490</v>
      </c>
      <c r="AD2671" t="e">
        <f>VLOOKUP(AB2671,#REF!,2,FALSE)</f>
        <v>#REF!</v>
      </c>
      <c r="AE2671" t="e">
        <f>RIGHT(#REF!,(FIND("Complex",#REF!,1)-5))</f>
        <v>#REF!</v>
      </c>
    </row>
    <row r="2672" spans="1:31" x14ac:dyDescent="0.25">
      <c r="A2672">
        <v>2077</v>
      </c>
      <c r="B2672" t="s">
        <v>79</v>
      </c>
      <c r="C2672">
        <v>13</v>
      </c>
      <c r="D2672">
        <v>878</v>
      </c>
      <c r="E2672">
        <v>2077</v>
      </c>
      <c r="F2672">
        <v>5997601</v>
      </c>
      <c r="G2672">
        <v>6085800</v>
      </c>
      <c r="H2672">
        <f t="shared" si="82"/>
        <v>136.00002267573697</v>
      </c>
      <c r="I2672">
        <f t="shared" si="83"/>
        <v>138</v>
      </c>
      <c r="J2672" t="s">
        <v>25</v>
      </c>
      <c r="K2672">
        <v>7</v>
      </c>
      <c r="L2672" t="e">
        <f t="array" ref="L2672">VLOOKUP(J2672:$J$3871&amp;K2672:$K$3871,CHOOSE({1,2},#REF!&amp;#REF!,#REF!),2,0)</f>
        <v>#N/A</v>
      </c>
      <c r="M2672">
        <v>0</v>
      </c>
      <c r="N2672">
        <v>1</v>
      </c>
      <c r="O2672" t="s">
        <v>23</v>
      </c>
      <c r="P2672">
        <v>1</v>
      </c>
      <c r="Q2672">
        <v>1</v>
      </c>
      <c r="R2672">
        <v>1</v>
      </c>
      <c r="S2672">
        <v>0</v>
      </c>
      <c r="T2672">
        <v>0</v>
      </c>
      <c r="U2672">
        <v>1</v>
      </c>
      <c r="V2672">
        <v>1</v>
      </c>
      <c r="W2672">
        <v>1</v>
      </c>
      <c r="X2672">
        <v>0</v>
      </c>
      <c r="Y2672">
        <v>1</v>
      </c>
      <c r="Z2672">
        <v>0</v>
      </c>
      <c r="AA2672" t="s">
        <v>2556</v>
      </c>
      <c r="AB2672" t="s">
        <v>565</v>
      </c>
      <c r="AC2672" t="s">
        <v>2556</v>
      </c>
      <c r="AD2672" t="e">
        <f>VLOOKUP(AB2672,#REF!,2,FALSE)</f>
        <v>#REF!</v>
      </c>
      <c r="AE2672" t="e">
        <f>RIGHT(#REF!,(FIND("Complex",#REF!,1)-5))</f>
        <v>#REF!</v>
      </c>
    </row>
    <row r="2673" spans="1:31" x14ac:dyDescent="0.25">
      <c r="A2673">
        <v>507</v>
      </c>
      <c r="B2673" t="s">
        <v>79</v>
      </c>
      <c r="C2673">
        <v>13</v>
      </c>
      <c r="D2673">
        <v>208</v>
      </c>
      <c r="E2673">
        <v>507</v>
      </c>
      <c r="F2673">
        <v>5556601</v>
      </c>
      <c r="G2673">
        <v>5644800</v>
      </c>
      <c r="H2673">
        <f t="shared" si="82"/>
        <v>126.00002267573696</v>
      </c>
      <c r="I2673">
        <f t="shared" si="83"/>
        <v>128</v>
      </c>
      <c r="J2673" t="s">
        <v>25</v>
      </c>
      <c r="K2673">
        <v>7</v>
      </c>
      <c r="L2673" t="e">
        <f t="array" ref="L2673">VLOOKUP(J2673:$J$3871&amp;K2673:$K$3871,CHOOSE({1,2},#REF!&amp;#REF!,#REF!),2,0)</f>
        <v>#N/A</v>
      </c>
      <c r="M2673">
        <v>0</v>
      </c>
      <c r="N2673">
        <v>1</v>
      </c>
      <c r="O2673" t="s">
        <v>23</v>
      </c>
      <c r="P2673">
        <v>1</v>
      </c>
      <c r="Q2673">
        <v>1</v>
      </c>
      <c r="R2673">
        <v>1</v>
      </c>
      <c r="S2673">
        <v>0</v>
      </c>
      <c r="T2673">
        <v>1</v>
      </c>
      <c r="U2673">
        <v>1</v>
      </c>
      <c r="V2673">
        <v>0</v>
      </c>
      <c r="W2673">
        <v>1</v>
      </c>
      <c r="X2673">
        <v>0</v>
      </c>
      <c r="Y2673">
        <v>1</v>
      </c>
      <c r="Z2673">
        <v>0</v>
      </c>
      <c r="AA2673" t="s">
        <v>2572</v>
      </c>
      <c r="AB2673" t="s">
        <v>566</v>
      </c>
      <c r="AC2673" t="s">
        <v>2572</v>
      </c>
      <c r="AD2673" t="e">
        <f>VLOOKUP(AB2673,#REF!,2,FALSE)</f>
        <v>#REF!</v>
      </c>
      <c r="AE2673" t="e">
        <f>RIGHT(#REF!,(FIND("Complex",#REF!,1)-4))</f>
        <v>#REF!</v>
      </c>
    </row>
    <row r="2674" spans="1:31" x14ac:dyDescent="0.25">
      <c r="A2674">
        <v>1282</v>
      </c>
      <c r="B2674" t="s">
        <v>28</v>
      </c>
      <c r="C2674">
        <v>14</v>
      </c>
      <c r="D2674">
        <v>557</v>
      </c>
      <c r="E2674">
        <v>1282</v>
      </c>
      <c r="F2674">
        <v>13759201</v>
      </c>
      <c r="G2674">
        <v>13847400</v>
      </c>
      <c r="H2674">
        <f t="shared" si="82"/>
        <v>312.00002267573694</v>
      </c>
      <c r="I2674">
        <f t="shared" si="83"/>
        <v>314</v>
      </c>
      <c r="J2674" t="s">
        <v>25</v>
      </c>
      <c r="K2674">
        <v>7</v>
      </c>
      <c r="L2674" t="e">
        <f t="array" ref="L2674">VLOOKUP(J2674:$J$3871&amp;K2674:$K$3871,CHOOSE({1,2},#REF!&amp;#REF!,#REF!),2,0)</f>
        <v>#N/A</v>
      </c>
      <c r="M2674">
        <v>0</v>
      </c>
      <c r="N2674">
        <v>1</v>
      </c>
      <c r="O2674" t="s">
        <v>23</v>
      </c>
      <c r="P2674">
        <v>1</v>
      </c>
      <c r="Q2674">
        <v>1</v>
      </c>
      <c r="R2674">
        <v>0</v>
      </c>
      <c r="S2674">
        <v>1</v>
      </c>
      <c r="T2674">
        <v>1</v>
      </c>
      <c r="U2674">
        <v>0</v>
      </c>
      <c r="V2674">
        <v>0</v>
      </c>
      <c r="W2674">
        <v>1</v>
      </c>
      <c r="X2674">
        <v>1</v>
      </c>
      <c r="Y2674">
        <v>0</v>
      </c>
      <c r="Z2674">
        <v>1</v>
      </c>
      <c r="AA2674" t="s">
        <v>2344</v>
      </c>
      <c r="AB2674" t="s">
        <v>617</v>
      </c>
      <c r="AC2674" t="s">
        <v>2344</v>
      </c>
      <c r="AD2674" t="e">
        <f>VLOOKUP(AB2674,#REF!,2,FALSE)</f>
        <v>#REF!</v>
      </c>
      <c r="AE2674" t="e">
        <f>RIGHT(#REF!,(FIND("Complex",#REF!,1)-5))</f>
        <v>#REF!</v>
      </c>
    </row>
    <row r="2675" spans="1:31" x14ac:dyDescent="0.25">
      <c r="A2675">
        <v>3645</v>
      </c>
      <c r="B2675" t="s">
        <v>28</v>
      </c>
      <c r="C2675">
        <v>14</v>
      </c>
      <c r="D2675">
        <v>1158</v>
      </c>
      <c r="E2675">
        <v>3645</v>
      </c>
      <c r="F2675">
        <v>13494601</v>
      </c>
      <c r="G2675">
        <v>13582800</v>
      </c>
      <c r="H2675">
        <f t="shared" si="82"/>
        <v>306.00002267573694</v>
      </c>
      <c r="I2675">
        <f t="shared" si="83"/>
        <v>308</v>
      </c>
      <c r="J2675" t="s">
        <v>25</v>
      </c>
      <c r="K2675">
        <v>7</v>
      </c>
      <c r="L2675" t="e">
        <f t="array" ref="L2675">VLOOKUP(J2675:$J$3871&amp;K2675:$K$3871,CHOOSE({1,2},#REF!&amp;#REF!,#REF!),2,0)</f>
        <v>#N/A</v>
      </c>
      <c r="M2675">
        <v>0</v>
      </c>
      <c r="N2675">
        <v>1</v>
      </c>
      <c r="O2675" t="s">
        <v>23</v>
      </c>
      <c r="P2675">
        <v>1</v>
      </c>
      <c r="Q2675">
        <v>1</v>
      </c>
      <c r="R2675">
        <v>0</v>
      </c>
      <c r="S2675">
        <v>1</v>
      </c>
      <c r="T2675">
        <v>1</v>
      </c>
      <c r="U2675">
        <v>0</v>
      </c>
      <c r="V2675">
        <v>0</v>
      </c>
      <c r="W2675">
        <v>1</v>
      </c>
      <c r="X2675">
        <v>1</v>
      </c>
      <c r="Y2675">
        <v>0</v>
      </c>
      <c r="Z2675">
        <v>1</v>
      </c>
      <c r="AA2675" t="s">
        <v>2346</v>
      </c>
      <c r="AB2675" t="s">
        <v>104</v>
      </c>
      <c r="AC2675" t="s">
        <v>2346</v>
      </c>
      <c r="AD2675" t="e">
        <f>VLOOKUP(AB2675,#REF!,2,FALSE)</f>
        <v>#REF!</v>
      </c>
      <c r="AE2675" t="e">
        <f>RIGHT(#REF!,(FIND("Complex",#REF!,1)-6))</f>
        <v>#REF!</v>
      </c>
    </row>
    <row r="2676" spans="1:31" x14ac:dyDescent="0.25">
      <c r="A2676">
        <v>1126</v>
      </c>
      <c r="B2676" t="s">
        <v>28</v>
      </c>
      <c r="C2676">
        <v>14</v>
      </c>
      <c r="D2676">
        <v>503</v>
      </c>
      <c r="E2676">
        <v>1126</v>
      </c>
      <c r="F2676">
        <v>11995201</v>
      </c>
      <c r="G2676">
        <v>12083400</v>
      </c>
      <c r="H2676">
        <f t="shared" si="82"/>
        <v>272.00002267573694</v>
      </c>
      <c r="I2676">
        <f t="shared" si="83"/>
        <v>274</v>
      </c>
      <c r="J2676" t="s">
        <v>25</v>
      </c>
      <c r="K2676">
        <v>7</v>
      </c>
      <c r="L2676" t="e">
        <f t="array" ref="L2676">VLOOKUP(J2676:$J$3871&amp;K2676:$K$3871,CHOOSE({1,2},#REF!&amp;#REF!,#REF!),2,0)</f>
        <v>#N/A</v>
      </c>
      <c r="M2676">
        <v>0</v>
      </c>
      <c r="N2676">
        <v>1</v>
      </c>
      <c r="O2676" t="s">
        <v>23</v>
      </c>
      <c r="P2676">
        <v>1</v>
      </c>
      <c r="Q2676">
        <v>1</v>
      </c>
      <c r="R2676">
        <v>0</v>
      </c>
      <c r="S2676">
        <v>1</v>
      </c>
      <c r="T2676">
        <v>1</v>
      </c>
      <c r="U2676">
        <v>0</v>
      </c>
      <c r="V2676">
        <v>0</v>
      </c>
      <c r="W2676">
        <v>1</v>
      </c>
      <c r="X2676">
        <v>1</v>
      </c>
      <c r="Y2676">
        <v>0</v>
      </c>
      <c r="Z2676">
        <v>1</v>
      </c>
      <c r="AA2676" t="s">
        <v>2364</v>
      </c>
      <c r="AB2676" t="s">
        <v>618</v>
      </c>
      <c r="AC2676" t="s">
        <v>2364</v>
      </c>
      <c r="AD2676" t="e">
        <f>VLOOKUP(AB2676,#REF!,2,FALSE)</f>
        <v>#REF!</v>
      </c>
      <c r="AE2676" t="e">
        <f>RIGHT(#REF!,(FIND("Complex",#REF!,1)-5))</f>
        <v>#REF!</v>
      </c>
    </row>
    <row r="2677" spans="1:31" x14ac:dyDescent="0.25">
      <c r="A2677">
        <v>795</v>
      </c>
      <c r="B2677" t="s">
        <v>28</v>
      </c>
      <c r="C2677">
        <v>14</v>
      </c>
      <c r="D2677">
        <v>357</v>
      </c>
      <c r="E2677">
        <v>795</v>
      </c>
      <c r="F2677">
        <v>11113201</v>
      </c>
      <c r="G2677">
        <v>11201400</v>
      </c>
      <c r="H2677">
        <f t="shared" si="82"/>
        <v>252.00002267573697</v>
      </c>
      <c r="I2677">
        <f t="shared" si="83"/>
        <v>254</v>
      </c>
      <c r="J2677" t="s">
        <v>25</v>
      </c>
      <c r="K2677">
        <v>7</v>
      </c>
      <c r="L2677" t="e">
        <f t="array" ref="L2677">VLOOKUP(J2677:$J$3871&amp;K2677:$K$3871,CHOOSE({1,2},#REF!&amp;#REF!,#REF!),2,0)</f>
        <v>#N/A</v>
      </c>
      <c r="M2677">
        <v>0</v>
      </c>
      <c r="N2677">
        <v>1</v>
      </c>
      <c r="O2677" t="s">
        <v>23</v>
      </c>
      <c r="P2677">
        <v>1</v>
      </c>
      <c r="Q2677">
        <v>1</v>
      </c>
      <c r="R2677">
        <v>0</v>
      </c>
      <c r="S2677">
        <v>1</v>
      </c>
      <c r="T2677">
        <v>1</v>
      </c>
      <c r="U2677">
        <v>0</v>
      </c>
      <c r="V2677">
        <v>0</v>
      </c>
      <c r="W2677">
        <v>1</v>
      </c>
      <c r="X2677">
        <v>1</v>
      </c>
      <c r="Y2677">
        <v>0</v>
      </c>
      <c r="Z2677">
        <v>1</v>
      </c>
      <c r="AA2677" t="s">
        <v>2394</v>
      </c>
      <c r="AB2677" t="s">
        <v>619</v>
      </c>
      <c r="AC2677" t="s">
        <v>2394</v>
      </c>
      <c r="AD2677" t="e">
        <f>VLOOKUP(AB2677,#REF!,2,FALSE)</f>
        <v>#REF!</v>
      </c>
      <c r="AE2677" t="e">
        <f>RIGHT(#REF!,(FIND("Complex",#REF!,1)-4))</f>
        <v>#REF!</v>
      </c>
    </row>
    <row r="2678" spans="1:31" x14ac:dyDescent="0.25">
      <c r="A2678">
        <v>3777</v>
      </c>
      <c r="B2678" t="s">
        <v>28</v>
      </c>
      <c r="C2678">
        <v>14</v>
      </c>
      <c r="D2678">
        <v>1203</v>
      </c>
      <c r="E2678">
        <v>3777</v>
      </c>
      <c r="F2678">
        <v>10848601</v>
      </c>
      <c r="G2678">
        <v>10936800</v>
      </c>
      <c r="H2678">
        <f t="shared" si="82"/>
        <v>246.00002267573697</v>
      </c>
      <c r="I2678">
        <f t="shared" si="83"/>
        <v>248</v>
      </c>
      <c r="J2678" t="s">
        <v>25</v>
      </c>
      <c r="K2678">
        <v>7</v>
      </c>
      <c r="L2678" t="e">
        <f t="array" ref="L2678">VLOOKUP(J2678:$J$3871&amp;K2678:$K$3871,CHOOSE({1,2},#REF!&amp;#REF!,#REF!),2,0)</f>
        <v>#N/A</v>
      </c>
      <c r="M2678">
        <v>0</v>
      </c>
      <c r="N2678">
        <v>1</v>
      </c>
      <c r="O2678" t="s">
        <v>23</v>
      </c>
      <c r="P2678">
        <v>1</v>
      </c>
      <c r="Q2678">
        <v>1</v>
      </c>
      <c r="R2678">
        <v>0</v>
      </c>
      <c r="S2678">
        <v>1</v>
      </c>
      <c r="T2678">
        <v>1</v>
      </c>
      <c r="U2678">
        <v>0</v>
      </c>
      <c r="V2678">
        <v>0</v>
      </c>
      <c r="W2678">
        <v>1</v>
      </c>
      <c r="X2678">
        <v>1</v>
      </c>
      <c r="Y2678">
        <v>0</v>
      </c>
      <c r="Z2678">
        <v>1</v>
      </c>
      <c r="AA2678" t="s">
        <v>2404</v>
      </c>
      <c r="AB2678" t="s">
        <v>620</v>
      </c>
      <c r="AC2678" t="s">
        <v>2404</v>
      </c>
      <c r="AD2678" t="e">
        <f>VLOOKUP(AB2678,#REF!,2,FALSE)</f>
        <v>#REF!</v>
      </c>
      <c r="AE2678" t="e">
        <f>RIGHT(#REF!,(FIND("Complex",#REF!,1)-6))</f>
        <v>#REF!</v>
      </c>
    </row>
    <row r="2679" spans="1:31" x14ac:dyDescent="0.25">
      <c r="A2679">
        <v>3794</v>
      </c>
      <c r="B2679" t="s">
        <v>28</v>
      </c>
      <c r="C2679">
        <v>14</v>
      </c>
      <c r="D2679">
        <v>1204</v>
      </c>
      <c r="E2679">
        <v>3794</v>
      </c>
      <c r="F2679">
        <v>10672201</v>
      </c>
      <c r="G2679">
        <v>10760400</v>
      </c>
      <c r="H2679">
        <f t="shared" si="82"/>
        <v>242.00002267573697</v>
      </c>
      <c r="I2679">
        <f t="shared" si="83"/>
        <v>244</v>
      </c>
      <c r="J2679" t="s">
        <v>25</v>
      </c>
      <c r="K2679">
        <v>7</v>
      </c>
      <c r="L2679" t="e">
        <f t="array" ref="L2679">VLOOKUP(J2679:$J$3871&amp;K2679:$K$3871,CHOOSE({1,2},#REF!&amp;#REF!,#REF!),2,0)</f>
        <v>#N/A</v>
      </c>
      <c r="M2679">
        <v>0</v>
      </c>
      <c r="N2679">
        <v>1</v>
      </c>
      <c r="O2679" t="s">
        <v>23</v>
      </c>
      <c r="P2679">
        <v>1</v>
      </c>
      <c r="Q2679">
        <v>1</v>
      </c>
      <c r="R2679">
        <v>0</v>
      </c>
      <c r="S2679">
        <v>1</v>
      </c>
      <c r="T2679">
        <v>1</v>
      </c>
      <c r="U2679">
        <v>0</v>
      </c>
      <c r="V2679">
        <v>0</v>
      </c>
      <c r="W2679">
        <v>1</v>
      </c>
      <c r="X2679">
        <v>1</v>
      </c>
      <c r="Y2679">
        <v>0</v>
      </c>
      <c r="Z2679">
        <v>1</v>
      </c>
      <c r="AA2679" t="s">
        <v>2410</v>
      </c>
      <c r="AB2679" t="s">
        <v>621</v>
      </c>
      <c r="AC2679" t="s">
        <v>2410</v>
      </c>
      <c r="AD2679" t="e">
        <f>VLOOKUP(AB2679,#REF!,2,FALSE)</f>
        <v>#REF!</v>
      </c>
      <c r="AE2679" t="e">
        <f>RIGHT(#REF!,(FIND("Complex",#REF!,1)-6))</f>
        <v>#REF!</v>
      </c>
    </row>
    <row r="2680" spans="1:31" x14ac:dyDescent="0.25">
      <c r="A2680">
        <v>3694</v>
      </c>
      <c r="B2680" t="s">
        <v>28</v>
      </c>
      <c r="C2680">
        <v>14</v>
      </c>
      <c r="D2680">
        <v>1175</v>
      </c>
      <c r="E2680">
        <v>3694</v>
      </c>
      <c r="F2680">
        <v>9172801</v>
      </c>
      <c r="G2680">
        <v>9261000</v>
      </c>
      <c r="H2680">
        <f t="shared" si="82"/>
        <v>208.00002267573697</v>
      </c>
      <c r="I2680">
        <f t="shared" si="83"/>
        <v>210</v>
      </c>
      <c r="J2680" t="s">
        <v>25</v>
      </c>
      <c r="K2680">
        <v>7</v>
      </c>
      <c r="L2680" t="e">
        <f t="array" ref="L2680">VLOOKUP(J2680:$J$3871&amp;K2680:$K$3871,CHOOSE({1,2},#REF!&amp;#REF!,#REF!),2,0)</f>
        <v>#N/A</v>
      </c>
      <c r="M2680">
        <v>0</v>
      </c>
      <c r="N2680">
        <v>1</v>
      </c>
      <c r="O2680" t="s">
        <v>23</v>
      </c>
      <c r="P2680">
        <v>1</v>
      </c>
      <c r="Q2680">
        <v>1</v>
      </c>
      <c r="R2680">
        <v>0</v>
      </c>
      <c r="S2680">
        <v>1</v>
      </c>
      <c r="T2680">
        <v>1</v>
      </c>
      <c r="U2680">
        <v>0</v>
      </c>
      <c r="V2680">
        <v>0</v>
      </c>
      <c r="W2680">
        <v>1</v>
      </c>
      <c r="X2680">
        <v>1</v>
      </c>
      <c r="Y2680">
        <v>0</v>
      </c>
      <c r="Z2680">
        <v>1</v>
      </c>
      <c r="AA2680" t="s">
        <v>2471</v>
      </c>
      <c r="AB2680" t="s">
        <v>622</v>
      </c>
      <c r="AC2680" t="s">
        <v>2471</v>
      </c>
      <c r="AD2680" t="e">
        <f>VLOOKUP(AB2680,#REF!,2,FALSE)</f>
        <v>#REF!</v>
      </c>
      <c r="AE2680" t="e">
        <f>RIGHT(#REF!,(FIND("Complex",#REF!,1)-6))</f>
        <v>#REF!</v>
      </c>
    </row>
    <row r="2681" spans="1:31" x14ac:dyDescent="0.25">
      <c r="A2681">
        <v>2913</v>
      </c>
      <c r="B2681" t="s">
        <v>46</v>
      </c>
      <c r="C2681">
        <v>27</v>
      </c>
      <c r="D2681">
        <v>1002</v>
      </c>
      <c r="E2681">
        <v>2913</v>
      </c>
      <c r="F2681">
        <v>4233601</v>
      </c>
      <c r="G2681">
        <v>4321800</v>
      </c>
      <c r="H2681">
        <f t="shared" si="82"/>
        <v>96.000022675736957</v>
      </c>
      <c r="I2681">
        <f t="shared" si="83"/>
        <v>98</v>
      </c>
      <c r="J2681" t="s">
        <v>25</v>
      </c>
      <c r="K2681">
        <v>7</v>
      </c>
      <c r="L2681" t="e">
        <f t="array" ref="L2681">VLOOKUP(J2681:$J$3871&amp;K2681:$K$3871,CHOOSE({1,2},#REF!&amp;#REF!,#REF!),2,0)</f>
        <v>#N/A</v>
      </c>
      <c r="M2681">
        <v>0</v>
      </c>
      <c r="N2681">
        <v>1</v>
      </c>
      <c r="O2681" t="s">
        <v>23</v>
      </c>
      <c r="P2681">
        <v>1</v>
      </c>
      <c r="Q2681">
        <v>1</v>
      </c>
      <c r="R2681">
        <v>0</v>
      </c>
      <c r="S2681">
        <v>1</v>
      </c>
      <c r="T2681">
        <v>1</v>
      </c>
      <c r="U2681">
        <v>0</v>
      </c>
      <c r="V2681">
        <v>0</v>
      </c>
      <c r="W2681">
        <v>1</v>
      </c>
      <c r="X2681">
        <v>1</v>
      </c>
      <c r="Y2681">
        <v>1</v>
      </c>
      <c r="Z2681">
        <v>0</v>
      </c>
      <c r="AA2681" t="s">
        <v>2285</v>
      </c>
      <c r="AB2681" t="s">
        <v>850</v>
      </c>
      <c r="AC2681" t="s">
        <v>2285</v>
      </c>
      <c r="AD2681" t="e">
        <f>VLOOKUP(AB2681,#REF!,2,FALSE)</f>
        <v>#REF!</v>
      </c>
      <c r="AE2681" t="e">
        <f>RIGHT(#REF!,(FIND("Complex",#REF!,1)-7))</f>
        <v>#REF!</v>
      </c>
    </row>
    <row r="2682" spans="1:31" x14ac:dyDescent="0.25">
      <c r="A2682">
        <v>2193</v>
      </c>
      <c r="B2682" t="s">
        <v>46</v>
      </c>
      <c r="C2682">
        <v>27</v>
      </c>
      <c r="D2682">
        <v>911</v>
      </c>
      <c r="E2682">
        <v>2193</v>
      </c>
      <c r="F2682">
        <v>11201401</v>
      </c>
      <c r="G2682">
        <v>11289600</v>
      </c>
      <c r="H2682">
        <f t="shared" si="82"/>
        <v>254.00002267573697</v>
      </c>
      <c r="I2682">
        <f t="shared" si="83"/>
        <v>256</v>
      </c>
      <c r="J2682" t="s">
        <v>25</v>
      </c>
      <c r="K2682">
        <v>7</v>
      </c>
      <c r="L2682" t="e">
        <f t="array" ref="L2682">VLOOKUP(J2682:$J$3871&amp;K2682:$K$3871,CHOOSE({1,2},#REF!&amp;#REF!,#REF!),2,0)</f>
        <v>#N/A</v>
      </c>
      <c r="M2682">
        <v>0</v>
      </c>
      <c r="N2682">
        <v>1</v>
      </c>
      <c r="O2682" t="s">
        <v>23</v>
      </c>
      <c r="P2682">
        <v>1</v>
      </c>
      <c r="Q2682">
        <v>1</v>
      </c>
      <c r="R2682">
        <v>0</v>
      </c>
      <c r="S2682">
        <v>1</v>
      </c>
      <c r="T2682">
        <v>1</v>
      </c>
      <c r="U2682">
        <v>0</v>
      </c>
      <c r="V2682">
        <v>0</v>
      </c>
      <c r="W2682">
        <v>1</v>
      </c>
      <c r="X2682">
        <v>1</v>
      </c>
      <c r="Y2682">
        <v>1</v>
      </c>
      <c r="Z2682">
        <v>0</v>
      </c>
      <c r="AA2682" t="s">
        <v>2389</v>
      </c>
      <c r="AB2682" t="s">
        <v>851</v>
      </c>
      <c r="AC2682" t="s">
        <v>2389</v>
      </c>
      <c r="AD2682" t="e">
        <f>VLOOKUP(AB2682,#REF!,2,FALSE)</f>
        <v>#REF!</v>
      </c>
      <c r="AE2682" t="e">
        <f>RIGHT(#REF!,(FIND("Complex",#REF!,1)-5))</f>
        <v>#REF!</v>
      </c>
    </row>
    <row r="2683" spans="1:31" x14ac:dyDescent="0.25">
      <c r="A2683">
        <v>3769</v>
      </c>
      <c r="B2683" t="s">
        <v>46</v>
      </c>
      <c r="C2683">
        <v>27</v>
      </c>
      <c r="D2683">
        <v>1200</v>
      </c>
      <c r="E2683">
        <v>3769</v>
      </c>
      <c r="F2683">
        <v>11113201</v>
      </c>
      <c r="G2683">
        <v>11201400</v>
      </c>
      <c r="H2683">
        <f t="shared" si="82"/>
        <v>252.00002267573697</v>
      </c>
      <c r="I2683">
        <f t="shared" si="83"/>
        <v>254</v>
      </c>
      <c r="J2683" t="s">
        <v>25</v>
      </c>
      <c r="K2683">
        <v>7</v>
      </c>
      <c r="L2683" t="e">
        <f t="array" ref="L2683">VLOOKUP(J2683:$J$3871&amp;K2683:$K$3871,CHOOSE({1,2},#REF!&amp;#REF!,#REF!),2,0)</f>
        <v>#N/A</v>
      </c>
      <c r="M2683">
        <v>0</v>
      </c>
      <c r="N2683">
        <v>1</v>
      </c>
      <c r="O2683" t="s">
        <v>23</v>
      </c>
      <c r="P2683">
        <v>1</v>
      </c>
      <c r="Q2683">
        <v>1</v>
      </c>
      <c r="R2683">
        <v>0</v>
      </c>
      <c r="S2683">
        <v>1</v>
      </c>
      <c r="T2683">
        <v>1</v>
      </c>
      <c r="U2683">
        <v>0</v>
      </c>
      <c r="V2683">
        <v>0</v>
      </c>
      <c r="W2683">
        <v>1</v>
      </c>
      <c r="X2683">
        <v>1</v>
      </c>
      <c r="Y2683">
        <v>1</v>
      </c>
      <c r="Z2683">
        <v>0</v>
      </c>
      <c r="AA2683" t="s">
        <v>2393</v>
      </c>
      <c r="AB2683" t="s">
        <v>852</v>
      </c>
      <c r="AC2683" t="s">
        <v>2393</v>
      </c>
      <c r="AD2683" t="e">
        <f>VLOOKUP(AB2683,#REF!,2,FALSE)</f>
        <v>#REF!</v>
      </c>
      <c r="AE2683" t="e">
        <f>RIGHT(#REF!,(FIND("Complex",#REF!,1)-6))</f>
        <v>#REF!</v>
      </c>
    </row>
    <row r="2684" spans="1:31" x14ac:dyDescent="0.25">
      <c r="A2684">
        <v>3528</v>
      </c>
      <c r="B2684" t="s">
        <v>46</v>
      </c>
      <c r="C2684">
        <v>27</v>
      </c>
      <c r="D2684">
        <v>1126</v>
      </c>
      <c r="E2684">
        <v>3528</v>
      </c>
      <c r="F2684">
        <v>11025001</v>
      </c>
      <c r="G2684">
        <v>11113200</v>
      </c>
      <c r="H2684">
        <f t="shared" si="82"/>
        <v>250.00002267573697</v>
      </c>
      <c r="I2684">
        <f t="shared" si="83"/>
        <v>252</v>
      </c>
      <c r="J2684" t="s">
        <v>25</v>
      </c>
      <c r="K2684">
        <v>7</v>
      </c>
      <c r="L2684" t="e">
        <f t="array" ref="L2684">VLOOKUP(J2684:$J$3871&amp;K2684:$K$3871,CHOOSE({1,2},#REF!&amp;#REF!,#REF!),2,0)</f>
        <v>#N/A</v>
      </c>
      <c r="M2684">
        <v>0</v>
      </c>
      <c r="N2684">
        <v>1</v>
      </c>
      <c r="O2684" t="s">
        <v>23</v>
      </c>
      <c r="P2684">
        <v>1</v>
      </c>
      <c r="Q2684">
        <v>1</v>
      </c>
      <c r="R2684">
        <v>0</v>
      </c>
      <c r="S2684">
        <v>1</v>
      </c>
      <c r="T2684">
        <v>1</v>
      </c>
      <c r="U2684">
        <v>0</v>
      </c>
      <c r="V2684">
        <v>0</v>
      </c>
      <c r="W2684">
        <v>1</v>
      </c>
      <c r="X2684">
        <v>1</v>
      </c>
      <c r="Y2684">
        <v>1</v>
      </c>
      <c r="Z2684">
        <v>0</v>
      </c>
      <c r="AA2684" t="s">
        <v>2397</v>
      </c>
      <c r="AB2684" t="s">
        <v>853</v>
      </c>
      <c r="AC2684" t="s">
        <v>2397</v>
      </c>
      <c r="AD2684" t="e">
        <f>VLOOKUP(AB2684,#REF!,2,FALSE)</f>
        <v>#REF!</v>
      </c>
      <c r="AE2684" t="e">
        <f>RIGHT(#REF!,(FIND("Complex",#REF!,1)-6))</f>
        <v>#REF!</v>
      </c>
    </row>
    <row r="2685" spans="1:31" x14ac:dyDescent="0.25">
      <c r="A2685">
        <v>2348</v>
      </c>
      <c r="B2685" t="s">
        <v>46</v>
      </c>
      <c r="C2685">
        <v>27</v>
      </c>
      <c r="D2685">
        <v>947</v>
      </c>
      <c r="E2685">
        <v>2348</v>
      </c>
      <c r="F2685">
        <v>10848601</v>
      </c>
      <c r="G2685">
        <v>10936800</v>
      </c>
      <c r="H2685">
        <f t="shared" si="82"/>
        <v>246.00002267573697</v>
      </c>
      <c r="I2685">
        <f t="shared" si="83"/>
        <v>248</v>
      </c>
      <c r="J2685" t="s">
        <v>25</v>
      </c>
      <c r="K2685">
        <v>7</v>
      </c>
      <c r="L2685" t="e">
        <f t="array" ref="L2685">VLOOKUP(J2685:$J$3871&amp;K2685:$K$3871,CHOOSE({1,2},#REF!&amp;#REF!,#REF!),2,0)</f>
        <v>#N/A</v>
      </c>
      <c r="M2685">
        <v>0</v>
      </c>
      <c r="N2685">
        <v>1</v>
      </c>
      <c r="O2685" t="s">
        <v>23</v>
      </c>
      <c r="P2685">
        <v>1</v>
      </c>
      <c r="Q2685">
        <v>1</v>
      </c>
      <c r="R2685">
        <v>0</v>
      </c>
      <c r="S2685">
        <v>1</v>
      </c>
      <c r="T2685">
        <v>1</v>
      </c>
      <c r="U2685">
        <v>0</v>
      </c>
      <c r="V2685">
        <v>0</v>
      </c>
      <c r="W2685">
        <v>1</v>
      </c>
      <c r="X2685">
        <v>1</v>
      </c>
      <c r="Y2685">
        <v>1</v>
      </c>
      <c r="Z2685">
        <v>0</v>
      </c>
      <c r="AA2685" t="s">
        <v>2403</v>
      </c>
      <c r="AB2685" t="s">
        <v>854</v>
      </c>
      <c r="AC2685" t="s">
        <v>2403</v>
      </c>
      <c r="AD2685" t="e">
        <f>VLOOKUP(AB2685,#REF!,2,FALSE)</f>
        <v>#REF!</v>
      </c>
      <c r="AE2685" t="e">
        <f>RIGHT(#REF!,(FIND("Complex",#REF!,1)-5))</f>
        <v>#REF!</v>
      </c>
    </row>
    <row r="2686" spans="1:31" x14ac:dyDescent="0.25">
      <c r="A2686">
        <v>2793</v>
      </c>
      <c r="B2686" t="s">
        <v>46</v>
      </c>
      <c r="C2686">
        <v>27</v>
      </c>
      <c r="D2686">
        <v>979</v>
      </c>
      <c r="E2686">
        <v>2793</v>
      </c>
      <c r="F2686">
        <v>10672201</v>
      </c>
      <c r="G2686">
        <v>10760400</v>
      </c>
      <c r="H2686">
        <f t="shared" si="82"/>
        <v>242.00002267573697</v>
      </c>
      <c r="I2686">
        <f t="shared" si="83"/>
        <v>244</v>
      </c>
      <c r="J2686" t="s">
        <v>25</v>
      </c>
      <c r="K2686">
        <v>7</v>
      </c>
      <c r="L2686" t="e">
        <f t="array" ref="L2686">VLOOKUP(J2686:$J$3871&amp;K2686:$K$3871,CHOOSE({1,2},#REF!&amp;#REF!,#REF!),2,0)</f>
        <v>#N/A</v>
      </c>
      <c r="M2686">
        <v>0</v>
      </c>
      <c r="N2686">
        <v>1</v>
      </c>
      <c r="O2686" t="s">
        <v>23</v>
      </c>
      <c r="P2686">
        <v>1</v>
      </c>
      <c r="Q2686">
        <v>1</v>
      </c>
      <c r="R2686">
        <v>0</v>
      </c>
      <c r="S2686">
        <v>1</v>
      </c>
      <c r="T2686">
        <v>1</v>
      </c>
      <c r="U2686">
        <v>0</v>
      </c>
      <c r="V2686">
        <v>0</v>
      </c>
      <c r="W2686">
        <v>1</v>
      </c>
      <c r="X2686">
        <v>1</v>
      </c>
      <c r="Y2686">
        <v>1</v>
      </c>
      <c r="Z2686">
        <v>0</v>
      </c>
      <c r="AA2686" t="s">
        <v>2409</v>
      </c>
      <c r="AB2686" t="s">
        <v>855</v>
      </c>
      <c r="AC2686" t="s">
        <v>2409</v>
      </c>
      <c r="AD2686" t="e">
        <f>VLOOKUP(AB2686,#REF!,2,FALSE)</f>
        <v>#REF!</v>
      </c>
      <c r="AE2686" t="e">
        <f>RIGHT(#REF!,(FIND("Complex",#REF!,1)-5))</f>
        <v>#REF!</v>
      </c>
    </row>
    <row r="2687" spans="1:31" x14ac:dyDescent="0.25">
      <c r="A2687">
        <v>3011</v>
      </c>
      <c r="B2687" t="s">
        <v>46</v>
      </c>
      <c r="C2687">
        <v>27</v>
      </c>
      <c r="D2687">
        <v>1020</v>
      </c>
      <c r="E2687">
        <v>3011</v>
      </c>
      <c r="F2687">
        <v>10143001</v>
      </c>
      <c r="G2687">
        <v>10231200</v>
      </c>
      <c r="H2687">
        <f t="shared" si="82"/>
        <v>230.00002267573697</v>
      </c>
      <c r="I2687">
        <f t="shared" si="83"/>
        <v>232</v>
      </c>
      <c r="J2687" t="s">
        <v>25</v>
      </c>
      <c r="K2687">
        <v>7</v>
      </c>
      <c r="L2687" t="e">
        <f t="array" ref="L2687">VLOOKUP(J2687:$J$3871&amp;K2687:$K$3871,CHOOSE({1,2},#REF!&amp;#REF!,#REF!),2,0)</f>
        <v>#N/A</v>
      </c>
      <c r="M2687">
        <v>0</v>
      </c>
      <c r="N2687">
        <v>1</v>
      </c>
      <c r="O2687" t="s">
        <v>23</v>
      </c>
      <c r="P2687">
        <v>1</v>
      </c>
      <c r="Q2687">
        <v>1</v>
      </c>
      <c r="R2687">
        <v>0</v>
      </c>
      <c r="S2687">
        <v>1</v>
      </c>
      <c r="T2687">
        <v>1</v>
      </c>
      <c r="U2687">
        <v>0</v>
      </c>
      <c r="V2687">
        <v>0</v>
      </c>
      <c r="W2687">
        <v>1</v>
      </c>
      <c r="X2687">
        <v>1</v>
      </c>
      <c r="Y2687">
        <v>1</v>
      </c>
      <c r="Z2687">
        <v>0</v>
      </c>
      <c r="AA2687" t="s">
        <v>2433</v>
      </c>
      <c r="AB2687" t="s">
        <v>856</v>
      </c>
      <c r="AC2687" t="s">
        <v>2433</v>
      </c>
      <c r="AD2687" t="e">
        <f>VLOOKUP(AB2687,#REF!,2,FALSE)</f>
        <v>#REF!</v>
      </c>
      <c r="AE2687" t="e">
        <f>RIGHT(#REF!,(FIND("Complex",#REF!,1)-6))</f>
        <v>#REF!</v>
      </c>
    </row>
    <row r="2688" spans="1:31" x14ac:dyDescent="0.25">
      <c r="A2688">
        <v>395</v>
      </c>
      <c r="B2688" t="s">
        <v>46</v>
      </c>
      <c r="C2688">
        <v>27</v>
      </c>
      <c r="D2688">
        <v>166</v>
      </c>
      <c r="E2688">
        <v>395</v>
      </c>
      <c r="F2688">
        <v>9878401</v>
      </c>
      <c r="G2688">
        <v>9966600</v>
      </c>
      <c r="H2688">
        <f t="shared" si="82"/>
        <v>224.00002267573697</v>
      </c>
      <c r="I2688">
        <f t="shared" si="83"/>
        <v>226</v>
      </c>
      <c r="J2688" t="s">
        <v>25</v>
      </c>
      <c r="K2688">
        <v>7</v>
      </c>
      <c r="L2688" t="e">
        <f t="array" ref="L2688">VLOOKUP(J2688:$J$3871&amp;K2688:$K$3871,CHOOSE({1,2},#REF!&amp;#REF!,#REF!),2,0)</f>
        <v>#N/A</v>
      </c>
      <c r="M2688">
        <v>0</v>
      </c>
      <c r="N2688">
        <v>1</v>
      </c>
      <c r="O2688" t="s">
        <v>23</v>
      </c>
      <c r="P2688">
        <v>1</v>
      </c>
      <c r="Q2688">
        <v>1</v>
      </c>
      <c r="R2688">
        <v>0</v>
      </c>
      <c r="S2688">
        <v>1</v>
      </c>
      <c r="T2688">
        <v>1</v>
      </c>
      <c r="U2688">
        <v>0</v>
      </c>
      <c r="V2688">
        <v>0</v>
      </c>
      <c r="W2688">
        <v>1</v>
      </c>
      <c r="X2688">
        <v>1</v>
      </c>
      <c r="Y2688">
        <v>1</v>
      </c>
      <c r="Z2688">
        <v>0</v>
      </c>
      <c r="AA2688" t="s">
        <v>2442</v>
      </c>
      <c r="AB2688" t="s">
        <v>115</v>
      </c>
      <c r="AC2688" t="s">
        <v>2442</v>
      </c>
      <c r="AD2688" t="e">
        <f>VLOOKUP(AB2688,#REF!,2,FALSE)</f>
        <v>#REF!</v>
      </c>
      <c r="AE2688" t="e">
        <f>RIGHT(#REF!,(FIND("Complex",#REF!,1)-4))</f>
        <v>#REF!</v>
      </c>
    </row>
    <row r="2689" spans="1:31" x14ac:dyDescent="0.25">
      <c r="A2689">
        <v>3399</v>
      </c>
      <c r="B2689" t="s">
        <v>46</v>
      </c>
      <c r="C2689">
        <v>27</v>
      </c>
      <c r="D2689">
        <v>1094</v>
      </c>
      <c r="E2689">
        <v>3399</v>
      </c>
      <c r="F2689">
        <v>9525601</v>
      </c>
      <c r="G2689">
        <v>9613800</v>
      </c>
      <c r="H2689">
        <f t="shared" si="82"/>
        <v>216.00002267573697</v>
      </c>
      <c r="I2689">
        <f t="shared" si="83"/>
        <v>218</v>
      </c>
      <c r="J2689" t="s">
        <v>25</v>
      </c>
      <c r="K2689">
        <v>7</v>
      </c>
      <c r="L2689" t="e">
        <f t="array" ref="L2689">VLOOKUP(J2689:$J$3871&amp;K2689:$K$3871,CHOOSE({1,2},#REF!&amp;#REF!,#REF!),2,0)</f>
        <v>#N/A</v>
      </c>
      <c r="M2689">
        <v>0</v>
      </c>
      <c r="N2689">
        <v>1</v>
      </c>
      <c r="O2689" t="s">
        <v>23</v>
      </c>
      <c r="P2689">
        <v>1</v>
      </c>
      <c r="Q2689">
        <v>1</v>
      </c>
      <c r="R2689">
        <v>0</v>
      </c>
      <c r="S2689">
        <v>1</v>
      </c>
      <c r="T2689">
        <v>1</v>
      </c>
      <c r="U2689">
        <v>0</v>
      </c>
      <c r="V2689">
        <v>0</v>
      </c>
      <c r="W2689">
        <v>1</v>
      </c>
      <c r="X2689">
        <v>1</v>
      </c>
      <c r="Y2689">
        <v>1</v>
      </c>
      <c r="Z2689">
        <v>0</v>
      </c>
      <c r="AA2689" t="s">
        <v>2454</v>
      </c>
      <c r="AB2689" t="s">
        <v>857</v>
      </c>
      <c r="AC2689" t="s">
        <v>2454</v>
      </c>
      <c r="AD2689" t="e">
        <f>VLOOKUP(AB2689,#REF!,2,FALSE)</f>
        <v>#REF!</v>
      </c>
      <c r="AE2689" t="e">
        <f>RIGHT(#REF!,(FIND("Complex",#REF!,1)-6))</f>
        <v>#REF!</v>
      </c>
    </row>
    <row r="2690" spans="1:31" x14ac:dyDescent="0.25">
      <c r="A2690">
        <v>1996</v>
      </c>
      <c r="B2690" t="s">
        <v>46</v>
      </c>
      <c r="C2690">
        <v>27</v>
      </c>
      <c r="D2690">
        <v>860</v>
      </c>
      <c r="E2690">
        <v>1996</v>
      </c>
      <c r="F2690">
        <v>9437401</v>
      </c>
      <c r="G2690">
        <v>9525600</v>
      </c>
      <c r="H2690">
        <f t="shared" ref="H2690:H2753" si="84">F2690/44100</f>
        <v>214.00002267573697</v>
      </c>
      <c r="I2690">
        <f t="shared" ref="I2690:I2753" si="85">G2690/44100</f>
        <v>216</v>
      </c>
      <c r="J2690" t="s">
        <v>25</v>
      </c>
      <c r="K2690">
        <v>7</v>
      </c>
      <c r="L2690" t="e">
        <f t="array" ref="L2690">VLOOKUP(J2690:$J$3871&amp;K2690:$K$3871,CHOOSE({1,2},#REF!&amp;#REF!,#REF!),2,0)</f>
        <v>#N/A</v>
      </c>
      <c r="M2690">
        <v>0</v>
      </c>
      <c r="N2690">
        <v>1</v>
      </c>
      <c r="O2690" t="s">
        <v>23</v>
      </c>
      <c r="P2690">
        <v>1</v>
      </c>
      <c r="Q2690">
        <v>1</v>
      </c>
      <c r="R2690">
        <v>0</v>
      </c>
      <c r="S2690">
        <v>1</v>
      </c>
      <c r="T2690">
        <v>1</v>
      </c>
      <c r="U2690">
        <v>0</v>
      </c>
      <c r="V2690">
        <v>0</v>
      </c>
      <c r="W2690">
        <v>1</v>
      </c>
      <c r="X2690">
        <v>1</v>
      </c>
      <c r="Y2690">
        <v>1</v>
      </c>
      <c r="Z2690">
        <v>0</v>
      </c>
      <c r="AA2690" t="s">
        <v>2459</v>
      </c>
      <c r="AB2690" t="s">
        <v>858</v>
      </c>
      <c r="AC2690" t="s">
        <v>2459</v>
      </c>
      <c r="AD2690" t="e">
        <f>VLOOKUP(AB2690,#REF!,2,FALSE)</f>
        <v>#REF!</v>
      </c>
      <c r="AE2690" t="e">
        <f>RIGHT(#REF!,(FIND("Complex",#REF!,1)-5))</f>
        <v>#REF!</v>
      </c>
    </row>
    <row r="2691" spans="1:31" x14ac:dyDescent="0.25">
      <c r="A2691">
        <v>3106</v>
      </c>
      <c r="B2691" t="s">
        <v>46</v>
      </c>
      <c r="C2691">
        <v>27</v>
      </c>
      <c r="D2691">
        <v>1042</v>
      </c>
      <c r="E2691">
        <v>3106</v>
      </c>
      <c r="F2691">
        <v>9349201</v>
      </c>
      <c r="G2691">
        <v>9437400</v>
      </c>
      <c r="H2691">
        <f t="shared" si="84"/>
        <v>212.00002267573697</v>
      </c>
      <c r="I2691">
        <f t="shared" si="85"/>
        <v>214</v>
      </c>
      <c r="J2691" t="s">
        <v>25</v>
      </c>
      <c r="K2691">
        <v>7</v>
      </c>
      <c r="L2691" t="e">
        <f t="array" ref="L2691">VLOOKUP(J2691:$J$3871&amp;K2691:$K$3871,CHOOSE({1,2},#REF!&amp;#REF!,#REF!),2,0)</f>
        <v>#N/A</v>
      </c>
      <c r="M2691">
        <v>0</v>
      </c>
      <c r="N2691">
        <v>1</v>
      </c>
      <c r="O2691" t="s">
        <v>23</v>
      </c>
      <c r="P2691">
        <v>1</v>
      </c>
      <c r="Q2691">
        <v>1</v>
      </c>
      <c r="R2691">
        <v>0</v>
      </c>
      <c r="S2691">
        <v>1</v>
      </c>
      <c r="T2691">
        <v>1</v>
      </c>
      <c r="U2691">
        <v>0</v>
      </c>
      <c r="V2691">
        <v>0</v>
      </c>
      <c r="W2691">
        <v>1</v>
      </c>
      <c r="X2691">
        <v>1</v>
      </c>
      <c r="Y2691">
        <v>1</v>
      </c>
      <c r="Z2691">
        <v>0</v>
      </c>
      <c r="AA2691" t="s">
        <v>2464</v>
      </c>
      <c r="AB2691" t="s">
        <v>859</v>
      </c>
      <c r="AC2691" t="s">
        <v>2464</v>
      </c>
      <c r="AD2691" t="e">
        <f>VLOOKUP(AB2691,#REF!,2,FALSE)</f>
        <v>#REF!</v>
      </c>
      <c r="AE2691" t="e">
        <f>RIGHT(#REF!,(FIND("Complex",#REF!,1)-6))</f>
        <v>#REF!</v>
      </c>
    </row>
    <row r="2692" spans="1:31" x14ac:dyDescent="0.25">
      <c r="A2692">
        <v>287</v>
      </c>
      <c r="B2692" t="s">
        <v>46</v>
      </c>
      <c r="C2692">
        <v>27</v>
      </c>
      <c r="D2692">
        <v>122</v>
      </c>
      <c r="E2692">
        <v>287</v>
      </c>
      <c r="F2692">
        <v>9084601</v>
      </c>
      <c r="G2692">
        <v>9172800</v>
      </c>
      <c r="H2692">
        <f t="shared" si="84"/>
        <v>206.00002267573697</v>
      </c>
      <c r="I2692">
        <f t="shared" si="85"/>
        <v>208</v>
      </c>
      <c r="J2692" t="s">
        <v>25</v>
      </c>
      <c r="K2692">
        <v>7</v>
      </c>
      <c r="L2692" t="e">
        <f t="array" ref="L2692">VLOOKUP(J2692:$J$3871&amp;K2692:$K$3871,CHOOSE({1,2},#REF!&amp;#REF!,#REF!),2,0)</f>
        <v>#N/A</v>
      </c>
      <c r="M2692">
        <v>0</v>
      </c>
      <c r="N2692">
        <v>1</v>
      </c>
      <c r="O2692" t="s">
        <v>23</v>
      </c>
      <c r="P2692">
        <v>1</v>
      </c>
      <c r="Q2692">
        <v>1</v>
      </c>
      <c r="R2692">
        <v>0</v>
      </c>
      <c r="S2692">
        <v>1</v>
      </c>
      <c r="T2692">
        <v>1</v>
      </c>
      <c r="U2692">
        <v>0</v>
      </c>
      <c r="V2692">
        <v>0</v>
      </c>
      <c r="W2692">
        <v>1</v>
      </c>
      <c r="X2692">
        <v>1</v>
      </c>
      <c r="Y2692">
        <v>1</v>
      </c>
      <c r="Z2692">
        <v>0</v>
      </c>
      <c r="AA2692" t="s">
        <v>2472</v>
      </c>
      <c r="AB2692" t="s">
        <v>860</v>
      </c>
      <c r="AC2692" t="s">
        <v>2472</v>
      </c>
      <c r="AD2692" t="e">
        <f>VLOOKUP(AB2692,#REF!,2,FALSE)</f>
        <v>#REF!</v>
      </c>
      <c r="AE2692" t="e">
        <f>RIGHT(#REF!,(FIND("Complex",#REF!,1)-4))</f>
        <v>#REF!</v>
      </c>
    </row>
    <row r="2693" spans="1:31" x14ac:dyDescent="0.25">
      <c r="A2693">
        <v>1339</v>
      </c>
      <c r="B2693" t="s">
        <v>46</v>
      </c>
      <c r="C2693">
        <v>27</v>
      </c>
      <c r="D2693">
        <v>584</v>
      </c>
      <c r="E2693">
        <v>1339</v>
      </c>
      <c r="F2693">
        <v>8996401</v>
      </c>
      <c r="G2693">
        <v>9084600</v>
      </c>
      <c r="H2693">
        <f t="shared" si="84"/>
        <v>204.00002267573697</v>
      </c>
      <c r="I2693">
        <f t="shared" si="85"/>
        <v>206</v>
      </c>
      <c r="J2693" t="s">
        <v>25</v>
      </c>
      <c r="K2693">
        <v>7</v>
      </c>
      <c r="L2693" t="e">
        <f t="array" ref="L2693">VLOOKUP(J2693:$J$3871&amp;K2693:$K$3871,CHOOSE({1,2},#REF!&amp;#REF!,#REF!),2,0)</f>
        <v>#N/A</v>
      </c>
      <c r="M2693">
        <v>0</v>
      </c>
      <c r="N2693">
        <v>1</v>
      </c>
      <c r="O2693" t="s">
        <v>23</v>
      </c>
      <c r="P2693">
        <v>1</v>
      </c>
      <c r="Q2693">
        <v>1</v>
      </c>
      <c r="R2693">
        <v>0</v>
      </c>
      <c r="S2693">
        <v>1</v>
      </c>
      <c r="T2693">
        <v>1</v>
      </c>
      <c r="U2693">
        <v>0</v>
      </c>
      <c r="V2693">
        <v>0</v>
      </c>
      <c r="W2693">
        <v>1</v>
      </c>
      <c r="X2693">
        <v>1</v>
      </c>
      <c r="Y2693">
        <v>1</v>
      </c>
      <c r="Z2693">
        <v>0</v>
      </c>
      <c r="AA2693" t="s">
        <v>2474</v>
      </c>
      <c r="AB2693" t="s">
        <v>861</v>
      </c>
      <c r="AC2693" t="s">
        <v>2474</v>
      </c>
      <c r="AD2693" t="e">
        <f>VLOOKUP(AB2693,#REF!,2,FALSE)</f>
        <v>#REF!</v>
      </c>
      <c r="AE2693" t="e">
        <f>RIGHT(#REF!,(FIND("Complex",#REF!,1)-5))</f>
        <v>#REF!</v>
      </c>
    </row>
    <row r="2694" spans="1:31" x14ac:dyDescent="0.25">
      <c r="A2694">
        <v>2768</v>
      </c>
      <c r="B2694" t="s">
        <v>46</v>
      </c>
      <c r="C2694">
        <v>27</v>
      </c>
      <c r="D2694">
        <v>976</v>
      </c>
      <c r="E2694">
        <v>2768</v>
      </c>
      <c r="F2694">
        <v>8643601</v>
      </c>
      <c r="G2694">
        <v>8731800</v>
      </c>
      <c r="H2694">
        <f t="shared" si="84"/>
        <v>196.00002267573697</v>
      </c>
      <c r="I2694">
        <f t="shared" si="85"/>
        <v>198</v>
      </c>
      <c r="J2694" t="s">
        <v>25</v>
      </c>
      <c r="K2694">
        <v>7</v>
      </c>
      <c r="L2694" t="e">
        <f t="array" ref="L2694">VLOOKUP(J2694:$J$3871&amp;K2694:$K$3871,CHOOSE({1,2},#REF!&amp;#REF!,#REF!),2,0)</f>
        <v>#N/A</v>
      </c>
      <c r="M2694">
        <v>0</v>
      </c>
      <c r="N2694">
        <v>1</v>
      </c>
      <c r="O2694" t="s">
        <v>23</v>
      </c>
      <c r="P2694">
        <v>1</v>
      </c>
      <c r="Q2694">
        <v>1</v>
      </c>
      <c r="R2694">
        <v>0</v>
      </c>
      <c r="S2694">
        <v>1</v>
      </c>
      <c r="T2694">
        <v>1</v>
      </c>
      <c r="U2694">
        <v>0</v>
      </c>
      <c r="V2694">
        <v>0</v>
      </c>
      <c r="W2694">
        <v>1</v>
      </c>
      <c r="X2694">
        <v>1</v>
      </c>
      <c r="Y2694">
        <v>1</v>
      </c>
      <c r="Z2694">
        <v>0</v>
      </c>
      <c r="AA2694" t="s">
        <v>2489</v>
      </c>
      <c r="AB2694" t="s">
        <v>862</v>
      </c>
      <c r="AC2694" t="s">
        <v>2489</v>
      </c>
      <c r="AD2694" t="e">
        <f>VLOOKUP(AB2694,#REF!,2,FALSE)</f>
        <v>#REF!</v>
      </c>
      <c r="AE2694" t="e">
        <f>RIGHT(#REF!,(FIND("Complex",#REF!,1)-5))</f>
        <v>#REF!</v>
      </c>
    </row>
    <row r="2695" spans="1:31" x14ac:dyDescent="0.25">
      <c r="A2695">
        <v>3672</v>
      </c>
      <c r="B2695" t="s">
        <v>46</v>
      </c>
      <c r="C2695">
        <v>27</v>
      </c>
      <c r="D2695">
        <v>1165</v>
      </c>
      <c r="E2695">
        <v>3672</v>
      </c>
      <c r="F2695">
        <v>8555401</v>
      </c>
      <c r="G2695">
        <v>8643600</v>
      </c>
      <c r="H2695">
        <f t="shared" si="84"/>
        <v>194.00002267573697</v>
      </c>
      <c r="I2695">
        <f t="shared" si="85"/>
        <v>196</v>
      </c>
      <c r="J2695" t="s">
        <v>25</v>
      </c>
      <c r="K2695">
        <v>7</v>
      </c>
      <c r="L2695" t="e">
        <f t="array" ref="L2695">VLOOKUP(J2695:$J$3871&amp;K2695:$K$3871,CHOOSE({1,2},#REF!&amp;#REF!,#REF!),2,0)</f>
        <v>#N/A</v>
      </c>
      <c r="M2695">
        <v>0</v>
      </c>
      <c r="N2695">
        <v>1</v>
      </c>
      <c r="O2695" t="s">
        <v>23</v>
      </c>
      <c r="P2695">
        <v>1</v>
      </c>
      <c r="Q2695">
        <v>1</v>
      </c>
      <c r="R2695">
        <v>0</v>
      </c>
      <c r="S2695">
        <v>1</v>
      </c>
      <c r="T2695">
        <v>1</v>
      </c>
      <c r="U2695">
        <v>0</v>
      </c>
      <c r="V2695">
        <v>0</v>
      </c>
      <c r="W2695">
        <v>1</v>
      </c>
      <c r="X2695">
        <v>1</v>
      </c>
      <c r="Y2695">
        <v>1</v>
      </c>
      <c r="Z2695">
        <v>0</v>
      </c>
      <c r="AA2695" t="s">
        <v>2493</v>
      </c>
      <c r="AB2695" t="s">
        <v>863</v>
      </c>
      <c r="AC2695" t="s">
        <v>2493</v>
      </c>
      <c r="AD2695" t="e">
        <f>VLOOKUP(AB2695,#REF!,2,FALSE)</f>
        <v>#REF!</v>
      </c>
      <c r="AE2695" t="e">
        <f>RIGHT(#REF!,(FIND("Complex",#REF!,1)-6))</f>
        <v>#REF!</v>
      </c>
    </row>
    <row r="2696" spans="1:31" x14ac:dyDescent="0.25">
      <c r="A2696">
        <v>3594</v>
      </c>
      <c r="B2696" t="s">
        <v>46</v>
      </c>
      <c r="C2696">
        <v>27</v>
      </c>
      <c r="D2696">
        <v>1139</v>
      </c>
      <c r="E2696">
        <v>3594</v>
      </c>
      <c r="F2696">
        <v>8114401</v>
      </c>
      <c r="G2696">
        <v>8202600</v>
      </c>
      <c r="H2696">
        <f t="shared" si="84"/>
        <v>184.00002267573697</v>
      </c>
      <c r="I2696">
        <f t="shared" si="85"/>
        <v>186</v>
      </c>
      <c r="J2696" t="s">
        <v>25</v>
      </c>
      <c r="K2696">
        <v>7</v>
      </c>
      <c r="L2696" t="e">
        <f t="array" ref="L2696">VLOOKUP(J2696:$J$3871&amp;K2696:$K$3871,CHOOSE({1,2},#REF!&amp;#REF!,#REF!),2,0)</f>
        <v>#N/A</v>
      </c>
      <c r="M2696">
        <v>0</v>
      </c>
      <c r="N2696">
        <v>1</v>
      </c>
      <c r="O2696" t="s">
        <v>23</v>
      </c>
      <c r="P2696">
        <v>1</v>
      </c>
      <c r="Q2696">
        <v>1</v>
      </c>
      <c r="R2696">
        <v>0</v>
      </c>
      <c r="S2696">
        <v>1</v>
      </c>
      <c r="T2696">
        <v>1</v>
      </c>
      <c r="U2696">
        <v>0</v>
      </c>
      <c r="V2696">
        <v>0</v>
      </c>
      <c r="W2696">
        <v>1</v>
      </c>
      <c r="X2696">
        <v>1</v>
      </c>
      <c r="Y2696">
        <v>0</v>
      </c>
      <c r="Z2696">
        <v>1</v>
      </c>
      <c r="AA2696" t="s">
        <v>2509</v>
      </c>
      <c r="AB2696" t="s">
        <v>864</v>
      </c>
      <c r="AC2696" t="s">
        <v>2509</v>
      </c>
      <c r="AD2696" t="e">
        <f>VLOOKUP(AB2696,#REF!,2,FALSE)</f>
        <v>#REF!</v>
      </c>
      <c r="AE2696" t="e">
        <f>RIGHT(#REF!,(FIND("Complex",#REF!,1)-6))</f>
        <v>#REF!</v>
      </c>
    </row>
    <row r="2697" spans="1:31" x14ac:dyDescent="0.25">
      <c r="A2697">
        <v>3115</v>
      </c>
      <c r="B2697" t="s">
        <v>46</v>
      </c>
      <c r="C2697">
        <v>27</v>
      </c>
      <c r="D2697">
        <v>1043</v>
      </c>
      <c r="E2697">
        <v>3115</v>
      </c>
      <c r="F2697">
        <v>5556601</v>
      </c>
      <c r="G2697">
        <v>5644800</v>
      </c>
      <c r="H2697">
        <f t="shared" si="84"/>
        <v>126.00002267573696</v>
      </c>
      <c r="I2697">
        <f t="shared" si="85"/>
        <v>128</v>
      </c>
      <c r="J2697" t="s">
        <v>25</v>
      </c>
      <c r="K2697">
        <v>7</v>
      </c>
      <c r="L2697" t="e">
        <f t="array" ref="L2697">VLOOKUP(J2697:$J$3871&amp;K2697:$K$3871,CHOOSE({1,2},#REF!&amp;#REF!,#REF!),2,0)</f>
        <v>#N/A</v>
      </c>
      <c r="M2697">
        <v>0</v>
      </c>
      <c r="N2697">
        <v>1</v>
      </c>
      <c r="O2697" t="s">
        <v>23</v>
      </c>
      <c r="P2697">
        <v>1</v>
      </c>
      <c r="Q2697">
        <v>1</v>
      </c>
      <c r="R2697">
        <v>0</v>
      </c>
      <c r="S2697">
        <v>1</v>
      </c>
      <c r="T2697">
        <v>1</v>
      </c>
      <c r="U2697">
        <v>0</v>
      </c>
      <c r="V2697">
        <v>0</v>
      </c>
      <c r="W2697">
        <v>1</v>
      </c>
      <c r="X2697">
        <v>1</v>
      </c>
      <c r="Y2697">
        <v>1</v>
      </c>
      <c r="Z2697">
        <v>0</v>
      </c>
      <c r="AA2697" t="s">
        <v>2571</v>
      </c>
      <c r="AB2697" t="s">
        <v>865</v>
      </c>
      <c r="AC2697" t="s">
        <v>2571</v>
      </c>
      <c r="AD2697" t="e">
        <f>VLOOKUP(AB2697,#REF!,2,FALSE)</f>
        <v>#REF!</v>
      </c>
      <c r="AE2697" t="e">
        <f>RIGHT(#REF!,(FIND("Complex",#REF!,1)-6))</f>
        <v>#REF!</v>
      </c>
    </row>
    <row r="2698" spans="1:31" x14ac:dyDescent="0.25">
      <c r="A2698">
        <v>3810</v>
      </c>
      <c r="B2698" t="s">
        <v>46</v>
      </c>
      <c r="C2698">
        <v>27</v>
      </c>
      <c r="D2698">
        <v>1211</v>
      </c>
      <c r="E2698">
        <v>3810</v>
      </c>
      <c r="F2698">
        <v>5292001</v>
      </c>
      <c r="G2698">
        <v>5380200</v>
      </c>
      <c r="H2698">
        <f t="shared" si="84"/>
        <v>120.00002267573696</v>
      </c>
      <c r="I2698">
        <f t="shared" si="85"/>
        <v>122</v>
      </c>
      <c r="J2698" t="s">
        <v>25</v>
      </c>
      <c r="K2698">
        <v>7</v>
      </c>
      <c r="L2698" t="e">
        <f t="array" ref="L2698">VLOOKUP(J2698:$J$3871&amp;K2698:$K$3871,CHOOSE({1,2},#REF!&amp;#REF!,#REF!),2,0)</f>
        <v>#N/A</v>
      </c>
      <c r="M2698">
        <v>0</v>
      </c>
      <c r="N2698">
        <v>1</v>
      </c>
      <c r="O2698" t="s">
        <v>23</v>
      </c>
      <c r="P2698">
        <v>1</v>
      </c>
      <c r="Q2698">
        <v>1</v>
      </c>
      <c r="R2698">
        <v>0</v>
      </c>
      <c r="S2698">
        <v>1</v>
      </c>
      <c r="T2698">
        <v>1</v>
      </c>
      <c r="U2698">
        <v>0</v>
      </c>
      <c r="V2698">
        <v>0</v>
      </c>
      <c r="W2698">
        <v>1</v>
      </c>
      <c r="X2698">
        <v>1</v>
      </c>
      <c r="Y2698">
        <v>1</v>
      </c>
      <c r="Z2698">
        <v>0</v>
      </c>
      <c r="AA2698" t="s">
        <v>2580</v>
      </c>
      <c r="AB2698" t="s">
        <v>866</v>
      </c>
      <c r="AC2698" t="s">
        <v>2580</v>
      </c>
      <c r="AD2698" t="e">
        <f>VLOOKUP(AB2698,#REF!,2,FALSE)</f>
        <v>#REF!</v>
      </c>
      <c r="AE2698" t="e">
        <f>RIGHT(#REF!,(FIND("Complex",#REF!,1)-6))</f>
        <v>#REF!</v>
      </c>
    </row>
    <row r="2699" spans="1:31" x14ac:dyDescent="0.25">
      <c r="A2699">
        <v>3806</v>
      </c>
      <c r="B2699" t="s">
        <v>46</v>
      </c>
      <c r="C2699">
        <v>27</v>
      </c>
      <c r="D2699">
        <v>1208</v>
      </c>
      <c r="E2699">
        <v>3806</v>
      </c>
      <c r="F2699">
        <v>4674601</v>
      </c>
      <c r="G2699">
        <v>4762800</v>
      </c>
      <c r="H2699">
        <f t="shared" si="84"/>
        <v>106.00002267573696</v>
      </c>
      <c r="I2699">
        <f t="shared" si="85"/>
        <v>108</v>
      </c>
      <c r="J2699" t="s">
        <v>25</v>
      </c>
      <c r="K2699">
        <v>7</v>
      </c>
      <c r="L2699" t="e">
        <f t="array" ref="L2699">VLOOKUP(J2699:$J$3871&amp;K2699:$K$3871,CHOOSE({1,2},#REF!&amp;#REF!,#REF!),2,0)</f>
        <v>#N/A</v>
      </c>
      <c r="M2699">
        <v>0</v>
      </c>
      <c r="N2699">
        <v>1</v>
      </c>
      <c r="O2699" t="s">
        <v>23</v>
      </c>
      <c r="P2699">
        <v>1</v>
      </c>
      <c r="Q2699">
        <v>1</v>
      </c>
      <c r="R2699">
        <v>0</v>
      </c>
      <c r="S2699">
        <v>1</v>
      </c>
      <c r="T2699">
        <v>1</v>
      </c>
      <c r="U2699">
        <v>0</v>
      </c>
      <c r="V2699">
        <v>0</v>
      </c>
      <c r="W2699">
        <v>1</v>
      </c>
      <c r="X2699">
        <v>1</v>
      </c>
      <c r="Y2699">
        <v>1</v>
      </c>
      <c r="Z2699">
        <v>0</v>
      </c>
      <c r="AA2699" t="s">
        <v>2602</v>
      </c>
      <c r="AB2699" t="s">
        <v>867</v>
      </c>
      <c r="AC2699" t="s">
        <v>2602</v>
      </c>
      <c r="AD2699" t="e">
        <f>VLOOKUP(AB2699,#REF!,2,FALSE)</f>
        <v>#REF!</v>
      </c>
      <c r="AE2699" t="e">
        <f>RIGHT(#REF!,(FIND("Complex",#REF!,1)-6))</f>
        <v>#REF!</v>
      </c>
    </row>
    <row r="2700" spans="1:31" x14ac:dyDescent="0.25">
      <c r="A2700">
        <v>561</v>
      </c>
      <c r="B2700" t="s">
        <v>46</v>
      </c>
      <c r="C2700">
        <v>27</v>
      </c>
      <c r="D2700">
        <v>240</v>
      </c>
      <c r="E2700">
        <v>561</v>
      </c>
      <c r="F2700">
        <v>4410001</v>
      </c>
      <c r="G2700">
        <v>4498200</v>
      </c>
      <c r="H2700">
        <f t="shared" si="84"/>
        <v>100.00002267573696</v>
      </c>
      <c r="I2700">
        <f t="shared" si="85"/>
        <v>102</v>
      </c>
      <c r="J2700" t="s">
        <v>25</v>
      </c>
      <c r="K2700">
        <v>7</v>
      </c>
      <c r="L2700" t="e">
        <f t="array" ref="L2700">VLOOKUP(J2700:$J$3871&amp;K2700:$K$3871,CHOOSE({1,2},#REF!&amp;#REF!,#REF!),2,0)</f>
        <v>#N/A</v>
      </c>
      <c r="M2700">
        <v>0</v>
      </c>
      <c r="N2700">
        <v>1</v>
      </c>
      <c r="O2700" t="s">
        <v>23</v>
      </c>
      <c r="P2700">
        <v>1</v>
      </c>
      <c r="Q2700">
        <v>1</v>
      </c>
      <c r="R2700">
        <v>0</v>
      </c>
      <c r="S2700">
        <v>1</v>
      </c>
      <c r="T2700">
        <v>1</v>
      </c>
      <c r="U2700">
        <v>0</v>
      </c>
      <c r="V2700">
        <v>0</v>
      </c>
      <c r="W2700">
        <v>1</v>
      </c>
      <c r="X2700">
        <v>1</v>
      </c>
      <c r="Y2700">
        <v>1</v>
      </c>
      <c r="Z2700">
        <v>0</v>
      </c>
      <c r="AA2700" t="s">
        <v>2613</v>
      </c>
      <c r="AB2700" t="s">
        <v>868</v>
      </c>
      <c r="AC2700" t="s">
        <v>2613</v>
      </c>
      <c r="AD2700" t="e">
        <f>VLOOKUP(AB2700,#REF!,2,FALSE)</f>
        <v>#REF!</v>
      </c>
      <c r="AE2700" t="e">
        <f>RIGHT(#REF!,(FIND("Complex",#REF!,1)-4))</f>
        <v>#REF!</v>
      </c>
    </row>
    <row r="2701" spans="1:31" x14ac:dyDescent="0.25">
      <c r="A2701">
        <v>2977</v>
      </c>
      <c r="B2701" t="s">
        <v>54</v>
      </c>
      <c r="C2701">
        <v>31</v>
      </c>
      <c r="D2701">
        <v>1013</v>
      </c>
      <c r="E2701">
        <v>2977</v>
      </c>
      <c r="F2701">
        <v>9172801</v>
      </c>
      <c r="G2701">
        <v>9261000</v>
      </c>
      <c r="H2701">
        <f t="shared" si="84"/>
        <v>208.00002267573697</v>
      </c>
      <c r="I2701">
        <f t="shared" si="85"/>
        <v>210</v>
      </c>
      <c r="J2701" t="s">
        <v>25</v>
      </c>
      <c r="K2701">
        <v>7</v>
      </c>
      <c r="L2701" t="e">
        <f t="array" ref="L2701">VLOOKUP(J2701:$J$3871&amp;K2701:$K$3871,CHOOSE({1,2},#REF!&amp;#REF!,#REF!),2,0)</f>
        <v>#N/A</v>
      </c>
      <c r="M2701">
        <v>0</v>
      </c>
      <c r="N2701">
        <v>1</v>
      </c>
      <c r="O2701" t="s">
        <v>23</v>
      </c>
      <c r="P2701">
        <v>0</v>
      </c>
      <c r="Q2701">
        <v>1</v>
      </c>
      <c r="R2701">
        <v>0</v>
      </c>
      <c r="S2701">
        <v>1</v>
      </c>
      <c r="T2701">
        <v>1</v>
      </c>
      <c r="U2701">
        <v>0</v>
      </c>
      <c r="V2701">
        <v>0</v>
      </c>
      <c r="W2701">
        <v>1</v>
      </c>
      <c r="X2701">
        <v>1</v>
      </c>
      <c r="Y2701">
        <v>1</v>
      </c>
      <c r="Z2701">
        <v>1</v>
      </c>
      <c r="AA2701" t="s">
        <v>2469</v>
      </c>
      <c r="AB2701" t="s">
        <v>954</v>
      </c>
      <c r="AC2701" t="s">
        <v>2469</v>
      </c>
      <c r="AD2701" t="e">
        <f>VLOOKUP(AB2701,#REF!,2,FALSE)</f>
        <v>#REF!</v>
      </c>
      <c r="AE2701" t="e">
        <f>RIGHT(#REF!,(FIND("Complex",#REF!,1)-6))</f>
        <v>#REF!</v>
      </c>
    </row>
    <row r="2702" spans="1:31" x14ac:dyDescent="0.25">
      <c r="A2702">
        <v>3827</v>
      </c>
      <c r="B2702" t="s">
        <v>54</v>
      </c>
      <c r="C2702">
        <v>31</v>
      </c>
      <c r="D2702">
        <v>1216</v>
      </c>
      <c r="E2702">
        <v>3827</v>
      </c>
      <c r="F2702">
        <v>8731801</v>
      </c>
      <c r="G2702">
        <v>8820000</v>
      </c>
      <c r="H2702">
        <f t="shared" si="84"/>
        <v>198.00002267573697</v>
      </c>
      <c r="I2702">
        <f t="shared" si="85"/>
        <v>200</v>
      </c>
      <c r="J2702" t="s">
        <v>25</v>
      </c>
      <c r="K2702">
        <v>7</v>
      </c>
      <c r="L2702" t="e">
        <f t="array" ref="L2702">VLOOKUP(J2702:$J$3871&amp;K2702:$K$3871,CHOOSE({1,2},#REF!&amp;#REF!,#REF!),2,0)</f>
        <v>#N/A</v>
      </c>
      <c r="M2702">
        <v>0</v>
      </c>
      <c r="N2702">
        <v>1</v>
      </c>
      <c r="O2702" t="s">
        <v>23</v>
      </c>
      <c r="P2702">
        <v>0</v>
      </c>
      <c r="Q2702">
        <v>1</v>
      </c>
      <c r="R2702">
        <v>0</v>
      </c>
      <c r="S2702">
        <v>1</v>
      </c>
      <c r="T2702">
        <v>1</v>
      </c>
      <c r="U2702">
        <v>0</v>
      </c>
      <c r="V2702">
        <v>0</v>
      </c>
      <c r="W2702">
        <v>1</v>
      </c>
      <c r="X2702">
        <v>1</v>
      </c>
      <c r="Y2702">
        <v>1</v>
      </c>
      <c r="Z2702">
        <v>1</v>
      </c>
      <c r="AA2702" t="s">
        <v>2483</v>
      </c>
      <c r="AB2702" t="s">
        <v>955</v>
      </c>
      <c r="AC2702" t="s">
        <v>2483</v>
      </c>
      <c r="AD2702" t="e">
        <f>VLOOKUP(AB2702,#REF!,2,FALSE)</f>
        <v>#REF!</v>
      </c>
      <c r="AE2702" t="e">
        <f>RIGHT(#REF!,(FIND("Complex",#REF!,1)-6))</f>
        <v>#REF!</v>
      </c>
    </row>
    <row r="2703" spans="1:31" x14ac:dyDescent="0.25">
      <c r="A2703">
        <v>2479</v>
      </c>
      <c r="B2703" t="s">
        <v>54</v>
      </c>
      <c r="C2703">
        <v>31</v>
      </c>
      <c r="D2703">
        <v>959</v>
      </c>
      <c r="E2703">
        <v>2479</v>
      </c>
      <c r="F2703">
        <v>8555401</v>
      </c>
      <c r="G2703">
        <v>8643600</v>
      </c>
      <c r="H2703">
        <f t="shared" si="84"/>
        <v>194.00002267573697</v>
      </c>
      <c r="I2703">
        <f t="shared" si="85"/>
        <v>196</v>
      </c>
      <c r="J2703" t="s">
        <v>25</v>
      </c>
      <c r="K2703">
        <v>7</v>
      </c>
      <c r="L2703" t="e">
        <f t="array" ref="L2703">VLOOKUP(J2703:$J$3871&amp;K2703:$K$3871,CHOOSE({1,2},#REF!&amp;#REF!,#REF!),2,0)</f>
        <v>#N/A</v>
      </c>
      <c r="M2703">
        <v>0</v>
      </c>
      <c r="N2703">
        <v>1</v>
      </c>
      <c r="O2703" t="s">
        <v>23</v>
      </c>
      <c r="P2703">
        <v>0</v>
      </c>
      <c r="Q2703">
        <v>1</v>
      </c>
      <c r="R2703">
        <v>0</v>
      </c>
      <c r="S2703">
        <v>1</v>
      </c>
      <c r="T2703">
        <v>1</v>
      </c>
      <c r="U2703">
        <v>0</v>
      </c>
      <c r="V2703">
        <v>0</v>
      </c>
      <c r="W2703">
        <v>1</v>
      </c>
      <c r="X2703">
        <v>1</v>
      </c>
      <c r="Y2703">
        <v>1</v>
      </c>
      <c r="Z2703">
        <v>1</v>
      </c>
      <c r="AA2703" t="s">
        <v>2492</v>
      </c>
      <c r="AB2703" t="s">
        <v>956</v>
      </c>
      <c r="AC2703" t="s">
        <v>2492</v>
      </c>
      <c r="AD2703" t="e">
        <f>VLOOKUP(AB2703,#REF!,2,FALSE)</f>
        <v>#REF!</v>
      </c>
      <c r="AE2703" t="e">
        <f>RIGHT(#REF!,(FIND("Complex",#REF!,1)-5))</f>
        <v>#REF!</v>
      </c>
    </row>
    <row r="2704" spans="1:31" x14ac:dyDescent="0.25">
      <c r="A2704">
        <v>3564</v>
      </c>
      <c r="B2704" t="s">
        <v>54</v>
      </c>
      <c r="C2704">
        <v>31</v>
      </c>
      <c r="D2704">
        <v>1134</v>
      </c>
      <c r="E2704">
        <v>3564</v>
      </c>
      <c r="F2704">
        <v>8467201</v>
      </c>
      <c r="G2704">
        <v>8555400</v>
      </c>
      <c r="H2704">
        <f t="shared" si="84"/>
        <v>192.00002267573697</v>
      </c>
      <c r="I2704">
        <f t="shared" si="85"/>
        <v>194</v>
      </c>
      <c r="J2704" t="s">
        <v>25</v>
      </c>
      <c r="K2704">
        <v>7</v>
      </c>
      <c r="L2704" t="e">
        <f t="array" ref="L2704">VLOOKUP(J2704:$J$3871&amp;K2704:$K$3871,CHOOSE({1,2},#REF!&amp;#REF!,#REF!),2,0)</f>
        <v>#N/A</v>
      </c>
      <c r="M2704">
        <v>0</v>
      </c>
      <c r="N2704">
        <v>1</v>
      </c>
      <c r="O2704" t="s">
        <v>23</v>
      </c>
      <c r="P2704">
        <v>0</v>
      </c>
      <c r="Q2704">
        <v>1</v>
      </c>
      <c r="R2704">
        <v>0</v>
      </c>
      <c r="S2704">
        <v>1</v>
      </c>
      <c r="T2704">
        <v>1</v>
      </c>
      <c r="U2704">
        <v>0</v>
      </c>
      <c r="V2704">
        <v>0</v>
      </c>
      <c r="W2704">
        <v>1</v>
      </c>
      <c r="X2704">
        <v>1</v>
      </c>
      <c r="Y2704">
        <v>1</v>
      </c>
      <c r="Z2704">
        <v>1</v>
      </c>
      <c r="AA2704" t="s">
        <v>2495</v>
      </c>
      <c r="AB2704" t="s">
        <v>957</v>
      </c>
      <c r="AC2704" t="s">
        <v>2495</v>
      </c>
      <c r="AD2704" t="e">
        <f>VLOOKUP(AB2704,#REF!,2,FALSE)</f>
        <v>#REF!</v>
      </c>
      <c r="AE2704" t="e">
        <f>RIGHT(#REF!,(FIND("Complex",#REF!,1)-6))</f>
        <v>#REF!</v>
      </c>
    </row>
    <row r="2705" spans="1:31" x14ac:dyDescent="0.25">
      <c r="A2705">
        <v>222</v>
      </c>
      <c r="B2705" t="s">
        <v>54</v>
      </c>
      <c r="C2705">
        <v>31</v>
      </c>
      <c r="D2705">
        <v>93</v>
      </c>
      <c r="E2705">
        <v>222</v>
      </c>
      <c r="F2705">
        <v>8379001</v>
      </c>
      <c r="G2705">
        <v>8467200</v>
      </c>
      <c r="H2705">
        <f t="shared" si="84"/>
        <v>190.00002267573697</v>
      </c>
      <c r="I2705">
        <f t="shared" si="85"/>
        <v>192</v>
      </c>
      <c r="J2705" t="s">
        <v>25</v>
      </c>
      <c r="K2705">
        <v>7</v>
      </c>
      <c r="L2705" t="e">
        <f t="array" ref="L2705">VLOOKUP(J2705:$J$3871&amp;K2705:$K$3871,CHOOSE({1,2},#REF!&amp;#REF!,#REF!),2,0)</f>
        <v>#N/A</v>
      </c>
      <c r="M2705">
        <v>0</v>
      </c>
      <c r="N2705">
        <v>1</v>
      </c>
      <c r="O2705" t="s">
        <v>23</v>
      </c>
      <c r="P2705">
        <v>0</v>
      </c>
      <c r="Q2705">
        <v>1</v>
      </c>
      <c r="R2705">
        <v>0</v>
      </c>
      <c r="S2705">
        <v>1</v>
      </c>
      <c r="T2705">
        <v>1</v>
      </c>
      <c r="U2705">
        <v>0</v>
      </c>
      <c r="V2705">
        <v>0</v>
      </c>
      <c r="W2705">
        <v>1</v>
      </c>
      <c r="X2705">
        <v>1</v>
      </c>
      <c r="Y2705">
        <v>1</v>
      </c>
      <c r="Z2705">
        <v>1</v>
      </c>
      <c r="AA2705" t="s">
        <v>2497</v>
      </c>
      <c r="AB2705" t="s">
        <v>958</v>
      </c>
      <c r="AC2705" t="s">
        <v>2497</v>
      </c>
      <c r="AD2705" t="e">
        <f>VLOOKUP(AB2705,#REF!,2,FALSE)</f>
        <v>#REF!</v>
      </c>
      <c r="AE2705" t="e">
        <f>RIGHT(#REF!,(FIND("Complex",#REF!,1)-4))</f>
        <v>#REF!</v>
      </c>
    </row>
    <row r="2706" spans="1:31" x14ac:dyDescent="0.25">
      <c r="A2706">
        <v>1814</v>
      </c>
      <c r="B2706" t="s">
        <v>54</v>
      </c>
      <c r="C2706">
        <v>31</v>
      </c>
      <c r="D2706">
        <v>788</v>
      </c>
      <c r="E2706">
        <v>1814</v>
      </c>
      <c r="F2706">
        <v>8290801</v>
      </c>
      <c r="G2706">
        <v>8379000</v>
      </c>
      <c r="H2706">
        <f t="shared" si="84"/>
        <v>188.00002267573697</v>
      </c>
      <c r="I2706">
        <f t="shared" si="85"/>
        <v>190</v>
      </c>
      <c r="J2706" t="s">
        <v>25</v>
      </c>
      <c r="K2706">
        <v>7</v>
      </c>
      <c r="L2706" t="e">
        <f t="array" ref="L2706">VLOOKUP(J2706:$J$3871&amp;K2706:$K$3871,CHOOSE({1,2},#REF!&amp;#REF!,#REF!),2,0)</f>
        <v>#N/A</v>
      </c>
      <c r="M2706">
        <v>0</v>
      </c>
      <c r="N2706">
        <v>1</v>
      </c>
      <c r="O2706" t="s">
        <v>23</v>
      </c>
      <c r="P2706">
        <v>0</v>
      </c>
      <c r="Q2706">
        <v>1</v>
      </c>
      <c r="R2706">
        <v>0</v>
      </c>
      <c r="S2706">
        <v>1</v>
      </c>
      <c r="T2706">
        <v>1</v>
      </c>
      <c r="U2706">
        <v>0</v>
      </c>
      <c r="V2706">
        <v>0</v>
      </c>
      <c r="W2706">
        <v>1</v>
      </c>
      <c r="X2706">
        <v>1</v>
      </c>
      <c r="Y2706">
        <v>1</v>
      </c>
      <c r="Z2706">
        <v>1</v>
      </c>
      <c r="AA2706" t="s">
        <v>2500</v>
      </c>
      <c r="AB2706" t="s">
        <v>959</v>
      </c>
      <c r="AC2706" t="s">
        <v>2500</v>
      </c>
      <c r="AD2706" t="e">
        <f>VLOOKUP(AB2706,#REF!,2,FALSE)</f>
        <v>#REF!</v>
      </c>
      <c r="AE2706" t="e">
        <f>RIGHT(#REF!,(FIND("Complex",#REF!,1)-5))</f>
        <v>#REF!</v>
      </c>
    </row>
    <row r="2707" spans="1:31" x14ac:dyDescent="0.25">
      <c r="A2707">
        <v>1971</v>
      </c>
      <c r="B2707" t="s">
        <v>54</v>
      </c>
      <c r="C2707">
        <v>31</v>
      </c>
      <c r="D2707">
        <v>853</v>
      </c>
      <c r="E2707">
        <v>1971</v>
      </c>
      <c r="F2707">
        <v>8114401</v>
      </c>
      <c r="G2707">
        <v>8202600</v>
      </c>
      <c r="H2707">
        <f t="shared" si="84"/>
        <v>184.00002267573697</v>
      </c>
      <c r="I2707">
        <f t="shared" si="85"/>
        <v>186</v>
      </c>
      <c r="J2707" t="s">
        <v>25</v>
      </c>
      <c r="K2707">
        <v>7</v>
      </c>
      <c r="L2707" t="e">
        <f t="array" ref="L2707">VLOOKUP(J2707:$J$3871&amp;K2707:$K$3871,CHOOSE({1,2},#REF!&amp;#REF!,#REF!),2,0)</f>
        <v>#N/A</v>
      </c>
      <c r="M2707">
        <v>0</v>
      </c>
      <c r="N2707">
        <v>1</v>
      </c>
      <c r="O2707" t="s">
        <v>23</v>
      </c>
      <c r="P2707">
        <v>0</v>
      </c>
      <c r="Q2707">
        <v>1</v>
      </c>
      <c r="R2707">
        <v>0</v>
      </c>
      <c r="S2707">
        <v>1</v>
      </c>
      <c r="T2707">
        <v>1</v>
      </c>
      <c r="U2707">
        <v>0</v>
      </c>
      <c r="V2707">
        <v>0</v>
      </c>
      <c r="W2707">
        <v>1</v>
      </c>
      <c r="X2707">
        <v>1</v>
      </c>
      <c r="Y2707">
        <v>1</v>
      </c>
      <c r="Z2707">
        <v>1</v>
      </c>
      <c r="AA2707" t="s">
        <v>2508</v>
      </c>
      <c r="AB2707" t="s">
        <v>960</v>
      </c>
      <c r="AC2707" t="s">
        <v>2508</v>
      </c>
      <c r="AD2707" t="e">
        <f>VLOOKUP(AB2707,#REF!,2,FALSE)</f>
        <v>#REF!</v>
      </c>
      <c r="AE2707" t="e">
        <f>RIGHT(#REF!,(FIND("Complex",#REF!,1)-5))</f>
        <v>#REF!</v>
      </c>
    </row>
    <row r="2708" spans="1:31" x14ac:dyDescent="0.25">
      <c r="A2708">
        <v>3622</v>
      </c>
      <c r="B2708" t="s">
        <v>54</v>
      </c>
      <c r="C2708">
        <v>31</v>
      </c>
      <c r="D2708">
        <v>1150</v>
      </c>
      <c r="E2708">
        <v>3622</v>
      </c>
      <c r="F2708">
        <v>8026201</v>
      </c>
      <c r="G2708">
        <v>8114400</v>
      </c>
      <c r="H2708">
        <f t="shared" si="84"/>
        <v>182.00002267573697</v>
      </c>
      <c r="I2708">
        <f t="shared" si="85"/>
        <v>184</v>
      </c>
      <c r="J2708" t="s">
        <v>25</v>
      </c>
      <c r="K2708">
        <v>7</v>
      </c>
      <c r="L2708" t="e">
        <f t="array" ref="L2708">VLOOKUP(J2708:$J$3871&amp;K2708:$K$3871,CHOOSE({1,2},#REF!&amp;#REF!,#REF!),2,0)</f>
        <v>#N/A</v>
      </c>
      <c r="M2708">
        <v>0</v>
      </c>
      <c r="N2708">
        <v>1</v>
      </c>
      <c r="O2708" t="s">
        <v>23</v>
      </c>
      <c r="P2708">
        <v>0</v>
      </c>
      <c r="Q2708">
        <v>1</v>
      </c>
      <c r="R2708">
        <v>0</v>
      </c>
      <c r="S2708">
        <v>1</v>
      </c>
      <c r="T2708">
        <v>1</v>
      </c>
      <c r="U2708">
        <v>0</v>
      </c>
      <c r="V2708">
        <v>0</v>
      </c>
      <c r="W2708">
        <v>1</v>
      </c>
      <c r="X2708">
        <v>1</v>
      </c>
      <c r="Y2708">
        <v>1</v>
      </c>
      <c r="Z2708">
        <v>1</v>
      </c>
      <c r="AA2708" t="s">
        <v>2511</v>
      </c>
      <c r="AB2708" t="s">
        <v>124</v>
      </c>
      <c r="AC2708" t="s">
        <v>2511</v>
      </c>
      <c r="AD2708" t="e">
        <f>VLOOKUP(AB2708,#REF!,2,FALSE)</f>
        <v>#REF!</v>
      </c>
      <c r="AE2708" t="e">
        <f>RIGHT(#REF!,(FIND("Complex",#REF!,1)-6))</f>
        <v>#REF!</v>
      </c>
    </row>
    <row r="2709" spans="1:31" x14ac:dyDescent="0.25">
      <c r="A2709">
        <v>528</v>
      </c>
      <c r="B2709" t="s">
        <v>54</v>
      </c>
      <c r="C2709">
        <v>31</v>
      </c>
      <c r="D2709">
        <v>223</v>
      </c>
      <c r="E2709">
        <v>528</v>
      </c>
      <c r="F2709">
        <v>7938001</v>
      </c>
      <c r="G2709">
        <v>8026200</v>
      </c>
      <c r="H2709">
        <f t="shared" si="84"/>
        <v>180.00002267573697</v>
      </c>
      <c r="I2709">
        <f t="shared" si="85"/>
        <v>182</v>
      </c>
      <c r="J2709" t="s">
        <v>25</v>
      </c>
      <c r="K2709">
        <v>7</v>
      </c>
      <c r="L2709" t="e">
        <f t="array" ref="L2709">VLOOKUP(J2709:$J$3871&amp;K2709:$K$3871,CHOOSE({1,2},#REF!&amp;#REF!,#REF!),2,0)</f>
        <v>#N/A</v>
      </c>
      <c r="M2709">
        <v>0</v>
      </c>
      <c r="N2709">
        <v>1</v>
      </c>
      <c r="O2709" t="s">
        <v>23</v>
      </c>
      <c r="P2709">
        <v>0</v>
      </c>
      <c r="Q2709">
        <v>1</v>
      </c>
      <c r="R2709">
        <v>0</v>
      </c>
      <c r="S2709">
        <v>1</v>
      </c>
      <c r="T2709">
        <v>1</v>
      </c>
      <c r="U2709">
        <v>0</v>
      </c>
      <c r="V2709">
        <v>0</v>
      </c>
      <c r="W2709">
        <v>1</v>
      </c>
      <c r="X2709">
        <v>1</v>
      </c>
      <c r="Y2709">
        <v>1</v>
      </c>
      <c r="Z2709">
        <v>1</v>
      </c>
      <c r="AA2709" t="s">
        <v>2513</v>
      </c>
      <c r="AB2709" t="s">
        <v>961</v>
      </c>
      <c r="AC2709" t="s">
        <v>2513</v>
      </c>
      <c r="AD2709" t="e">
        <f>VLOOKUP(AB2709,#REF!,2,FALSE)</f>
        <v>#REF!</v>
      </c>
      <c r="AE2709" t="e">
        <f>RIGHT(#REF!,(FIND("Complex",#REF!,1)-4))</f>
        <v>#REF!</v>
      </c>
    </row>
    <row r="2710" spans="1:31" x14ac:dyDescent="0.25">
      <c r="A2710">
        <v>630</v>
      </c>
      <c r="B2710" t="s">
        <v>54</v>
      </c>
      <c r="C2710">
        <v>31</v>
      </c>
      <c r="D2710">
        <v>271</v>
      </c>
      <c r="E2710">
        <v>630</v>
      </c>
      <c r="F2710">
        <v>7849801</v>
      </c>
      <c r="G2710">
        <v>7938000</v>
      </c>
      <c r="H2710">
        <f t="shared" si="84"/>
        <v>178.00002267573697</v>
      </c>
      <c r="I2710">
        <f t="shared" si="85"/>
        <v>180</v>
      </c>
      <c r="J2710" t="s">
        <v>25</v>
      </c>
      <c r="K2710">
        <v>7</v>
      </c>
      <c r="L2710" t="e">
        <f t="array" ref="L2710">VLOOKUP(J2710:$J$3871&amp;K2710:$K$3871,CHOOSE({1,2},#REF!&amp;#REF!,#REF!),2,0)</f>
        <v>#N/A</v>
      </c>
      <c r="M2710">
        <v>0</v>
      </c>
      <c r="N2710">
        <v>1</v>
      </c>
      <c r="O2710" t="s">
        <v>23</v>
      </c>
      <c r="P2710">
        <v>0</v>
      </c>
      <c r="Q2710">
        <v>1</v>
      </c>
      <c r="R2710">
        <v>0</v>
      </c>
      <c r="S2710">
        <v>1</v>
      </c>
      <c r="T2710">
        <v>1</v>
      </c>
      <c r="U2710">
        <v>0</v>
      </c>
      <c r="V2710">
        <v>0</v>
      </c>
      <c r="W2710">
        <v>1</v>
      </c>
      <c r="X2710">
        <v>1</v>
      </c>
      <c r="Y2710">
        <v>1</v>
      </c>
      <c r="Z2710">
        <v>1</v>
      </c>
      <c r="AA2710" t="s">
        <v>2517</v>
      </c>
      <c r="AB2710" t="s">
        <v>962</v>
      </c>
      <c r="AC2710" t="s">
        <v>2517</v>
      </c>
      <c r="AD2710" t="e">
        <f>VLOOKUP(AB2710,#REF!,2,FALSE)</f>
        <v>#REF!</v>
      </c>
      <c r="AE2710" t="e">
        <f>RIGHT(#REF!,(FIND("Complex",#REF!,1)-4))</f>
        <v>#REF!</v>
      </c>
    </row>
    <row r="2711" spans="1:31" x14ac:dyDescent="0.25">
      <c r="A2711">
        <v>2838</v>
      </c>
      <c r="B2711" t="s">
        <v>54</v>
      </c>
      <c r="C2711">
        <v>31</v>
      </c>
      <c r="D2711">
        <v>986</v>
      </c>
      <c r="E2711">
        <v>2838</v>
      </c>
      <c r="F2711">
        <v>5997601</v>
      </c>
      <c r="G2711">
        <v>6085800</v>
      </c>
      <c r="H2711">
        <f t="shared" si="84"/>
        <v>136.00002267573697</v>
      </c>
      <c r="I2711">
        <f t="shared" si="85"/>
        <v>138</v>
      </c>
      <c r="J2711" t="s">
        <v>25</v>
      </c>
      <c r="K2711">
        <v>7</v>
      </c>
      <c r="L2711" t="e">
        <f t="array" ref="L2711">VLOOKUP(J2711:$J$3871&amp;K2711:$K$3871,CHOOSE({1,2},#REF!&amp;#REF!,#REF!),2,0)</f>
        <v>#N/A</v>
      </c>
      <c r="M2711">
        <v>0</v>
      </c>
      <c r="N2711">
        <v>1</v>
      </c>
      <c r="O2711" t="s">
        <v>23</v>
      </c>
      <c r="P2711">
        <v>0</v>
      </c>
      <c r="Q2711">
        <v>1</v>
      </c>
      <c r="R2711">
        <v>0</v>
      </c>
      <c r="S2711">
        <v>1</v>
      </c>
      <c r="T2711">
        <v>1</v>
      </c>
      <c r="U2711">
        <v>0</v>
      </c>
      <c r="V2711">
        <v>0</v>
      </c>
      <c r="W2711">
        <v>1</v>
      </c>
      <c r="X2711">
        <v>1</v>
      </c>
      <c r="Y2711">
        <v>1</v>
      </c>
      <c r="Z2711">
        <v>1</v>
      </c>
      <c r="AA2711" t="s">
        <v>2554</v>
      </c>
      <c r="AB2711" t="s">
        <v>963</v>
      </c>
      <c r="AC2711" t="s">
        <v>2554</v>
      </c>
      <c r="AD2711" t="e">
        <f>VLOOKUP(AB2711,#REF!,2,FALSE)</f>
        <v>#REF!</v>
      </c>
      <c r="AE2711" t="e">
        <f>RIGHT(#REF!,(FIND("Complex",#REF!,1)-5))</f>
        <v>#REF!</v>
      </c>
    </row>
    <row r="2712" spans="1:31" x14ac:dyDescent="0.25">
      <c r="A2712">
        <v>1914</v>
      </c>
      <c r="B2712" t="s">
        <v>54</v>
      </c>
      <c r="C2712">
        <v>31</v>
      </c>
      <c r="D2712">
        <v>828</v>
      </c>
      <c r="E2712">
        <v>1914</v>
      </c>
      <c r="F2712">
        <v>5909401</v>
      </c>
      <c r="G2712">
        <v>5997600</v>
      </c>
      <c r="H2712">
        <f t="shared" si="84"/>
        <v>134.00002267573697</v>
      </c>
      <c r="I2712">
        <f t="shared" si="85"/>
        <v>136</v>
      </c>
      <c r="J2712" t="s">
        <v>25</v>
      </c>
      <c r="K2712">
        <v>7</v>
      </c>
      <c r="L2712" t="e">
        <f t="array" ref="L2712">VLOOKUP(J2712:$J$3871&amp;K2712:$K$3871,CHOOSE({1,2},#REF!&amp;#REF!,#REF!),2,0)</f>
        <v>#N/A</v>
      </c>
      <c r="M2712">
        <v>0</v>
      </c>
      <c r="N2712">
        <v>1</v>
      </c>
      <c r="O2712" t="s">
        <v>23</v>
      </c>
      <c r="P2712">
        <v>0</v>
      </c>
      <c r="Q2712">
        <v>1</v>
      </c>
      <c r="R2712">
        <v>0</v>
      </c>
      <c r="S2712">
        <v>1</v>
      </c>
      <c r="T2712">
        <v>1</v>
      </c>
      <c r="U2712">
        <v>0</v>
      </c>
      <c r="V2712">
        <v>0</v>
      </c>
      <c r="W2712">
        <v>1</v>
      </c>
      <c r="X2712">
        <v>1</v>
      </c>
      <c r="Y2712">
        <v>1</v>
      </c>
      <c r="Z2712">
        <v>1</v>
      </c>
      <c r="AA2712" t="s">
        <v>2558</v>
      </c>
      <c r="AB2712" t="s">
        <v>964</v>
      </c>
      <c r="AC2712" t="s">
        <v>2558</v>
      </c>
      <c r="AD2712" t="e">
        <f>VLOOKUP(AB2712,#REF!,2,FALSE)</f>
        <v>#REF!</v>
      </c>
      <c r="AE2712" t="e">
        <f>RIGHT(#REF!,(FIND("Complex",#REF!,1)-5))</f>
        <v>#REF!</v>
      </c>
    </row>
    <row r="2713" spans="1:31" x14ac:dyDescent="0.25">
      <c r="A2713">
        <v>2895</v>
      </c>
      <c r="B2713" t="s">
        <v>54</v>
      </c>
      <c r="C2713">
        <v>31</v>
      </c>
      <c r="D2713">
        <v>999</v>
      </c>
      <c r="E2713">
        <v>2895</v>
      </c>
      <c r="F2713">
        <v>5292001</v>
      </c>
      <c r="G2713">
        <v>5380200</v>
      </c>
      <c r="H2713">
        <f t="shared" si="84"/>
        <v>120.00002267573696</v>
      </c>
      <c r="I2713">
        <f t="shared" si="85"/>
        <v>122</v>
      </c>
      <c r="J2713" t="s">
        <v>25</v>
      </c>
      <c r="K2713">
        <v>7</v>
      </c>
      <c r="L2713" t="e">
        <f t="array" ref="L2713">VLOOKUP(J2713:$J$3871&amp;K2713:$K$3871,CHOOSE({1,2},#REF!&amp;#REF!,#REF!),2,0)</f>
        <v>#N/A</v>
      </c>
      <c r="M2713">
        <v>0</v>
      </c>
      <c r="N2713">
        <v>1</v>
      </c>
      <c r="O2713" t="s">
        <v>23</v>
      </c>
      <c r="P2713">
        <v>0</v>
      </c>
      <c r="Q2713">
        <v>1</v>
      </c>
      <c r="R2713">
        <v>0</v>
      </c>
      <c r="S2713">
        <v>1</v>
      </c>
      <c r="T2713">
        <v>1</v>
      </c>
      <c r="U2713">
        <v>0</v>
      </c>
      <c r="V2713">
        <v>0</v>
      </c>
      <c r="W2713">
        <v>1</v>
      </c>
      <c r="X2713">
        <v>1</v>
      </c>
      <c r="Y2713">
        <v>1</v>
      </c>
      <c r="Z2713">
        <v>1</v>
      </c>
      <c r="AA2713" t="s">
        <v>2579</v>
      </c>
      <c r="AB2713" t="s">
        <v>965</v>
      </c>
      <c r="AC2713" t="s">
        <v>2579</v>
      </c>
      <c r="AD2713" t="e">
        <f>VLOOKUP(AB2713,#REF!,2,FALSE)</f>
        <v>#REF!</v>
      </c>
      <c r="AE2713" t="e">
        <f>RIGHT(#REF!,(FIND("Complex",#REF!,1)-5))</f>
        <v>#REF!</v>
      </c>
    </row>
    <row r="2714" spans="1:31" x14ac:dyDescent="0.25">
      <c r="A2714">
        <v>1076</v>
      </c>
      <c r="B2714" t="s">
        <v>54</v>
      </c>
      <c r="C2714">
        <v>31</v>
      </c>
      <c r="D2714">
        <v>478</v>
      </c>
      <c r="E2714">
        <v>1076</v>
      </c>
      <c r="F2714">
        <v>5115601</v>
      </c>
      <c r="G2714">
        <v>5203800</v>
      </c>
      <c r="H2714">
        <f t="shared" si="84"/>
        <v>116.00002267573696</v>
      </c>
      <c r="I2714">
        <f t="shared" si="85"/>
        <v>118</v>
      </c>
      <c r="J2714" t="s">
        <v>25</v>
      </c>
      <c r="K2714">
        <v>7</v>
      </c>
      <c r="L2714" t="e">
        <f t="array" ref="L2714">VLOOKUP(J2714:$J$3871&amp;K2714:$K$3871,CHOOSE({1,2},#REF!&amp;#REF!,#REF!),2,0)</f>
        <v>#N/A</v>
      </c>
      <c r="M2714">
        <v>0</v>
      </c>
      <c r="N2714">
        <v>1</v>
      </c>
      <c r="O2714" t="s">
        <v>23</v>
      </c>
      <c r="P2714">
        <v>0</v>
      </c>
      <c r="Q2714">
        <v>1</v>
      </c>
      <c r="R2714">
        <v>0</v>
      </c>
      <c r="S2714">
        <v>1</v>
      </c>
      <c r="T2714">
        <v>1</v>
      </c>
      <c r="U2714">
        <v>0</v>
      </c>
      <c r="V2714">
        <v>0</v>
      </c>
      <c r="W2714">
        <v>1</v>
      </c>
      <c r="X2714">
        <v>1</v>
      </c>
      <c r="Y2714">
        <v>1</v>
      </c>
      <c r="Z2714">
        <v>1</v>
      </c>
      <c r="AA2714" t="s">
        <v>2585</v>
      </c>
      <c r="AB2714" t="s">
        <v>966</v>
      </c>
      <c r="AC2714" t="s">
        <v>2585</v>
      </c>
      <c r="AD2714" t="e">
        <f>VLOOKUP(AB2714,#REF!,2,FALSE)</f>
        <v>#REF!</v>
      </c>
      <c r="AE2714" t="e">
        <f>RIGHT(#REF!,(FIND("Complex",#REF!,1)-5))</f>
        <v>#REF!</v>
      </c>
    </row>
    <row r="2715" spans="1:31" x14ac:dyDescent="0.25">
      <c r="A2715">
        <v>1663</v>
      </c>
      <c r="B2715" t="s">
        <v>54</v>
      </c>
      <c r="C2715">
        <v>31</v>
      </c>
      <c r="D2715">
        <v>726</v>
      </c>
      <c r="E2715">
        <v>1663</v>
      </c>
      <c r="F2715">
        <v>4939201</v>
      </c>
      <c r="G2715">
        <v>5027400</v>
      </c>
      <c r="H2715">
        <f t="shared" si="84"/>
        <v>112.00002267573696</v>
      </c>
      <c r="I2715">
        <f t="shared" si="85"/>
        <v>114</v>
      </c>
      <c r="J2715" t="s">
        <v>25</v>
      </c>
      <c r="K2715">
        <v>7</v>
      </c>
      <c r="L2715" t="e">
        <f t="array" ref="L2715">VLOOKUP(J2715:$J$3871&amp;K2715:$K$3871,CHOOSE({1,2},#REF!&amp;#REF!,#REF!),2,0)</f>
        <v>#N/A</v>
      </c>
      <c r="M2715">
        <v>0</v>
      </c>
      <c r="N2715">
        <v>1</v>
      </c>
      <c r="O2715" t="s">
        <v>23</v>
      </c>
      <c r="P2715">
        <v>0</v>
      </c>
      <c r="Q2715">
        <v>1</v>
      </c>
      <c r="R2715">
        <v>0</v>
      </c>
      <c r="S2715">
        <v>1</v>
      </c>
      <c r="T2715">
        <v>1</v>
      </c>
      <c r="U2715">
        <v>0</v>
      </c>
      <c r="V2715">
        <v>0</v>
      </c>
      <c r="W2715">
        <v>1</v>
      </c>
      <c r="X2715">
        <v>1</v>
      </c>
      <c r="Y2715">
        <v>1</v>
      </c>
      <c r="Z2715">
        <v>1</v>
      </c>
      <c r="AA2715" t="s">
        <v>2590</v>
      </c>
      <c r="AB2715" t="s">
        <v>967</v>
      </c>
      <c r="AC2715" t="s">
        <v>2590</v>
      </c>
      <c r="AD2715" t="e">
        <f>VLOOKUP(AB2715,#REF!,2,FALSE)</f>
        <v>#REF!</v>
      </c>
      <c r="AE2715" t="e">
        <f>RIGHT(#REF!,(FIND("Complex",#REF!,1)-5))</f>
        <v>#REF!</v>
      </c>
    </row>
    <row r="2716" spans="1:31" x14ac:dyDescent="0.25">
      <c r="A2716">
        <v>3200</v>
      </c>
      <c r="B2716" t="s">
        <v>54</v>
      </c>
      <c r="C2716">
        <v>31</v>
      </c>
      <c r="D2716">
        <v>1055</v>
      </c>
      <c r="E2716">
        <v>3200</v>
      </c>
      <c r="F2716">
        <v>4762801</v>
      </c>
      <c r="G2716">
        <v>4851000</v>
      </c>
      <c r="H2716">
        <f t="shared" si="84"/>
        <v>108.00002267573696</v>
      </c>
      <c r="I2716">
        <f t="shared" si="85"/>
        <v>110</v>
      </c>
      <c r="J2716" t="s">
        <v>25</v>
      </c>
      <c r="K2716">
        <v>7</v>
      </c>
      <c r="L2716" t="e">
        <f t="array" ref="L2716">VLOOKUP(J2716:$J$3871&amp;K2716:$K$3871,CHOOSE({1,2},#REF!&amp;#REF!,#REF!),2,0)</f>
        <v>#N/A</v>
      </c>
      <c r="M2716">
        <v>0</v>
      </c>
      <c r="N2716">
        <v>1</v>
      </c>
      <c r="O2716" t="s">
        <v>23</v>
      </c>
      <c r="P2716">
        <v>0</v>
      </c>
      <c r="Q2716">
        <v>1</v>
      </c>
      <c r="R2716">
        <v>0</v>
      </c>
      <c r="S2716">
        <v>1</v>
      </c>
      <c r="T2716">
        <v>1</v>
      </c>
      <c r="U2716">
        <v>0</v>
      </c>
      <c r="V2716">
        <v>0</v>
      </c>
      <c r="W2716">
        <v>1</v>
      </c>
      <c r="X2716">
        <v>1</v>
      </c>
      <c r="Y2716">
        <v>1</v>
      </c>
      <c r="Z2716">
        <v>1</v>
      </c>
      <c r="AA2716" t="s">
        <v>2597</v>
      </c>
      <c r="AB2716" t="s">
        <v>968</v>
      </c>
      <c r="AC2716" t="s">
        <v>2597</v>
      </c>
      <c r="AD2716" t="e">
        <f>VLOOKUP(AB2716,#REF!,2,FALSE)</f>
        <v>#REF!</v>
      </c>
      <c r="AE2716" t="e">
        <f>RIGHT(#REF!,(FIND("Complex",#REF!,1)-6))</f>
        <v>#REF!</v>
      </c>
    </row>
    <row r="2717" spans="1:31" x14ac:dyDescent="0.25">
      <c r="A2717">
        <v>3757</v>
      </c>
      <c r="B2717" t="s">
        <v>54</v>
      </c>
      <c r="C2717">
        <v>31</v>
      </c>
      <c r="D2717">
        <v>1195</v>
      </c>
      <c r="E2717">
        <v>3757</v>
      </c>
      <c r="F2717">
        <v>4498201</v>
      </c>
      <c r="G2717">
        <v>4586400</v>
      </c>
      <c r="H2717">
        <f t="shared" si="84"/>
        <v>102.00002267573696</v>
      </c>
      <c r="I2717">
        <f t="shared" si="85"/>
        <v>104</v>
      </c>
      <c r="J2717" t="s">
        <v>25</v>
      </c>
      <c r="K2717">
        <v>7</v>
      </c>
      <c r="L2717" t="e">
        <f t="array" ref="L2717">VLOOKUP(J2717:$J$3871&amp;K2717:$K$3871,CHOOSE({1,2},#REF!&amp;#REF!,#REF!),2,0)</f>
        <v>#N/A</v>
      </c>
      <c r="M2717">
        <v>0</v>
      </c>
      <c r="N2717">
        <v>1</v>
      </c>
      <c r="O2717" t="s">
        <v>23</v>
      </c>
      <c r="P2717">
        <v>0</v>
      </c>
      <c r="Q2717">
        <v>1</v>
      </c>
      <c r="R2717">
        <v>0</v>
      </c>
      <c r="S2717">
        <v>1</v>
      </c>
      <c r="T2717">
        <v>1</v>
      </c>
      <c r="U2717">
        <v>0</v>
      </c>
      <c r="V2717">
        <v>0</v>
      </c>
      <c r="W2717">
        <v>1</v>
      </c>
      <c r="X2717">
        <v>1</v>
      </c>
      <c r="Y2717">
        <v>1</v>
      </c>
      <c r="Z2717">
        <v>1</v>
      </c>
      <c r="AA2717" t="s">
        <v>2610</v>
      </c>
      <c r="AB2717" t="s">
        <v>969</v>
      </c>
      <c r="AC2717" t="s">
        <v>2610</v>
      </c>
      <c r="AD2717" t="e">
        <f>VLOOKUP(AB2717,#REF!,2,FALSE)</f>
        <v>#REF!</v>
      </c>
      <c r="AE2717" t="e">
        <f>RIGHT(#REF!,(FIND("Complex",#REF!,1)-6))</f>
        <v>#REF!</v>
      </c>
    </row>
    <row r="2718" spans="1:31" x14ac:dyDescent="0.25">
      <c r="A2718">
        <v>3531</v>
      </c>
      <c r="B2718" t="s">
        <v>54</v>
      </c>
      <c r="C2718">
        <v>31</v>
      </c>
      <c r="D2718">
        <v>1127</v>
      </c>
      <c r="E2718">
        <v>3531</v>
      </c>
      <c r="F2718">
        <v>4410001</v>
      </c>
      <c r="G2718">
        <v>4498200</v>
      </c>
      <c r="H2718">
        <f t="shared" si="84"/>
        <v>100.00002267573696</v>
      </c>
      <c r="I2718">
        <f t="shared" si="85"/>
        <v>102</v>
      </c>
      <c r="J2718" t="s">
        <v>25</v>
      </c>
      <c r="K2718">
        <v>7</v>
      </c>
      <c r="L2718" t="e">
        <f t="array" ref="L2718">VLOOKUP(J2718:$J$3871&amp;K2718:$K$3871,CHOOSE({1,2},#REF!&amp;#REF!,#REF!),2,0)</f>
        <v>#N/A</v>
      </c>
      <c r="M2718">
        <v>0</v>
      </c>
      <c r="N2718">
        <v>1</v>
      </c>
      <c r="O2718" t="s">
        <v>23</v>
      </c>
      <c r="P2718">
        <v>0</v>
      </c>
      <c r="Q2718">
        <v>1</v>
      </c>
      <c r="R2718">
        <v>0</v>
      </c>
      <c r="S2718">
        <v>1</v>
      </c>
      <c r="T2718">
        <v>1</v>
      </c>
      <c r="U2718">
        <v>0</v>
      </c>
      <c r="V2718">
        <v>0</v>
      </c>
      <c r="W2718">
        <v>1</v>
      </c>
      <c r="X2718">
        <v>1</v>
      </c>
      <c r="Y2718">
        <v>1</v>
      </c>
      <c r="Z2718">
        <v>1</v>
      </c>
      <c r="AA2718" t="s">
        <v>2612</v>
      </c>
      <c r="AB2718" t="s">
        <v>970</v>
      </c>
      <c r="AC2718" t="s">
        <v>2612</v>
      </c>
      <c r="AD2718" t="e">
        <f>VLOOKUP(AB2718,#REF!,2,FALSE)</f>
        <v>#REF!</v>
      </c>
      <c r="AE2718" t="e">
        <f>RIGHT(#REF!,(FIND("Complex",#REF!,1)-6))</f>
        <v>#REF!</v>
      </c>
    </row>
    <row r="2719" spans="1:31" x14ac:dyDescent="0.25">
      <c r="A2719">
        <v>512</v>
      </c>
      <c r="B2719" t="s">
        <v>63</v>
      </c>
      <c r="C2719">
        <v>32</v>
      </c>
      <c r="D2719">
        <v>213</v>
      </c>
      <c r="E2719">
        <v>512</v>
      </c>
      <c r="F2719">
        <v>6350401</v>
      </c>
      <c r="G2719">
        <v>6438600</v>
      </c>
      <c r="H2719">
        <f t="shared" si="84"/>
        <v>144.00002267573697</v>
      </c>
      <c r="I2719">
        <f t="shared" si="85"/>
        <v>146</v>
      </c>
      <c r="J2719" t="s">
        <v>25</v>
      </c>
      <c r="K2719">
        <v>7</v>
      </c>
      <c r="L2719" t="e">
        <f t="array" ref="L2719">VLOOKUP(J2719:$J$3871&amp;K2719:$K$3871,CHOOSE({1,2},#REF!&amp;#REF!,#REF!),2,0)</f>
        <v>#N/A</v>
      </c>
      <c r="M2719">
        <v>0</v>
      </c>
      <c r="N2719">
        <v>1</v>
      </c>
      <c r="O2719" t="s">
        <v>23</v>
      </c>
      <c r="P2719">
        <v>1</v>
      </c>
      <c r="Q2719">
        <v>1</v>
      </c>
      <c r="R2719">
        <v>0</v>
      </c>
      <c r="S2719">
        <v>0</v>
      </c>
      <c r="T2719">
        <v>1</v>
      </c>
      <c r="U2719">
        <v>0</v>
      </c>
      <c r="V2719">
        <v>0</v>
      </c>
      <c r="W2719">
        <v>1</v>
      </c>
      <c r="X2719">
        <v>1</v>
      </c>
      <c r="Y2719">
        <v>1</v>
      </c>
      <c r="Z2719">
        <v>1</v>
      </c>
      <c r="AA2719" t="s">
        <v>2542</v>
      </c>
      <c r="AB2719" t="s">
        <v>1004</v>
      </c>
      <c r="AC2719" t="s">
        <v>2542</v>
      </c>
      <c r="AD2719" t="e">
        <f>VLOOKUP(AB2719,#REF!,2,FALSE)</f>
        <v>#REF!</v>
      </c>
      <c r="AE2719" t="e">
        <f>RIGHT(#REF!,(FIND("Complex",#REF!,1)-4))</f>
        <v>#REF!</v>
      </c>
    </row>
    <row r="2720" spans="1:31" x14ac:dyDescent="0.25">
      <c r="A2720">
        <v>3315</v>
      </c>
      <c r="B2720" t="s">
        <v>63</v>
      </c>
      <c r="C2720">
        <v>32</v>
      </c>
      <c r="D2720">
        <v>1072</v>
      </c>
      <c r="E2720">
        <v>3315</v>
      </c>
      <c r="F2720">
        <v>6174001</v>
      </c>
      <c r="G2720">
        <v>6262200</v>
      </c>
      <c r="H2720">
        <f t="shared" si="84"/>
        <v>140.00002267573697</v>
      </c>
      <c r="I2720">
        <f t="shared" si="85"/>
        <v>142</v>
      </c>
      <c r="J2720" t="s">
        <v>25</v>
      </c>
      <c r="K2720">
        <v>7</v>
      </c>
      <c r="L2720" t="e">
        <f t="array" ref="L2720">VLOOKUP(J2720:$J$3871&amp;K2720:$K$3871,CHOOSE({1,2},#REF!&amp;#REF!,#REF!),2,0)</f>
        <v>#N/A</v>
      </c>
      <c r="M2720">
        <v>0</v>
      </c>
      <c r="N2720">
        <v>1</v>
      </c>
      <c r="O2720" t="s">
        <v>23</v>
      </c>
      <c r="P2720">
        <v>1</v>
      </c>
      <c r="Q2720">
        <v>1</v>
      </c>
      <c r="R2720">
        <v>0</v>
      </c>
      <c r="S2720">
        <v>0</v>
      </c>
      <c r="T2720">
        <v>1</v>
      </c>
      <c r="U2720">
        <v>0</v>
      </c>
      <c r="V2720">
        <v>0</v>
      </c>
      <c r="W2720">
        <v>1</v>
      </c>
      <c r="X2720">
        <v>1</v>
      </c>
      <c r="Y2720">
        <v>1</v>
      </c>
      <c r="Z2720">
        <v>1</v>
      </c>
      <c r="AA2720" t="s">
        <v>2546</v>
      </c>
      <c r="AB2720" t="s">
        <v>1005</v>
      </c>
      <c r="AC2720" t="s">
        <v>2546</v>
      </c>
      <c r="AD2720" t="e">
        <f>VLOOKUP(AB2720,#REF!,2,FALSE)</f>
        <v>#REF!</v>
      </c>
      <c r="AE2720" t="e">
        <f>RIGHT(#REF!,(FIND("Complex",#REF!,1)-6))</f>
        <v>#REF!</v>
      </c>
    </row>
    <row r="2721" spans="1:31" x14ac:dyDescent="0.25">
      <c r="A2721">
        <v>995</v>
      </c>
      <c r="B2721" t="s">
        <v>63</v>
      </c>
      <c r="C2721">
        <v>32</v>
      </c>
      <c r="D2721">
        <v>440</v>
      </c>
      <c r="E2721">
        <v>995</v>
      </c>
      <c r="F2721">
        <v>5997601</v>
      </c>
      <c r="G2721">
        <v>6085800</v>
      </c>
      <c r="H2721">
        <f t="shared" si="84"/>
        <v>136.00002267573697</v>
      </c>
      <c r="I2721">
        <f t="shared" si="85"/>
        <v>138</v>
      </c>
      <c r="J2721" t="s">
        <v>25</v>
      </c>
      <c r="K2721">
        <v>7</v>
      </c>
      <c r="L2721" t="e">
        <f t="array" ref="L2721">VLOOKUP(J2721:$J$3871&amp;K2721:$K$3871,CHOOSE({1,2},#REF!&amp;#REF!,#REF!),2,0)</f>
        <v>#N/A</v>
      </c>
      <c r="M2721">
        <v>0</v>
      </c>
      <c r="N2721">
        <v>1</v>
      </c>
      <c r="O2721" t="s">
        <v>23</v>
      </c>
      <c r="P2721">
        <v>1</v>
      </c>
      <c r="Q2721">
        <v>1</v>
      </c>
      <c r="R2721">
        <v>0</v>
      </c>
      <c r="S2721">
        <v>0</v>
      </c>
      <c r="T2721">
        <v>1</v>
      </c>
      <c r="U2721">
        <v>0</v>
      </c>
      <c r="V2721">
        <v>0</v>
      </c>
      <c r="W2721">
        <v>1</v>
      </c>
      <c r="X2721">
        <v>1</v>
      </c>
      <c r="Y2721">
        <v>1</v>
      </c>
      <c r="Z2721">
        <v>1</v>
      </c>
      <c r="AA2721" t="s">
        <v>2553</v>
      </c>
      <c r="AB2721" t="s">
        <v>1006</v>
      </c>
      <c r="AC2721" t="s">
        <v>2553</v>
      </c>
      <c r="AD2721" t="e">
        <f>VLOOKUP(AB2721,#REF!,2,FALSE)</f>
        <v>#REF!</v>
      </c>
      <c r="AE2721" t="e">
        <f>RIGHT(#REF!,(FIND("Complex",#REF!,1)-4))</f>
        <v>#REF!</v>
      </c>
    </row>
    <row r="2722" spans="1:31" x14ac:dyDescent="0.25">
      <c r="A2722">
        <v>3009</v>
      </c>
      <c r="B2722" t="s">
        <v>63</v>
      </c>
      <c r="C2722">
        <v>32</v>
      </c>
      <c r="D2722">
        <v>1019</v>
      </c>
      <c r="E2722">
        <v>3009</v>
      </c>
      <c r="F2722">
        <v>5909401</v>
      </c>
      <c r="G2722">
        <v>5997600</v>
      </c>
      <c r="H2722">
        <f t="shared" si="84"/>
        <v>134.00002267573697</v>
      </c>
      <c r="I2722">
        <f t="shared" si="85"/>
        <v>136</v>
      </c>
      <c r="J2722" t="s">
        <v>25</v>
      </c>
      <c r="K2722">
        <v>7</v>
      </c>
      <c r="L2722" t="e">
        <f t="array" ref="L2722">VLOOKUP(J2722:$J$3871&amp;K2722:$K$3871,CHOOSE({1,2},#REF!&amp;#REF!,#REF!),2,0)</f>
        <v>#N/A</v>
      </c>
      <c r="M2722">
        <v>0</v>
      </c>
      <c r="N2722">
        <v>1</v>
      </c>
      <c r="O2722" t="s">
        <v>23</v>
      </c>
      <c r="P2722">
        <v>1</v>
      </c>
      <c r="Q2722">
        <v>1</v>
      </c>
      <c r="R2722">
        <v>0</v>
      </c>
      <c r="S2722">
        <v>0</v>
      </c>
      <c r="T2722">
        <v>1</v>
      </c>
      <c r="U2722">
        <v>0</v>
      </c>
      <c r="V2722">
        <v>0</v>
      </c>
      <c r="W2722">
        <v>1</v>
      </c>
      <c r="X2722">
        <v>1</v>
      </c>
      <c r="Y2722">
        <v>1</v>
      </c>
      <c r="Z2722">
        <v>1</v>
      </c>
      <c r="AA2722" t="s">
        <v>2557</v>
      </c>
      <c r="AB2722" t="s">
        <v>1007</v>
      </c>
      <c r="AC2722" t="s">
        <v>2557</v>
      </c>
      <c r="AD2722" t="e">
        <f>VLOOKUP(AB2722,#REF!,2,FALSE)</f>
        <v>#REF!</v>
      </c>
      <c r="AE2722" t="e">
        <f>RIGHT(#REF!,(FIND("Complex",#REF!,1)-6))</f>
        <v>#REF!</v>
      </c>
    </row>
    <row r="2723" spans="1:31" x14ac:dyDescent="0.25">
      <c r="A2723">
        <v>2770</v>
      </c>
      <c r="B2723" t="s">
        <v>38</v>
      </c>
      <c r="C2723">
        <v>37</v>
      </c>
      <c r="D2723">
        <v>978</v>
      </c>
      <c r="E2723">
        <v>2770</v>
      </c>
      <c r="F2723">
        <v>10407601</v>
      </c>
      <c r="G2723">
        <v>10495800</v>
      </c>
      <c r="H2723">
        <f t="shared" si="84"/>
        <v>236.00002267573697</v>
      </c>
      <c r="I2723">
        <f t="shared" si="85"/>
        <v>238</v>
      </c>
      <c r="J2723" t="s">
        <v>25</v>
      </c>
      <c r="K2723">
        <v>7</v>
      </c>
      <c r="L2723" t="e">
        <f t="array" ref="L2723">VLOOKUP(J2723:$J$3871&amp;K2723:$K$3871,CHOOSE({1,2},#REF!&amp;#REF!,#REF!),2,0)</f>
        <v>#N/A</v>
      </c>
      <c r="M2723">
        <v>0</v>
      </c>
      <c r="N2723">
        <v>1</v>
      </c>
      <c r="O2723" t="s">
        <v>23</v>
      </c>
      <c r="P2723">
        <v>1</v>
      </c>
      <c r="Q2723">
        <v>1</v>
      </c>
      <c r="R2723">
        <v>0</v>
      </c>
      <c r="S2723">
        <v>0</v>
      </c>
      <c r="T2723">
        <v>1</v>
      </c>
      <c r="U2723">
        <v>1</v>
      </c>
      <c r="V2723">
        <v>0</v>
      </c>
      <c r="W2723">
        <v>1</v>
      </c>
      <c r="X2723">
        <v>1</v>
      </c>
      <c r="Y2723">
        <v>0</v>
      </c>
      <c r="Z2723">
        <v>1</v>
      </c>
      <c r="AA2723" t="s">
        <v>2420</v>
      </c>
      <c r="AB2723" t="s">
        <v>1134</v>
      </c>
      <c r="AC2723" t="s">
        <v>2420</v>
      </c>
      <c r="AD2723" t="e">
        <f>VLOOKUP(AB2723,#REF!,2,FALSE)</f>
        <v>#REF!</v>
      </c>
      <c r="AE2723" t="e">
        <f>RIGHT(#REF!,(FIND("Complex",#REF!,1)-5))</f>
        <v>#REF!</v>
      </c>
    </row>
    <row r="2724" spans="1:31" x14ac:dyDescent="0.25">
      <c r="A2724">
        <v>2586</v>
      </c>
      <c r="B2724" t="s">
        <v>88</v>
      </c>
      <c r="C2724">
        <v>39</v>
      </c>
      <c r="D2724">
        <v>968</v>
      </c>
      <c r="E2724">
        <v>2586</v>
      </c>
      <c r="F2724">
        <v>6085801</v>
      </c>
      <c r="G2724">
        <v>6174000</v>
      </c>
      <c r="H2724">
        <f t="shared" si="84"/>
        <v>138.00002267573697</v>
      </c>
      <c r="I2724">
        <f t="shared" si="85"/>
        <v>140</v>
      </c>
      <c r="J2724" t="s">
        <v>25</v>
      </c>
      <c r="K2724">
        <v>7</v>
      </c>
      <c r="L2724" t="e">
        <f t="array" ref="L2724">VLOOKUP(J2724:$J$3871&amp;K2724:$K$3871,CHOOSE({1,2},#REF!&amp;#REF!,#REF!),2,0)</f>
        <v>#N/A</v>
      </c>
      <c r="M2724">
        <v>0</v>
      </c>
      <c r="N2724">
        <v>1</v>
      </c>
      <c r="O2724" t="s">
        <v>23</v>
      </c>
      <c r="P2724">
        <v>1</v>
      </c>
      <c r="Q2724">
        <v>1</v>
      </c>
      <c r="R2724">
        <v>1</v>
      </c>
      <c r="S2724">
        <v>0</v>
      </c>
      <c r="T2724">
        <v>1</v>
      </c>
      <c r="U2724">
        <v>0</v>
      </c>
      <c r="V2724">
        <v>0</v>
      </c>
      <c r="W2724">
        <v>1</v>
      </c>
      <c r="X2724">
        <v>1</v>
      </c>
      <c r="Y2724">
        <v>1</v>
      </c>
      <c r="Z2724">
        <v>0</v>
      </c>
      <c r="AA2724" t="s">
        <v>2549</v>
      </c>
      <c r="AB2724" t="s">
        <v>1177</v>
      </c>
      <c r="AC2724" t="s">
        <v>2549</v>
      </c>
      <c r="AD2724" t="e">
        <f>VLOOKUP(AB2724,#REF!,2,FALSE)</f>
        <v>#REF!</v>
      </c>
      <c r="AE2724" t="e">
        <f>RIGHT(#REF!,(FIND("Complex",#REF!,1)-5))</f>
        <v>#REF!</v>
      </c>
    </row>
    <row r="2725" spans="1:31" x14ac:dyDescent="0.25">
      <c r="A2725">
        <v>558</v>
      </c>
      <c r="B2725" t="s">
        <v>88</v>
      </c>
      <c r="C2725">
        <v>39</v>
      </c>
      <c r="D2725">
        <v>238</v>
      </c>
      <c r="E2725">
        <v>558</v>
      </c>
      <c r="F2725">
        <v>5115601</v>
      </c>
      <c r="G2725">
        <v>5203800</v>
      </c>
      <c r="H2725">
        <f t="shared" si="84"/>
        <v>116.00002267573696</v>
      </c>
      <c r="I2725">
        <f t="shared" si="85"/>
        <v>118</v>
      </c>
      <c r="J2725" t="s">
        <v>25</v>
      </c>
      <c r="K2725">
        <v>7</v>
      </c>
      <c r="L2725" t="e">
        <f t="array" ref="L2725">VLOOKUP(J2725:$J$3871&amp;K2725:$K$3871,CHOOSE({1,2},#REF!&amp;#REF!,#REF!),2,0)</f>
        <v>#N/A</v>
      </c>
      <c r="M2725">
        <v>0</v>
      </c>
      <c r="N2725">
        <v>1</v>
      </c>
      <c r="O2725" t="s">
        <v>23</v>
      </c>
      <c r="P2725">
        <v>1</v>
      </c>
      <c r="Q2725">
        <v>1</v>
      </c>
      <c r="R2725">
        <v>1</v>
      </c>
      <c r="S2725">
        <v>0</v>
      </c>
      <c r="T2725">
        <v>1</v>
      </c>
      <c r="U2725">
        <v>0</v>
      </c>
      <c r="V2725">
        <v>1</v>
      </c>
      <c r="W2725">
        <v>1</v>
      </c>
      <c r="X2725">
        <v>1</v>
      </c>
      <c r="Y2725">
        <v>0</v>
      </c>
      <c r="Z2725">
        <v>0</v>
      </c>
      <c r="AA2725" t="s">
        <v>2584</v>
      </c>
      <c r="AB2725" t="s">
        <v>1178</v>
      </c>
      <c r="AC2725" t="s">
        <v>2584</v>
      </c>
      <c r="AD2725" t="e">
        <f>VLOOKUP(AB2725,#REF!,2,FALSE)</f>
        <v>#REF!</v>
      </c>
      <c r="AE2725" t="e">
        <f>RIGHT(#REF!,(FIND("Complex",#REF!,1)-4))</f>
        <v>#REF!</v>
      </c>
    </row>
    <row r="2726" spans="1:31" x14ac:dyDescent="0.25">
      <c r="A2726">
        <v>2860</v>
      </c>
      <c r="B2726" t="s">
        <v>40</v>
      </c>
      <c r="C2726">
        <v>40</v>
      </c>
      <c r="D2726">
        <v>993</v>
      </c>
      <c r="E2726">
        <v>2860</v>
      </c>
      <c r="F2726">
        <v>7408801</v>
      </c>
      <c r="G2726">
        <v>7497000</v>
      </c>
      <c r="H2726">
        <f t="shared" si="84"/>
        <v>168.00002267573697</v>
      </c>
      <c r="I2726">
        <f t="shared" si="85"/>
        <v>170</v>
      </c>
      <c r="J2726" t="s">
        <v>25</v>
      </c>
      <c r="K2726">
        <v>7</v>
      </c>
      <c r="L2726" t="e">
        <f t="array" ref="L2726">VLOOKUP(J2726:$J$3871&amp;K2726:$K$3871,CHOOSE({1,2},#REF!&amp;#REF!,#REF!),2,0)</f>
        <v>#N/A</v>
      </c>
      <c r="M2726">
        <v>0</v>
      </c>
      <c r="N2726">
        <v>1</v>
      </c>
      <c r="O2726" t="s">
        <v>23</v>
      </c>
      <c r="P2726">
        <v>0</v>
      </c>
      <c r="Q2726">
        <v>1</v>
      </c>
      <c r="R2726">
        <v>0</v>
      </c>
      <c r="S2726">
        <v>1</v>
      </c>
      <c r="T2726">
        <v>1</v>
      </c>
      <c r="U2726">
        <v>0</v>
      </c>
      <c r="V2726">
        <v>0</v>
      </c>
      <c r="W2726">
        <v>1</v>
      </c>
      <c r="X2726">
        <v>1</v>
      </c>
      <c r="Y2726">
        <v>1</v>
      </c>
      <c r="Z2726">
        <v>1</v>
      </c>
      <c r="AA2726" t="s">
        <v>2526</v>
      </c>
      <c r="AB2726" t="s">
        <v>1223</v>
      </c>
      <c r="AC2726" t="s">
        <v>2526</v>
      </c>
      <c r="AD2726" t="e">
        <f>VLOOKUP(AB2726,#REF!,2,FALSE)</f>
        <v>#REF!</v>
      </c>
      <c r="AE2726" t="e">
        <f>RIGHT(#REF!,(FIND("Complex",#REF!,1)-5))</f>
        <v>#REF!</v>
      </c>
    </row>
    <row r="2727" spans="1:31" x14ac:dyDescent="0.25">
      <c r="A2727">
        <v>1118</v>
      </c>
      <c r="B2727" t="s">
        <v>27</v>
      </c>
      <c r="C2727">
        <v>52</v>
      </c>
      <c r="D2727">
        <v>501</v>
      </c>
      <c r="E2727">
        <v>1118</v>
      </c>
      <c r="F2727">
        <v>16669801</v>
      </c>
      <c r="G2727">
        <v>16758000</v>
      </c>
      <c r="H2727">
        <f t="shared" si="84"/>
        <v>378.00002267573694</v>
      </c>
      <c r="I2727">
        <f t="shared" si="85"/>
        <v>380</v>
      </c>
      <c r="J2727" t="s">
        <v>25</v>
      </c>
      <c r="K2727">
        <v>7</v>
      </c>
      <c r="L2727" t="e">
        <f t="array" ref="L2727">VLOOKUP(J2727:$J$3871&amp;K2727:$K$3871,CHOOSE({1,2},#REF!&amp;#REF!,#REF!),2,0)</f>
        <v>#N/A</v>
      </c>
      <c r="M2727">
        <v>0</v>
      </c>
      <c r="N2727">
        <v>1</v>
      </c>
      <c r="O2727" t="s">
        <v>23</v>
      </c>
      <c r="P2727">
        <v>0</v>
      </c>
      <c r="Q2727">
        <v>1</v>
      </c>
      <c r="R2727">
        <v>0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1</v>
      </c>
      <c r="Y2727">
        <v>1</v>
      </c>
      <c r="Z2727">
        <v>1</v>
      </c>
      <c r="AA2727" t="s">
        <v>2332</v>
      </c>
      <c r="AB2727" t="s">
        <v>100</v>
      </c>
      <c r="AC2727" t="s">
        <v>2332</v>
      </c>
      <c r="AD2727" t="e">
        <f>VLOOKUP(AB2727,#REF!,2,FALSE)</f>
        <v>#REF!</v>
      </c>
      <c r="AE2727" t="e">
        <f>RIGHT(#REF!,(FIND("Complex",#REF!,1)-5))</f>
        <v>#REF!</v>
      </c>
    </row>
    <row r="2728" spans="1:31" x14ac:dyDescent="0.25">
      <c r="A2728">
        <v>2856</v>
      </c>
      <c r="B2728" t="s">
        <v>27</v>
      </c>
      <c r="C2728">
        <v>52</v>
      </c>
      <c r="D2728">
        <v>991</v>
      </c>
      <c r="E2728">
        <v>2856</v>
      </c>
      <c r="F2728">
        <v>14023801</v>
      </c>
      <c r="G2728">
        <v>14112000</v>
      </c>
      <c r="H2728">
        <f t="shared" si="84"/>
        <v>318.00002267573694</v>
      </c>
      <c r="I2728">
        <f t="shared" si="85"/>
        <v>320</v>
      </c>
      <c r="J2728" t="s">
        <v>25</v>
      </c>
      <c r="K2728">
        <v>7</v>
      </c>
      <c r="L2728" t="e">
        <f t="array" ref="L2728">VLOOKUP(J2728:$J$3871&amp;K2728:$K$3871,CHOOSE({1,2},#REF!&amp;#REF!,#REF!),2,0)</f>
        <v>#N/A</v>
      </c>
      <c r="M2728">
        <v>0</v>
      </c>
      <c r="N2728">
        <v>1</v>
      </c>
      <c r="O2728" t="s">
        <v>23</v>
      </c>
      <c r="P2728">
        <v>0</v>
      </c>
      <c r="Q2728">
        <v>1</v>
      </c>
      <c r="R2728">
        <v>0</v>
      </c>
      <c r="S2728">
        <v>0</v>
      </c>
      <c r="T2728">
        <v>1</v>
      </c>
      <c r="U2728">
        <v>0</v>
      </c>
      <c r="V2728">
        <v>1</v>
      </c>
      <c r="W2728">
        <v>1</v>
      </c>
      <c r="X2728">
        <v>1</v>
      </c>
      <c r="Y2728">
        <v>1</v>
      </c>
      <c r="Z2728">
        <v>1</v>
      </c>
      <c r="AA2728" t="s">
        <v>2340</v>
      </c>
      <c r="AB2728" t="s">
        <v>1361</v>
      </c>
      <c r="AC2728" t="s">
        <v>2340</v>
      </c>
      <c r="AD2728" t="e">
        <f>VLOOKUP(AB2728,#REF!,2,FALSE)</f>
        <v>#REF!</v>
      </c>
      <c r="AE2728" t="e">
        <f>RIGHT(#REF!,(FIND("Complex",#REF!,1)-5))</f>
        <v>#REF!</v>
      </c>
    </row>
    <row r="2729" spans="1:31" x14ac:dyDescent="0.25">
      <c r="A2729">
        <v>2234</v>
      </c>
      <c r="B2729" t="s">
        <v>31</v>
      </c>
      <c r="C2729">
        <v>83</v>
      </c>
      <c r="D2729">
        <v>922</v>
      </c>
      <c r="E2729">
        <v>2234</v>
      </c>
      <c r="F2729">
        <v>4851001</v>
      </c>
      <c r="G2729">
        <v>4939200</v>
      </c>
      <c r="H2729">
        <f t="shared" si="84"/>
        <v>110.00002267573696</v>
      </c>
      <c r="I2729">
        <f t="shared" si="85"/>
        <v>112</v>
      </c>
      <c r="J2729" t="s">
        <v>25</v>
      </c>
      <c r="K2729">
        <v>7</v>
      </c>
      <c r="L2729" t="e">
        <f t="array" ref="L2729">VLOOKUP(J2729:$J$3871&amp;K2729:$K$3871,CHOOSE({1,2},#REF!&amp;#REF!,#REF!),2,0)</f>
        <v>#N/A</v>
      </c>
      <c r="M2729">
        <v>0</v>
      </c>
      <c r="N2729">
        <v>1</v>
      </c>
      <c r="O2729" t="s">
        <v>23</v>
      </c>
      <c r="P2729">
        <v>1</v>
      </c>
      <c r="Q2729">
        <v>1</v>
      </c>
      <c r="R2729">
        <v>1</v>
      </c>
      <c r="S2729">
        <v>0</v>
      </c>
      <c r="T2729">
        <v>1</v>
      </c>
      <c r="U2729">
        <v>1</v>
      </c>
      <c r="V2729">
        <v>0</v>
      </c>
      <c r="W2729">
        <v>1</v>
      </c>
      <c r="X2729">
        <v>1</v>
      </c>
      <c r="Y2729">
        <v>0</v>
      </c>
      <c r="Z2729">
        <v>0</v>
      </c>
      <c r="AA2729" t="s">
        <v>2592</v>
      </c>
      <c r="AB2729" t="s">
        <v>136</v>
      </c>
      <c r="AC2729" t="s">
        <v>2592</v>
      </c>
      <c r="AD2729" t="e">
        <f>VLOOKUP(AB2729,#REF!,2,FALSE)</f>
        <v>#REF!</v>
      </c>
      <c r="AE2729" t="e">
        <f>RIGHT(#REF!,(FIND("Complex",#REF!,1)-5))</f>
        <v>#REF!</v>
      </c>
    </row>
    <row r="2730" spans="1:31" x14ac:dyDescent="0.25">
      <c r="A2730">
        <v>1149</v>
      </c>
      <c r="B2730" t="s">
        <v>31</v>
      </c>
      <c r="C2730">
        <v>83</v>
      </c>
      <c r="D2730">
        <v>512</v>
      </c>
      <c r="E2730">
        <v>1149</v>
      </c>
      <c r="F2730">
        <v>4498201</v>
      </c>
      <c r="G2730">
        <v>4586400</v>
      </c>
      <c r="H2730">
        <f t="shared" si="84"/>
        <v>102.00002267573696</v>
      </c>
      <c r="I2730">
        <f t="shared" si="85"/>
        <v>104</v>
      </c>
      <c r="J2730" t="s">
        <v>25</v>
      </c>
      <c r="K2730">
        <v>7</v>
      </c>
      <c r="L2730" t="e">
        <f t="array" ref="L2730">VLOOKUP(J2730:$J$3871&amp;K2730:$K$3871,CHOOSE({1,2},#REF!&amp;#REF!,#REF!),2,0)</f>
        <v>#N/A</v>
      </c>
      <c r="M2730">
        <v>0</v>
      </c>
      <c r="N2730">
        <v>1</v>
      </c>
      <c r="O2730" t="s">
        <v>23</v>
      </c>
      <c r="P2730">
        <v>1</v>
      </c>
      <c r="Q2730">
        <v>1</v>
      </c>
      <c r="R2730">
        <v>1</v>
      </c>
      <c r="S2730">
        <v>0</v>
      </c>
      <c r="T2730">
        <v>1</v>
      </c>
      <c r="U2730">
        <v>1</v>
      </c>
      <c r="V2730">
        <v>0</v>
      </c>
      <c r="W2730">
        <v>1</v>
      </c>
      <c r="X2730">
        <v>1</v>
      </c>
      <c r="Y2730">
        <v>0</v>
      </c>
      <c r="Z2730">
        <v>0</v>
      </c>
      <c r="AA2730" t="s">
        <v>2609</v>
      </c>
      <c r="AB2730" t="s">
        <v>1689</v>
      </c>
      <c r="AC2730" t="s">
        <v>2609</v>
      </c>
      <c r="AD2730" t="e">
        <f>VLOOKUP(AB2730,#REF!,2,FALSE)</f>
        <v>#REF!</v>
      </c>
      <c r="AE2730" t="e">
        <f>RIGHT(#REF!,(FIND("Complex",#REF!,1)-5))</f>
        <v>#REF!</v>
      </c>
    </row>
    <row r="2731" spans="1:31" x14ac:dyDescent="0.25">
      <c r="A2731">
        <v>3689</v>
      </c>
      <c r="B2731" t="s">
        <v>57</v>
      </c>
      <c r="C2731">
        <v>84</v>
      </c>
      <c r="D2731">
        <v>1171</v>
      </c>
      <c r="E2731">
        <v>3689</v>
      </c>
      <c r="F2731">
        <v>4498201</v>
      </c>
      <c r="G2731">
        <v>4586400</v>
      </c>
      <c r="H2731">
        <f t="shared" si="84"/>
        <v>102.00002267573696</v>
      </c>
      <c r="I2731">
        <f t="shared" si="85"/>
        <v>104</v>
      </c>
      <c r="J2731" t="s">
        <v>25</v>
      </c>
      <c r="K2731">
        <v>7</v>
      </c>
      <c r="L2731" t="e">
        <f t="array" ref="L2731">VLOOKUP(J2731:$J$3871&amp;K2731:$K$3871,CHOOSE({1,2},#REF!&amp;#REF!,#REF!),2,0)</f>
        <v>#N/A</v>
      </c>
      <c r="M2731">
        <v>0</v>
      </c>
      <c r="N2731">
        <v>1</v>
      </c>
      <c r="O2731" t="s">
        <v>23</v>
      </c>
      <c r="P2731">
        <v>1</v>
      </c>
      <c r="Q2731">
        <v>0</v>
      </c>
      <c r="R2731">
        <v>0</v>
      </c>
      <c r="S2731">
        <v>1</v>
      </c>
      <c r="T2731">
        <v>1</v>
      </c>
      <c r="U2731">
        <v>1</v>
      </c>
      <c r="V2731">
        <v>0</v>
      </c>
      <c r="W2731">
        <v>1</v>
      </c>
      <c r="X2731">
        <v>1</v>
      </c>
      <c r="Y2731">
        <v>1</v>
      </c>
      <c r="Z2731">
        <v>0</v>
      </c>
      <c r="AA2731" t="s">
        <v>2608</v>
      </c>
      <c r="AB2731" t="s">
        <v>1719</v>
      </c>
      <c r="AC2731" t="s">
        <v>2608</v>
      </c>
      <c r="AD2731" t="e">
        <f>VLOOKUP(AB2731,#REF!,2,FALSE)</f>
        <v>#REF!</v>
      </c>
      <c r="AE2731" t="e">
        <f>RIGHT(#REF!,(FIND("Complex",#REF!,1)-6))</f>
        <v>#REF!</v>
      </c>
    </row>
    <row r="2732" spans="1:31" x14ac:dyDescent="0.25">
      <c r="A2732">
        <v>2160</v>
      </c>
      <c r="B2732" t="s">
        <v>83</v>
      </c>
      <c r="C2732">
        <v>97</v>
      </c>
      <c r="D2732">
        <v>901</v>
      </c>
      <c r="E2732">
        <v>2160</v>
      </c>
      <c r="F2732">
        <v>11377801</v>
      </c>
      <c r="G2732">
        <v>11466000</v>
      </c>
      <c r="H2732">
        <f t="shared" si="84"/>
        <v>258.00002267573694</v>
      </c>
      <c r="I2732">
        <f t="shared" si="85"/>
        <v>260</v>
      </c>
      <c r="J2732" t="s">
        <v>25</v>
      </c>
      <c r="K2732">
        <v>7</v>
      </c>
      <c r="L2732" t="e">
        <f t="array" ref="L2732">VLOOKUP(J2732:$J$3871&amp;K2732:$K$3871,CHOOSE({1,2},#REF!&amp;#REF!,#REF!),2,0)</f>
        <v>#N/A</v>
      </c>
      <c r="M2732">
        <v>0</v>
      </c>
      <c r="N2732">
        <v>1</v>
      </c>
      <c r="O2732" t="s">
        <v>23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0</v>
      </c>
      <c r="V2732">
        <v>0</v>
      </c>
      <c r="W2732">
        <v>1</v>
      </c>
      <c r="X2732">
        <v>1</v>
      </c>
      <c r="Y2732">
        <v>0</v>
      </c>
      <c r="Z2732">
        <v>0</v>
      </c>
      <c r="AA2732" t="s">
        <v>2381</v>
      </c>
      <c r="AB2732" t="s">
        <v>1892</v>
      </c>
      <c r="AC2732" t="s">
        <v>2381</v>
      </c>
      <c r="AD2732" t="e">
        <f>VLOOKUP(AB2732,#REF!,2,FALSE)</f>
        <v>#REF!</v>
      </c>
      <c r="AE2732" t="e">
        <f>RIGHT(#REF!,(FIND("Complex",#REF!,1)-5))</f>
        <v>#REF!</v>
      </c>
    </row>
    <row r="2733" spans="1:31" x14ac:dyDescent="0.25">
      <c r="A2733">
        <v>1926</v>
      </c>
      <c r="B2733" t="s">
        <v>83</v>
      </c>
      <c r="C2733">
        <v>97</v>
      </c>
      <c r="D2733">
        <v>833</v>
      </c>
      <c r="E2733">
        <v>1926</v>
      </c>
      <c r="F2733">
        <v>11113201</v>
      </c>
      <c r="G2733">
        <v>11201400</v>
      </c>
      <c r="H2733">
        <f t="shared" si="84"/>
        <v>252.00002267573697</v>
      </c>
      <c r="I2733">
        <f t="shared" si="85"/>
        <v>254</v>
      </c>
      <c r="J2733" t="s">
        <v>25</v>
      </c>
      <c r="K2733">
        <v>7</v>
      </c>
      <c r="L2733" t="e">
        <f t="array" ref="L2733">VLOOKUP(J2733:$J$3871&amp;K2733:$K$3871,CHOOSE({1,2},#REF!&amp;#REF!,#REF!),2,0)</f>
        <v>#N/A</v>
      </c>
      <c r="M2733">
        <v>0</v>
      </c>
      <c r="N2733">
        <v>1</v>
      </c>
      <c r="O2733" t="s">
        <v>23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0</v>
      </c>
      <c r="V2733">
        <v>0</v>
      </c>
      <c r="W2733">
        <v>1</v>
      </c>
      <c r="X2733">
        <v>1</v>
      </c>
      <c r="Y2733">
        <v>0</v>
      </c>
      <c r="Z2733">
        <v>0</v>
      </c>
      <c r="AA2733" t="s">
        <v>2392</v>
      </c>
      <c r="AB2733" t="s">
        <v>109</v>
      </c>
      <c r="AC2733" t="s">
        <v>2392</v>
      </c>
      <c r="AD2733" t="e">
        <f>VLOOKUP(AB2733,#REF!,2,FALSE)</f>
        <v>#REF!</v>
      </c>
      <c r="AE2733" t="e">
        <f>RIGHT(#REF!,(FIND("Complex",#REF!,1)-5))</f>
        <v>#REF!</v>
      </c>
    </row>
    <row r="2734" spans="1:31" x14ac:dyDescent="0.25">
      <c r="A2734">
        <v>426</v>
      </c>
      <c r="B2734" t="s">
        <v>83</v>
      </c>
      <c r="C2734">
        <v>97</v>
      </c>
      <c r="D2734">
        <v>180</v>
      </c>
      <c r="E2734">
        <v>426</v>
      </c>
      <c r="F2734">
        <v>10672201</v>
      </c>
      <c r="G2734">
        <v>10760400</v>
      </c>
      <c r="H2734">
        <f t="shared" si="84"/>
        <v>242.00002267573697</v>
      </c>
      <c r="I2734">
        <f t="shared" si="85"/>
        <v>244</v>
      </c>
      <c r="J2734" t="s">
        <v>25</v>
      </c>
      <c r="K2734">
        <v>7</v>
      </c>
      <c r="L2734" t="e">
        <f t="array" ref="L2734">VLOOKUP(J2734:$J$3871&amp;K2734:$K$3871,CHOOSE({1,2},#REF!&amp;#REF!,#REF!),2,0)</f>
        <v>#N/A</v>
      </c>
      <c r="M2734">
        <v>0</v>
      </c>
      <c r="N2734">
        <v>1</v>
      </c>
      <c r="O2734" t="s">
        <v>23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0</v>
      </c>
      <c r="V2734">
        <v>0</v>
      </c>
      <c r="W2734">
        <v>1</v>
      </c>
      <c r="X2734">
        <v>1</v>
      </c>
      <c r="Y2734">
        <v>0</v>
      </c>
      <c r="Z2734">
        <v>0</v>
      </c>
      <c r="AA2734" t="s">
        <v>2408</v>
      </c>
      <c r="AB2734" t="s">
        <v>1893</v>
      </c>
      <c r="AC2734" t="s">
        <v>2408</v>
      </c>
      <c r="AD2734" t="e">
        <f>VLOOKUP(AB2734,#REF!,2,FALSE)</f>
        <v>#REF!</v>
      </c>
      <c r="AE2734" t="e">
        <f>RIGHT(#REF!,(FIND("Complex",#REF!,1)-4))</f>
        <v>#REF!</v>
      </c>
    </row>
    <row r="2735" spans="1:31" x14ac:dyDescent="0.25">
      <c r="A2735">
        <v>3217</v>
      </c>
      <c r="B2735" t="s">
        <v>83</v>
      </c>
      <c r="C2735">
        <v>97</v>
      </c>
      <c r="D2735">
        <v>1058</v>
      </c>
      <c r="E2735">
        <v>3217</v>
      </c>
      <c r="F2735">
        <v>10495801</v>
      </c>
      <c r="G2735">
        <v>10584000</v>
      </c>
      <c r="H2735">
        <f t="shared" si="84"/>
        <v>238.00002267573697</v>
      </c>
      <c r="I2735">
        <f t="shared" si="85"/>
        <v>240</v>
      </c>
      <c r="J2735" t="s">
        <v>25</v>
      </c>
      <c r="K2735">
        <v>7</v>
      </c>
      <c r="L2735" t="e">
        <f t="array" ref="L2735">VLOOKUP(J2735:$J$3871&amp;K2735:$K$3871,CHOOSE({1,2},#REF!&amp;#REF!,#REF!),2,0)</f>
        <v>#N/A</v>
      </c>
      <c r="M2735">
        <v>0</v>
      </c>
      <c r="N2735">
        <v>1</v>
      </c>
      <c r="O2735" t="s">
        <v>23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0</v>
      </c>
      <c r="V2735">
        <v>0</v>
      </c>
      <c r="W2735">
        <v>1</v>
      </c>
      <c r="X2735">
        <v>1</v>
      </c>
      <c r="Y2735">
        <v>0</v>
      </c>
      <c r="Z2735">
        <v>0</v>
      </c>
      <c r="AA2735" t="s">
        <v>2416</v>
      </c>
      <c r="AB2735" t="s">
        <v>1894</v>
      </c>
      <c r="AC2735" t="s">
        <v>2416</v>
      </c>
      <c r="AD2735" t="e">
        <f>VLOOKUP(AB2735,#REF!,2,FALSE)</f>
        <v>#REF!</v>
      </c>
      <c r="AE2735" t="e">
        <f>RIGHT(#REF!,(FIND("Complex",#REF!,1)-6))</f>
        <v>#REF!</v>
      </c>
    </row>
    <row r="2736" spans="1:31" x14ac:dyDescent="0.25">
      <c r="A2736">
        <v>3758</v>
      </c>
      <c r="B2736" t="s">
        <v>83</v>
      </c>
      <c r="C2736">
        <v>97</v>
      </c>
      <c r="D2736">
        <v>1196</v>
      </c>
      <c r="E2736">
        <v>3758</v>
      </c>
      <c r="F2736">
        <v>10407601</v>
      </c>
      <c r="G2736">
        <v>10495800</v>
      </c>
      <c r="H2736">
        <f t="shared" si="84"/>
        <v>236.00002267573697</v>
      </c>
      <c r="I2736">
        <f t="shared" si="85"/>
        <v>238</v>
      </c>
      <c r="J2736" t="s">
        <v>25</v>
      </c>
      <c r="K2736">
        <v>7</v>
      </c>
      <c r="L2736" t="e">
        <f t="array" ref="L2736">VLOOKUP(J2736:$J$3871&amp;K2736:$K$3871,CHOOSE({1,2},#REF!&amp;#REF!,#REF!),2,0)</f>
        <v>#N/A</v>
      </c>
      <c r="M2736">
        <v>0</v>
      </c>
      <c r="N2736">
        <v>1</v>
      </c>
      <c r="O2736" t="s">
        <v>23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0</v>
      </c>
      <c r="V2736">
        <v>0</v>
      </c>
      <c r="W2736">
        <v>1</v>
      </c>
      <c r="X2736">
        <v>1</v>
      </c>
      <c r="Y2736">
        <v>0</v>
      </c>
      <c r="Z2736">
        <v>0</v>
      </c>
      <c r="AA2736" t="s">
        <v>2419</v>
      </c>
      <c r="AB2736" t="s">
        <v>1895</v>
      </c>
      <c r="AC2736" t="s">
        <v>2419</v>
      </c>
      <c r="AD2736" t="e">
        <f>VLOOKUP(AB2736,#REF!,2,FALSE)</f>
        <v>#REF!</v>
      </c>
      <c r="AE2736" t="e">
        <f>RIGHT(#REF!,(FIND("Complex",#REF!,1)-6))</f>
        <v>#REF!</v>
      </c>
    </row>
    <row r="2737" spans="1:31" x14ac:dyDescent="0.25">
      <c r="A2737">
        <v>2086</v>
      </c>
      <c r="B2737" t="s">
        <v>83</v>
      </c>
      <c r="C2737">
        <v>97</v>
      </c>
      <c r="D2737">
        <v>882</v>
      </c>
      <c r="E2737">
        <v>2086</v>
      </c>
      <c r="F2737">
        <v>10319401</v>
      </c>
      <c r="G2737">
        <v>10407600</v>
      </c>
      <c r="H2737">
        <f t="shared" si="84"/>
        <v>234.00002267573697</v>
      </c>
      <c r="I2737">
        <f t="shared" si="85"/>
        <v>236</v>
      </c>
      <c r="J2737" t="s">
        <v>25</v>
      </c>
      <c r="K2737">
        <v>7</v>
      </c>
      <c r="L2737" t="e">
        <f t="array" ref="L2737">VLOOKUP(J2737:$J$3871&amp;K2737:$K$3871,CHOOSE({1,2},#REF!&amp;#REF!,#REF!),2,0)</f>
        <v>#N/A</v>
      </c>
      <c r="M2737">
        <v>0</v>
      </c>
      <c r="N2737">
        <v>1</v>
      </c>
      <c r="O2737" t="s">
        <v>23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0</v>
      </c>
      <c r="V2737">
        <v>0</v>
      </c>
      <c r="W2737">
        <v>1</v>
      </c>
      <c r="X2737">
        <v>1</v>
      </c>
      <c r="Y2737">
        <v>0</v>
      </c>
      <c r="Z2737">
        <v>0</v>
      </c>
      <c r="AA2737" t="s">
        <v>2424</v>
      </c>
      <c r="AB2737" t="s">
        <v>1896</v>
      </c>
      <c r="AC2737" t="s">
        <v>2424</v>
      </c>
      <c r="AD2737" t="e">
        <f>VLOOKUP(AB2737,#REF!,2,FALSE)</f>
        <v>#REF!</v>
      </c>
      <c r="AE2737" t="e">
        <f>RIGHT(#REF!,(FIND("Complex",#REF!,1)-5))</f>
        <v>#REF!</v>
      </c>
    </row>
    <row r="2738" spans="1:31" x14ac:dyDescent="0.25">
      <c r="A2738">
        <v>3404</v>
      </c>
      <c r="B2738" t="s">
        <v>83</v>
      </c>
      <c r="C2738">
        <v>97</v>
      </c>
      <c r="D2738">
        <v>1096</v>
      </c>
      <c r="E2738">
        <v>3404</v>
      </c>
      <c r="F2738">
        <v>9878401</v>
      </c>
      <c r="G2738">
        <v>9966600</v>
      </c>
      <c r="H2738">
        <f t="shared" si="84"/>
        <v>224.00002267573697</v>
      </c>
      <c r="I2738">
        <f t="shared" si="85"/>
        <v>226</v>
      </c>
      <c r="J2738" t="s">
        <v>25</v>
      </c>
      <c r="K2738">
        <v>7</v>
      </c>
      <c r="L2738" t="e">
        <f t="array" ref="L2738">VLOOKUP(J2738:$J$3871&amp;K2738:$K$3871,CHOOSE({1,2},#REF!&amp;#REF!,#REF!),2,0)</f>
        <v>#N/A</v>
      </c>
      <c r="M2738">
        <v>0</v>
      </c>
      <c r="N2738">
        <v>1</v>
      </c>
      <c r="O2738" t="s">
        <v>23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0</v>
      </c>
      <c r="V2738">
        <v>0</v>
      </c>
      <c r="W2738">
        <v>1</v>
      </c>
      <c r="X2738">
        <v>1</v>
      </c>
      <c r="Y2738">
        <v>0</v>
      </c>
      <c r="Z2738">
        <v>0</v>
      </c>
      <c r="AA2738" t="s">
        <v>2441</v>
      </c>
      <c r="AB2738" t="s">
        <v>1897</v>
      </c>
      <c r="AC2738" t="s">
        <v>2441</v>
      </c>
      <c r="AD2738" t="e">
        <f>VLOOKUP(AB2738,#REF!,2,FALSE)</f>
        <v>#REF!</v>
      </c>
      <c r="AE2738" t="e">
        <f>RIGHT(#REF!,(FIND("Complex",#REF!,1)-6))</f>
        <v>#REF!</v>
      </c>
    </row>
    <row r="2739" spans="1:31" x14ac:dyDescent="0.25">
      <c r="A2739">
        <v>3427</v>
      </c>
      <c r="B2739" t="s">
        <v>74</v>
      </c>
      <c r="C2739">
        <v>101</v>
      </c>
      <c r="D2739">
        <v>1102</v>
      </c>
      <c r="E2739">
        <v>3427</v>
      </c>
      <c r="F2739">
        <v>9525601</v>
      </c>
      <c r="G2739">
        <v>9613800</v>
      </c>
      <c r="H2739">
        <f t="shared" si="84"/>
        <v>216.00002267573697</v>
      </c>
      <c r="I2739">
        <f t="shared" si="85"/>
        <v>218</v>
      </c>
      <c r="J2739" t="s">
        <v>25</v>
      </c>
      <c r="K2739">
        <v>7</v>
      </c>
      <c r="L2739" t="e">
        <f t="array" ref="L2739">VLOOKUP(J2739:$J$3871&amp;K2739:$K$3871,CHOOSE({1,2},#REF!&amp;#REF!,#REF!),2,0)</f>
        <v>#N/A</v>
      </c>
      <c r="M2739">
        <v>0</v>
      </c>
      <c r="N2739">
        <v>1</v>
      </c>
      <c r="O2739" t="s">
        <v>23</v>
      </c>
      <c r="P2739">
        <v>1</v>
      </c>
      <c r="Q2739">
        <v>1</v>
      </c>
      <c r="R2739">
        <v>0</v>
      </c>
      <c r="S2739">
        <v>1</v>
      </c>
      <c r="T2739">
        <v>1</v>
      </c>
      <c r="U2739">
        <v>0</v>
      </c>
      <c r="V2739">
        <v>0</v>
      </c>
      <c r="W2739">
        <v>1</v>
      </c>
      <c r="X2739">
        <v>1</v>
      </c>
      <c r="Y2739">
        <v>1</v>
      </c>
      <c r="Z2739">
        <v>0</v>
      </c>
      <c r="AA2739" t="s">
        <v>2456</v>
      </c>
      <c r="AB2739" t="s">
        <v>118</v>
      </c>
      <c r="AC2739" t="s">
        <v>2456</v>
      </c>
      <c r="AD2739" t="e">
        <f>VLOOKUP(AB2739,#REF!,2,FALSE)</f>
        <v>#REF!</v>
      </c>
      <c r="AE2739" t="e">
        <f>RIGHT(#REF!,(FIND("Complex",#REF!,1)-5))</f>
        <v>#REF!</v>
      </c>
    </row>
    <row r="2740" spans="1:31" x14ac:dyDescent="0.25">
      <c r="A2740">
        <v>2574</v>
      </c>
      <c r="B2740" t="s">
        <v>74</v>
      </c>
      <c r="C2740">
        <v>101</v>
      </c>
      <c r="D2740">
        <v>967</v>
      </c>
      <c r="E2740">
        <v>2574</v>
      </c>
      <c r="F2740">
        <v>9437401</v>
      </c>
      <c r="G2740">
        <v>9525600</v>
      </c>
      <c r="H2740">
        <f t="shared" si="84"/>
        <v>214.00002267573697</v>
      </c>
      <c r="I2740">
        <f t="shared" si="85"/>
        <v>216</v>
      </c>
      <c r="J2740" t="s">
        <v>25</v>
      </c>
      <c r="K2740">
        <v>7</v>
      </c>
      <c r="L2740" t="e">
        <f t="array" ref="L2740">VLOOKUP(J2740:$J$3871&amp;K2740:$K$3871,CHOOSE({1,2},#REF!&amp;#REF!,#REF!),2,0)</f>
        <v>#N/A</v>
      </c>
      <c r="M2740">
        <v>0</v>
      </c>
      <c r="N2740">
        <v>1</v>
      </c>
      <c r="O2740" t="s">
        <v>23</v>
      </c>
      <c r="P2740">
        <v>1</v>
      </c>
      <c r="Q2740">
        <v>1</v>
      </c>
      <c r="R2740">
        <v>0</v>
      </c>
      <c r="S2740">
        <v>1</v>
      </c>
      <c r="T2740">
        <v>1</v>
      </c>
      <c r="U2740">
        <v>0</v>
      </c>
      <c r="V2740">
        <v>0</v>
      </c>
      <c r="W2740">
        <v>1</v>
      </c>
      <c r="X2740">
        <v>1</v>
      </c>
      <c r="Y2740">
        <v>1</v>
      </c>
      <c r="Z2740">
        <v>0</v>
      </c>
      <c r="AA2740" t="s">
        <v>2463</v>
      </c>
      <c r="AB2740" t="s">
        <v>1942</v>
      </c>
      <c r="AC2740" t="s">
        <v>2463</v>
      </c>
      <c r="AD2740" t="e">
        <f>VLOOKUP(AB2740,#REF!,2,FALSE)</f>
        <v>#REF!</v>
      </c>
      <c r="AE2740" t="e">
        <f>RIGHT(#REF!,(FIND("Complex",#REF!,1)-4))</f>
        <v>#REF!</v>
      </c>
    </row>
    <row r="2741" spans="1:31" x14ac:dyDescent="0.25">
      <c r="A2741">
        <v>3536</v>
      </c>
      <c r="B2741" t="s">
        <v>55</v>
      </c>
      <c r="C2741">
        <v>102</v>
      </c>
      <c r="D2741">
        <v>1128</v>
      </c>
      <c r="E2741">
        <v>3536</v>
      </c>
      <c r="F2741">
        <v>3087001</v>
      </c>
      <c r="G2741">
        <v>3175200</v>
      </c>
      <c r="H2741">
        <f t="shared" si="84"/>
        <v>70.000022675736957</v>
      </c>
      <c r="I2741">
        <f t="shared" si="85"/>
        <v>72</v>
      </c>
      <c r="J2741" t="s">
        <v>25</v>
      </c>
      <c r="K2741">
        <v>7</v>
      </c>
      <c r="L2741" t="e">
        <f t="array" ref="L2741">VLOOKUP(J2741:$J$3871&amp;K2741:$K$3871,CHOOSE({1,2},#REF!&amp;#REF!,#REF!),2,0)</f>
        <v>#N/A</v>
      </c>
      <c r="M2741">
        <v>0</v>
      </c>
      <c r="N2741">
        <v>1</v>
      </c>
      <c r="O2741" t="s">
        <v>23</v>
      </c>
      <c r="P2741">
        <v>1</v>
      </c>
      <c r="Q2741">
        <v>0</v>
      </c>
      <c r="R2741">
        <v>1</v>
      </c>
      <c r="S2741">
        <v>1</v>
      </c>
      <c r="T2741">
        <v>1</v>
      </c>
      <c r="U2741">
        <v>1</v>
      </c>
      <c r="V2741">
        <v>0</v>
      </c>
      <c r="W2741">
        <v>1</v>
      </c>
      <c r="X2741">
        <v>1</v>
      </c>
      <c r="Y2741">
        <v>0</v>
      </c>
      <c r="Z2741">
        <v>0</v>
      </c>
      <c r="AA2741" t="s">
        <v>2300</v>
      </c>
      <c r="AB2741" t="s">
        <v>2001</v>
      </c>
      <c r="AC2741" t="s">
        <v>2300</v>
      </c>
      <c r="AD2741" t="e">
        <f>VLOOKUP(AB2741,#REF!,2,FALSE)</f>
        <v>#REF!</v>
      </c>
      <c r="AE2741" t="e">
        <f>RIGHT(#REF!,(FIND("Complex",#REF!,1)-6))</f>
        <v>#REF!</v>
      </c>
    </row>
    <row r="2742" spans="1:31" x14ac:dyDescent="0.25">
      <c r="A2742">
        <v>2835</v>
      </c>
      <c r="B2742" t="s">
        <v>55</v>
      </c>
      <c r="C2742">
        <v>102</v>
      </c>
      <c r="D2742">
        <v>985</v>
      </c>
      <c r="E2742">
        <v>2835</v>
      </c>
      <c r="F2742">
        <v>11818801</v>
      </c>
      <c r="G2742">
        <v>11907000</v>
      </c>
      <c r="H2742">
        <f t="shared" si="84"/>
        <v>268.00002267573694</v>
      </c>
      <c r="I2742">
        <f t="shared" si="85"/>
        <v>270</v>
      </c>
      <c r="J2742" t="s">
        <v>25</v>
      </c>
      <c r="K2742">
        <v>7</v>
      </c>
      <c r="L2742" t="e">
        <f t="array" ref="L2742">VLOOKUP(J2742:$J$3871&amp;K2742:$K$3871,CHOOSE({1,2},#REF!&amp;#REF!,#REF!),2,0)</f>
        <v>#N/A</v>
      </c>
      <c r="M2742">
        <v>0</v>
      </c>
      <c r="N2742">
        <v>1</v>
      </c>
      <c r="O2742" t="s">
        <v>23</v>
      </c>
      <c r="P2742">
        <v>1</v>
      </c>
      <c r="Q2742">
        <v>0</v>
      </c>
      <c r="R2742">
        <v>1</v>
      </c>
      <c r="S2742">
        <v>1</v>
      </c>
      <c r="T2742">
        <v>1</v>
      </c>
      <c r="U2742">
        <v>1</v>
      </c>
      <c r="V2742">
        <v>0</v>
      </c>
      <c r="W2742">
        <v>1</v>
      </c>
      <c r="X2742">
        <v>1</v>
      </c>
      <c r="Y2742">
        <v>0</v>
      </c>
      <c r="Z2742">
        <v>0</v>
      </c>
      <c r="AA2742" t="s">
        <v>2369</v>
      </c>
      <c r="AB2742" t="s">
        <v>2002</v>
      </c>
      <c r="AC2742" t="s">
        <v>2369</v>
      </c>
      <c r="AD2742" t="e">
        <f>VLOOKUP(AB2742,#REF!,2,FALSE)</f>
        <v>#REF!</v>
      </c>
      <c r="AE2742" t="e">
        <f>RIGHT(#REF!,(FIND("Complex",#REF!,1)-4))</f>
        <v>#REF!</v>
      </c>
    </row>
    <row r="2743" spans="1:31" x14ac:dyDescent="0.25">
      <c r="A2743">
        <v>3613</v>
      </c>
      <c r="B2743" t="s">
        <v>55</v>
      </c>
      <c r="C2743">
        <v>102</v>
      </c>
      <c r="D2743">
        <v>1145</v>
      </c>
      <c r="E2743">
        <v>3613</v>
      </c>
      <c r="F2743">
        <v>11642401</v>
      </c>
      <c r="G2743">
        <v>11730600</v>
      </c>
      <c r="H2743">
        <f t="shared" si="84"/>
        <v>264.00002267573694</v>
      </c>
      <c r="I2743">
        <f t="shared" si="85"/>
        <v>266</v>
      </c>
      <c r="J2743" t="s">
        <v>25</v>
      </c>
      <c r="K2743">
        <v>7</v>
      </c>
      <c r="L2743" t="e">
        <f t="array" ref="L2743">VLOOKUP(J2743:$J$3871&amp;K2743:$K$3871,CHOOSE({1,2},#REF!&amp;#REF!,#REF!),2,0)</f>
        <v>#N/A</v>
      </c>
      <c r="M2743">
        <v>0</v>
      </c>
      <c r="N2743">
        <v>1</v>
      </c>
      <c r="O2743" t="s">
        <v>23</v>
      </c>
      <c r="P2743">
        <v>1</v>
      </c>
      <c r="Q2743">
        <v>0</v>
      </c>
      <c r="R2743">
        <v>1</v>
      </c>
      <c r="S2743">
        <v>1</v>
      </c>
      <c r="T2743">
        <v>1</v>
      </c>
      <c r="U2743">
        <v>1</v>
      </c>
      <c r="V2743">
        <v>0</v>
      </c>
      <c r="W2743">
        <v>1</v>
      </c>
      <c r="X2743">
        <v>1</v>
      </c>
      <c r="Y2743">
        <v>0</v>
      </c>
      <c r="Z2743">
        <v>0</v>
      </c>
      <c r="AA2743" t="s">
        <v>2374</v>
      </c>
      <c r="AB2743" t="s">
        <v>2003</v>
      </c>
      <c r="AC2743" t="s">
        <v>2374</v>
      </c>
      <c r="AD2743" t="e">
        <f>VLOOKUP(AB2743,#REF!,2,FALSE)</f>
        <v>#REF!</v>
      </c>
      <c r="AE2743" t="e">
        <f>RIGHT(#REF!,(FIND("Complex",#REF!,1)-5))</f>
        <v>#REF!</v>
      </c>
    </row>
    <row r="2744" spans="1:31" x14ac:dyDescent="0.25">
      <c r="A2744">
        <v>2267</v>
      </c>
      <c r="B2744" t="s">
        <v>55</v>
      </c>
      <c r="C2744">
        <v>102</v>
      </c>
      <c r="D2744">
        <v>930</v>
      </c>
      <c r="E2744">
        <v>2267</v>
      </c>
      <c r="F2744">
        <v>11377801</v>
      </c>
      <c r="G2744">
        <v>11466000</v>
      </c>
      <c r="H2744">
        <f t="shared" si="84"/>
        <v>258.00002267573694</v>
      </c>
      <c r="I2744">
        <f t="shared" si="85"/>
        <v>260</v>
      </c>
      <c r="J2744" t="s">
        <v>25</v>
      </c>
      <c r="K2744">
        <v>7</v>
      </c>
      <c r="L2744" t="e">
        <f t="array" ref="L2744">VLOOKUP(J2744:$J$3871&amp;K2744:$K$3871,CHOOSE({1,2},#REF!&amp;#REF!,#REF!),2,0)</f>
        <v>#N/A</v>
      </c>
      <c r="M2744">
        <v>0</v>
      </c>
      <c r="N2744">
        <v>1</v>
      </c>
      <c r="O2744" t="s">
        <v>23</v>
      </c>
      <c r="P2744">
        <v>1</v>
      </c>
      <c r="Q2744">
        <v>0</v>
      </c>
      <c r="R2744">
        <v>1</v>
      </c>
      <c r="S2744">
        <v>1</v>
      </c>
      <c r="T2744">
        <v>1</v>
      </c>
      <c r="U2744">
        <v>1</v>
      </c>
      <c r="V2744">
        <v>0</v>
      </c>
      <c r="W2744">
        <v>1</v>
      </c>
      <c r="X2744">
        <v>1</v>
      </c>
      <c r="Y2744">
        <v>0</v>
      </c>
      <c r="Z2744">
        <v>0</v>
      </c>
      <c r="AA2744" t="s">
        <v>2384</v>
      </c>
      <c r="AB2744" t="s">
        <v>2004</v>
      </c>
      <c r="AC2744" t="s">
        <v>2384</v>
      </c>
      <c r="AD2744" t="e">
        <f>VLOOKUP(AB2744,#REF!,2,FALSE)</f>
        <v>#REF!</v>
      </c>
      <c r="AE2744" t="e">
        <f>RIGHT(#REF!,(FIND("Complex",#REF!,1)-4))</f>
        <v>#REF!</v>
      </c>
    </row>
    <row r="2745" spans="1:31" x14ac:dyDescent="0.25">
      <c r="A2745">
        <v>1060</v>
      </c>
      <c r="B2745" t="s">
        <v>55</v>
      </c>
      <c r="C2745">
        <v>102</v>
      </c>
      <c r="D2745">
        <v>468</v>
      </c>
      <c r="E2745">
        <v>1060</v>
      </c>
      <c r="F2745">
        <v>11289601</v>
      </c>
      <c r="G2745">
        <v>11377800</v>
      </c>
      <c r="H2745">
        <f t="shared" si="84"/>
        <v>256.00002267573694</v>
      </c>
      <c r="I2745">
        <f t="shared" si="85"/>
        <v>258</v>
      </c>
      <c r="J2745" t="s">
        <v>25</v>
      </c>
      <c r="K2745">
        <v>7</v>
      </c>
      <c r="L2745" t="e">
        <f t="array" ref="L2745">VLOOKUP(J2745:$J$3871&amp;K2745:$K$3871,CHOOSE({1,2},#REF!&amp;#REF!,#REF!),2,0)</f>
        <v>#N/A</v>
      </c>
      <c r="M2745">
        <v>0</v>
      </c>
      <c r="N2745">
        <v>1</v>
      </c>
      <c r="O2745" t="s">
        <v>23</v>
      </c>
      <c r="P2745">
        <v>1</v>
      </c>
      <c r="Q2745">
        <v>0</v>
      </c>
      <c r="R2745">
        <v>1</v>
      </c>
      <c r="S2745">
        <v>1</v>
      </c>
      <c r="T2745">
        <v>1</v>
      </c>
      <c r="U2745">
        <v>1</v>
      </c>
      <c r="V2745">
        <v>0</v>
      </c>
      <c r="W2745">
        <v>1</v>
      </c>
      <c r="X2745">
        <v>1</v>
      </c>
      <c r="Y2745">
        <v>0</v>
      </c>
      <c r="Z2745">
        <v>0</v>
      </c>
      <c r="AA2745" t="s">
        <v>2387</v>
      </c>
      <c r="AB2745" t="s">
        <v>2005</v>
      </c>
      <c r="AC2745" t="s">
        <v>2387</v>
      </c>
      <c r="AD2745" t="e">
        <f>VLOOKUP(AB2745,#REF!,2,FALSE)</f>
        <v>#REF!</v>
      </c>
      <c r="AE2745" t="e">
        <f>RIGHT(#REF!,(FIND("Complex",#REF!,1)-4))</f>
        <v>#REF!</v>
      </c>
    </row>
    <row r="2746" spans="1:31" x14ac:dyDescent="0.25">
      <c r="A2746">
        <v>2826</v>
      </c>
      <c r="B2746" t="s">
        <v>55</v>
      </c>
      <c r="C2746">
        <v>102</v>
      </c>
      <c r="D2746">
        <v>983</v>
      </c>
      <c r="E2746">
        <v>2826</v>
      </c>
      <c r="F2746">
        <v>11201401</v>
      </c>
      <c r="G2746">
        <v>11289600</v>
      </c>
      <c r="H2746">
        <f t="shared" si="84"/>
        <v>254.00002267573697</v>
      </c>
      <c r="I2746">
        <f t="shared" si="85"/>
        <v>256</v>
      </c>
      <c r="J2746" t="s">
        <v>25</v>
      </c>
      <c r="K2746">
        <v>7</v>
      </c>
      <c r="L2746" t="e">
        <f t="array" ref="L2746">VLOOKUP(J2746:$J$3871&amp;K2746:$K$3871,CHOOSE({1,2},#REF!&amp;#REF!,#REF!),2,0)</f>
        <v>#N/A</v>
      </c>
      <c r="M2746">
        <v>0</v>
      </c>
      <c r="N2746">
        <v>1</v>
      </c>
      <c r="O2746" t="s">
        <v>23</v>
      </c>
      <c r="P2746">
        <v>1</v>
      </c>
      <c r="Q2746">
        <v>0</v>
      </c>
      <c r="R2746">
        <v>1</v>
      </c>
      <c r="S2746">
        <v>1</v>
      </c>
      <c r="T2746">
        <v>1</v>
      </c>
      <c r="U2746">
        <v>1</v>
      </c>
      <c r="V2746">
        <v>0</v>
      </c>
      <c r="W2746">
        <v>1</v>
      </c>
      <c r="X2746">
        <v>1</v>
      </c>
      <c r="Y2746">
        <v>0</v>
      </c>
      <c r="Z2746">
        <v>0</v>
      </c>
      <c r="AA2746" t="s">
        <v>2391</v>
      </c>
      <c r="AB2746" t="s">
        <v>2006</v>
      </c>
      <c r="AC2746" t="s">
        <v>2391</v>
      </c>
      <c r="AD2746" t="e">
        <f>VLOOKUP(AB2746,#REF!,2,FALSE)</f>
        <v>#REF!</v>
      </c>
      <c r="AE2746" t="e">
        <f>RIGHT(#REF!,(FIND("Complex",#REF!,1)-4))</f>
        <v>#REF!</v>
      </c>
    </row>
    <row r="2747" spans="1:31" x14ac:dyDescent="0.25">
      <c r="A2747">
        <v>3846</v>
      </c>
      <c r="B2747" t="s">
        <v>55</v>
      </c>
      <c r="C2747">
        <v>102</v>
      </c>
      <c r="D2747">
        <v>1220</v>
      </c>
      <c r="E2747">
        <v>3846</v>
      </c>
      <c r="F2747">
        <v>10760401</v>
      </c>
      <c r="G2747">
        <v>10848600</v>
      </c>
      <c r="H2747">
        <f t="shared" si="84"/>
        <v>244.00002267573697</v>
      </c>
      <c r="I2747">
        <f t="shared" si="85"/>
        <v>246</v>
      </c>
      <c r="J2747" t="s">
        <v>25</v>
      </c>
      <c r="K2747">
        <v>7</v>
      </c>
      <c r="L2747" t="e">
        <f t="array" ref="L2747">VLOOKUP(J2747:$J$3871&amp;K2747:$K$3871,CHOOSE({1,2},#REF!&amp;#REF!,#REF!),2,0)</f>
        <v>#N/A</v>
      </c>
      <c r="M2747">
        <v>0</v>
      </c>
      <c r="N2747">
        <v>1</v>
      </c>
      <c r="O2747" t="s">
        <v>23</v>
      </c>
      <c r="P2747">
        <v>1</v>
      </c>
      <c r="Q2747">
        <v>0</v>
      </c>
      <c r="R2747">
        <v>1</v>
      </c>
      <c r="S2747">
        <v>1</v>
      </c>
      <c r="T2747">
        <v>1</v>
      </c>
      <c r="U2747">
        <v>1</v>
      </c>
      <c r="V2747">
        <v>0</v>
      </c>
      <c r="W2747">
        <v>1</v>
      </c>
      <c r="X2747">
        <v>1</v>
      </c>
      <c r="Y2747">
        <v>0</v>
      </c>
      <c r="Z2747">
        <v>0</v>
      </c>
      <c r="AA2747" t="s">
        <v>2407</v>
      </c>
      <c r="AB2747" t="s">
        <v>2007</v>
      </c>
      <c r="AC2747" t="s">
        <v>2407</v>
      </c>
      <c r="AD2747" t="e">
        <f>VLOOKUP(AB2747,#REF!,2,FALSE)</f>
        <v>#REF!</v>
      </c>
      <c r="AE2747" t="e">
        <f>RIGHT(#REF!,(FIND("Complex",#REF!,1)-5))</f>
        <v>#REF!</v>
      </c>
    </row>
    <row r="2748" spans="1:31" x14ac:dyDescent="0.25">
      <c r="A2748">
        <v>3638</v>
      </c>
      <c r="B2748" t="s">
        <v>55</v>
      </c>
      <c r="C2748">
        <v>102</v>
      </c>
      <c r="D2748">
        <v>1155</v>
      </c>
      <c r="E2748">
        <v>3638</v>
      </c>
      <c r="F2748">
        <v>10584001</v>
      </c>
      <c r="G2748">
        <v>10672200</v>
      </c>
      <c r="H2748">
        <f t="shared" si="84"/>
        <v>240.00002267573697</v>
      </c>
      <c r="I2748">
        <f t="shared" si="85"/>
        <v>242</v>
      </c>
      <c r="J2748" t="s">
        <v>25</v>
      </c>
      <c r="K2748">
        <v>7</v>
      </c>
      <c r="L2748" t="e">
        <f t="array" ref="L2748">VLOOKUP(J2748:$J$3871&amp;K2748:$K$3871,CHOOSE({1,2},#REF!&amp;#REF!,#REF!),2,0)</f>
        <v>#N/A</v>
      </c>
      <c r="M2748">
        <v>0</v>
      </c>
      <c r="N2748">
        <v>1</v>
      </c>
      <c r="O2748" t="s">
        <v>23</v>
      </c>
      <c r="P2748">
        <v>1</v>
      </c>
      <c r="Q2748">
        <v>0</v>
      </c>
      <c r="R2748">
        <v>1</v>
      </c>
      <c r="S2748">
        <v>1</v>
      </c>
      <c r="T2748">
        <v>1</v>
      </c>
      <c r="U2748">
        <v>1</v>
      </c>
      <c r="V2748">
        <v>0</v>
      </c>
      <c r="W2748">
        <v>1</v>
      </c>
      <c r="X2748">
        <v>1</v>
      </c>
      <c r="Y2748">
        <v>0</v>
      </c>
      <c r="Z2748">
        <v>0</v>
      </c>
      <c r="AA2748" t="s">
        <v>2415</v>
      </c>
      <c r="AB2748" t="s">
        <v>2008</v>
      </c>
      <c r="AC2748" t="s">
        <v>2415</v>
      </c>
      <c r="AD2748" t="e">
        <f>VLOOKUP(AB2748,#REF!,2,FALSE)</f>
        <v>#REF!</v>
      </c>
      <c r="AE2748" t="e">
        <f>RIGHT(#REF!,(FIND("Complex",#REF!,1)-5))</f>
        <v>#REF!</v>
      </c>
    </row>
    <row r="2749" spans="1:31" x14ac:dyDescent="0.25">
      <c r="A2749">
        <v>669</v>
      </c>
      <c r="B2749" t="s">
        <v>55</v>
      </c>
      <c r="C2749">
        <v>102</v>
      </c>
      <c r="D2749">
        <v>290</v>
      </c>
      <c r="E2749">
        <v>669</v>
      </c>
      <c r="F2749">
        <v>10495801</v>
      </c>
      <c r="G2749">
        <v>10584000</v>
      </c>
      <c r="H2749">
        <f t="shared" si="84"/>
        <v>238.00002267573697</v>
      </c>
      <c r="I2749">
        <f t="shared" si="85"/>
        <v>240</v>
      </c>
      <c r="J2749" t="s">
        <v>25</v>
      </c>
      <c r="K2749">
        <v>7</v>
      </c>
      <c r="L2749" t="e">
        <f t="array" ref="L2749">VLOOKUP(J2749:$J$3871&amp;K2749:$K$3871,CHOOSE({1,2},#REF!&amp;#REF!,#REF!),2,0)</f>
        <v>#N/A</v>
      </c>
      <c r="M2749">
        <v>0</v>
      </c>
      <c r="N2749">
        <v>1</v>
      </c>
      <c r="O2749" t="s">
        <v>23</v>
      </c>
      <c r="P2749">
        <v>1</v>
      </c>
      <c r="Q2749">
        <v>0</v>
      </c>
      <c r="R2749">
        <v>1</v>
      </c>
      <c r="S2749">
        <v>1</v>
      </c>
      <c r="T2749">
        <v>1</v>
      </c>
      <c r="U2749">
        <v>1</v>
      </c>
      <c r="V2749">
        <v>0</v>
      </c>
      <c r="W2749">
        <v>1</v>
      </c>
      <c r="X2749">
        <v>1</v>
      </c>
      <c r="Y2749">
        <v>0</v>
      </c>
      <c r="Z2749">
        <v>0</v>
      </c>
      <c r="AA2749" t="s">
        <v>2418</v>
      </c>
      <c r="AB2749" t="s">
        <v>2009</v>
      </c>
      <c r="AC2749" t="s">
        <v>2418</v>
      </c>
      <c r="AD2749" t="e">
        <f>VLOOKUP(AB2749,#REF!,2,FALSE)</f>
        <v>#REF!</v>
      </c>
      <c r="AE2749" t="e">
        <f>RIGHT(#REF!,(FIND("Complex",#REF!,1)-3))</f>
        <v>#REF!</v>
      </c>
    </row>
    <row r="2750" spans="1:31" x14ac:dyDescent="0.25">
      <c r="A2750">
        <v>2714</v>
      </c>
      <c r="B2750" t="s">
        <v>55</v>
      </c>
      <c r="C2750">
        <v>102</v>
      </c>
      <c r="D2750">
        <v>973</v>
      </c>
      <c r="E2750">
        <v>2714</v>
      </c>
      <c r="F2750">
        <v>10054801</v>
      </c>
      <c r="G2750">
        <v>10143000</v>
      </c>
      <c r="H2750">
        <f t="shared" si="84"/>
        <v>228.00002267573697</v>
      </c>
      <c r="I2750">
        <f t="shared" si="85"/>
        <v>230</v>
      </c>
      <c r="J2750" t="s">
        <v>25</v>
      </c>
      <c r="K2750">
        <v>7</v>
      </c>
      <c r="L2750" t="e">
        <f t="array" ref="L2750">VLOOKUP(J2750:$J$3871&amp;K2750:$K$3871,CHOOSE({1,2},#REF!&amp;#REF!,#REF!),2,0)</f>
        <v>#N/A</v>
      </c>
      <c r="M2750">
        <v>0</v>
      </c>
      <c r="N2750">
        <v>1</v>
      </c>
      <c r="O2750" t="s">
        <v>23</v>
      </c>
      <c r="P2750">
        <v>1</v>
      </c>
      <c r="Q2750">
        <v>0</v>
      </c>
      <c r="R2750">
        <v>1</v>
      </c>
      <c r="S2750">
        <v>1</v>
      </c>
      <c r="T2750">
        <v>1</v>
      </c>
      <c r="U2750">
        <v>1</v>
      </c>
      <c r="V2750">
        <v>0</v>
      </c>
      <c r="W2750">
        <v>1</v>
      </c>
      <c r="X2750">
        <v>1</v>
      </c>
      <c r="Y2750">
        <v>0</v>
      </c>
      <c r="Z2750">
        <v>0</v>
      </c>
      <c r="AA2750" t="s">
        <v>2437</v>
      </c>
      <c r="AB2750" t="s">
        <v>2010</v>
      </c>
      <c r="AC2750" t="s">
        <v>2437</v>
      </c>
      <c r="AD2750" t="e">
        <f>VLOOKUP(AB2750,#REF!,2,FALSE)</f>
        <v>#REF!</v>
      </c>
      <c r="AE2750" t="e">
        <f>RIGHT(#REF!,(FIND("Complex",#REF!,1)-4))</f>
        <v>#REF!</v>
      </c>
    </row>
    <row r="2751" spans="1:31" x14ac:dyDescent="0.25">
      <c r="A2751">
        <v>3418</v>
      </c>
      <c r="B2751" t="s">
        <v>55</v>
      </c>
      <c r="C2751">
        <v>102</v>
      </c>
      <c r="D2751">
        <v>1100</v>
      </c>
      <c r="E2751">
        <v>3418</v>
      </c>
      <c r="F2751">
        <v>9966601</v>
      </c>
      <c r="G2751">
        <v>10054800</v>
      </c>
      <c r="H2751">
        <f t="shared" si="84"/>
        <v>226.00002267573697</v>
      </c>
      <c r="I2751">
        <f t="shared" si="85"/>
        <v>228</v>
      </c>
      <c r="J2751" t="s">
        <v>25</v>
      </c>
      <c r="K2751">
        <v>7</v>
      </c>
      <c r="L2751" t="e">
        <f t="array" ref="L2751">VLOOKUP(J2751:$J$3871&amp;K2751:$K$3871,CHOOSE({1,2},#REF!&amp;#REF!,#REF!),2,0)</f>
        <v>#N/A</v>
      </c>
      <c r="M2751">
        <v>0</v>
      </c>
      <c r="N2751">
        <v>1</v>
      </c>
      <c r="O2751" t="s">
        <v>23</v>
      </c>
      <c r="P2751">
        <v>1</v>
      </c>
      <c r="Q2751">
        <v>0</v>
      </c>
      <c r="R2751">
        <v>1</v>
      </c>
      <c r="S2751">
        <v>1</v>
      </c>
      <c r="T2751">
        <v>1</v>
      </c>
      <c r="U2751">
        <v>1</v>
      </c>
      <c r="V2751">
        <v>0</v>
      </c>
      <c r="W2751">
        <v>1</v>
      </c>
      <c r="X2751">
        <v>1</v>
      </c>
      <c r="Y2751">
        <v>0</v>
      </c>
      <c r="Z2751">
        <v>0</v>
      </c>
      <c r="AA2751" t="s">
        <v>2440</v>
      </c>
      <c r="AB2751" t="s">
        <v>2011</v>
      </c>
      <c r="AC2751" t="s">
        <v>2440</v>
      </c>
      <c r="AD2751" t="e">
        <f>VLOOKUP(AB2751,#REF!,2,FALSE)</f>
        <v>#REF!</v>
      </c>
      <c r="AE2751" t="e">
        <f>RIGHT(#REF!,(FIND("Complex",#REF!,1)-5))</f>
        <v>#REF!</v>
      </c>
    </row>
    <row r="2752" spans="1:31" x14ac:dyDescent="0.25">
      <c r="A2752">
        <v>3354</v>
      </c>
      <c r="B2752" t="s">
        <v>55</v>
      </c>
      <c r="C2752">
        <v>102</v>
      </c>
      <c r="D2752">
        <v>1083</v>
      </c>
      <c r="E2752">
        <v>3354</v>
      </c>
      <c r="F2752">
        <v>9790201</v>
      </c>
      <c r="G2752">
        <v>9878400</v>
      </c>
      <c r="H2752">
        <f t="shared" si="84"/>
        <v>222.00002267573697</v>
      </c>
      <c r="I2752">
        <f t="shared" si="85"/>
        <v>224</v>
      </c>
      <c r="J2752" t="s">
        <v>25</v>
      </c>
      <c r="K2752">
        <v>7</v>
      </c>
      <c r="L2752" t="e">
        <f t="array" ref="L2752">VLOOKUP(J2752:$J$3871&amp;K2752:$K$3871,CHOOSE({1,2},#REF!&amp;#REF!,#REF!),2,0)</f>
        <v>#N/A</v>
      </c>
      <c r="M2752">
        <v>0</v>
      </c>
      <c r="N2752">
        <v>1</v>
      </c>
      <c r="O2752" t="s">
        <v>23</v>
      </c>
      <c r="P2752">
        <v>1</v>
      </c>
      <c r="Q2752">
        <v>0</v>
      </c>
      <c r="R2752">
        <v>1</v>
      </c>
      <c r="S2752">
        <v>1</v>
      </c>
      <c r="T2752">
        <v>1</v>
      </c>
      <c r="U2752">
        <v>1</v>
      </c>
      <c r="V2752">
        <v>0</v>
      </c>
      <c r="W2752">
        <v>1</v>
      </c>
      <c r="X2752">
        <v>1</v>
      </c>
      <c r="Y2752">
        <v>0</v>
      </c>
      <c r="Z2752">
        <v>0</v>
      </c>
      <c r="AA2752" t="s">
        <v>2449</v>
      </c>
      <c r="AB2752" t="s">
        <v>2012</v>
      </c>
      <c r="AC2752" t="s">
        <v>2449</v>
      </c>
      <c r="AD2752" t="e">
        <f>VLOOKUP(AB2752,#REF!,2,FALSE)</f>
        <v>#REF!</v>
      </c>
      <c r="AE2752" t="e">
        <f>RIGHT(#REF!,(FIND("Complex",#REF!,1)-5))</f>
        <v>#REF!</v>
      </c>
    </row>
    <row r="2753" spans="1:31" x14ac:dyDescent="0.25">
      <c r="A2753">
        <v>341</v>
      </c>
      <c r="B2753" t="s">
        <v>55</v>
      </c>
      <c r="C2753">
        <v>102</v>
      </c>
      <c r="D2753">
        <v>143</v>
      </c>
      <c r="E2753">
        <v>341</v>
      </c>
      <c r="F2753">
        <v>9437401</v>
      </c>
      <c r="G2753">
        <v>9525600</v>
      </c>
      <c r="H2753">
        <f t="shared" si="84"/>
        <v>214.00002267573697</v>
      </c>
      <c r="I2753">
        <f t="shared" si="85"/>
        <v>216</v>
      </c>
      <c r="J2753" t="s">
        <v>25</v>
      </c>
      <c r="K2753">
        <v>7</v>
      </c>
      <c r="L2753" t="e">
        <f t="array" ref="L2753">VLOOKUP(J2753:$J$3871&amp;K2753:$K$3871,CHOOSE({1,2},#REF!&amp;#REF!,#REF!),2,0)</f>
        <v>#N/A</v>
      </c>
      <c r="M2753">
        <v>0</v>
      </c>
      <c r="N2753">
        <v>1</v>
      </c>
      <c r="O2753" t="s">
        <v>23</v>
      </c>
      <c r="P2753">
        <v>1</v>
      </c>
      <c r="Q2753">
        <v>0</v>
      </c>
      <c r="R2753">
        <v>1</v>
      </c>
      <c r="S2753">
        <v>1</v>
      </c>
      <c r="T2753">
        <v>1</v>
      </c>
      <c r="U2753">
        <v>1</v>
      </c>
      <c r="V2753">
        <v>0</v>
      </c>
      <c r="W2753">
        <v>1</v>
      </c>
      <c r="X2753">
        <v>1</v>
      </c>
      <c r="Y2753">
        <v>0</v>
      </c>
      <c r="Z2753">
        <v>0</v>
      </c>
      <c r="AA2753" t="s">
        <v>2462</v>
      </c>
      <c r="AB2753" t="s">
        <v>2013</v>
      </c>
      <c r="AC2753" t="s">
        <v>2462</v>
      </c>
      <c r="AD2753" t="e">
        <f>VLOOKUP(AB2753,#REF!,2,FALSE)</f>
        <v>#REF!</v>
      </c>
      <c r="AE2753" t="e">
        <f>RIGHT(#REF!,(FIND("Complex",#REF!,1)-3))</f>
        <v>#REF!</v>
      </c>
    </row>
    <row r="2754" spans="1:31" x14ac:dyDescent="0.25">
      <c r="A2754">
        <v>3749</v>
      </c>
      <c r="B2754" t="s">
        <v>55</v>
      </c>
      <c r="C2754">
        <v>102</v>
      </c>
      <c r="D2754">
        <v>1191</v>
      </c>
      <c r="E2754">
        <v>3749</v>
      </c>
      <c r="F2754">
        <v>9349201</v>
      </c>
      <c r="G2754">
        <v>9437400</v>
      </c>
      <c r="H2754">
        <f t="shared" ref="H2754:H2817" si="86">F2754/44100</f>
        <v>212.00002267573697</v>
      </c>
      <c r="I2754">
        <f t="shared" ref="I2754:I2817" si="87">G2754/44100</f>
        <v>214</v>
      </c>
      <c r="J2754" t="s">
        <v>25</v>
      </c>
      <c r="K2754">
        <v>7</v>
      </c>
      <c r="L2754" t="e">
        <f t="array" ref="L2754">VLOOKUP(J2754:$J$3871&amp;K2754:$K$3871,CHOOSE({1,2},#REF!&amp;#REF!,#REF!),2,0)</f>
        <v>#N/A</v>
      </c>
      <c r="M2754">
        <v>0</v>
      </c>
      <c r="N2754">
        <v>1</v>
      </c>
      <c r="O2754" t="s">
        <v>23</v>
      </c>
      <c r="P2754">
        <v>1</v>
      </c>
      <c r="Q2754">
        <v>0</v>
      </c>
      <c r="R2754">
        <v>1</v>
      </c>
      <c r="S2754">
        <v>1</v>
      </c>
      <c r="T2754">
        <v>1</v>
      </c>
      <c r="U2754">
        <v>1</v>
      </c>
      <c r="V2754">
        <v>0</v>
      </c>
      <c r="W2754">
        <v>1</v>
      </c>
      <c r="X2754">
        <v>1</v>
      </c>
      <c r="Y2754">
        <v>0</v>
      </c>
      <c r="Z2754">
        <v>0</v>
      </c>
      <c r="AA2754" t="s">
        <v>2466</v>
      </c>
      <c r="AB2754" t="s">
        <v>2014</v>
      </c>
      <c r="AC2754" t="s">
        <v>2466</v>
      </c>
      <c r="AD2754" t="e">
        <f>VLOOKUP(AB2754,#REF!,2,FALSE)</f>
        <v>#REF!</v>
      </c>
      <c r="AE2754" t="e">
        <f>RIGHT(#REF!,(FIND("Complex",#REF!,1)-5))</f>
        <v>#REF!</v>
      </c>
    </row>
    <row r="2755" spans="1:31" x14ac:dyDescent="0.25">
      <c r="A2755">
        <v>1675</v>
      </c>
      <c r="B2755" t="s">
        <v>55</v>
      </c>
      <c r="C2755">
        <v>102</v>
      </c>
      <c r="D2755">
        <v>732</v>
      </c>
      <c r="E2755">
        <v>1675</v>
      </c>
      <c r="F2755">
        <v>6703201</v>
      </c>
      <c r="G2755">
        <v>6791400</v>
      </c>
      <c r="H2755">
        <f t="shared" si="86"/>
        <v>152.00002267573697</v>
      </c>
      <c r="I2755">
        <f t="shared" si="87"/>
        <v>154</v>
      </c>
      <c r="J2755" t="s">
        <v>25</v>
      </c>
      <c r="K2755">
        <v>7</v>
      </c>
      <c r="L2755" t="e">
        <f t="array" ref="L2755">VLOOKUP(J2755:$J$3871&amp;K2755:$K$3871,CHOOSE({1,2},#REF!&amp;#REF!,#REF!),2,0)</f>
        <v>#N/A</v>
      </c>
      <c r="M2755">
        <v>0</v>
      </c>
      <c r="N2755">
        <v>1</v>
      </c>
      <c r="O2755" t="s">
        <v>23</v>
      </c>
      <c r="P2755">
        <v>1</v>
      </c>
      <c r="Q2755">
        <v>0</v>
      </c>
      <c r="R2755">
        <v>1</v>
      </c>
      <c r="S2755">
        <v>1</v>
      </c>
      <c r="T2755">
        <v>1</v>
      </c>
      <c r="U2755">
        <v>1</v>
      </c>
      <c r="V2755">
        <v>0</v>
      </c>
      <c r="W2755">
        <v>1</v>
      </c>
      <c r="X2755">
        <v>1</v>
      </c>
      <c r="Y2755">
        <v>0</v>
      </c>
      <c r="Z2755">
        <v>0</v>
      </c>
      <c r="AA2755" t="s">
        <v>2538</v>
      </c>
      <c r="AB2755" t="s">
        <v>2015</v>
      </c>
      <c r="AC2755" t="s">
        <v>2538</v>
      </c>
      <c r="AD2755" t="e">
        <f>VLOOKUP(AB2755,#REF!,2,FALSE)</f>
        <v>#REF!</v>
      </c>
      <c r="AE2755" t="e">
        <f>RIGHT(#REF!,(FIND("Complex",#REF!,1)-4))</f>
        <v>#REF!</v>
      </c>
    </row>
    <row r="2756" spans="1:31" x14ac:dyDescent="0.25">
      <c r="A2756">
        <v>581</v>
      </c>
      <c r="B2756" t="s">
        <v>55</v>
      </c>
      <c r="C2756">
        <v>102</v>
      </c>
      <c r="D2756">
        <v>247</v>
      </c>
      <c r="E2756">
        <v>581</v>
      </c>
      <c r="F2756">
        <v>6615001</v>
      </c>
      <c r="G2756">
        <v>6703200</v>
      </c>
      <c r="H2756">
        <f t="shared" si="86"/>
        <v>150.00002267573697</v>
      </c>
      <c r="I2756">
        <f t="shared" si="87"/>
        <v>152</v>
      </c>
      <c r="J2756" t="s">
        <v>25</v>
      </c>
      <c r="K2756">
        <v>7</v>
      </c>
      <c r="L2756" t="e">
        <f t="array" ref="L2756">VLOOKUP(J2756:$J$3871&amp;K2756:$K$3871,CHOOSE({1,2},#REF!&amp;#REF!,#REF!),2,0)</f>
        <v>#N/A</v>
      </c>
      <c r="M2756">
        <v>0</v>
      </c>
      <c r="N2756">
        <v>1</v>
      </c>
      <c r="O2756" t="s">
        <v>23</v>
      </c>
      <c r="P2756">
        <v>1</v>
      </c>
      <c r="Q2756">
        <v>0</v>
      </c>
      <c r="R2756">
        <v>1</v>
      </c>
      <c r="S2756">
        <v>1</v>
      </c>
      <c r="T2756">
        <v>1</v>
      </c>
      <c r="U2756">
        <v>1</v>
      </c>
      <c r="V2756">
        <v>0</v>
      </c>
      <c r="W2756">
        <v>1</v>
      </c>
      <c r="X2756">
        <v>1</v>
      </c>
      <c r="Y2756">
        <v>0</v>
      </c>
      <c r="Z2756">
        <v>0</v>
      </c>
      <c r="AA2756" t="s">
        <v>2539</v>
      </c>
      <c r="AB2756" t="s">
        <v>2016</v>
      </c>
      <c r="AC2756" t="s">
        <v>2539</v>
      </c>
      <c r="AD2756" t="e">
        <f>VLOOKUP(AB2756,#REF!,2,FALSE)</f>
        <v>#REF!</v>
      </c>
      <c r="AE2756" t="e">
        <f>RIGHT(#REF!,(FIND("Complex",#REF!,1)-3))</f>
        <v>#REF!</v>
      </c>
    </row>
    <row r="2757" spans="1:31" x14ac:dyDescent="0.25">
      <c r="A2757">
        <v>3642</v>
      </c>
      <c r="B2757" t="s">
        <v>55</v>
      </c>
      <c r="C2757">
        <v>102</v>
      </c>
      <c r="D2757">
        <v>1157</v>
      </c>
      <c r="E2757">
        <v>3642</v>
      </c>
      <c r="F2757">
        <v>6526801</v>
      </c>
      <c r="G2757">
        <v>6615000</v>
      </c>
      <c r="H2757">
        <f t="shared" si="86"/>
        <v>148.00002267573697</v>
      </c>
      <c r="I2757">
        <f t="shared" si="87"/>
        <v>150</v>
      </c>
      <c r="J2757" t="s">
        <v>25</v>
      </c>
      <c r="K2757">
        <v>7</v>
      </c>
      <c r="L2757" t="e">
        <f t="array" ref="L2757">VLOOKUP(J2757:$J$3871&amp;K2757:$K$3871,CHOOSE({1,2},#REF!&amp;#REF!,#REF!),2,0)</f>
        <v>#N/A</v>
      </c>
      <c r="M2757">
        <v>0</v>
      </c>
      <c r="N2757">
        <v>1</v>
      </c>
      <c r="O2757" t="s">
        <v>23</v>
      </c>
      <c r="P2757">
        <v>1</v>
      </c>
      <c r="Q2757">
        <v>0</v>
      </c>
      <c r="R2757">
        <v>1</v>
      </c>
      <c r="S2757">
        <v>1</v>
      </c>
      <c r="T2757">
        <v>1</v>
      </c>
      <c r="U2757">
        <v>1</v>
      </c>
      <c r="V2757">
        <v>0</v>
      </c>
      <c r="W2757">
        <v>1</v>
      </c>
      <c r="X2757">
        <v>1</v>
      </c>
      <c r="Y2757">
        <v>0</v>
      </c>
      <c r="Z2757">
        <v>0</v>
      </c>
      <c r="AA2757" t="s">
        <v>2540</v>
      </c>
      <c r="AB2757" t="s">
        <v>2017</v>
      </c>
      <c r="AC2757" t="s">
        <v>2540</v>
      </c>
      <c r="AD2757" t="e">
        <f>VLOOKUP(AB2757,#REF!,2,FALSE)</f>
        <v>#REF!</v>
      </c>
      <c r="AE2757" t="e">
        <f>RIGHT(#REF!,(FIND("Complex",#REF!,1)-5))</f>
        <v>#REF!</v>
      </c>
    </row>
    <row r="2758" spans="1:31" x14ac:dyDescent="0.25">
      <c r="A2758">
        <v>3527</v>
      </c>
      <c r="B2758" t="s">
        <v>55</v>
      </c>
      <c r="C2758">
        <v>102</v>
      </c>
      <c r="D2758">
        <v>1125</v>
      </c>
      <c r="E2758">
        <v>3527</v>
      </c>
      <c r="F2758">
        <v>6174001</v>
      </c>
      <c r="G2758">
        <v>6262200</v>
      </c>
      <c r="H2758">
        <f t="shared" si="86"/>
        <v>140.00002267573697</v>
      </c>
      <c r="I2758">
        <f t="shared" si="87"/>
        <v>142</v>
      </c>
      <c r="J2758" t="s">
        <v>25</v>
      </c>
      <c r="K2758">
        <v>7</v>
      </c>
      <c r="L2758" t="e">
        <f t="array" ref="L2758">VLOOKUP(J2758:$J$3871&amp;K2758:$K$3871,CHOOSE({1,2},#REF!&amp;#REF!,#REF!),2,0)</f>
        <v>#N/A</v>
      </c>
      <c r="M2758">
        <v>0</v>
      </c>
      <c r="N2758">
        <v>1</v>
      </c>
      <c r="O2758" t="s">
        <v>23</v>
      </c>
      <c r="P2758">
        <v>1</v>
      </c>
      <c r="Q2758">
        <v>0</v>
      </c>
      <c r="R2758">
        <v>1</v>
      </c>
      <c r="S2758">
        <v>1</v>
      </c>
      <c r="T2758">
        <v>1</v>
      </c>
      <c r="U2758">
        <v>1</v>
      </c>
      <c r="V2758">
        <v>0</v>
      </c>
      <c r="W2758">
        <v>1</v>
      </c>
      <c r="X2758">
        <v>1</v>
      </c>
      <c r="Y2758">
        <v>0</v>
      </c>
      <c r="Z2758">
        <v>0</v>
      </c>
      <c r="AA2758" t="s">
        <v>2548</v>
      </c>
      <c r="AB2758" t="s">
        <v>2018</v>
      </c>
      <c r="AC2758" t="s">
        <v>2548</v>
      </c>
      <c r="AD2758" t="e">
        <f>VLOOKUP(AB2758,#REF!,2,FALSE)</f>
        <v>#REF!</v>
      </c>
      <c r="AE2758" t="e">
        <f>RIGHT(#REF!,(FIND("Complex",#REF!,1)-5))</f>
        <v>#REF!</v>
      </c>
    </row>
    <row r="2759" spans="1:31" x14ac:dyDescent="0.25">
      <c r="A2759">
        <v>3746</v>
      </c>
      <c r="B2759" t="s">
        <v>55</v>
      </c>
      <c r="C2759">
        <v>102</v>
      </c>
      <c r="D2759">
        <v>1190</v>
      </c>
      <c r="E2759">
        <v>3746</v>
      </c>
      <c r="F2759">
        <v>5821201</v>
      </c>
      <c r="G2759">
        <v>5909400</v>
      </c>
      <c r="H2759">
        <f t="shared" si="86"/>
        <v>132.00002267573697</v>
      </c>
      <c r="I2759">
        <f t="shared" si="87"/>
        <v>134</v>
      </c>
      <c r="J2759" t="s">
        <v>25</v>
      </c>
      <c r="K2759">
        <v>7</v>
      </c>
      <c r="L2759" t="e">
        <f t="array" ref="L2759">VLOOKUP(J2759:$J$3871&amp;K2759:$K$3871,CHOOSE({1,2},#REF!&amp;#REF!,#REF!),2,0)</f>
        <v>#N/A</v>
      </c>
      <c r="M2759">
        <v>0</v>
      </c>
      <c r="N2759">
        <v>1</v>
      </c>
      <c r="O2759" t="s">
        <v>23</v>
      </c>
      <c r="P2759">
        <v>1</v>
      </c>
      <c r="Q2759">
        <v>0</v>
      </c>
      <c r="R2759">
        <v>1</v>
      </c>
      <c r="S2759">
        <v>1</v>
      </c>
      <c r="T2759">
        <v>1</v>
      </c>
      <c r="U2759">
        <v>1</v>
      </c>
      <c r="V2759">
        <v>0</v>
      </c>
      <c r="W2759">
        <v>1</v>
      </c>
      <c r="X2759">
        <v>1</v>
      </c>
      <c r="Y2759">
        <v>0</v>
      </c>
      <c r="Z2759">
        <v>0</v>
      </c>
      <c r="AA2759" t="s">
        <v>2562</v>
      </c>
      <c r="AB2759" t="s">
        <v>2019</v>
      </c>
      <c r="AC2759" t="s">
        <v>2562</v>
      </c>
      <c r="AD2759" t="e">
        <f>VLOOKUP(AB2759,#REF!,2,FALSE)</f>
        <v>#REF!</v>
      </c>
      <c r="AE2759" t="e">
        <f>RIGHT(#REF!,(FIND("Complex",#REF!,1)-5))</f>
        <v>#REF!</v>
      </c>
    </row>
    <row r="2760" spans="1:31" x14ac:dyDescent="0.25">
      <c r="A2760">
        <v>3691</v>
      </c>
      <c r="B2760" t="s">
        <v>55</v>
      </c>
      <c r="C2760">
        <v>102</v>
      </c>
      <c r="D2760">
        <v>1173</v>
      </c>
      <c r="E2760">
        <v>3691</v>
      </c>
      <c r="F2760">
        <v>5733001</v>
      </c>
      <c r="G2760">
        <v>5821200</v>
      </c>
      <c r="H2760">
        <f t="shared" si="86"/>
        <v>130.00002267573697</v>
      </c>
      <c r="I2760">
        <f t="shared" si="87"/>
        <v>132</v>
      </c>
      <c r="J2760" t="s">
        <v>25</v>
      </c>
      <c r="K2760">
        <v>7</v>
      </c>
      <c r="L2760" t="e">
        <f t="array" ref="L2760">VLOOKUP(J2760:$J$3871&amp;K2760:$K$3871,CHOOSE({1,2},#REF!&amp;#REF!,#REF!),2,0)</f>
        <v>#N/A</v>
      </c>
      <c r="M2760">
        <v>0</v>
      </c>
      <c r="N2760">
        <v>1</v>
      </c>
      <c r="O2760" t="s">
        <v>23</v>
      </c>
      <c r="P2760">
        <v>1</v>
      </c>
      <c r="Q2760">
        <v>0</v>
      </c>
      <c r="R2760">
        <v>1</v>
      </c>
      <c r="S2760">
        <v>1</v>
      </c>
      <c r="T2760">
        <v>1</v>
      </c>
      <c r="U2760">
        <v>1</v>
      </c>
      <c r="V2760">
        <v>0</v>
      </c>
      <c r="W2760">
        <v>1</v>
      </c>
      <c r="X2760">
        <v>1</v>
      </c>
      <c r="Y2760">
        <v>0</v>
      </c>
      <c r="Z2760">
        <v>0</v>
      </c>
      <c r="AA2760" t="s">
        <v>2565</v>
      </c>
      <c r="AB2760" t="s">
        <v>135</v>
      </c>
      <c r="AC2760" t="s">
        <v>2565</v>
      </c>
      <c r="AD2760" t="e">
        <f>VLOOKUP(AB2760,#REF!,2,FALSE)</f>
        <v>#REF!</v>
      </c>
      <c r="AE2760" t="e">
        <f>RIGHT(#REF!,(FIND("Complex",#REF!,1)-5))</f>
        <v>#REF!</v>
      </c>
    </row>
    <row r="2761" spans="1:31" x14ac:dyDescent="0.25">
      <c r="A2761">
        <v>2884</v>
      </c>
      <c r="B2761" t="s">
        <v>95</v>
      </c>
      <c r="C2761">
        <v>103</v>
      </c>
      <c r="D2761">
        <v>996</v>
      </c>
      <c r="E2761">
        <v>2884</v>
      </c>
      <c r="F2761">
        <v>8643601</v>
      </c>
      <c r="G2761">
        <v>8731800</v>
      </c>
      <c r="H2761">
        <f t="shared" si="86"/>
        <v>196.00002267573697</v>
      </c>
      <c r="I2761">
        <f t="shared" si="87"/>
        <v>198</v>
      </c>
      <c r="J2761" t="s">
        <v>25</v>
      </c>
      <c r="K2761">
        <v>7</v>
      </c>
      <c r="L2761" t="e">
        <f t="array" ref="L2761">VLOOKUP(J2761:$J$3871&amp;K2761:$K$3871,CHOOSE({1,2},#REF!&amp;#REF!,#REF!),2,0)</f>
        <v>#N/A</v>
      </c>
      <c r="M2761">
        <v>0</v>
      </c>
      <c r="N2761">
        <v>1</v>
      </c>
      <c r="O2761" t="s">
        <v>23</v>
      </c>
      <c r="P2761">
        <v>1</v>
      </c>
      <c r="Q2761">
        <v>0</v>
      </c>
      <c r="R2761">
        <v>1</v>
      </c>
      <c r="S2761">
        <v>1</v>
      </c>
      <c r="T2761">
        <v>1</v>
      </c>
      <c r="U2761">
        <v>0</v>
      </c>
      <c r="V2761">
        <v>0</v>
      </c>
      <c r="W2761">
        <v>1</v>
      </c>
      <c r="X2761">
        <v>1</v>
      </c>
      <c r="Y2761">
        <v>1</v>
      </c>
      <c r="Z2761">
        <v>0</v>
      </c>
      <c r="AA2761" t="s">
        <v>2491</v>
      </c>
      <c r="AB2761" t="s">
        <v>2052</v>
      </c>
      <c r="AC2761" t="s">
        <v>2491</v>
      </c>
      <c r="AD2761" t="e">
        <f>VLOOKUP(AB2761,#REF!,2,FALSE)</f>
        <v>#REF!</v>
      </c>
      <c r="AE2761" t="e">
        <f>RIGHT(#REF!,(FIND("Complex",#REF!,1)-4))</f>
        <v>#REF!</v>
      </c>
    </row>
    <row r="2762" spans="1:31" x14ac:dyDescent="0.25">
      <c r="A2762">
        <v>3548</v>
      </c>
      <c r="B2762" t="s">
        <v>72</v>
      </c>
      <c r="C2762">
        <v>104</v>
      </c>
      <c r="D2762">
        <v>1129</v>
      </c>
      <c r="E2762">
        <v>3548</v>
      </c>
      <c r="F2762">
        <v>4233601</v>
      </c>
      <c r="G2762">
        <v>4321800</v>
      </c>
      <c r="H2762">
        <f t="shared" si="86"/>
        <v>96.000022675736957</v>
      </c>
      <c r="I2762">
        <f t="shared" si="87"/>
        <v>98</v>
      </c>
      <c r="J2762" t="s">
        <v>25</v>
      </c>
      <c r="K2762">
        <v>7</v>
      </c>
      <c r="L2762" t="e">
        <f t="array" ref="L2762">VLOOKUP(J2762:$J$3871&amp;K2762:$K$3871,CHOOSE({1,2},#REF!&amp;#REF!,#REF!),2,0)</f>
        <v>#N/A</v>
      </c>
      <c r="M2762">
        <v>0</v>
      </c>
      <c r="N2762">
        <v>1</v>
      </c>
      <c r="O2762" t="s">
        <v>23</v>
      </c>
      <c r="P2762">
        <v>1</v>
      </c>
      <c r="Q2762">
        <v>0</v>
      </c>
      <c r="R2762">
        <v>1</v>
      </c>
      <c r="S2762">
        <v>1</v>
      </c>
      <c r="T2762">
        <v>1</v>
      </c>
      <c r="U2762">
        <v>0</v>
      </c>
      <c r="V2762">
        <v>0</v>
      </c>
      <c r="W2762">
        <v>1</v>
      </c>
      <c r="X2762">
        <v>1</v>
      </c>
      <c r="Y2762">
        <v>1</v>
      </c>
      <c r="Z2762">
        <v>0</v>
      </c>
      <c r="AA2762" t="s">
        <v>2286</v>
      </c>
      <c r="AB2762" t="s">
        <v>2124</v>
      </c>
      <c r="AC2762" t="s">
        <v>2286</v>
      </c>
      <c r="AD2762" t="e">
        <f>VLOOKUP(AB2762,#REF!,2,FALSE)</f>
        <v>#REF!</v>
      </c>
      <c r="AE2762" t="e">
        <f>RIGHT(#REF!,(FIND("Complex",#REF!,1)-6))</f>
        <v>#REF!</v>
      </c>
    </row>
    <row r="2763" spans="1:31" x14ac:dyDescent="0.25">
      <c r="A2763">
        <v>3764</v>
      </c>
      <c r="B2763" t="s">
        <v>72</v>
      </c>
      <c r="C2763">
        <v>104</v>
      </c>
      <c r="D2763">
        <v>1198</v>
      </c>
      <c r="E2763">
        <v>3764</v>
      </c>
      <c r="F2763">
        <v>3880801</v>
      </c>
      <c r="G2763">
        <v>3969000</v>
      </c>
      <c r="H2763">
        <f t="shared" si="86"/>
        <v>88.000022675736957</v>
      </c>
      <c r="I2763">
        <f t="shared" si="87"/>
        <v>90</v>
      </c>
      <c r="J2763" t="s">
        <v>25</v>
      </c>
      <c r="K2763">
        <v>7</v>
      </c>
      <c r="L2763" t="e">
        <f t="array" ref="L2763">VLOOKUP(J2763:$J$3871&amp;K2763:$K$3871,CHOOSE({1,2},#REF!&amp;#REF!,#REF!),2,0)</f>
        <v>#N/A</v>
      </c>
      <c r="M2763">
        <v>0</v>
      </c>
      <c r="N2763">
        <v>1</v>
      </c>
      <c r="O2763" t="s">
        <v>23</v>
      </c>
      <c r="P2763">
        <v>1</v>
      </c>
      <c r="Q2763">
        <v>0</v>
      </c>
      <c r="R2763">
        <v>1</v>
      </c>
      <c r="S2763">
        <v>1</v>
      </c>
      <c r="T2763">
        <v>1</v>
      </c>
      <c r="U2763">
        <v>0</v>
      </c>
      <c r="V2763">
        <v>0</v>
      </c>
      <c r="W2763">
        <v>1</v>
      </c>
      <c r="X2763">
        <v>1</v>
      </c>
      <c r="Y2763">
        <v>1</v>
      </c>
      <c r="Z2763">
        <v>0</v>
      </c>
      <c r="AA2763" t="s">
        <v>2295</v>
      </c>
      <c r="AB2763" t="s">
        <v>2125</v>
      </c>
      <c r="AC2763" t="s">
        <v>2295</v>
      </c>
      <c r="AD2763" t="e">
        <f>VLOOKUP(AB2763,#REF!,2,FALSE)</f>
        <v>#REF!</v>
      </c>
      <c r="AE2763" t="e">
        <f>RIGHT(#REF!,(FIND("Complex",#REF!,1)-6))</f>
        <v>#REF!</v>
      </c>
    </row>
    <row r="2764" spans="1:31" x14ac:dyDescent="0.25">
      <c r="A2764">
        <v>3695</v>
      </c>
      <c r="B2764" t="s">
        <v>72</v>
      </c>
      <c r="C2764">
        <v>104</v>
      </c>
      <c r="D2764">
        <v>1176</v>
      </c>
      <c r="E2764">
        <v>3695</v>
      </c>
      <c r="F2764">
        <v>3704401</v>
      </c>
      <c r="G2764">
        <v>3792600</v>
      </c>
      <c r="H2764">
        <f t="shared" si="86"/>
        <v>84.000022675736957</v>
      </c>
      <c r="I2764">
        <f t="shared" si="87"/>
        <v>86</v>
      </c>
      <c r="J2764" t="s">
        <v>25</v>
      </c>
      <c r="K2764">
        <v>7</v>
      </c>
      <c r="L2764" t="e">
        <f t="array" ref="L2764">VLOOKUP(J2764:$J$3871&amp;K2764:$K$3871,CHOOSE({1,2},#REF!&amp;#REF!,#REF!),2,0)</f>
        <v>#N/A</v>
      </c>
      <c r="M2764">
        <v>0</v>
      </c>
      <c r="N2764">
        <v>1</v>
      </c>
      <c r="O2764" t="s">
        <v>23</v>
      </c>
      <c r="P2764">
        <v>1</v>
      </c>
      <c r="Q2764">
        <v>0</v>
      </c>
      <c r="R2764">
        <v>1</v>
      </c>
      <c r="S2764">
        <v>1</v>
      </c>
      <c r="T2764">
        <v>1</v>
      </c>
      <c r="U2764">
        <v>0</v>
      </c>
      <c r="V2764">
        <v>0</v>
      </c>
      <c r="W2764">
        <v>1</v>
      </c>
      <c r="X2764">
        <v>1</v>
      </c>
      <c r="Y2764">
        <v>1</v>
      </c>
      <c r="Z2764">
        <v>0</v>
      </c>
      <c r="AA2764" t="s">
        <v>2297</v>
      </c>
      <c r="AB2764" t="s">
        <v>2126</v>
      </c>
      <c r="AC2764" t="s">
        <v>2297</v>
      </c>
      <c r="AD2764" t="e">
        <f>VLOOKUP(AB2764,#REF!,2,FALSE)</f>
        <v>#REF!</v>
      </c>
      <c r="AE2764" t="e">
        <f>RIGHT(#REF!,(FIND("Complex",#REF!,1)-6))</f>
        <v>#REF!</v>
      </c>
    </row>
    <row r="2765" spans="1:31" x14ac:dyDescent="0.25">
      <c r="A2765">
        <v>3658</v>
      </c>
      <c r="B2765" t="s">
        <v>72</v>
      </c>
      <c r="C2765">
        <v>104</v>
      </c>
      <c r="D2765">
        <v>1161</v>
      </c>
      <c r="E2765">
        <v>3658</v>
      </c>
      <c r="F2765">
        <v>16493401</v>
      </c>
      <c r="G2765">
        <v>16581600</v>
      </c>
      <c r="H2765">
        <f t="shared" si="86"/>
        <v>374.00002267573694</v>
      </c>
      <c r="I2765">
        <f t="shared" si="87"/>
        <v>376</v>
      </c>
      <c r="J2765" t="s">
        <v>25</v>
      </c>
      <c r="K2765">
        <v>7</v>
      </c>
      <c r="L2765" t="e">
        <f t="array" ref="L2765">VLOOKUP(J2765:$J$3871&amp;K2765:$K$3871,CHOOSE({1,2},#REF!&amp;#REF!,#REF!),2,0)</f>
        <v>#N/A</v>
      </c>
      <c r="M2765">
        <v>0</v>
      </c>
      <c r="N2765">
        <v>1</v>
      </c>
      <c r="O2765" t="s">
        <v>23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0</v>
      </c>
      <c r="V2765">
        <v>0</v>
      </c>
      <c r="W2765">
        <v>1</v>
      </c>
      <c r="X2765">
        <v>1</v>
      </c>
      <c r="Y2765">
        <v>0</v>
      </c>
      <c r="Z2765">
        <v>0</v>
      </c>
      <c r="AA2765" t="s">
        <v>2333</v>
      </c>
      <c r="AB2765" t="s">
        <v>2127</v>
      </c>
      <c r="AC2765" t="s">
        <v>2333</v>
      </c>
      <c r="AD2765" t="e">
        <f>VLOOKUP(AB2765,#REF!,2,FALSE)</f>
        <v>#REF!</v>
      </c>
      <c r="AE2765" t="e">
        <f>RIGHT(#REF!,(FIND("Complex",#REF!,1)-5))</f>
        <v>#REF!</v>
      </c>
    </row>
    <row r="2766" spans="1:31" x14ac:dyDescent="0.25">
      <c r="A2766">
        <v>2469</v>
      </c>
      <c r="B2766" t="s">
        <v>72</v>
      </c>
      <c r="C2766">
        <v>104</v>
      </c>
      <c r="D2766">
        <v>958</v>
      </c>
      <c r="E2766">
        <v>2469</v>
      </c>
      <c r="F2766">
        <v>13141801</v>
      </c>
      <c r="G2766">
        <v>13230000</v>
      </c>
      <c r="H2766">
        <f t="shared" si="86"/>
        <v>298.00002267573694</v>
      </c>
      <c r="I2766">
        <f t="shared" si="87"/>
        <v>300</v>
      </c>
      <c r="J2766" t="s">
        <v>25</v>
      </c>
      <c r="K2766">
        <v>7</v>
      </c>
      <c r="L2766" t="e">
        <f t="array" ref="L2766">VLOOKUP(J2766:$J$3871&amp;K2766:$K$3871,CHOOSE({1,2},#REF!&amp;#REF!,#REF!),2,0)</f>
        <v>#N/A</v>
      </c>
      <c r="M2766">
        <v>0</v>
      </c>
      <c r="N2766">
        <v>1</v>
      </c>
      <c r="O2766" t="s">
        <v>23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0</v>
      </c>
      <c r="V2766">
        <v>0</v>
      </c>
      <c r="W2766">
        <v>1</v>
      </c>
      <c r="X2766">
        <v>1</v>
      </c>
      <c r="Y2766">
        <v>0</v>
      </c>
      <c r="Z2766">
        <v>0</v>
      </c>
      <c r="AA2766" t="s">
        <v>2349</v>
      </c>
      <c r="AB2766" t="s">
        <v>2128</v>
      </c>
      <c r="AC2766" t="s">
        <v>2349</v>
      </c>
      <c r="AD2766" t="e">
        <f>VLOOKUP(AB2766,#REF!,2,FALSE)</f>
        <v>#REF!</v>
      </c>
      <c r="AE2766" t="e">
        <f>RIGHT(#REF!,(FIND("Complex",#REF!,1)-4))</f>
        <v>#REF!</v>
      </c>
    </row>
    <row r="2767" spans="1:31" x14ac:dyDescent="0.25">
      <c r="A2767">
        <v>3357</v>
      </c>
      <c r="B2767" t="s">
        <v>72</v>
      </c>
      <c r="C2767">
        <v>104</v>
      </c>
      <c r="D2767">
        <v>1084</v>
      </c>
      <c r="E2767">
        <v>3357</v>
      </c>
      <c r="F2767">
        <v>12524401</v>
      </c>
      <c r="G2767">
        <v>12612600</v>
      </c>
      <c r="H2767">
        <f t="shared" si="86"/>
        <v>284.00002267573694</v>
      </c>
      <c r="I2767">
        <f t="shared" si="87"/>
        <v>286</v>
      </c>
      <c r="J2767" t="s">
        <v>25</v>
      </c>
      <c r="K2767">
        <v>7</v>
      </c>
      <c r="L2767" t="e">
        <f t="array" ref="L2767">VLOOKUP(J2767:$J$3871&amp;K2767:$K$3871,CHOOSE({1,2},#REF!&amp;#REF!,#REF!),2,0)</f>
        <v>#N/A</v>
      </c>
      <c r="M2767">
        <v>0</v>
      </c>
      <c r="N2767">
        <v>1</v>
      </c>
      <c r="O2767" t="s">
        <v>23</v>
      </c>
      <c r="P2767">
        <v>0</v>
      </c>
      <c r="Q2767">
        <v>1</v>
      </c>
      <c r="R2767">
        <v>1</v>
      </c>
      <c r="S2767">
        <v>1</v>
      </c>
      <c r="T2767">
        <v>1</v>
      </c>
      <c r="U2767">
        <v>0</v>
      </c>
      <c r="V2767">
        <v>0</v>
      </c>
      <c r="W2767">
        <v>1</v>
      </c>
      <c r="X2767">
        <v>1</v>
      </c>
      <c r="Y2767">
        <v>1</v>
      </c>
      <c r="Z2767">
        <v>0</v>
      </c>
      <c r="AA2767" t="s">
        <v>2352</v>
      </c>
      <c r="AB2767" t="s">
        <v>2129</v>
      </c>
      <c r="AC2767" t="s">
        <v>2352</v>
      </c>
      <c r="AD2767" t="e">
        <f>VLOOKUP(AB2767,#REF!,2,FALSE)</f>
        <v>#REF!</v>
      </c>
      <c r="AE2767" t="e">
        <f>RIGHT(#REF!,(FIND("Complex",#REF!,1)-5))</f>
        <v>#REF!</v>
      </c>
    </row>
    <row r="2768" spans="1:31" x14ac:dyDescent="0.25">
      <c r="A2768">
        <v>3601</v>
      </c>
      <c r="B2768" t="s">
        <v>72</v>
      </c>
      <c r="C2768">
        <v>104</v>
      </c>
      <c r="D2768">
        <v>1141</v>
      </c>
      <c r="E2768">
        <v>3601</v>
      </c>
      <c r="F2768">
        <v>12083401</v>
      </c>
      <c r="G2768">
        <v>12171600</v>
      </c>
      <c r="H2768">
        <f t="shared" si="86"/>
        <v>274.00002267573694</v>
      </c>
      <c r="I2768">
        <f t="shared" si="87"/>
        <v>276</v>
      </c>
      <c r="J2768" t="s">
        <v>25</v>
      </c>
      <c r="K2768">
        <v>7</v>
      </c>
      <c r="L2768" t="e">
        <f t="array" ref="L2768">VLOOKUP(J2768:$J$3871&amp;K2768:$K$3871,CHOOSE({1,2},#REF!&amp;#REF!,#REF!),2,0)</f>
        <v>#N/A</v>
      </c>
      <c r="M2768">
        <v>0</v>
      </c>
      <c r="N2768">
        <v>1</v>
      </c>
      <c r="O2768" t="s">
        <v>23</v>
      </c>
      <c r="P2768">
        <v>1</v>
      </c>
      <c r="Q2768">
        <v>0</v>
      </c>
      <c r="R2768">
        <v>1</v>
      </c>
      <c r="S2768">
        <v>1</v>
      </c>
      <c r="T2768">
        <v>1</v>
      </c>
      <c r="U2768">
        <v>0</v>
      </c>
      <c r="V2768">
        <v>0</v>
      </c>
      <c r="W2768">
        <v>1</v>
      </c>
      <c r="X2768">
        <v>1</v>
      </c>
      <c r="Y2768">
        <v>1</v>
      </c>
      <c r="Z2768">
        <v>0</v>
      </c>
      <c r="AA2768" t="s">
        <v>2362</v>
      </c>
      <c r="AB2768" t="s">
        <v>2130</v>
      </c>
      <c r="AC2768" t="s">
        <v>2362</v>
      </c>
      <c r="AD2768" t="e">
        <f>VLOOKUP(AB2768,#REF!,2,FALSE)</f>
        <v>#REF!</v>
      </c>
      <c r="AE2768" t="e">
        <f>RIGHT(#REF!,(FIND("Complex",#REF!,1)-5))</f>
        <v>#REF!</v>
      </c>
    </row>
    <row r="2769" spans="1:31" x14ac:dyDescent="0.25">
      <c r="A2769">
        <v>3621</v>
      </c>
      <c r="B2769" t="s">
        <v>72</v>
      </c>
      <c r="C2769">
        <v>104</v>
      </c>
      <c r="D2769">
        <v>1149</v>
      </c>
      <c r="E2769">
        <v>3621</v>
      </c>
      <c r="F2769">
        <v>10231201</v>
      </c>
      <c r="G2769">
        <v>10319400</v>
      </c>
      <c r="H2769">
        <f t="shared" si="86"/>
        <v>232.00002267573697</v>
      </c>
      <c r="I2769">
        <f t="shared" si="87"/>
        <v>234</v>
      </c>
      <c r="J2769" t="s">
        <v>25</v>
      </c>
      <c r="K2769">
        <v>7</v>
      </c>
      <c r="L2769" t="e">
        <f t="array" ref="L2769">VLOOKUP(J2769:$J$3871&amp;K2769:$K$3871,CHOOSE({1,2},#REF!&amp;#REF!,#REF!),2,0)</f>
        <v>#N/A</v>
      </c>
      <c r="M2769">
        <v>0</v>
      </c>
      <c r="N2769">
        <v>1</v>
      </c>
      <c r="O2769" t="s">
        <v>23</v>
      </c>
      <c r="P2769">
        <v>1</v>
      </c>
      <c r="Q2769">
        <v>0</v>
      </c>
      <c r="R2769">
        <v>1</v>
      </c>
      <c r="S2769">
        <v>1</v>
      </c>
      <c r="T2769">
        <v>1</v>
      </c>
      <c r="U2769">
        <v>0</v>
      </c>
      <c r="V2769">
        <v>0</v>
      </c>
      <c r="W2769">
        <v>1</v>
      </c>
      <c r="X2769">
        <v>1</v>
      </c>
      <c r="Y2769">
        <v>1</v>
      </c>
      <c r="Z2769">
        <v>0</v>
      </c>
      <c r="AA2769" t="s">
        <v>2431</v>
      </c>
      <c r="AB2769" t="s">
        <v>112</v>
      </c>
      <c r="AC2769" t="s">
        <v>2431</v>
      </c>
      <c r="AD2769" t="e">
        <f>VLOOKUP(AB2769,#REF!,2,FALSE)</f>
        <v>#REF!</v>
      </c>
      <c r="AE2769" t="e">
        <f>RIGHT(#REF!,(FIND("Complex",#REF!,1)-5))</f>
        <v>#REF!</v>
      </c>
    </row>
    <row r="2770" spans="1:31" x14ac:dyDescent="0.25">
      <c r="A2770">
        <v>3734</v>
      </c>
      <c r="B2770" t="s">
        <v>72</v>
      </c>
      <c r="C2770">
        <v>104</v>
      </c>
      <c r="D2770">
        <v>1187</v>
      </c>
      <c r="E2770">
        <v>3734</v>
      </c>
      <c r="F2770">
        <v>9878401</v>
      </c>
      <c r="G2770">
        <v>9966600</v>
      </c>
      <c r="H2770">
        <f t="shared" si="86"/>
        <v>224.00002267573697</v>
      </c>
      <c r="I2770">
        <f t="shared" si="87"/>
        <v>226</v>
      </c>
      <c r="J2770" t="s">
        <v>25</v>
      </c>
      <c r="K2770">
        <v>7</v>
      </c>
      <c r="L2770" t="e">
        <f t="array" ref="L2770">VLOOKUP(J2770:$J$3871&amp;K2770:$K$3871,CHOOSE({1,2},#REF!&amp;#REF!,#REF!),2,0)</f>
        <v>#N/A</v>
      </c>
      <c r="M2770">
        <v>0</v>
      </c>
      <c r="N2770">
        <v>1</v>
      </c>
      <c r="O2770" t="s">
        <v>23</v>
      </c>
      <c r="P2770">
        <v>1</v>
      </c>
      <c r="Q2770">
        <v>0</v>
      </c>
      <c r="R2770">
        <v>1</v>
      </c>
      <c r="S2770">
        <v>1</v>
      </c>
      <c r="T2770">
        <v>1</v>
      </c>
      <c r="U2770">
        <v>0</v>
      </c>
      <c r="V2770">
        <v>0</v>
      </c>
      <c r="W2770">
        <v>1</v>
      </c>
      <c r="X2770">
        <v>1</v>
      </c>
      <c r="Y2770">
        <v>1</v>
      </c>
      <c r="Z2770">
        <v>0</v>
      </c>
      <c r="AA2770" t="s">
        <v>2444</v>
      </c>
      <c r="AB2770" t="s">
        <v>2131</v>
      </c>
      <c r="AC2770" t="s">
        <v>2444</v>
      </c>
      <c r="AD2770" t="e">
        <f>VLOOKUP(AB2770,#REF!,2,FALSE)</f>
        <v>#REF!</v>
      </c>
      <c r="AE2770" t="e">
        <f>RIGHT(#REF!,(FIND("Complex",#REF!,1)-5))</f>
        <v>#REF!</v>
      </c>
    </row>
    <row r="2771" spans="1:31" x14ac:dyDescent="0.25">
      <c r="A2771">
        <v>2211</v>
      </c>
      <c r="B2771" t="s">
        <v>72</v>
      </c>
      <c r="C2771">
        <v>104</v>
      </c>
      <c r="D2771">
        <v>917</v>
      </c>
      <c r="E2771">
        <v>2211</v>
      </c>
      <c r="F2771">
        <v>9437401</v>
      </c>
      <c r="G2771">
        <v>9525600</v>
      </c>
      <c r="H2771">
        <f t="shared" si="86"/>
        <v>214.00002267573697</v>
      </c>
      <c r="I2771">
        <f t="shared" si="87"/>
        <v>216</v>
      </c>
      <c r="J2771" t="s">
        <v>25</v>
      </c>
      <c r="K2771">
        <v>7</v>
      </c>
      <c r="L2771" t="e">
        <f t="array" ref="L2771">VLOOKUP(J2771:$J$3871&amp;K2771:$K$3871,CHOOSE({1,2},#REF!&amp;#REF!,#REF!),2,0)</f>
        <v>#N/A</v>
      </c>
      <c r="M2771">
        <v>0</v>
      </c>
      <c r="N2771">
        <v>1</v>
      </c>
      <c r="O2771" t="s">
        <v>23</v>
      </c>
      <c r="P2771">
        <v>1</v>
      </c>
      <c r="Q2771">
        <v>0</v>
      </c>
      <c r="R2771">
        <v>1</v>
      </c>
      <c r="S2771">
        <v>1</v>
      </c>
      <c r="T2771">
        <v>1</v>
      </c>
      <c r="U2771">
        <v>0</v>
      </c>
      <c r="V2771">
        <v>0</v>
      </c>
      <c r="W2771">
        <v>1</v>
      </c>
      <c r="X2771">
        <v>1</v>
      </c>
      <c r="Y2771">
        <v>1</v>
      </c>
      <c r="Z2771">
        <v>0</v>
      </c>
      <c r="AA2771" t="s">
        <v>2461</v>
      </c>
      <c r="AB2771" t="s">
        <v>2132</v>
      </c>
      <c r="AC2771" t="s">
        <v>2461</v>
      </c>
      <c r="AD2771" t="e">
        <f>VLOOKUP(AB2771,#REF!,2,FALSE)</f>
        <v>#REF!</v>
      </c>
      <c r="AE2771" t="e">
        <f>RIGHT(#REF!,(FIND("Complex",#REF!,1)-4))</f>
        <v>#REF!</v>
      </c>
    </row>
    <row r="2772" spans="1:31" x14ac:dyDescent="0.25">
      <c r="A2772">
        <v>600</v>
      </c>
      <c r="B2772" t="s">
        <v>82</v>
      </c>
      <c r="C2772">
        <v>115</v>
      </c>
      <c r="D2772">
        <v>257</v>
      </c>
      <c r="E2772">
        <v>600</v>
      </c>
      <c r="F2772">
        <v>4145401</v>
      </c>
      <c r="G2772">
        <v>4233600</v>
      </c>
      <c r="H2772">
        <f t="shared" si="86"/>
        <v>94.000022675736957</v>
      </c>
      <c r="I2772">
        <f t="shared" si="87"/>
        <v>96</v>
      </c>
      <c r="J2772" t="s">
        <v>25</v>
      </c>
      <c r="K2772">
        <v>7</v>
      </c>
      <c r="L2772" t="e">
        <f t="array" ref="L2772">VLOOKUP(J2772:$J$3871&amp;K2772:$K$3871,CHOOSE({1,2},#REF!&amp;#REF!,#REF!),2,0)</f>
        <v>#N/A</v>
      </c>
      <c r="M2772">
        <v>0</v>
      </c>
      <c r="N2772">
        <v>1</v>
      </c>
      <c r="O2772" t="s">
        <v>23</v>
      </c>
      <c r="P2772">
        <v>1</v>
      </c>
      <c r="Q2772">
        <v>0</v>
      </c>
      <c r="R2772">
        <v>1</v>
      </c>
      <c r="S2772">
        <v>1</v>
      </c>
      <c r="T2772">
        <v>1</v>
      </c>
      <c r="U2772">
        <v>0</v>
      </c>
      <c r="V2772">
        <v>0</v>
      </c>
      <c r="W2772">
        <v>1</v>
      </c>
      <c r="X2772">
        <v>1</v>
      </c>
      <c r="Y2772">
        <v>1</v>
      </c>
      <c r="Z2772">
        <v>0</v>
      </c>
      <c r="AA2772" t="s">
        <v>2288</v>
      </c>
      <c r="AB2772" t="s">
        <v>2261</v>
      </c>
      <c r="AC2772" t="s">
        <v>2288</v>
      </c>
      <c r="AD2772" t="e">
        <f>VLOOKUP(AB2772,#REF!,2,FALSE)</f>
        <v>#REF!</v>
      </c>
      <c r="AE2772" t="e">
        <f>RIGHT(#REF!,(FIND("Complex",#REF!,1)-4))</f>
        <v>#REF!</v>
      </c>
    </row>
    <row r="2773" spans="1:31" x14ac:dyDescent="0.25">
      <c r="A2773">
        <v>337</v>
      </c>
      <c r="B2773" t="s">
        <v>82</v>
      </c>
      <c r="C2773">
        <v>115</v>
      </c>
      <c r="D2773">
        <v>140</v>
      </c>
      <c r="E2773">
        <v>337</v>
      </c>
      <c r="F2773">
        <v>6085801</v>
      </c>
      <c r="G2773">
        <v>6174000</v>
      </c>
      <c r="H2773">
        <f t="shared" si="86"/>
        <v>138.00002267573697</v>
      </c>
      <c r="I2773">
        <f t="shared" si="87"/>
        <v>140</v>
      </c>
      <c r="J2773" t="s">
        <v>25</v>
      </c>
      <c r="K2773">
        <v>7</v>
      </c>
      <c r="L2773" t="e">
        <f t="array" ref="L2773">VLOOKUP(J2773:$J$3871&amp;K2773:$K$3871,CHOOSE({1,2},#REF!&amp;#REF!,#REF!),2,0)</f>
        <v>#N/A</v>
      </c>
      <c r="M2773">
        <v>0</v>
      </c>
      <c r="N2773">
        <v>1</v>
      </c>
      <c r="O2773" t="s">
        <v>23</v>
      </c>
      <c r="P2773">
        <v>1</v>
      </c>
      <c r="Q2773">
        <v>0</v>
      </c>
      <c r="R2773">
        <v>1</v>
      </c>
      <c r="S2773">
        <v>1</v>
      </c>
      <c r="T2773">
        <v>1</v>
      </c>
      <c r="U2773">
        <v>0</v>
      </c>
      <c r="V2773">
        <v>0</v>
      </c>
      <c r="W2773">
        <v>1</v>
      </c>
      <c r="X2773">
        <v>1</v>
      </c>
      <c r="Y2773">
        <v>1</v>
      </c>
      <c r="Z2773">
        <v>0</v>
      </c>
      <c r="AA2773" t="s">
        <v>2552</v>
      </c>
      <c r="AB2773" t="s">
        <v>133</v>
      </c>
      <c r="AC2773" t="s">
        <v>2552</v>
      </c>
      <c r="AD2773" t="e">
        <f>VLOOKUP(AB2773,#REF!,2,FALSE)</f>
        <v>#REF!</v>
      </c>
      <c r="AE2773" t="e">
        <f>RIGHT(#REF!,(FIND("Complex",#REF!,1)-3))</f>
        <v>#REF!</v>
      </c>
    </row>
    <row r="2774" spans="1:31" x14ac:dyDescent="0.25">
      <c r="A2774">
        <v>3252</v>
      </c>
      <c r="B2774" t="s">
        <v>82</v>
      </c>
      <c r="C2774">
        <v>115</v>
      </c>
      <c r="D2774">
        <v>1065</v>
      </c>
      <c r="E2774">
        <v>3252</v>
      </c>
      <c r="F2774">
        <v>5644801</v>
      </c>
      <c r="G2774">
        <v>5733000</v>
      </c>
      <c r="H2774">
        <f t="shared" si="86"/>
        <v>128.00002267573697</v>
      </c>
      <c r="I2774">
        <f t="shared" si="87"/>
        <v>130</v>
      </c>
      <c r="J2774" t="s">
        <v>25</v>
      </c>
      <c r="K2774">
        <v>7</v>
      </c>
      <c r="L2774" t="e">
        <f t="array" ref="L2774">VLOOKUP(J2774:$J$3871&amp;K2774:$K$3871,CHOOSE({1,2},#REF!&amp;#REF!,#REF!),2,0)</f>
        <v>#N/A</v>
      </c>
      <c r="M2774">
        <v>0</v>
      </c>
      <c r="N2774">
        <v>1</v>
      </c>
      <c r="O2774" t="s">
        <v>23</v>
      </c>
      <c r="P2774">
        <v>1</v>
      </c>
      <c r="Q2774">
        <v>0</v>
      </c>
      <c r="R2774">
        <v>1</v>
      </c>
      <c r="S2774">
        <v>1</v>
      </c>
      <c r="T2774">
        <v>1</v>
      </c>
      <c r="U2774">
        <v>0</v>
      </c>
      <c r="V2774">
        <v>0</v>
      </c>
      <c r="W2774">
        <v>1</v>
      </c>
      <c r="X2774">
        <v>1</v>
      </c>
      <c r="Y2774">
        <v>1</v>
      </c>
      <c r="Z2774">
        <v>0</v>
      </c>
      <c r="AA2774" t="s">
        <v>2569</v>
      </c>
      <c r="AB2774" t="s">
        <v>2262</v>
      </c>
      <c r="AC2774" t="s">
        <v>2569</v>
      </c>
      <c r="AD2774" t="e">
        <f>VLOOKUP(AB2774,#REF!,2,FALSE)</f>
        <v>#REF!</v>
      </c>
      <c r="AE2774" t="e">
        <f>RIGHT(#REF!,(FIND("Complex",#REF!,1)-5))</f>
        <v>#REF!</v>
      </c>
    </row>
    <row r="2775" spans="1:31" x14ac:dyDescent="0.25">
      <c r="A2775">
        <v>3051</v>
      </c>
      <c r="B2775" t="s">
        <v>86</v>
      </c>
      <c r="C2775">
        <v>1</v>
      </c>
      <c r="D2775">
        <v>1031</v>
      </c>
      <c r="E2775">
        <v>3051</v>
      </c>
      <c r="F2775">
        <v>3792601</v>
      </c>
      <c r="G2775">
        <v>3880800</v>
      </c>
      <c r="H2775">
        <f t="shared" si="86"/>
        <v>86.000022675736957</v>
      </c>
      <c r="I2775">
        <f t="shared" si="87"/>
        <v>88</v>
      </c>
      <c r="J2775" t="s">
        <v>25</v>
      </c>
      <c r="K2775">
        <v>6</v>
      </c>
      <c r="L2775" t="e">
        <f t="array" ref="L2775">VLOOKUP(J2775:$J$3871&amp;K2775:$K$3871,CHOOSE({1,2},#REF!&amp;#REF!,#REF!),2,0)</f>
        <v>#N/A</v>
      </c>
      <c r="M2775">
        <v>-15</v>
      </c>
      <c r="N2775">
        <v>0</v>
      </c>
      <c r="O2775" t="s">
        <v>7</v>
      </c>
      <c r="P2775">
        <v>1</v>
      </c>
      <c r="Q2775">
        <v>1</v>
      </c>
      <c r="R2775">
        <v>0</v>
      </c>
      <c r="S2775">
        <v>1</v>
      </c>
      <c r="T2775">
        <v>1</v>
      </c>
      <c r="U2775">
        <v>0</v>
      </c>
      <c r="V2775">
        <v>0</v>
      </c>
      <c r="W2775">
        <v>1</v>
      </c>
      <c r="X2775">
        <v>1</v>
      </c>
      <c r="Y2775">
        <v>0</v>
      </c>
      <c r="Z2775">
        <v>0</v>
      </c>
      <c r="AA2775" t="s">
        <v>2675</v>
      </c>
      <c r="AB2775" t="s">
        <v>332</v>
      </c>
      <c r="AC2775" t="s">
        <v>2675</v>
      </c>
      <c r="AD2775" t="e">
        <f>VLOOKUP(AB2775,#REF!,2,FALSE)</f>
        <v>#REF!</v>
      </c>
      <c r="AE2775" t="e">
        <f>RIGHT(#REF!,(FIND("Complex",#REF!,1)-10))</f>
        <v>#REF!</v>
      </c>
    </row>
    <row r="2776" spans="1:31" x14ac:dyDescent="0.25">
      <c r="A2776">
        <v>98</v>
      </c>
      <c r="B2776" t="s">
        <v>86</v>
      </c>
      <c r="C2776">
        <v>1</v>
      </c>
      <c r="D2776">
        <v>47</v>
      </c>
      <c r="E2776">
        <v>98</v>
      </c>
      <c r="F2776">
        <v>3704401</v>
      </c>
      <c r="G2776">
        <v>3792600</v>
      </c>
      <c r="H2776">
        <f t="shared" si="86"/>
        <v>84.000022675736957</v>
      </c>
      <c r="I2776">
        <f t="shared" si="87"/>
        <v>86</v>
      </c>
      <c r="J2776" t="s">
        <v>25</v>
      </c>
      <c r="K2776">
        <v>6</v>
      </c>
      <c r="L2776" t="e">
        <f t="array" ref="L2776">VLOOKUP(J2776:$J$3871&amp;K2776:$K$3871,CHOOSE({1,2},#REF!&amp;#REF!,#REF!),2,0)</f>
        <v>#N/A</v>
      </c>
      <c r="M2776">
        <v>-15</v>
      </c>
      <c r="N2776">
        <v>0</v>
      </c>
      <c r="O2776" t="s">
        <v>7</v>
      </c>
      <c r="P2776">
        <v>1</v>
      </c>
      <c r="Q2776">
        <v>1</v>
      </c>
      <c r="R2776">
        <v>0</v>
      </c>
      <c r="S2776">
        <v>1</v>
      </c>
      <c r="T2776">
        <v>1</v>
      </c>
      <c r="U2776">
        <v>0</v>
      </c>
      <c r="V2776">
        <v>0</v>
      </c>
      <c r="W2776">
        <v>1</v>
      </c>
      <c r="X2776">
        <v>1</v>
      </c>
      <c r="Y2776">
        <v>0</v>
      </c>
      <c r="Z2776">
        <v>0</v>
      </c>
      <c r="AA2776" t="s">
        <v>2685</v>
      </c>
      <c r="AB2776" t="s">
        <v>6157</v>
      </c>
      <c r="AC2776" t="s">
        <v>2685</v>
      </c>
      <c r="AD2776" t="e">
        <f>VLOOKUP(AB2776,#REF!,2,FALSE)</f>
        <v>#REF!</v>
      </c>
      <c r="AE2776" t="e">
        <f>RIGHT(#REF!,(FIND("Complex",#REF!,1)-7))</f>
        <v>#REF!</v>
      </c>
    </row>
    <row r="2777" spans="1:31" x14ac:dyDescent="0.25">
      <c r="A2777">
        <v>3589</v>
      </c>
      <c r="B2777" t="s">
        <v>86</v>
      </c>
      <c r="C2777">
        <v>1</v>
      </c>
      <c r="D2777">
        <v>1138</v>
      </c>
      <c r="E2777">
        <v>3589</v>
      </c>
      <c r="F2777">
        <v>3616201</v>
      </c>
      <c r="G2777">
        <v>3704400</v>
      </c>
      <c r="H2777">
        <f t="shared" si="86"/>
        <v>82.000022675736957</v>
      </c>
      <c r="I2777">
        <f t="shared" si="87"/>
        <v>84</v>
      </c>
      <c r="J2777" t="s">
        <v>25</v>
      </c>
      <c r="K2777">
        <v>6</v>
      </c>
      <c r="L2777" t="e">
        <f t="array" ref="L2777">VLOOKUP(J2777:$J$3871&amp;K2777:$K$3871,CHOOSE({1,2},#REF!&amp;#REF!,#REF!),2,0)</f>
        <v>#N/A</v>
      </c>
      <c r="M2777">
        <v>-15</v>
      </c>
      <c r="N2777">
        <v>0</v>
      </c>
      <c r="O2777" t="s">
        <v>7</v>
      </c>
      <c r="P2777">
        <v>1</v>
      </c>
      <c r="Q2777">
        <v>1</v>
      </c>
      <c r="R2777">
        <v>0</v>
      </c>
      <c r="S2777">
        <v>1</v>
      </c>
      <c r="T2777">
        <v>1</v>
      </c>
      <c r="U2777">
        <v>0</v>
      </c>
      <c r="V2777">
        <v>0</v>
      </c>
      <c r="W2777">
        <v>1</v>
      </c>
      <c r="X2777">
        <v>1</v>
      </c>
      <c r="Y2777">
        <v>0</v>
      </c>
      <c r="Z2777">
        <v>0</v>
      </c>
      <c r="AA2777" t="s">
        <v>2694</v>
      </c>
      <c r="AB2777" t="s">
        <v>145</v>
      </c>
      <c r="AC2777" t="s">
        <v>2694</v>
      </c>
      <c r="AD2777" t="e">
        <f>VLOOKUP(AB2777,#REF!,2,FALSE)</f>
        <v>#REF!</v>
      </c>
      <c r="AE2777" t="e">
        <f>RIGHT(#REF!,(FIND("Complex",#REF!,1)-10))</f>
        <v>#REF!</v>
      </c>
    </row>
    <row r="2778" spans="1:31" x14ac:dyDescent="0.25">
      <c r="A2778">
        <v>3666</v>
      </c>
      <c r="B2778" t="s">
        <v>86</v>
      </c>
      <c r="C2778">
        <v>1</v>
      </c>
      <c r="D2778">
        <v>1163</v>
      </c>
      <c r="E2778">
        <v>3666</v>
      </c>
      <c r="F2778">
        <v>3087001</v>
      </c>
      <c r="G2778">
        <v>3175200</v>
      </c>
      <c r="H2778">
        <f t="shared" si="86"/>
        <v>70.000022675736957</v>
      </c>
      <c r="I2778">
        <f t="shared" si="87"/>
        <v>72</v>
      </c>
      <c r="J2778" t="s">
        <v>25</v>
      </c>
      <c r="K2778">
        <v>6</v>
      </c>
      <c r="L2778" t="e">
        <f t="array" ref="L2778">VLOOKUP(J2778:$J$3871&amp;K2778:$K$3871,CHOOSE({1,2},#REF!&amp;#REF!,#REF!),2,0)</f>
        <v>#N/A</v>
      </c>
      <c r="M2778">
        <v>-15</v>
      </c>
      <c r="N2778">
        <v>0</v>
      </c>
      <c r="O2778" t="s">
        <v>7</v>
      </c>
      <c r="P2778">
        <v>1</v>
      </c>
      <c r="Q2778">
        <v>1</v>
      </c>
      <c r="R2778">
        <v>0</v>
      </c>
      <c r="S2778">
        <v>1</v>
      </c>
      <c r="T2778">
        <v>1</v>
      </c>
      <c r="U2778">
        <v>0</v>
      </c>
      <c r="V2778">
        <v>0</v>
      </c>
      <c r="W2778">
        <v>1</v>
      </c>
      <c r="X2778">
        <v>1</v>
      </c>
      <c r="Y2778">
        <v>0</v>
      </c>
      <c r="Z2778">
        <v>0</v>
      </c>
      <c r="AA2778" t="s">
        <v>2744</v>
      </c>
      <c r="AB2778" t="s">
        <v>333</v>
      </c>
      <c r="AC2778" t="s">
        <v>2744</v>
      </c>
      <c r="AD2778" t="e">
        <f>VLOOKUP(AB2778,#REF!,2,FALSE)</f>
        <v>#REF!</v>
      </c>
      <c r="AE2778" t="e">
        <f>RIGHT(#REF!,(FIND("Complex",#REF!,1)-10))</f>
        <v>#REF!</v>
      </c>
    </row>
    <row r="2779" spans="1:31" x14ac:dyDescent="0.25">
      <c r="A2779">
        <v>3396</v>
      </c>
      <c r="B2779" t="s">
        <v>86</v>
      </c>
      <c r="C2779">
        <v>1</v>
      </c>
      <c r="D2779">
        <v>1092</v>
      </c>
      <c r="E2779">
        <v>3396</v>
      </c>
      <c r="F2779">
        <v>2205001</v>
      </c>
      <c r="G2779">
        <v>2293200</v>
      </c>
      <c r="H2779">
        <f t="shared" si="86"/>
        <v>50.000022675736965</v>
      </c>
      <c r="I2779">
        <f t="shared" si="87"/>
        <v>52</v>
      </c>
      <c r="J2779" t="s">
        <v>25</v>
      </c>
      <c r="K2779">
        <v>6</v>
      </c>
      <c r="L2779" t="e">
        <f t="array" ref="L2779">VLOOKUP(J2779:$J$3871&amp;K2779:$K$3871,CHOOSE({1,2},#REF!&amp;#REF!,#REF!),2,0)</f>
        <v>#N/A</v>
      </c>
      <c r="M2779">
        <v>-15</v>
      </c>
      <c r="N2779">
        <v>0</v>
      </c>
      <c r="O2779" t="s">
        <v>7</v>
      </c>
      <c r="P2779">
        <v>1</v>
      </c>
      <c r="Q2779">
        <v>1</v>
      </c>
      <c r="R2779">
        <v>0</v>
      </c>
      <c r="S2779">
        <v>1</v>
      </c>
      <c r="T2779">
        <v>1</v>
      </c>
      <c r="U2779">
        <v>0</v>
      </c>
      <c r="V2779">
        <v>0</v>
      </c>
      <c r="W2779">
        <v>1</v>
      </c>
      <c r="X2779">
        <v>1</v>
      </c>
      <c r="Y2779">
        <v>0</v>
      </c>
      <c r="Z2779">
        <v>0</v>
      </c>
      <c r="AA2779" t="s">
        <v>2807</v>
      </c>
      <c r="AB2779" t="s">
        <v>6189</v>
      </c>
      <c r="AC2779" t="s">
        <v>2807</v>
      </c>
      <c r="AD2779" t="e">
        <f>VLOOKUP(AB2779,#REF!,2,FALSE)</f>
        <v>#REF!</v>
      </c>
      <c r="AE2779" t="e">
        <f>RIGHT(#REF!,(FIND("Complex",#REF!,1)-10))</f>
        <v>#REF!</v>
      </c>
    </row>
    <row r="2780" spans="1:31" x14ac:dyDescent="0.25">
      <c r="A2780">
        <v>728</v>
      </c>
      <c r="B2780" t="s">
        <v>86</v>
      </c>
      <c r="C2780">
        <v>1</v>
      </c>
      <c r="D2780">
        <v>316</v>
      </c>
      <c r="E2780">
        <v>728</v>
      </c>
      <c r="F2780">
        <v>2116801</v>
      </c>
      <c r="G2780">
        <v>2205000</v>
      </c>
      <c r="H2780">
        <f t="shared" si="86"/>
        <v>48.000022675736965</v>
      </c>
      <c r="I2780">
        <f t="shared" si="87"/>
        <v>50</v>
      </c>
      <c r="J2780" t="s">
        <v>25</v>
      </c>
      <c r="K2780">
        <v>6</v>
      </c>
      <c r="L2780" t="e">
        <f t="array" ref="L2780">VLOOKUP(J2780:$J$3871&amp;K2780:$K$3871,CHOOSE({1,2},#REF!&amp;#REF!,#REF!),2,0)</f>
        <v>#N/A</v>
      </c>
      <c r="M2780">
        <v>-15</v>
      </c>
      <c r="N2780">
        <v>0</v>
      </c>
      <c r="O2780" t="s">
        <v>7</v>
      </c>
      <c r="P2780">
        <v>1</v>
      </c>
      <c r="Q2780">
        <v>1</v>
      </c>
      <c r="R2780">
        <v>0</v>
      </c>
      <c r="S2780">
        <v>1</v>
      </c>
      <c r="T2780">
        <v>1</v>
      </c>
      <c r="U2780">
        <v>0</v>
      </c>
      <c r="V2780">
        <v>0</v>
      </c>
      <c r="W2780">
        <v>1</v>
      </c>
      <c r="X2780">
        <v>1</v>
      </c>
      <c r="Y2780">
        <v>0</v>
      </c>
      <c r="Z2780">
        <v>0</v>
      </c>
      <c r="AA2780" t="s">
        <v>2812</v>
      </c>
      <c r="AB2780" t="s">
        <v>6190</v>
      </c>
      <c r="AC2780" t="s">
        <v>2812</v>
      </c>
      <c r="AD2780" t="e">
        <f>VLOOKUP(AB2780,#REF!,2,FALSE)</f>
        <v>#REF!</v>
      </c>
      <c r="AE2780" t="e">
        <f>RIGHT(#REF!,(FIND("Complex",#REF!,1)-8))</f>
        <v>#REF!</v>
      </c>
    </row>
    <row r="2781" spans="1:31" x14ac:dyDescent="0.25">
      <c r="A2781">
        <v>3186</v>
      </c>
      <c r="B2781" t="s">
        <v>86</v>
      </c>
      <c r="C2781">
        <v>1</v>
      </c>
      <c r="D2781">
        <v>1053</v>
      </c>
      <c r="E2781">
        <v>3186</v>
      </c>
      <c r="F2781">
        <v>2028601</v>
      </c>
      <c r="G2781">
        <v>2116800</v>
      </c>
      <c r="H2781">
        <f t="shared" si="86"/>
        <v>46.000022675736965</v>
      </c>
      <c r="I2781">
        <f t="shared" si="87"/>
        <v>48</v>
      </c>
      <c r="J2781" t="s">
        <v>25</v>
      </c>
      <c r="K2781">
        <v>6</v>
      </c>
      <c r="L2781" t="e">
        <f t="array" ref="L2781">VLOOKUP(J2781:$J$3871&amp;K2781:$K$3871,CHOOSE({1,2},#REF!&amp;#REF!,#REF!),2,0)</f>
        <v>#N/A</v>
      </c>
      <c r="M2781">
        <v>-15</v>
      </c>
      <c r="N2781">
        <v>0</v>
      </c>
      <c r="O2781" t="s">
        <v>7</v>
      </c>
      <c r="P2781">
        <v>1</v>
      </c>
      <c r="Q2781">
        <v>1</v>
      </c>
      <c r="R2781">
        <v>0</v>
      </c>
      <c r="S2781">
        <v>1</v>
      </c>
      <c r="T2781">
        <v>1</v>
      </c>
      <c r="U2781">
        <v>0</v>
      </c>
      <c r="V2781">
        <v>0</v>
      </c>
      <c r="W2781">
        <v>1</v>
      </c>
      <c r="X2781">
        <v>1</v>
      </c>
      <c r="Y2781">
        <v>0</v>
      </c>
      <c r="Z2781">
        <v>0</v>
      </c>
      <c r="AA2781" t="s">
        <v>2816</v>
      </c>
      <c r="AB2781" t="s">
        <v>6193</v>
      </c>
      <c r="AC2781" t="s">
        <v>2816</v>
      </c>
      <c r="AD2781" t="e">
        <f>VLOOKUP(AB2781,#REF!,2,FALSE)</f>
        <v>#REF!</v>
      </c>
      <c r="AE2781" t="e">
        <f>RIGHT(#REF!,(FIND("Complex",#REF!,1)-10))</f>
        <v>#REF!</v>
      </c>
    </row>
    <row r="2782" spans="1:31" x14ac:dyDescent="0.25">
      <c r="A2782">
        <v>3688</v>
      </c>
      <c r="B2782" t="s">
        <v>86</v>
      </c>
      <c r="C2782">
        <v>1</v>
      </c>
      <c r="D2782">
        <v>1170</v>
      </c>
      <c r="E2782">
        <v>3688</v>
      </c>
      <c r="F2782">
        <v>1675801</v>
      </c>
      <c r="G2782">
        <v>1764000</v>
      </c>
      <c r="H2782">
        <f t="shared" si="86"/>
        <v>38.000022675736965</v>
      </c>
      <c r="I2782">
        <f t="shared" si="87"/>
        <v>40</v>
      </c>
      <c r="J2782" t="s">
        <v>25</v>
      </c>
      <c r="K2782">
        <v>6</v>
      </c>
      <c r="L2782" t="e">
        <f t="array" ref="L2782">VLOOKUP(J2782:$J$3871&amp;K2782:$K$3871,CHOOSE({1,2},#REF!&amp;#REF!,#REF!),2,0)</f>
        <v>#N/A</v>
      </c>
      <c r="M2782">
        <v>-15</v>
      </c>
      <c r="N2782">
        <v>0</v>
      </c>
      <c r="O2782" t="s">
        <v>7</v>
      </c>
      <c r="P2782">
        <v>1</v>
      </c>
      <c r="Q2782">
        <v>1</v>
      </c>
      <c r="R2782">
        <v>0</v>
      </c>
      <c r="S2782">
        <v>1</v>
      </c>
      <c r="T2782">
        <v>1</v>
      </c>
      <c r="U2782">
        <v>0</v>
      </c>
      <c r="V2782">
        <v>0</v>
      </c>
      <c r="W2782">
        <v>1</v>
      </c>
      <c r="X2782">
        <v>1</v>
      </c>
      <c r="Y2782">
        <v>0</v>
      </c>
      <c r="Z2782">
        <v>0</v>
      </c>
      <c r="AA2782" t="s">
        <v>2844</v>
      </c>
      <c r="AB2782" t="s">
        <v>334</v>
      </c>
      <c r="AC2782" t="s">
        <v>2844</v>
      </c>
      <c r="AD2782" t="e">
        <f>VLOOKUP(AB2782,#REF!,2,FALSE)</f>
        <v>#REF!</v>
      </c>
      <c r="AE2782" t="e">
        <f>RIGHT(#REF!,(FIND("Complex",#REF!,1)-10))</f>
        <v>#REF!</v>
      </c>
    </row>
    <row r="2783" spans="1:31" x14ac:dyDescent="0.25">
      <c r="A2783">
        <v>1787</v>
      </c>
      <c r="B2783" t="s">
        <v>86</v>
      </c>
      <c r="C2783">
        <v>1</v>
      </c>
      <c r="D2783">
        <v>776</v>
      </c>
      <c r="E2783">
        <v>1787</v>
      </c>
      <c r="F2783">
        <v>1323001</v>
      </c>
      <c r="G2783">
        <v>1411200</v>
      </c>
      <c r="H2783">
        <f t="shared" si="86"/>
        <v>30.000022675736961</v>
      </c>
      <c r="I2783">
        <f t="shared" si="87"/>
        <v>32</v>
      </c>
      <c r="J2783" t="s">
        <v>25</v>
      </c>
      <c r="K2783">
        <v>6</v>
      </c>
      <c r="L2783" t="e">
        <f t="array" ref="L2783">VLOOKUP(J2783:$J$3871&amp;K2783:$K$3871,CHOOSE({1,2},#REF!&amp;#REF!,#REF!),2,0)</f>
        <v>#N/A</v>
      </c>
      <c r="M2783">
        <v>-15</v>
      </c>
      <c r="N2783">
        <v>0</v>
      </c>
      <c r="O2783" t="s">
        <v>7</v>
      </c>
      <c r="P2783">
        <v>1</v>
      </c>
      <c r="Q2783">
        <v>1</v>
      </c>
      <c r="R2783">
        <v>0</v>
      </c>
      <c r="S2783">
        <v>1</v>
      </c>
      <c r="T2783">
        <v>1</v>
      </c>
      <c r="U2783">
        <v>0</v>
      </c>
      <c r="V2783">
        <v>0</v>
      </c>
      <c r="W2783">
        <v>1</v>
      </c>
      <c r="X2783">
        <v>1</v>
      </c>
      <c r="Y2783">
        <v>0</v>
      </c>
      <c r="Z2783">
        <v>0</v>
      </c>
      <c r="AA2783" t="s">
        <v>2886</v>
      </c>
      <c r="AB2783" t="s">
        <v>335</v>
      </c>
      <c r="AC2783" t="s">
        <v>2886</v>
      </c>
      <c r="AD2783" t="e">
        <f>VLOOKUP(AB2783,#REF!,2,FALSE)</f>
        <v>#REF!</v>
      </c>
      <c r="AE2783" t="e">
        <f>RIGHT(#REF!,(FIND("Complex",#REF!,1)-9))</f>
        <v>#REF!</v>
      </c>
    </row>
    <row r="2784" spans="1:31" x14ac:dyDescent="0.25">
      <c r="A2784">
        <v>3696</v>
      </c>
      <c r="B2784" t="s">
        <v>86</v>
      </c>
      <c r="C2784">
        <v>1</v>
      </c>
      <c r="D2784">
        <v>1177</v>
      </c>
      <c r="E2784">
        <v>3696</v>
      </c>
      <c r="F2784">
        <v>1058401</v>
      </c>
      <c r="G2784">
        <v>1146600</v>
      </c>
      <c r="H2784">
        <f t="shared" si="86"/>
        <v>24.000022675736961</v>
      </c>
      <c r="I2784">
        <f t="shared" si="87"/>
        <v>26</v>
      </c>
      <c r="J2784" t="s">
        <v>25</v>
      </c>
      <c r="K2784">
        <v>6</v>
      </c>
      <c r="L2784" t="e">
        <f t="array" ref="L2784">VLOOKUP(J2784:$J$3871&amp;K2784:$K$3871,CHOOSE({1,2},#REF!&amp;#REF!,#REF!),2,0)</f>
        <v>#N/A</v>
      </c>
      <c r="M2784">
        <v>-15</v>
      </c>
      <c r="N2784">
        <v>0</v>
      </c>
      <c r="O2784" t="s">
        <v>7</v>
      </c>
      <c r="P2784">
        <v>1</v>
      </c>
      <c r="Q2784">
        <v>1</v>
      </c>
      <c r="R2784">
        <v>0</v>
      </c>
      <c r="S2784">
        <v>1</v>
      </c>
      <c r="T2784">
        <v>1</v>
      </c>
      <c r="U2784">
        <v>0</v>
      </c>
      <c r="V2784">
        <v>0</v>
      </c>
      <c r="W2784">
        <v>1</v>
      </c>
      <c r="X2784">
        <v>1</v>
      </c>
      <c r="Y2784">
        <v>0</v>
      </c>
      <c r="Z2784">
        <v>0</v>
      </c>
      <c r="AA2784" t="s">
        <v>2961</v>
      </c>
      <c r="AB2784" t="s">
        <v>336</v>
      </c>
      <c r="AC2784" t="s">
        <v>2961</v>
      </c>
      <c r="AD2784" t="e">
        <f>VLOOKUP(AB2784,#REF!,2,FALSE)</f>
        <v>#REF!</v>
      </c>
      <c r="AE2784" t="e">
        <f>RIGHT(#REF!,(FIND("Complex",#REF!,1)-10))</f>
        <v>#REF!</v>
      </c>
    </row>
    <row r="2785" spans="1:31" x14ac:dyDescent="0.25">
      <c r="A2785">
        <v>750</v>
      </c>
      <c r="B2785" t="s">
        <v>86</v>
      </c>
      <c r="C2785">
        <v>1</v>
      </c>
      <c r="D2785">
        <v>334</v>
      </c>
      <c r="E2785">
        <v>750</v>
      </c>
      <c r="F2785">
        <v>882001</v>
      </c>
      <c r="G2785">
        <v>970200</v>
      </c>
      <c r="H2785">
        <f t="shared" si="86"/>
        <v>20.000022675736961</v>
      </c>
      <c r="I2785">
        <f t="shared" si="87"/>
        <v>22</v>
      </c>
      <c r="J2785" t="s">
        <v>25</v>
      </c>
      <c r="K2785">
        <v>6</v>
      </c>
      <c r="L2785" t="e">
        <f t="array" ref="L2785">VLOOKUP(J2785:$J$3871&amp;K2785:$K$3871,CHOOSE({1,2},#REF!&amp;#REF!,#REF!),2,0)</f>
        <v>#N/A</v>
      </c>
      <c r="M2785">
        <v>-15</v>
      </c>
      <c r="N2785">
        <v>0</v>
      </c>
      <c r="O2785" t="s">
        <v>7</v>
      </c>
      <c r="P2785">
        <v>1</v>
      </c>
      <c r="Q2785">
        <v>1</v>
      </c>
      <c r="R2785">
        <v>0</v>
      </c>
      <c r="S2785">
        <v>1</v>
      </c>
      <c r="T2785">
        <v>1</v>
      </c>
      <c r="U2785">
        <v>0</v>
      </c>
      <c r="V2785">
        <v>0</v>
      </c>
      <c r="W2785">
        <v>1</v>
      </c>
      <c r="X2785">
        <v>1</v>
      </c>
      <c r="Y2785">
        <v>0</v>
      </c>
      <c r="Z2785">
        <v>0</v>
      </c>
      <c r="AA2785" t="s">
        <v>3056</v>
      </c>
      <c r="AB2785" t="s">
        <v>337</v>
      </c>
      <c r="AC2785" t="s">
        <v>3056</v>
      </c>
      <c r="AD2785" t="e">
        <f>VLOOKUP(AB2785,#REF!,2,FALSE)</f>
        <v>#REF!</v>
      </c>
      <c r="AE2785" t="e">
        <f>RIGHT(#REF!,(FIND("Complex",#REF!,1)-8))</f>
        <v>#REF!</v>
      </c>
    </row>
    <row r="2786" spans="1:31" x14ac:dyDescent="0.25">
      <c r="A2786">
        <v>3339</v>
      </c>
      <c r="B2786" t="s">
        <v>86</v>
      </c>
      <c r="C2786">
        <v>1</v>
      </c>
      <c r="D2786">
        <v>1079</v>
      </c>
      <c r="E2786">
        <v>3339</v>
      </c>
      <c r="F2786">
        <v>705601</v>
      </c>
      <c r="G2786">
        <v>793800</v>
      </c>
      <c r="H2786">
        <f t="shared" si="86"/>
        <v>16.000022675736961</v>
      </c>
      <c r="I2786">
        <f t="shared" si="87"/>
        <v>18</v>
      </c>
      <c r="J2786" t="s">
        <v>25</v>
      </c>
      <c r="K2786">
        <v>6</v>
      </c>
      <c r="L2786" t="e">
        <f t="array" ref="L2786">VLOOKUP(J2786:$J$3871&amp;K2786:$K$3871,CHOOSE({1,2},#REF!&amp;#REF!,#REF!),2,0)</f>
        <v>#N/A</v>
      </c>
      <c r="M2786">
        <v>-15</v>
      </c>
      <c r="N2786">
        <v>0</v>
      </c>
      <c r="O2786" t="s">
        <v>7</v>
      </c>
      <c r="P2786">
        <v>1</v>
      </c>
      <c r="Q2786">
        <v>1</v>
      </c>
      <c r="R2786">
        <v>0</v>
      </c>
      <c r="S2786">
        <v>1</v>
      </c>
      <c r="T2786">
        <v>1</v>
      </c>
      <c r="U2786">
        <v>0</v>
      </c>
      <c r="V2786">
        <v>0</v>
      </c>
      <c r="W2786">
        <v>1</v>
      </c>
      <c r="X2786">
        <v>1</v>
      </c>
      <c r="Y2786">
        <v>0</v>
      </c>
      <c r="Z2786">
        <v>0</v>
      </c>
      <c r="AA2786" t="s">
        <v>3198</v>
      </c>
      <c r="AB2786" t="s">
        <v>338</v>
      </c>
      <c r="AC2786" t="s">
        <v>3198</v>
      </c>
      <c r="AD2786" t="e">
        <f>VLOOKUP(AB2786,#REF!,2,FALSE)</f>
        <v>#REF!</v>
      </c>
      <c r="AE2786" t="e">
        <f>RIGHT(#REF!,(FIND("Complex",#REF!,1)-10))</f>
        <v>#REF!</v>
      </c>
    </row>
    <row r="2787" spans="1:31" x14ac:dyDescent="0.25">
      <c r="A2787">
        <v>3524</v>
      </c>
      <c r="B2787" t="s">
        <v>86</v>
      </c>
      <c r="C2787">
        <v>1</v>
      </c>
      <c r="D2787">
        <v>1123</v>
      </c>
      <c r="E2787">
        <v>3524</v>
      </c>
      <c r="F2787">
        <v>6967801</v>
      </c>
      <c r="G2787">
        <v>7056000</v>
      </c>
      <c r="H2787">
        <f t="shared" si="86"/>
        <v>158.00002267573697</v>
      </c>
      <c r="I2787">
        <f t="shared" si="87"/>
        <v>160</v>
      </c>
      <c r="J2787" t="s">
        <v>25</v>
      </c>
      <c r="K2787">
        <v>6</v>
      </c>
      <c r="L2787" t="e">
        <f t="array" ref="L2787">VLOOKUP(J2787:$J$3871&amp;K2787:$K$3871,CHOOSE({1,2},#REF!&amp;#REF!,#REF!),2,0)</f>
        <v>#N/A</v>
      </c>
      <c r="M2787">
        <v>-15</v>
      </c>
      <c r="N2787">
        <v>0</v>
      </c>
      <c r="O2787" t="s">
        <v>7</v>
      </c>
      <c r="P2787">
        <v>1</v>
      </c>
      <c r="Q2787">
        <v>1</v>
      </c>
      <c r="R2787">
        <v>0</v>
      </c>
      <c r="S2787">
        <v>1</v>
      </c>
      <c r="T2787">
        <v>1</v>
      </c>
      <c r="U2787">
        <v>0</v>
      </c>
      <c r="V2787">
        <v>0</v>
      </c>
      <c r="W2787">
        <v>1</v>
      </c>
      <c r="X2787">
        <v>1</v>
      </c>
      <c r="Y2787">
        <v>0</v>
      </c>
      <c r="Z2787">
        <v>0</v>
      </c>
      <c r="AA2787" t="s">
        <v>3201</v>
      </c>
      <c r="AB2787" t="s">
        <v>339</v>
      </c>
      <c r="AC2787" t="s">
        <v>3201</v>
      </c>
      <c r="AD2787" t="e">
        <f>VLOOKUP(AB2787,#REF!,2,FALSE)</f>
        <v>#REF!</v>
      </c>
      <c r="AE2787" t="e">
        <f>RIGHT(#REF!,(FIND("Complex",#REF!,1)-9))</f>
        <v>#REF!</v>
      </c>
    </row>
    <row r="2788" spans="1:31" x14ac:dyDescent="0.25">
      <c r="A2788">
        <v>1369</v>
      </c>
      <c r="B2788" t="s">
        <v>86</v>
      </c>
      <c r="C2788">
        <v>1</v>
      </c>
      <c r="D2788">
        <v>599</v>
      </c>
      <c r="E2788">
        <v>1369</v>
      </c>
      <c r="F2788">
        <v>6615001</v>
      </c>
      <c r="G2788">
        <v>6703200</v>
      </c>
      <c r="H2788">
        <f t="shared" si="86"/>
        <v>150.00002267573697</v>
      </c>
      <c r="I2788">
        <f t="shared" si="87"/>
        <v>152</v>
      </c>
      <c r="J2788" t="s">
        <v>25</v>
      </c>
      <c r="K2788">
        <v>6</v>
      </c>
      <c r="L2788" t="e">
        <f t="array" ref="L2788">VLOOKUP(J2788:$J$3871&amp;K2788:$K$3871,CHOOSE({1,2},#REF!&amp;#REF!,#REF!),2,0)</f>
        <v>#N/A</v>
      </c>
      <c r="M2788">
        <v>-15</v>
      </c>
      <c r="N2788">
        <v>0</v>
      </c>
      <c r="O2788" t="s">
        <v>7</v>
      </c>
      <c r="P2788">
        <v>1</v>
      </c>
      <c r="Q2788">
        <v>1</v>
      </c>
      <c r="R2788">
        <v>0</v>
      </c>
      <c r="S2788">
        <v>1</v>
      </c>
      <c r="T2788">
        <v>1</v>
      </c>
      <c r="U2788">
        <v>0</v>
      </c>
      <c r="V2788">
        <v>0</v>
      </c>
      <c r="W2788">
        <v>1</v>
      </c>
      <c r="X2788">
        <v>1</v>
      </c>
      <c r="Y2788">
        <v>0</v>
      </c>
      <c r="Z2788">
        <v>0</v>
      </c>
      <c r="AA2788" t="s">
        <v>3229</v>
      </c>
      <c r="AB2788" t="s">
        <v>6286</v>
      </c>
      <c r="AC2788" t="s">
        <v>3229</v>
      </c>
      <c r="AD2788" t="e">
        <f>VLOOKUP(AB2788,#REF!,2,FALSE)</f>
        <v>#REF!</v>
      </c>
      <c r="AE2788" t="e">
        <f>RIGHT(#REF!,(FIND("Complex",#REF!,1)-8))</f>
        <v>#REF!</v>
      </c>
    </row>
    <row r="2789" spans="1:31" x14ac:dyDescent="0.25">
      <c r="A2789">
        <v>3574</v>
      </c>
      <c r="B2789" t="s">
        <v>86</v>
      </c>
      <c r="C2789">
        <v>1</v>
      </c>
      <c r="D2789">
        <v>1135</v>
      </c>
      <c r="E2789">
        <v>3574</v>
      </c>
      <c r="F2789">
        <v>6438601</v>
      </c>
      <c r="G2789">
        <v>6526800</v>
      </c>
      <c r="H2789">
        <f t="shared" si="86"/>
        <v>146.00002267573697</v>
      </c>
      <c r="I2789">
        <f t="shared" si="87"/>
        <v>148</v>
      </c>
      <c r="J2789" t="s">
        <v>25</v>
      </c>
      <c r="K2789">
        <v>6</v>
      </c>
      <c r="L2789" t="e">
        <f t="array" ref="L2789">VLOOKUP(J2789:$J$3871&amp;K2789:$K$3871,CHOOSE({1,2},#REF!&amp;#REF!,#REF!),2,0)</f>
        <v>#N/A</v>
      </c>
      <c r="M2789">
        <v>-15</v>
      </c>
      <c r="N2789">
        <v>0</v>
      </c>
      <c r="O2789" t="s">
        <v>7</v>
      </c>
      <c r="P2789">
        <v>1</v>
      </c>
      <c r="Q2789">
        <v>1</v>
      </c>
      <c r="R2789">
        <v>0</v>
      </c>
      <c r="S2789">
        <v>1</v>
      </c>
      <c r="T2789">
        <v>1</v>
      </c>
      <c r="U2789">
        <v>0</v>
      </c>
      <c r="V2789">
        <v>0</v>
      </c>
      <c r="W2789">
        <v>1</v>
      </c>
      <c r="X2789">
        <v>1</v>
      </c>
      <c r="Y2789">
        <v>0</v>
      </c>
      <c r="Z2789">
        <v>0</v>
      </c>
      <c r="AA2789" t="s">
        <v>3245</v>
      </c>
      <c r="AB2789" t="s">
        <v>340</v>
      </c>
      <c r="AC2789" t="s">
        <v>3245</v>
      </c>
      <c r="AD2789" t="e">
        <f>VLOOKUP(AB2789,#REF!,2,FALSE)</f>
        <v>#REF!</v>
      </c>
      <c r="AE2789" t="e">
        <f>RIGHT(#REF!,(FIND("Complex",#REF!,1)-9))</f>
        <v>#REF!</v>
      </c>
    </row>
    <row r="2790" spans="1:31" x14ac:dyDescent="0.25">
      <c r="A2790">
        <v>2847</v>
      </c>
      <c r="B2790" t="s">
        <v>86</v>
      </c>
      <c r="C2790">
        <v>1</v>
      </c>
      <c r="D2790">
        <v>988</v>
      </c>
      <c r="E2790">
        <v>2847</v>
      </c>
      <c r="F2790">
        <v>6350401</v>
      </c>
      <c r="G2790">
        <v>6438600</v>
      </c>
      <c r="H2790">
        <f t="shared" si="86"/>
        <v>144.00002267573697</v>
      </c>
      <c r="I2790">
        <f t="shared" si="87"/>
        <v>146</v>
      </c>
      <c r="J2790" t="s">
        <v>25</v>
      </c>
      <c r="K2790">
        <v>6</v>
      </c>
      <c r="L2790" t="e">
        <f t="array" ref="L2790">VLOOKUP(J2790:$J$3871&amp;K2790:$K$3871,CHOOSE({1,2},#REF!&amp;#REF!,#REF!),2,0)</f>
        <v>#N/A</v>
      </c>
      <c r="M2790">
        <v>-15</v>
      </c>
      <c r="N2790">
        <v>0</v>
      </c>
      <c r="O2790" t="s">
        <v>7</v>
      </c>
      <c r="P2790">
        <v>1</v>
      </c>
      <c r="Q2790">
        <v>1</v>
      </c>
      <c r="R2790">
        <v>0</v>
      </c>
      <c r="S2790">
        <v>1</v>
      </c>
      <c r="T2790">
        <v>1</v>
      </c>
      <c r="U2790">
        <v>0</v>
      </c>
      <c r="V2790">
        <v>0</v>
      </c>
      <c r="W2790">
        <v>1</v>
      </c>
      <c r="X2790">
        <v>1</v>
      </c>
      <c r="Y2790">
        <v>0</v>
      </c>
      <c r="Z2790">
        <v>0</v>
      </c>
      <c r="AA2790" t="s">
        <v>3255</v>
      </c>
      <c r="AB2790" t="s">
        <v>341</v>
      </c>
      <c r="AC2790" t="s">
        <v>3255</v>
      </c>
      <c r="AD2790" t="e">
        <f>VLOOKUP(AB2790,#REF!,2,FALSE)</f>
        <v>#REF!</v>
      </c>
      <c r="AE2790" t="e">
        <f>RIGHT(#REF!,(FIND("Complex",#REF!,1)-8))</f>
        <v>#REF!</v>
      </c>
    </row>
    <row r="2791" spans="1:31" x14ac:dyDescent="0.25">
      <c r="A2791">
        <v>3143</v>
      </c>
      <c r="B2791" t="s">
        <v>86</v>
      </c>
      <c r="C2791">
        <v>1</v>
      </c>
      <c r="D2791">
        <v>1047</v>
      </c>
      <c r="E2791">
        <v>3143</v>
      </c>
      <c r="F2791">
        <v>617401</v>
      </c>
      <c r="G2791">
        <v>705600</v>
      </c>
      <c r="H2791">
        <f t="shared" si="86"/>
        <v>14.000022675736961</v>
      </c>
      <c r="I2791">
        <f t="shared" si="87"/>
        <v>16</v>
      </c>
      <c r="J2791" t="s">
        <v>25</v>
      </c>
      <c r="K2791">
        <v>6</v>
      </c>
      <c r="L2791" t="e">
        <f t="array" ref="L2791">VLOOKUP(J2791:$J$3871&amp;K2791:$K$3871,CHOOSE({1,2},#REF!&amp;#REF!,#REF!),2,0)</f>
        <v>#N/A</v>
      </c>
      <c r="M2791">
        <v>-15</v>
      </c>
      <c r="N2791">
        <v>0</v>
      </c>
      <c r="O2791" t="s">
        <v>7</v>
      </c>
      <c r="P2791">
        <v>1</v>
      </c>
      <c r="Q2791">
        <v>1</v>
      </c>
      <c r="R2791">
        <v>0</v>
      </c>
      <c r="S2791">
        <v>1</v>
      </c>
      <c r="T2791">
        <v>1</v>
      </c>
      <c r="U2791">
        <v>0</v>
      </c>
      <c r="V2791">
        <v>0</v>
      </c>
      <c r="W2791">
        <v>1</v>
      </c>
      <c r="X2791">
        <v>1</v>
      </c>
      <c r="Y2791">
        <v>0</v>
      </c>
      <c r="Z2791">
        <v>0</v>
      </c>
      <c r="AA2791" t="s">
        <v>3271</v>
      </c>
      <c r="AB2791" t="s">
        <v>342</v>
      </c>
      <c r="AC2791" t="s">
        <v>3271</v>
      </c>
      <c r="AD2791" t="e">
        <f>VLOOKUP(AB2791,#REF!,2,FALSE)</f>
        <v>#REF!</v>
      </c>
      <c r="AE2791" t="e">
        <f>RIGHT(#REF!,(FIND("Complex",#REF!,1)-10))</f>
        <v>#REF!</v>
      </c>
    </row>
    <row r="2792" spans="1:31" x14ac:dyDescent="0.25">
      <c r="A2792">
        <v>3203</v>
      </c>
      <c r="B2792" t="s">
        <v>86</v>
      </c>
      <c r="C2792">
        <v>1</v>
      </c>
      <c r="D2792">
        <v>1056</v>
      </c>
      <c r="E2792">
        <v>3203</v>
      </c>
      <c r="F2792">
        <v>1</v>
      </c>
      <c r="G2792">
        <v>88200</v>
      </c>
      <c r="H2792">
        <f t="shared" si="86"/>
        <v>2.2675736961451248E-5</v>
      </c>
      <c r="I2792">
        <f t="shared" si="87"/>
        <v>2</v>
      </c>
      <c r="J2792" t="s">
        <v>25</v>
      </c>
      <c r="K2792">
        <v>6</v>
      </c>
      <c r="L2792" t="e">
        <f t="array" ref="L2792">VLOOKUP(J2792:$J$3871&amp;K2792:$K$3871,CHOOSE({1,2},#REF!&amp;#REF!,#REF!),2,0)</f>
        <v>#N/A</v>
      </c>
      <c r="M2792">
        <v>-15</v>
      </c>
      <c r="N2792">
        <v>0</v>
      </c>
      <c r="O2792" t="s">
        <v>7</v>
      </c>
      <c r="P2792">
        <v>1</v>
      </c>
      <c r="Q2792">
        <v>1</v>
      </c>
      <c r="R2792">
        <v>0</v>
      </c>
      <c r="S2792">
        <v>1</v>
      </c>
      <c r="T2792">
        <v>1</v>
      </c>
      <c r="U2792">
        <v>0</v>
      </c>
      <c r="V2792">
        <v>0</v>
      </c>
      <c r="W2792">
        <v>1</v>
      </c>
      <c r="X2792">
        <v>1</v>
      </c>
      <c r="Y2792">
        <v>0</v>
      </c>
      <c r="Z2792">
        <v>0</v>
      </c>
      <c r="AA2792" t="s">
        <v>3500</v>
      </c>
      <c r="AB2792" t="s">
        <v>6315</v>
      </c>
      <c r="AC2792" t="s">
        <v>3500</v>
      </c>
      <c r="AD2792" t="e">
        <f>VLOOKUP(AB2792,#REF!,2,FALSE)</f>
        <v>#REF!</v>
      </c>
      <c r="AE2792" t="e">
        <f>RIGHT(#REF!,(FIND("Complex",#REF!,1)-11))</f>
        <v>#REF!</v>
      </c>
    </row>
    <row r="2793" spans="1:31" x14ac:dyDescent="0.25">
      <c r="A2793">
        <v>2950</v>
      </c>
      <c r="B2793" t="s">
        <v>48</v>
      </c>
      <c r="C2793">
        <v>2</v>
      </c>
      <c r="D2793">
        <v>1009</v>
      </c>
      <c r="E2793">
        <v>2950</v>
      </c>
      <c r="F2793">
        <v>4057201</v>
      </c>
      <c r="G2793">
        <v>4145400</v>
      </c>
      <c r="H2793">
        <f t="shared" si="86"/>
        <v>92.000022675736957</v>
      </c>
      <c r="I2793">
        <f t="shared" si="87"/>
        <v>94</v>
      </c>
      <c r="J2793" t="s">
        <v>25</v>
      </c>
      <c r="K2793">
        <v>6</v>
      </c>
      <c r="L2793" t="e">
        <f t="array" ref="L2793">VLOOKUP(J2793:$J$3871&amp;K2793:$K$3871,CHOOSE({1,2},#REF!&amp;#REF!,#REF!),2,0)</f>
        <v>#N/A</v>
      </c>
      <c r="M2793">
        <v>-15</v>
      </c>
      <c r="N2793">
        <v>0</v>
      </c>
      <c r="O2793" t="s">
        <v>7</v>
      </c>
      <c r="P2793">
        <v>1</v>
      </c>
      <c r="Q2793">
        <v>1</v>
      </c>
      <c r="R2793">
        <v>1</v>
      </c>
      <c r="S2793">
        <v>0</v>
      </c>
      <c r="T2793">
        <v>1</v>
      </c>
      <c r="U2793">
        <v>0</v>
      </c>
      <c r="V2793">
        <v>0</v>
      </c>
      <c r="W2793">
        <v>1</v>
      </c>
      <c r="X2793">
        <v>1</v>
      </c>
      <c r="Y2793">
        <v>0</v>
      </c>
      <c r="Z2793">
        <v>0</v>
      </c>
      <c r="AA2793" t="s">
        <v>2649</v>
      </c>
      <c r="AB2793" t="s">
        <v>362</v>
      </c>
      <c r="AC2793" t="s">
        <v>2649</v>
      </c>
      <c r="AD2793" t="e">
        <f>VLOOKUP(AB2793,#REF!,2,FALSE)</f>
        <v>#REF!</v>
      </c>
      <c r="AE2793" t="e">
        <f>RIGHT(#REF!,(FIND("Complex",#REF!,1)-10))</f>
        <v>#REF!</v>
      </c>
    </row>
    <row r="2794" spans="1:31" x14ac:dyDescent="0.25">
      <c r="A2794">
        <v>2172</v>
      </c>
      <c r="B2794" t="s">
        <v>48</v>
      </c>
      <c r="C2794">
        <v>2</v>
      </c>
      <c r="D2794">
        <v>905</v>
      </c>
      <c r="E2794">
        <v>2172</v>
      </c>
      <c r="F2794">
        <v>5292001</v>
      </c>
      <c r="G2794">
        <v>5380200</v>
      </c>
      <c r="H2794">
        <f t="shared" si="86"/>
        <v>120.00002267573696</v>
      </c>
      <c r="I2794">
        <f t="shared" si="87"/>
        <v>122</v>
      </c>
      <c r="J2794" t="s">
        <v>25</v>
      </c>
      <c r="K2794">
        <v>6</v>
      </c>
      <c r="L2794" t="e">
        <f t="array" ref="L2794">VLOOKUP(J2794:$J$3871&amp;K2794:$K$3871,CHOOSE({1,2},#REF!&amp;#REF!,#REF!),2,0)</f>
        <v>#N/A</v>
      </c>
      <c r="M2794">
        <v>-15</v>
      </c>
      <c r="N2794">
        <v>0</v>
      </c>
      <c r="O2794" t="s">
        <v>7</v>
      </c>
      <c r="P2794">
        <v>1</v>
      </c>
      <c r="Q2794">
        <v>1</v>
      </c>
      <c r="R2794">
        <v>1</v>
      </c>
      <c r="S2794">
        <v>0</v>
      </c>
      <c r="T2794">
        <v>1</v>
      </c>
      <c r="U2794">
        <v>0</v>
      </c>
      <c r="V2794">
        <v>0</v>
      </c>
      <c r="W2794">
        <v>1</v>
      </c>
      <c r="X2794">
        <v>1</v>
      </c>
      <c r="Y2794">
        <v>0</v>
      </c>
      <c r="Z2794">
        <v>0</v>
      </c>
      <c r="AA2794" t="s">
        <v>3386</v>
      </c>
      <c r="AB2794" t="s">
        <v>363</v>
      </c>
      <c r="AC2794" t="s">
        <v>3386</v>
      </c>
      <c r="AD2794" t="e">
        <f>VLOOKUP(AB2794,#REF!,2,FALSE)</f>
        <v>#REF!</v>
      </c>
      <c r="AE2794" t="e">
        <f>RIGHT(#REF!,(FIND("Complex",#REF!,1)-8))</f>
        <v>#REF!</v>
      </c>
    </row>
    <row r="2795" spans="1:31" x14ac:dyDescent="0.25">
      <c r="A2795">
        <v>1094</v>
      </c>
      <c r="B2795" t="s">
        <v>48</v>
      </c>
      <c r="C2795">
        <v>2</v>
      </c>
      <c r="D2795">
        <v>485</v>
      </c>
      <c r="E2795">
        <v>1094</v>
      </c>
      <c r="F2795">
        <v>4851001</v>
      </c>
      <c r="G2795">
        <v>4939200</v>
      </c>
      <c r="H2795">
        <f t="shared" si="86"/>
        <v>110.00002267573696</v>
      </c>
      <c r="I2795">
        <f t="shared" si="87"/>
        <v>112</v>
      </c>
      <c r="J2795" t="s">
        <v>25</v>
      </c>
      <c r="K2795">
        <v>6</v>
      </c>
      <c r="L2795" t="e">
        <f t="array" ref="L2795">VLOOKUP(J2795:$J$3871&amp;K2795:$K$3871,CHOOSE({1,2},#REF!&amp;#REF!,#REF!),2,0)</f>
        <v>#N/A</v>
      </c>
      <c r="M2795">
        <v>-15</v>
      </c>
      <c r="N2795">
        <v>0</v>
      </c>
      <c r="O2795" t="s">
        <v>7</v>
      </c>
      <c r="P2795">
        <v>1</v>
      </c>
      <c r="Q2795">
        <v>1</v>
      </c>
      <c r="R2795">
        <v>1</v>
      </c>
      <c r="S2795">
        <v>0</v>
      </c>
      <c r="T2795">
        <v>1</v>
      </c>
      <c r="U2795">
        <v>0</v>
      </c>
      <c r="V2795">
        <v>0</v>
      </c>
      <c r="W2795">
        <v>1</v>
      </c>
      <c r="X2795">
        <v>1</v>
      </c>
      <c r="Y2795">
        <v>0</v>
      </c>
      <c r="Z2795">
        <v>0</v>
      </c>
      <c r="AA2795" t="s">
        <v>3450</v>
      </c>
      <c r="AB2795" t="s">
        <v>364</v>
      </c>
      <c r="AC2795" t="s">
        <v>3450</v>
      </c>
      <c r="AD2795" t="e">
        <f>VLOOKUP(AB2795,#REF!,2,FALSE)</f>
        <v>#REF!</v>
      </c>
      <c r="AE2795" t="e">
        <f>RIGHT(#REF!,(FIND("Complex",#REF!,1)-8))</f>
        <v>#REF!</v>
      </c>
    </row>
    <row r="2796" spans="1:31" x14ac:dyDescent="0.25">
      <c r="A2796">
        <v>2061</v>
      </c>
      <c r="B2796" t="s">
        <v>96</v>
      </c>
      <c r="C2796">
        <v>3</v>
      </c>
      <c r="D2796">
        <v>876</v>
      </c>
      <c r="E2796">
        <v>2061</v>
      </c>
      <c r="F2796">
        <v>6791401</v>
      </c>
      <c r="G2796">
        <v>6879600</v>
      </c>
      <c r="H2796">
        <f t="shared" si="86"/>
        <v>154.00002267573697</v>
      </c>
      <c r="I2796">
        <f t="shared" si="87"/>
        <v>156</v>
      </c>
      <c r="J2796" t="s">
        <v>25</v>
      </c>
      <c r="K2796">
        <v>6</v>
      </c>
      <c r="L2796" t="e">
        <f t="array" ref="L2796">VLOOKUP(J2796:$J$3871&amp;K2796:$K$3871,CHOOSE({1,2},#REF!&amp;#REF!,#REF!),2,0)</f>
        <v>#N/A</v>
      </c>
      <c r="M2796">
        <v>-15</v>
      </c>
      <c r="N2796">
        <v>0</v>
      </c>
      <c r="O2796" t="s">
        <v>7</v>
      </c>
      <c r="P2796">
        <v>0</v>
      </c>
      <c r="Q2796">
        <v>1</v>
      </c>
      <c r="R2796">
        <v>1</v>
      </c>
      <c r="S2796">
        <v>0</v>
      </c>
      <c r="T2796">
        <v>0</v>
      </c>
      <c r="U2796">
        <v>1</v>
      </c>
      <c r="V2796">
        <v>1</v>
      </c>
      <c r="W2796">
        <v>1</v>
      </c>
      <c r="X2796">
        <v>1</v>
      </c>
      <c r="Y2796">
        <v>0</v>
      </c>
      <c r="Z2796">
        <v>0</v>
      </c>
      <c r="AA2796" t="s">
        <v>3213</v>
      </c>
      <c r="AB2796" t="s">
        <v>6285</v>
      </c>
      <c r="AC2796" t="s">
        <v>3213</v>
      </c>
      <c r="AD2796" t="e">
        <f>VLOOKUP(AB2796,#REF!,2,FALSE)</f>
        <v>#REF!</v>
      </c>
      <c r="AE2796" t="e">
        <f>RIGHT(#REF!,(FIND("Complex",#REF!,1)-8))</f>
        <v>#REF!</v>
      </c>
    </row>
    <row r="2797" spans="1:31" x14ac:dyDescent="0.25">
      <c r="A2797">
        <v>57</v>
      </c>
      <c r="B2797" t="s">
        <v>96</v>
      </c>
      <c r="C2797">
        <v>3</v>
      </c>
      <c r="D2797">
        <v>30</v>
      </c>
      <c r="E2797">
        <v>57</v>
      </c>
      <c r="F2797">
        <v>6526801</v>
      </c>
      <c r="G2797">
        <v>6615000</v>
      </c>
      <c r="H2797">
        <f t="shared" si="86"/>
        <v>148.00002267573697</v>
      </c>
      <c r="I2797">
        <f t="shared" si="87"/>
        <v>150</v>
      </c>
      <c r="J2797" t="s">
        <v>25</v>
      </c>
      <c r="K2797">
        <v>6</v>
      </c>
      <c r="L2797" t="e">
        <f t="array" ref="L2797">VLOOKUP(J2797:$J$3871&amp;K2797:$K$3871,CHOOSE({1,2},#REF!&amp;#REF!,#REF!),2,0)</f>
        <v>#N/A</v>
      </c>
      <c r="M2797">
        <v>-15</v>
      </c>
      <c r="N2797">
        <v>0</v>
      </c>
      <c r="O2797" t="s">
        <v>7</v>
      </c>
      <c r="P2797">
        <v>0</v>
      </c>
      <c r="Q2797">
        <v>1</v>
      </c>
      <c r="R2797">
        <v>1</v>
      </c>
      <c r="S2797">
        <v>0</v>
      </c>
      <c r="T2797">
        <v>0</v>
      </c>
      <c r="U2797">
        <v>1</v>
      </c>
      <c r="V2797">
        <v>1</v>
      </c>
      <c r="W2797">
        <v>1</v>
      </c>
      <c r="X2797">
        <v>1</v>
      </c>
      <c r="Y2797">
        <v>0</v>
      </c>
      <c r="Z2797">
        <v>0</v>
      </c>
      <c r="AA2797" t="s">
        <v>3233</v>
      </c>
      <c r="AB2797" t="s">
        <v>6287</v>
      </c>
      <c r="AC2797" t="s">
        <v>3233</v>
      </c>
      <c r="AD2797" t="e">
        <f>VLOOKUP(AB2797,#REF!,2,FALSE)</f>
        <v>#REF!</v>
      </c>
      <c r="AE2797" t="e">
        <f>RIGHT(#REF!,(FIND("Complex",#REF!,1)-6))</f>
        <v>#REF!</v>
      </c>
    </row>
    <row r="2798" spans="1:31" x14ac:dyDescent="0.25">
      <c r="A2798">
        <v>3348</v>
      </c>
      <c r="B2798" t="s">
        <v>96</v>
      </c>
      <c r="C2798">
        <v>3</v>
      </c>
      <c r="D2798">
        <v>1082</v>
      </c>
      <c r="E2798">
        <v>3348</v>
      </c>
      <c r="F2798">
        <v>6350401</v>
      </c>
      <c r="G2798">
        <v>6438600</v>
      </c>
      <c r="H2798">
        <f t="shared" si="86"/>
        <v>144.00002267573697</v>
      </c>
      <c r="I2798">
        <f t="shared" si="87"/>
        <v>146</v>
      </c>
      <c r="J2798" t="s">
        <v>25</v>
      </c>
      <c r="K2798">
        <v>6</v>
      </c>
      <c r="L2798" t="e">
        <f t="array" ref="L2798">VLOOKUP(J2798:$J$3871&amp;K2798:$K$3871,CHOOSE({1,2},#REF!&amp;#REF!,#REF!),2,0)</f>
        <v>#N/A</v>
      </c>
      <c r="M2798">
        <v>-15</v>
      </c>
      <c r="N2798">
        <v>0</v>
      </c>
      <c r="O2798" t="s">
        <v>7</v>
      </c>
      <c r="P2798">
        <v>0</v>
      </c>
      <c r="Q2798">
        <v>1</v>
      </c>
      <c r="R2798">
        <v>1</v>
      </c>
      <c r="S2798">
        <v>0</v>
      </c>
      <c r="T2798">
        <v>0</v>
      </c>
      <c r="U2798">
        <v>1</v>
      </c>
      <c r="V2798">
        <v>1</v>
      </c>
      <c r="W2798">
        <v>1</v>
      </c>
      <c r="X2798">
        <v>1</v>
      </c>
      <c r="Y2798">
        <v>0</v>
      </c>
      <c r="Z2798">
        <v>0</v>
      </c>
      <c r="AA2798" t="s">
        <v>3248</v>
      </c>
      <c r="AB2798" t="s">
        <v>381</v>
      </c>
      <c r="AC2798" t="s">
        <v>3248</v>
      </c>
      <c r="AD2798" t="e">
        <f>VLOOKUP(AB2798,#REF!,2,FALSE)</f>
        <v>#REF!</v>
      </c>
      <c r="AE2798" t="e">
        <f>RIGHT(#REF!,(FIND("Complex",#REF!,1)-9))</f>
        <v>#REF!</v>
      </c>
    </row>
    <row r="2799" spans="1:31" x14ac:dyDescent="0.25">
      <c r="A2799">
        <v>1177</v>
      </c>
      <c r="B2799" t="s">
        <v>96</v>
      </c>
      <c r="C2799">
        <v>3</v>
      </c>
      <c r="D2799">
        <v>522</v>
      </c>
      <c r="E2799">
        <v>1177</v>
      </c>
      <c r="F2799">
        <v>6262201</v>
      </c>
      <c r="G2799">
        <v>6350400</v>
      </c>
      <c r="H2799">
        <f t="shared" si="86"/>
        <v>142.00002267573697</v>
      </c>
      <c r="I2799">
        <f t="shared" si="87"/>
        <v>144</v>
      </c>
      <c r="J2799" t="s">
        <v>25</v>
      </c>
      <c r="K2799">
        <v>6</v>
      </c>
      <c r="L2799" t="e">
        <f t="array" ref="L2799">VLOOKUP(J2799:$J$3871&amp;K2799:$K$3871,CHOOSE({1,2},#REF!&amp;#REF!,#REF!),2,0)</f>
        <v>#N/A</v>
      </c>
      <c r="M2799">
        <v>-15</v>
      </c>
      <c r="N2799">
        <v>0</v>
      </c>
      <c r="O2799" t="s">
        <v>7</v>
      </c>
      <c r="P2799">
        <v>0</v>
      </c>
      <c r="Q2799">
        <v>1</v>
      </c>
      <c r="R2799">
        <v>1</v>
      </c>
      <c r="S2799">
        <v>0</v>
      </c>
      <c r="T2799">
        <v>0</v>
      </c>
      <c r="U2799">
        <v>1</v>
      </c>
      <c r="V2799">
        <v>1</v>
      </c>
      <c r="W2799">
        <v>1</v>
      </c>
      <c r="X2799">
        <v>1</v>
      </c>
      <c r="Y2799">
        <v>0</v>
      </c>
      <c r="Z2799">
        <v>0</v>
      </c>
      <c r="AA2799" t="s">
        <v>3257</v>
      </c>
      <c r="AB2799" t="s">
        <v>382</v>
      </c>
      <c r="AC2799" t="s">
        <v>3257</v>
      </c>
      <c r="AD2799" t="e">
        <f>VLOOKUP(AB2799,#REF!,2,FALSE)</f>
        <v>#REF!</v>
      </c>
      <c r="AE2799" t="e">
        <f>RIGHT(#REF!,(FIND("Complex",#REF!,1)-8))</f>
        <v>#REF!</v>
      </c>
    </row>
    <row r="2800" spans="1:31" x14ac:dyDescent="0.25">
      <c r="A2800">
        <v>2627</v>
      </c>
      <c r="B2800" t="s">
        <v>96</v>
      </c>
      <c r="C2800">
        <v>3</v>
      </c>
      <c r="D2800">
        <v>970</v>
      </c>
      <c r="E2800">
        <v>2627</v>
      </c>
      <c r="F2800">
        <v>5997601</v>
      </c>
      <c r="G2800">
        <v>6085800</v>
      </c>
      <c r="H2800">
        <f t="shared" si="86"/>
        <v>136.00002267573697</v>
      </c>
      <c r="I2800">
        <f t="shared" si="87"/>
        <v>138</v>
      </c>
      <c r="J2800" t="s">
        <v>25</v>
      </c>
      <c r="K2800">
        <v>6</v>
      </c>
      <c r="L2800" t="e">
        <f t="array" ref="L2800">VLOOKUP(J2800:$J$3871&amp;K2800:$K$3871,CHOOSE({1,2},#REF!&amp;#REF!,#REF!),2,0)</f>
        <v>#N/A</v>
      </c>
      <c r="M2800">
        <v>-15</v>
      </c>
      <c r="N2800">
        <v>0</v>
      </c>
      <c r="O2800" t="s">
        <v>7</v>
      </c>
      <c r="P2800">
        <v>0</v>
      </c>
      <c r="Q2800">
        <v>1</v>
      </c>
      <c r="R2800">
        <v>1</v>
      </c>
      <c r="S2800">
        <v>0</v>
      </c>
      <c r="T2800">
        <v>0</v>
      </c>
      <c r="U2800">
        <v>1</v>
      </c>
      <c r="V2800">
        <v>1</v>
      </c>
      <c r="W2800">
        <v>1</v>
      </c>
      <c r="X2800">
        <v>1</v>
      </c>
      <c r="Y2800">
        <v>0</v>
      </c>
      <c r="Z2800">
        <v>0</v>
      </c>
      <c r="AA2800" t="s">
        <v>3286</v>
      </c>
      <c r="AB2800" t="s">
        <v>6295</v>
      </c>
      <c r="AC2800" t="s">
        <v>3286</v>
      </c>
      <c r="AD2800" t="e">
        <f>VLOOKUP(AB2800,#REF!,2,FALSE)</f>
        <v>#REF!</v>
      </c>
      <c r="AE2800" t="e">
        <f>RIGHT(#REF!,(FIND("Complex",#REF!,1)-8))</f>
        <v>#REF!</v>
      </c>
    </row>
    <row r="2801" spans="1:31" x14ac:dyDescent="0.25">
      <c r="A2801">
        <v>2997</v>
      </c>
      <c r="B2801" t="s">
        <v>96</v>
      </c>
      <c r="C2801">
        <v>3</v>
      </c>
      <c r="D2801">
        <v>1017</v>
      </c>
      <c r="E2801">
        <v>2997</v>
      </c>
      <c r="F2801">
        <v>5556601</v>
      </c>
      <c r="G2801">
        <v>5644800</v>
      </c>
      <c r="H2801">
        <f t="shared" si="86"/>
        <v>126.00002267573696</v>
      </c>
      <c r="I2801">
        <f t="shared" si="87"/>
        <v>128</v>
      </c>
      <c r="J2801" t="s">
        <v>25</v>
      </c>
      <c r="K2801">
        <v>6</v>
      </c>
      <c r="L2801" t="e">
        <f t="array" ref="L2801">VLOOKUP(J2801:$J$3871&amp;K2801:$K$3871,CHOOSE({1,2},#REF!&amp;#REF!,#REF!),2,0)</f>
        <v>#N/A</v>
      </c>
      <c r="M2801">
        <v>-15</v>
      </c>
      <c r="N2801">
        <v>0</v>
      </c>
      <c r="O2801" t="s">
        <v>7</v>
      </c>
      <c r="P2801">
        <v>0</v>
      </c>
      <c r="Q2801">
        <v>1</v>
      </c>
      <c r="R2801">
        <v>1</v>
      </c>
      <c r="S2801">
        <v>0</v>
      </c>
      <c r="T2801">
        <v>0</v>
      </c>
      <c r="U2801">
        <v>1</v>
      </c>
      <c r="V2801">
        <v>1</v>
      </c>
      <c r="W2801">
        <v>1</v>
      </c>
      <c r="X2801">
        <v>1</v>
      </c>
      <c r="Y2801">
        <v>0</v>
      </c>
      <c r="Z2801">
        <v>0</v>
      </c>
      <c r="AA2801" t="s">
        <v>3350</v>
      </c>
      <c r="AB2801" t="s">
        <v>383</v>
      </c>
      <c r="AC2801" t="s">
        <v>3350</v>
      </c>
      <c r="AD2801" t="e">
        <f>VLOOKUP(AB2801,#REF!,2,FALSE)</f>
        <v>#REF!</v>
      </c>
      <c r="AE2801" t="e">
        <f>RIGHT(#REF!,(FIND("Complex",#REF!,1)-9))</f>
        <v>#REF!</v>
      </c>
    </row>
    <row r="2802" spans="1:31" x14ac:dyDescent="0.25">
      <c r="A2802">
        <v>1251</v>
      </c>
      <c r="B2802" t="s">
        <v>96</v>
      </c>
      <c r="C2802">
        <v>3</v>
      </c>
      <c r="D2802">
        <v>548</v>
      </c>
      <c r="E2802">
        <v>1251</v>
      </c>
      <c r="F2802">
        <v>5380201</v>
      </c>
      <c r="G2802">
        <v>5468400</v>
      </c>
      <c r="H2802">
        <f t="shared" si="86"/>
        <v>122.00002267573696</v>
      </c>
      <c r="I2802">
        <f t="shared" si="87"/>
        <v>124</v>
      </c>
      <c r="J2802" t="s">
        <v>25</v>
      </c>
      <c r="K2802">
        <v>6</v>
      </c>
      <c r="L2802" t="e">
        <f t="array" ref="L2802">VLOOKUP(J2802:$J$3871&amp;K2802:$K$3871,CHOOSE({1,2},#REF!&amp;#REF!,#REF!),2,0)</f>
        <v>#N/A</v>
      </c>
      <c r="M2802">
        <v>-15</v>
      </c>
      <c r="N2802">
        <v>0</v>
      </c>
      <c r="O2802" t="s">
        <v>7</v>
      </c>
      <c r="P2802">
        <v>0</v>
      </c>
      <c r="Q2802">
        <v>1</v>
      </c>
      <c r="R2802">
        <v>1</v>
      </c>
      <c r="S2802">
        <v>0</v>
      </c>
      <c r="T2802">
        <v>0</v>
      </c>
      <c r="U2802">
        <v>1</v>
      </c>
      <c r="V2802">
        <v>1</v>
      </c>
      <c r="W2802">
        <v>1</v>
      </c>
      <c r="X2802">
        <v>1</v>
      </c>
      <c r="Y2802">
        <v>0</v>
      </c>
      <c r="Z2802">
        <v>0</v>
      </c>
      <c r="AA2802" t="s">
        <v>3371</v>
      </c>
      <c r="AB2802" t="s">
        <v>6306</v>
      </c>
      <c r="AC2802" t="s">
        <v>3371</v>
      </c>
      <c r="AD2802" t="e">
        <f>VLOOKUP(AB2802,#REF!,2,FALSE)</f>
        <v>#REF!</v>
      </c>
      <c r="AE2802" t="e">
        <f>RIGHT(#REF!,(FIND("Complex",#REF!,1)-8))</f>
        <v>#REF!</v>
      </c>
    </row>
    <row r="2803" spans="1:31" x14ac:dyDescent="0.25">
      <c r="A2803">
        <v>3026</v>
      </c>
      <c r="B2803" t="s">
        <v>96</v>
      </c>
      <c r="C2803">
        <v>3</v>
      </c>
      <c r="D2803">
        <v>1026</v>
      </c>
      <c r="E2803">
        <v>3026</v>
      </c>
      <c r="F2803">
        <v>5292001</v>
      </c>
      <c r="G2803">
        <v>5380200</v>
      </c>
      <c r="H2803">
        <f t="shared" si="86"/>
        <v>120.00002267573696</v>
      </c>
      <c r="I2803">
        <f t="shared" si="87"/>
        <v>122</v>
      </c>
      <c r="J2803" t="s">
        <v>25</v>
      </c>
      <c r="K2803">
        <v>6</v>
      </c>
      <c r="L2803" t="e">
        <f t="array" ref="L2803">VLOOKUP(J2803:$J$3871&amp;K2803:$K$3871,CHOOSE({1,2},#REF!&amp;#REF!,#REF!),2,0)</f>
        <v>#N/A</v>
      </c>
      <c r="M2803">
        <v>-15</v>
      </c>
      <c r="N2803">
        <v>0</v>
      </c>
      <c r="O2803" t="s">
        <v>7</v>
      </c>
      <c r="P2803">
        <v>0</v>
      </c>
      <c r="Q2803">
        <v>1</v>
      </c>
      <c r="R2803">
        <v>1</v>
      </c>
      <c r="S2803">
        <v>0</v>
      </c>
      <c r="T2803">
        <v>0</v>
      </c>
      <c r="U2803">
        <v>1</v>
      </c>
      <c r="V2803">
        <v>1</v>
      </c>
      <c r="W2803">
        <v>1</v>
      </c>
      <c r="X2803">
        <v>1</v>
      </c>
      <c r="Y2803">
        <v>0</v>
      </c>
      <c r="Z2803">
        <v>0</v>
      </c>
      <c r="AA2803" t="s">
        <v>3384</v>
      </c>
      <c r="AB2803" t="s">
        <v>384</v>
      </c>
      <c r="AC2803" t="s">
        <v>3384</v>
      </c>
      <c r="AD2803" t="e">
        <f>VLOOKUP(AB2803,#REF!,2,FALSE)</f>
        <v>#REF!</v>
      </c>
      <c r="AE2803" t="e">
        <f>RIGHT(#REF!,(FIND("Complex",#REF!,1)-9))</f>
        <v>#REF!</v>
      </c>
    </row>
    <row r="2804" spans="1:31" x14ac:dyDescent="0.25">
      <c r="A2804">
        <v>2832</v>
      </c>
      <c r="B2804" t="s">
        <v>96</v>
      </c>
      <c r="C2804">
        <v>3</v>
      </c>
      <c r="D2804">
        <v>984</v>
      </c>
      <c r="E2804">
        <v>2832</v>
      </c>
      <c r="F2804">
        <v>5203801</v>
      </c>
      <c r="G2804">
        <v>5292000</v>
      </c>
      <c r="H2804">
        <f t="shared" si="86"/>
        <v>118.00002267573696</v>
      </c>
      <c r="I2804">
        <f t="shared" si="87"/>
        <v>120</v>
      </c>
      <c r="J2804" t="s">
        <v>25</v>
      </c>
      <c r="K2804">
        <v>6</v>
      </c>
      <c r="L2804" t="e">
        <f t="array" ref="L2804">VLOOKUP(J2804:$J$3871&amp;K2804:$K$3871,CHOOSE({1,2},#REF!&amp;#REF!,#REF!),2,0)</f>
        <v>#N/A</v>
      </c>
      <c r="M2804">
        <v>-15</v>
      </c>
      <c r="N2804">
        <v>0</v>
      </c>
      <c r="O2804" t="s">
        <v>7</v>
      </c>
      <c r="P2804">
        <v>0</v>
      </c>
      <c r="Q2804">
        <v>1</v>
      </c>
      <c r="R2804">
        <v>1</v>
      </c>
      <c r="S2804">
        <v>0</v>
      </c>
      <c r="T2804">
        <v>0</v>
      </c>
      <c r="U2804">
        <v>1</v>
      </c>
      <c r="V2804">
        <v>1</v>
      </c>
      <c r="W2804">
        <v>1</v>
      </c>
      <c r="X2804">
        <v>1</v>
      </c>
      <c r="Y2804">
        <v>0</v>
      </c>
      <c r="Z2804">
        <v>0</v>
      </c>
      <c r="AA2804" t="s">
        <v>3395</v>
      </c>
      <c r="AB2804" t="s">
        <v>385</v>
      </c>
      <c r="AC2804" t="s">
        <v>3395</v>
      </c>
      <c r="AD2804" t="e">
        <f>VLOOKUP(AB2804,#REF!,2,FALSE)</f>
        <v>#REF!</v>
      </c>
      <c r="AE2804" t="e">
        <f>RIGHT(#REF!,(FIND("Complex",#REF!,1)-8))</f>
        <v>#REF!</v>
      </c>
    </row>
    <row r="2805" spans="1:31" x14ac:dyDescent="0.25">
      <c r="A2805">
        <v>3868</v>
      </c>
      <c r="B2805" t="s">
        <v>68</v>
      </c>
      <c r="C2805">
        <v>4</v>
      </c>
      <c r="D2805">
        <v>1225</v>
      </c>
      <c r="E2805">
        <v>3868</v>
      </c>
      <c r="F2805">
        <v>3880801</v>
      </c>
      <c r="G2805">
        <v>3969000</v>
      </c>
      <c r="H2805">
        <f t="shared" si="86"/>
        <v>88.000022675736957</v>
      </c>
      <c r="I2805">
        <f t="shared" si="87"/>
        <v>90</v>
      </c>
      <c r="J2805" t="s">
        <v>25</v>
      </c>
      <c r="K2805">
        <v>6</v>
      </c>
      <c r="L2805" t="e">
        <f t="array" ref="L2805">VLOOKUP(J2805:$J$3871&amp;K2805:$K$3871,CHOOSE({1,2},#REF!&amp;#REF!,#REF!),2,0)</f>
        <v>#N/A</v>
      </c>
      <c r="M2805">
        <v>-15</v>
      </c>
      <c r="N2805">
        <v>0</v>
      </c>
      <c r="O2805" t="s">
        <v>7</v>
      </c>
      <c r="P2805">
        <v>1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1</v>
      </c>
      <c r="X2805">
        <v>1</v>
      </c>
      <c r="Y2805">
        <v>0</v>
      </c>
      <c r="Z2805">
        <v>0</v>
      </c>
      <c r="AA2805" t="s">
        <v>2662</v>
      </c>
      <c r="AB2805" t="s">
        <v>6154</v>
      </c>
      <c r="AC2805" t="s">
        <v>2662</v>
      </c>
      <c r="AD2805" t="e">
        <f>VLOOKUP(AB2805,#REF!,2,FALSE)</f>
        <v>#REF!</v>
      </c>
      <c r="AE2805" t="e">
        <f>RIGHT(#REF!,(FIND("Complex",#REF!,1)-10))</f>
        <v>#REF!</v>
      </c>
    </row>
    <row r="2806" spans="1:31" x14ac:dyDescent="0.25">
      <c r="A2806">
        <v>3795</v>
      </c>
      <c r="B2806" t="s">
        <v>68</v>
      </c>
      <c r="C2806">
        <v>4</v>
      </c>
      <c r="D2806">
        <v>1205</v>
      </c>
      <c r="E2806">
        <v>3795</v>
      </c>
      <c r="F2806">
        <v>3616201</v>
      </c>
      <c r="G2806">
        <v>3704400</v>
      </c>
      <c r="H2806">
        <f t="shared" si="86"/>
        <v>82.000022675736957</v>
      </c>
      <c r="I2806">
        <f t="shared" si="87"/>
        <v>84</v>
      </c>
      <c r="J2806" t="s">
        <v>25</v>
      </c>
      <c r="K2806">
        <v>6</v>
      </c>
      <c r="L2806" t="e">
        <f t="array" ref="L2806">VLOOKUP(J2806:$J$3871&amp;K2806:$K$3871,CHOOSE({1,2},#REF!&amp;#REF!,#REF!),2,0)</f>
        <v>#N/A</v>
      </c>
      <c r="M2806">
        <v>-15</v>
      </c>
      <c r="N2806">
        <v>0</v>
      </c>
      <c r="O2806" t="s">
        <v>7</v>
      </c>
      <c r="P2806">
        <v>1</v>
      </c>
      <c r="Q2806">
        <v>1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1</v>
      </c>
      <c r="X2806">
        <v>1</v>
      </c>
      <c r="Y2806">
        <v>0</v>
      </c>
      <c r="Z2806">
        <v>0</v>
      </c>
      <c r="AA2806" t="s">
        <v>2688</v>
      </c>
      <c r="AB2806" t="s">
        <v>6158</v>
      </c>
      <c r="AC2806" t="s">
        <v>2688</v>
      </c>
      <c r="AD2806" t="e">
        <f>VLOOKUP(AB2806,#REF!,2,FALSE)</f>
        <v>#REF!</v>
      </c>
      <c r="AE2806" t="e">
        <f>RIGHT(#REF!,(FIND("Complex",#REF!,1)-10))</f>
        <v>#REF!</v>
      </c>
    </row>
    <row r="2807" spans="1:31" x14ac:dyDescent="0.25">
      <c r="A2807">
        <v>2875</v>
      </c>
      <c r="B2807" t="s">
        <v>68</v>
      </c>
      <c r="C2807">
        <v>4</v>
      </c>
      <c r="D2807">
        <v>994</v>
      </c>
      <c r="E2807">
        <v>2875</v>
      </c>
      <c r="F2807">
        <v>3263401</v>
      </c>
      <c r="G2807">
        <v>3351600</v>
      </c>
      <c r="H2807">
        <f t="shared" si="86"/>
        <v>74.000022675736957</v>
      </c>
      <c r="I2807">
        <f t="shared" si="87"/>
        <v>76</v>
      </c>
      <c r="J2807" t="s">
        <v>25</v>
      </c>
      <c r="K2807">
        <v>6</v>
      </c>
      <c r="L2807" t="e">
        <f t="array" ref="L2807">VLOOKUP(J2807:$J$3871&amp;K2807:$K$3871,CHOOSE({1,2},#REF!&amp;#REF!,#REF!),2,0)</f>
        <v>#N/A</v>
      </c>
      <c r="M2807">
        <v>-15</v>
      </c>
      <c r="N2807">
        <v>0</v>
      </c>
      <c r="O2807" t="s">
        <v>7</v>
      </c>
      <c r="P2807">
        <v>1</v>
      </c>
      <c r="Q2807">
        <v>1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1</v>
      </c>
      <c r="X2807">
        <v>1</v>
      </c>
      <c r="Y2807">
        <v>0</v>
      </c>
      <c r="Z2807">
        <v>0</v>
      </c>
      <c r="AA2807" t="s">
        <v>2725</v>
      </c>
      <c r="AB2807" t="s">
        <v>6167</v>
      </c>
      <c r="AC2807" t="s">
        <v>2725</v>
      </c>
      <c r="AD2807" t="e">
        <f>VLOOKUP(AB2807,#REF!,2,FALSE)</f>
        <v>#REF!</v>
      </c>
      <c r="AE2807" t="e">
        <f>RIGHT(#REF!,(FIND("Complex",#REF!,1)-9))</f>
        <v>#REF!</v>
      </c>
    </row>
    <row r="2808" spans="1:31" x14ac:dyDescent="0.25">
      <c r="A2808">
        <v>2378</v>
      </c>
      <c r="B2808" t="s">
        <v>68</v>
      </c>
      <c r="C2808">
        <v>4</v>
      </c>
      <c r="D2808">
        <v>950</v>
      </c>
      <c r="E2808">
        <v>2378</v>
      </c>
      <c r="F2808">
        <v>3175201</v>
      </c>
      <c r="G2808">
        <v>3263400</v>
      </c>
      <c r="H2808">
        <f t="shared" si="86"/>
        <v>72.000022675736957</v>
      </c>
      <c r="I2808">
        <f t="shared" si="87"/>
        <v>74</v>
      </c>
      <c r="J2808" t="s">
        <v>25</v>
      </c>
      <c r="K2808">
        <v>6</v>
      </c>
      <c r="L2808" t="e">
        <f t="array" ref="L2808">VLOOKUP(J2808:$J$3871&amp;K2808:$K$3871,CHOOSE({1,2},#REF!&amp;#REF!,#REF!),2,0)</f>
        <v>#N/A</v>
      </c>
      <c r="M2808">
        <v>-15</v>
      </c>
      <c r="N2808">
        <v>0</v>
      </c>
      <c r="O2808" t="s">
        <v>7</v>
      </c>
      <c r="P2808">
        <v>1</v>
      </c>
      <c r="Q2808">
        <v>1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1</v>
      </c>
      <c r="X2808">
        <v>1</v>
      </c>
      <c r="Y2808">
        <v>0</v>
      </c>
      <c r="Z2808">
        <v>0</v>
      </c>
      <c r="AA2808" t="s">
        <v>2732</v>
      </c>
      <c r="AB2808" t="s">
        <v>6170</v>
      </c>
      <c r="AC2808" t="s">
        <v>2732</v>
      </c>
      <c r="AD2808" t="e">
        <f>VLOOKUP(AB2808,#REF!,2,FALSE)</f>
        <v>#REF!</v>
      </c>
      <c r="AE2808" t="e">
        <f>RIGHT(#REF!,(FIND("Complex",#REF!,1)-9))</f>
        <v>#REF!</v>
      </c>
    </row>
    <row r="2809" spans="1:31" x14ac:dyDescent="0.25">
      <c r="A2809">
        <v>3503</v>
      </c>
      <c r="B2809" t="s">
        <v>68</v>
      </c>
      <c r="C2809">
        <v>4</v>
      </c>
      <c r="D2809">
        <v>1117</v>
      </c>
      <c r="E2809">
        <v>3503</v>
      </c>
      <c r="F2809">
        <v>2998801</v>
      </c>
      <c r="G2809">
        <v>3087000</v>
      </c>
      <c r="H2809">
        <f t="shared" si="86"/>
        <v>68.000022675736957</v>
      </c>
      <c r="I2809">
        <f t="shared" si="87"/>
        <v>70</v>
      </c>
      <c r="J2809" t="s">
        <v>25</v>
      </c>
      <c r="K2809">
        <v>6</v>
      </c>
      <c r="L2809" t="e">
        <f t="array" ref="L2809">VLOOKUP(J2809:$J$3871&amp;K2809:$K$3871,CHOOSE({1,2},#REF!&amp;#REF!,#REF!),2,0)</f>
        <v>#N/A</v>
      </c>
      <c r="M2809">
        <v>-15</v>
      </c>
      <c r="N2809">
        <v>0</v>
      </c>
      <c r="O2809" t="s">
        <v>7</v>
      </c>
      <c r="P2809">
        <v>1</v>
      </c>
      <c r="Q2809">
        <v>1</v>
      </c>
      <c r="R2809">
        <v>0</v>
      </c>
      <c r="S2809">
        <v>0</v>
      </c>
      <c r="T2809">
        <v>0</v>
      </c>
      <c r="U2809">
        <v>1</v>
      </c>
      <c r="V2809">
        <v>1</v>
      </c>
      <c r="W2809">
        <v>1</v>
      </c>
      <c r="X2809">
        <v>1</v>
      </c>
      <c r="Y2809">
        <v>0</v>
      </c>
      <c r="Z2809">
        <v>0</v>
      </c>
      <c r="AA2809" t="s">
        <v>2747</v>
      </c>
      <c r="AB2809" t="s">
        <v>6176</v>
      </c>
      <c r="AC2809" t="s">
        <v>2747</v>
      </c>
      <c r="AD2809" t="e">
        <f>VLOOKUP(AB2809,#REF!,2,FALSE)</f>
        <v>#REF!</v>
      </c>
      <c r="AE2809" t="e">
        <f>RIGHT(#REF!,(FIND("Complex",#REF!,1)-10))</f>
        <v>#REF!</v>
      </c>
    </row>
    <row r="2810" spans="1:31" x14ac:dyDescent="0.25">
      <c r="A2810">
        <v>3825</v>
      </c>
      <c r="B2810" t="s">
        <v>68</v>
      </c>
      <c r="C2810">
        <v>4</v>
      </c>
      <c r="D2810">
        <v>1215</v>
      </c>
      <c r="E2810">
        <v>3825</v>
      </c>
      <c r="F2810">
        <v>11289601</v>
      </c>
      <c r="G2810">
        <v>11377800</v>
      </c>
      <c r="H2810">
        <f t="shared" si="86"/>
        <v>256.00002267573694</v>
      </c>
      <c r="I2810">
        <f t="shared" si="87"/>
        <v>258</v>
      </c>
      <c r="J2810" t="s">
        <v>25</v>
      </c>
      <c r="K2810">
        <v>6</v>
      </c>
      <c r="L2810" t="e">
        <f t="array" ref="L2810">VLOOKUP(J2810:$J$3871&amp;K2810:$K$3871,CHOOSE({1,2},#REF!&amp;#REF!,#REF!),2,0)</f>
        <v>#N/A</v>
      </c>
      <c r="M2810">
        <v>-15</v>
      </c>
      <c r="N2810">
        <v>0</v>
      </c>
      <c r="O2810" t="s">
        <v>7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1</v>
      </c>
      <c r="V2810">
        <v>1</v>
      </c>
      <c r="W2810">
        <v>1</v>
      </c>
      <c r="X2810">
        <v>1</v>
      </c>
      <c r="Y2810">
        <v>0</v>
      </c>
      <c r="Z2810">
        <v>1</v>
      </c>
      <c r="AA2810" t="s">
        <v>2925</v>
      </c>
      <c r="AB2810" t="s">
        <v>6224</v>
      </c>
      <c r="AC2810" t="s">
        <v>2925</v>
      </c>
      <c r="AD2810" t="e">
        <f>VLOOKUP(AB2810,#REF!,2,FALSE)</f>
        <v>#REF!</v>
      </c>
      <c r="AE2810" t="e">
        <f>RIGHT(#REF!,(FIND("Complex",#REF!,1)-9))</f>
        <v>#REF!</v>
      </c>
    </row>
    <row r="2811" spans="1:31" x14ac:dyDescent="0.25">
      <c r="A2811">
        <v>3853</v>
      </c>
      <c r="B2811" t="s">
        <v>68</v>
      </c>
      <c r="C2811">
        <v>4</v>
      </c>
      <c r="D2811">
        <v>1222</v>
      </c>
      <c r="E2811">
        <v>3853</v>
      </c>
      <c r="F2811">
        <v>11201401</v>
      </c>
      <c r="G2811">
        <v>11289600</v>
      </c>
      <c r="H2811">
        <f t="shared" si="86"/>
        <v>254.00002267573697</v>
      </c>
      <c r="I2811">
        <f t="shared" si="87"/>
        <v>256</v>
      </c>
      <c r="J2811" t="s">
        <v>25</v>
      </c>
      <c r="K2811">
        <v>6</v>
      </c>
      <c r="L2811" t="e">
        <f t="array" ref="L2811">VLOOKUP(J2811:$J$3871&amp;K2811:$K$3871,CHOOSE({1,2},#REF!&amp;#REF!,#REF!),2,0)</f>
        <v>#N/A</v>
      </c>
      <c r="M2811">
        <v>-15</v>
      </c>
      <c r="N2811">
        <v>0</v>
      </c>
      <c r="O2811" t="s">
        <v>7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1</v>
      </c>
      <c r="V2811">
        <v>1</v>
      </c>
      <c r="W2811">
        <v>1</v>
      </c>
      <c r="X2811">
        <v>1</v>
      </c>
      <c r="Y2811">
        <v>0</v>
      </c>
      <c r="Z2811">
        <v>1</v>
      </c>
      <c r="AA2811" t="s">
        <v>2928</v>
      </c>
      <c r="AB2811" t="s">
        <v>6225</v>
      </c>
      <c r="AC2811" t="s">
        <v>2928</v>
      </c>
      <c r="AD2811" t="e">
        <f>VLOOKUP(AB2811,#REF!,2,FALSE)</f>
        <v>#REF!</v>
      </c>
      <c r="AE2811" t="e">
        <f>RIGHT(#REF!,(FIND("Complex",#REF!,1)-9))</f>
        <v>#REF!</v>
      </c>
    </row>
    <row r="2812" spans="1:31" x14ac:dyDescent="0.25">
      <c r="A2812">
        <v>3844</v>
      </c>
      <c r="B2812" t="s">
        <v>68</v>
      </c>
      <c r="C2812">
        <v>4</v>
      </c>
      <c r="D2812">
        <v>1219</v>
      </c>
      <c r="E2812">
        <v>3844</v>
      </c>
      <c r="F2812">
        <v>11113201</v>
      </c>
      <c r="G2812">
        <v>11201400</v>
      </c>
      <c r="H2812">
        <f t="shared" si="86"/>
        <v>252.00002267573697</v>
      </c>
      <c r="I2812">
        <f t="shared" si="87"/>
        <v>254</v>
      </c>
      <c r="J2812" t="s">
        <v>25</v>
      </c>
      <c r="K2812">
        <v>6</v>
      </c>
      <c r="L2812" t="e">
        <f t="array" ref="L2812">VLOOKUP(J2812:$J$3871&amp;K2812:$K$3871,CHOOSE({1,2},#REF!&amp;#REF!,#REF!),2,0)</f>
        <v>#N/A</v>
      </c>
      <c r="M2812">
        <v>-15</v>
      </c>
      <c r="N2812">
        <v>0</v>
      </c>
      <c r="O2812" t="s">
        <v>7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1</v>
      </c>
      <c r="X2812">
        <v>1</v>
      </c>
      <c r="Y2812">
        <v>0</v>
      </c>
      <c r="Z2812">
        <v>1</v>
      </c>
      <c r="AA2812" t="s">
        <v>2931</v>
      </c>
      <c r="AB2812" t="s">
        <v>6227</v>
      </c>
      <c r="AC2812" t="s">
        <v>2931</v>
      </c>
      <c r="AD2812" t="e">
        <f>VLOOKUP(AB2812,#REF!,2,FALSE)</f>
        <v>#REF!</v>
      </c>
      <c r="AE2812" t="e">
        <f>RIGHT(#REF!,(FIND("Complex",#REF!,1)-9))</f>
        <v>#REF!</v>
      </c>
    </row>
    <row r="2813" spans="1:31" x14ac:dyDescent="0.25">
      <c r="A2813">
        <v>3555</v>
      </c>
      <c r="B2813" t="s">
        <v>68</v>
      </c>
      <c r="C2813">
        <v>4</v>
      </c>
      <c r="D2813">
        <v>1132</v>
      </c>
      <c r="E2813">
        <v>3555</v>
      </c>
      <c r="F2813">
        <v>8202601</v>
      </c>
      <c r="G2813">
        <v>8290800</v>
      </c>
      <c r="H2813">
        <f t="shared" si="86"/>
        <v>186.00002267573697</v>
      </c>
      <c r="I2813">
        <f t="shared" si="87"/>
        <v>188</v>
      </c>
      <c r="J2813" t="s">
        <v>25</v>
      </c>
      <c r="K2813">
        <v>6</v>
      </c>
      <c r="L2813" t="e">
        <f t="array" ref="L2813">VLOOKUP(J2813:$J$3871&amp;K2813:$K$3871,CHOOSE({1,2},#REF!&amp;#REF!,#REF!),2,0)</f>
        <v>#N/A</v>
      </c>
      <c r="M2813">
        <v>-15</v>
      </c>
      <c r="N2813">
        <v>0</v>
      </c>
      <c r="O2813" t="s">
        <v>7</v>
      </c>
      <c r="P2813">
        <v>1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1</v>
      </c>
      <c r="X2813">
        <v>1</v>
      </c>
      <c r="Y2813">
        <v>0</v>
      </c>
      <c r="Z2813">
        <v>0</v>
      </c>
      <c r="AA2813" t="s">
        <v>3098</v>
      </c>
      <c r="AB2813" t="s">
        <v>6264</v>
      </c>
      <c r="AC2813" t="s">
        <v>3098</v>
      </c>
      <c r="AD2813" t="e">
        <f>VLOOKUP(AB2813,#REF!,2,FALSE)</f>
        <v>#REF!</v>
      </c>
      <c r="AE2813" t="e">
        <f>RIGHT(#REF!,(FIND("Complex",#REF!,1)-9))</f>
        <v>#REF!</v>
      </c>
    </row>
    <row r="2814" spans="1:31" x14ac:dyDescent="0.25">
      <c r="A2814">
        <v>793</v>
      </c>
      <c r="B2814" t="s">
        <v>68</v>
      </c>
      <c r="C2814">
        <v>4</v>
      </c>
      <c r="D2814">
        <v>355</v>
      </c>
      <c r="E2814">
        <v>793</v>
      </c>
      <c r="F2814">
        <v>8026201</v>
      </c>
      <c r="G2814">
        <v>8114400</v>
      </c>
      <c r="H2814">
        <f t="shared" si="86"/>
        <v>182.00002267573697</v>
      </c>
      <c r="I2814">
        <f t="shared" si="87"/>
        <v>184</v>
      </c>
      <c r="J2814" t="s">
        <v>25</v>
      </c>
      <c r="K2814">
        <v>6</v>
      </c>
      <c r="L2814" t="e">
        <f t="array" ref="L2814">VLOOKUP(J2814:$J$3871&amp;K2814:$K$3871,CHOOSE({1,2},#REF!&amp;#REF!,#REF!),2,0)</f>
        <v>#N/A</v>
      </c>
      <c r="M2814">
        <v>-15</v>
      </c>
      <c r="N2814">
        <v>0</v>
      </c>
      <c r="O2814" t="s">
        <v>7</v>
      </c>
      <c r="P2814">
        <v>1</v>
      </c>
      <c r="Q2814">
        <v>1</v>
      </c>
      <c r="R2814">
        <v>0</v>
      </c>
      <c r="S2814">
        <v>0</v>
      </c>
      <c r="T2814">
        <v>0</v>
      </c>
      <c r="U2814">
        <v>1</v>
      </c>
      <c r="V2814">
        <v>1</v>
      </c>
      <c r="W2814">
        <v>1</v>
      </c>
      <c r="X2814">
        <v>1</v>
      </c>
      <c r="Y2814">
        <v>0</v>
      </c>
      <c r="Z2814">
        <v>0</v>
      </c>
      <c r="AA2814" t="s">
        <v>3118</v>
      </c>
      <c r="AB2814" t="s">
        <v>6270</v>
      </c>
      <c r="AC2814" t="s">
        <v>3118</v>
      </c>
      <c r="AD2814" t="e">
        <f>VLOOKUP(AB2814,#REF!,2,FALSE)</f>
        <v>#REF!</v>
      </c>
      <c r="AE2814" t="e">
        <f>RIGHT(#REF!,(FIND("Complex",#REF!,1)-7))</f>
        <v>#REF!</v>
      </c>
    </row>
    <row r="2815" spans="1:31" x14ac:dyDescent="0.25">
      <c r="A2815">
        <v>3761</v>
      </c>
      <c r="B2815" t="s">
        <v>68</v>
      </c>
      <c r="C2815">
        <v>4</v>
      </c>
      <c r="D2815">
        <v>1197</v>
      </c>
      <c r="E2815">
        <v>3761</v>
      </c>
      <c r="F2815">
        <v>7849801</v>
      </c>
      <c r="G2815">
        <v>7938000</v>
      </c>
      <c r="H2815">
        <f t="shared" si="86"/>
        <v>178.00002267573697</v>
      </c>
      <c r="I2815">
        <f t="shared" si="87"/>
        <v>180</v>
      </c>
      <c r="J2815" t="s">
        <v>25</v>
      </c>
      <c r="K2815">
        <v>6</v>
      </c>
      <c r="L2815" t="e">
        <f t="array" ref="L2815">VLOOKUP(J2815:$J$3871&amp;K2815:$K$3871,CHOOSE({1,2},#REF!&amp;#REF!,#REF!),2,0)</f>
        <v>#N/A</v>
      </c>
      <c r="M2815">
        <v>-15</v>
      </c>
      <c r="N2815">
        <v>0</v>
      </c>
      <c r="O2815" t="s">
        <v>7</v>
      </c>
      <c r="P2815">
        <v>1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1</v>
      </c>
      <c r="X2815">
        <v>1</v>
      </c>
      <c r="Y2815">
        <v>0</v>
      </c>
      <c r="Z2815">
        <v>0</v>
      </c>
      <c r="AA2815" t="s">
        <v>3137</v>
      </c>
      <c r="AB2815" t="s">
        <v>407</v>
      </c>
      <c r="AC2815" t="s">
        <v>3137</v>
      </c>
      <c r="AD2815" t="e">
        <f>VLOOKUP(AB2815,#REF!,2,FALSE)</f>
        <v>#REF!</v>
      </c>
      <c r="AE2815" t="e">
        <f>RIGHT(#REF!,(FIND("Complex",#REF!,1)-9))</f>
        <v>#REF!</v>
      </c>
    </row>
    <row r="2816" spans="1:31" x14ac:dyDescent="0.25">
      <c r="A2816">
        <v>3670</v>
      </c>
      <c r="B2816" t="s">
        <v>68</v>
      </c>
      <c r="C2816">
        <v>4</v>
      </c>
      <c r="D2816">
        <v>1164</v>
      </c>
      <c r="E2816">
        <v>3670</v>
      </c>
      <c r="F2816">
        <v>7761601</v>
      </c>
      <c r="G2816">
        <v>7849800</v>
      </c>
      <c r="H2816">
        <f t="shared" si="86"/>
        <v>176.00002267573697</v>
      </c>
      <c r="I2816">
        <f t="shared" si="87"/>
        <v>178</v>
      </c>
      <c r="J2816" t="s">
        <v>25</v>
      </c>
      <c r="K2816">
        <v>6</v>
      </c>
      <c r="L2816" t="e">
        <f t="array" ref="L2816">VLOOKUP(J2816:$J$3871&amp;K2816:$K$3871,CHOOSE({1,2},#REF!&amp;#REF!,#REF!),2,0)</f>
        <v>#N/A</v>
      </c>
      <c r="M2816">
        <v>-15</v>
      </c>
      <c r="N2816">
        <v>0</v>
      </c>
      <c r="O2816" t="s">
        <v>7</v>
      </c>
      <c r="P2816">
        <v>1</v>
      </c>
      <c r="Q2816">
        <v>1</v>
      </c>
      <c r="R2816">
        <v>0</v>
      </c>
      <c r="S2816">
        <v>0</v>
      </c>
      <c r="T2816">
        <v>0</v>
      </c>
      <c r="U2816">
        <v>1</v>
      </c>
      <c r="V2816">
        <v>1</v>
      </c>
      <c r="W2816">
        <v>1</v>
      </c>
      <c r="X2816">
        <v>1</v>
      </c>
      <c r="Y2816">
        <v>0</v>
      </c>
      <c r="Z2816">
        <v>0</v>
      </c>
      <c r="AA2816" t="s">
        <v>3145</v>
      </c>
      <c r="AB2816" t="s">
        <v>6275</v>
      </c>
      <c r="AC2816" t="s">
        <v>3145</v>
      </c>
      <c r="AD2816" t="e">
        <f>VLOOKUP(AB2816,#REF!,2,FALSE)</f>
        <v>#REF!</v>
      </c>
      <c r="AE2816" t="e">
        <f>RIGHT(#REF!,(FIND("Complex",#REF!,1)-9))</f>
        <v>#REF!</v>
      </c>
    </row>
    <row r="2817" spans="1:31" x14ac:dyDescent="0.25">
      <c r="A2817">
        <v>3869</v>
      </c>
      <c r="B2817" t="s">
        <v>68</v>
      </c>
      <c r="C2817">
        <v>4</v>
      </c>
      <c r="D2817">
        <v>1226</v>
      </c>
      <c r="E2817">
        <v>3869</v>
      </c>
      <c r="F2817">
        <v>7408801</v>
      </c>
      <c r="G2817">
        <v>7497000</v>
      </c>
      <c r="H2817">
        <f t="shared" si="86"/>
        <v>168.00002267573697</v>
      </c>
      <c r="I2817">
        <f t="shared" si="87"/>
        <v>170</v>
      </c>
      <c r="J2817" t="s">
        <v>25</v>
      </c>
      <c r="K2817">
        <v>6</v>
      </c>
      <c r="L2817" t="e">
        <f t="array" ref="L2817">VLOOKUP(J2817:$J$3871&amp;K2817:$K$3871,CHOOSE({1,2},#REF!&amp;#REF!,#REF!),2,0)</f>
        <v>#N/A</v>
      </c>
      <c r="M2817">
        <v>-15</v>
      </c>
      <c r="N2817">
        <v>0</v>
      </c>
      <c r="O2817" t="s">
        <v>7</v>
      </c>
      <c r="P2817">
        <v>1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1</v>
      </c>
      <c r="W2817">
        <v>1</v>
      </c>
      <c r="X2817">
        <v>1</v>
      </c>
      <c r="Y2817">
        <v>0</v>
      </c>
      <c r="Z2817">
        <v>0</v>
      </c>
      <c r="AA2817" t="s">
        <v>3178</v>
      </c>
      <c r="AB2817" t="s">
        <v>6281</v>
      </c>
      <c r="AC2817" t="s">
        <v>3178</v>
      </c>
      <c r="AD2817" t="e">
        <f>VLOOKUP(AB2817,#REF!,2,FALSE)</f>
        <v>#REF!</v>
      </c>
      <c r="AE2817" t="e">
        <f>RIGHT(#REF!,(FIND("Complex",#REF!,1)-9))</f>
        <v>#REF!</v>
      </c>
    </row>
    <row r="2818" spans="1:31" x14ac:dyDescent="0.25">
      <c r="A2818">
        <v>1858</v>
      </c>
      <c r="B2818" t="s">
        <v>81</v>
      </c>
      <c r="C2818">
        <v>5</v>
      </c>
      <c r="D2818">
        <v>810</v>
      </c>
      <c r="E2818">
        <v>1858</v>
      </c>
      <c r="F2818">
        <v>21432601</v>
      </c>
      <c r="G2818">
        <v>21520800</v>
      </c>
      <c r="H2818">
        <f t="shared" ref="H2818:H2881" si="88">F2818/44100</f>
        <v>486.00002267573694</v>
      </c>
      <c r="I2818">
        <f t="shared" ref="I2818:I2881" si="89">G2818/44100</f>
        <v>488</v>
      </c>
      <c r="J2818" t="s">
        <v>25</v>
      </c>
      <c r="K2818">
        <v>6</v>
      </c>
      <c r="L2818" t="e">
        <f t="array" ref="L2818">VLOOKUP(J2818:$J$3871&amp;K2818:$K$3871,CHOOSE({1,2},#REF!&amp;#REF!,#REF!),2,0)</f>
        <v>#N/A</v>
      </c>
      <c r="M2818">
        <v>-15</v>
      </c>
      <c r="N2818">
        <v>0</v>
      </c>
      <c r="O2818" t="s">
        <v>7</v>
      </c>
      <c r="P2818">
        <v>0</v>
      </c>
      <c r="Q2818">
        <v>1</v>
      </c>
      <c r="R2818">
        <v>0</v>
      </c>
      <c r="S2818">
        <v>0</v>
      </c>
      <c r="T2818">
        <v>1</v>
      </c>
      <c r="U2818">
        <v>1</v>
      </c>
      <c r="V2818">
        <v>1</v>
      </c>
      <c r="W2818">
        <v>1</v>
      </c>
      <c r="X2818">
        <v>0</v>
      </c>
      <c r="Y2818">
        <v>0</v>
      </c>
      <c r="Z2818">
        <v>1</v>
      </c>
      <c r="AA2818" t="s">
        <v>2808</v>
      </c>
      <c r="AB2818" t="s">
        <v>451</v>
      </c>
      <c r="AC2818" t="s">
        <v>2808</v>
      </c>
      <c r="AD2818" t="e">
        <f>VLOOKUP(AB2818,#REF!,2,FALSE)</f>
        <v>#REF!</v>
      </c>
      <c r="AE2818" t="e">
        <f>RIGHT(#REF!,(FIND("Complex",#REF!,1)-8))</f>
        <v>#REF!</v>
      </c>
    </row>
    <row r="2819" spans="1:31" x14ac:dyDescent="0.25">
      <c r="A2819">
        <v>3720</v>
      </c>
      <c r="B2819" t="s">
        <v>81</v>
      </c>
      <c r="C2819">
        <v>5</v>
      </c>
      <c r="D2819">
        <v>1182</v>
      </c>
      <c r="E2819">
        <v>3720</v>
      </c>
      <c r="F2819">
        <v>19756801</v>
      </c>
      <c r="G2819">
        <v>19845000</v>
      </c>
      <c r="H2819">
        <f t="shared" si="88"/>
        <v>448.00002267573694</v>
      </c>
      <c r="I2819">
        <f t="shared" si="89"/>
        <v>450</v>
      </c>
      <c r="J2819" t="s">
        <v>25</v>
      </c>
      <c r="K2819">
        <v>6</v>
      </c>
      <c r="L2819" t="e">
        <f t="array" ref="L2819">VLOOKUP(J2819:$J$3871&amp;K2819:$K$3871,CHOOSE({1,2},#REF!&amp;#REF!,#REF!),2,0)</f>
        <v>#N/A</v>
      </c>
      <c r="M2819">
        <v>-15</v>
      </c>
      <c r="N2819">
        <v>0</v>
      </c>
      <c r="O2819" t="s">
        <v>7</v>
      </c>
      <c r="P2819">
        <v>0</v>
      </c>
      <c r="Q2819">
        <v>1</v>
      </c>
      <c r="R2819">
        <v>0</v>
      </c>
      <c r="S2819">
        <v>0</v>
      </c>
      <c r="T2819">
        <v>1</v>
      </c>
      <c r="U2819">
        <v>1</v>
      </c>
      <c r="V2819">
        <v>1</v>
      </c>
      <c r="W2819">
        <v>1</v>
      </c>
      <c r="X2819">
        <v>1</v>
      </c>
      <c r="Y2819">
        <v>0</v>
      </c>
      <c r="Z2819">
        <v>0</v>
      </c>
      <c r="AA2819" t="s">
        <v>2817</v>
      </c>
      <c r="AB2819" t="s">
        <v>6194</v>
      </c>
      <c r="AC2819" t="s">
        <v>2817</v>
      </c>
      <c r="AD2819" t="e">
        <f>VLOOKUP(AB2819,#REF!,2,FALSE)</f>
        <v>#REF!</v>
      </c>
      <c r="AE2819" t="e">
        <f>RIGHT(#REF!,(FIND("Complex",#REF!,1)-9))</f>
        <v>#REF!</v>
      </c>
    </row>
    <row r="2820" spans="1:31" x14ac:dyDescent="0.25">
      <c r="A2820">
        <v>2481</v>
      </c>
      <c r="B2820" t="s">
        <v>81</v>
      </c>
      <c r="C2820">
        <v>5</v>
      </c>
      <c r="D2820">
        <v>960</v>
      </c>
      <c r="E2820">
        <v>2481</v>
      </c>
      <c r="F2820">
        <v>19051201</v>
      </c>
      <c r="G2820">
        <v>19139400</v>
      </c>
      <c r="H2820">
        <f t="shared" si="88"/>
        <v>432.00002267573694</v>
      </c>
      <c r="I2820">
        <f t="shared" si="89"/>
        <v>434</v>
      </c>
      <c r="J2820" t="s">
        <v>25</v>
      </c>
      <c r="K2820">
        <v>6</v>
      </c>
      <c r="L2820" t="e">
        <f t="array" ref="L2820">VLOOKUP(J2820:$J$3871&amp;K2820:$K$3871,CHOOSE({1,2},#REF!&amp;#REF!,#REF!),2,0)</f>
        <v>#N/A</v>
      </c>
      <c r="M2820">
        <v>-15</v>
      </c>
      <c r="N2820">
        <v>0</v>
      </c>
      <c r="O2820" t="s">
        <v>7</v>
      </c>
      <c r="P2820">
        <v>0</v>
      </c>
      <c r="Q2820">
        <v>1</v>
      </c>
      <c r="R2820">
        <v>0</v>
      </c>
      <c r="S2820">
        <v>0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0</v>
      </c>
      <c r="Z2820">
        <v>0</v>
      </c>
      <c r="AA2820" t="s">
        <v>2824</v>
      </c>
      <c r="AB2820" t="s">
        <v>452</v>
      </c>
      <c r="AC2820" t="s">
        <v>2824</v>
      </c>
      <c r="AD2820" t="e">
        <f>VLOOKUP(AB2820,#REF!,2,FALSE)</f>
        <v>#REF!</v>
      </c>
      <c r="AE2820" t="e">
        <f>RIGHT(#REF!,(FIND("Complex",#REF!,1)-8))</f>
        <v>#REF!</v>
      </c>
    </row>
    <row r="2821" spans="1:31" x14ac:dyDescent="0.25">
      <c r="A2821">
        <v>1087</v>
      </c>
      <c r="B2821" t="s">
        <v>81</v>
      </c>
      <c r="C2821">
        <v>5</v>
      </c>
      <c r="D2821">
        <v>482</v>
      </c>
      <c r="E2821">
        <v>1087</v>
      </c>
      <c r="F2821">
        <v>18786601</v>
      </c>
      <c r="G2821">
        <v>18874800</v>
      </c>
      <c r="H2821">
        <f t="shared" si="88"/>
        <v>426.00002267573694</v>
      </c>
      <c r="I2821">
        <f t="shared" si="89"/>
        <v>428</v>
      </c>
      <c r="J2821" t="s">
        <v>25</v>
      </c>
      <c r="K2821">
        <v>6</v>
      </c>
      <c r="L2821" t="e">
        <f t="array" ref="L2821">VLOOKUP(J2821:$J$3871&amp;K2821:$K$3871,CHOOSE({1,2},#REF!&amp;#REF!,#REF!),2,0)</f>
        <v>#N/A</v>
      </c>
      <c r="M2821">
        <v>-15</v>
      </c>
      <c r="N2821">
        <v>0</v>
      </c>
      <c r="O2821" t="s">
        <v>7</v>
      </c>
      <c r="P2821">
        <v>1</v>
      </c>
      <c r="Q2821">
        <v>1</v>
      </c>
      <c r="R2821">
        <v>0</v>
      </c>
      <c r="S2821">
        <v>0</v>
      </c>
      <c r="T2821">
        <v>1</v>
      </c>
      <c r="U2821">
        <v>0</v>
      </c>
      <c r="V2821">
        <v>1</v>
      </c>
      <c r="W2821">
        <v>1</v>
      </c>
      <c r="X2821">
        <v>1</v>
      </c>
      <c r="Y2821">
        <v>0</v>
      </c>
      <c r="Z2821">
        <v>0</v>
      </c>
      <c r="AA2821" t="s">
        <v>2825</v>
      </c>
      <c r="AB2821" t="s">
        <v>6196</v>
      </c>
      <c r="AC2821" t="s">
        <v>2825</v>
      </c>
      <c r="AD2821" t="e">
        <f>VLOOKUP(AB2821,#REF!,2,FALSE)</f>
        <v>#REF!</v>
      </c>
      <c r="AE2821" t="e">
        <f>RIGHT(#REF!,(FIND("Complex",#REF!,1)-8))</f>
        <v>#REF!</v>
      </c>
    </row>
    <row r="2822" spans="1:31" x14ac:dyDescent="0.25">
      <c r="A2822">
        <v>3704</v>
      </c>
      <c r="B2822" t="s">
        <v>81</v>
      </c>
      <c r="C2822">
        <v>5</v>
      </c>
      <c r="D2822">
        <v>1178</v>
      </c>
      <c r="E2822">
        <v>3704</v>
      </c>
      <c r="F2822">
        <v>18610201</v>
      </c>
      <c r="G2822">
        <v>18698400</v>
      </c>
      <c r="H2822">
        <f t="shared" si="88"/>
        <v>422.00002267573694</v>
      </c>
      <c r="I2822">
        <f t="shared" si="89"/>
        <v>424</v>
      </c>
      <c r="J2822" t="s">
        <v>25</v>
      </c>
      <c r="K2822">
        <v>6</v>
      </c>
      <c r="L2822" t="e">
        <f t="array" ref="L2822">VLOOKUP(J2822:$J$3871&amp;K2822:$K$3871,CHOOSE({1,2},#REF!&amp;#REF!,#REF!),2,0)</f>
        <v>#N/A</v>
      </c>
      <c r="M2822">
        <v>-15</v>
      </c>
      <c r="N2822">
        <v>0</v>
      </c>
      <c r="O2822" t="s">
        <v>7</v>
      </c>
      <c r="P2822">
        <v>1</v>
      </c>
      <c r="Q2822">
        <v>1</v>
      </c>
      <c r="R2822">
        <v>0</v>
      </c>
      <c r="S2822">
        <v>0</v>
      </c>
      <c r="T2822">
        <v>1</v>
      </c>
      <c r="U2822">
        <v>0</v>
      </c>
      <c r="V2822">
        <v>1</v>
      </c>
      <c r="W2822">
        <v>1</v>
      </c>
      <c r="X2822">
        <v>1</v>
      </c>
      <c r="Y2822">
        <v>0</v>
      </c>
      <c r="Z2822">
        <v>0</v>
      </c>
      <c r="AA2822" t="s">
        <v>2827</v>
      </c>
      <c r="AB2822" t="s">
        <v>453</v>
      </c>
      <c r="AC2822" t="s">
        <v>2827</v>
      </c>
      <c r="AD2822" t="e">
        <f>VLOOKUP(AB2822,#REF!,2,FALSE)</f>
        <v>#REF!</v>
      </c>
      <c r="AE2822" t="e">
        <f>RIGHT(#REF!,(FIND("Complex",#REF!,1)-9))</f>
        <v>#REF!</v>
      </c>
    </row>
    <row r="2823" spans="1:31" x14ac:dyDescent="0.25">
      <c r="A2823">
        <v>2816</v>
      </c>
      <c r="B2823" t="s">
        <v>81</v>
      </c>
      <c r="C2823">
        <v>5</v>
      </c>
      <c r="D2823">
        <v>982</v>
      </c>
      <c r="E2823">
        <v>2816</v>
      </c>
      <c r="F2823">
        <v>18433801</v>
      </c>
      <c r="G2823">
        <v>18522000</v>
      </c>
      <c r="H2823">
        <f t="shared" si="88"/>
        <v>418.00002267573694</v>
      </c>
      <c r="I2823">
        <f t="shared" si="89"/>
        <v>420</v>
      </c>
      <c r="J2823" t="s">
        <v>25</v>
      </c>
      <c r="K2823">
        <v>6</v>
      </c>
      <c r="L2823" t="e">
        <f t="array" ref="L2823">VLOOKUP(J2823:$J$3871&amp;K2823:$K$3871,CHOOSE({1,2},#REF!&amp;#REF!,#REF!),2,0)</f>
        <v>#N/A</v>
      </c>
      <c r="M2823">
        <v>-15</v>
      </c>
      <c r="N2823">
        <v>0</v>
      </c>
      <c r="O2823" t="s">
        <v>7</v>
      </c>
      <c r="P2823">
        <v>1</v>
      </c>
      <c r="Q2823">
        <v>1</v>
      </c>
      <c r="R2823">
        <v>0</v>
      </c>
      <c r="S2823">
        <v>0</v>
      </c>
      <c r="T2823">
        <v>1</v>
      </c>
      <c r="U2823">
        <v>0</v>
      </c>
      <c r="V2823">
        <v>1</v>
      </c>
      <c r="W2823">
        <v>1</v>
      </c>
      <c r="X2823">
        <v>1</v>
      </c>
      <c r="Y2823">
        <v>0</v>
      </c>
      <c r="Z2823">
        <v>0</v>
      </c>
      <c r="AA2823" t="s">
        <v>2831</v>
      </c>
      <c r="AB2823" t="s">
        <v>6198</v>
      </c>
      <c r="AC2823" t="s">
        <v>2831</v>
      </c>
      <c r="AD2823" t="e">
        <f>VLOOKUP(AB2823,#REF!,2,FALSE)</f>
        <v>#REF!</v>
      </c>
      <c r="AE2823" t="e">
        <f>RIGHT(#REF!,(FIND("Complex",#REF!,1)-8))</f>
        <v>#REF!</v>
      </c>
    </row>
    <row r="2824" spans="1:31" x14ac:dyDescent="0.25">
      <c r="A2824">
        <v>2237</v>
      </c>
      <c r="B2824" t="s">
        <v>94</v>
      </c>
      <c r="C2824">
        <v>7</v>
      </c>
      <c r="D2824">
        <v>923</v>
      </c>
      <c r="E2824">
        <v>2237</v>
      </c>
      <c r="F2824">
        <v>4057201</v>
      </c>
      <c r="G2824">
        <v>4145400</v>
      </c>
      <c r="H2824">
        <f t="shared" si="88"/>
        <v>92.000022675736957</v>
      </c>
      <c r="I2824">
        <f t="shared" si="89"/>
        <v>94</v>
      </c>
      <c r="J2824" t="s">
        <v>25</v>
      </c>
      <c r="K2824">
        <v>6</v>
      </c>
      <c r="L2824" t="e">
        <f t="array" ref="L2824">VLOOKUP(J2824:$J$3871&amp;K2824:$K$3871,CHOOSE({1,2},#REF!&amp;#REF!,#REF!),2,0)</f>
        <v>#N/A</v>
      </c>
      <c r="M2824">
        <v>-15</v>
      </c>
      <c r="N2824">
        <v>0</v>
      </c>
      <c r="O2824" t="s">
        <v>7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0</v>
      </c>
      <c r="V2824">
        <v>1</v>
      </c>
      <c r="W2824">
        <v>1</v>
      </c>
      <c r="X2824">
        <v>1</v>
      </c>
      <c r="Y2824">
        <v>1</v>
      </c>
      <c r="Z2824">
        <v>1</v>
      </c>
      <c r="AA2824" t="s">
        <v>2644</v>
      </c>
      <c r="AB2824" t="s">
        <v>481</v>
      </c>
      <c r="AC2824" t="s">
        <v>2644</v>
      </c>
      <c r="AD2824" t="e">
        <f>VLOOKUP(AB2824,#REF!,2,FALSE)</f>
        <v>#REF!</v>
      </c>
      <c r="AE2824" t="e">
        <f>RIGHT(#REF!,(FIND("Complex",#REF!,1)-9))</f>
        <v>#REF!</v>
      </c>
    </row>
    <row r="2825" spans="1:31" x14ac:dyDescent="0.25">
      <c r="A2825">
        <v>342</v>
      </c>
      <c r="B2825" t="s">
        <v>94</v>
      </c>
      <c r="C2825">
        <v>7</v>
      </c>
      <c r="D2825">
        <v>144</v>
      </c>
      <c r="E2825">
        <v>342</v>
      </c>
      <c r="F2825">
        <v>3704401</v>
      </c>
      <c r="G2825">
        <v>3792600</v>
      </c>
      <c r="H2825">
        <f t="shared" si="88"/>
        <v>84.000022675736957</v>
      </c>
      <c r="I2825">
        <f t="shared" si="89"/>
        <v>86</v>
      </c>
      <c r="J2825" t="s">
        <v>25</v>
      </c>
      <c r="K2825">
        <v>6</v>
      </c>
      <c r="L2825" t="e">
        <f t="array" ref="L2825">VLOOKUP(J2825:$J$3871&amp;K2825:$K$3871,CHOOSE({1,2},#REF!&amp;#REF!,#REF!),2,0)</f>
        <v>#N/A</v>
      </c>
      <c r="M2825">
        <v>-15</v>
      </c>
      <c r="N2825">
        <v>0</v>
      </c>
      <c r="O2825" t="s">
        <v>7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0</v>
      </c>
      <c r="V2825">
        <v>1</v>
      </c>
      <c r="W2825">
        <v>1</v>
      </c>
      <c r="X2825">
        <v>1</v>
      </c>
      <c r="Y2825">
        <v>1</v>
      </c>
      <c r="Z2825">
        <v>1</v>
      </c>
      <c r="AA2825" t="s">
        <v>2678</v>
      </c>
      <c r="AB2825" t="s">
        <v>482</v>
      </c>
      <c r="AC2825" t="s">
        <v>2678</v>
      </c>
      <c r="AD2825" t="e">
        <f>VLOOKUP(AB2825,#REF!,2,FALSE)</f>
        <v>#REF!</v>
      </c>
      <c r="AE2825" t="e">
        <f>RIGHT(#REF!,(FIND("Complex",#REF!,1)-8))</f>
        <v>#REF!</v>
      </c>
    </row>
    <row r="2826" spans="1:31" x14ac:dyDescent="0.25">
      <c r="A2826">
        <v>790</v>
      </c>
      <c r="B2826" t="s">
        <v>94</v>
      </c>
      <c r="C2826">
        <v>7</v>
      </c>
      <c r="D2826">
        <v>353</v>
      </c>
      <c r="E2826">
        <v>790</v>
      </c>
      <c r="F2826">
        <v>3263401</v>
      </c>
      <c r="G2826">
        <v>3351600</v>
      </c>
      <c r="H2826">
        <f t="shared" si="88"/>
        <v>74.000022675736957</v>
      </c>
      <c r="I2826">
        <f t="shared" si="89"/>
        <v>76</v>
      </c>
      <c r="J2826" t="s">
        <v>25</v>
      </c>
      <c r="K2826">
        <v>6</v>
      </c>
      <c r="L2826" t="e">
        <f t="array" ref="L2826">VLOOKUP(J2826:$J$3871&amp;K2826:$K$3871,CHOOSE({1,2},#REF!&amp;#REF!,#REF!),2,0)</f>
        <v>#N/A</v>
      </c>
      <c r="M2826">
        <v>-15</v>
      </c>
      <c r="N2826">
        <v>0</v>
      </c>
      <c r="O2826" t="s">
        <v>7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1</v>
      </c>
      <c r="W2826">
        <v>1</v>
      </c>
      <c r="X2826">
        <v>1</v>
      </c>
      <c r="Y2826">
        <v>1</v>
      </c>
      <c r="Z2826">
        <v>1</v>
      </c>
      <c r="AA2826" t="s">
        <v>2723</v>
      </c>
      <c r="AB2826" t="s">
        <v>483</v>
      </c>
      <c r="AC2826" t="s">
        <v>2723</v>
      </c>
      <c r="AD2826" t="e">
        <f>VLOOKUP(AB2826,#REF!,2,FALSE)</f>
        <v>#REF!</v>
      </c>
      <c r="AE2826" t="e">
        <f>RIGHT(#REF!,(FIND("Complex",#REF!,1)-8))</f>
        <v>#REF!</v>
      </c>
    </row>
    <row r="2827" spans="1:31" x14ac:dyDescent="0.25">
      <c r="A2827">
        <v>482</v>
      </c>
      <c r="B2827" t="s">
        <v>94</v>
      </c>
      <c r="C2827">
        <v>7</v>
      </c>
      <c r="D2827">
        <v>200</v>
      </c>
      <c r="E2827">
        <v>482</v>
      </c>
      <c r="F2827">
        <v>3175201</v>
      </c>
      <c r="G2827">
        <v>3263400</v>
      </c>
      <c r="H2827">
        <f t="shared" si="88"/>
        <v>72.000022675736957</v>
      </c>
      <c r="I2827">
        <f t="shared" si="89"/>
        <v>74</v>
      </c>
      <c r="J2827" t="s">
        <v>25</v>
      </c>
      <c r="K2827">
        <v>6</v>
      </c>
      <c r="L2827" t="e">
        <f t="array" ref="L2827">VLOOKUP(J2827:$J$3871&amp;K2827:$K$3871,CHOOSE({1,2},#REF!&amp;#REF!,#REF!),2,0)</f>
        <v>#N/A</v>
      </c>
      <c r="M2827">
        <v>-15</v>
      </c>
      <c r="N2827">
        <v>0</v>
      </c>
      <c r="O2827" t="s">
        <v>7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0</v>
      </c>
      <c r="V2827">
        <v>1</v>
      </c>
      <c r="W2827">
        <v>1</v>
      </c>
      <c r="X2827">
        <v>1</v>
      </c>
      <c r="Y2827">
        <v>1</v>
      </c>
      <c r="Z2827">
        <v>1</v>
      </c>
      <c r="AA2827" t="s">
        <v>2731</v>
      </c>
      <c r="AB2827" t="s">
        <v>484</v>
      </c>
      <c r="AC2827" t="s">
        <v>2731</v>
      </c>
      <c r="AD2827" t="e">
        <f>VLOOKUP(AB2827,#REF!,2,FALSE)</f>
        <v>#REF!</v>
      </c>
      <c r="AE2827" t="e">
        <f>RIGHT(#REF!,(FIND("Complex",#REF!,1)-8))</f>
        <v>#REF!</v>
      </c>
    </row>
    <row r="2828" spans="1:31" x14ac:dyDescent="0.25">
      <c r="A2828">
        <v>263</v>
      </c>
      <c r="B2828" t="s">
        <v>94</v>
      </c>
      <c r="C2828">
        <v>7</v>
      </c>
      <c r="D2828">
        <v>112</v>
      </c>
      <c r="E2828">
        <v>263</v>
      </c>
      <c r="F2828">
        <v>2293201</v>
      </c>
      <c r="G2828">
        <v>2381400</v>
      </c>
      <c r="H2828">
        <f t="shared" si="88"/>
        <v>52.000022675736965</v>
      </c>
      <c r="I2828">
        <f t="shared" si="89"/>
        <v>54</v>
      </c>
      <c r="J2828" t="s">
        <v>25</v>
      </c>
      <c r="K2828">
        <v>6</v>
      </c>
      <c r="L2828" t="e">
        <f t="array" ref="L2828">VLOOKUP(J2828:$J$3871&amp;K2828:$K$3871,CHOOSE({1,2},#REF!&amp;#REF!,#REF!),2,0)</f>
        <v>#N/A</v>
      </c>
      <c r="M2828">
        <v>-15</v>
      </c>
      <c r="N2828">
        <v>0</v>
      </c>
      <c r="O2828" t="s">
        <v>7</v>
      </c>
      <c r="P2828">
        <v>1</v>
      </c>
      <c r="Q2828">
        <v>1</v>
      </c>
      <c r="R2828">
        <v>0</v>
      </c>
      <c r="S2828">
        <v>0</v>
      </c>
      <c r="T2828">
        <v>1</v>
      </c>
      <c r="U2828">
        <v>0</v>
      </c>
      <c r="V2828">
        <v>1</v>
      </c>
      <c r="W2828">
        <v>1</v>
      </c>
      <c r="X2828">
        <v>1</v>
      </c>
      <c r="Y2828">
        <v>0</v>
      </c>
      <c r="Z2828">
        <v>0</v>
      </c>
      <c r="AA2828" t="s">
        <v>2799</v>
      </c>
      <c r="AB2828" t="s">
        <v>485</v>
      </c>
      <c r="AC2828" t="s">
        <v>2799</v>
      </c>
      <c r="AD2828" t="e">
        <f>VLOOKUP(AB2828,#REF!,2,FALSE)</f>
        <v>#REF!</v>
      </c>
      <c r="AE2828" t="e">
        <f>RIGHT(#REF!,(FIND("Complex",#REF!,1)-8))</f>
        <v>#REF!</v>
      </c>
    </row>
    <row r="2829" spans="1:31" x14ac:dyDescent="0.25">
      <c r="A2829">
        <v>746</v>
      </c>
      <c r="B2829" t="s">
        <v>94</v>
      </c>
      <c r="C2829">
        <v>7</v>
      </c>
      <c r="D2829">
        <v>330</v>
      </c>
      <c r="E2829">
        <v>746</v>
      </c>
      <c r="F2829">
        <v>1411201</v>
      </c>
      <c r="G2829">
        <v>1499400</v>
      </c>
      <c r="H2829">
        <f t="shared" si="88"/>
        <v>32.000022675736965</v>
      </c>
      <c r="I2829">
        <f t="shared" si="89"/>
        <v>34</v>
      </c>
      <c r="J2829" t="s">
        <v>25</v>
      </c>
      <c r="K2829">
        <v>6</v>
      </c>
      <c r="L2829" t="e">
        <f t="array" ref="L2829">VLOOKUP(J2829:$J$3871&amp;K2829:$K$3871,CHOOSE({1,2},#REF!&amp;#REF!,#REF!),2,0)</f>
        <v>#N/A</v>
      </c>
      <c r="M2829">
        <v>-15</v>
      </c>
      <c r="N2829">
        <v>0</v>
      </c>
      <c r="O2829" t="s">
        <v>7</v>
      </c>
      <c r="P2829">
        <v>1</v>
      </c>
      <c r="Q2829">
        <v>1</v>
      </c>
      <c r="R2829">
        <v>0</v>
      </c>
      <c r="S2829">
        <v>0</v>
      </c>
      <c r="T2829">
        <v>1</v>
      </c>
      <c r="U2829">
        <v>0</v>
      </c>
      <c r="V2829">
        <v>1</v>
      </c>
      <c r="W2829">
        <v>1</v>
      </c>
      <c r="X2829">
        <v>1</v>
      </c>
      <c r="Y2829">
        <v>0</v>
      </c>
      <c r="Z2829">
        <v>0</v>
      </c>
      <c r="AA2829" t="s">
        <v>2868</v>
      </c>
      <c r="AB2829" t="s">
        <v>486</v>
      </c>
      <c r="AC2829" t="s">
        <v>2868</v>
      </c>
      <c r="AD2829" t="e">
        <f>VLOOKUP(AB2829,#REF!,2,FALSE)</f>
        <v>#REF!</v>
      </c>
      <c r="AE2829" t="e">
        <f>RIGHT(#REF!,(FIND("Complex",#REF!,1)-8))</f>
        <v>#REF!</v>
      </c>
    </row>
    <row r="2830" spans="1:31" x14ac:dyDescent="0.25">
      <c r="A2830">
        <v>1904</v>
      </c>
      <c r="B2830" t="s">
        <v>94</v>
      </c>
      <c r="C2830">
        <v>7</v>
      </c>
      <c r="D2830">
        <v>825</v>
      </c>
      <c r="E2830">
        <v>1904</v>
      </c>
      <c r="F2830">
        <v>8467201</v>
      </c>
      <c r="G2830">
        <v>8555400</v>
      </c>
      <c r="H2830">
        <f t="shared" si="88"/>
        <v>192.00002267573697</v>
      </c>
      <c r="I2830">
        <f t="shared" si="89"/>
        <v>194</v>
      </c>
      <c r="J2830" t="s">
        <v>25</v>
      </c>
      <c r="K2830">
        <v>6</v>
      </c>
      <c r="L2830" t="e">
        <f t="array" ref="L2830">VLOOKUP(J2830:$J$3871&amp;K2830:$K$3871,CHOOSE({1,2},#REF!&amp;#REF!,#REF!),2,0)</f>
        <v>#N/A</v>
      </c>
      <c r="M2830">
        <v>-15</v>
      </c>
      <c r="N2830">
        <v>0</v>
      </c>
      <c r="O2830" t="s">
        <v>7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0</v>
      </c>
      <c r="V2830">
        <v>1</v>
      </c>
      <c r="W2830">
        <v>1</v>
      </c>
      <c r="X2830">
        <v>1</v>
      </c>
      <c r="Y2830">
        <v>1</v>
      </c>
      <c r="Z2830">
        <v>1</v>
      </c>
      <c r="AA2830" t="s">
        <v>3076</v>
      </c>
      <c r="AB2830" t="s">
        <v>487</v>
      </c>
      <c r="AC2830" t="s">
        <v>3076</v>
      </c>
      <c r="AD2830" t="e">
        <f>VLOOKUP(AB2830,#REF!,2,FALSE)</f>
        <v>#REF!</v>
      </c>
      <c r="AE2830" t="e">
        <f>RIGHT(#REF!,(FIND("Complex",#REF!,1)-8))</f>
        <v>#REF!</v>
      </c>
    </row>
    <row r="2831" spans="1:31" x14ac:dyDescent="0.25">
      <c r="A2831">
        <v>1361</v>
      </c>
      <c r="B2831" t="s">
        <v>89</v>
      </c>
      <c r="C2831">
        <v>8</v>
      </c>
      <c r="D2831">
        <v>594</v>
      </c>
      <c r="E2831">
        <v>1361</v>
      </c>
      <c r="F2831">
        <v>3439801</v>
      </c>
      <c r="G2831">
        <v>3528000</v>
      </c>
      <c r="H2831">
        <f t="shared" si="88"/>
        <v>78.000022675736957</v>
      </c>
      <c r="I2831">
        <f t="shared" si="89"/>
        <v>80</v>
      </c>
      <c r="J2831" t="s">
        <v>25</v>
      </c>
      <c r="K2831">
        <v>6</v>
      </c>
      <c r="L2831" t="e">
        <f t="array" ref="L2831">VLOOKUP(J2831:$J$3871&amp;K2831:$K$3871,CHOOSE({1,2},#REF!&amp;#REF!,#REF!),2,0)</f>
        <v>#N/A</v>
      </c>
      <c r="M2831">
        <v>-15</v>
      </c>
      <c r="N2831">
        <v>0</v>
      </c>
      <c r="O2831" t="s">
        <v>7</v>
      </c>
      <c r="P2831">
        <v>1</v>
      </c>
      <c r="Q2831">
        <v>1</v>
      </c>
      <c r="R2831">
        <v>0</v>
      </c>
      <c r="S2831">
        <v>1</v>
      </c>
      <c r="T2831">
        <v>1</v>
      </c>
      <c r="U2831">
        <v>0</v>
      </c>
      <c r="V2831">
        <v>0</v>
      </c>
      <c r="W2831">
        <v>1</v>
      </c>
      <c r="X2831">
        <v>1</v>
      </c>
      <c r="Y2831">
        <v>0</v>
      </c>
      <c r="Z2831">
        <v>0</v>
      </c>
      <c r="AA2831" t="s">
        <v>2707</v>
      </c>
      <c r="AB2831" t="s">
        <v>6163</v>
      </c>
      <c r="AC2831" t="s">
        <v>2707</v>
      </c>
      <c r="AD2831" t="e">
        <f>VLOOKUP(AB2831,#REF!,2,FALSE)</f>
        <v>#REF!</v>
      </c>
      <c r="AE2831" t="e">
        <f>RIGHT(#REF!,(FIND("Complex",#REF!,1)-9))</f>
        <v>#REF!</v>
      </c>
    </row>
    <row r="2832" spans="1:31" x14ac:dyDescent="0.25">
      <c r="A2832">
        <v>3346</v>
      </c>
      <c r="B2832" t="s">
        <v>89</v>
      </c>
      <c r="C2832">
        <v>8</v>
      </c>
      <c r="D2832">
        <v>1081</v>
      </c>
      <c r="E2832">
        <v>3346</v>
      </c>
      <c r="F2832">
        <v>9878401</v>
      </c>
      <c r="G2832">
        <v>9966600</v>
      </c>
      <c r="H2832">
        <f t="shared" si="88"/>
        <v>224.00002267573697</v>
      </c>
      <c r="I2832">
        <f t="shared" si="89"/>
        <v>226</v>
      </c>
      <c r="J2832" t="s">
        <v>25</v>
      </c>
      <c r="K2832">
        <v>6</v>
      </c>
      <c r="L2832" t="e">
        <f t="array" ref="L2832">VLOOKUP(J2832:$J$3871&amp;K2832:$K$3871,CHOOSE({1,2},#REF!&amp;#REF!,#REF!),2,0)</f>
        <v>#N/A</v>
      </c>
      <c r="M2832">
        <v>-15</v>
      </c>
      <c r="N2832">
        <v>0</v>
      </c>
      <c r="O2832" t="s">
        <v>7</v>
      </c>
      <c r="P2832">
        <v>1</v>
      </c>
      <c r="Q2832">
        <v>1</v>
      </c>
      <c r="R2832">
        <v>0</v>
      </c>
      <c r="S2832">
        <v>0</v>
      </c>
      <c r="T2832">
        <v>1</v>
      </c>
      <c r="U2832">
        <v>0</v>
      </c>
      <c r="V2832">
        <v>0</v>
      </c>
      <c r="W2832">
        <v>1</v>
      </c>
      <c r="X2832">
        <v>1</v>
      </c>
      <c r="Y2832">
        <v>0</v>
      </c>
      <c r="Z2832">
        <v>1</v>
      </c>
      <c r="AA2832" t="s">
        <v>2995</v>
      </c>
      <c r="AB2832" t="s">
        <v>511</v>
      </c>
      <c r="AC2832" t="s">
        <v>2995</v>
      </c>
      <c r="AD2832" t="e">
        <f>VLOOKUP(AB2832,#REF!,2,FALSE)</f>
        <v>#REF!</v>
      </c>
      <c r="AE2832" t="e">
        <f>RIGHT(#REF!,(FIND("Complex",#REF!,1)-9))</f>
        <v>#REF!</v>
      </c>
    </row>
    <row r="2833" spans="1:31" x14ac:dyDescent="0.25">
      <c r="A2833">
        <v>3597</v>
      </c>
      <c r="B2833" t="s">
        <v>89</v>
      </c>
      <c r="C2833">
        <v>8</v>
      </c>
      <c r="D2833">
        <v>1140</v>
      </c>
      <c r="E2833">
        <v>3597</v>
      </c>
      <c r="F2833">
        <v>9084601</v>
      </c>
      <c r="G2833">
        <v>9172800</v>
      </c>
      <c r="H2833">
        <f t="shared" si="88"/>
        <v>206.00002267573697</v>
      </c>
      <c r="I2833">
        <f t="shared" si="89"/>
        <v>208</v>
      </c>
      <c r="J2833" t="s">
        <v>25</v>
      </c>
      <c r="K2833">
        <v>6</v>
      </c>
      <c r="L2833" t="e">
        <f t="array" ref="L2833">VLOOKUP(J2833:$J$3871&amp;K2833:$K$3871,CHOOSE({1,2},#REF!&amp;#REF!,#REF!),2,0)</f>
        <v>#N/A</v>
      </c>
      <c r="M2833">
        <v>-15</v>
      </c>
      <c r="N2833">
        <v>0</v>
      </c>
      <c r="O2833" t="s">
        <v>7</v>
      </c>
      <c r="P2833">
        <v>1</v>
      </c>
      <c r="Q2833">
        <v>1</v>
      </c>
      <c r="R2833">
        <v>0</v>
      </c>
      <c r="S2833">
        <v>0</v>
      </c>
      <c r="T2833">
        <v>1</v>
      </c>
      <c r="U2833">
        <v>0</v>
      </c>
      <c r="V2833">
        <v>0</v>
      </c>
      <c r="W2833">
        <v>1</v>
      </c>
      <c r="X2833">
        <v>1</v>
      </c>
      <c r="Y2833">
        <v>0</v>
      </c>
      <c r="Z2833">
        <v>1</v>
      </c>
      <c r="AA2833" t="s">
        <v>3037</v>
      </c>
      <c r="AB2833" t="s">
        <v>6248</v>
      </c>
      <c r="AC2833" t="s">
        <v>3037</v>
      </c>
      <c r="AD2833" t="e">
        <f>VLOOKUP(AB2833,#REF!,2,FALSE)</f>
        <v>#REF!</v>
      </c>
      <c r="AE2833" t="e">
        <f>RIGHT(#REF!,(FIND("Complex",#REF!,1)-9))</f>
        <v>#REF!</v>
      </c>
    </row>
    <row r="2834" spans="1:31" x14ac:dyDescent="0.25">
      <c r="A2834">
        <v>586</v>
      </c>
      <c r="B2834" t="s">
        <v>89</v>
      </c>
      <c r="C2834">
        <v>8</v>
      </c>
      <c r="D2834">
        <v>251</v>
      </c>
      <c r="E2834">
        <v>586</v>
      </c>
      <c r="F2834">
        <v>4939201</v>
      </c>
      <c r="G2834">
        <v>5027400</v>
      </c>
      <c r="H2834">
        <f t="shared" si="88"/>
        <v>112.00002267573696</v>
      </c>
      <c r="I2834">
        <f t="shared" si="89"/>
        <v>114</v>
      </c>
      <c r="J2834" t="s">
        <v>25</v>
      </c>
      <c r="K2834">
        <v>6</v>
      </c>
      <c r="L2834" t="e">
        <f t="array" ref="L2834">VLOOKUP(J2834:$J$3871&amp;K2834:$K$3871,CHOOSE({1,2},#REF!&amp;#REF!,#REF!),2,0)</f>
        <v>#N/A</v>
      </c>
      <c r="M2834">
        <v>-15</v>
      </c>
      <c r="N2834">
        <v>0</v>
      </c>
      <c r="O2834" t="s">
        <v>7</v>
      </c>
      <c r="P2834">
        <v>1</v>
      </c>
      <c r="Q2834">
        <v>1</v>
      </c>
      <c r="R2834">
        <v>0</v>
      </c>
      <c r="S2834">
        <v>0</v>
      </c>
      <c r="T2834">
        <v>1</v>
      </c>
      <c r="U2834">
        <v>0</v>
      </c>
      <c r="V2834">
        <v>0</v>
      </c>
      <c r="W2834">
        <v>1</v>
      </c>
      <c r="X2834">
        <v>1</v>
      </c>
      <c r="Y2834">
        <v>0</v>
      </c>
      <c r="Z2834">
        <v>1</v>
      </c>
      <c r="AA2834" t="s">
        <v>3432</v>
      </c>
      <c r="AB2834" t="s">
        <v>512</v>
      </c>
      <c r="AC2834" t="s">
        <v>3432</v>
      </c>
      <c r="AD2834" t="e">
        <f>VLOOKUP(AB2834,#REF!,2,FALSE)</f>
        <v>#REF!</v>
      </c>
      <c r="AE2834" t="e">
        <f>RIGHT(#REF!,(FIND("Complex",#REF!,1)-7))</f>
        <v>#REF!</v>
      </c>
    </row>
    <row r="2835" spans="1:31" x14ac:dyDescent="0.25">
      <c r="A2835">
        <v>2815</v>
      </c>
      <c r="B2835" t="s">
        <v>79</v>
      </c>
      <c r="C2835">
        <v>13</v>
      </c>
      <c r="D2835">
        <v>981</v>
      </c>
      <c r="E2835">
        <v>2815</v>
      </c>
      <c r="F2835">
        <v>4233601</v>
      </c>
      <c r="G2835">
        <v>4321800</v>
      </c>
      <c r="H2835">
        <f t="shared" si="88"/>
        <v>96.000022675736957</v>
      </c>
      <c r="I2835">
        <f t="shared" si="89"/>
        <v>98</v>
      </c>
      <c r="J2835" t="s">
        <v>25</v>
      </c>
      <c r="K2835">
        <v>6</v>
      </c>
      <c r="L2835" t="e">
        <f t="array" ref="L2835">VLOOKUP(J2835:$J$3871&amp;K2835:$K$3871,CHOOSE({1,2},#REF!&amp;#REF!,#REF!),2,0)</f>
        <v>#N/A</v>
      </c>
      <c r="M2835">
        <v>-15</v>
      </c>
      <c r="N2835">
        <v>0</v>
      </c>
      <c r="O2835" t="s">
        <v>7</v>
      </c>
      <c r="P2835">
        <v>1</v>
      </c>
      <c r="Q2835">
        <v>1</v>
      </c>
      <c r="R2835">
        <v>1</v>
      </c>
      <c r="S2835">
        <v>0</v>
      </c>
      <c r="T2835">
        <v>0</v>
      </c>
      <c r="U2835">
        <v>0</v>
      </c>
      <c r="V2835">
        <v>1</v>
      </c>
      <c r="W2835">
        <v>1</v>
      </c>
      <c r="X2835">
        <v>0</v>
      </c>
      <c r="Y2835">
        <v>1</v>
      </c>
      <c r="Z2835">
        <v>0</v>
      </c>
      <c r="AA2835" t="s">
        <v>2629</v>
      </c>
      <c r="AB2835" t="s">
        <v>6152</v>
      </c>
      <c r="AC2835" t="s">
        <v>2629</v>
      </c>
      <c r="AD2835" t="e">
        <f>VLOOKUP(AB2835,#REF!,2,FALSE)</f>
        <v>#REF!</v>
      </c>
      <c r="AE2835" t="e">
        <f>RIGHT(#REF!,(FIND("Complex",#REF!,1)-8))</f>
        <v>#REF!</v>
      </c>
    </row>
    <row r="2836" spans="1:31" x14ac:dyDescent="0.25">
      <c r="A2836">
        <v>2542</v>
      </c>
      <c r="B2836" t="s">
        <v>79</v>
      </c>
      <c r="C2836">
        <v>13</v>
      </c>
      <c r="D2836">
        <v>965</v>
      </c>
      <c r="E2836">
        <v>2542</v>
      </c>
      <c r="F2836">
        <v>3880801</v>
      </c>
      <c r="G2836">
        <v>3969000</v>
      </c>
      <c r="H2836">
        <f t="shared" si="88"/>
        <v>88.000022675736957</v>
      </c>
      <c r="I2836">
        <f t="shared" si="89"/>
        <v>90</v>
      </c>
      <c r="J2836" t="s">
        <v>25</v>
      </c>
      <c r="K2836">
        <v>6</v>
      </c>
      <c r="L2836" t="e">
        <f t="array" ref="L2836">VLOOKUP(J2836:$J$3871&amp;K2836:$K$3871,CHOOSE({1,2},#REF!&amp;#REF!,#REF!),2,0)</f>
        <v>#N/A</v>
      </c>
      <c r="M2836">
        <v>-15</v>
      </c>
      <c r="N2836">
        <v>0</v>
      </c>
      <c r="O2836" t="s">
        <v>7</v>
      </c>
      <c r="P2836">
        <v>1</v>
      </c>
      <c r="Q2836">
        <v>1</v>
      </c>
      <c r="R2836">
        <v>1</v>
      </c>
      <c r="S2836">
        <v>0</v>
      </c>
      <c r="T2836">
        <v>0</v>
      </c>
      <c r="U2836">
        <v>0</v>
      </c>
      <c r="V2836">
        <v>1</v>
      </c>
      <c r="W2836">
        <v>1</v>
      </c>
      <c r="X2836">
        <v>0</v>
      </c>
      <c r="Y2836">
        <v>1</v>
      </c>
      <c r="Z2836">
        <v>0</v>
      </c>
      <c r="AA2836" t="s">
        <v>2665</v>
      </c>
      <c r="AB2836" t="s">
        <v>567</v>
      </c>
      <c r="AC2836" t="s">
        <v>2665</v>
      </c>
      <c r="AD2836" t="e">
        <f>VLOOKUP(AB2836,#REF!,2,FALSE)</f>
        <v>#REF!</v>
      </c>
      <c r="AE2836" t="e">
        <f>RIGHT(#REF!,(FIND("Complex",#REF!,1)-8))</f>
        <v>#REF!</v>
      </c>
    </row>
    <row r="2837" spans="1:31" x14ac:dyDescent="0.25">
      <c r="A2837">
        <v>3359</v>
      </c>
      <c r="B2837" t="s">
        <v>79</v>
      </c>
      <c r="C2837">
        <v>13</v>
      </c>
      <c r="D2837">
        <v>1086</v>
      </c>
      <c r="E2837">
        <v>3359</v>
      </c>
      <c r="F2837">
        <v>5380201</v>
      </c>
      <c r="G2837">
        <v>5468400</v>
      </c>
      <c r="H2837">
        <f t="shared" si="88"/>
        <v>122.00002267573696</v>
      </c>
      <c r="I2837">
        <f t="shared" si="89"/>
        <v>124</v>
      </c>
      <c r="J2837" t="s">
        <v>25</v>
      </c>
      <c r="K2837">
        <v>6</v>
      </c>
      <c r="L2837" t="e">
        <f t="array" ref="L2837">VLOOKUP(J2837:$J$3871&amp;K2837:$K$3871,CHOOSE({1,2},#REF!&amp;#REF!,#REF!),2,0)</f>
        <v>#N/A</v>
      </c>
      <c r="M2837">
        <v>-15</v>
      </c>
      <c r="N2837">
        <v>0</v>
      </c>
      <c r="O2837" t="s">
        <v>7</v>
      </c>
      <c r="P2837">
        <v>1</v>
      </c>
      <c r="Q2837">
        <v>1</v>
      </c>
      <c r="R2837">
        <v>1</v>
      </c>
      <c r="S2837">
        <v>0</v>
      </c>
      <c r="T2837">
        <v>0</v>
      </c>
      <c r="U2837">
        <v>0</v>
      </c>
      <c r="V2837">
        <v>1</v>
      </c>
      <c r="W2837">
        <v>1</v>
      </c>
      <c r="X2837">
        <v>0</v>
      </c>
      <c r="Y2837">
        <v>1</v>
      </c>
      <c r="Z2837">
        <v>0</v>
      </c>
      <c r="AA2837" t="s">
        <v>3375</v>
      </c>
      <c r="AB2837" t="s">
        <v>568</v>
      </c>
      <c r="AC2837" t="s">
        <v>3375</v>
      </c>
      <c r="AD2837" t="e">
        <f>VLOOKUP(AB2837,#REF!,2,FALSE)</f>
        <v>#REF!</v>
      </c>
      <c r="AE2837" t="e">
        <f>RIGHT(#REF!,(FIND("Complex",#REF!,1)-8))</f>
        <v>#REF!</v>
      </c>
    </row>
    <row r="2838" spans="1:31" x14ac:dyDescent="0.25">
      <c r="A2838">
        <v>3807</v>
      </c>
      <c r="B2838" t="s">
        <v>28</v>
      </c>
      <c r="C2838">
        <v>14</v>
      </c>
      <c r="D2838">
        <v>1209</v>
      </c>
      <c r="E2838">
        <v>3807</v>
      </c>
      <c r="F2838">
        <v>3439801</v>
      </c>
      <c r="G2838">
        <v>3528000</v>
      </c>
      <c r="H2838">
        <f t="shared" si="88"/>
        <v>78.000022675736957</v>
      </c>
      <c r="I2838">
        <f t="shared" si="89"/>
        <v>80</v>
      </c>
      <c r="J2838" t="s">
        <v>25</v>
      </c>
      <c r="K2838">
        <v>6</v>
      </c>
      <c r="L2838" t="e">
        <f t="array" ref="L2838">VLOOKUP(J2838:$J$3871&amp;K2838:$K$3871,CHOOSE({1,2},#REF!&amp;#REF!,#REF!),2,0)</f>
        <v>#N/A</v>
      </c>
      <c r="M2838">
        <v>-15</v>
      </c>
      <c r="N2838">
        <v>0</v>
      </c>
      <c r="O2838" t="s">
        <v>7</v>
      </c>
      <c r="P2838">
        <v>1</v>
      </c>
      <c r="Q2838">
        <v>1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1</v>
      </c>
      <c r="X2838">
        <v>1</v>
      </c>
      <c r="Y2838">
        <v>0</v>
      </c>
      <c r="Z2838">
        <v>1</v>
      </c>
      <c r="AA2838" t="s">
        <v>2710</v>
      </c>
      <c r="AB2838" t="s">
        <v>6165</v>
      </c>
      <c r="AC2838" t="s">
        <v>2710</v>
      </c>
      <c r="AD2838" t="e">
        <f>VLOOKUP(AB2838,#REF!,2,FALSE)</f>
        <v>#REF!</v>
      </c>
      <c r="AE2838" t="e">
        <f>RIGHT(#REF!,(FIND("Complex",#REF!,1)-9))</f>
        <v>#REF!</v>
      </c>
    </row>
    <row r="2839" spans="1:31" x14ac:dyDescent="0.25">
      <c r="A2839">
        <v>994</v>
      </c>
      <c r="B2839" t="s">
        <v>28</v>
      </c>
      <c r="C2839">
        <v>14</v>
      </c>
      <c r="D2839">
        <v>439</v>
      </c>
      <c r="E2839">
        <v>994</v>
      </c>
      <c r="F2839">
        <v>14200201</v>
      </c>
      <c r="G2839">
        <v>14288400</v>
      </c>
      <c r="H2839">
        <f t="shared" si="88"/>
        <v>322.00002267573694</v>
      </c>
      <c r="I2839">
        <f t="shared" si="89"/>
        <v>324</v>
      </c>
      <c r="J2839" t="s">
        <v>25</v>
      </c>
      <c r="K2839">
        <v>6</v>
      </c>
      <c r="L2839" t="e">
        <f t="array" ref="L2839">VLOOKUP(J2839:$J$3871&amp;K2839:$K$3871,CHOOSE({1,2},#REF!&amp;#REF!,#REF!),2,0)</f>
        <v>#N/A</v>
      </c>
      <c r="M2839">
        <v>-15</v>
      </c>
      <c r="N2839">
        <v>0</v>
      </c>
      <c r="O2839" t="s">
        <v>7</v>
      </c>
      <c r="P2839">
        <v>0</v>
      </c>
      <c r="Q2839">
        <v>1</v>
      </c>
      <c r="R2839">
        <v>0</v>
      </c>
      <c r="S2839">
        <v>1</v>
      </c>
      <c r="T2839">
        <v>1</v>
      </c>
      <c r="U2839">
        <v>0</v>
      </c>
      <c r="V2839">
        <v>0</v>
      </c>
      <c r="W2839">
        <v>1</v>
      </c>
      <c r="X2839">
        <v>1</v>
      </c>
      <c r="Y2839">
        <v>0</v>
      </c>
      <c r="Z2839">
        <v>1</v>
      </c>
      <c r="AA2839" t="s">
        <v>2863</v>
      </c>
      <c r="AB2839" t="s">
        <v>623</v>
      </c>
      <c r="AC2839" t="s">
        <v>2863</v>
      </c>
      <c r="AD2839" t="e">
        <f>VLOOKUP(AB2839,#REF!,2,FALSE)</f>
        <v>#REF!</v>
      </c>
      <c r="AE2839" t="e">
        <f>RIGHT(#REF!,(FIND("Complex",#REF!,1)-6))</f>
        <v>#REF!</v>
      </c>
    </row>
    <row r="2840" spans="1:31" x14ac:dyDescent="0.25">
      <c r="A2840">
        <v>3804</v>
      </c>
      <c r="B2840" t="s">
        <v>28</v>
      </c>
      <c r="C2840">
        <v>14</v>
      </c>
      <c r="D2840">
        <v>1207</v>
      </c>
      <c r="E2840">
        <v>3804</v>
      </c>
      <c r="F2840">
        <v>14112001</v>
      </c>
      <c r="G2840">
        <v>14200200</v>
      </c>
      <c r="H2840">
        <f t="shared" si="88"/>
        <v>320.00002267573694</v>
      </c>
      <c r="I2840">
        <f t="shared" si="89"/>
        <v>322</v>
      </c>
      <c r="J2840" t="s">
        <v>25</v>
      </c>
      <c r="K2840">
        <v>6</v>
      </c>
      <c r="L2840" t="e">
        <f t="array" ref="L2840">VLOOKUP(J2840:$J$3871&amp;K2840:$K$3871,CHOOSE({1,2},#REF!&amp;#REF!,#REF!),2,0)</f>
        <v>#N/A</v>
      </c>
      <c r="M2840">
        <v>-15</v>
      </c>
      <c r="N2840">
        <v>0</v>
      </c>
      <c r="O2840" t="s">
        <v>7</v>
      </c>
      <c r="P2840">
        <v>0</v>
      </c>
      <c r="Q2840">
        <v>1</v>
      </c>
      <c r="R2840">
        <v>0</v>
      </c>
      <c r="S2840">
        <v>1</v>
      </c>
      <c r="T2840">
        <v>1</v>
      </c>
      <c r="U2840">
        <v>0</v>
      </c>
      <c r="V2840">
        <v>0</v>
      </c>
      <c r="W2840">
        <v>1</v>
      </c>
      <c r="X2840">
        <v>1</v>
      </c>
      <c r="Y2840">
        <v>0</v>
      </c>
      <c r="Z2840">
        <v>1</v>
      </c>
      <c r="AA2840" t="s">
        <v>2866</v>
      </c>
      <c r="AB2840" t="s">
        <v>6211</v>
      </c>
      <c r="AC2840" t="s">
        <v>2866</v>
      </c>
      <c r="AD2840" t="e">
        <f>VLOOKUP(AB2840,#REF!,2,FALSE)</f>
        <v>#REF!</v>
      </c>
      <c r="AE2840" t="e">
        <f>RIGHT(#REF!,(FIND("Complex",#REF!,1)-8))</f>
        <v>#REF!</v>
      </c>
    </row>
    <row r="2841" spans="1:31" x14ac:dyDescent="0.25">
      <c r="A2841">
        <v>3094</v>
      </c>
      <c r="B2841" t="s">
        <v>28</v>
      </c>
      <c r="C2841">
        <v>14</v>
      </c>
      <c r="D2841">
        <v>1039</v>
      </c>
      <c r="E2841">
        <v>3094</v>
      </c>
      <c r="F2841">
        <v>13935601</v>
      </c>
      <c r="G2841">
        <v>14023800</v>
      </c>
      <c r="H2841">
        <f t="shared" si="88"/>
        <v>316.00002267573694</v>
      </c>
      <c r="I2841">
        <f t="shared" si="89"/>
        <v>318</v>
      </c>
      <c r="J2841" t="s">
        <v>25</v>
      </c>
      <c r="K2841">
        <v>6</v>
      </c>
      <c r="L2841" t="e">
        <f t="array" ref="L2841">VLOOKUP(J2841:$J$3871&amp;K2841:$K$3871,CHOOSE({1,2},#REF!&amp;#REF!,#REF!),2,0)</f>
        <v>#N/A</v>
      </c>
      <c r="M2841">
        <v>-15</v>
      </c>
      <c r="N2841">
        <v>0</v>
      </c>
      <c r="O2841" t="s">
        <v>7</v>
      </c>
      <c r="P2841">
        <v>0</v>
      </c>
      <c r="Q2841">
        <v>1</v>
      </c>
      <c r="R2841">
        <v>0</v>
      </c>
      <c r="S2841">
        <v>1</v>
      </c>
      <c r="T2841">
        <v>1</v>
      </c>
      <c r="U2841">
        <v>0</v>
      </c>
      <c r="V2841">
        <v>0</v>
      </c>
      <c r="W2841">
        <v>1</v>
      </c>
      <c r="X2841">
        <v>1</v>
      </c>
      <c r="Y2841">
        <v>0</v>
      </c>
      <c r="Z2841">
        <v>1</v>
      </c>
      <c r="AA2841" t="s">
        <v>2874</v>
      </c>
      <c r="AB2841" t="s">
        <v>624</v>
      </c>
      <c r="AC2841" t="s">
        <v>2874</v>
      </c>
      <c r="AD2841" t="e">
        <f>VLOOKUP(AB2841,#REF!,2,FALSE)</f>
        <v>#REF!</v>
      </c>
      <c r="AE2841" t="e">
        <f>RIGHT(#REF!,(FIND("Complex",#REF!,1)-8))</f>
        <v>#REF!</v>
      </c>
    </row>
    <row r="2842" spans="1:31" x14ac:dyDescent="0.25">
      <c r="A2842">
        <v>3243</v>
      </c>
      <c r="B2842" t="s">
        <v>28</v>
      </c>
      <c r="C2842">
        <v>14</v>
      </c>
      <c r="D2842">
        <v>1063</v>
      </c>
      <c r="E2842">
        <v>3243</v>
      </c>
      <c r="F2842">
        <v>13847401</v>
      </c>
      <c r="G2842">
        <v>13935600</v>
      </c>
      <c r="H2842">
        <f t="shared" si="88"/>
        <v>314.00002267573694</v>
      </c>
      <c r="I2842">
        <f t="shared" si="89"/>
        <v>316</v>
      </c>
      <c r="J2842" t="s">
        <v>25</v>
      </c>
      <c r="K2842">
        <v>6</v>
      </c>
      <c r="L2842" t="e">
        <f t="array" ref="L2842">VLOOKUP(J2842:$J$3871&amp;K2842:$K$3871,CHOOSE({1,2},#REF!&amp;#REF!,#REF!),2,0)</f>
        <v>#N/A</v>
      </c>
      <c r="M2842">
        <v>-15</v>
      </c>
      <c r="N2842">
        <v>0</v>
      </c>
      <c r="O2842" t="s">
        <v>7</v>
      </c>
      <c r="P2842">
        <v>0</v>
      </c>
      <c r="Q2842">
        <v>1</v>
      </c>
      <c r="R2842">
        <v>0</v>
      </c>
      <c r="S2842">
        <v>1</v>
      </c>
      <c r="T2842">
        <v>1</v>
      </c>
      <c r="U2842">
        <v>0</v>
      </c>
      <c r="V2842">
        <v>0</v>
      </c>
      <c r="W2842">
        <v>1</v>
      </c>
      <c r="X2842">
        <v>1</v>
      </c>
      <c r="Y2842">
        <v>0</v>
      </c>
      <c r="Z2842">
        <v>1</v>
      </c>
      <c r="AA2842" t="s">
        <v>2876</v>
      </c>
      <c r="AB2842" t="s">
        <v>625</v>
      </c>
      <c r="AC2842" t="s">
        <v>2876</v>
      </c>
      <c r="AD2842" t="e">
        <f>VLOOKUP(AB2842,#REF!,2,FALSE)</f>
        <v>#REF!</v>
      </c>
      <c r="AE2842" t="e">
        <f>RIGHT(#REF!,(FIND("Complex",#REF!,1)-8))</f>
        <v>#REF!</v>
      </c>
    </row>
    <row r="2843" spans="1:31" x14ac:dyDescent="0.25">
      <c r="A2843">
        <v>1655</v>
      </c>
      <c r="B2843" t="s">
        <v>28</v>
      </c>
      <c r="C2843">
        <v>14</v>
      </c>
      <c r="D2843">
        <v>723</v>
      </c>
      <c r="E2843">
        <v>1655</v>
      </c>
      <c r="F2843">
        <v>13318201</v>
      </c>
      <c r="G2843">
        <v>13406400</v>
      </c>
      <c r="H2843">
        <f t="shared" si="88"/>
        <v>302.00002267573694</v>
      </c>
      <c r="I2843">
        <f t="shared" si="89"/>
        <v>304</v>
      </c>
      <c r="J2843" t="s">
        <v>25</v>
      </c>
      <c r="K2843">
        <v>6</v>
      </c>
      <c r="L2843" t="e">
        <f t="array" ref="L2843">VLOOKUP(J2843:$J$3871&amp;K2843:$K$3871,CHOOSE({1,2},#REF!&amp;#REF!,#REF!),2,0)</f>
        <v>#N/A</v>
      </c>
      <c r="M2843">
        <v>-15</v>
      </c>
      <c r="N2843">
        <v>0</v>
      </c>
      <c r="O2843" t="s">
        <v>7</v>
      </c>
      <c r="P2843">
        <v>0</v>
      </c>
      <c r="Q2843">
        <v>1</v>
      </c>
      <c r="R2843">
        <v>0</v>
      </c>
      <c r="S2843">
        <v>1</v>
      </c>
      <c r="T2843">
        <v>1</v>
      </c>
      <c r="U2843">
        <v>0</v>
      </c>
      <c r="V2843">
        <v>0</v>
      </c>
      <c r="W2843">
        <v>1</v>
      </c>
      <c r="X2843">
        <v>1</v>
      </c>
      <c r="Y2843">
        <v>0</v>
      </c>
      <c r="Z2843">
        <v>1</v>
      </c>
      <c r="AA2843" t="s">
        <v>2882</v>
      </c>
      <c r="AB2843" t="s">
        <v>6213</v>
      </c>
      <c r="AC2843" t="s">
        <v>2882</v>
      </c>
      <c r="AD2843" t="e">
        <f>VLOOKUP(AB2843,#REF!,2,FALSE)</f>
        <v>#REF!</v>
      </c>
      <c r="AE2843" t="e">
        <f>RIGHT(#REF!,(FIND("Complex",#REF!,1)-7))</f>
        <v>#REF!</v>
      </c>
    </row>
    <row r="2844" spans="1:31" x14ac:dyDescent="0.25">
      <c r="A2844">
        <v>3857</v>
      </c>
      <c r="B2844" t="s">
        <v>28</v>
      </c>
      <c r="C2844">
        <v>14</v>
      </c>
      <c r="D2844">
        <v>1223</v>
      </c>
      <c r="E2844">
        <v>3857</v>
      </c>
      <c r="F2844">
        <v>13141801</v>
      </c>
      <c r="G2844">
        <v>13230000</v>
      </c>
      <c r="H2844">
        <f t="shared" si="88"/>
        <v>298.00002267573694</v>
      </c>
      <c r="I2844">
        <f t="shared" si="89"/>
        <v>300</v>
      </c>
      <c r="J2844" t="s">
        <v>25</v>
      </c>
      <c r="K2844">
        <v>6</v>
      </c>
      <c r="L2844" t="e">
        <f t="array" ref="L2844">VLOOKUP(J2844:$J$3871&amp;K2844:$K$3871,CHOOSE({1,2},#REF!&amp;#REF!,#REF!),2,0)</f>
        <v>#N/A</v>
      </c>
      <c r="M2844">
        <v>-15</v>
      </c>
      <c r="N2844">
        <v>0</v>
      </c>
      <c r="O2844" t="s">
        <v>7</v>
      </c>
      <c r="P2844">
        <v>0</v>
      </c>
      <c r="Q2844">
        <v>1</v>
      </c>
      <c r="R2844">
        <v>0</v>
      </c>
      <c r="S2844">
        <v>1</v>
      </c>
      <c r="T2844">
        <v>1</v>
      </c>
      <c r="U2844">
        <v>0</v>
      </c>
      <c r="V2844">
        <v>0</v>
      </c>
      <c r="W2844">
        <v>1</v>
      </c>
      <c r="X2844">
        <v>1</v>
      </c>
      <c r="Y2844">
        <v>0</v>
      </c>
      <c r="Z2844">
        <v>1</v>
      </c>
      <c r="AA2844" t="s">
        <v>2887</v>
      </c>
      <c r="AB2844" t="s">
        <v>6214</v>
      </c>
      <c r="AC2844" t="s">
        <v>2887</v>
      </c>
      <c r="AD2844" t="e">
        <f>VLOOKUP(AB2844,#REF!,2,FALSE)</f>
        <v>#REF!</v>
      </c>
      <c r="AE2844" t="e">
        <f>RIGHT(#REF!,(FIND("Complex",#REF!,1)-8))</f>
        <v>#REF!</v>
      </c>
    </row>
    <row r="2845" spans="1:31" x14ac:dyDescent="0.25">
      <c r="A2845">
        <v>3679</v>
      </c>
      <c r="B2845" t="s">
        <v>28</v>
      </c>
      <c r="C2845">
        <v>14</v>
      </c>
      <c r="D2845">
        <v>1167</v>
      </c>
      <c r="E2845">
        <v>3679</v>
      </c>
      <c r="F2845">
        <v>12965401</v>
      </c>
      <c r="G2845">
        <v>13053600</v>
      </c>
      <c r="H2845">
        <f t="shared" si="88"/>
        <v>294.00002267573694</v>
      </c>
      <c r="I2845">
        <f t="shared" si="89"/>
        <v>296</v>
      </c>
      <c r="J2845" t="s">
        <v>25</v>
      </c>
      <c r="K2845">
        <v>6</v>
      </c>
      <c r="L2845" t="e">
        <f t="array" ref="L2845">VLOOKUP(J2845:$J$3871&amp;K2845:$K$3871,CHOOSE({1,2},#REF!&amp;#REF!,#REF!),2,0)</f>
        <v>#N/A</v>
      </c>
      <c r="M2845">
        <v>-15</v>
      </c>
      <c r="N2845">
        <v>0</v>
      </c>
      <c r="O2845" t="s">
        <v>7</v>
      </c>
      <c r="P2845">
        <v>1</v>
      </c>
      <c r="Q2845">
        <v>1</v>
      </c>
      <c r="R2845">
        <v>0</v>
      </c>
      <c r="S2845">
        <v>1</v>
      </c>
      <c r="T2845">
        <v>1</v>
      </c>
      <c r="U2845">
        <v>0</v>
      </c>
      <c r="V2845">
        <v>0</v>
      </c>
      <c r="W2845">
        <v>1</v>
      </c>
      <c r="X2845">
        <v>1</v>
      </c>
      <c r="Y2845">
        <v>0</v>
      </c>
      <c r="Z2845">
        <v>0</v>
      </c>
      <c r="AA2845" t="s">
        <v>2890</v>
      </c>
      <c r="AB2845" t="s">
        <v>6215</v>
      </c>
      <c r="AC2845" t="s">
        <v>2890</v>
      </c>
      <c r="AD2845" t="e">
        <f>VLOOKUP(AB2845,#REF!,2,FALSE)</f>
        <v>#REF!</v>
      </c>
      <c r="AE2845" t="e">
        <f>RIGHT(#REF!,(FIND("Complex",#REF!,1)-8))</f>
        <v>#REF!</v>
      </c>
    </row>
    <row r="2846" spans="1:31" x14ac:dyDescent="0.25">
      <c r="A2846">
        <v>3706</v>
      </c>
      <c r="B2846" t="s">
        <v>28</v>
      </c>
      <c r="C2846">
        <v>14</v>
      </c>
      <c r="D2846">
        <v>1179</v>
      </c>
      <c r="E2846">
        <v>3706</v>
      </c>
      <c r="F2846">
        <v>12877201</v>
      </c>
      <c r="G2846">
        <v>12965400</v>
      </c>
      <c r="H2846">
        <f t="shared" si="88"/>
        <v>292.00002267573694</v>
      </c>
      <c r="I2846">
        <f t="shared" si="89"/>
        <v>294</v>
      </c>
      <c r="J2846" t="s">
        <v>25</v>
      </c>
      <c r="K2846">
        <v>6</v>
      </c>
      <c r="L2846" t="e">
        <f t="array" ref="L2846">VLOOKUP(J2846:$J$3871&amp;K2846:$K$3871,CHOOSE({1,2},#REF!&amp;#REF!,#REF!),2,0)</f>
        <v>#N/A</v>
      </c>
      <c r="M2846">
        <v>-15</v>
      </c>
      <c r="N2846">
        <v>0</v>
      </c>
      <c r="O2846" t="s">
        <v>7</v>
      </c>
      <c r="P2846">
        <v>0</v>
      </c>
      <c r="Q2846">
        <v>1</v>
      </c>
      <c r="R2846">
        <v>0</v>
      </c>
      <c r="S2846">
        <v>1</v>
      </c>
      <c r="T2846">
        <v>1</v>
      </c>
      <c r="U2846">
        <v>0</v>
      </c>
      <c r="V2846">
        <v>0</v>
      </c>
      <c r="W2846">
        <v>1</v>
      </c>
      <c r="X2846">
        <v>1</v>
      </c>
      <c r="Y2846">
        <v>0</v>
      </c>
      <c r="Z2846">
        <v>1</v>
      </c>
      <c r="AA2846" t="s">
        <v>2892</v>
      </c>
      <c r="AB2846" t="s">
        <v>6216</v>
      </c>
      <c r="AC2846" t="s">
        <v>2892</v>
      </c>
      <c r="AD2846" t="e">
        <f>VLOOKUP(AB2846,#REF!,2,FALSE)</f>
        <v>#REF!</v>
      </c>
      <c r="AE2846" t="e">
        <f>RIGHT(#REF!,(FIND("Complex",#REF!,1)-8))</f>
        <v>#REF!</v>
      </c>
    </row>
    <row r="2847" spans="1:31" x14ac:dyDescent="0.25">
      <c r="A2847">
        <v>3690</v>
      </c>
      <c r="B2847" t="s">
        <v>28</v>
      </c>
      <c r="C2847">
        <v>14</v>
      </c>
      <c r="D2847">
        <v>1172</v>
      </c>
      <c r="E2847">
        <v>3690</v>
      </c>
      <c r="F2847">
        <v>12348001</v>
      </c>
      <c r="G2847">
        <v>12436200</v>
      </c>
      <c r="H2847">
        <f t="shared" si="88"/>
        <v>280.00002267573694</v>
      </c>
      <c r="I2847">
        <f t="shared" si="89"/>
        <v>282</v>
      </c>
      <c r="J2847" t="s">
        <v>25</v>
      </c>
      <c r="K2847">
        <v>6</v>
      </c>
      <c r="L2847" t="e">
        <f t="array" ref="L2847">VLOOKUP(J2847:$J$3871&amp;K2847:$K$3871,CHOOSE({1,2},#REF!&amp;#REF!,#REF!),2,0)</f>
        <v>#N/A</v>
      </c>
      <c r="M2847">
        <v>-15</v>
      </c>
      <c r="N2847">
        <v>0</v>
      </c>
      <c r="O2847" t="s">
        <v>7</v>
      </c>
      <c r="P2847">
        <v>1</v>
      </c>
      <c r="Q2847">
        <v>1</v>
      </c>
      <c r="R2847">
        <v>0</v>
      </c>
      <c r="S2847">
        <v>1</v>
      </c>
      <c r="T2847">
        <v>1</v>
      </c>
      <c r="U2847">
        <v>0</v>
      </c>
      <c r="V2847">
        <v>0</v>
      </c>
      <c r="W2847">
        <v>1</v>
      </c>
      <c r="X2847">
        <v>1</v>
      </c>
      <c r="Y2847">
        <v>0</v>
      </c>
      <c r="Z2847">
        <v>0</v>
      </c>
      <c r="AA2847" t="s">
        <v>2901</v>
      </c>
      <c r="AB2847" t="s">
        <v>6220</v>
      </c>
      <c r="AC2847" t="s">
        <v>2901</v>
      </c>
      <c r="AD2847" t="e">
        <f>VLOOKUP(AB2847,#REF!,2,FALSE)</f>
        <v>#REF!</v>
      </c>
      <c r="AE2847" t="e">
        <f>RIGHT(#REF!,(FIND("Complex",#REF!,1)-8))</f>
        <v>#REF!</v>
      </c>
    </row>
    <row r="2848" spans="1:31" x14ac:dyDescent="0.25">
      <c r="A2848">
        <v>3318</v>
      </c>
      <c r="B2848" t="s">
        <v>28</v>
      </c>
      <c r="C2848">
        <v>14</v>
      </c>
      <c r="D2848">
        <v>1073</v>
      </c>
      <c r="E2848">
        <v>3318</v>
      </c>
      <c r="F2848">
        <v>11818801</v>
      </c>
      <c r="G2848">
        <v>11907000</v>
      </c>
      <c r="H2848">
        <f t="shared" si="88"/>
        <v>268.00002267573694</v>
      </c>
      <c r="I2848">
        <f t="shared" si="89"/>
        <v>270</v>
      </c>
      <c r="J2848" t="s">
        <v>25</v>
      </c>
      <c r="K2848">
        <v>6</v>
      </c>
      <c r="L2848" t="e">
        <f t="array" ref="L2848">VLOOKUP(J2848:$J$3871&amp;K2848:$K$3871,CHOOSE({1,2},#REF!&amp;#REF!,#REF!),2,0)</f>
        <v>#N/A</v>
      </c>
      <c r="M2848">
        <v>-15</v>
      </c>
      <c r="N2848">
        <v>0</v>
      </c>
      <c r="O2848" t="s">
        <v>7</v>
      </c>
      <c r="P2848">
        <v>1</v>
      </c>
      <c r="Q2848">
        <v>1</v>
      </c>
      <c r="R2848">
        <v>0</v>
      </c>
      <c r="S2848">
        <v>1</v>
      </c>
      <c r="T2848">
        <v>1</v>
      </c>
      <c r="U2848">
        <v>0</v>
      </c>
      <c r="V2848">
        <v>0</v>
      </c>
      <c r="W2848">
        <v>1</v>
      </c>
      <c r="X2848">
        <v>1</v>
      </c>
      <c r="Y2848">
        <v>0</v>
      </c>
      <c r="Z2848">
        <v>0</v>
      </c>
      <c r="AA2848" t="s">
        <v>2913</v>
      </c>
      <c r="AB2848" t="s">
        <v>626</v>
      </c>
      <c r="AC2848" t="s">
        <v>2913</v>
      </c>
      <c r="AD2848" t="e">
        <f>VLOOKUP(AB2848,#REF!,2,FALSE)</f>
        <v>#REF!</v>
      </c>
      <c r="AE2848" t="e">
        <f>RIGHT(#REF!,(FIND("Complex",#REF!,1)-8))</f>
        <v>#REF!</v>
      </c>
    </row>
    <row r="2849" spans="1:31" x14ac:dyDescent="0.25">
      <c r="A2849">
        <v>3393</v>
      </c>
      <c r="B2849" t="s">
        <v>28</v>
      </c>
      <c r="C2849">
        <v>14</v>
      </c>
      <c r="D2849">
        <v>1091</v>
      </c>
      <c r="E2849">
        <v>3393</v>
      </c>
      <c r="F2849">
        <v>11289601</v>
      </c>
      <c r="G2849">
        <v>11377800</v>
      </c>
      <c r="H2849">
        <f t="shared" si="88"/>
        <v>256.00002267573694</v>
      </c>
      <c r="I2849">
        <f t="shared" si="89"/>
        <v>258</v>
      </c>
      <c r="J2849" t="s">
        <v>25</v>
      </c>
      <c r="K2849">
        <v>6</v>
      </c>
      <c r="L2849" t="e">
        <f t="array" ref="L2849">VLOOKUP(J2849:$J$3871&amp;K2849:$K$3871,CHOOSE({1,2},#REF!&amp;#REF!,#REF!),2,0)</f>
        <v>#N/A</v>
      </c>
      <c r="M2849">
        <v>-15</v>
      </c>
      <c r="N2849">
        <v>0</v>
      </c>
      <c r="O2849" t="s">
        <v>7</v>
      </c>
      <c r="P2849">
        <v>0</v>
      </c>
      <c r="Q2849">
        <v>1</v>
      </c>
      <c r="R2849">
        <v>0</v>
      </c>
      <c r="S2849">
        <v>1</v>
      </c>
      <c r="T2849">
        <v>1</v>
      </c>
      <c r="U2849">
        <v>0</v>
      </c>
      <c r="V2849">
        <v>0</v>
      </c>
      <c r="W2849">
        <v>1</v>
      </c>
      <c r="X2849">
        <v>1</v>
      </c>
      <c r="Y2849">
        <v>0</v>
      </c>
      <c r="Z2849">
        <v>1</v>
      </c>
      <c r="AA2849" t="s">
        <v>2927</v>
      </c>
      <c r="AB2849" t="s">
        <v>627</v>
      </c>
      <c r="AC2849" t="s">
        <v>2927</v>
      </c>
      <c r="AD2849" t="e">
        <f>VLOOKUP(AB2849,#REF!,2,FALSE)</f>
        <v>#REF!</v>
      </c>
      <c r="AE2849" t="e">
        <f>RIGHT(#REF!,(FIND("Complex",#REF!,1)-8))</f>
        <v>#REF!</v>
      </c>
    </row>
    <row r="2850" spans="1:31" x14ac:dyDescent="0.25">
      <c r="A2850">
        <v>3469</v>
      </c>
      <c r="B2850" t="s">
        <v>28</v>
      </c>
      <c r="C2850">
        <v>14</v>
      </c>
      <c r="D2850">
        <v>1108</v>
      </c>
      <c r="E2850">
        <v>3469</v>
      </c>
      <c r="F2850">
        <v>9878401</v>
      </c>
      <c r="G2850">
        <v>9966600</v>
      </c>
      <c r="H2850">
        <f t="shared" si="88"/>
        <v>224.00002267573697</v>
      </c>
      <c r="I2850">
        <f t="shared" si="89"/>
        <v>226</v>
      </c>
      <c r="J2850" t="s">
        <v>25</v>
      </c>
      <c r="K2850">
        <v>6</v>
      </c>
      <c r="L2850" t="e">
        <f t="array" ref="L2850">VLOOKUP(J2850:$J$3871&amp;K2850:$K$3871,CHOOSE({1,2},#REF!&amp;#REF!,#REF!),2,0)</f>
        <v>#N/A</v>
      </c>
      <c r="M2850">
        <v>-15</v>
      </c>
      <c r="N2850">
        <v>0</v>
      </c>
      <c r="O2850" t="s">
        <v>7</v>
      </c>
      <c r="P2850">
        <v>1</v>
      </c>
      <c r="Q2850">
        <v>1</v>
      </c>
      <c r="R2850">
        <v>0</v>
      </c>
      <c r="S2850">
        <v>1</v>
      </c>
      <c r="T2850">
        <v>1</v>
      </c>
      <c r="U2850">
        <v>0</v>
      </c>
      <c r="V2850">
        <v>0</v>
      </c>
      <c r="W2850">
        <v>1</v>
      </c>
      <c r="X2850">
        <v>1</v>
      </c>
      <c r="Y2850">
        <v>0</v>
      </c>
      <c r="Z2850">
        <v>0</v>
      </c>
      <c r="AA2850" t="s">
        <v>2997</v>
      </c>
      <c r="AB2850" t="s">
        <v>6240</v>
      </c>
      <c r="AC2850" t="s">
        <v>2997</v>
      </c>
      <c r="AD2850" t="e">
        <f>VLOOKUP(AB2850,#REF!,2,FALSE)</f>
        <v>#REF!</v>
      </c>
      <c r="AE2850" t="e">
        <f>RIGHT(#REF!,(FIND("Complex",#REF!,1)-8))</f>
        <v>#REF!</v>
      </c>
    </row>
    <row r="2851" spans="1:31" x14ac:dyDescent="0.25">
      <c r="A2851">
        <v>2728</v>
      </c>
      <c r="B2851" t="s">
        <v>28</v>
      </c>
      <c r="C2851">
        <v>14</v>
      </c>
      <c r="D2851">
        <v>974</v>
      </c>
      <c r="E2851">
        <v>2728</v>
      </c>
      <c r="F2851">
        <v>9525601</v>
      </c>
      <c r="G2851">
        <v>9613800</v>
      </c>
      <c r="H2851">
        <f t="shared" si="88"/>
        <v>216.00002267573697</v>
      </c>
      <c r="I2851">
        <f t="shared" si="89"/>
        <v>218</v>
      </c>
      <c r="J2851" t="s">
        <v>25</v>
      </c>
      <c r="K2851">
        <v>6</v>
      </c>
      <c r="L2851" t="e">
        <f t="array" ref="L2851">VLOOKUP(J2851:$J$3871&amp;K2851:$K$3871,CHOOSE({1,2},#REF!&amp;#REF!,#REF!),2,0)</f>
        <v>#N/A</v>
      </c>
      <c r="M2851">
        <v>-15</v>
      </c>
      <c r="N2851">
        <v>0</v>
      </c>
      <c r="O2851" t="s">
        <v>7</v>
      </c>
      <c r="P2851">
        <v>1</v>
      </c>
      <c r="Q2851">
        <v>1</v>
      </c>
      <c r="R2851">
        <v>0</v>
      </c>
      <c r="S2851">
        <v>1</v>
      </c>
      <c r="T2851">
        <v>1</v>
      </c>
      <c r="U2851">
        <v>0</v>
      </c>
      <c r="V2851">
        <v>0</v>
      </c>
      <c r="W2851">
        <v>1</v>
      </c>
      <c r="X2851">
        <v>1</v>
      </c>
      <c r="Y2851">
        <v>0</v>
      </c>
      <c r="Z2851">
        <v>0</v>
      </c>
      <c r="AA2851" t="s">
        <v>3015</v>
      </c>
      <c r="AB2851" t="s">
        <v>6244</v>
      </c>
      <c r="AC2851" t="s">
        <v>3015</v>
      </c>
      <c r="AD2851" t="e">
        <f>VLOOKUP(AB2851,#REF!,2,FALSE)</f>
        <v>#REF!</v>
      </c>
      <c r="AE2851" t="e">
        <f>RIGHT(#REF!,(FIND("Complex",#REF!,1)-7))</f>
        <v>#REF!</v>
      </c>
    </row>
    <row r="2852" spans="1:31" x14ac:dyDescent="0.25">
      <c r="A2852">
        <v>3382</v>
      </c>
      <c r="B2852" t="s">
        <v>28</v>
      </c>
      <c r="C2852">
        <v>14</v>
      </c>
      <c r="D2852">
        <v>1089</v>
      </c>
      <c r="E2852">
        <v>3382</v>
      </c>
      <c r="F2852">
        <v>8290801</v>
      </c>
      <c r="G2852">
        <v>8379000</v>
      </c>
      <c r="H2852">
        <f t="shared" si="88"/>
        <v>188.00002267573697</v>
      </c>
      <c r="I2852">
        <f t="shared" si="89"/>
        <v>190</v>
      </c>
      <c r="J2852" t="s">
        <v>25</v>
      </c>
      <c r="K2852">
        <v>6</v>
      </c>
      <c r="L2852" t="e">
        <f t="array" ref="L2852">VLOOKUP(J2852:$J$3871&amp;K2852:$K$3871,CHOOSE({1,2},#REF!&amp;#REF!,#REF!),2,0)</f>
        <v>#N/A</v>
      </c>
      <c r="M2852">
        <v>-15</v>
      </c>
      <c r="N2852">
        <v>0</v>
      </c>
      <c r="O2852" t="s">
        <v>7</v>
      </c>
      <c r="P2852">
        <v>1</v>
      </c>
      <c r="Q2852">
        <v>1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1</v>
      </c>
      <c r="X2852">
        <v>1</v>
      </c>
      <c r="Y2852">
        <v>0</v>
      </c>
      <c r="Z2852">
        <v>1</v>
      </c>
      <c r="AA2852" t="s">
        <v>3096</v>
      </c>
      <c r="AB2852" t="s">
        <v>628</v>
      </c>
      <c r="AC2852" t="s">
        <v>3096</v>
      </c>
      <c r="AD2852" t="e">
        <f>VLOOKUP(AB2852,#REF!,2,FALSE)</f>
        <v>#REF!</v>
      </c>
      <c r="AE2852" t="e">
        <f>RIGHT(#REF!,(FIND("Complex",#REF!,1)-8))</f>
        <v>#REF!</v>
      </c>
    </row>
    <row r="2853" spans="1:31" x14ac:dyDescent="0.25">
      <c r="A2853">
        <v>3766</v>
      </c>
      <c r="B2853" t="s">
        <v>28</v>
      </c>
      <c r="C2853">
        <v>14</v>
      </c>
      <c r="D2853">
        <v>1199</v>
      </c>
      <c r="E2853">
        <v>3766</v>
      </c>
      <c r="F2853">
        <v>7849801</v>
      </c>
      <c r="G2853">
        <v>7938000</v>
      </c>
      <c r="H2853">
        <f t="shared" si="88"/>
        <v>178.00002267573697</v>
      </c>
      <c r="I2853">
        <f t="shared" si="89"/>
        <v>180</v>
      </c>
      <c r="J2853" t="s">
        <v>25</v>
      </c>
      <c r="K2853">
        <v>6</v>
      </c>
      <c r="L2853" t="e">
        <f t="array" ref="L2853">VLOOKUP(J2853:$J$3871&amp;K2853:$K$3871,CHOOSE({1,2},#REF!&amp;#REF!,#REF!),2,0)</f>
        <v>#N/A</v>
      </c>
      <c r="M2853">
        <v>-15</v>
      </c>
      <c r="N2853">
        <v>0</v>
      </c>
      <c r="O2853" t="s">
        <v>7</v>
      </c>
      <c r="P2853">
        <v>1</v>
      </c>
      <c r="Q2853">
        <v>1</v>
      </c>
      <c r="R2853">
        <v>0</v>
      </c>
      <c r="S2853">
        <v>1</v>
      </c>
      <c r="T2853">
        <v>1</v>
      </c>
      <c r="U2853">
        <v>0</v>
      </c>
      <c r="V2853">
        <v>0</v>
      </c>
      <c r="W2853">
        <v>1</v>
      </c>
      <c r="X2853">
        <v>1</v>
      </c>
      <c r="Y2853">
        <v>0</v>
      </c>
      <c r="Z2853">
        <v>0</v>
      </c>
      <c r="AA2853" t="s">
        <v>3141</v>
      </c>
      <c r="AB2853" t="s">
        <v>6274</v>
      </c>
      <c r="AC2853" t="s">
        <v>3141</v>
      </c>
      <c r="AD2853" t="e">
        <f>VLOOKUP(AB2853,#REF!,2,FALSE)</f>
        <v>#REF!</v>
      </c>
      <c r="AE2853" t="e">
        <f>RIGHT(#REF!,(FIND("Complex",#REF!,1)-8))</f>
        <v>#REF!</v>
      </c>
    </row>
    <row r="2854" spans="1:31" x14ac:dyDescent="0.25">
      <c r="A2854">
        <v>1572</v>
      </c>
      <c r="B2854" t="s">
        <v>28</v>
      </c>
      <c r="C2854">
        <v>14</v>
      </c>
      <c r="D2854">
        <v>683</v>
      </c>
      <c r="E2854">
        <v>1572</v>
      </c>
      <c r="F2854">
        <v>7232401</v>
      </c>
      <c r="G2854">
        <v>7320600</v>
      </c>
      <c r="H2854">
        <f t="shared" si="88"/>
        <v>164.00002267573697</v>
      </c>
      <c r="I2854">
        <f t="shared" si="89"/>
        <v>166</v>
      </c>
      <c r="J2854" t="s">
        <v>25</v>
      </c>
      <c r="K2854">
        <v>6</v>
      </c>
      <c r="L2854" t="e">
        <f t="array" ref="L2854">VLOOKUP(J2854:$J$3871&amp;K2854:$K$3871,CHOOSE({1,2},#REF!&amp;#REF!,#REF!),2,0)</f>
        <v>#N/A</v>
      </c>
      <c r="M2854">
        <v>-15</v>
      </c>
      <c r="N2854">
        <v>0</v>
      </c>
      <c r="O2854" t="s">
        <v>7</v>
      </c>
      <c r="P2854">
        <v>1</v>
      </c>
      <c r="Q2854">
        <v>1</v>
      </c>
      <c r="R2854">
        <v>0</v>
      </c>
      <c r="S2854">
        <v>1</v>
      </c>
      <c r="T2854">
        <v>1</v>
      </c>
      <c r="U2854">
        <v>0</v>
      </c>
      <c r="V2854">
        <v>0</v>
      </c>
      <c r="W2854">
        <v>1</v>
      </c>
      <c r="X2854">
        <v>1</v>
      </c>
      <c r="Y2854">
        <v>0</v>
      </c>
      <c r="Z2854">
        <v>0</v>
      </c>
      <c r="AA2854" t="s">
        <v>3187</v>
      </c>
      <c r="AB2854" t="s">
        <v>629</v>
      </c>
      <c r="AC2854" t="s">
        <v>3187</v>
      </c>
      <c r="AD2854" t="e">
        <f>VLOOKUP(AB2854,#REF!,2,FALSE)</f>
        <v>#REF!</v>
      </c>
      <c r="AE2854" t="e">
        <f>RIGHT(#REF!,(FIND("Complex",#REF!,1)-7))</f>
        <v>#REF!</v>
      </c>
    </row>
    <row r="2855" spans="1:31" x14ac:dyDescent="0.25">
      <c r="A2855">
        <v>3021</v>
      </c>
      <c r="B2855" t="s">
        <v>28</v>
      </c>
      <c r="C2855">
        <v>14</v>
      </c>
      <c r="D2855">
        <v>1023</v>
      </c>
      <c r="E2855">
        <v>3021</v>
      </c>
      <c r="F2855">
        <v>7056001</v>
      </c>
      <c r="G2855">
        <v>7144200</v>
      </c>
      <c r="H2855">
        <f t="shared" si="88"/>
        <v>160.00002267573697</v>
      </c>
      <c r="I2855">
        <f t="shared" si="89"/>
        <v>162</v>
      </c>
      <c r="J2855" t="s">
        <v>25</v>
      </c>
      <c r="K2855">
        <v>6</v>
      </c>
      <c r="L2855" t="e">
        <f t="array" ref="L2855">VLOOKUP(J2855:$J$3871&amp;K2855:$K$3871,CHOOSE({1,2},#REF!&amp;#REF!,#REF!),2,0)</f>
        <v>#N/A</v>
      </c>
      <c r="M2855">
        <v>-15</v>
      </c>
      <c r="N2855">
        <v>0</v>
      </c>
      <c r="O2855" t="s">
        <v>7</v>
      </c>
      <c r="P2855">
        <v>1</v>
      </c>
      <c r="Q2855">
        <v>1</v>
      </c>
      <c r="R2855">
        <v>0</v>
      </c>
      <c r="S2855">
        <v>1</v>
      </c>
      <c r="T2855">
        <v>1</v>
      </c>
      <c r="U2855">
        <v>0</v>
      </c>
      <c r="V2855">
        <v>0</v>
      </c>
      <c r="W2855">
        <v>1</v>
      </c>
      <c r="X2855">
        <v>1</v>
      </c>
      <c r="Y2855">
        <v>0</v>
      </c>
      <c r="Z2855">
        <v>0</v>
      </c>
      <c r="AA2855" t="s">
        <v>3195</v>
      </c>
      <c r="AB2855" t="s">
        <v>6283</v>
      </c>
      <c r="AC2855" t="s">
        <v>3195</v>
      </c>
      <c r="AD2855" t="e">
        <f>VLOOKUP(AB2855,#REF!,2,FALSE)</f>
        <v>#REF!</v>
      </c>
      <c r="AE2855" t="e">
        <f>RIGHT(#REF!,(FIND("Complex",#REF!,1)-8))</f>
        <v>#REF!</v>
      </c>
    </row>
    <row r="2856" spans="1:31" x14ac:dyDescent="0.25">
      <c r="A2856">
        <v>3414</v>
      </c>
      <c r="B2856" t="s">
        <v>28</v>
      </c>
      <c r="C2856">
        <v>14</v>
      </c>
      <c r="D2856">
        <v>1098</v>
      </c>
      <c r="E2856">
        <v>3414</v>
      </c>
      <c r="F2856">
        <v>6526801</v>
      </c>
      <c r="G2856">
        <v>6615000</v>
      </c>
      <c r="H2856">
        <f t="shared" si="88"/>
        <v>148.00002267573697</v>
      </c>
      <c r="I2856">
        <f t="shared" si="89"/>
        <v>150</v>
      </c>
      <c r="J2856" t="s">
        <v>25</v>
      </c>
      <c r="K2856">
        <v>6</v>
      </c>
      <c r="L2856" t="e">
        <f t="array" ref="L2856">VLOOKUP(J2856:$J$3871&amp;K2856:$K$3871,CHOOSE({1,2},#REF!&amp;#REF!,#REF!),2,0)</f>
        <v>#N/A</v>
      </c>
      <c r="M2856">
        <v>-15</v>
      </c>
      <c r="N2856">
        <v>0</v>
      </c>
      <c r="O2856" t="s">
        <v>7</v>
      </c>
      <c r="P2856">
        <v>1</v>
      </c>
      <c r="Q2856">
        <v>1</v>
      </c>
      <c r="R2856">
        <v>0</v>
      </c>
      <c r="S2856">
        <v>1</v>
      </c>
      <c r="T2856">
        <v>1</v>
      </c>
      <c r="U2856">
        <v>0</v>
      </c>
      <c r="V2856">
        <v>0</v>
      </c>
      <c r="W2856">
        <v>1</v>
      </c>
      <c r="X2856">
        <v>1</v>
      </c>
      <c r="Y2856">
        <v>0</v>
      </c>
      <c r="Z2856">
        <v>0</v>
      </c>
      <c r="AA2856" t="s">
        <v>3235</v>
      </c>
      <c r="AB2856" t="s">
        <v>6288</v>
      </c>
      <c r="AC2856" t="s">
        <v>3235</v>
      </c>
      <c r="AD2856" t="e">
        <f>VLOOKUP(AB2856,#REF!,2,FALSE)</f>
        <v>#REF!</v>
      </c>
      <c r="AE2856" t="e">
        <f>RIGHT(#REF!,(FIND("Complex",#REF!,1)-8))</f>
        <v>#REF!</v>
      </c>
    </row>
    <row r="2857" spans="1:31" x14ac:dyDescent="0.25">
      <c r="A2857">
        <v>3829</v>
      </c>
      <c r="B2857" t="s">
        <v>28</v>
      </c>
      <c r="C2857">
        <v>14</v>
      </c>
      <c r="D2857">
        <v>1218</v>
      </c>
      <c r="E2857">
        <v>3829</v>
      </c>
      <c r="F2857">
        <v>6085801</v>
      </c>
      <c r="G2857">
        <v>6174000</v>
      </c>
      <c r="H2857">
        <f t="shared" si="88"/>
        <v>138.00002267573697</v>
      </c>
      <c r="I2857">
        <f t="shared" si="89"/>
        <v>140</v>
      </c>
      <c r="J2857" t="s">
        <v>25</v>
      </c>
      <c r="K2857">
        <v>6</v>
      </c>
      <c r="L2857" t="e">
        <f t="array" ref="L2857">VLOOKUP(J2857:$J$3871&amp;K2857:$K$3871,CHOOSE({1,2},#REF!&amp;#REF!,#REF!),2,0)</f>
        <v>#N/A</v>
      </c>
      <c r="M2857">
        <v>-15</v>
      </c>
      <c r="N2857">
        <v>0</v>
      </c>
      <c r="O2857" t="s">
        <v>7</v>
      </c>
      <c r="P2857">
        <v>1</v>
      </c>
      <c r="Q2857">
        <v>1</v>
      </c>
      <c r="R2857">
        <v>0</v>
      </c>
      <c r="S2857">
        <v>1</v>
      </c>
      <c r="T2857">
        <v>1</v>
      </c>
      <c r="U2857">
        <v>0</v>
      </c>
      <c r="V2857">
        <v>0</v>
      </c>
      <c r="W2857">
        <v>1</v>
      </c>
      <c r="X2857">
        <v>1</v>
      </c>
      <c r="Y2857">
        <v>0</v>
      </c>
      <c r="Z2857">
        <v>0</v>
      </c>
      <c r="AA2857" t="s">
        <v>3277</v>
      </c>
      <c r="AB2857" t="s">
        <v>630</v>
      </c>
      <c r="AC2857" t="s">
        <v>3277</v>
      </c>
      <c r="AD2857" t="e">
        <f>VLOOKUP(AB2857,#REF!,2,FALSE)</f>
        <v>#REF!</v>
      </c>
      <c r="AE2857" t="e">
        <f>RIGHT(#REF!,(FIND("Complex",#REF!,1)-8))</f>
        <v>#REF!</v>
      </c>
    </row>
    <row r="2858" spans="1:31" x14ac:dyDescent="0.25">
      <c r="A2858">
        <v>3756</v>
      </c>
      <c r="B2858" t="s">
        <v>28</v>
      </c>
      <c r="C2858">
        <v>14</v>
      </c>
      <c r="D2858">
        <v>1194</v>
      </c>
      <c r="E2858">
        <v>3756</v>
      </c>
      <c r="F2858">
        <v>5203801</v>
      </c>
      <c r="G2858">
        <v>5292000</v>
      </c>
      <c r="H2858">
        <f t="shared" si="88"/>
        <v>118.00002267573696</v>
      </c>
      <c r="I2858">
        <f t="shared" si="89"/>
        <v>120</v>
      </c>
      <c r="J2858" t="s">
        <v>25</v>
      </c>
      <c r="K2858">
        <v>6</v>
      </c>
      <c r="L2858" t="e">
        <f t="array" ref="L2858">VLOOKUP(J2858:$J$3871&amp;K2858:$K$3871,CHOOSE({1,2},#REF!&amp;#REF!,#REF!),2,0)</f>
        <v>#N/A</v>
      </c>
      <c r="M2858">
        <v>-15</v>
      </c>
      <c r="N2858">
        <v>0</v>
      </c>
      <c r="O2858" t="s">
        <v>7</v>
      </c>
      <c r="P2858">
        <v>1</v>
      </c>
      <c r="Q2858">
        <v>1</v>
      </c>
      <c r="R2858">
        <v>0</v>
      </c>
      <c r="S2858">
        <v>1</v>
      </c>
      <c r="T2858">
        <v>1</v>
      </c>
      <c r="U2858">
        <v>0</v>
      </c>
      <c r="V2858">
        <v>0</v>
      </c>
      <c r="W2858">
        <v>1</v>
      </c>
      <c r="X2858">
        <v>1</v>
      </c>
      <c r="Y2858">
        <v>0</v>
      </c>
      <c r="Z2858">
        <v>0</v>
      </c>
      <c r="AA2858" t="s">
        <v>3400</v>
      </c>
      <c r="AB2858" t="s">
        <v>6307</v>
      </c>
      <c r="AC2858" t="s">
        <v>3400</v>
      </c>
      <c r="AD2858" t="e">
        <f>VLOOKUP(AB2858,#REF!,2,FALSE)</f>
        <v>#REF!</v>
      </c>
      <c r="AE2858" t="e">
        <f>RIGHT(#REF!,(FIND("Complex",#REF!,1)-8))</f>
        <v>#REF!</v>
      </c>
    </row>
    <row r="2859" spans="1:31" x14ac:dyDescent="0.25">
      <c r="A2859">
        <v>17</v>
      </c>
      <c r="B2859" t="s">
        <v>28</v>
      </c>
      <c r="C2859">
        <v>14</v>
      </c>
      <c r="D2859">
        <v>6</v>
      </c>
      <c r="E2859">
        <v>17</v>
      </c>
      <c r="F2859">
        <v>4851001</v>
      </c>
      <c r="G2859">
        <v>4939200</v>
      </c>
      <c r="H2859">
        <f t="shared" si="88"/>
        <v>110.00002267573696</v>
      </c>
      <c r="I2859">
        <f t="shared" si="89"/>
        <v>112</v>
      </c>
      <c r="J2859" t="s">
        <v>25</v>
      </c>
      <c r="K2859">
        <v>6</v>
      </c>
      <c r="L2859" t="e">
        <f t="array" ref="L2859">VLOOKUP(J2859:$J$3871&amp;K2859:$K$3871,CHOOSE({1,2},#REF!&amp;#REF!,#REF!),2,0)</f>
        <v>#N/A</v>
      </c>
      <c r="M2859">
        <v>-15</v>
      </c>
      <c r="N2859">
        <v>0</v>
      </c>
      <c r="O2859" t="s">
        <v>7</v>
      </c>
      <c r="P2859">
        <v>1</v>
      </c>
      <c r="Q2859">
        <v>1</v>
      </c>
      <c r="R2859">
        <v>0</v>
      </c>
      <c r="S2859">
        <v>1</v>
      </c>
      <c r="T2859">
        <v>1</v>
      </c>
      <c r="U2859">
        <v>0</v>
      </c>
      <c r="V2859">
        <v>0</v>
      </c>
      <c r="W2859">
        <v>1</v>
      </c>
      <c r="X2859">
        <v>1</v>
      </c>
      <c r="Y2859">
        <v>0</v>
      </c>
      <c r="Z2859">
        <v>0</v>
      </c>
      <c r="AA2859" t="s">
        <v>3452</v>
      </c>
      <c r="AB2859" t="s">
        <v>631</v>
      </c>
      <c r="AC2859" t="s">
        <v>3452</v>
      </c>
      <c r="AD2859" t="e">
        <f>VLOOKUP(AB2859,#REF!,2,FALSE)</f>
        <v>#REF!</v>
      </c>
      <c r="AE2859" t="e">
        <f>RIGHT(#REF!,(FIND("Complex",#REF!,1)-5))</f>
        <v>#REF!</v>
      </c>
    </row>
    <row r="2860" spans="1:31" x14ac:dyDescent="0.25">
      <c r="A2860">
        <v>2360</v>
      </c>
      <c r="B2860" t="s">
        <v>43</v>
      </c>
      <c r="C2860">
        <v>19</v>
      </c>
      <c r="D2860">
        <v>949</v>
      </c>
      <c r="E2860">
        <v>2360</v>
      </c>
      <c r="F2860">
        <v>4057201</v>
      </c>
      <c r="G2860">
        <v>4145400</v>
      </c>
      <c r="H2860">
        <f t="shared" si="88"/>
        <v>92.000022675736957</v>
      </c>
      <c r="I2860">
        <f t="shared" si="89"/>
        <v>94</v>
      </c>
      <c r="J2860" t="s">
        <v>25</v>
      </c>
      <c r="K2860">
        <v>6</v>
      </c>
      <c r="L2860" t="e">
        <f t="array" ref="L2860">VLOOKUP(J2860:$J$3871&amp;K2860:$K$3871,CHOOSE({1,2},#REF!&amp;#REF!,#REF!),2,0)</f>
        <v>#N/A</v>
      </c>
      <c r="M2860">
        <v>-15</v>
      </c>
      <c r="N2860">
        <v>0</v>
      </c>
      <c r="O2860" t="s">
        <v>7</v>
      </c>
      <c r="P2860">
        <v>1</v>
      </c>
      <c r="Q2860">
        <v>1</v>
      </c>
      <c r="R2860">
        <v>1</v>
      </c>
      <c r="S2860">
        <v>0</v>
      </c>
      <c r="T2860">
        <v>1</v>
      </c>
      <c r="U2860">
        <v>0</v>
      </c>
      <c r="V2860">
        <v>0</v>
      </c>
      <c r="W2860">
        <v>1</v>
      </c>
      <c r="X2860">
        <v>1</v>
      </c>
      <c r="Y2860">
        <v>0</v>
      </c>
      <c r="Z2860">
        <v>0</v>
      </c>
      <c r="AA2860" t="s">
        <v>2650</v>
      </c>
      <c r="AB2860" t="s">
        <v>672</v>
      </c>
      <c r="AC2860" t="s">
        <v>2650</v>
      </c>
      <c r="AD2860" t="e">
        <f>VLOOKUP(AB2860,#REF!,2,FALSE)</f>
        <v>#REF!</v>
      </c>
      <c r="AE2860" t="e">
        <f>RIGHT(#REF!,(FIND("Complex",#REF!,1)-8))</f>
        <v>#REF!</v>
      </c>
    </row>
    <row r="2861" spans="1:31" x14ac:dyDescent="0.25">
      <c r="A2861">
        <v>2427</v>
      </c>
      <c r="B2861" t="s">
        <v>43</v>
      </c>
      <c r="C2861">
        <v>19</v>
      </c>
      <c r="D2861">
        <v>956</v>
      </c>
      <c r="E2861">
        <v>2427</v>
      </c>
      <c r="F2861">
        <v>5733001</v>
      </c>
      <c r="G2861">
        <v>5821200</v>
      </c>
      <c r="H2861">
        <f t="shared" si="88"/>
        <v>130.00002267573697</v>
      </c>
      <c r="I2861">
        <f t="shared" si="89"/>
        <v>132</v>
      </c>
      <c r="J2861" t="s">
        <v>25</v>
      </c>
      <c r="K2861">
        <v>6</v>
      </c>
      <c r="L2861" t="e">
        <f t="array" ref="L2861">VLOOKUP(J2861:$J$3871&amp;K2861:$K$3871,CHOOSE({1,2},#REF!&amp;#REF!,#REF!),2,0)</f>
        <v>#N/A</v>
      </c>
      <c r="M2861">
        <v>-15</v>
      </c>
      <c r="N2861">
        <v>0</v>
      </c>
      <c r="O2861" t="s">
        <v>7</v>
      </c>
      <c r="P2861">
        <v>1</v>
      </c>
      <c r="Q2861">
        <v>1</v>
      </c>
      <c r="R2861">
        <v>1</v>
      </c>
      <c r="S2861">
        <v>0</v>
      </c>
      <c r="T2861">
        <v>1</v>
      </c>
      <c r="U2861">
        <v>0</v>
      </c>
      <c r="V2861">
        <v>0</v>
      </c>
      <c r="W2861">
        <v>1</v>
      </c>
      <c r="X2861">
        <v>1</v>
      </c>
      <c r="Y2861">
        <v>0</v>
      </c>
      <c r="Z2861">
        <v>0</v>
      </c>
      <c r="AA2861" t="s">
        <v>3327</v>
      </c>
      <c r="AB2861" t="s">
        <v>673</v>
      </c>
      <c r="AC2861" t="s">
        <v>3327</v>
      </c>
      <c r="AD2861" t="e">
        <f>VLOOKUP(AB2861,#REF!,2,FALSE)</f>
        <v>#REF!</v>
      </c>
      <c r="AE2861" t="e">
        <f>RIGHT(#REF!,(FIND("Complex",#REF!,1)-7))</f>
        <v>#REF!</v>
      </c>
    </row>
    <row r="2862" spans="1:31" x14ac:dyDescent="0.25">
      <c r="A2862">
        <v>1055</v>
      </c>
      <c r="B2862" t="s">
        <v>43</v>
      </c>
      <c r="C2862">
        <v>19</v>
      </c>
      <c r="D2862">
        <v>466</v>
      </c>
      <c r="E2862">
        <v>1055</v>
      </c>
      <c r="F2862">
        <v>5468401</v>
      </c>
      <c r="G2862">
        <v>5556600</v>
      </c>
      <c r="H2862">
        <f t="shared" si="88"/>
        <v>124.00002267573696</v>
      </c>
      <c r="I2862">
        <f t="shared" si="89"/>
        <v>126</v>
      </c>
      <c r="J2862" t="s">
        <v>25</v>
      </c>
      <c r="K2862">
        <v>6</v>
      </c>
      <c r="L2862" t="e">
        <f t="array" ref="L2862">VLOOKUP(J2862:$J$3871&amp;K2862:$K$3871,CHOOSE({1,2},#REF!&amp;#REF!,#REF!),2,0)</f>
        <v>#N/A</v>
      </c>
      <c r="M2862">
        <v>-15</v>
      </c>
      <c r="N2862">
        <v>0</v>
      </c>
      <c r="O2862" t="s">
        <v>7</v>
      </c>
      <c r="P2862">
        <v>1</v>
      </c>
      <c r="Q2862">
        <v>1</v>
      </c>
      <c r="R2862">
        <v>1</v>
      </c>
      <c r="S2862">
        <v>0</v>
      </c>
      <c r="T2862">
        <v>1</v>
      </c>
      <c r="U2862">
        <v>0</v>
      </c>
      <c r="V2862">
        <v>0</v>
      </c>
      <c r="W2862">
        <v>1</v>
      </c>
      <c r="X2862">
        <v>1</v>
      </c>
      <c r="Y2862">
        <v>0</v>
      </c>
      <c r="Z2862">
        <v>0</v>
      </c>
      <c r="AA2862" t="s">
        <v>3361</v>
      </c>
      <c r="AB2862" t="s">
        <v>674</v>
      </c>
      <c r="AC2862" t="s">
        <v>3361</v>
      </c>
      <c r="AD2862" t="e">
        <f>VLOOKUP(AB2862,#REF!,2,FALSE)</f>
        <v>#REF!</v>
      </c>
      <c r="AE2862" t="e">
        <f>RIGHT(#REF!,(FIND("Complex",#REF!,1)-7))</f>
        <v>#REF!</v>
      </c>
    </row>
    <row r="2863" spans="1:31" x14ac:dyDescent="0.25">
      <c r="A2863">
        <v>1014</v>
      </c>
      <c r="B2863" t="s">
        <v>43</v>
      </c>
      <c r="C2863">
        <v>19</v>
      </c>
      <c r="D2863">
        <v>450</v>
      </c>
      <c r="E2863">
        <v>1014</v>
      </c>
      <c r="F2863">
        <v>4939201</v>
      </c>
      <c r="G2863">
        <v>5027400</v>
      </c>
      <c r="H2863">
        <f t="shared" si="88"/>
        <v>112.00002267573696</v>
      </c>
      <c r="I2863">
        <f t="shared" si="89"/>
        <v>114</v>
      </c>
      <c r="J2863" t="s">
        <v>25</v>
      </c>
      <c r="K2863">
        <v>6</v>
      </c>
      <c r="L2863" t="e">
        <f t="array" ref="L2863">VLOOKUP(J2863:$J$3871&amp;K2863:$K$3871,CHOOSE({1,2},#REF!&amp;#REF!,#REF!),2,0)</f>
        <v>#N/A</v>
      </c>
      <c r="M2863">
        <v>-15</v>
      </c>
      <c r="N2863">
        <v>0</v>
      </c>
      <c r="O2863" t="s">
        <v>7</v>
      </c>
      <c r="P2863">
        <v>1</v>
      </c>
      <c r="Q2863">
        <v>1</v>
      </c>
      <c r="R2863">
        <v>1</v>
      </c>
      <c r="S2863">
        <v>0</v>
      </c>
      <c r="T2863">
        <v>1</v>
      </c>
      <c r="U2863">
        <v>0</v>
      </c>
      <c r="V2863">
        <v>0</v>
      </c>
      <c r="W2863">
        <v>1</v>
      </c>
      <c r="X2863">
        <v>1</v>
      </c>
      <c r="Y2863">
        <v>0</v>
      </c>
      <c r="Z2863">
        <v>0</v>
      </c>
      <c r="AA2863" t="s">
        <v>3439</v>
      </c>
      <c r="AB2863" t="s">
        <v>675</v>
      </c>
      <c r="AC2863" t="s">
        <v>3439</v>
      </c>
      <c r="AD2863" t="e">
        <f>VLOOKUP(AB2863,#REF!,2,FALSE)</f>
        <v>#REF!</v>
      </c>
      <c r="AE2863" t="e">
        <f>RIGHT(#REF!,(FIND("Complex",#REF!,1)-7))</f>
        <v>#REF!</v>
      </c>
    </row>
    <row r="2864" spans="1:31" x14ac:dyDescent="0.25">
      <c r="A2864">
        <v>1868</v>
      </c>
      <c r="B2864" t="s">
        <v>61</v>
      </c>
      <c r="C2864">
        <v>21</v>
      </c>
      <c r="D2864">
        <v>814</v>
      </c>
      <c r="E2864">
        <v>1868</v>
      </c>
      <c r="F2864">
        <v>4145401</v>
      </c>
      <c r="G2864">
        <v>4233600</v>
      </c>
      <c r="H2864">
        <f t="shared" si="88"/>
        <v>94.000022675736957</v>
      </c>
      <c r="I2864">
        <f t="shared" si="89"/>
        <v>96</v>
      </c>
      <c r="J2864" t="s">
        <v>25</v>
      </c>
      <c r="K2864">
        <v>6</v>
      </c>
      <c r="L2864" t="e">
        <f t="array" ref="L2864">VLOOKUP(J2864:$J$3871&amp;K2864:$K$3871,CHOOSE({1,2},#REF!&amp;#REF!,#REF!),2,0)</f>
        <v>#N/A</v>
      </c>
      <c r="M2864">
        <v>-15</v>
      </c>
      <c r="N2864">
        <v>0</v>
      </c>
      <c r="O2864" t="s">
        <v>7</v>
      </c>
      <c r="P2864">
        <v>1</v>
      </c>
      <c r="Q2864">
        <v>0</v>
      </c>
      <c r="R2864">
        <v>1</v>
      </c>
      <c r="S2864">
        <v>1</v>
      </c>
      <c r="T2864">
        <v>1</v>
      </c>
      <c r="U2864">
        <v>0</v>
      </c>
      <c r="V2864">
        <v>0</v>
      </c>
      <c r="W2864">
        <v>1</v>
      </c>
      <c r="X2864">
        <v>1</v>
      </c>
      <c r="Y2864">
        <v>0</v>
      </c>
      <c r="Z2864">
        <v>0</v>
      </c>
      <c r="AA2864" t="s">
        <v>2640</v>
      </c>
      <c r="AB2864" t="s">
        <v>730</v>
      </c>
      <c r="AC2864" t="s">
        <v>2640</v>
      </c>
      <c r="AD2864" t="e">
        <f>VLOOKUP(AB2864,#REF!,2,FALSE)</f>
        <v>#REF!</v>
      </c>
      <c r="AE2864" t="e">
        <f>RIGHT(#REF!,(FIND("Complex",#REF!,1)-8))</f>
        <v>#REF!</v>
      </c>
    </row>
    <row r="2865" spans="1:31" x14ac:dyDescent="0.25">
      <c r="A2865">
        <v>368</v>
      </c>
      <c r="B2865" t="s">
        <v>61</v>
      </c>
      <c r="C2865">
        <v>21</v>
      </c>
      <c r="D2865">
        <v>154</v>
      </c>
      <c r="E2865">
        <v>368</v>
      </c>
      <c r="F2865">
        <v>7497001</v>
      </c>
      <c r="G2865">
        <v>7585200</v>
      </c>
      <c r="H2865">
        <f t="shared" si="88"/>
        <v>170.00002267573697</v>
      </c>
      <c r="I2865">
        <f t="shared" si="89"/>
        <v>172</v>
      </c>
      <c r="J2865" t="s">
        <v>25</v>
      </c>
      <c r="K2865">
        <v>6</v>
      </c>
      <c r="L2865" t="e">
        <f t="array" ref="L2865">VLOOKUP(J2865:$J$3871&amp;K2865:$K$3871,CHOOSE({1,2},#REF!&amp;#REF!,#REF!),2,0)</f>
        <v>#N/A</v>
      </c>
      <c r="M2865">
        <v>-15</v>
      </c>
      <c r="N2865">
        <v>0</v>
      </c>
      <c r="O2865" t="s">
        <v>7</v>
      </c>
      <c r="P2865">
        <v>1</v>
      </c>
      <c r="Q2865">
        <v>0</v>
      </c>
      <c r="R2865">
        <v>1</v>
      </c>
      <c r="S2865">
        <v>1</v>
      </c>
      <c r="T2865">
        <v>1</v>
      </c>
      <c r="U2865">
        <v>0</v>
      </c>
      <c r="V2865">
        <v>0</v>
      </c>
      <c r="W2865">
        <v>1</v>
      </c>
      <c r="X2865">
        <v>1</v>
      </c>
      <c r="Y2865">
        <v>0</v>
      </c>
      <c r="Z2865">
        <v>0</v>
      </c>
      <c r="AA2865" t="s">
        <v>3175</v>
      </c>
      <c r="AB2865" t="s">
        <v>164</v>
      </c>
      <c r="AC2865" t="s">
        <v>3175</v>
      </c>
      <c r="AD2865" t="e">
        <f>VLOOKUP(AB2865,#REF!,2,FALSE)</f>
        <v>#REF!</v>
      </c>
      <c r="AE2865" t="e">
        <f>RIGHT(#REF!,(FIND("Complex",#REF!,1)-6))</f>
        <v>#REF!</v>
      </c>
    </row>
    <row r="2866" spans="1:31" x14ac:dyDescent="0.25">
      <c r="A2866">
        <v>2841</v>
      </c>
      <c r="B2866" t="s">
        <v>61</v>
      </c>
      <c r="C2866">
        <v>21</v>
      </c>
      <c r="D2866">
        <v>987</v>
      </c>
      <c r="E2866">
        <v>2841</v>
      </c>
      <c r="F2866">
        <v>5997601</v>
      </c>
      <c r="G2866">
        <v>6085800</v>
      </c>
      <c r="H2866">
        <f t="shared" si="88"/>
        <v>136.00002267573697</v>
      </c>
      <c r="I2866">
        <f t="shared" si="89"/>
        <v>138</v>
      </c>
      <c r="J2866" t="s">
        <v>25</v>
      </c>
      <c r="K2866">
        <v>6</v>
      </c>
      <c r="L2866" t="e">
        <f t="array" ref="L2866">VLOOKUP(J2866:$J$3871&amp;K2866:$K$3871,CHOOSE({1,2},#REF!&amp;#REF!,#REF!),2,0)</f>
        <v>#N/A</v>
      </c>
      <c r="M2866">
        <v>-15</v>
      </c>
      <c r="N2866">
        <v>0</v>
      </c>
      <c r="O2866" t="s">
        <v>7</v>
      </c>
      <c r="P2866">
        <v>1</v>
      </c>
      <c r="Q2866">
        <v>0</v>
      </c>
      <c r="R2866">
        <v>1</v>
      </c>
      <c r="S2866">
        <v>1</v>
      </c>
      <c r="T2866">
        <v>1</v>
      </c>
      <c r="U2866">
        <v>0</v>
      </c>
      <c r="V2866">
        <v>0</v>
      </c>
      <c r="W2866">
        <v>1</v>
      </c>
      <c r="X2866">
        <v>1</v>
      </c>
      <c r="Y2866">
        <v>0</v>
      </c>
      <c r="Z2866">
        <v>0</v>
      </c>
      <c r="AA2866" t="s">
        <v>3287</v>
      </c>
      <c r="AB2866" t="s">
        <v>731</v>
      </c>
      <c r="AC2866" t="s">
        <v>3287</v>
      </c>
      <c r="AD2866" t="e">
        <f>VLOOKUP(AB2866,#REF!,2,FALSE)</f>
        <v>#REF!</v>
      </c>
      <c r="AE2866" t="e">
        <f>RIGHT(#REF!,(FIND("Complex",#REF!,1)-7))</f>
        <v>#REF!</v>
      </c>
    </row>
    <row r="2867" spans="1:31" x14ac:dyDescent="0.25">
      <c r="A2867">
        <v>560</v>
      </c>
      <c r="B2867" t="s">
        <v>61</v>
      </c>
      <c r="C2867">
        <v>21</v>
      </c>
      <c r="D2867">
        <v>239</v>
      </c>
      <c r="E2867">
        <v>560</v>
      </c>
      <c r="F2867">
        <v>5733001</v>
      </c>
      <c r="G2867">
        <v>5821200</v>
      </c>
      <c r="H2867">
        <f t="shared" si="88"/>
        <v>130.00002267573697</v>
      </c>
      <c r="I2867">
        <f t="shared" si="89"/>
        <v>132</v>
      </c>
      <c r="J2867" t="s">
        <v>25</v>
      </c>
      <c r="K2867">
        <v>6</v>
      </c>
      <c r="L2867" t="e">
        <f t="array" ref="L2867">VLOOKUP(J2867:$J$3871&amp;K2867:$K$3871,CHOOSE({1,2},#REF!&amp;#REF!,#REF!),2,0)</f>
        <v>#N/A</v>
      </c>
      <c r="M2867">
        <v>-15</v>
      </c>
      <c r="N2867">
        <v>0</v>
      </c>
      <c r="O2867" t="s">
        <v>7</v>
      </c>
      <c r="P2867">
        <v>1</v>
      </c>
      <c r="Q2867">
        <v>0</v>
      </c>
      <c r="R2867">
        <v>1</v>
      </c>
      <c r="S2867">
        <v>1</v>
      </c>
      <c r="T2867">
        <v>1</v>
      </c>
      <c r="U2867">
        <v>0</v>
      </c>
      <c r="V2867">
        <v>0</v>
      </c>
      <c r="W2867">
        <v>1</v>
      </c>
      <c r="X2867">
        <v>1</v>
      </c>
      <c r="Y2867">
        <v>0</v>
      </c>
      <c r="Z2867">
        <v>0</v>
      </c>
      <c r="AA2867" t="s">
        <v>3326</v>
      </c>
      <c r="AB2867" t="s">
        <v>732</v>
      </c>
      <c r="AC2867" t="s">
        <v>3326</v>
      </c>
      <c r="AD2867" t="e">
        <f>VLOOKUP(AB2867,#REF!,2,FALSE)</f>
        <v>#REF!</v>
      </c>
      <c r="AE2867" t="e">
        <f>RIGHT(#REF!,(FIND("Complex",#REF!,1)-6))</f>
        <v>#REF!</v>
      </c>
    </row>
    <row r="2868" spans="1:31" x14ac:dyDescent="0.25">
      <c r="A2868">
        <v>3078</v>
      </c>
      <c r="B2868" t="s">
        <v>61</v>
      </c>
      <c r="C2868">
        <v>21</v>
      </c>
      <c r="D2868">
        <v>1037</v>
      </c>
      <c r="E2868">
        <v>3078</v>
      </c>
      <c r="F2868">
        <v>5380201</v>
      </c>
      <c r="G2868">
        <v>5468400</v>
      </c>
      <c r="H2868">
        <f t="shared" si="88"/>
        <v>122.00002267573696</v>
      </c>
      <c r="I2868">
        <f t="shared" si="89"/>
        <v>124</v>
      </c>
      <c r="J2868" t="s">
        <v>25</v>
      </c>
      <c r="K2868">
        <v>6</v>
      </c>
      <c r="L2868" t="e">
        <f t="array" ref="L2868">VLOOKUP(J2868:$J$3871&amp;K2868:$K$3871,CHOOSE({1,2},#REF!&amp;#REF!,#REF!),2,0)</f>
        <v>#N/A</v>
      </c>
      <c r="M2868">
        <v>-15</v>
      </c>
      <c r="N2868">
        <v>0</v>
      </c>
      <c r="O2868" t="s">
        <v>7</v>
      </c>
      <c r="P2868">
        <v>1</v>
      </c>
      <c r="Q2868">
        <v>0</v>
      </c>
      <c r="R2868">
        <v>1</v>
      </c>
      <c r="S2868">
        <v>1</v>
      </c>
      <c r="T2868">
        <v>1</v>
      </c>
      <c r="U2868">
        <v>0</v>
      </c>
      <c r="V2868">
        <v>0</v>
      </c>
      <c r="W2868">
        <v>1</v>
      </c>
      <c r="X2868">
        <v>1</v>
      </c>
      <c r="Y2868">
        <v>0</v>
      </c>
      <c r="Z2868">
        <v>0</v>
      </c>
      <c r="AA2868" t="s">
        <v>3372</v>
      </c>
      <c r="AB2868" t="s">
        <v>733</v>
      </c>
      <c r="AC2868" t="s">
        <v>3372</v>
      </c>
      <c r="AD2868" t="e">
        <f>VLOOKUP(AB2868,#REF!,2,FALSE)</f>
        <v>#REF!</v>
      </c>
      <c r="AE2868" t="e">
        <f>RIGHT(#REF!,(FIND("Complex",#REF!,1)-8))</f>
        <v>#REF!</v>
      </c>
    </row>
    <row r="2869" spans="1:31" x14ac:dyDescent="0.25">
      <c r="A2869">
        <v>2992</v>
      </c>
      <c r="B2869" t="s">
        <v>61</v>
      </c>
      <c r="C2869">
        <v>21</v>
      </c>
      <c r="D2869">
        <v>1016</v>
      </c>
      <c r="E2869">
        <v>2992</v>
      </c>
      <c r="F2869">
        <v>5027401</v>
      </c>
      <c r="G2869">
        <v>5115600</v>
      </c>
      <c r="H2869">
        <f t="shared" si="88"/>
        <v>114.00002267573696</v>
      </c>
      <c r="I2869">
        <f t="shared" si="89"/>
        <v>116</v>
      </c>
      <c r="J2869" t="s">
        <v>25</v>
      </c>
      <c r="K2869">
        <v>6</v>
      </c>
      <c r="L2869" t="e">
        <f t="array" ref="L2869">VLOOKUP(J2869:$J$3871&amp;K2869:$K$3871,CHOOSE({1,2},#REF!&amp;#REF!,#REF!),2,0)</f>
        <v>#N/A</v>
      </c>
      <c r="M2869">
        <v>-15</v>
      </c>
      <c r="N2869">
        <v>0</v>
      </c>
      <c r="O2869" t="s">
        <v>7</v>
      </c>
      <c r="P2869">
        <v>1</v>
      </c>
      <c r="Q2869">
        <v>0</v>
      </c>
      <c r="R2869">
        <v>1</v>
      </c>
      <c r="S2869">
        <v>1</v>
      </c>
      <c r="T2869">
        <v>1</v>
      </c>
      <c r="U2869">
        <v>0</v>
      </c>
      <c r="V2869">
        <v>0</v>
      </c>
      <c r="W2869">
        <v>1</v>
      </c>
      <c r="X2869">
        <v>1</v>
      </c>
      <c r="Y2869">
        <v>0</v>
      </c>
      <c r="Z2869">
        <v>0</v>
      </c>
      <c r="AA2869" t="s">
        <v>3425</v>
      </c>
      <c r="AB2869" t="s">
        <v>734</v>
      </c>
      <c r="AC2869" t="s">
        <v>3425</v>
      </c>
      <c r="AD2869" t="e">
        <f>VLOOKUP(AB2869,#REF!,2,FALSE)</f>
        <v>#REF!</v>
      </c>
      <c r="AE2869" t="e">
        <f>RIGHT(#REF!,(FIND("Complex",#REF!,1)-8))</f>
        <v>#REF!</v>
      </c>
    </row>
    <row r="2870" spans="1:31" x14ac:dyDescent="0.25">
      <c r="A2870">
        <v>2704</v>
      </c>
      <c r="B2870" t="s">
        <v>61</v>
      </c>
      <c r="C2870">
        <v>21</v>
      </c>
      <c r="D2870">
        <v>971</v>
      </c>
      <c r="E2870">
        <v>2704</v>
      </c>
      <c r="F2870">
        <v>4498201</v>
      </c>
      <c r="G2870">
        <v>4586400</v>
      </c>
      <c r="H2870">
        <f t="shared" si="88"/>
        <v>102.00002267573696</v>
      </c>
      <c r="I2870">
        <f t="shared" si="89"/>
        <v>104</v>
      </c>
      <c r="J2870" t="s">
        <v>25</v>
      </c>
      <c r="K2870">
        <v>6</v>
      </c>
      <c r="L2870" t="e">
        <f t="array" ref="L2870">VLOOKUP(J2870:$J$3871&amp;K2870:$K$3871,CHOOSE({1,2},#REF!&amp;#REF!,#REF!),2,0)</f>
        <v>#N/A</v>
      </c>
      <c r="M2870">
        <v>-15</v>
      </c>
      <c r="N2870">
        <v>0</v>
      </c>
      <c r="O2870" t="s">
        <v>7</v>
      </c>
      <c r="P2870">
        <v>1</v>
      </c>
      <c r="Q2870">
        <v>0</v>
      </c>
      <c r="R2870">
        <v>1</v>
      </c>
      <c r="S2870">
        <v>1</v>
      </c>
      <c r="T2870">
        <v>1</v>
      </c>
      <c r="U2870">
        <v>0</v>
      </c>
      <c r="V2870">
        <v>0</v>
      </c>
      <c r="W2870">
        <v>1</v>
      </c>
      <c r="X2870">
        <v>1</v>
      </c>
      <c r="Y2870">
        <v>0</v>
      </c>
      <c r="Z2870">
        <v>0</v>
      </c>
      <c r="AA2870" t="s">
        <v>3483</v>
      </c>
      <c r="AB2870" t="s">
        <v>735</v>
      </c>
      <c r="AC2870" t="s">
        <v>3483</v>
      </c>
      <c r="AD2870" t="e">
        <f>VLOOKUP(AB2870,#REF!,2,FALSE)</f>
        <v>#REF!</v>
      </c>
      <c r="AE2870" t="e">
        <f>RIGHT(#REF!,(FIND("Complex",#REF!,1)-7))</f>
        <v>#REF!</v>
      </c>
    </row>
    <row r="2871" spans="1:31" x14ac:dyDescent="0.25">
      <c r="A2871">
        <v>2972</v>
      </c>
      <c r="B2871" t="s">
        <v>62</v>
      </c>
      <c r="C2871">
        <v>26</v>
      </c>
      <c r="D2871">
        <v>1012</v>
      </c>
      <c r="E2871">
        <v>2972</v>
      </c>
      <c r="F2871">
        <v>9349201</v>
      </c>
      <c r="G2871">
        <v>9437400</v>
      </c>
      <c r="H2871">
        <f t="shared" si="88"/>
        <v>212.00002267573697</v>
      </c>
      <c r="I2871">
        <f t="shared" si="89"/>
        <v>214</v>
      </c>
      <c r="J2871" t="s">
        <v>25</v>
      </c>
      <c r="K2871">
        <v>6</v>
      </c>
      <c r="L2871" t="e">
        <f t="array" ref="L2871">VLOOKUP(J2871:$J$3871&amp;K2871:$K$3871,CHOOSE({1,2},#REF!&amp;#REF!,#REF!),2,0)</f>
        <v>#N/A</v>
      </c>
      <c r="M2871">
        <v>-15</v>
      </c>
      <c r="N2871">
        <v>0</v>
      </c>
      <c r="O2871" t="s">
        <v>7</v>
      </c>
      <c r="P2871">
        <v>0</v>
      </c>
      <c r="Q2871">
        <v>1</v>
      </c>
      <c r="R2871">
        <v>0</v>
      </c>
      <c r="S2871">
        <v>1</v>
      </c>
      <c r="T2871">
        <v>1</v>
      </c>
      <c r="U2871">
        <v>0</v>
      </c>
      <c r="V2871">
        <v>0</v>
      </c>
      <c r="W2871">
        <v>1</v>
      </c>
      <c r="X2871">
        <v>1</v>
      </c>
      <c r="Y2871">
        <v>1</v>
      </c>
      <c r="Z2871">
        <v>0</v>
      </c>
      <c r="AA2871" t="s">
        <v>3023</v>
      </c>
      <c r="AB2871" t="s">
        <v>802</v>
      </c>
      <c r="AC2871" t="s">
        <v>3023</v>
      </c>
      <c r="AD2871" t="e">
        <f>VLOOKUP(AB2871,#REF!,2,FALSE)</f>
        <v>#REF!</v>
      </c>
      <c r="AE2871" t="e">
        <f>RIGHT(#REF!,(FIND("Complex",#REF!,1)-8))</f>
        <v>#REF!</v>
      </c>
    </row>
    <row r="2872" spans="1:31" x14ac:dyDescent="0.25">
      <c r="A2872">
        <v>817</v>
      </c>
      <c r="B2872" t="s">
        <v>62</v>
      </c>
      <c r="C2872">
        <v>26</v>
      </c>
      <c r="D2872">
        <v>367</v>
      </c>
      <c r="E2872">
        <v>817</v>
      </c>
      <c r="F2872">
        <v>7673401</v>
      </c>
      <c r="G2872">
        <v>7761600</v>
      </c>
      <c r="H2872">
        <f t="shared" si="88"/>
        <v>174.00002267573697</v>
      </c>
      <c r="I2872">
        <f t="shared" si="89"/>
        <v>176</v>
      </c>
      <c r="J2872" t="s">
        <v>25</v>
      </c>
      <c r="K2872">
        <v>6</v>
      </c>
      <c r="L2872" t="e">
        <f t="array" ref="L2872">VLOOKUP(J2872:$J$3871&amp;K2872:$K$3871,CHOOSE({1,2},#REF!&amp;#REF!,#REF!),2,0)</f>
        <v>#N/A</v>
      </c>
      <c r="M2872">
        <v>-15</v>
      </c>
      <c r="N2872">
        <v>0</v>
      </c>
      <c r="O2872" t="s">
        <v>7</v>
      </c>
      <c r="P2872">
        <v>1</v>
      </c>
      <c r="Q2872">
        <v>1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1</v>
      </c>
      <c r="X2872">
        <v>1</v>
      </c>
      <c r="Y2872">
        <v>0</v>
      </c>
      <c r="Z2872">
        <v>1</v>
      </c>
      <c r="AA2872" t="s">
        <v>3160</v>
      </c>
      <c r="AB2872" t="s">
        <v>803</v>
      </c>
      <c r="AC2872" t="s">
        <v>3160</v>
      </c>
      <c r="AD2872" t="e">
        <f>VLOOKUP(AB2872,#REF!,2,FALSE)</f>
        <v>#REF!</v>
      </c>
      <c r="AE2872" t="e">
        <f>RIGHT(#REF!,(FIND("Complex",#REF!,1)-6))</f>
        <v>#REF!</v>
      </c>
    </row>
    <row r="2873" spans="1:31" x14ac:dyDescent="0.25">
      <c r="A2873">
        <v>1407</v>
      </c>
      <c r="B2873" t="s">
        <v>46</v>
      </c>
      <c r="C2873">
        <v>27</v>
      </c>
      <c r="D2873">
        <v>617</v>
      </c>
      <c r="E2873">
        <v>1407</v>
      </c>
      <c r="F2873">
        <v>4321801</v>
      </c>
      <c r="G2873">
        <v>4410000</v>
      </c>
      <c r="H2873">
        <f t="shared" si="88"/>
        <v>98.000022675736957</v>
      </c>
      <c r="I2873">
        <f t="shared" si="89"/>
        <v>100</v>
      </c>
      <c r="J2873" t="s">
        <v>25</v>
      </c>
      <c r="K2873">
        <v>6</v>
      </c>
      <c r="L2873" t="e">
        <f t="array" ref="L2873">VLOOKUP(J2873:$J$3871&amp;K2873:$K$3871,CHOOSE({1,2},#REF!&amp;#REF!,#REF!),2,0)</f>
        <v>#N/A</v>
      </c>
      <c r="M2873">
        <v>-15</v>
      </c>
      <c r="N2873">
        <v>0</v>
      </c>
      <c r="O2873" t="s">
        <v>7</v>
      </c>
      <c r="P2873">
        <v>1</v>
      </c>
      <c r="Q2873">
        <v>1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1</v>
      </c>
      <c r="X2873">
        <v>1</v>
      </c>
      <c r="Y2873">
        <v>1</v>
      </c>
      <c r="Z2873">
        <v>0</v>
      </c>
      <c r="AA2873" t="s">
        <v>2620</v>
      </c>
      <c r="AB2873" t="s">
        <v>869</v>
      </c>
      <c r="AC2873" t="s">
        <v>2620</v>
      </c>
      <c r="AD2873" t="e">
        <f>VLOOKUP(AB2873,#REF!,2,FALSE)</f>
        <v>#REF!</v>
      </c>
      <c r="AE2873" t="e">
        <f>RIGHT(#REF!,(FIND("Complex",#REF!,1)-8))</f>
        <v>#REF!</v>
      </c>
    </row>
    <row r="2874" spans="1:31" x14ac:dyDescent="0.25">
      <c r="A2874">
        <v>3153</v>
      </c>
      <c r="B2874" t="s">
        <v>46</v>
      </c>
      <c r="C2874">
        <v>27</v>
      </c>
      <c r="D2874">
        <v>1048</v>
      </c>
      <c r="E2874">
        <v>3153</v>
      </c>
      <c r="F2874">
        <v>7761601</v>
      </c>
      <c r="G2874">
        <v>7849800</v>
      </c>
      <c r="H2874">
        <f t="shared" si="88"/>
        <v>176.00002267573697</v>
      </c>
      <c r="I2874">
        <f t="shared" si="89"/>
        <v>178</v>
      </c>
      <c r="J2874" t="s">
        <v>25</v>
      </c>
      <c r="K2874">
        <v>6</v>
      </c>
      <c r="L2874" t="e">
        <f t="array" ref="L2874">VLOOKUP(J2874:$J$3871&amp;K2874:$K$3871,CHOOSE({1,2},#REF!&amp;#REF!,#REF!),2,0)</f>
        <v>#N/A</v>
      </c>
      <c r="M2874">
        <v>-15</v>
      </c>
      <c r="N2874">
        <v>0</v>
      </c>
      <c r="O2874" t="s">
        <v>7</v>
      </c>
      <c r="P2874">
        <v>1</v>
      </c>
      <c r="Q2874">
        <v>1</v>
      </c>
      <c r="R2874">
        <v>0</v>
      </c>
      <c r="S2874">
        <v>1</v>
      </c>
      <c r="T2874">
        <v>1</v>
      </c>
      <c r="U2874">
        <v>0</v>
      </c>
      <c r="V2874">
        <v>0</v>
      </c>
      <c r="W2874">
        <v>1</v>
      </c>
      <c r="X2874">
        <v>1</v>
      </c>
      <c r="Y2874">
        <v>0</v>
      </c>
      <c r="Z2874">
        <v>0</v>
      </c>
      <c r="AA2874" t="s">
        <v>3148</v>
      </c>
      <c r="AB2874" t="s">
        <v>6277</v>
      </c>
      <c r="AC2874" t="s">
        <v>3148</v>
      </c>
      <c r="AD2874" t="e">
        <f>VLOOKUP(AB2874,#REF!,2,FALSE)</f>
        <v>#REF!</v>
      </c>
      <c r="AE2874" t="e">
        <f>RIGHT(#REF!,(FIND("Complex",#REF!,1)-8))</f>
        <v>#REF!</v>
      </c>
    </row>
    <row r="2875" spans="1:31" x14ac:dyDescent="0.25">
      <c r="A2875">
        <v>109</v>
      </c>
      <c r="B2875" t="s">
        <v>46</v>
      </c>
      <c r="C2875">
        <v>27</v>
      </c>
      <c r="D2875">
        <v>51</v>
      </c>
      <c r="E2875">
        <v>109</v>
      </c>
      <c r="F2875">
        <v>5909401</v>
      </c>
      <c r="G2875">
        <v>5997600</v>
      </c>
      <c r="H2875">
        <f t="shared" si="88"/>
        <v>134.00002267573697</v>
      </c>
      <c r="I2875">
        <f t="shared" si="89"/>
        <v>136</v>
      </c>
      <c r="J2875" t="s">
        <v>25</v>
      </c>
      <c r="K2875">
        <v>6</v>
      </c>
      <c r="L2875" t="e">
        <f t="array" ref="L2875">VLOOKUP(J2875:$J$3871&amp;K2875:$K$3871,CHOOSE({1,2},#REF!&amp;#REF!,#REF!),2,0)</f>
        <v>#N/A</v>
      </c>
      <c r="M2875">
        <v>-15</v>
      </c>
      <c r="N2875">
        <v>0</v>
      </c>
      <c r="O2875" t="s">
        <v>7</v>
      </c>
      <c r="P2875">
        <v>1</v>
      </c>
      <c r="Q2875">
        <v>0</v>
      </c>
      <c r="R2875">
        <v>0</v>
      </c>
      <c r="S2875">
        <v>1</v>
      </c>
      <c r="T2875">
        <v>1</v>
      </c>
      <c r="U2875">
        <v>0</v>
      </c>
      <c r="V2875">
        <v>0</v>
      </c>
      <c r="W2875">
        <v>1</v>
      </c>
      <c r="X2875">
        <v>1</v>
      </c>
      <c r="Y2875">
        <v>1</v>
      </c>
      <c r="Z2875">
        <v>0</v>
      </c>
      <c r="AA2875" t="s">
        <v>3299</v>
      </c>
      <c r="AB2875" t="s">
        <v>870</v>
      </c>
      <c r="AC2875" t="s">
        <v>3299</v>
      </c>
      <c r="AD2875" t="e">
        <f>VLOOKUP(AB2875,#REF!,2,FALSE)</f>
        <v>#REF!</v>
      </c>
      <c r="AE2875" t="e">
        <f>RIGHT(#REF!,(FIND("Complex",#REF!,1)-6))</f>
        <v>#REF!</v>
      </c>
    </row>
    <row r="2876" spans="1:31" x14ac:dyDescent="0.25">
      <c r="A2876">
        <v>1002</v>
      </c>
      <c r="B2876" t="s">
        <v>46</v>
      </c>
      <c r="C2876">
        <v>27</v>
      </c>
      <c r="D2876">
        <v>444</v>
      </c>
      <c r="E2876">
        <v>1002</v>
      </c>
      <c r="F2876">
        <v>5027401</v>
      </c>
      <c r="G2876">
        <v>5115600</v>
      </c>
      <c r="H2876">
        <f t="shared" si="88"/>
        <v>114.00002267573696</v>
      </c>
      <c r="I2876">
        <f t="shared" si="89"/>
        <v>116</v>
      </c>
      <c r="J2876" t="s">
        <v>25</v>
      </c>
      <c r="K2876">
        <v>6</v>
      </c>
      <c r="L2876" t="e">
        <f t="array" ref="L2876">VLOOKUP(J2876:$J$3871&amp;K2876:$K$3871,CHOOSE({1,2},#REF!&amp;#REF!,#REF!),2,0)</f>
        <v>#N/A</v>
      </c>
      <c r="M2876">
        <v>-15</v>
      </c>
      <c r="N2876">
        <v>0</v>
      </c>
      <c r="O2876" t="s">
        <v>7</v>
      </c>
      <c r="P2876">
        <v>1</v>
      </c>
      <c r="Q2876">
        <v>1</v>
      </c>
      <c r="R2876">
        <v>0</v>
      </c>
      <c r="S2876">
        <v>1</v>
      </c>
      <c r="T2876">
        <v>0</v>
      </c>
      <c r="U2876">
        <v>0</v>
      </c>
      <c r="V2876">
        <v>0</v>
      </c>
      <c r="W2876">
        <v>1</v>
      </c>
      <c r="X2876">
        <v>1</v>
      </c>
      <c r="Y2876">
        <v>1</v>
      </c>
      <c r="Z2876">
        <v>0</v>
      </c>
      <c r="AA2876" t="s">
        <v>3424</v>
      </c>
      <c r="AB2876" t="s">
        <v>871</v>
      </c>
      <c r="AC2876" t="s">
        <v>3424</v>
      </c>
      <c r="AD2876" t="e">
        <f>VLOOKUP(AB2876,#REF!,2,FALSE)</f>
        <v>#REF!</v>
      </c>
      <c r="AE2876" t="e">
        <f>RIGHT(#REF!,(FIND("Complex",#REF!,1)-7))</f>
        <v>#REF!</v>
      </c>
    </row>
    <row r="2877" spans="1:31" x14ac:dyDescent="0.25">
      <c r="A2877">
        <v>3751</v>
      </c>
      <c r="B2877" t="s">
        <v>54</v>
      </c>
      <c r="C2877">
        <v>31</v>
      </c>
      <c r="D2877">
        <v>1193</v>
      </c>
      <c r="E2877">
        <v>3751</v>
      </c>
      <c r="F2877">
        <v>11289601</v>
      </c>
      <c r="G2877">
        <v>11377800</v>
      </c>
      <c r="H2877">
        <f t="shared" si="88"/>
        <v>256.00002267573694</v>
      </c>
      <c r="I2877">
        <f t="shared" si="89"/>
        <v>258</v>
      </c>
      <c r="J2877" t="s">
        <v>25</v>
      </c>
      <c r="K2877">
        <v>6</v>
      </c>
      <c r="L2877" t="e">
        <f t="array" ref="L2877">VLOOKUP(J2877:$J$3871&amp;K2877:$K$3871,CHOOSE({1,2},#REF!&amp;#REF!,#REF!),2,0)</f>
        <v>#N/A</v>
      </c>
      <c r="M2877">
        <v>-15</v>
      </c>
      <c r="N2877">
        <v>0</v>
      </c>
      <c r="O2877" t="s">
        <v>7</v>
      </c>
      <c r="P2877">
        <v>0</v>
      </c>
      <c r="Q2877">
        <v>1</v>
      </c>
      <c r="R2877">
        <v>0</v>
      </c>
      <c r="S2877">
        <v>1</v>
      </c>
      <c r="T2877">
        <v>0</v>
      </c>
      <c r="U2877">
        <v>0</v>
      </c>
      <c r="V2877">
        <v>0</v>
      </c>
      <c r="W2877">
        <v>1</v>
      </c>
      <c r="X2877">
        <v>1</v>
      </c>
      <c r="Y2877">
        <v>1</v>
      </c>
      <c r="Z2877">
        <v>1</v>
      </c>
      <c r="AA2877" t="s">
        <v>2926</v>
      </c>
      <c r="AB2877" t="s">
        <v>971</v>
      </c>
      <c r="AC2877" t="s">
        <v>2926</v>
      </c>
      <c r="AD2877" t="e">
        <f>VLOOKUP(AB2877,#REF!,2,FALSE)</f>
        <v>#REF!</v>
      </c>
      <c r="AE2877" t="e">
        <f>RIGHT(#REF!,(FIND("Complex",#REF!,1)-8))</f>
        <v>#REF!</v>
      </c>
    </row>
    <row r="2878" spans="1:31" x14ac:dyDescent="0.25">
      <c r="A2878">
        <v>3627</v>
      </c>
      <c r="B2878" t="s">
        <v>54</v>
      </c>
      <c r="C2878">
        <v>31</v>
      </c>
      <c r="D2878">
        <v>1151</v>
      </c>
      <c r="E2878">
        <v>3627</v>
      </c>
      <c r="F2878">
        <v>11025001</v>
      </c>
      <c r="G2878">
        <v>11113200</v>
      </c>
      <c r="H2878">
        <f t="shared" si="88"/>
        <v>250.00002267573697</v>
      </c>
      <c r="I2878">
        <f t="shared" si="89"/>
        <v>252</v>
      </c>
      <c r="J2878" t="s">
        <v>25</v>
      </c>
      <c r="K2878">
        <v>6</v>
      </c>
      <c r="L2878" t="e">
        <f t="array" ref="L2878">VLOOKUP(J2878:$J$3871&amp;K2878:$K$3871,CHOOSE({1,2},#REF!&amp;#REF!,#REF!),2,0)</f>
        <v>#N/A</v>
      </c>
      <c r="M2878">
        <v>-15</v>
      </c>
      <c r="N2878">
        <v>0</v>
      </c>
      <c r="O2878" t="s">
        <v>7</v>
      </c>
      <c r="P2878">
        <v>0</v>
      </c>
      <c r="Q2878">
        <v>1</v>
      </c>
      <c r="R2878">
        <v>0</v>
      </c>
      <c r="S2878">
        <v>1</v>
      </c>
      <c r="T2878">
        <v>0</v>
      </c>
      <c r="U2878">
        <v>0</v>
      </c>
      <c r="V2878">
        <v>0</v>
      </c>
      <c r="W2878">
        <v>1</v>
      </c>
      <c r="X2878">
        <v>1</v>
      </c>
      <c r="Y2878">
        <v>1</v>
      </c>
      <c r="Z2878">
        <v>1</v>
      </c>
      <c r="AA2878" t="s">
        <v>2937</v>
      </c>
      <c r="AB2878" t="s">
        <v>972</v>
      </c>
      <c r="AC2878" t="s">
        <v>2937</v>
      </c>
      <c r="AD2878" t="e">
        <f>VLOOKUP(AB2878,#REF!,2,FALSE)</f>
        <v>#REF!</v>
      </c>
      <c r="AE2878" t="e">
        <f>RIGHT(#REF!,(FIND("Complex",#REF!,1)-8))</f>
        <v>#REF!</v>
      </c>
    </row>
    <row r="2879" spans="1:31" x14ac:dyDescent="0.25">
      <c r="A2879">
        <v>120</v>
      </c>
      <c r="B2879" t="s">
        <v>54</v>
      </c>
      <c r="C2879">
        <v>31</v>
      </c>
      <c r="D2879">
        <v>55</v>
      </c>
      <c r="E2879">
        <v>120</v>
      </c>
      <c r="F2879">
        <v>10760401</v>
      </c>
      <c r="G2879">
        <v>10848600</v>
      </c>
      <c r="H2879">
        <f t="shared" si="88"/>
        <v>244.00002267573697</v>
      </c>
      <c r="I2879">
        <f t="shared" si="89"/>
        <v>246</v>
      </c>
      <c r="J2879" t="s">
        <v>25</v>
      </c>
      <c r="K2879">
        <v>6</v>
      </c>
      <c r="L2879" t="e">
        <f t="array" ref="L2879">VLOOKUP(J2879:$J$3871&amp;K2879:$K$3871,CHOOSE({1,2},#REF!&amp;#REF!,#REF!),2,0)</f>
        <v>#N/A</v>
      </c>
      <c r="M2879">
        <v>-15</v>
      </c>
      <c r="N2879">
        <v>0</v>
      </c>
      <c r="O2879" t="s">
        <v>7</v>
      </c>
      <c r="P2879">
        <v>0</v>
      </c>
      <c r="Q2879">
        <v>1</v>
      </c>
      <c r="R2879">
        <v>0</v>
      </c>
      <c r="S2879">
        <v>1</v>
      </c>
      <c r="T2879">
        <v>0</v>
      </c>
      <c r="U2879">
        <v>0</v>
      </c>
      <c r="V2879">
        <v>0</v>
      </c>
      <c r="W2879">
        <v>1</v>
      </c>
      <c r="X2879">
        <v>1</v>
      </c>
      <c r="Y2879">
        <v>1</v>
      </c>
      <c r="Z2879">
        <v>1</v>
      </c>
      <c r="AA2879" t="s">
        <v>2950</v>
      </c>
      <c r="AB2879" t="s">
        <v>973</v>
      </c>
      <c r="AC2879" t="s">
        <v>2950</v>
      </c>
      <c r="AD2879" t="e">
        <f>VLOOKUP(AB2879,#REF!,2,FALSE)</f>
        <v>#REF!</v>
      </c>
      <c r="AE2879" t="e">
        <f>RIGHT(#REF!,(FIND("Complex",#REF!,1)-6))</f>
        <v>#REF!</v>
      </c>
    </row>
    <row r="2880" spans="1:31" x14ac:dyDescent="0.25">
      <c r="A2880">
        <v>3452</v>
      </c>
      <c r="B2880" t="s">
        <v>54</v>
      </c>
      <c r="C2880">
        <v>31</v>
      </c>
      <c r="D2880">
        <v>1105</v>
      </c>
      <c r="E2880">
        <v>3452</v>
      </c>
      <c r="F2880">
        <v>10495801</v>
      </c>
      <c r="G2880">
        <v>10584000</v>
      </c>
      <c r="H2880">
        <f t="shared" si="88"/>
        <v>238.00002267573697</v>
      </c>
      <c r="I2880">
        <f t="shared" si="89"/>
        <v>240</v>
      </c>
      <c r="J2880" t="s">
        <v>25</v>
      </c>
      <c r="K2880">
        <v>6</v>
      </c>
      <c r="L2880" t="e">
        <f t="array" ref="L2880">VLOOKUP(J2880:$J$3871&amp;K2880:$K$3871,CHOOSE({1,2},#REF!&amp;#REF!,#REF!),2,0)</f>
        <v>#N/A</v>
      </c>
      <c r="M2880">
        <v>-15</v>
      </c>
      <c r="N2880">
        <v>0</v>
      </c>
      <c r="O2880" t="s">
        <v>7</v>
      </c>
      <c r="P2880">
        <v>0</v>
      </c>
      <c r="Q2880">
        <v>1</v>
      </c>
      <c r="R2880">
        <v>0</v>
      </c>
      <c r="S2880">
        <v>1</v>
      </c>
      <c r="T2880">
        <v>0</v>
      </c>
      <c r="U2880">
        <v>0</v>
      </c>
      <c r="V2880">
        <v>0</v>
      </c>
      <c r="W2880">
        <v>1</v>
      </c>
      <c r="X2880">
        <v>1</v>
      </c>
      <c r="Y2880">
        <v>1</v>
      </c>
      <c r="Z2880">
        <v>1</v>
      </c>
      <c r="AA2880" t="s">
        <v>2964</v>
      </c>
      <c r="AB2880" t="s">
        <v>974</v>
      </c>
      <c r="AC2880" t="s">
        <v>2964</v>
      </c>
      <c r="AD2880" t="e">
        <f>VLOOKUP(AB2880,#REF!,2,FALSE)</f>
        <v>#REF!</v>
      </c>
      <c r="AE2880" t="e">
        <f>RIGHT(#REF!,(FIND("Complex",#REF!,1)-8))</f>
        <v>#REF!</v>
      </c>
    </row>
    <row r="2881" spans="1:31" x14ac:dyDescent="0.25">
      <c r="A2881">
        <v>3327</v>
      </c>
      <c r="B2881" t="s">
        <v>54</v>
      </c>
      <c r="C2881">
        <v>31</v>
      </c>
      <c r="D2881">
        <v>1076</v>
      </c>
      <c r="E2881">
        <v>3327</v>
      </c>
      <c r="F2881">
        <v>10407601</v>
      </c>
      <c r="G2881">
        <v>10495800</v>
      </c>
      <c r="H2881">
        <f t="shared" si="88"/>
        <v>236.00002267573697</v>
      </c>
      <c r="I2881">
        <f t="shared" si="89"/>
        <v>238</v>
      </c>
      <c r="J2881" t="s">
        <v>25</v>
      </c>
      <c r="K2881">
        <v>6</v>
      </c>
      <c r="L2881" t="e">
        <f t="array" ref="L2881">VLOOKUP(J2881:$J$3871&amp;K2881:$K$3871,CHOOSE({1,2},#REF!&amp;#REF!,#REF!),2,0)</f>
        <v>#N/A</v>
      </c>
      <c r="M2881">
        <v>-15</v>
      </c>
      <c r="N2881">
        <v>0</v>
      </c>
      <c r="O2881" t="s">
        <v>7</v>
      </c>
      <c r="P2881">
        <v>0</v>
      </c>
      <c r="Q2881">
        <v>1</v>
      </c>
      <c r="R2881">
        <v>0</v>
      </c>
      <c r="S2881">
        <v>1</v>
      </c>
      <c r="T2881">
        <v>0</v>
      </c>
      <c r="U2881">
        <v>0</v>
      </c>
      <c r="V2881">
        <v>0</v>
      </c>
      <c r="W2881">
        <v>1</v>
      </c>
      <c r="X2881">
        <v>1</v>
      </c>
      <c r="Y2881">
        <v>1</v>
      </c>
      <c r="Z2881">
        <v>1</v>
      </c>
      <c r="AA2881" t="s">
        <v>2969</v>
      </c>
      <c r="AB2881" t="s">
        <v>975</v>
      </c>
      <c r="AC2881" t="s">
        <v>2969</v>
      </c>
      <c r="AD2881" t="e">
        <f>VLOOKUP(AB2881,#REF!,2,FALSE)</f>
        <v>#REF!</v>
      </c>
      <c r="AE2881" t="e">
        <f>RIGHT(#REF!,(FIND("Complex",#REF!,1)-8))</f>
        <v>#REF!</v>
      </c>
    </row>
    <row r="2882" spans="1:31" x14ac:dyDescent="0.25">
      <c r="A2882">
        <v>3737</v>
      </c>
      <c r="B2882" t="s">
        <v>54</v>
      </c>
      <c r="C2882">
        <v>31</v>
      </c>
      <c r="D2882">
        <v>1188</v>
      </c>
      <c r="E2882">
        <v>3737</v>
      </c>
      <c r="F2882">
        <v>10319401</v>
      </c>
      <c r="G2882">
        <v>10407600</v>
      </c>
      <c r="H2882">
        <f t="shared" ref="H2882:H2945" si="90">F2882/44100</f>
        <v>234.00002267573697</v>
      </c>
      <c r="I2882">
        <f t="shared" ref="I2882:I2945" si="91">G2882/44100</f>
        <v>236</v>
      </c>
      <c r="J2882" t="s">
        <v>25</v>
      </c>
      <c r="K2882">
        <v>6</v>
      </c>
      <c r="L2882" t="e">
        <f t="array" ref="L2882">VLOOKUP(J2882:$J$3871&amp;K2882:$K$3871,CHOOSE({1,2},#REF!&amp;#REF!,#REF!),2,0)</f>
        <v>#N/A</v>
      </c>
      <c r="M2882">
        <v>-15</v>
      </c>
      <c r="N2882">
        <v>0</v>
      </c>
      <c r="O2882" t="s">
        <v>7</v>
      </c>
      <c r="P2882">
        <v>0</v>
      </c>
      <c r="Q2882">
        <v>1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1</v>
      </c>
      <c r="X2882">
        <v>1</v>
      </c>
      <c r="Y2882">
        <v>1</v>
      </c>
      <c r="Z2882">
        <v>1</v>
      </c>
      <c r="AA2882" t="s">
        <v>2972</v>
      </c>
      <c r="AB2882" t="s">
        <v>976</v>
      </c>
      <c r="AC2882" t="s">
        <v>2972</v>
      </c>
      <c r="AD2882" t="e">
        <f>VLOOKUP(AB2882,#REF!,2,FALSE)</f>
        <v>#REF!</v>
      </c>
      <c r="AE2882" t="e">
        <f>RIGHT(#REF!,(FIND("Complex",#REF!,1)-8))</f>
        <v>#REF!</v>
      </c>
    </row>
    <row r="2883" spans="1:31" x14ac:dyDescent="0.25">
      <c r="A2883">
        <v>3513</v>
      </c>
      <c r="B2883" t="s">
        <v>54</v>
      </c>
      <c r="C2883">
        <v>31</v>
      </c>
      <c r="D2883">
        <v>1120</v>
      </c>
      <c r="E2883">
        <v>3513</v>
      </c>
      <c r="F2883">
        <v>10143001</v>
      </c>
      <c r="G2883">
        <v>10231200</v>
      </c>
      <c r="H2883">
        <f t="shared" si="90"/>
        <v>230.00002267573697</v>
      </c>
      <c r="I2883">
        <f t="shared" si="91"/>
        <v>232</v>
      </c>
      <c r="J2883" t="s">
        <v>25</v>
      </c>
      <c r="K2883">
        <v>6</v>
      </c>
      <c r="L2883" t="e">
        <f t="array" ref="L2883">VLOOKUP(J2883:$J$3871&amp;K2883:$K$3871,CHOOSE({1,2},#REF!&amp;#REF!,#REF!),2,0)</f>
        <v>#N/A</v>
      </c>
      <c r="M2883">
        <v>-15</v>
      </c>
      <c r="N2883">
        <v>0</v>
      </c>
      <c r="O2883" t="s">
        <v>7</v>
      </c>
      <c r="P2883">
        <v>0</v>
      </c>
      <c r="Q2883">
        <v>1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1</v>
      </c>
      <c r="X2883">
        <v>1</v>
      </c>
      <c r="Y2883">
        <v>1</v>
      </c>
      <c r="Z2883">
        <v>1</v>
      </c>
      <c r="AA2883" t="s">
        <v>2980</v>
      </c>
      <c r="AB2883" t="s">
        <v>6238</v>
      </c>
      <c r="AC2883" t="s">
        <v>2980</v>
      </c>
      <c r="AD2883" t="e">
        <f>VLOOKUP(AB2883,#REF!,2,FALSE)</f>
        <v>#REF!</v>
      </c>
      <c r="AE2883" t="e">
        <f>RIGHT(#REF!,(FIND("Complex",#REF!,1)-8))</f>
        <v>#REF!</v>
      </c>
    </row>
    <row r="2884" spans="1:31" x14ac:dyDescent="0.25">
      <c r="A2884">
        <v>3375</v>
      </c>
      <c r="B2884" t="s">
        <v>54</v>
      </c>
      <c r="C2884">
        <v>31</v>
      </c>
      <c r="D2884">
        <v>1088</v>
      </c>
      <c r="E2884">
        <v>3375</v>
      </c>
      <c r="F2884">
        <v>10054801</v>
      </c>
      <c r="G2884">
        <v>10143000</v>
      </c>
      <c r="H2884">
        <f t="shared" si="90"/>
        <v>228.00002267573697</v>
      </c>
      <c r="I2884">
        <f t="shared" si="91"/>
        <v>230</v>
      </c>
      <c r="J2884" t="s">
        <v>25</v>
      </c>
      <c r="K2884">
        <v>6</v>
      </c>
      <c r="L2884" t="e">
        <f t="array" ref="L2884">VLOOKUP(J2884:$J$3871&amp;K2884:$K$3871,CHOOSE({1,2},#REF!&amp;#REF!,#REF!),2,0)</f>
        <v>#N/A</v>
      </c>
      <c r="M2884">
        <v>-15</v>
      </c>
      <c r="N2884">
        <v>0</v>
      </c>
      <c r="O2884" t="s">
        <v>7</v>
      </c>
      <c r="P2884">
        <v>0</v>
      </c>
      <c r="Q2884">
        <v>1</v>
      </c>
      <c r="R2884">
        <v>0</v>
      </c>
      <c r="S2884">
        <v>1</v>
      </c>
      <c r="T2884">
        <v>0</v>
      </c>
      <c r="U2884">
        <v>0</v>
      </c>
      <c r="V2884">
        <v>0</v>
      </c>
      <c r="W2884">
        <v>1</v>
      </c>
      <c r="X2884">
        <v>1</v>
      </c>
      <c r="Y2884">
        <v>1</v>
      </c>
      <c r="Z2884">
        <v>1</v>
      </c>
      <c r="AA2884" t="s">
        <v>2986</v>
      </c>
      <c r="AB2884" t="s">
        <v>977</v>
      </c>
      <c r="AC2884" t="s">
        <v>2986</v>
      </c>
      <c r="AD2884" t="e">
        <f>VLOOKUP(AB2884,#REF!,2,FALSE)</f>
        <v>#REF!</v>
      </c>
      <c r="AE2884" t="e">
        <f>RIGHT(#REF!,(FIND("Complex",#REF!,1)-8))</f>
        <v>#REF!</v>
      </c>
    </row>
    <row r="2885" spans="1:31" x14ac:dyDescent="0.25">
      <c r="A2885">
        <v>659</v>
      </c>
      <c r="B2885" t="s">
        <v>54</v>
      </c>
      <c r="C2885">
        <v>31</v>
      </c>
      <c r="D2885">
        <v>286</v>
      </c>
      <c r="E2885">
        <v>659</v>
      </c>
      <c r="F2885">
        <v>9966601</v>
      </c>
      <c r="G2885">
        <v>10054800</v>
      </c>
      <c r="H2885">
        <f t="shared" si="90"/>
        <v>226.00002267573697</v>
      </c>
      <c r="I2885">
        <f t="shared" si="91"/>
        <v>228</v>
      </c>
      <c r="J2885" t="s">
        <v>25</v>
      </c>
      <c r="K2885">
        <v>6</v>
      </c>
      <c r="L2885" t="e">
        <f t="array" ref="L2885">VLOOKUP(J2885:$J$3871&amp;K2885:$K$3871,CHOOSE({1,2},#REF!&amp;#REF!,#REF!),2,0)</f>
        <v>#N/A</v>
      </c>
      <c r="M2885">
        <v>-15</v>
      </c>
      <c r="N2885">
        <v>0</v>
      </c>
      <c r="O2885" t="s">
        <v>7</v>
      </c>
      <c r="P2885">
        <v>0</v>
      </c>
      <c r="Q2885">
        <v>1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1</v>
      </c>
      <c r="X2885">
        <v>1</v>
      </c>
      <c r="Y2885">
        <v>1</v>
      </c>
      <c r="Z2885">
        <v>1</v>
      </c>
      <c r="AA2885" t="s">
        <v>2991</v>
      </c>
      <c r="AB2885" t="s">
        <v>978</v>
      </c>
      <c r="AC2885" t="s">
        <v>2991</v>
      </c>
      <c r="AD2885" t="e">
        <f>VLOOKUP(AB2885,#REF!,2,FALSE)</f>
        <v>#REF!</v>
      </c>
      <c r="AE2885" t="e">
        <f>RIGHT(#REF!,(FIND("Complex",#REF!,1)-6))</f>
        <v>#REF!</v>
      </c>
    </row>
    <row r="2886" spans="1:31" x14ac:dyDescent="0.25">
      <c r="A2886">
        <v>3802</v>
      </c>
      <c r="B2886" t="s">
        <v>54</v>
      </c>
      <c r="C2886">
        <v>31</v>
      </c>
      <c r="D2886">
        <v>1206</v>
      </c>
      <c r="E2886">
        <v>3802</v>
      </c>
      <c r="F2886">
        <v>9790201</v>
      </c>
      <c r="G2886">
        <v>9878400</v>
      </c>
      <c r="H2886">
        <f t="shared" si="90"/>
        <v>222.00002267573697</v>
      </c>
      <c r="I2886">
        <f t="shared" si="91"/>
        <v>224</v>
      </c>
      <c r="J2886" t="s">
        <v>25</v>
      </c>
      <c r="K2886">
        <v>6</v>
      </c>
      <c r="L2886" t="e">
        <f t="array" ref="L2886">VLOOKUP(J2886:$J$3871&amp;K2886:$K$3871,CHOOSE({1,2},#REF!&amp;#REF!,#REF!),2,0)</f>
        <v>#N/A</v>
      </c>
      <c r="M2886">
        <v>-15</v>
      </c>
      <c r="N2886">
        <v>0</v>
      </c>
      <c r="O2886" t="s">
        <v>7</v>
      </c>
      <c r="P2886">
        <v>0</v>
      </c>
      <c r="Q2886">
        <v>1</v>
      </c>
      <c r="R2886">
        <v>0</v>
      </c>
      <c r="S2886">
        <v>1</v>
      </c>
      <c r="T2886">
        <v>0</v>
      </c>
      <c r="U2886">
        <v>0</v>
      </c>
      <c r="V2886">
        <v>0</v>
      </c>
      <c r="W2886">
        <v>1</v>
      </c>
      <c r="X2886">
        <v>1</v>
      </c>
      <c r="Y2886">
        <v>1</v>
      </c>
      <c r="Z2886">
        <v>1</v>
      </c>
      <c r="AA2886" t="s">
        <v>2999</v>
      </c>
      <c r="AB2886" t="s">
        <v>979</v>
      </c>
      <c r="AC2886" t="s">
        <v>2999</v>
      </c>
      <c r="AD2886" t="e">
        <f>VLOOKUP(AB2886,#REF!,2,FALSE)</f>
        <v>#REF!</v>
      </c>
      <c r="AE2886" t="e">
        <f>RIGHT(#REF!,(FIND("Complex",#REF!,1)-8))</f>
        <v>#REF!</v>
      </c>
    </row>
    <row r="2887" spans="1:31" x14ac:dyDescent="0.25">
      <c r="A2887">
        <v>2918</v>
      </c>
      <c r="B2887" t="s">
        <v>54</v>
      </c>
      <c r="C2887">
        <v>31</v>
      </c>
      <c r="D2887">
        <v>1003</v>
      </c>
      <c r="E2887">
        <v>2918</v>
      </c>
      <c r="F2887">
        <v>9702001</v>
      </c>
      <c r="G2887">
        <v>9790200</v>
      </c>
      <c r="H2887">
        <f t="shared" si="90"/>
        <v>220.00002267573697</v>
      </c>
      <c r="I2887">
        <f t="shared" si="91"/>
        <v>222</v>
      </c>
      <c r="J2887" t="s">
        <v>25</v>
      </c>
      <c r="K2887">
        <v>6</v>
      </c>
      <c r="L2887" t="e">
        <f t="array" ref="L2887">VLOOKUP(J2887:$J$3871&amp;K2887:$K$3871,CHOOSE({1,2},#REF!&amp;#REF!,#REF!),2,0)</f>
        <v>#N/A</v>
      </c>
      <c r="M2887">
        <v>-15</v>
      </c>
      <c r="N2887">
        <v>0</v>
      </c>
      <c r="O2887" t="s">
        <v>7</v>
      </c>
      <c r="P2887">
        <v>0</v>
      </c>
      <c r="Q2887">
        <v>1</v>
      </c>
      <c r="R2887">
        <v>0</v>
      </c>
      <c r="S2887">
        <v>1</v>
      </c>
      <c r="T2887">
        <v>0</v>
      </c>
      <c r="U2887">
        <v>0</v>
      </c>
      <c r="V2887">
        <v>0</v>
      </c>
      <c r="W2887">
        <v>1</v>
      </c>
      <c r="X2887">
        <v>1</v>
      </c>
      <c r="Y2887">
        <v>1</v>
      </c>
      <c r="Z2887">
        <v>1</v>
      </c>
      <c r="AA2887" t="s">
        <v>3004</v>
      </c>
      <c r="AB2887" t="s">
        <v>6242</v>
      </c>
      <c r="AC2887" t="s">
        <v>3004</v>
      </c>
      <c r="AD2887" t="e">
        <f>VLOOKUP(AB2887,#REF!,2,FALSE)</f>
        <v>#REF!</v>
      </c>
      <c r="AE2887" t="e">
        <f>RIGHT(#REF!,(FIND("Complex",#REF!,1)-8))</f>
        <v>#REF!</v>
      </c>
    </row>
    <row r="2888" spans="1:31" x14ac:dyDescent="0.25">
      <c r="A2888">
        <v>3823</v>
      </c>
      <c r="B2888" t="s">
        <v>54</v>
      </c>
      <c r="C2888">
        <v>31</v>
      </c>
      <c r="D2888">
        <v>1214</v>
      </c>
      <c r="E2888">
        <v>3823</v>
      </c>
      <c r="F2888">
        <v>9613801</v>
      </c>
      <c r="G2888">
        <v>9702000</v>
      </c>
      <c r="H2888">
        <f t="shared" si="90"/>
        <v>218.00002267573697</v>
      </c>
      <c r="I2888">
        <f t="shared" si="91"/>
        <v>220</v>
      </c>
      <c r="J2888" t="s">
        <v>25</v>
      </c>
      <c r="K2888">
        <v>6</v>
      </c>
      <c r="L2888" t="e">
        <f t="array" ref="L2888">VLOOKUP(J2888:$J$3871&amp;K2888:$K$3871,CHOOSE({1,2},#REF!&amp;#REF!,#REF!),2,0)</f>
        <v>#N/A</v>
      </c>
      <c r="M2888">
        <v>-15</v>
      </c>
      <c r="N2888">
        <v>0</v>
      </c>
      <c r="O2888" t="s">
        <v>7</v>
      </c>
      <c r="P2888">
        <v>0</v>
      </c>
      <c r="Q2888">
        <v>1</v>
      </c>
      <c r="R2888">
        <v>0</v>
      </c>
      <c r="S2888">
        <v>1</v>
      </c>
      <c r="T2888">
        <v>0</v>
      </c>
      <c r="U2888">
        <v>0</v>
      </c>
      <c r="V2888">
        <v>0</v>
      </c>
      <c r="W2888">
        <v>1</v>
      </c>
      <c r="X2888">
        <v>1</v>
      </c>
      <c r="Y2888">
        <v>1</v>
      </c>
      <c r="Z2888">
        <v>1</v>
      </c>
      <c r="AA2888" t="s">
        <v>3009</v>
      </c>
      <c r="AB2888" t="s">
        <v>6243</v>
      </c>
      <c r="AC2888" t="s">
        <v>3009</v>
      </c>
      <c r="AD2888" t="e">
        <f>VLOOKUP(AB2888,#REF!,2,FALSE)</f>
        <v>#REF!</v>
      </c>
      <c r="AE2888" t="e">
        <f>RIGHT(#REF!,(FIND("Complex",#REF!,1)-8))</f>
        <v>#REF!</v>
      </c>
    </row>
    <row r="2889" spans="1:31" x14ac:dyDescent="0.25">
      <c r="A2889">
        <v>3494</v>
      </c>
      <c r="B2889" t="s">
        <v>54</v>
      </c>
      <c r="C2889">
        <v>31</v>
      </c>
      <c r="D2889">
        <v>1114</v>
      </c>
      <c r="E2889">
        <v>3494</v>
      </c>
      <c r="F2889">
        <v>9261001</v>
      </c>
      <c r="G2889">
        <v>9349200</v>
      </c>
      <c r="H2889">
        <f t="shared" si="90"/>
        <v>210.00002267573697</v>
      </c>
      <c r="I2889">
        <f t="shared" si="91"/>
        <v>212</v>
      </c>
      <c r="J2889" t="s">
        <v>25</v>
      </c>
      <c r="K2889">
        <v>6</v>
      </c>
      <c r="L2889" t="e">
        <f t="array" ref="L2889">VLOOKUP(J2889:$J$3871&amp;K2889:$K$3871,CHOOSE({1,2},#REF!&amp;#REF!,#REF!),2,0)</f>
        <v>#N/A</v>
      </c>
      <c r="M2889">
        <v>-15</v>
      </c>
      <c r="N2889">
        <v>0</v>
      </c>
      <c r="O2889" t="s">
        <v>7</v>
      </c>
      <c r="P2889">
        <v>0</v>
      </c>
      <c r="Q2889">
        <v>1</v>
      </c>
      <c r="R2889">
        <v>0</v>
      </c>
      <c r="S2889">
        <v>1</v>
      </c>
      <c r="T2889">
        <v>0</v>
      </c>
      <c r="U2889">
        <v>0</v>
      </c>
      <c r="V2889">
        <v>0</v>
      </c>
      <c r="W2889">
        <v>1</v>
      </c>
      <c r="X2889">
        <v>1</v>
      </c>
      <c r="Y2889">
        <v>1</v>
      </c>
      <c r="Z2889">
        <v>1</v>
      </c>
      <c r="AA2889" t="s">
        <v>3027</v>
      </c>
      <c r="AB2889" t="s">
        <v>980</v>
      </c>
      <c r="AC2889" t="s">
        <v>3027</v>
      </c>
      <c r="AD2889" t="e">
        <f>VLOOKUP(AB2889,#REF!,2,FALSE)</f>
        <v>#REF!</v>
      </c>
      <c r="AE2889" t="e">
        <f>RIGHT(#REF!,(FIND("Complex",#REF!,1)-8))</f>
        <v>#REF!</v>
      </c>
    </row>
    <row r="2890" spans="1:31" x14ac:dyDescent="0.25">
      <c r="A2890">
        <v>3773</v>
      </c>
      <c r="B2890" t="s">
        <v>54</v>
      </c>
      <c r="C2890">
        <v>31</v>
      </c>
      <c r="D2890">
        <v>1201</v>
      </c>
      <c r="E2890">
        <v>3773</v>
      </c>
      <c r="F2890">
        <v>9084601</v>
      </c>
      <c r="G2890">
        <v>9172800</v>
      </c>
      <c r="H2890">
        <f t="shared" si="90"/>
        <v>206.00002267573697</v>
      </c>
      <c r="I2890">
        <f t="shared" si="91"/>
        <v>208</v>
      </c>
      <c r="J2890" t="s">
        <v>25</v>
      </c>
      <c r="K2890">
        <v>6</v>
      </c>
      <c r="L2890" t="e">
        <f t="array" ref="L2890">VLOOKUP(J2890:$J$3871&amp;K2890:$K$3871,CHOOSE({1,2},#REF!&amp;#REF!,#REF!),2,0)</f>
        <v>#N/A</v>
      </c>
      <c r="M2890">
        <v>-15</v>
      </c>
      <c r="N2890">
        <v>0</v>
      </c>
      <c r="O2890" t="s">
        <v>7</v>
      </c>
      <c r="P2890">
        <v>0</v>
      </c>
      <c r="Q2890">
        <v>1</v>
      </c>
      <c r="R2890">
        <v>0</v>
      </c>
      <c r="S2890">
        <v>1</v>
      </c>
      <c r="T2890">
        <v>0</v>
      </c>
      <c r="U2890">
        <v>0</v>
      </c>
      <c r="V2890">
        <v>0</v>
      </c>
      <c r="W2890">
        <v>1</v>
      </c>
      <c r="X2890">
        <v>1</v>
      </c>
      <c r="Y2890">
        <v>1</v>
      </c>
      <c r="Z2890">
        <v>1</v>
      </c>
      <c r="AA2890" t="s">
        <v>3038</v>
      </c>
      <c r="AB2890" t="s">
        <v>6249</v>
      </c>
      <c r="AC2890" t="s">
        <v>3038</v>
      </c>
      <c r="AD2890" t="e">
        <f>VLOOKUP(AB2890,#REF!,2,FALSE)</f>
        <v>#REF!</v>
      </c>
      <c r="AE2890" t="e">
        <f>RIGHT(#REF!,(FIND("Complex",#REF!,1)-8))</f>
        <v>#REF!</v>
      </c>
    </row>
    <row r="2891" spans="1:31" x14ac:dyDescent="0.25">
      <c r="A2891">
        <v>1239</v>
      </c>
      <c r="B2891" t="s">
        <v>54</v>
      </c>
      <c r="C2891">
        <v>31</v>
      </c>
      <c r="D2891">
        <v>542</v>
      </c>
      <c r="E2891">
        <v>1239</v>
      </c>
      <c r="F2891">
        <v>8820001</v>
      </c>
      <c r="G2891">
        <v>8908200</v>
      </c>
      <c r="H2891">
        <f t="shared" si="90"/>
        <v>200.00002267573697</v>
      </c>
      <c r="I2891">
        <f t="shared" si="91"/>
        <v>202</v>
      </c>
      <c r="J2891" t="s">
        <v>25</v>
      </c>
      <c r="K2891">
        <v>6</v>
      </c>
      <c r="L2891" t="e">
        <f t="array" ref="L2891">VLOOKUP(J2891:$J$3871&amp;K2891:$K$3871,CHOOSE({1,2},#REF!&amp;#REF!,#REF!),2,0)</f>
        <v>#N/A</v>
      </c>
      <c r="M2891">
        <v>-15</v>
      </c>
      <c r="N2891">
        <v>0</v>
      </c>
      <c r="O2891" t="s">
        <v>7</v>
      </c>
      <c r="P2891">
        <v>0</v>
      </c>
      <c r="Q2891">
        <v>1</v>
      </c>
      <c r="R2891">
        <v>0</v>
      </c>
      <c r="S2891">
        <v>1</v>
      </c>
      <c r="T2891">
        <v>0</v>
      </c>
      <c r="U2891">
        <v>0</v>
      </c>
      <c r="V2891">
        <v>0</v>
      </c>
      <c r="W2891">
        <v>1</v>
      </c>
      <c r="X2891">
        <v>1</v>
      </c>
      <c r="Y2891">
        <v>1</v>
      </c>
      <c r="Z2891">
        <v>1</v>
      </c>
      <c r="AA2891" t="s">
        <v>3052</v>
      </c>
      <c r="AB2891" t="s">
        <v>6253</v>
      </c>
      <c r="AC2891" t="s">
        <v>3052</v>
      </c>
      <c r="AD2891" t="e">
        <f>VLOOKUP(AB2891,#REF!,2,FALSE)</f>
        <v>#REF!</v>
      </c>
      <c r="AE2891" t="e">
        <f>RIGHT(#REF!,(FIND("Complex",#REF!,1)-7))</f>
        <v>#REF!</v>
      </c>
    </row>
    <row r="2892" spans="1:31" x14ac:dyDescent="0.25">
      <c r="A2892">
        <v>3254</v>
      </c>
      <c r="B2892" t="s">
        <v>54</v>
      </c>
      <c r="C2892">
        <v>31</v>
      </c>
      <c r="D2892">
        <v>1066</v>
      </c>
      <c r="E2892">
        <v>3254</v>
      </c>
      <c r="F2892">
        <v>4674601</v>
      </c>
      <c r="G2892">
        <v>4762800</v>
      </c>
      <c r="H2892">
        <f t="shared" si="90"/>
        <v>106.00002267573696</v>
      </c>
      <c r="I2892">
        <f t="shared" si="91"/>
        <v>108</v>
      </c>
      <c r="J2892" t="s">
        <v>25</v>
      </c>
      <c r="K2892">
        <v>6</v>
      </c>
      <c r="L2892" t="e">
        <f t="array" ref="L2892">VLOOKUP(J2892:$J$3871&amp;K2892:$K$3871,CHOOSE({1,2},#REF!&amp;#REF!,#REF!),2,0)</f>
        <v>#N/A</v>
      </c>
      <c r="M2892">
        <v>-15</v>
      </c>
      <c r="N2892">
        <v>0</v>
      </c>
      <c r="O2892" t="s">
        <v>7</v>
      </c>
      <c r="P2892">
        <v>0</v>
      </c>
      <c r="Q2892">
        <v>1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1</v>
      </c>
      <c r="X2892">
        <v>1</v>
      </c>
      <c r="Y2892">
        <v>1</v>
      </c>
      <c r="Z2892">
        <v>1</v>
      </c>
      <c r="AA2892" t="s">
        <v>3464</v>
      </c>
      <c r="AB2892" t="s">
        <v>6311</v>
      </c>
      <c r="AC2892" t="s">
        <v>3464</v>
      </c>
      <c r="AD2892" t="e">
        <f>VLOOKUP(AB2892,#REF!,2,FALSE)</f>
        <v>#REF!</v>
      </c>
      <c r="AE2892" t="e">
        <f>RIGHT(#REF!,(FIND("Complex",#REF!,1)-8))</f>
        <v>#REF!</v>
      </c>
    </row>
    <row r="2893" spans="1:31" x14ac:dyDescent="0.25">
      <c r="A2893">
        <v>1529</v>
      </c>
      <c r="B2893" t="s">
        <v>63</v>
      </c>
      <c r="C2893">
        <v>32</v>
      </c>
      <c r="D2893">
        <v>669</v>
      </c>
      <c r="E2893">
        <v>1529</v>
      </c>
      <c r="F2893">
        <v>7056001</v>
      </c>
      <c r="G2893">
        <v>7144200</v>
      </c>
      <c r="H2893">
        <f t="shared" si="90"/>
        <v>160.00002267573697</v>
      </c>
      <c r="I2893">
        <f t="shared" si="91"/>
        <v>162</v>
      </c>
      <c r="J2893" t="s">
        <v>25</v>
      </c>
      <c r="K2893">
        <v>6</v>
      </c>
      <c r="L2893" t="e">
        <f t="array" ref="L2893">VLOOKUP(J2893:$J$3871&amp;K2893:$K$3871,CHOOSE({1,2},#REF!&amp;#REF!,#REF!),2,0)</f>
        <v>#N/A</v>
      </c>
      <c r="M2893">
        <v>-15</v>
      </c>
      <c r="N2893">
        <v>0</v>
      </c>
      <c r="O2893" t="s">
        <v>7</v>
      </c>
      <c r="P2893">
        <v>0</v>
      </c>
      <c r="Q2893">
        <v>1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1</v>
      </c>
      <c r="X2893">
        <v>1</v>
      </c>
      <c r="Y2893">
        <v>1</v>
      </c>
      <c r="Z2893">
        <v>1</v>
      </c>
      <c r="AA2893" t="s">
        <v>3194</v>
      </c>
      <c r="AB2893" t="s">
        <v>1008</v>
      </c>
      <c r="AC2893" t="s">
        <v>3194</v>
      </c>
      <c r="AD2893" t="e">
        <f>VLOOKUP(AB2893,#REF!,2,FALSE)</f>
        <v>#REF!</v>
      </c>
      <c r="AE2893" t="e">
        <f>RIGHT(#REF!,(FIND("Complex",#REF!,1)-7))</f>
        <v>#REF!</v>
      </c>
    </row>
    <row r="2894" spans="1:31" x14ac:dyDescent="0.25">
      <c r="A2894">
        <v>3291</v>
      </c>
      <c r="B2894" t="s">
        <v>63</v>
      </c>
      <c r="C2894">
        <v>32</v>
      </c>
      <c r="D2894">
        <v>1070</v>
      </c>
      <c r="E2894">
        <v>3291</v>
      </c>
      <c r="F2894">
        <v>6703201</v>
      </c>
      <c r="G2894">
        <v>6791400</v>
      </c>
      <c r="H2894">
        <f t="shared" si="90"/>
        <v>152.00002267573697</v>
      </c>
      <c r="I2894">
        <f t="shared" si="91"/>
        <v>154</v>
      </c>
      <c r="J2894" t="s">
        <v>25</v>
      </c>
      <c r="K2894">
        <v>6</v>
      </c>
      <c r="L2894" t="e">
        <f t="array" ref="L2894">VLOOKUP(J2894:$J$3871&amp;K2894:$K$3871,CHOOSE({1,2},#REF!&amp;#REF!,#REF!),2,0)</f>
        <v>#N/A</v>
      </c>
      <c r="M2894">
        <v>-15</v>
      </c>
      <c r="N2894">
        <v>0</v>
      </c>
      <c r="O2894" t="s">
        <v>7</v>
      </c>
      <c r="P2894">
        <v>0</v>
      </c>
      <c r="Q2894">
        <v>1</v>
      </c>
      <c r="R2894">
        <v>0</v>
      </c>
      <c r="S2894">
        <v>0</v>
      </c>
      <c r="T2894">
        <v>1</v>
      </c>
      <c r="U2894">
        <v>0</v>
      </c>
      <c r="V2894">
        <v>0</v>
      </c>
      <c r="W2894">
        <v>1</v>
      </c>
      <c r="X2894">
        <v>1</v>
      </c>
      <c r="Y2894">
        <v>1</v>
      </c>
      <c r="Z2894">
        <v>1</v>
      </c>
      <c r="AA2894" t="s">
        <v>3220</v>
      </c>
      <c r="AB2894" t="s">
        <v>1009</v>
      </c>
      <c r="AC2894" t="s">
        <v>3220</v>
      </c>
      <c r="AD2894" t="e">
        <f>VLOOKUP(AB2894,#REF!,2,FALSE)</f>
        <v>#REF!</v>
      </c>
      <c r="AE2894" t="e">
        <f>RIGHT(#REF!,(FIND("Complex",#REF!,1)-8))</f>
        <v>#REF!</v>
      </c>
    </row>
    <row r="2895" spans="1:31" x14ac:dyDescent="0.25">
      <c r="A2895">
        <v>3406</v>
      </c>
      <c r="B2895" t="s">
        <v>63</v>
      </c>
      <c r="C2895">
        <v>32</v>
      </c>
      <c r="D2895">
        <v>1097</v>
      </c>
      <c r="E2895">
        <v>3406</v>
      </c>
      <c r="F2895">
        <v>6438601</v>
      </c>
      <c r="G2895">
        <v>6526800</v>
      </c>
      <c r="H2895">
        <f t="shared" si="90"/>
        <v>146.00002267573697</v>
      </c>
      <c r="I2895">
        <f t="shared" si="91"/>
        <v>148</v>
      </c>
      <c r="J2895" t="s">
        <v>25</v>
      </c>
      <c r="K2895">
        <v>6</v>
      </c>
      <c r="L2895" t="e">
        <f t="array" ref="L2895">VLOOKUP(J2895:$J$3871&amp;K2895:$K$3871,CHOOSE({1,2},#REF!&amp;#REF!,#REF!),2,0)</f>
        <v>#N/A</v>
      </c>
      <c r="M2895">
        <v>-15</v>
      </c>
      <c r="N2895">
        <v>0</v>
      </c>
      <c r="O2895" t="s">
        <v>7</v>
      </c>
      <c r="P2895">
        <v>0</v>
      </c>
      <c r="Q2895">
        <v>1</v>
      </c>
      <c r="R2895">
        <v>0</v>
      </c>
      <c r="S2895">
        <v>0</v>
      </c>
      <c r="T2895">
        <v>1</v>
      </c>
      <c r="U2895">
        <v>0</v>
      </c>
      <c r="V2895">
        <v>0</v>
      </c>
      <c r="W2895">
        <v>1</v>
      </c>
      <c r="X2895">
        <v>1</v>
      </c>
      <c r="Y2895">
        <v>1</v>
      </c>
      <c r="Z2895">
        <v>1</v>
      </c>
      <c r="AA2895" t="s">
        <v>3240</v>
      </c>
      <c r="AB2895" t="s">
        <v>1010</v>
      </c>
      <c r="AC2895" t="s">
        <v>3240</v>
      </c>
      <c r="AD2895" t="e">
        <f>VLOOKUP(AB2895,#REF!,2,FALSE)</f>
        <v>#REF!</v>
      </c>
      <c r="AE2895" t="e">
        <f>RIGHT(#REF!,(FIND("Complex",#REF!,1)-8))</f>
        <v>#REF!</v>
      </c>
    </row>
    <row r="2896" spans="1:31" x14ac:dyDescent="0.25">
      <c r="A2896">
        <v>3194</v>
      </c>
      <c r="B2896" t="s">
        <v>63</v>
      </c>
      <c r="C2896">
        <v>32</v>
      </c>
      <c r="D2896">
        <v>1054</v>
      </c>
      <c r="E2896">
        <v>3194</v>
      </c>
      <c r="F2896">
        <v>4939201</v>
      </c>
      <c r="G2896">
        <v>5027400</v>
      </c>
      <c r="H2896">
        <f t="shared" si="90"/>
        <v>112.00002267573696</v>
      </c>
      <c r="I2896">
        <f t="shared" si="91"/>
        <v>114</v>
      </c>
      <c r="J2896" t="s">
        <v>25</v>
      </c>
      <c r="K2896">
        <v>6</v>
      </c>
      <c r="L2896" t="e">
        <f t="array" ref="L2896">VLOOKUP(J2896:$J$3871&amp;K2896:$K$3871,CHOOSE({1,2},#REF!&amp;#REF!,#REF!),2,0)</f>
        <v>#N/A</v>
      </c>
      <c r="M2896">
        <v>-15</v>
      </c>
      <c r="N2896">
        <v>0</v>
      </c>
      <c r="O2896" t="s">
        <v>7</v>
      </c>
      <c r="P2896">
        <v>1</v>
      </c>
      <c r="Q2896">
        <v>1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1</v>
      </c>
      <c r="Y2896">
        <v>1</v>
      </c>
      <c r="Z2896">
        <v>1</v>
      </c>
      <c r="AA2896" t="s">
        <v>3436</v>
      </c>
      <c r="AB2896" t="s">
        <v>1011</v>
      </c>
      <c r="AC2896" t="s">
        <v>3436</v>
      </c>
      <c r="AD2896" t="e">
        <f>VLOOKUP(AB2896,#REF!,2,FALSE)</f>
        <v>#REF!</v>
      </c>
      <c r="AE2896" t="e">
        <f>RIGHT(#REF!,(FIND("Complex",#REF!,1)-8))</f>
        <v>#REF!</v>
      </c>
    </row>
    <row r="2897" spans="1:31" x14ac:dyDescent="0.25">
      <c r="A2897">
        <v>3271</v>
      </c>
      <c r="B2897" t="s">
        <v>64</v>
      </c>
      <c r="C2897">
        <v>33</v>
      </c>
      <c r="D2897">
        <v>1069</v>
      </c>
      <c r="E2897">
        <v>3271</v>
      </c>
      <c r="F2897">
        <v>7673401</v>
      </c>
      <c r="G2897">
        <v>7761600</v>
      </c>
      <c r="H2897">
        <f t="shared" si="90"/>
        <v>174.00002267573697</v>
      </c>
      <c r="I2897">
        <f t="shared" si="91"/>
        <v>176</v>
      </c>
      <c r="J2897" t="s">
        <v>25</v>
      </c>
      <c r="K2897">
        <v>6</v>
      </c>
      <c r="L2897" t="e">
        <f t="array" ref="L2897">VLOOKUP(J2897:$J$3871&amp;K2897:$K$3871,CHOOSE({1,2},#REF!&amp;#REF!,#REF!),2,0)</f>
        <v>#N/A</v>
      </c>
      <c r="M2897">
        <v>-15</v>
      </c>
      <c r="N2897">
        <v>0</v>
      </c>
      <c r="O2897" t="s">
        <v>7</v>
      </c>
      <c r="P2897">
        <v>1</v>
      </c>
      <c r="Q2897">
        <v>1</v>
      </c>
      <c r="R2897">
        <v>0</v>
      </c>
      <c r="S2897">
        <v>0</v>
      </c>
      <c r="T2897">
        <v>1</v>
      </c>
      <c r="U2897">
        <v>0</v>
      </c>
      <c r="V2897">
        <v>0</v>
      </c>
      <c r="W2897">
        <v>1</v>
      </c>
      <c r="X2897">
        <v>1</v>
      </c>
      <c r="Y2897">
        <v>1</v>
      </c>
      <c r="Z2897">
        <v>0</v>
      </c>
      <c r="AA2897" t="s">
        <v>3159</v>
      </c>
      <c r="AB2897" t="s">
        <v>6279</v>
      </c>
      <c r="AC2897" t="s">
        <v>3159</v>
      </c>
      <c r="AD2897" t="e">
        <f>VLOOKUP(AB2897,#REF!,2,FALSE)</f>
        <v>#REF!</v>
      </c>
      <c r="AE2897" t="e">
        <f>RIGHT(#REF!,(FIND("Complex",#REF!,1)-8))</f>
        <v>#REF!</v>
      </c>
    </row>
    <row r="2898" spans="1:31" x14ac:dyDescent="0.25">
      <c r="A2898">
        <v>92</v>
      </c>
      <c r="B2898" t="s">
        <v>64</v>
      </c>
      <c r="C2898">
        <v>33</v>
      </c>
      <c r="D2898">
        <v>44</v>
      </c>
      <c r="E2898">
        <v>92</v>
      </c>
      <c r="F2898">
        <v>5909401</v>
      </c>
      <c r="G2898">
        <v>5997600</v>
      </c>
      <c r="H2898">
        <f t="shared" si="90"/>
        <v>134.00002267573697</v>
      </c>
      <c r="I2898">
        <f t="shared" si="91"/>
        <v>136</v>
      </c>
      <c r="J2898" t="s">
        <v>25</v>
      </c>
      <c r="K2898">
        <v>6</v>
      </c>
      <c r="L2898" t="e">
        <f t="array" ref="L2898">VLOOKUP(J2898:$J$3871&amp;K2898:$K$3871,CHOOSE({1,2},#REF!&amp;#REF!,#REF!),2,0)</f>
        <v>#N/A</v>
      </c>
      <c r="M2898">
        <v>-15</v>
      </c>
      <c r="N2898">
        <v>0</v>
      </c>
      <c r="O2898" t="s">
        <v>7</v>
      </c>
      <c r="P2898">
        <v>1</v>
      </c>
      <c r="Q2898">
        <v>1</v>
      </c>
      <c r="R2898">
        <v>0</v>
      </c>
      <c r="S2898">
        <v>0</v>
      </c>
      <c r="T2898">
        <v>1</v>
      </c>
      <c r="U2898">
        <v>0</v>
      </c>
      <c r="V2898">
        <v>0</v>
      </c>
      <c r="W2898">
        <v>1</v>
      </c>
      <c r="X2898">
        <v>1</v>
      </c>
      <c r="Y2898">
        <v>1</v>
      </c>
      <c r="Z2898">
        <v>0</v>
      </c>
      <c r="AA2898" t="s">
        <v>3297</v>
      </c>
      <c r="AB2898" t="s">
        <v>6298</v>
      </c>
      <c r="AC2898" t="s">
        <v>3297</v>
      </c>
      <c r="AD2898" t="e">
        <f>VLOOKUP(AB2898,#REF!,2,FALSE)</f>
        <v>#REF!</v>
      </c>
      <c r="AE2898" t="e">
        <f>RIGHT(#REF!,(FIND("Complex",#REF!,1)-5))</f>
        <v>#REF!</v>
      </c>
    </row>
    <row r="2899" spans="1:31" x14ac:dyDescent="0.25">
      <c r="A2899">
        <v>2504</v>
      </c>
      <c r="B2899" t="s">
        <v>64</v>
      </c>
      <c r="C2899">
        <v>33</v>
      </c>
      <c r="D2899">
        <v>962</v>
      </c>
      <c r="E2899">
        <v>2504</v>
      </c>
      <c r="F2899">
        <v>5821201</v>
      </c>
      <c r="G2899">
        <v>5909400</v>
      </c>
      <c r="H2899">
        <f t="shared" si="90"/>
        <v>132.00002267573697</v>
      </c>
      <c r="I2899">
        <f t="shared" si="91"/>
        <v>134</v>
      </c>
      <c r="J2899" t="s">
        <v>25</v>
      </c>
      <c r="K2899">
        <v>6</v>
      </c>
      <c r="L2899" t="e">
        <f t="array" ref="L2899">VLOOKUP(J2899:$J$3871&amp;K2899:$K$3871,CHOOSE({1,2},#REF!&amp;#REF!,#REF!),2,0)</f>
        <v>#N/A</v>
      </c>
      <c r="M2899">
        <v>-15</v>
      </c>
      <c r="N2899">
        <v>0</v>
      </c>
      <c r="O2899" t="s">
        <v>7</v>
      </c>
      <c r="P2899">
        <v>1</v>
      </c>
      <c r="Q2899">
        <v>1</v>
      </c>
      <c r="R2899">
        <v>0</v>
      </c>
      <c r="S2899">
        <v>0</v>
      </c>
      <c r="T2899">
        <v>1</v>
      </c>
      <c r="U2899">
        <v>0</v>
      </c>
      <c r="V2899">
        <v>0</v>
      </c>
      <c r="W2899">
        <v>1</v>
      </c>
      <c r="X2899">
        <v>1</v>
      </c>
      <c r="Y2899">
        <v>1</v>
      </c>
      <c r="Z2899">
        <v>0</v>
      </c>
      <c r="AA2899" t="s">
        <v>3310</v>
      </c>
      <c r="AB2899" t="s">
        <v>1027</v>
      </c>
      <c r="AC2899" t="s">
        <v>3310</v>
      </c>
      <c r="AD2899" t="e">
        <f>VLOOKUP(AB2899,#REF!,2,FALSE)</f>
        <v>#REF!</v>
      </c>
      <c r="AE2899" t="e">
        <f>RIGHT(#REF!,(FIND("Complex",#REF!,1)-7))</f>
        <v>#REF!</v>
      </c>
    </row>
    <row r="2900" spans="1:31" x14ac:dyDescent="0.25">
      <c r="A2900">
        <v>2953</v>
      </c>
      <c r="B2900" t="s">
        <v>64</v>
      </c>
      <c r="C2900">
        <v>33</v>
      </c>
      <c r="D2900">
        <v>1010</v>
      </c>
      <c r="E2900">
        <v>2953</v>
      </c>
      <c r="F2900">
        <v>5733001</v>
      </c>
      <c r="G2900">
        <v>5821200</v>
      </c>
      <c r="H2900">
        <f t="shared" si="90"/>
        <v>130.00002267573697</v>
      </c>
      <c r="I2900">
        <f t="shared" si="91"/>
        <v>132</v>
      </c>
      <c r="J2900" t="s">
        <v>25</v>
      </c>
      <c r="K2900">
        <v>6</v>
      </c>
      <c r="L2900" t="e">
        <f t="array" ref="L2900">VLOOKUP(J2900:$J$3871&amp;K2900:$K$3871,CHOOSE({1,2},#REF!&amp;#REF!,#REF!),2,0)</f>
        <v>#N/A</v>
      </c>
      <c r="M2900">
        <v>-15</v>
      </c>
      <c r="N2900">
        <v>0</v>
      </c>
      <c r="O2900" t="s">
        <v>7</v>
      </c>
      <c r="P2900">
        <v>1</v>
      </c>
      <c r="Q2900">
        <v>1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1</v>
      </c>
      <c r="X2900">
        <v>1</v>
      </c>
      <c r="Y2900">
        <v>1</v>
      </c>
      <c r="Z2900">
        <v>0</v>
      </c>
      <c r="AA2900" t="s">
        <v>3323</v>
      </c>
      <c r="AB2900" t="s">
        <v>1028</v>
      </c>
      <c r="AC2900" t="s">
        <v>3323</v>
      </c>
      <c r="AD2900" t="e">
        <f>VLOOKUP(AB2900,#REF!,2,FALSE)</f>
        <v>#REF!</v>
      </c>
      <c r="AE2900" t="e">
        <f>RIGHT(#REF!,(FIND("Complex",#REF!,1)-8))</f>
        <v>#REF!</v>
      </c>
    </row>
    <row r="2901" spans="1:31" x14ac:dyDescent="0.25">
      <c r="A2901">
        <v>3499</v>
      </c>
      <c r="B2901" t="s">
        <v>64</v>
      </c>
      <c r="C2901">
        <v>33</v>
      </c>
      <c r="D2901">
        <v>1116</v>
      </c>
      <c r="E2901">
        <v>3499</v>
      </c>
      <c r="F2901">
        <v>5556601</v>
      </c>
      <c r="G2901">
        <v>5644800</v>
      </c>
      <c r="H2901">
        <f t="shared" si="90"/>
        <v>126.00002267573696</v>
      </c>
      <c r="I2901">
        <f t="shared" si="91"/>
        <v>128</v>
      </c>
      <c r="J2901" t="s">
        <v>25</v>
      </c>
      <c r="K2901">
        <v>6</v>
      </c>
      <c r="L2901" t="e">
        <f t="array" ref="L2901">VLOOKUP(J2901:$J$3871&amp;K2901:$K$3871,CHOOSE({1,2},#REF!&amp;#REF!,#REF!),2,0)</f>
        <v>#N/A</v>
      </c>
      <c r="M2901">
        <v>-15</v>
      </c>
      <c r="N2901">
        <v>0</v>
      </c>
      <c r="O2901" t="s">
        <v>7</v>
      </c>
      <c r="P2901">
        <v>1</v>
      </c>
      <c r="Q2901">
        <v>1</v>
      </c>
      <c r="R2901">
        <v>0</v>
      </c>
      <c r="S2901">
        <v>0</v>
      </c>
      <c r="T2901">
        <v>1</v>
      </c>
      <c r="U2901">
        <v>0</v>
      </c>
      <c r="V2901">
        <v>0</v>
      </c>
      <c r="W2901">
        <v>1</v>
      </c>
      <c r="X2901">
        <v>1</v>
      </c>
      <c r="Y2901">
        <v>1</v>
      </c>
      <c r="Z2901">
        <v>0</v>
      </c>
      <c r="AA2901" t="s">
        <v>3348</v>
      </c>
      <c r="AB2901" t="s">
        <v>1029</v>
      </c>
      <c r="AC2901" t="s">
        <v>3348</v>
      </c>
      <c r="AD2901" t="e">
        <f>VLOOKUP(AB2901,#REF!,2,FALSE)</f>
        <v>#REF!</v>
      </c>
      <c r="AE2901" t="e">
        <f>RIGHT(#REF!,(FIND("Complex",#REF!,1)-8))</f>
        <v>#REF!</v>
      </c>
    </row>
    <row r="2902" spans="1:31" x14ac:dyDescent="0.25">
      <c r="A2902">
        <v>1970</v>
      </c>
      <c r="B2902" t="s">
        <v>64</v>
      </c>
      <c r="C2902">
        <v>33</v>
      </c>
      <c r="D2902">
        <v>852</v>
      </c>
      <c r="E2902">
        <v>1970</v>
      </c>
      <c r="F2902">
        <v>5292001</v>
      </c>
      <c r="G2902">
        <v>5380200</v>
      </c>
      <c r="H2902">
        <f t="shared" si="90"/>
        <v>120.00002267573696</v>
      </c>
      <c r="I2902">
        <f t="shared" si="91"/>
        <v>122</v>
      </c>
      <c r="J2902" t="s">
        <v>25</v>
      </c>
      <c r="K2902">
        <v>6</v>
      </c>
      <c r="L2902" t="e">
        <f t="array" ref="L2902">VLOOKUP(J2902:$J$3871&amp;K2902:$K$3871,CHOOSE({1,2},#REF!&amp;#REF!,#REF!),2,0)</f>
        <v>#N/A</v>
      </c>
      <c r="M2902">
        <v>-15</v>
      </c>
      <c r="N2902">
        <v>0</v>
      </c>
      <c r="O2902" t="s">
        <v>7</v>
      </c>
      <c r="P2902">
        <v>1</v>
      </c>
      <c r="Q2902">
        <v>1</v>
      </c>
      <c r="R2902">
        <v>0</v>
      </c>
      <c r="S2902">
        <v>0</v>
      </c>
      <c r="T2902">
        <v>1</v>
      </c>
      <c r="U2902">
        <v>0</v>
      </c>
      <c r="V2902">
        <v>0</v>
      </c>
      <c r="W2902">
        <v>1</v>
      </c>
      <c r="X2902">
        <v>1</v>
      </c>
      <c r="Y2902">
        <v>1</v>
      </c>
      <c r="Z2902">
        <v>0</v>
      </c>
      <c r="AA2902" t="s">
        <v>3382</v>
      </c>
      <c r="AB2902" t="s">
        <v>1030</v>
      </c>
      <c r="AC2902" t="s">
        <v>3382</v>
      </c>
      <c r="AD2902" t="e">
        <f>VLOOKUP(AB2902,#REF!,2,FALSE)</f>
        <v>#REF!</v>
      </c>
      <c r="AE2902" t="e">
        <f>RIGHT(#REF!,(FIND("Complex",#REF!,1)-7))</f>
        <v>#REF!</v>
      </c>
    </row>
    <row r="2903" spans="1:31" x14ac:dyDescent="0.25">
      <c r="A2903">
        <v>339</v>
      </c>
      <c r="B2903" t="s">
        <v>64</v>
      </c>
      <c r="C2903">
        <v>33</v>
      </c>
      <c r="D2903">
        <v>141</v>
      </c>
      <c r="E2903">
        <v>339</v>
      </c>
      <c r="F2903">
        <v>5203801</v>
      </c>
      <c r="G2903">
        <v>5292000</v>
      </c>
      <c r="H2903">
        <f t="shared" si="90"/>
        <v>118.00002267573696</v>
      </c>
      <c r="I2903">
        <f t="shared" si="91"/>
        <v>120</v>
      </c>
      <c r="J2903" t="s">
        <v>25</v>
      </c>
      <c r="K2903">
        <v>6</v>
      </c>
      <c r="L2903" t="e">
        <f t="array" ref="L2903">VLOOKUP(J2903:$J$3871&amp;K2903:$K$3871,CHOOSE({1,2},#REF!&amp;#REF!,#REF!),2,0)</f>
        <v>#N/A</v>
      </c>
      <c r="M2903">
        <v>-15</v>
      </c>
      <c r="N2903">
        <v>0</v>
      </c>
      <c r="O2903" t="s">
        <v>7</v>
      </c>
      <c r="P2903">
        <v>1</v>
      </c>
      <c r="Q2903">
        <v>1</v>
      </c>
      <c r="R2903">
        <v>0</v>
      </c>
      <c r="S2903">
        <v>0</v>
      </c>
      <c r="T2903">
        <v>1</v>
      </c>
      <c r="U2903">
        <v>0</v>
      </c>
      <c r="V2903">
        <v>0</v>
      </c>
      <c r="W2903">
        <v>1</v>
      </c>
      <c r="X2903">
        <v>1</v>
      </c>
      <c r="Y2903">
        <v>1</v>
      </c>
      <c r="Z2903">
        <v>0</v>
      </c>
      <c r="AA2903" t="s">
        <v>3393</v>
      </c>
      <c r="AB2903" t="s">
        <v>1031</v>
      </c>
      <c r="AC2903" t="s">
        <v>3393</v>
      </c>
      <c r="AD2903" t="e">
        <f>VLOOKUP(AB2903,#REF!,2,FALSE)</f>
        <v>#REF!</v>
      </c>
      <c r="AE2903" t="e">
        <f>RIGHT(#REF!,(FIND("Complex",#REF!,1)-6))</f>
        <v>#REF!</v>
      </c>
    </row>
    <row r="2904" spans="1:31" x14ac:dyDescent="0.25">
      <c r="A2904">
        <v>3325</v>
      </c>
      <c r="B2904" t="s">
        <v>64</v>
      </c>
      <c r="C2904">
        <v>33</v>
      </c>
      <c r="D2904">
        <v>1075</v>
      </c>
      <c r="E2904">
        <v>3325</v>
      </c>
      <c r="F2904">
        <v>5115601</v>
      </c>
      <c r="G2904">
        <v>5203800</v>
      </c>
      <c r="H2904">
        <f t="shared" si="90"/>
        <v>116.00002267573696</v>
      </c>
      <c r="I2904">
        <f t="shared" si="91"/>
        <v>118</v>
      </c>
      <c r="J2904" t="s">
        <v>25</v>
      </c>
      <c r="K2904">
        <v>6</v>
      </c>
      <c r="L2904" t="e">
        <f t="array" ref="L2904">VLOOKUP(J2904:$J$3871&amp;K2904:$K$3871,CHOOSE({1,2},#REF!&amp;#REF!,#REF!),2,0)</f>
        <v>#N/A</v>
      </c>
      <c r="M2904">
        <v>-15</v>
      </c>
      <c r="N2904">
        <v>0</v>
      </c>
      <c r="O2904" t="s">
        <v>7</v>
      </c>
      <c r="P2904">
        <v>1</v>
      </c>
      <c r="Q2904">
        <v>1</v>
      </c>
      <c r="R2904">
        <v>0</v>
      </c>
      <c r="S2904">
        <v>0</v>
      </c>
      <c r="T2904">
        <v>1</v>
      </c>
      <c r="U2904">
        <v>0</v>
      </c>
      <c r="V2904">
        <v>0</v>
      </c>
      <c r="W2904">
        <v>1</v>
      </c>
      <c r="X2904">
        <v>1</v>
      </c>
      <c r="Y2904">
        <v>1</v>
      </c>
      <c r="Z2904">
        <v>0</v>
      </c>
      <c r="AA2904" t="s">
        <v>3410</v>
      </c>
      <c r="AB2904" t="s">
        <v>1032</v>
      </c>
      <c r="AC2904" t="s">
        <v>3410</v>
      </c>
      <c r="AD2904" t="e">
        <f>VLOOKUP(AB2904,#REF!,2,FALSE)</f>
        <v>#REF!</v>
      </c>
      <c r="AE2904" t="e">
        <f>RIGHT(#REF!,(FIND("Complex",#REF!,1)-8))</f>
        <v>#REF!</v>
      </c>
    </row>
    <row r="2905" spans="1:31" x14ac:dyDescent="0.25">
      <c r="A2905">
        <v>2595</v>
      </c>
      <c r="B2905" t="s">
        <v>92</v>
      </c>
      <c r="C2905">
        <v>34</v>
      </c>
      <c r="D2905">
        <v>969</v>
      </c>
      <c r="E2905">
        <v>2595</v>
      </c>
      <c r="F2905">
        <v>11025001</v>
      </c>
      <c r="G2905">
        <v>11113200</v>
      </c>
      <c r="H2905">
        <f t="shared" si="90"/>
        <v>250.00002267573697</v>
      </c>
      <c r="I2905">
        <f t="shared" si="91"/>
        <v>252</v>
      </c>
      <c r="J2905" t="s">
        <v>25</v>
      </c>
      <c r="K2905">
        <v>6</v>
      </c>
      <c r="L2905" t="e">
        <f t="array" ref="L2905">VLOOKUP(J2905:$J$3871&amp;K2905:$K$3871,CHOOSE({1,2},#REF!&amp;#REF!,#REF!),2,0)</f>
        <v>#N/A</v>
      </c>
      <c r="M2905">
        <v>-15</v>
      </c>
      <c r="N2905">
        <v>0</v>
      </c>
      <c r="O2905" t="s">
        <v>7</v>
      </c>
      <c r="P2905">
        <v>1</v>
      </c>
      <c r="Q2905">
        <v>1</v>
      </c>
      <c r="R2905">
        <v>0</v>
      </c>
      <c r="S2905">
        <v>0</v>
      </c>
      <c r="T2905">
        <v>1</v>
      </c>
      <c r="U2905">
        <v>0</v>
      </c>
      <c r="V2905">
        <v>0</v>
      </c>
      <c r="W2905">
        <v>1</v>
      </c>
      <c r="X2905">
        <v>1</v>
      </c>
      <c r="Y2905">
        <v>1</v>
      </c>
      <c r="Z2905">
        <v>0</v>
      </c>
      <c r="AA2905" t="s">
        <v>2936</v>
      </c>
      <c r="AB2905" t="s">
        <v>6229</v>
      </c>
      <c r="AC2905" t="s">
        <v>2936</v>
      </c>
      <c r="AD2905" t="e">
        <f>VLOOKUP(AB2905,#REF!,2,FALSE)</f>
        <v>#REF!</v>
      </c>
      <c r="AE2905" t="e">
        <f>RIGHT(#REF!,(FIND("Complex",#REF!,1)-7))</f>
        <v>#REF!</v>
      </c>
    </row>
    <row r="2906" spans="1:31" x14ac:dyDescent="0.25">
      <c r="A2906">
        <v>3615</v>
      </c>
      <c r="B2906" t="s">
        <v>92</v>
      </c>
      <c r="C2906">
        <v>34</v>
      </c>
      <c r="D2906">
        <v>1147</v>
      </c>
      <c r="E2906">
        <v>3615</v>
      </c>
      <c r="F2906">
        <v>10760401</v>
      </c>
      <c r="G2906">
        <v>10848600</v>
      </c>
      <c r="H2906">
        <f t="shared" si="90"/>
        <v>244.00002267573697</v>
      </c>
      <c r="I2906">
        <f t="shared" si="91"/>
        <v>246</v>
      </c>
      <c r="J2906" t="s">
        <v>25</v>
      </c>
      <c r="K2906">
        <v>6</v>
      </c>
      <c r="L2906" t="e">
        <f t="array" ref="L2906">VLOOKUP(J2906:$J$3871&amp;K2906:$K$3871,CHOOSE({1,2},#REF!&amp;#REF!,#REF!),2,0)</f>
        <v>#N/A</v>
      </c>
      <c r="M2906">
        <v>-15</v>
      </c>
      <c r="N2906">
        <v>0</v>
      </c>
      <c r="O2906" t="s">
        <v>7</v>
      </c>
      <c r="P2906">
        <v>1</v>
      </c>
      <c r="Q2906">
        <v>1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1</v>
      </c>
      <c r="X2906">
        <v>1</v>
      </c>
      <c r="Y2906">
        <v>1</v>
      </c>
      <c r="Z2906">
        <v>0</v>
      </c>
      <c r="AA2906" t="s">
        <v>2949</v>
      </c>
      <c r="AB2906" t="s">
        <v>6233</v>
      </c>
      <c r="AC2906" t="s">
        <v>2949</v>
      </c>
      <c r="AD2906" t="e">
        <f>VLOOKUP(AB2906,#REF!,2,FALSE)</f>
        <v>#REF!</v>
      </c>
      <c r="AE2906" t="e">
        <f>RIGHT(#REF!,(FIND("Complex",#REF!,1)-8))</f>
        <v>#REF!</v>
      </c>
    </row>
    <row r="2907" spans="1:31" x14ac:dyDescent="0.25">
      <c r="A2907">
        <v>3632</v>
      </c>
      <c r="B2907" t="s">
        <v>92</v>
      </c>
      <c r="C2907">
        <v>34</v>
      </c>
      <c r="D2907">
        <v>1154</v>
      </c>
      <c r="E2907">
        <v>3632</v>
      </c>
      <c r="F2907">
        <v>10495801</v>
      </c>
      <c r="G2907">
        <v>10584000</v>
      </c>
      <c r="H2907">
        <f t="shared" si="90"/>
        <v>238.00002267573697</v>
      </c>
      <c r="I2907">
        <f t="shared" si="91"/>
        <v>240</v>
      </c>
      <c r="J2907" t="s">
        <v>25</v>
      </c>
      <c r="K2907">
        <v>6</v>
      </c>
      <c r="L2907" t="e">
        <f t="array" ref="L2907">VLOOKUP(J2907:$J$3871&amp;K2907:$K$3871,CHOOSE({1,2},#REF!&amp;#REF!,#REF!),2,0)</f>
        <v>#N/A</v>
      </c>
      <c r="M2907">
        <v>-15</v>
      </c>
      <c r="N2907">
        <v>0</v>
      </c>
      <c r="O2907" t="s">
        <v>7</v>
      </c>
      <c r="P2907">
        <v>1</v>
      </c>
      <c r="Q2907">
        <v>1</v>
      </c>
      <c r="R2907">
        <v>0</v>
      </c>
      <c r="S2907">
        <v>0</v>
      </c>
      <c r="T2907">
        <v>1</v>
      </c>
      <c r="U2907">
        <v>0</v>
      </c>
      <c r="V2907">
        <v>0</v>
      </c>
      <c r="W2907">
        <v>1</v>
      </c>
      <c r="X2907">
        <v>1</v>
      </c>
      <c r="Y2907">
        <v>1</v>
      </c>
      <c r="Z2907">
        <v>0</v>
      </c>
      <c r="AA2907" t="s">
        <v>2963</v>
      </c>
      <c r="AB2907" t="s">
        <v>1056</v>
      </c>
      <c r="AC2907" t="s">
        <v>2963</v>
      </c>
      <c r="AD2907" t="e">
        <f>VLOOKUP(AB2907,#REF!,2,FALSE)</f>
        <v>#REF!</v>
      </c>
      <c r="AE2907" t="e">
        <f>RIGHT(#REF!,(FIND("Complex",#REF!,1)-8))</f>
        <v>#REF!</v>
      </c>
    </row>
    <row r="2908" spans="1:31" x14ac:dyDescent="0.25">
      <c r="A2908">
        <v>3415</v>
      </c>
      <c r="B2908" t="s">
        <v>92</v>
      </c>
      <c r="C2908">
        <v>34</v>
      </c>
      <c r="D2908">
        <v>1099</v>
      </c>
      <c r="E2908">
        <v>3415</v>
      </c>
      <c r="F2908">
        <v>10319401</v>
      </c>
      <c r="G2908">
        <v>10407600</v>
      </c>
      <c r="H2908">
        <f t="shared" si="90"/>
        <v>234.00002267573697</v>
      </c>
      <c r="I2908">
        <f t="shared" si="91"/>
        <v>236</v>
      </c>
      <c r="J2908" t="s">
        <v>25</v>
      </c>
      <c r="K2908">
        <v>6</v>
      </c>
      <c r="L2908" t="e">
        <f t="array" ref="L2908">VLOOKUP(J2908:$J$3871&amp;K2908:$K$3871,CHOOSE({1,2},#REF!&amp;#REF!,#REF!),2,0)</f>
        <v>#N/A</v>
      </c>
      <c r="M2908">
        <v>-15</v>
      </c>
      <c r="N2908">
        <v>0</v>
      </c>
      <c r="O2908" t="s">
        <v>7</v>
      </c>
      <c r="P2908">
        <v>1</v>
      </c>
      <c r="Q2908">
        <v>1</v>
      </c>
      <c r="R2908">
        <v>0</v>
      </c>
      <c r="S2908">
        <v>0</v>
      </c>
      <c r="T2908">
        <v>1</v>
      </c>
      <c r="U2908">
        <v>0</v>
      </c>
      <c r="V2908">
        <v>0</v>
      </c>
      <c r="W2908">
        <v>1</v>
      </c>
      <c r="X2908">
        <v>1</v>
      </c>
      <c r="Y2908">
        <v>1</v>
      </c>
      <c r="Z2908">
        <v>0</v>
      </c>
      <c r="AA2908" t="s">
        <v>2971</v>
      </c>
      <c r="AB2908" t="s">
        <v>1057</v>
      </c>
      <c r="AC2908" t="s">
        <v>2971</v>
      </c>
      <c r="AD2908" t="e">
        <f>VLOOKUP(AB2908,#REF!,2,FALSE)</f>
        <v>#REF!</v>
      </c>
      <c r="AE2908" t="e">
        <f>RIGHT(#REF!,(FIND("Complex",#REF!,1)-8))</f>
        <v>#REF!</v>
      </c>
    </row>
    <row r="2909" spans="1:31" x14ac:dyDescent="0.25">
      <c r="A2909">
        <v>961</v>
      </c>
      <c r="B2909" t="s">
        <v>92</v>
      </c>
      <c r="C2909">
        <v>34</v>
      </c>
      <c r="D2909">
        <v>424</v>
      </c>
      <c r="E2909">
        <v>961</v>
      </c>
      <c r="F2909">
        <v>5997601</v>
      </c>
      <c r="G2909">
        <v>6085800</v>
      </c>
      <c r="H2909">
        <f t="shared" si="90"/>
        <v>136.00002267573697</v>
      </c>
      <c r="I2909">
        <f t="shared" si="91"/>
        <v>138</v>
      </c>
      <c r="J2909" t="s">
        <v>25</v>
      </c>
      <c r="K2909">
        <v>6</v>
      </c>
      <c r="L2909" t="e">
        <f t="array" ref="L2909">VLOOKUP(J2909:$J$3871&amp;K2909:$K$3871,CHOOSE({1,2},#REF!&amp;#REF!,#REF!),2,0)</f>
        <v>#N/A</v>
      </c>
      <c r="M2909">
        <v>-15</v>
      </c>
      <c r="N2909">
        <v>0</v>
      </c>
      <c r="O2909" t="s">
        <v>7</v>
      </c>
      <c r="P2909">
        <v>1</v>
      </c>
      <c r="Q2909">
        <v>1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1</v>
      </c>
      <c r="X2909">
        <v>1</v>
      </c>
      <c r="Y2909">
        <v>1</v>
      </c>
      <c r="Z2909">
        <v>0</v>
      </c>
      <c r="AA2909" t="s">
        <v>3285</v>
      </c>
      <c r="AB2909" t="s">
        <v>169</v>
      </c>
      <c r="AC2909" t="s">
        <v>3285</v>
      </c>
      <c r="AD2909" t="e">
        <f>VLOOKUP(AB2909,#REF!,2,FALSE)</f>
        <v>#REF!</v>
      </c>
      <c r="AE2909" t="e">
        <f>RIGHT(#REF!,(FIND("Complex",#REF!,1)-6))</f>
        <v>#REF!</v>
      </c>
    </row>
    <row r="2910" spans="1:31" x14ac:dyDescent="0.25">
      <c r="A2910">
        <v>2536</v>
      </c>
      <c r="B2910" t="s">
        <v>92</v>
      </c>
      <c r="C2910">
        <v>34</v>
      </c>
      <c r="D2910">
        <v>964</v>
      </c>
      <c r="E2910">
        <v>2536</v>
      </c>
      <c r="F2910">
        <v>5644801</v>
      </c>
      <c r="G2910">
        <v>5733000</v>
      </c>
      <c r="H2910">
        <f t="shared" si="90"/>
        <v>128.00002267573697</v>
      </c>
      <c r="I2910">
        <f t="shared" si="91"/>
        <v>130</v>
      </c>
      <c r="J2910" t="s">
        <v>25</v>
      </c>
      <c r="K2910">
        <v>6</v>
      </c>
      <c r="L2910" t="e">
        <f t="array" ref="L2910">VLOOKUP(J2910:$J$3871&amp;K2910:$K$3871,CHOOSE({1,2},#REF!&amp;#REF!,#REF!),2,0)</f>
        <v>#N/A</v>
      </c>
      <c r="M2910">
        <v>-15</v>
      </c>
      <c r="N2910">
        <v>0</v>
      </c>
      <c r="O2910" t="s">
        <v>7</v>
      </c>
      <c r="P2910">
        <v>1</v>
      </c>
      <c r="Q2910">
        <v>1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1</v>
      </c>
      <c r="X2910">
        <v>1</v>
      </c>
      <c r="Y2910">
        <v>1</v>
      </c>
      <c r="Z2910">
        <v>0</v>
      </c>
      <c r="AA2910" t="s">
        <v>3336</v>
      </c>
      <c r="AB2910" t="s">
        <v>1058</v>
      </c>
      <c r="AC2910" t="s">
        <v>3336</v>
      </c>
      <c r="AD2910" t="e">
        <f>VLOOKUP(AB2910,#REF!,2,FALSE)</f>
        <v>#REF!</v>
      </c>
      <c r="AE2910" t="e">
        <f>RIGHT(#REF!,(FIND("Complex",#REF!,1)-7))</f>
        <v>#REF!</v>
      </c>
    </row>
    <row r="2911" spans="1:31" x14ac:dyDescent="0.25">
      <c r="A2911">
        <v>2047</v>
      </c>
      <c r="B2911" t="s">
        <v>92</v>
      </c>
      <c r="C2911">
        <v>34</v>
      </c>
      <c r="D2911">
        <v>873</v>
      </c>
      <c r="E2911">
        <v>2047</v>
      </c>
      <c r="F2911">
        <v>5292001</v>
      </c>
      <c r="G2911">
        <v>5380200</v>
      </c>
      <c r="H2911">
        <f t="shared" si="90"/>
        <v>120.00002267573696</v>
      </c>
      <c r="I2911">
        <f t="shared" si="91"/>
        <v>122</v>
      </c>
      <c r="J2911" t="s">
        <v>25</v>
      </c>
      <c r="K2911">
        <v>6</v>
      </c>
      <c r="L2911" t="e">
        <f t="array" ref="L2911">VLOOKUP(J2911:$J$3871&amp;K2911:$K$3871,CHOOSE({1,2},#REF!&amp;#REF!,#REF!),2,0)</f>
        <v>#N/A</v>
      </c>
      <c r="M2911">
        <v>-15</v>
      </c>
      <c r="N2911">
        <v>0</v>
      </c>
      <c r="O2911" t="s">
        <v>7</v>
      </c>
      <c r="P2911">
        <v>1</v>
      </c>
      <c r="Q2911">
        <v>1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1</v>
      </c>
      <c r="X2911">
        <v>1</v>
      </c>
      <c r="Y2911">
        <v>1</v>
      </c>
      <c r="Z2911">
        <v>0</v>
      </c>
      <c r="AA2911" t="s">
        <v>3381</v>
      </c>
      <c r="AB2911" t="s">
        <v>1059</v>
      </c>
      <c r="AC2911" t="s">
        <v>3381</v>
      </c>
      <c r="AD2911" t="e">
        <f>VLOOKUP(AB2911,#REF!,2,FALSE)</f>
        <v>#REF!</v>
      </c>
      <c r="AE2911" t="e">
        <f>RIGHT(#REF!,(FIND("Complex",#REF!,1)-7))</f>
        <v>#REF!</v>
      </c>
    </row>
    <row r="2912" spans="1:31" x14ac:dyDescent="0.25">
      <c r="A2912">
        <v>3241</v>
      </c>
      <c r="B2912" t="s">
        <v>60</v>
      </c>
      <c r="C2912">
        <v>35</v>
      </c>
      <c r="D2912">
        <v>1062</v>
      </c>
      <c r="E2912">
        <v>3241</v>
      </c>
      <c r="F2912">
        <v>7673401</v>
      </c>
      <c r="G2912">
        <v>7761600</v>
      </c>
      <c r="H2912">
        <f t="shared" si="90"/>
        <v>174.00002267573697</v>
      </c>
      <c r="I2912">
        <f t="shared" si="91"/>
        <v>176</v>
      </c>
      <c r="J2912" t="s">
        <v>25</v>
      </c>
      <c r="K2912">
        <v>6</v>
      </c>
      <c r="L2912" t="e">
        <f t="array" ref="L2912">VLOOKUP(J2912:$J$3871&amp;K2912:$K$3871,CHOOSE({1,2},#REF!&amp;#REF!,#REF!),2,0)</f>
        <v>#N/A</v>
      </c>
      <c r="M2912">
        <v>-15</v>
      </c>
      <c r="N2912">
        <v>0</v>
      </c>
      <c r="O2912" t="s">
        <v>7</v>
      </c>
      <c r="P2912">
        <v>1</v>
      </c>
      <c r="Q2912">
        <v>0</v>
      </c>
      <c r="R2912">
        <v>1</v>
      </c>
      <c r="S2912">
        <v>1</v>
      </c>
      <c r="T2912">
        <v>1</v>
      </c>
      <c r="U2912">
        <v>0</v>
      </c>
      <c r="V2912">
        <v>0</v>
      </c>
      <c r="W2912">
        <v>1</v>
      </c>
      <c r="X2912">
        <v>1</v>
      </c>
      <c r="Y2912">
        <v>0</v>
      </c>
      <c r="Z2912">
        <v>0</v>
      </c>
      <c r="AA2912" t="s">
        <v>3158</v>
      </c>
      <c r="AB2912" t="s">
        <v>162</v>
      </c>
      <c r="AC2912" t="s">
        <v>3158</v>
      </c>
      <c r="AD2912" t="e">
        <f>VLOOKUP(AB2912,#REF!,2,FALSE)</f>
        <v>#REF!</v>
      </c>
      <c r="AE2912" t="e">
        <f>RIGHT(#REF!,(FIND("Complex",#REF!,1)-8))</f>
        <v>#REF!</v>
      </c>
    </row>
    <row r="2913" spans="1:31" x14ac:dyDescent="0.25">
      <c r="A2913">
        <v>3015</v>
      </c>
      <c r="B2913" t="s">
        <v>38</v>
      </c>
      <c r="C2913">
        <v>37</v>
      </c>
      <c r="D2913">
        <v>1022</v>
      </c>
      <c r="E2913">
        <v>3015</v>
      </c>
      <c r="F2913">
        <v>3969001</v>
      </c>
      <c r="G2913">
        <v>4057200</v>
      </c>
      <c r="H2913">
        <f t="shared" si="90"/>
        <v>90.000022675736957</v>
      </c>
      <c r="I2913">
        <f t="shared" si="91"/>
        <v>92</v>
      </c>
      <c r="J2913" t="s">
        <v>25</v>
      </c>
      <c r="K2913">
        <v>6</v>
      </c>
      <c r="L2913" t="e">
        <f t="array" ref="L2913">VLOOKUP(J2913:$J$3871&amp;K2913:$K$3871,CHOOSE({1,2},#REF!&amp;#REF!,#REF!),2,0)</f>
        <v>#N/A</v>
      </c>
      <c r="M2913">
        <v>-15</v>
      </c>
      <c r="N2913">
        <v>0</v>
      </c>
      <c r="O2913" t="s">
        <v>7</v>
      </c>
      <c r="P2913">
        <v>0</v>
      </c>
      <c r="Q2913">
        <v>1</v>
      </c>
      <c r="R2913">
        <v>0</v>
      </c>
      <c r="S2913">
        <v>0</v>
      </c>
      <c r="T2913">
        <v>1</v>
      </c>
      <c r="U2913">
        <v>1</v>
      </c>
      <c r="V2913">
        <v>0</v>
      </c>
      <c r="W2913">
        <v>1</v>
      </c>
      <c r="X2913">
        <v>1</v>
      </c>
      <c r="Y2913">
        <v>0</v>
      </c>
      <c r="Z2913">
        <v>1</v>
      </c>
      <c r="AA2913" t="s">
        <v>2657</v>
      </c>
      <c r="AB2913" t="s">
        <v>1135</v>
      </c>
      <c r="AC2913" t="s">
        <v>2657</v>
      </c>
      <c r="AD2913" t="e">
        <f>VLOOKUP(AB2913,#REF!,2,FALSE)</f>
        <v>#REF!</v>
      </c>
      <c r="AE2913" t="e">
        <f>RIGHT(#REF!,(FIND("Complex",#REF!,1)-9))</f>
        <v>#REF!</v>
      </c>
    </row>
    <row r="2914" spans="1:31" x14ac:dyDescent="0.25">
      <c r="A2914">
        <v>2399</v>
      </c>
      <c r="B2914" t="s">
        <v>38</v>
      </c>
      <c r="C2914">
        <v>37</v>
      </c>
      <c r="D2914">
        <v>951</v>
      </c>
      <c r="E2914">
        <v>2399</v>
      </c>
      <c r="F2914">
        <v>2822401</v>
      </c>
      <c r="G2914">
        <v>2910600</v>
      </c>
      <c r="H2914">
        <f t="shared" si="90"/>
        <v>64.000022675736957</v>
      </c>
      <c r="I2914">
        <f t="shared" si="91"/>
        <v>66</v>
      </c>
      <c r="J2914" t="s">
        <v>25</v>
      </c>
      <c r="K2914">
        <v>6</v>
      </c>
      <c r="L2914" t="e">
        <f t="array" ref="L2914">VLOOKUP(J2914:$J$3871&amp;K2914:$K$3871,CHOOSE({1,2},#REF!&amp;#REF!,#REF!),2,0)</f>
        <v>#N/A</v>
      </c>
      <c r="M2914">
        <v>-15</v>
      </c>
      <c r="N2914">
        <v>0</v>
      </c>
      <c r="O2914" t="s">
        <v>7</v>
      </c>
      <c r="P2914">
        <v>1</v>
      </c>
      <c r="Q2914">
        <v>1</v>
      </c>
      <c r="R2914">
        <v>0</v>
      </c>
      <c r="S2914">
        <v>0</v>
      </c>
      <c r="T2914">
        <v>1</v>
      </c>
      <c r="U2914">
        <v>1</v>
      </c>
      <c r="V2914">
        <v>0</v>
      </c>
      <c r="W2914">
        <v>1</v>
      </c>
      <c r="X2914">
        <v>1</v>
      </c>
      <c r="Y2914">
        <v>0</v>
      </c>
      <c r="Z2914">
        <v>0</v>
      </c>
      <c r="AA2914" t="s">
        <v>2766</v>
      </c>
      <c r="AB2914" t="s">
        <v>1136</v>
      </c>
      <c r="AC2914" t="s">
        <v>2766</v>
      </c>
      <c r="AD2914" t="e">
        <f>VLOOKUP(AB2914,#REF!,2,FALSE)</f>
        <v>#REF!</v>
      </c>
      <c r="AE2914" t="e">
        <f>RIGHT(#REF!,(FIND("Complex",#REF!,1)-8))</f>
        <v>#REF!</v>
      </c>
    </row>
    <row r="2915" spans="1:31" x14ac:dyDescent="0.25">
      <c r="A2915">
        <v>3340</v>
      </c>
      <c r="B2915" t="s">
        <v>38</v>
      </c>
      <c r="C2915">
        <v>37</v>
      </c>
      <c r="D2915">
        <v>1080</v>
      </c>
      <c r="E2915">
        <v>3340</v>
      </c>
      <c r="F2915">
        <v>2646001</v>
      </c>
      <c r="G2915">
        <v>2734200</v>
      </c>
      <c r="H2915">
        <f t="shared" si="90"/>
        <v>60.000022675736965</v>
      </c>
      <c r="I2915">
        <f t="shared" si="91"/>
        <v>62</v>
      </c>
      <c r="J2915" t="s">
        <v>25</v>
      </c>
      <c r="K2915">
        <v>6</v>
      </c>
      <c r="L2915" t="e">
        <f t="array" ref="L2915">VLOOKUP(J2915:$J$3871&amp;K2915:$K$3871,CHOOSE({1,2},#REF!&amp;#REF!,#REF!),2,0)</f>
        <v>#N/A</v>
      </c>
      <c r="M2915">
        <v>-15</v>
      </c>
      <c r="N2915">
        <v>0</v>
      </c>
      <c r="O2915" t="s">
        <v>7</v>
      </c>
      <c r="P2915">
        <v>1</v>
      </c>
      <c r="Q2915">
        <v>1</v>
      </c>
      <c r="R2915">
        <v>0</v>
      </c>
      <c r="S2915">
        <v>0</v>
      </c>
      <c r="T2915">
        <v>1</v>
      </c>
      <c r="U2915">
        <v>1</v>
      </c>
      <c r="V2915">
        <v>0</v>
      </c>
      <c r="W2915">
        <v>1</v>
      </c>
      <c r="X2915">
        <v>1</v>
      </c>
      <c r="Y2915">
        <v>0</v>
      </c>
      <c r="Z2915">
        <v>0</v>
      </c>
      <c r="AA2915" t="s">
        <v>2782</v>
      </c>
      <c r="AB2915" t="s">
        <v>1137</v>
      </c>
      <c r="AC2915" t="s">
        <v>2782</v>
      </c>
      <c r="AD2915" t="e">
        <f>VLOOKUP(AB2915,#REF!,2,FALSE)</f>
        <v>#REF!</v>
      </c>
      <c r="AE2915" t="e">
        <f>RIGHT(#REF!,(FIND("Complex",#REF!,1)-9))</f>
        <v>#REF!</v>
      </c>
    </row>
    <row r="2916" spans="1:31" x14ac:dyDescent="0.25">
      <c r="A2916">
        <v>2280</v>
      </c>
      <c r="B2916" t="s">
        <v>38</v>
      </c>
      <c r="C2916">
        <v>37</v>
      </c>
      <c r="D2916">
        <v>933</v>
      </c>
      <c r="E2916">
        <v>2280</v>
      </c>
      <c r="F2916">
        <v>1764001</v>
      </c>
      <c r="G2916">
        <v>1852200</v>
      </c>
      <c r="H2916">
        <f t="shared" si="90"/>
        <v>40.000022675736965</v>
      </c>
      <c r="I2916">
        <f t="shared" si="91"/>
        <v>42</v>
      </c>
      <c r="J2916" t="s">
        <v>25</v>
      </c>
      <c r="K2916">
        <v>6</v>
      </c>
      <c r="L2916" t="e">
        <f t="array" ref="L2916">VLOOKUP(J2916:$J$3871&amp;K2916:$K$3871,CHOOSE({1,2},#REF!&amp;#REF!,#REF!),2,0)</f>
        <v>#N/A</v>
      </c>
      <c r="M2916">
        <v>-15</v>
      </c>
      <c r="N2916">
        <v>0</v>
      </c>
      <c r="O2916" t="s">
        <v>7</v>
      </c>
      <c r="P2916">
        <v>1</v>
      </c>
      <c r="Q2916">
        <v>1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1</v>
      </c>
      <c r="X2916">
        <v>1</v>
      </c>
      <c r="Y2916">
        <v>1</v>
      </c>
      <c r="Z2916">
        <v>0</v>
      </c>
      <c r="AA2916" t="s">
        <v>2838</v>
      </c>
      <c r="AB2916" t="s">
        <v>1138</v>
      </c>
      <c r="AC2916" t="s">
        <v>2838</v>
      </c>
      <c r="AD2916" t="e">
        <f>VLOOKUP(AB2916,#REF!,2,FALSE)</f>
        <v>#REF!</v>
      </c>
      <c r="AE2916" t="e">
        <f>RIGHT(#REF!,(FIND("Complex",#REF!,1)-8))</f>
        <v>#REF!</v>
      </c>
    </row>
    <row r="2917" spans="1:31" x14ac:dyDescent="0.25">
      <c r="A2917">
        <v>3520</v>
      </c>
      <c r="B2917" t="s">
        <v>38</v>
      </c>
      <c r="C2917">
        <v>37</v>
      </c>
      <c r="D2917">
        <v>1122</v>
      </c>
      <c r="E2917">
        <v>3520</v>
      </c>
      <c r="F2917">
        <v>10319401</v>
      </c>
      <c r="G2917">
        <v>10407600</v>
      </c>
      <c r="H2917">
        <f t="shared" si="90"/>
        <v>234.00002267573697</v>
      </c>
      <c r="I2917">
        <f t="shared" si="91"/>
        <v>236</v>
      </c>
      <c r="J2917" t="s">
        <v>25</v>
      </c>
      <c r="K2917">
        <v>6</v>
      </c>
      <c r="L2917" t="e">
        <f t="array" ref="L2917">VLOOKUP(J2917:$J$3871&amp;K2917:$K$3871,CHOOSE({1,2},#REF!&amp;#REF!,#REF!),2,0)</f>
        <v>#N/A</v>
      </c>
      <c r="M2917">
        <v>-15</v>
      </c>
      <c r="N2917">
        <v>0</v>
      </c>
      <c r="O2917" t="s">
        <v>7</v>
      </c>
      <c r="P2917">
        <v>0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1</v>
      </c>
      <c r="X2917">
        <v>1</v>
      </c>
      <c r="Y2917">
        <v>1</v>
      </c>
      <c r="Z2917">
        <v>1</v>
      </c>
      <c r="AA2917" t="s">
        <v>2970</v>
      </c>
      <c r="AB2917" t="s">
        <v>1139</v>
      </c>
      <c r="AC2917" t="s">
        <v>2970</v>
      </c>
      <c r="AD2917" t="e">
        <f>VLOOKUP(AB2917,#REF!,2,FALSE)</f>
        <v>#REF!</v>
      </c>
      <c r="AE2917" t="e">
        <f>RIGHT(#REF!,(FIND("Complex",#REF!,1)-8))</f>
        <v>#REF!</v>
      </c>
    </row>
    <row r="2918" spans="1:31" x14ac:dyDescent="0.25">
      <c r="A2918">
        <v>129</v>
      </c>
      <c r="B2918" t="s">
        <v>38</v>
      </c>
      <c r="C2918">
        <v>37</v>
      </c>
      <c r="D2918">
        <v>58</v>
      </c>
      <c r="E2918">
        <v>129</v>
      </c>
      <c r="F2918">
        <v>8202601</v>
      </c>
      <c r="G2918">
        <v>8290800</v>
      </c>
      <c r="H2918">
        <f t="shared" si="90"/>
        <v>186.00002267573697</v>
      </c>
      <c r="I2918">
        <f t="shared" si="91"/>
        <v>188</v>
      </c>
      <c r="J2918" t="s">
        <v>25</v>
      </c>
      <c r="K2918">
        <v>6</v>
      </c>
      <c r="L2918" t="e">
        <f t="array" ref="L2918">VLOOKUP(J2918:$J$3871&amp;K2918:$K$3871,CHOOSE({1,2},#REF!&amp;#REF!,#REF!),2,0)</f>
        <v>#N/A</v>
      </c>
      <c r="M2918">
        <v>-15</v>
      </c>
      <c r="N2918">
        <v>0</v>
      </c>
      <c r="O2918" t="s">
        <v>7</v>
      </c>
      <c r="P2918">
        <v>1</v>
      </c>
      <c r="Q2918">
        <v>1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1</v>
      </c>
      <c r="Y2918">
        <v>1</v>
      </c>
      <c r="Z2918">
        <v>1</v>
      </c>
      <c r="AA2918" t="s">
        <v>3100</v>
      </c>
      <c r="AB2918" t="s">
        <v>158</v>
      </c>
      <c r="AC2918" t="s">
        <v>3100</v>
      </c>
      <c r="AD2918" t="e">
        <f>VLOOKUP(AB2918,#REF!,2,FALSE)</f>
        <v>#REF!</v>
      </c>
      <c r="AE2918" t="e">
        <f>RIGHT(#REF!,(FIND("Complex",#REF!,1)-6))</f>
        <v>#REF!</v>
      </c>
    </row>
    <row r="2919" spans="1:31" x14ac:dyDescent="0.25">
      <c r="A2919">
        <v>2486</v>
      </c>
      <c r="B2919" t="s">
        <v>38</v>
      </c>
      <c r="C2919">
        <v>37</v>
      </c>
      <c r="D2919">
        <v>961</v>
      </c>
      <c r="E2919">
        <v>2486</v>
      </c>
      <c r="F2919">
        <v>7938001</v>
      </c>
      <c r="G2919">
        <v>8026200</v>
      </c>
      <c r="H2919">
        <f t="shared" si="90"/>
        <v>180.00002267573697</v>
      </c>
      <c r="I2919">
        <f t="shared" si="91"/>
        <v>182</v>
      </c>
      <c r="J2919" t="s">
        <v>25</v>
      </c>
      <c r="K2919">
        <v>6</v>
      </c>
      <c r="L2919" t="e">
        <f t="array" ref="L2919">VLOOKUP(J2919:$J$3871&amp;K2919:$K$3871,CHOOSE({1,2},#REF!&amp;#REF!,#REF!),2,0)</f>
        <v>#N/A</v>
      </c>
      <c r="M2919">
        <v>-15</v>
      </c>
      <c r="N2919">
        <v>0</v>
      </c>
      <c r="O2919" t="s">
        <v>7</v>
      </c>
      <c r="P2919">
        <v>1</v>
      </c>
      <c r="Q2919">
        <v>1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1</v>
      </c>
      <c r="Y2919">
        <v>1</v>
      </c>
      <c r="Z2919">
        <v>1</v>
      </c>
      <c r="AA2919" t="s">
        <v>3130</v>
      </c>
      <c r="AB2919" t="s">
        <v>1140</v>
      </c>
      <c r="AC2919" t="s">
        <v>3130</v>
      </c>
      <c r="AD2919" t="e">
        <f>VLOOKUP(AB2919,#REF!,2,FALSE)</f>
        <v>#REF!</v>
      </c>
      <c r="AE2919" t="e">
        <f>RIGHT(#REF!,(FIND("Complex",#REF!,1)-7))</f>
        <v>#REF!</v>
      </c>
    </row>
    <row r="2920" spans="1:31" x14ac:dyDescent="0.25">
      <c r="A2920">
        <v>3103</v>
      </c>
      <c r="B2920" t="s">
        <v>38</v>
      </c>
      <c r="C2920">
        <v>37</v>
      </c>
      <c r="D2920">
        <v>1041</v>
      </c>
      <c r="E2920">
        <v>3103</v>
      </c>
      <c r="F2920">
        <v>7761601</v>
      </c>
      <c r="G2920">
        <v>7849800</v>
      </c>
      <c r="H2920">
        <f t="shared" si="90"/>
        <v>176.00002267573697</v>
      </c>
      <c r="I2920">
        <f t="shared" si="91"/>
        <v>178</v>
      </c>
      <c r="J2920" t="s">
        <v>25</v>
      </c>
      <c r="K2920">
        <v>6</v>
      </c>
      <c r="L2920" t="e">
        <f t="array" ref="L2920">VLOOKUP(J2920:$J$3871&amp;K2920:$K$3871,CHOOSE({1,2},#REF!&amp;#REF!,#REF!),2,0)</f>
        <v>#N/A</v>
      </c>
      <c r="M2920">
        <v>-15</v>
      </c>
      <c r="N2920">
        <v>0</v>
      </c>
      <c r="O2920" t="s">
        <v>7</v>
      </c>
      <c r="P2920">
        <v>1</v>
      </c>
      <c r="Q2920">
        <v>1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1</v>
      </c>
      <c r="Y2920">
        <v>1</v>
      </c>
      <c r="Z2920">
        <v>1</v>
      </c>
      <c r="AA2920" t="s">
        <v>3147</v>
      </c>
      <c r="AB2920" t="s">
        <v>6276</v>
      </c>
      <c r="AC2920" t="s">
        <v>3147</v>
      </c>
      <c r="AD2920" t="e">
        <f>VLOOKUP(AB2920,#REF!,2,FALSE)</f>
        <v>#REF!</v>
      </c>
      <c r="AE2920" t="e">
        <f>RIGHT(#REF!,(FIND("Complex",#REF!,1)-8))</f>
        <v>#REF!</v>
      </c>
    </row>
    <row r="2921" spans="1:31" x14ac:dyDescent="0.25">
      <c r="A2921">
        <v>2023</v>
      </c>
      <c r="B2921" t="s">
        <v>50</v>
      </c>
      <c r="C2921">
        <v>38</v>
      </c>
      <c r="D2921">
        <v>865</v>
      </c>
      <c r="E2921">
        <v>2023</v>
      </c>
      <c r="F2921">
        <v>4233601</v>
      </c>
      <c r="G2921">
        <v>4321800</v>
      </c>
      <c r="H2921">
        <f t="shared" si="90"/>
        <v>96.000022675736957</v>
      </c>
      <c r="I2921">
        <f t="shared" si="91"/>
        <v>98</v>
      </c>
      <c r="J2921" t="s">
        <v>25</v>
      </c>
      <c r="K2921">
        <v>6</v>
      </c>
      <c r="L2921" t="e">
        <f t="array" ref="L2921">VLOOKUP(J2921:$J$3871&amp;K2921:$K$3871,CHOOSE({1,2},#REF!&amp;#REF!,#REF!),2,0)</f>
        <v>#N/A</v>
      </c>
      <c r="M2921">
        <v>-15</v>
      </c>
      <c r="N2921">
        <v>0</v>
      </c>
      <c r="O2921" t="s">
        <v>7</v>
      </c>
      <c r="P2921">
        <v>1</v>
      </c>
      <c r="Q2921">
        <v>1</v>
      </c>
      <c r="R2921">
        <v>0</v>
      </c>
      <c r="S2921">
        <v>1</v>
      </c>
      <c r="T2921">
        <v>1</v>
      </c>
      <c r="U2921">
        <v>0</v>
      </c>
      <c r="V2921">
        <v>0</v>
      </c>
      <c r="W2921">
        <v>1</v>
      </c>
      <c r="X2921">
        <v>1</v>
      </c>
      <c r="Y2921">
        <v>0</v>
      </c>
      <c r="Z2921">
        <v>0</v>
      </c>
      <c r="AA2921" t="s">
        <v>2627</v>
      </c>
      <c r="AB2921" t="s">
        <v>141</v>
      </c>
      <c r="AC2921" t="s">
        <v>2627</v>
      </c>
      <c r="AD2921" t="e">
        <f>VLOOKUP(AB2921,#REF!,2,FALSE)</f>
        <v>#REF!</v>
      </c>
      <c r="AE2921" t="e">
        <f>RIGHT(#REF!,(FIND("Complex",#REF!,1)-8))</f>
        <v>#REF!</v>
      </c>
    </row>
    <row r="2922" spans="1:31" x14ac:dyDescent="0.25">
      <c r="A2922">
        <v>3121</v>
      </c>
      <c r="B2922" t="s">
        <v>50</v>
      </c>
      <c r="C2922">
        <v>38</v>
      </c>
      <c r="D2922">
        <v>1045</v>
      </c>
      <c r="E2922">
        <v>3121</v>
      </c>
      <c r="F2922">
        <v>4145401</v>
      </c>
      <c r="G2922">
        <v>4233600</v>
      </c>
      <c r="H2922">
        <f t="shared" si="90"/>
        <v>94.000022675736957</v>
      </c>
      <c r="I2922">
        <f t="shared" si="91"/>
        <v>96</v>
      </c>
      <c r="J2922" t="s">
        <v>25</v>
      </c>
      <c r="K2922">
        <v>6</v>
      </c>
      <c r="L2922" t="e">
        <f t="array" ref="L2922">VLOOKUP(J2922:$J$3871&amp;K2922:$K$3871,CHOOSE({1,2},#REF!&amp;#REF!,#REF!),2,0)</f>
        <v>#N/A</v>
      </c>
      <c r="M2922">
        <v>-15</v>
      </c>
      <c r="N2922">
        <v>0</v>
      </c>
      <c r="O2922" t="s">
        <v>7</v>
      </c>
      <c r="P2922">
        <v>1</v>
      </c>
      <c r="Q2922">
        <v>1</v>
      </c>
      <c r="R2922">
        <v>0</v>
      </c>
      <c r="S2922">
        <v>1</v>
      </c>
      <c r="T2922">
        <v>1</v>
      </c>
      <c r="U2922">
        <v>0</v>
      </c>
      <c r="V2922">
        <v>0</v>
      </c>
      <c r="W2922">
        <v>1</v>
      </c>
      <c r="X2922">
        <v>1</v>
      </c>
      <c r="Y2922">
        <v>0</v>
      </c>
      <c r="Z2922">
        <v>0</v>
      </c>
      <c r="AA2922" t="s">
        <v>2637</v>
      </c>
      <c r="AB2922" t="s">
        <v>1145</v>
      </c>
      <c r="AC2922" t="s">
        <v>2637</v>
      </c>
      <c r="AD2922" t="e">
        <f>VLOOKUP(AB2922,#REF!,2,FALSE)</f>
        <v>#REF!</v>
      </c>
      <c r="AE2922" t="e">
        <f>RIGHT(#REF!,(FIND("Complex",#REF!,1)-9))</f>
        <v>#REF!</v>
      </c>
    </row>
    <row r="2923" spans="1:31" x14ac:dyDescent="0.25">
      <c r="A2923">
        <v>1815</v>
      </c>
      <c r="B2923" t="s">
        <v>50</v>
      </c>
      <c r="C2923">
        <v>38</v>
      </c>
      <c r="D2923">
        <v>789</v>
      </c>
      <c r="E2923">
        <v>1815</v>
      </c>
      <c r="F2923">
        <v>2910601</v>
      </c>
      <c r="G2923">
        <v>2998800</v>
      </c>
      <c r="H2923">
        <f t="shared" si="90"/>
        <v>66.000022675736957</v>
      </c>
      <c r="I2923">
        <f t="shared" si="91"/>
        <v>68</v>
      </c>
      <c r="J2923" t="s">
        <v>25</v>
      </c>
      <c r="K2923">
        <v>6</v>
      </c>
      <c r="L2923" t="e">
        <f t="array" ref="L2923">VLOOKUP(J2923:$J$3871&amp;K2923:$K$3871,CHOOSE({1,2},#REF!&amp;#REF!,#REF!),2,0)</f>
        <v>#N/A</v>
      </c>
      <c r="M2923">
        <v>-15</v>
      </c>
      <c r="N2923">
        <v>0</v>
      </c>
      <c r="O2923" t="s">
        <v>7</v>
      </c>
      <c r="P2923">
        <v>1</v>
      </c>
      <c r="Q2923">
        <v>1</v>
      </c>
      <c r="R2923">
        <v>0</v>
      </c>
      <c r="S2923">
        <v>1</v>
      </c>
      <c r="T2923">
        <v>1</v>
      </c>
      <c r="U2923">
        <v>0</v>
      </c>
      <c r="V2923">
        <v>0</v>
      </c>
      <c r="W2923">
        <v>1</v>
      </c>
      <c r="X2923">
        <v>1</v>
      </c>
      <c r="Y2923">
        <v>0</v>
      </c>
      <c r="Z2923">
        <v>0</v>
      </c>
      <c r="AA2923" t="s">
        <v>2756</v>
      </c>
      <c r="AB2923" t="s">
        <v>1146</v>
      </c>
      <c r="AC2923" t="s">
        <v>2756</v>
      </c>
      <c r="AD2923" t="e">
        <f>VLOOKUP(AB2923,#REF!,2,FALSE)</f>
        <v>#REF!</v>
      </c>
      <c r="AE2923" t="e">
        <f>RIGHT(#REF!,(FIND("Complex",#REF!,1)-8))</f>
        <v>#REF!</v>
      </c>
    </row>
    <row r="2924" spans="1:31" x14ac:dyDescent="0.25">
      <c r="A2924">
        <v>3656</v>
      </c>
      <c r="B2924" t="s">
        <v>50</v>
      </c>
      <c r="C2924">
        <v>38</v>
      </c>
      <c r="D2924">
        <v>1160</v>
      </c>
      <c r="E2924">
        <v>3656</v>
      </c>
      <c r="F2924">
        <v>8202601</v>
      </c>
      <c r="G2924">
        <v>8290800</v>
      </c>
      <c r="H2924">
        <f t="shared" si="90"/>
        <v>186.00002267573697</v>
      </c>
      <c r="I2924">
        <f t="shared" si="91"/>
        <v>188</v>
      </c>
      <c r="J2924" t="s">
        <v>25</v>
      </c>
      <c r="K2924">
        <v>6</v>
      </c>
      <c r="L2924" t="e">
        <f t="array" ref="L2924">VLOOKUP(J2924:$J$3871&amp;K2924:$K$3871,CHOOSE({1,2},#REF!&amp;#REF!,#REF!),2,0)</f>
        <v>#N/A</v>
      </c>
      <c r="M2924">
        <v>-15</v>
      </c>
      <c r="N2924">
        <v>0</v>
      </c>
      <c r="O2924" t="s">
        <v>7</v>
      </c>
      <c r="P2924">
        <v>1</v>
      </c>
      <c r="Q2924">
        <v>1</v>
      </c>
      <c r="R2924">
        <v>0</v>
      </c>
      <c r="S2924">
        <v>1</v>
      </c>
      <c r="T2924">
        <v>1</v>
      </c>
      <c r="U2924">
        <v>0</v>
      </c>
      <c r="V2924">
        <v>0</v>
      </c>
      <c r="W2924">
        <v>1</v>
      </c>
      <c r="X2924">
        <v>1</v>
      </c>
      <c r="Y2924">
        <v>0</v>
      </c>
      <c r="Z2924">
        <v>0</v>
      </c>
      <c r="AA2924" t="s">
        <v>3099</v>
      </c>
      <c r="AB2924" t="s">
        <v>6265</v>
      </c>
      <c r="AC2924" t="s">
        <v>3099</v>
      </c>
      <c r="AD2924" t="e">
        <f>VLOOKUP(AB2924,#REF!,2,FALSE)</f>
        <v>#REF!</v>
      </c>
      <c r="AE2924" t="e">
        <f>RIGHT(#REF!,(FIND("Complex",#REF!,1)-8))</f>
        <v>#REF!</v>
      </c>
    </row>
    <row r="2925" spans="1:31" x14ac:dyDescent="0.25">
      <c r="A2925">
        <v>3559</v>
      </c>
      <c r="B2925" t="s">
        <v>50</v>
      </c>
      <c r="C2925">
        <v>38</v>
      </c>
      <c r="D2925">
        <v>1133</v>
      </c>
      <c r="E2925">
        <v>3559</v>
      </c>
      <c r="F2925">
        <v>8026201</v>
      </c>
      <c r="G2925">
        <v>8114400</v>
      </c>
      <c r="H2925">
        <f t="shared" si="90"/>
        <v>182.00002267573697</v>
      </c>
      <c r="I2925">
        <f t="shared" si="91"/>
        <v>184</v>
      </c>
      <c r="J2925" t="s">
        <v>25</v>
      </c>
      <c r="K2925">
        <v>6</v>
      </c>
      <c r="L2925" t="e">
        <f t="array" ref="L2925">VLOOKUP(J2925:$J$3871&amp;K2925:$K$3871,CHOOSE({1,2},#REF!&amp;#REF!,#REF!),2,0)</f>
        <v>#N/A</v>
      </c>
      <c r="M2925">
        <v>-15</v>
      </c>
      <c r="N2925">
        <v>0</v>
      </c>
      <c r="O2925" t="s">
        <v>7</v>
      </c>
      <c r="P2925">
        <v>1</v>
      </c>
      <c r="Q2925">
        <v>1</v>
      </c>
      <c r="R2925">
        <v>0</v>
      </c>
      <c r="S2925">
        <v>1</v>
      </c>
      <c r="T2925">
        <v>1</v>
      </c>
      <c r="U2925">
        <v>0</v>
      </c>
      <c r="V2925">
        <v>0</v>
      </c>
      <c r="W2925">
        <v>1</v>
      </c>
      <c r="X2925">
        <v>1</v>
      </c>
      <c r="Y2925">
        <v>0</v>
      </c>
      <c r="Z2925">
        <v>0</v>
      </c>
      <c r="AA2925" t="s">
        <v>3119</v>
      </c>
      <c r="AB2925" t="s">
        <v>1147</v>
      </c>
      <c r="AC2925" t="s">
        <v>3119</v>
      </c>
      <c r="AD2925" t="e">
        <f>VLOOKUP(AB2925,#REF!,2,FALSE)</f>
        <v>#REF!</v>
      </c>
      <c r="AE2925" t="e">
        <f>RIGHT(#REF!,(FIND("Complex",#REF!,1)-8))</f>
        <v>#REF!</v>
      </c>
    </row>
    <row r="2926" spans="1:31" x14ac:dyDescent="0.25">
      <c r="A2926">
        <v>3044</v>
      </c>
      <c r="B2926" t="s">
        <v>50</v>
      </c>
      <c r="C2926">
        <v>38</v>
      </c>
      <c r="D2926">
        <v>1030</v>
      </c>
      <c r="E2926">
        <v>3044</v>
      </c>
      <c r="F2926">
        <v>4410001</v>
      </c>
      <c r="G2926">
        <v>4498200</v>
      </c>
      <c r="H2926">
        <f t="shared" si="90"/>
        <v>100.00002267573696</v>
      </c>
      <c r="I2926">
        <f t="shared" si="91"/>
        <v>102</v>
      </c>
      <c r="J2926" t="s">
        <v>25</v>
      </c>
      <c r="K2926">
        <v>6</v>
      </c>
      <c r="L2926" t="e">
        <f t="array" ref="L2926">VLOOKUP(J2926:$J$3871&amp;K2926:$K$3871,CHOOSE({1,2},#REF!&amp;#REF!,#REF!),2,0)</f>
        <v>#N/A</v>
      </c>
      <c r="M2926">
        <v>-15</v>
      </c>
      <c r="N2926">
        <v>0</v>
      </c>
      <c r="O2926" t="s">
        <v>7</v>
      </c>
      <c r="P2926">
        <v>1</v>
      </c>
      <c r="Q2926">
        <v>1</v>
      </c>
      <c r="R2926">
        <v>0</v>
      </c>
      <c r="S2926">
        <v>1</v>
      </c>
      <c r="T2926">
        <v>1</v>
      </c>
      <c r="U2926">
        <v>0</v>
      </c>
      <c r="V2926">
        <v>0</v>
      </c>
      <c r="W2926">
        <v>1</v>
      </c>
      <c r="X2926">
        <v>1</v>
      </c>
      <c r="Y2926">
        <v>0</v>
      </c>
      <c r="Z2926">
        <v>0</v>
      </c>
      <c r="AA2926" t="s">
        <v>3494</v>
      </c>
      <c r="AB2926" t="s">
        <v>6313</v>
      </c>
      <c r="AC2926" t="s">
        <v>3494</v>
      </c>
      <c r="AD2926" t="e">
        <f>VLOOKUP(AB2926,#REF!,2,FALSE)</f>
        <v>#REF!</v>
      </c>
      <c r="AE2926" t="e">
        <f>RIGHT(#REF!,(FIND("Complex",#REF!,1)-8))</f>
        <v>#REF!</v>
      </c>
    </row>
    <row r="2927" spans="1:31" x14ac:dyDescent="0.25">
      <c r="A2927">
        <v>3160</v>
      </c>
      <c r="B2927" t="s">
        <v>88</v>
      </c>
      <c r="C2927">
        <v>39</v>
      </c>
      <c r="D2927">
        <v>1049</v>
      </c>
      <c r="E2927">
        <v>3160</v>
      </c>
      <c r="F2927">
        <v>8379001</v>
      </c>
      <c r="G2927">
        <v>8467200</v>
      </c>
      <c r="H2927">
        <f t="shared" si="90"/>
        <v>190.00002267573697</v>
      </c>
      <c r="I2927">
        <f t="shared" si="91"/>
        <v>192</v>
      </c>
      <c r="J2927" t="s">
        <v>25</v>
      </c>
      <c r="K2927">
        <v>6</v>
      </c>
      <c r="L2927" t="e">
        <f t="array" ref="L2927">VLOOKUP(J2927:$J$3871&amp;K2927:$K$3871,CHOOSE({1,2},#REF!&amp;#REF!,#REF!),2,0)</f>
        <v>#N/A</v>
      </c>
      <c r="M2927">
        <v>-15</v>
      </c>
      <c r="N2927">
        <v>0</v>
      </c>
      <c r="O2927" t="s">
        <v>7</v>
      </c>
      <c r="P2927">
        <v>1</v>
      </c>
      <c r="Q2927">
        <v>1</v>
      </c>
      <c r="R2927">
        <v>0</v>
      </c>
      <c r="S2927">
        <v>0</v>
      </c>
      <c r="T2927">
        <v>1</v>
      </c>
      <c r="U2927">
        <v>0</v>
      </c>
      <c r="V2927">
        <v>0</v>
      </c>
      <c r="W2927">
        <v>1</v>
      </c>
      <c r="X2927">
        <v>1</v>
      </c>
      <c r="Y2927">
        <v>1</v>
      </c>
      <c r="Z2927">
        <v>0</v>
      </c>
      <c r="AA2927" t="s">
        <v>3087</v>
      </c>
      <c r="AB2927" t="s">
        <v>1179</v>
      </c>
      <c r="AC2927" t="s">
        <v>3087</v>
      </c>
      <c r="AD2927" t="e">
        <f>VLOOKUP(AB2927,#REF!,2,FALSE)</f>
        <v>#REF!</v>
      </c>
      <c r="AE2927" t="e">
        <f>RIGHT(#REF!,(FIND("Complex",#REF!,1)-8))</f>
        <v>#REF!</v>
      </c>
    </row>
    <row r="2928" spans="1:31" x14ac:dyDescent="0.25">
      <c r="A2928">
        <v>3024</v>
      </c>
      <c r="B2928" t="s">
        <v>88</v>
      </c>
      <c r="C2928">
        <v>39</v>
      </c>
      <c r="D2928">
        <v>1024</v>
      </c>
      <c r="E2928">
        <v>3024</v>
      </c>
      <c r="F2928">
        <v>8114401</v>
      </c>
      <c r="G2928">
        <v>8202600</v>
      </c>
      <c r="H2928">
        <f t="shared" si="90"/>
        <v>184.00002267573697</v>
      </c>
      <c r="I2928">
        <f t="shared" si="91"/>
        <v>186</v>
      </c>
      <c r="J2928" t="s">
        <v>25</v>
      </c>
      <c r="K2928">
        <v>6</v>
      </c>
      <c r="L2928" t="e">
        <f t="array" ref="L2928">VLOOKUP(J2928:$J$3871&amp;K2928:$K$3871,CHOOSE({1,2},#REF!&amp;#REF!,#REF!),2,0)</f>
        <v>#N/A</v>
      </c>
      <c r="M2928">
        <v>-15</v>
      </c>
      <c r="N2928">
        <v>0</v>
      </c>
      <c r="O2928" t="s">
        <v>7</v>
      </c>
      <c r="P2928">
        <v>1</v>
      </c>
      <c r="Q2928">
        <v>1</v>
      </c>
      <c r="R2928">
        <v>0</v>
      </c>
      <c r="S2928">
        <v>0</v>
      </c>
      <c r="T2928">
        <v>1</v>
      </c>
      <c r="U2928">
        <v>0</v>
      </c>
      <c r="V2928">
        <v>0</v>
      </c>
      <c r="W2928">
        <v>1</v>
      </c>
      <c r="X2928">
        <v>1</v>
      </c>
      <c r="Y2928">
        <v>1</v>
      </c>
      <c r="Z2928">
        <v>0</v>
      </c>
      <c r="AA2928" t="s">
        <v>3108</v>
      </c>
      <c r="AB2928" t="s">
        <v>1180</v>
      </c>
      <c r="AC2928" t="s">
        <v>3108</v>
      </c>
      <c r="AD2928" t="e">
        <f>VLOOKUP(AB2928,#REF!,2,FALSE)</f>
        <v>#REF!</v>
      </c>
      <c r="AE2928" t="e">
        <f>RIGHT(#REF!,(FIND("Complex",#REF!,1)-8))</f>
        <v>#REF!</v>
      </c>
    </row>
    <row r="2929" spans="1:31" x14ac:dyDescent="0.25">
      <c r="A2929">
        <v>2935</v>
      </c>
      <c r="B2929" t="s">
        <v>88</v>
      </c>
      <c r="C2929">
        <v>39</v>
      </c>
      <c r="D2929">
        <v>1005</v>
      </c>
      <c r="E2929">
        <v>2935</v>
      </c>
      <c r="F2929">
        <v>7938001</v>
      </c>
      <c r="G2929">
        <v>8026200</v>
      </c>
      <c r="H2929">
        <f t="shared" si="90"/>
        <v>180.00002267573697</v>
      </c>
      <c r="I2929">
        <f t="shared" si="91"/>
        <v>182</v>
      </c>
      <c r="J2929" t="s">
        <v>25</v>
      </c>
      <c r="K2929">
        <v>6</v>
      </c>
      <c r="L2929" t="e">
        <f t="array" ref="L2929">VLOOKUP(J2929:$J$3871&amp;K2929:$K$3871,CHOOSE({1,2},#REF!&amp;#REF!,#REF!),2,0)</f>
        <v>#N/A</v>
      </c>
      <c r="M2929">
        <v>-15</v>
      </c>
      <c r="N2929">
        <v>0</v>
      </c>
      <c r="O2929" t="s">
        <v>7</v>
      </c>
      <c r="P2929">
        <v>1</v>
      </c>
      <c r="Q2929">
        <v>1</v>
      </c>
      <c r="R2929">
        <v>0</v>
      </c>
      <c r="S2929">
        <v>0</v>
      </c>
      <c r="T2929">
        <v>1</v>
      </c>
      <c r="U2929">
        <v>0</v>
      </c>
      <c r="V2929">
        <v>0</v>
      </c>
      <c r="W2929">
        <v>1</v>
      </c>
      <c r="X2929">
        <v>1</v>
      </c>
      <c r="Y2929">
        <v>1</v>
      </c>
      <c r="Z2929">
        <v>0</v>
      </c>
      <c r="AA2929" t="s">
        <v>3129</v>
      </c>
      <c r="AB2929" t="s">
        <v>6272</v>
      </c>
      <c r="AC2929" t="s">
        <v>3129</v>
      </c>
      <c r="AD2929" t="e">
        <f>VLOOKUP(AB2929,#REF!,2,FALSE)</f>
        <v>#REF!</v>
      </c>
      <c r="AE2929" t="e">
        <f>RIGHT(#REF!,(FIND("Complex",#REF!,1)-8))</f>
        <v>#REF!</v>
      </c>
    </row>
    <row r="2930" spans="1:31" x14ac:dyDescent="0.25">
      <c r="A2930">
        <v>50</v>
      </c>
      <c r="B2930" t="s">
        <v>88</v>
      </c>
      <c r="C2930">
        <v>39</v>
      </c>
      <c r="D2930">
        <v>25</v>
      </c>
      <c r="E2930">
        <v>50</v>
      </c>
      <c r="F2930">
        <v>7849801</v>
      </c>
      <c r="G2930">
        <v>7938000</v>
      </c>
      <c r="H2930">
        <f t="shared" si="90"/>
        <v>178.00002267573697</v>
      </c>
      <c r="I2930">
        <f t="shared" si="91"/>
        <v>180</v>
      </c>
      <c r="J2930" t="s">
        <v>25</v>
      </c>
      <c r="K2930">
        <v>6</v>
      </c>
      <c r="L2930" t="e">
        <f t="array" ref="L2930">VLOOKUP(J2930:$J$3871&amp;K2930:$K$3871,CHOOSE({1,2},#REF!&amp;#REF!,#REF!),2,0)</f>
        <v>#N/A</v>
      </c>
      <c r="M2930">
        <v>-15</v>
      </c>
      <c r="N2930">
        <v>0</v>
      </c>
      <c r="O2930" t="s">
        <v>7</v>
      </c>
      <c r="P2930">
        <v>1</v>
      </c>
      <c r="Q2930">
        <v>1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1</v>
      </c>
      <c r="X2930">
        <v>1</v>
      </c>
      <c r="Y2930">
        <v>1</v>
      </c>
      <c r="Z2930">
        <v>0</v>
      </c>
      <c r="AA2930" t="s">
        <v>3138</v>
      </c>
      <c r="AB2930" t="s">
        <v>6273</v>
      </c>
      <c r="AC2930" t="s">
        <v>3138</v>
      </c>
      <c r="AD2930" t="e">
        <f>VLOOKUP(AB2930,#REF!,2,FALSE)</f>
        <v>#REF!</v>
      </c>
      <c r="AE2930" t="e">
        <f>RIGHT(#REF!,(FIND("Complex",#REF!,1)-5))</f>
        <v>#REF!</v>
      </c>
    </row>
    <row r="2931" spans="1:31" x14ac:dyDescent="0.25">
      <c r="A2931">
        <v>3602</v>
      </c>
      <c r="B2931" t="s">
        <v>88</v>
      </c>
      <c r="C2931">
        <v>39</v>
      </c>
      <c r="D2931">
        <v>1142</v>
      </c>
      <c r="E2931">
        <v>3602</v>
      </c>
      <c r="F2931">
        <v>5997601</v>
      </c>
      <c r="G2931">
        <v>6085800</v>
      </c>
      <c r="H2931">
        <f t="shared" si="90"/>
        <v>136.00002267573697</v>
      </c>
      <c r="I2931">
        <f t="shared" si="91"/>
        <v>138</v>
      </c>
      <c r="J2931" t="s">
        <v>25</v>
      </c>
      <c r="K2931">
        <v>6</v>
      </c>
      <c r="L2931" t="e">
        <f t="array" ref="L2931">VLOOKUP(J2931:$J$3871&amp;K2931:$K$3871,CHOOSE({1,2},#REF!&amp;#REF!,#REF!),2,0)</f>
        <v>#N/A</v>
      </c>
      <c r="M2931">
        <v>-15</v>
      </c>
      <c r="N2931">
        <v>0</v>
      </c>
      <c r="O2931" t="s">
        <v>7</v>
      </c>
      <c r="P2931">
        <v>1</v>
      </c>
      <c r="Q2931">
        <v>1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1</v>
      </c>
      <c r="X2931">
        <v>1</v>
      </c>
      <c r="Y2931">
        <v>1</v>
      </c>
      <c r="Z2931">
        <v>0</v>
      </c>
      <c r="AA2931" t="s">
        <v>3284</v>
      </c>
      <c r="AB2931" t="s">
        <v>6294</v>
      </c>
      <c r="AC2931" t="s">
        <v>3284</v>
      </c>
      <c r="AD2931" t="e">
        <f>VLOOKUP(AB2931,#REF!,2,FALSE)</f>
        <v>#REF!</v>
      </c>
      <c r="AE2931" t="e">
        <f>RIGHT(#REF!,(FIND("Complex",#REF!,1)-8))</f>
        <v>#REF!</v>
      </c>
    </row>
    <row r="2932" spans="1:31" x14ac:dyDescent="0.25">
      <c r="A2932">
        <v>1724</v>
      </c>
      <c r="B2932" t="s">
        <v>88</v>
      </c>
      <c r="C2932">
        <v>39</v>
      </c>
      <c r="D2932">
        <v>749</v>
      </c>
      <c r="E2932">
        <v>1724</v>
      </c>
      <c r="F2932">
        <v>5909401</v>
      </c>
      <c r="G2932">
        <v>5997600</v>
      </c>
      <c r="H2932">
        <f t="shared" si="90"/>
        <v>134.00002267573697</v>
      </c>
      <c r="I2932">
        <f t="shared" si="91"/>
        <v>136</v>
      </c>
      <c r="J2932" t="s">
        <v>25</v>
      </c>
      <c r="K2932">
        <v>6</v>
      </c>
      <c r="L2932" t="e">
        <f t="array" ref="L2932">VLOOKUP(J2932:$J$3871&amp;K2932:$K$3871,CHOOSE({1,2},#REF!&amp;#REF!,#REF!),2,0)</f>
        <v>#N/A</v>
      </c>
      <c r="M2932">
        <v>-15</v>
      </c>
      <c r="N2932">
        <v>0</v>
      </c>
      <c r="O2932" t="s">
        <v>7</v>
      </c>
      <c r="P2932">
        <v>1</v>
      </c>
      <c r="Q2932">
        <v>1</v>
      </c>
      <c r="R2932">
        <v>0</v>
      </c>
      <c r="S2932">
        <v>0</v>
      </c>
      <c r="T2932">
        <v>1</v>
      </c>
      <c r="U2932">
        <v>0</v>
      </c>
      <c r="V2932">
        <v>0</v>
      </c>
      <c r="W2932">
        <v>1</v>
      </c>
      <c r="X2932">
        <v>1</v>
      </c>
      <c r="Y2932">
        <v>1</v>
      </c>
      <c r="Z2932">
        <v>0</v>
      </c>
      <c r="AA2932" t="s">
        <v>3295</v>
      </c>
      <c r="AB2932" t="s">
        <v>6297</v>
      </c>
      <c r="AC2932" t="s">
        <v>3295</v>
      </c>
      <c r="AD2932" t="e">
        <f>VLOOKUP(AB2932,#REF!,2,FALSE)</f>
        <v>#REF!</v>
      </c>
      <c r="AE2932" t="e">
        <f>RIGHT(#REF!,(FIND("Complex",#REF!,1)-7))</f>
        <v>#REF!</v>
      </c>
    </row>
    <row r="2933" spans="1:31" x14ac:dyDescent="0.25">
      <c r="A2933">
        <v>3249</v>
      </c>
      <c r="B2933" t="s">
        <v>88</v>
      </c>
      <c r="C2933">
        <v>39</v>
      </c>
      <c r="D2933">
        <v>1064</v>
      </c>
      <c r="E2933">
        <v>3249</v>
      </c>
      <c r="F2933">
        <v>5556601</v>
      </c>
      <c r="G2933">
        <v>5644800</v>
      </c>
      <c r="H2933">
        <f t="shared" si="90"/>
        <v>126.00002267573696</v>
      </c>
      <c r="I2933">
        <f t="shared" si="91"/>
        <v>128</v>
      </c>
      <c r="J2933" t="s">
        <v>25</v>
      </c>
      <c r="K2933">
        <v>6</v>
      </c>
      <c r="L2933" t="e">
        <f t="array" ref="L2933">VLOOKUP(J2933:$J$3871&amp;K2933:$K$3871,CHOOSE({1,2},#REF!&amp;#REF!,#REF!),2,0)</f>
        <v>#N/A</v>
      </c>
      <c r="M2933">
        <v>-15</v>
      </c>
      <c r="N2933">
        <v>0</v>
      </c>
      <c r="O2933" t="s">
        <v>7</v>
      </c>
      <c r="P2933">
        <v>1</v>
      </c>
      <c r="Q2933">
        <v>1</v>
      </c>
      <c r="R2933">
        <v>0</v>
      </c>
      <c r="S2933">
        <v>0</v>
      </c>
      <c r="T2933">
        <v>1</v>
      </c>
      <c r="U2933">
        <v>0</v>
      </c>
      <c r="V2933">
        <v>0</v>
      </c>
      <c r="W2933">
        <v>1</v>
      </c>
      <c r="X2933">
        <v>1</v>
      </c>
      <c r="Y2933">
        <v>1</v>
      </c>
      <c r="Z2933">
        <v>0</v>
      </c>
      <c r="AA2933" t="s">
        <v>3346</v>
      </c>
      <c r="AB2933" t="s">
        <v>6302</v>
      </c>
      <c r="AC2933" t="s">
        <v>3346</v>
      </c>
      <c r="AD2933" t="e">
        <f>VLOOKUP(AB2933,#REF!,2,FALSE)</f>
        <v>#REF!</v>
      </c>
      <c r="AE2933" t="e">
        <f>RIGHT(#REF!,(FIND("Complex",#REF!,1)-8))</f>
        <v>#REF!</v>
      </c>
    </row>
    <row r="2934" spans="1:31" x14ac:dyDescent="0.25">
      <c r="A2934">
        <v>3180</v>
      </c>
      <c r="B2934" t="s">
        <v>88</v>
      </c>
      <c r="C2934">
        <v>39</v>
      </c>
      <c r="D2934">
        <v>1051</v>
      </c>
      <c r="E2934">
        <v>3180</v>
      </c>
      <c r="F2934">
        <v>4851001</v>
      </c>
      <c r="G2934">
        <v>4939200</v>
      </c>
      <c r="H2934">
        <f t="shared" si="90"/>
        <v>110.00002267573696</v>
      </c>
      <c r="I2934">
        <f t="shared" si="91"/>
        <v>112</v>
      </c>
      <c r="J2934" t="s">
        <v>25</v>
      </c>
      <c r="K2934">
        <v>6</v>
      </c>
      <c r="L2934" t="e">
        <f t="array" ref="L2934">VLOOKUP(J2934:$J$3871&amp;K2934:$K$3871,CHOOSE({1,2},#REF!&amp;#REF!,#REF!),2,0)</f>
        <v>#N/A</v>
      </c>
      <c r="M2934">
        <v>-15</v>
      </c>
      <c r="N2934">
        <v>0</v>
      </c>
      <c r="O2934" t="s">
        <v>7</v>
      </c>
      <c r="P2934">
        <v>0</v>
      </c>
      <c r="Q2934">
        <v>1</v>
      </c>
      <c r="R2934">
        <v>1</v>
      </c>
      <c r="S2934">
        <v>0</v>
      </c>
      <c r="T2934">
        <v>0</v>
      </c>
      <c r="U2934">
        <v>0</v>
      </c>
      <c r="V2934">
        <v>1</v>
      </c>
      <c r="W2934">
        <v>1</v>
      </c>
      <c r="X2934">
        <v>1</v>
      </c>
      <c r="Y2934">
        <v>1</v>
      </c>
      <c r="Z2934">
        <v>0</v>
      </c>
      <c r="AA2934" t="s">
        <v>3446</v>
      </c>
      <c r="AB2934" t="s">
        <v>1181</v>
      </c>
      <c r="AC2934" t="s">
        <v>3446</v>
      </c>
      <c r="AD2934" t="e">
        <f>VLOOKUP(AB2934,#REF!,2,FALSE)</f>
        <v>#REF!</v>
      </c>
      <c r="AE2934" t="e">
        <f>RIGHT(#REF!,(FIND("Complex",#REF!,1)-8))</f>
        <v>#REF!</v>
      </c>
    </row>
    <row r="2935" spans="1:31" x14ac:dyDescent="0.25">
      <c r="A2935">
        <v>3725</v>
      </c>
      <c r="B2935" t="s">
        <v>40</v>
      </c>
      <c r="C2935">
        <v>40</v>
      </c>
      <c r="D2935">
        <v>1183</v>
      </c>
      <c r="E2935">
        <v>3725</v>
      </c>
      <c r="F2935">
        <v>8820001</v>
      </c>
      <c r="G2935">
        <v>8908200</v>
      </c>
      <c r="H2935">
        <f t="shared" si="90"/>
        <v>200.00002267573697</v>
      </c>
      <c r="I2935">
        <f t="shared" si="91"/>
        <v>202</v>
      </c>
      <c r="J2935" t="s">
        <v>25</v>
      </c>
      <c r="K2935">
        <v>6</v>
      </c>
      <c r="L2935" t="e">
        <f t="array" ref="L2935">VLOOKUP(J2935:$J$3871&amp;K2935:$K$3871,CHOOSE({1,2},#REF!&amp;#REF!,#REF!),2,0)</f>
        <v>#N/A</v>
      </c>
      <c r="M2935">
        <v>-15</v>
      </c>
      <c r="N2935">
        <v>0</v>
      </c>
      <c r="O2935" t="s">
        <v>7</v>
      </c>
      <c r="P2935">
        <v>1</v>
      </c>
      <c r="Q2935">
        <v>0</v>
      </c>
      <c r="R2935">
        <v>0</v>
      </c>
      <c r="S2935">
        <v>1</v>
      </c>
      <c r="T2935">
        <v>1</v>
      </c>
      <c r="U2935">
        <v>0</v>
      </c>
      <c r="V2935">
        <v>0</v>
      </c>
      <c r="W2935">
        <v>1</v>
      </c>
      <c r="X2935">
        <v>1</v>
      </c>
      <c r="Y2935">
        <v>1</v>
      </c>
      <c r="Z2935">
        <v>0</v>
      </c>
      <c r="AA2935" t="s">
        <v>3051</v>
      </c>
      <c r="AB2935" t="s">
        <v>6252</v>
      </c>
      <c r="AC2935" t="s">
        <v>3051</v>
      </c>
      <c r="AD2935" t="e">
        <f>VLOOKUP(AB2935,#REF!,2,FALSE)</f>
        <v>#REF!</v>
      </c>
      <c r="AE2935" t="e">
        <f>RIGHT(#REF!,(FIND("Complex",#REF!,1)-8))</f>
        <v>#REF!</v>
      </c>
    </row>
    <row r="2936" spans="1:31" x14ac:dyDescent="0.25">
      <c r="A2936">
        <v>2708</v>
      </c>
      <c r="B2936" t="s">
        <v>24</v>
      </c>
      <c r="C2936">
        <v>49</v>
      </c>
      <c r="D2936">
        <v>972</v>
      </c>
      <c r="E2936">
        <v>2708</v>
      </c>
      <c r="F2936">
        <v>2910601</v>
      </c>
      <c r="G2936">
        <v>2998800</v>
      </c>
      <c r="H2936">
        <f t="shared" si="90"/>
        <v>66.000022675736957</v>
      </c>
      <c r="I2936">
        <f t="shared" si="91"/>
        <v>68</v>
      </c>
      <c r="J2936" t="s">
        <v>25</v>
      </c>
      <c r="K2936">
        <v>6</v>
      </c>
      <c r="L2936" t="e">
        <f t="array" ref="L2936">VLOOKUP(J2936:$J$3871&amp;K2936:$K$3871,CHOOSE({1,2},#REF!&amp;#REF!,#REF!),2,0)</f>
        <v>#N/A</v>
      </c>
      <c r="M2936">
        <v>-15</v>
      </c>
      <c r="N2936">
        <v>0</v>
      </c>
      <c r="O2936" t="s">
        <v>7</v>
      </c>
      <c r="P2936">
        <v>1</v>
      </c>
      <c r="Q2936">
        <v>1</v>
      </c>
      <c r="R2936">
        <v>0</v>
      </c>
      <c r="S2936">
        <v>1</v>
      </c>
      <c r="T2936">
        <v>0</v>
      </c>
      <c r="U2936">
        <v>1</v>
      </c>
      <c r="V2936">
        <v>0</v>
      </c>
      <c r="W2936">
        <v>1</v>
      </c>
      <c r="X2936">
        <v>1</v>
      </c>
      <c r="Y2936">
        <v>0</v>
      </c>
      <c r="Z2936">
        <v>0</v>
      </c>
      <c r="AA2936" t="s">
        <v>2755</v>
      </c>
      <c r="AB2936" t="s">
        <v>1307</v>
      </c>
      <c r="AC2936" t="s">
        <v>2755</v>
      </c>
      <c r="AD2936" t="e">
        <f>VLOOKUP(AB2936,#REF!,2,FALSE)</f>
        <v>#REF!</v>
      </c>
      <c r="AE2936" t="e">
        <f>RIGHT(#REF!,(FIND("Complex",#REF!,1)-8))</f>
        <v>#REF!</v>
      </c>
    </row>
    <row r="2937" spans="1:31" x14ac:dyDescent="0.25">
      <c r="A2937">
        <v>3068</v>
      </c>
      <c r="B2937" t="s">
        <v>24</v>
      </c>
      <c r="C2937">
        <v>49</v>
      </c>
      <c r="D2937">
        <v>1033</v>
      </c>
      <c r="E2937">
        <v>3068</v>
      </c>
      <c r="F2937">
        <v>2469601</v>
      </c>
      <c r="G2937">
        <v>2557800</v>
      </c>
      <c r="H2937">
        <f t="shared" si="90"/>
        <v>56.000022675736965</v>
      </c>
      <c r="I2937">
        <f t="shared" si="91"/>
        <v>58</v>
      </c>
      <c r="J2937" t="s">
        <v>25</v>
      </c>
      <c r="K2937">
        <v>6</v>
      </c>
      <c r="L2937" t="e">
        <f t="array" ref="L2937">VLOOKUP(J2937:$J$3871&amp;K2937:$K$3871,CHOOSE({1,2},#REF!&amp;#REF!,#REF!),2,0)</f>
        <v>#N/A</v>
      </c>
      <c r="M2937">
        <v>-15</v>
      </c>
      <c r="N2937">
        <v>0</v>
      </c>
      <c r="O2937" t="s">
        <v>7</v>
      </c>
      <c r="P2937">
        <v>1</v>
      </c>
      <c r="Q2937">
        <v>1</v>
      </c>
      <c r="R2937">
        <v>0</v>
      </c>
      <c r="S2937">
        <v>1</v>
      </c>
      <c r="T2937">
        <v>0</v>
      </c>
      <c r="U2937">
        <v>1</v>
      </c>
      <c r="V2937">
        <v>0</v>
      </c>
      <c r="W2937">
        <v>1</v>
      </c>
      <c r="X2937">
        <v>1</v>
      </c>
      <c r="Y2937">
        <v>0</v>
      </c>
      <c r="Z2937">
        <v>0</v>
      </c>
      <c r="AA2937" t="s">
        <v>2793</v>
      </c>
      <c r="AB2937" t="s">
        <v>1308</v>
      </c>
      <c r="AC2937" t="s">
        <v>2793</v>
      </c>
      <c r="AD2937" t="e">
        <f>VLOOKUP(AB2937,#REF!,2,FALSE)</f>
        <v>#REF!</v>
      </c>
      <c r="AE2937" t="e">
        <f>RIGHT(#REF!,(FIND("Complex",#REF!,1)-9))</f>
        <v>#REF!</v>
      </c>
    </row>
    <row r="2938" spans="1:31" x14ac:dyDescent="0.25">
      <c r="A2938">
        <v>2852</v>
      </c>
      <c r="B2938" t="s">
        <v>24</v>
      </c>
      <c r="C2938">
        <v>49</v>
      </c>
      <c r="D2938">
        <v>990</v>
      </c>
      <c r="E2938">
        <v>2852</v>
      </c>
      <c r="F2938">
        <v>6791401</v>
      </c>
      <c r="G2938">
        <v>6879600</v>
      </c>
      <c r="H2938">
        <f t="shared" si="90"/>
        <v>154.00002267573697</v>
      </c>
      <c r="I2938">
        <f t="shared" si="91"/>
        <v>156</v>
      </c>
      <c r="J2938" t="s">
        <v>25</v>
      </c>
      <c r="K2938">
        <v>6</v>
      </c>
      <c r="L2938" t="e">
        <f t="array" ref="L2938">VLOOKUP(J2938:$J$3871&amp;K2938:$K$3871,CHOOSE({1,2},#REF!&amp;#REF!,#REF!),2,0)</f>
        <v>#N/A</v>
      </c>
      <c r="M2938">
        <v>-15</v>
      </c>
      <c r="N2938">
        <v>0</v>
      </c>
      <c r="O2938" t="s">
        <v>7</v>
      </c>
      <c r="P2938">
        <v>1</v>
      </c>
      <c r="Q2938">
        <v>1</v>
      </c>
      <c r="R2938">
        <v>0</v>
      </c>
      <c r="S2938">
        <v>1</v>
      </c>
      <c r="T2938">
        <v>0</v>
      </c>
      <c r="U2938">
        <v>1</v>
      </c>
      <c r="V2938">
        <v>0</v>
      </c>
      <c r="W2938">
        <v>1</v>
      </c>
      <c r="X2938">
        <v>1</v>
      </c>
      <c r="Y2938">
        <v>0</v>
      </c>
      <c r="Z2938">
        <v>0</v>
      </c>
      <c r="AA2938" t="s">
        <v>3211</v>
      </c>
      <c r="AB2938" t="s">
        <v>1309</v>
      </c>
      <c r="AC2938" t="s">
        <v>3211</v>
      </c>
      <c r="AD2938" t="e">
        <f>VLOOKUP(AB2938,#REF!,2,FALSE)</f>
        <v>#REF!</v>
      </c>
      <c r="AE2938" t="e">
        <f>RIGHT(#REF!,(FIND("Complex",#REF!,1)-7))</f>
        <v>#REF!</v>
      </c>
    </row>
    <row r="2939" spans="1:31" x14ac:dyDescent="0.25">
      <c r="A2939">
        <v>3324</v>
      </c>
      <c r="B2939" t="s">
        <v>24</v>
      </c>
      <c r="C2939">
        <v>49</v>
      </c>
      <c r="D2939">
        <v>1074</v>
      </c>
      <c r="E2939">
        <v>3324</v>
      </c>
      <c r="F2939">
        <v>6615001</v>
      </c>
      <c r="G2939">
        <v>6703200</v>
      </c>
      <c r="H2939">
        <f t="shared" si="90"/>
        <v>150.00002267573697</v>
      </c>
      <c r="I2939">
        <f t="shared" si="91"/>
        <v>152</v>
      </c>
      <c r="J2939" t="s">
        <v>25</v>
      </c>
      <c r="K2939">
        <v>6</v>
      </c>
      <c r="L2939" t="e">
        <f t="array" ref="L2939">VLOOKUP(J2939:$J$3871&amp;K2939:$K$3871,CHOOSE({1,2},#REF!&amp;#REF!,#REF!),2,0)</f>
        <v>#N/A</v>
      </c>
      <c r="M2939">
        <v>-15</v>
      </c>
      <c r="N2939">
        <v>0</v>
      </c>
      <c r="O2939" t="s">
        <v>7</v>
      </c>
      <c r="P2939">
        <v>1</v>
      </c>
      <c r="Q2939">
        <v>1</v>
      </c>
      <c r="R2939">
        <v>0</v>
      </c>
      <c r="S2939">
        <v>1</v>
      </c>
      <c r="T2939">
        <v>0</v>
      </c>
      <c r="U2939">
        <v>1</v>
      </c>
      <c r="V2939">
        <v>0</v>
      </c>
      <c r="W2939">
        <v>1</v>
      </c>
      <c r="X2939">
        <v>1</v>
      </c>
      <c r="Y2939">
        <v>0</v>
      </c>
      <c r="Z2939">
        <v>0</v>
      </c>
      <c r="AA2939" t="s">
        <v>3225</v>
      </c>
      <c r="AB2939" t="s">
        <v>1310</v>
      </c>
      <c r="AC2939" t="s">
        <v>3225</v>
      </c>
      <c r="AD2939" t="e">
        <f>VLOOKUP(AB2939,#REF!,2,FALSE)</f>
        <v>#REF!</v>
      </c>
      <c r="AE2939" t="e">
        <f>RIGHT(#REF!,(FIND("Complex",#REF!,1)-8))</f>
        <v>#REF!</v>
      </c>
    </row>
    <row r="2940" spans="1:31" x14ac:dyDescent="0.25">
      <c r="A2940">
        <v>2769</v>
      </c>
      <c r="B2940" t="s">
        <v>24</v>
      </c>
      <c r="C2940">
        <v>49</v>
      </c>
      <c r="D2940">
        <v>977</v>
      </c>
      <c r="E2940">
        <v>2769</v>
      </c>
      <c r="F2940">
        <v>6526801</v>
      </c>
      <c r="G2940">
        <v>6615000</v>
      </c>
      <c r="H2940">
        <f t="shared" si="90"/>
        <v>148.00002267573697</v>
      </c>
      <c r="I2940">
        <f t="shared" si="91"/>
        <v>150</v>
      </c>
      <c r="J2940" t="s">
        <v>25</v>
      </c>
      <c r="K2940">
        <v>6</v>
      </c>
      <c r="L2940" t="e">
        <f t="array" ref="L2940">VLOOKUP(J2940:$J$3871&amp;K2940:$K$3871,CHOOSE({1,2},#REF!&amp;#REF!,#REF!),2,0)</f>
        <v>#N/A</v>
      </c>
      <c r="M2940">
        <v>-15</v>
      </c>
      <c r="N2940">
        <v>0</v>
      </c>
      <c r="O2940" t="s">
        <v>7</v>
      </c>
      <c r="P2940">
        <v>1</v>
      </c>
      <c r="Q2940">
        <v>1</v>
      </c>
      <c r="R2940">
        <v>0</v>
      </c>
      <c r="S2940">
        <v>1</v>
      </c>
      <c r="T2940">
        <v>0</v>
      </c>
      <c r="U2940">
        <v>1</v>
      </c>
      <c r="V2940">
        <v>0</v>
      </c>
      <c r="W2940">
        <v>1</v>
      </c>
      <c r="X2940">
        <v>1</v>
      </c>
      <c r="Y2940">
        <v>0</v>
      </c>
      <c r="Z2940">
        <v>0</v>
      </c>
      <c r="AA2940" t="s">
        <v>3231</v>
      </c>
      <c r="AB2940" t="s">
        <v>1311</v>
      </c>
      <c r="AC2940" t="s">
        <v>3231</v>
      </c>
      <c r="AD2940" t="e">
        <f>VLOOKUP(AB2940,#REF!,2,FALSE)</f>
        <v>#REF!</v>
      </c>
      <c r="AE2940" t="e">
        <f>RIGHT(#REF!,(FIND("Complex",#REF!,1)-7))</f>
        <v>#REF!</v>
      </c>
    </row>
    <row r="2941" spans="1:31" x14ac:dyDescent="0.25">
      <c r="A2941">
        <v>2934</v>
      </c>
      <c r="B2941" t="s">
        <v>24</v>
      </c>
      <c r="C2941">
        <v>49</v>
      </c>
      <c r="D2941">
        <v>1004</v>
      </c>
      <c r="E2941">
        <v>2934</v>
      </c>
      <c r="F2941">
        <v>6085801</v>
      </c>
      <c r="G2941">
        <v>6174000</v>
      </c>
      <c r="H2941">
        <f t="shared" si="90"/>
        <v>138.00002267573697</v>
      </c>
      <c r="I2941">
        <f t="shared" si="91"/>
        <v>140</v>
      </c>
      <c r="J2941" t="s">
        <v>25</v>
      </c>
      <c r="K2941">
        <v>6</v>
      </c>
      <c r="L2941" t="e">
        <f t="array" ref="L2941">VLOOKUP(J2941:$J$3871&amp;K2941:$K$3871,CHOOSE({1,2},#REF!&amp;#REF!,#REF!),2,0)</f>
        <v>#N/A</v>
      </c>
      <c r="M2941">
        <v>-15</v>
      </c>
      <c r="N2941">
        <v>0</v>
      </c>
      <c r="O2941" t="s">
        <v>7</v>
      </c>
      <c r="P2941">
        <v>1</v>
      </c>
      <c r="Q2941">
        <v>1</v>
      </c>
      <c r="R2941">
        <v>0</v>
      </c>
      <c r="S2941">
        <v>1</v>
      </c>
      <c r="T2941">
        <v>0</v>
      </c>
      <c r="U2941">
        <v>1</v>
      </c>
      <c r="V2941">
        <v>0</v>
      </c>
      <c r="W2941">
        <v>1</v>
      </c>
      <c r="X2941">
        <v>1</v>
      </c>
      <c r="Y2941">
        <v>0</v>
      </c>
      <c r="Z2941">
        <v>0</v>
      </c>
      <c r="AA2941" t="s">
        <v>3272</v>
      </c>
      <c r="AB2941" t="s">
        <v>167</v>
      </c>
      <c r="AC2941" t="s">
        <v>3272</v>
      </c>
      <c r="AD2941" t="e">
        <f>VLOOKUP(AB2941,#REF!,2,FALSE)</f>
        <v>#REF!</v>
      </c>
      <c r="AE2941" t="e">
        <f>RIGHT(#REF!,(FIND("Complex",#REF!,1)-8))</f>
        <v>#REF!</v>
      </c>
    </row>
    <row r="2942" spans="1:31" x14ac:dyDescent="0.25">
      <c r="A2942">
        <v>2893</v>
      </c>
      <c r="B2942" t="s">
        <v>24</v>
      </c>
      <c r="C2942">
        <v>49</v>
      </c>
      <c r="D2942">
        <v>998</v>
      </c>
      <c r="E2942">
        <v>2893</v>
      </c>
      <c r="F2942">
        <v>5909401</v>
      </c>
      <c r="G2942">
        <v>5997600</v>
      </c>
      <c r="H2942">
        <f t="shared" si="90"/>
        <v>134.00002267573697</v>
      </c>
      <c r="I2942">
        <f t="shared" si="91"/>
        <v>136</v>
      </c>
      <c r="J2942" t="s">
        <v>25</v>
      </c>
      <c r="K2942">
        <v>6</v>
      </c>
      <c r="L2942" t="e">
        <f t="array" ref="L2942">VLOOKUP(J2942:$J$3871&amp;K2942:$K$3871,CHOOSE({1,2},#REF!&amp;#REF!,#REF!),2,0)</f>
        <v>#N/A</v>
      </c>
      <c r="M2942">
        <v>-15</v>
      </c>
      <c r="N2942">
        <v>0</v>
      </c>
      <c r="O2942" t="s">
        <v>7</v>
      </c>
      <c r="P2942">
        <v>0</v>
      </c>
      <c r="Q2942">
        <v>1</v>
      </c>
      <c r="R2942">
        <v>0</v>
      </c>
      <c r="S2942">
        <v>1</v>
      </c>
      <c r="T2942">
        <v>1</v>
      </c>
      <c r="U2942">
        <v>1</v>
      </c>
      <c r="V2942">
        <v>0</v>
      </c>
      <c r="W2942">
        <v>1</v>
      </c>
      <c r="X2942">
        <v>1</v>
      </c>
      <c r="Y2942">
        <v>0</v>
      </c>
      <c r="Z2942">
        <v>0</v>
      </c>
      <c r="AA2942" t="s">
        <v>3294</v>
      </c>
      <c r="AB2942" t="s">
        <v>1312</v>
      </c>
      <c r="AC2942" t="s">
        <v>3294</v>
      </c>
      <c r="AD2942" t="e">
        <f>VLOOKUP(AB2942,#REF!,2,FALSE)</f>
        <v>#REF!</v>
      </c>
      <c r="AE2942" t="e">
        <f>RIGHT(#REF!,(FIND("Complex",#REF!,1)-7))</f>
        <v>#REF!</v>
      </c>
    </row>
    <row r="2943" spans="1:31" x14ac:dyDescent="0.25">
      <c r="A2943">
        <v>3237</v>
      </c>
      <c r="B2943" t="s">
        <v>24</v>
      </c>
      <c r="C2943">
        <v>49</v>
      </c>
      <c r="D2943">
        <v>1061</v>
      </c>
      <c r="E2943">
        <v>3237</v>
      </c>
      <c r="F2943">
        <v>5733001</v>
      </c>
      <c r="G2943">
        <v>5821200</v>
      </c>
      <c r="H2943">
        <f t="shared" si="90"/>
        <v>130.00002267573697</v>
      </c>
      <c r="I2943">
        <f t="shared" si="91"/>
        <v>132</v>
      </c>
      <c r="J2943" t="s">
        <v>25</v>
      </c>
      <c r="K2943">
        <v>6</v>
      </c>
      <c r="L2943" t="e">
        <f t="array" ref="L2943">VLOOKUP(J2943:$J$3871&amp;K2943:$K$3871,CHOOSE({1,2},#REF!&amp;#REF!,#REF!),2,0)</f>
        <v>#N/A</v>
      </c>
      <c r="M2943">
        <v>-15</v>
      </c>
      <c r="N2943">
        <v>0</v>
      </c>
      <c r="O2943" t="s">
        <v>7</v>
      </c>
      <c r="P2943">
        <v>0</v>
      </c>
      <c r="Q2943">
        <v>1</v>
      </c>
      <c r="R2943">
        <v>0</v>
      </c>
      <c r="S2943">
        <v>1</v>
      </c>
      <c r="T2943">
        <v>1</v>
      </c>
      <c r="U2943">
        <v>1</v>
      </c>
      <c r="V2943">
        <v>0</v>
      </c>
      <c r="W2943">
        <v>1</v>
      </c>
      <c r="X2943">
        <v>1</v>
      </c>
      <c r="Y2943">
        <v>0</v>
      </c>
      <c r="Z2943">
        <v>0</v>
      </c>
      <c r="AA2943" t="s">
        <v>3319</v>
      </c>
      <c r="AB2943" t="s">
        <v>1313</v>
      </c>
      <c r="AC2943" t="s">
        <v>3319</v>
      </c>
      <c r="AD2943" t="e">
        <f>VLOOKUP(AB2943,#REF!,2,FALSE)</f>
        <v>#REF!</v>
      </c>
      <c r="AE2943" t="e">
        <f>RIGHT(#REF!,(FIND("Complex",#REF!,1)-8))</f>
        <v>#REF!</v>
      </c>
    </row>
    <row r="2944" spans="1:31" x14ac:dyDescent="0.25">
      <c r="A2944">
        <v>3025</v>
      </c>
      <c r="B2944" t="s">
        <v>24</v>
      </c>
      <c r="C2944">
        <v>49</v>
      </c>
      <c r="D2944">
        <v>1025</v>
      </c>
      <c r="E2944">
        <v>3025</v>
      </c>
      <c r="F2944">
        <v>5468401</v>
      </c>
      <c r="G2944">
        <v>5556600</v>
      </c>
      <c r="H2944">
        <f t="shared" si="90"/>
        <v>124.00002267573696</v>
      </c>
      <c r="I2944">
        <f t="shared" si="91"/>
        <v>126</v>
      </c>
      <c r="J2944" t="s">
        <v>25</v>
      </c>
      <c r="K2944">
        <v>6</v>
      </c>
      <c r="L2944" t="e">
        <f t="array" ref="L2944">VLOOKUP(J2944:$J$3871&amp;K2944:$K$3871,CHOOSE({1,2},#REF!&amp;#REF!,#REF!),2,0)</f>
        <v>#N/A</v>
      </c>
      <c r="M2944">
        <v>-15</v>
      </c>
      <c r="N2944">
        <v>0</v>
      </c>
      <c r="O2944" t="s">
        <v>7</v>
      </c>
      <c r="P2944">
        <v>0</v>
      </c>
      <c r="Q2944">
        <v>1</v>
      </c>
      <c r="R2944">
        <v>0</v>
      </c>
      <c r="S2944">
        <v>1</v>
      </c>
      <c r="T2944">
        <v>1</v>
      </c>
      <c r="U2944">
        <v>1</v>
      </c>
      <c r="V2944">
        <v>0</v>
      </c>
      <c r="W2944">
        <v>1</v>
      </c>
      <c r="X2944">
        <v>1</v>
      </c>
      <c r="Y2944">
        <v>0</v>
      </c>
      <c r="Z2944">
        <v>0</v>
      </c>
      <c r="AA2944" t="s">
        <v>3356</v>
      </c>
      <c r="AB2944" t="s">
        <v>1314</v>
      </c>
      <c r="AC2944" t="s">
        <v>3356</v>
      </c>
      <c r="AD2944" t="e">
        <f>VLOOKUP(AB2944,#REF!,2,FALSE)</f>
        <v>#REF!</v>
      </c>
      <c r="AE2944" t="e">
        <f>RIGHT(#REF!,(FIND("Complex",#REF!,1)-8))</f>
        <v>#REF!</v>
      </c>
    </row>
    <row r="2945" spans="1:31" x14ac:dyDescent="0.25">
      <c r="A2945">
        <v>2968</v>
      </c>
      <c r="B2945" t="s">
        <v>24</v>
      </c>
      <c r="C2945">
        <v>49</v>
      </c>
      <c r="D2945">
        <v>1011</v>
      </c>
      <c r="E2945">
        <v>2968</v>
      </c>
      <c r="F2945">
        <v>5292001</v>
      </c>
      <c r="G2945">
        <v>5380200</v>
      </c>
      <c r="H2945">
        <f t="shared" si="90"/>
        <v>120.00002267573696</v>
      </c>
      <c r="I2945">
        <f t="shared" si="91"/>
        <v>122</v>
      </c>
      <c r="J2945" t="s">
        <v>25</v>
      </c>
      <c r="K2945">
        <v>6</v>
      </c>
      <c r="L2945" t="e">
        <f t="array" ref="L2945">VLOOKUP(J2945:$J$3871&amp;K2945:$K$3871,CHOOSE({1,2},#REF!&amp;#REF!,#REF!),2,0)</f>
        <v>#N/A</v>
      </c>
      <c r="M2945">
        <v>-15</v>
      </c>
      <c r="N2945">
        <v>0</v>
      </c>
      <c r="O2945" t="s">
        <v>7</v>
      </c>
      <c r="P2945">
        <v>0</v>
      </c>
      <c r="Q2945">
        <v>1</v>
      </c>
      <c r="R2945">
        <v>0</v>
      </c>
      <c r="S2945">
        <v>1</v>
      </c>
      <c r="T2945">
        <v>1</v>
      </c>
      <c r="U2945">
        <v>1</v>
      </c>
      <c r="V2945">
        <v>0</v>
      </c>
      <c r="W2945">
        <v>1</v>
      </c>
      <c r="X2945">
        <v>1</v>
      </c>
      <c r="Y2945">
        <v>0</v>
      </c>
      <c r="Z2945">
        <v>0</v>
      </c>
      <c r="AA2945" t="s">
        <v>3379</v>
      </c>
      <c r="AB2945" t="s">
        <v>1315</v>
      </c>
      <c r="AC2945" t="s">
        <v>3379</v>
      </c>
      <c r="AD2945" t="e">
        <f>VLOOKUP(AB2945,#REF!,2,FALSE)</f>
        <v>#REF!</v>
      </c>
      <c r="AE2945" t="e">
        <f>RIGHT(#REF!,(FIND("Complex",#REF!,1)-8))</f>
        <v>#REF!</v>
      </c>
    </row>
    <row r="2946" spans="1:31" x14ac:dyDescent="0.25">
      <c r="A2946">
        <v>42</v>
      </c>
      <c r="B2946" t="s">
        <v>24</v>
      </c>
      <c r="C2946">
        <v>49</v>
      </c>
      <c r="D2946">
        <v>20</v>
      </c>
      <c r="E2946">
        <v>42</v>
      </c>
      <c r="F2946">
        <v>4939201</v>
      </c>
      <c r="G2946">
        <v>5027400</v>
      </c>
      <c r="H2946">
        <f t="shared" ref="H2946:H3009" si="92">F2946/44100</f>
        <v>112.00002267573696</v>
      </c>
      <c r="I2946">
        <f t="shared" ref="I2946:I3009" si="93">G2946/44100</f>
        <v>114</v>
      </c>
      <c r="J2946" t="s">
        <v>25</v>
      </c>
      <c r="K2946">
        <v>6</v>
      </c>
      <c r="L2946" t="e">
        <f t="array" ref="L2946">VLOOKUP(J2946:$J$3871&amp;K2946:$K$3871,CHOOSE({1,2},#REF!&amp;#REF!,#REF!),2,0)</f>
        <v>#N/A</v>
      </c>
      <c r="M2946">
        <v>-15</v>
      </c>
      <c r="N2946">
        <v>0</v>
      </c>
      <c r="O2946" t="s">
        <v>7</v>
      </c>
      <c r="P2946">
        <v>0</v>
      </c>
      <c r="Q2946">
        <v>1</v>
      </c>
      <c r="R2946">
        <v>0</v>
      </c>
      <c r="S2946">
        <v>1</v>
      </c>
      <c r="T2946">
        <v>1</v>
      </c>
      <c r="U2946">
        <v>1</v>
      </c>
      <c r="V2946">
        <v>0</v>
      </c>
      <c r="W2946">
        <v>1</v>
      </c>
      <c r="X2946">
        <v>1</v>
      </c>
      <c r="Y2946">
        <v>0</v>
      </c>
      <c r="Z2946">
        <v>0</v>
      </c>
      <c r="AA2946" t="s">
        <v>3433</v>
      </c>
      <c r="AB2946" t="s">
        <v>1316</v>
      </c>
      <c r="AC2946" t="s">
        <v>3433</v>
      </c>
      <c r="AD2946" t="e">
        <f>VLOOKUP(AB2946,#REF!,2,FALSE)</f>
        <v>#REF!</v>
      </c>
      <c r="AE2946" t="e">
        <f>RIGHT(#REF!,(FIND("Complex",#REF!,1)-5))</f>
        <v>#REF!</v>
      </c>
    </row>
    <row r="2947" spans="1:31" x14ac:dyDescent="0.25">
      <c r="A2947">
        <v>2439</v>
      </c>
      <c r="B2947" t="s">
        <v>24</v>
      </c>
      <c r="C2947">
        <v>49</v>
      </c>
      <c r="D2947">
        <v>957</v>
      </c>
      <c r="E2947">
        <v>2439</v>
      </c>
      <c r="F2947">
        <v>4851001</v>
      </c>
      <c r="G2947">
        <v>4939200</v>
      </c>
      <c r="H2947">
        <f t="shared" si="92"/>
        <v>110.00002267573696</v>
      </c>
      <c r="I2947">
        <f t="shared" si="93"/>
        <v>112</v>
      </c>
      <c r="J2947" t="s">
        <v>25</v>
      </c>
      <c r="K2947">
        <v>6</v>
      </c>
      <c r="L2947" t="e">
        <f t="array" ref="L2947">VLOOKUP(J2947:$J$3871&amp;K2947:$K$3871,CHOOSE({1,2},#REF!&amp;#REF!,#REF!),2,0)</f>
        <v>#N/A</v>
      </c>
      <c r="M2947">
        <v>-15</v>
      </c>
      <c r="N2947">
        <v>0</v>
      </c>
      <c r="O2947" t="s">
        <v>7</v>
      </c>
      <c r="P2947">
        <v>0</v>
      </c>
      <c r="Q2947">
        <v>1</v>
      </c>
      <c r="R2947">
        <v>0</v>
      </c>
      <c r="S2947">
        <v>1</v>
      </c>
      <c r="T2947">
        <v>1</v>
      </c>
      <c r="U2947">
        <v>1</v>
      </c>
      <c r="V2947">
        <v>0</v>
      </c>
      <c r="W2947">
        <v>1</v>
      </c>
      <c r="X2947">
        <v>1</v>
      </c>
      <c r="Y2947">
        <v>0</v>
      </c>
      <c r="Z2947">
        <v>0</v>
      </c>
      <c r="AA2947" t="s">
        <v>3445</v>
      </c>
      <c r="AB2947" t="s">
        <v>1317</v>
      </c>
      <c r="AC2947" t="s">
        <v>3445</v>
      </c>
      <c r="AD2947" t="e">
        <f>VLOOKUP(AB2947,#REF!,2,FALSE)</f>
        <v>#REF!</v>
      </c>
      <c r="AE2947" t="e">
        <f>RIGHT(#REF!,(FIND("Complex",#REF!,1)-7))</f>
        <v>#REF!</v>
      </c>
    </row>
    <row r="2948" spans="1:31" x14ac:dyDescent="0.25">
      <c r="A2948">
        <v>1058</v>
      </c>
      <c r="B2948" t="s">
        <v>24</v>
      </c>
      <c r="C2948">
        <v>49</v>
      </c>
      <c r="D2948">
        <v>467</v>
      </c>
      <c r="E2948">
        <v>1058</v>
      </c>
      <c r="F2948">
        <v>4410001</v>
      </c>
      <c r="G2948">
        <v>4498200</v>
      </c>
      <c r="H2948">
        <f t="shared" si="92"/>
        <v>100.00002267573696</v>
      </c>
      <c r="I2948">
        <f t="shared" si="93"/>
        <v>102</v>
      </c>
      <c r="J2948" t="s">
        <v>25</v>
      </c>
      <c r="K2948">
        <v>6</v>
      </c>
      <c r="L2948" t="e">
        <f t="array" ref="L2948">VLOOKUP(J2948:$J$3871&amp;K2948:$K$3871,CHOOSE({1,2},#REF!&amp;#REF!,#REF!),2,0)</f>
        <v>#N/A</v>
      </c>
      <c r="M2948">
        <v>-15</v>
      </c>
      <c r="N2948">
        <v>0</v>
      </c>
      <c r="O2948" t="s">
        <v>7</v>
      </c>
      <c r="P2948">
        <v>1</v>
      </c>
      <c r="Q2948">
        <v>1</v>
      </c>
      <c r="R2948">
        <v>0</v>
      </c>
      <c r="S2948">
        <v>1</v>
      </c>
      <c r="T2948">
        <v>0</v>
      </c>
      <c r="U2948">
        <v>1</v>
      </c>
      <c r="V2948">
        <v>0</v>
      </c>
      <c r="W2948">
        <v>1</v>
      </c>
      <c r="X2948">
        <v>1</v>
      </c>
      <c r="Y2948">
        <v>0</v>
      </c>
      <c r="Z2948">
        <v>0</v>
      </c>
      <c r="AA2948" t="s">
        <v>3492</v>
      </c>
      <c r="AB2948" t="s">
        <v>1318</v>
      </c>
      <c r="AC2948" t="s">
        <v>3492</v>
      </c>
      <c r="AD2948" t="e">
        <f>VLOOKUP(AB2948,#REF!,2,FALSE)</f>
        <v>#REF!</v>
      </c>
      <c r="AE2948" t="e">
        <f>RIGHT(#REF!,(FIND("Complex",#REF!,1)-7))</f>
        <v>#REF!</v>
      </c>
    </row>
    <row r="2949" spans="1:31" x14ac:dyDescent="0.25">
      <c r="A2949">
        <v>3673</v>
      </c>
      <c r="B2949" t="s">
        <v>27</v>
      </c>
      <c r="C2949">
        <v>52</v>
      </c>
      <c r="D2949">
        <v>1166</v>
      </c>
      <c r="E2949">
        <v>3673</v>
      </c>
      <c r="F2949">
        <v>16758001</v>
      </c>
      <c r="G2949">
        <v>16846200</v>
      </c>
      <c r="H2949">
        <f t="shared" si="92"/>
        <v>380.00002267573694</v>
      </c>
      <c r="I2949">
        <f t="shared" si="93"/>
        <v>382</v>
      </c>
      <c r="J2949" t="s">
        <v>25</v>
      </c>
      <c r="K2949">
        <v>6</v>
      </c>
      <c r="L2949" t="e">
        <f t="array" ref="L2949">VLOOKUP(J2949:$J$3871&amp;K2949:$K$3871,CHOOSE({1,2},#REF!&amp;#REF!,#REF!),2,0)</f>
        <v>#N/A</v>
      </c>
      <c r="M2949">
        <v>-15</v>
      </c>
      <c r="N2949">
        <v>0</v>
      </c>
      <c r="O2949" t="s">
        <v>7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1</v>
      </c>
      <c r="W2949">
        <v>1</v>
      </c>
      <c r="X2949">
        <v>1</v>
      </c>
      <c r="Y2949">
        <v>1</v>
      </c>
      <c r="Z2949">
        <v>1</v>
      </c>
      <c r="AA2949" t="s">
        <v>2840</v>
      </c>
      <c r="AB2949" t="s">
        <v>6200</v>
      </c>
      <c r="AC2949" t="s">
        <v>2840</v>
      </c>
      <c r="AD2949" t="e">
        <f>VLOOKUP(AB2949,#REF!,2,FALSE)</f>
        <v>#REF!</v>
      </c>
      <c r="AE2949" t="e">
        <f>RIGHT(#REF!,(FIND("Complex",#REF!,1)-8))</f>
        <v>#REF!</v>
      </c>
    </row>
    <row r="2950" spans="1:31" x14ac:dyDescent="0.25">
      <c r="A2950">
        <v>3728</v>
      </c>
      <c r="B2950" t="s">
        <v>27</v>
      </c>
      <c r="C2950">
        <v>52</v>
      </c>
      <c r="D2950">
        <v>1185</v>
      </c>
      <c r="E2950">
        <v>3728</v>
      </c>
      <c r="F2950">
        <v>16581601</v>
      </c>
      <c r="G2950">
        <v>16669800</v>
      </c>
      <c r="H2950">
        <f t="shared" si="92"/>
        <v>376.00002267573694</v>
      </c>
      <c r="I2950">
        <f t="shared" si="93"/>
        <v>378</v>
      </c>
      <c r="J2950" t="s">
        <v>25</v>
      </c>
      <c r="K2950">
        <v>6</v>
      </c>
      <c r="L2950" t="e">
        <f t="array" ref="L2950">VLOOKUP(J2950:$J$3871&amp;K2950:$K$3871,CHOOSE({1,2},#REF!&amp;#REF!,#REF!),2,0)</f>
        <v>#N/A</v>
      </c>
      <c r="M2950">
        <v>-15</v>
      </c>
      <c r="N2950">
        <v>0</v>
      </c>
      <c r="O2950" t="s">
        <v>7</v>
      </c>
      <c r="P2950">
        <v>0</v>
      </c>
      <c r="Q2950">
        <v>1</v>
      </c>
      <c r="R2950">
        <v>0</v>
      </c>
      <c r="S2950">
        <v>0</v>
      </c>
      <c r="T2950">
        <v>1</v>
      </c>
      <c r="U2950">
        <v>0</v>
      </c>
      <c r="V2950">
        <v>1</v>
      </c>
      <c r="W2950">
        <v>1</v>
      </c>
      <c r="X2950">
        <v>1</v>
      </c>
      <c r="Y2950">
        <v>1</v>
      </c>
      <c r="Z2950">
        <v>0</v>
      </c>
      <c r="AA2950" t="s">
        <v>2845</v>
      </c>
      <c r="AB2950" t="s">
        <v>1362</v>
      </c>
      <c r="AC2950" t="s">
        <v>2845</v>
      </c>
      <c r="AD2950" t="e">
        <f>VLOOKUP(AB2950,#REF!,2,FALSE)</f>
        <v>#REF!</v>
      </c>
      <c r="AE2950" t="e">
        <f>RIGHT(#REF!,(FIND("Complex",#REF!,1)-8))</f>
        <v>#REF!</v>
      </c>
    </row>
    <row r="2951" spans="1:31" x14ac:dyDescent="0.25">
      <c r="A2951">
        <v>273</v>
      </c>
      <c r="B2951" t="s">
        <v>27</v>
      </c>
      <c r="C2951">
        <v>52</v>
      </c>
      <c r="D2951">
        <v>117</v>
      </c>
      <c r="E2951">
        <v>273</v>
      </c>
      <c r="F2951">
        <v>14729401</v>
      </c>
      <c r="G2951">
        <v>14817600</v>
      </c>
      <c r="H2951">
        <f t="shared" si="92"/>
        <v>334.00002267573694</v>
      </c>
      <c r="I2951">
        <f t="shared" si="93"/>
        <v>336</v>
      </c>
      <c r="J2951" t="s">
        <v>25</v>
      </c>
      <c r="K2951">
        <v>6</v>
      </c>
      <c r="L2951" t="e">
        <f t="array" ref="L2951">VLOOKUP(J2951:$J$3871&amp;K2951:$K$3871,CHOOSE({1,2},#REF!&amp;#REF!,#REF!),2,0)</f>
        <v>#N/A</v>
      </c>
      <c r="M2951">
        <v>-15</v>
      </c>
      <c r="N2951">
        <v>0</v>
      </c>
      <c r="O2951" t="s">
        <v>7</v>
      </c>
      <c r="P2951">
        <v>0</v>
      </c>
      <c r="Q2951">
        <v>1</v>
      </c>
      <c r="R2951">
        <v>0</v>
      </c>
      <c r="S2951">
        <v>0</v>
      </c>
      <c r="T2951">
        <v>0</v>
      </c>
      <c r="U2951">
        <v>0</v>
      </c>
      <c r="V2951">
        <v>1</v>
      </c>
      <c r="W2951">
        <v>1</v>
      </c>
      <c r="X2951">
        <v>1</v>
      </c>
      <c r="Y2951">
        <v>1</v>
      </c>
      <c r="Z2951">
        <v>1</v>
      </c>
      <c r="AA2951" t="s">
        <v>2857</v>
      </c>
      <c r="AB2951" t="s">
        <v>6206</v>
      </c>
      <c r="AC2951" t="s">
        <v>2857</v>
      </c>
      <c r="AD2951" t="e">
        <f>VLOOKUP(AB2951,#REF!,2,FALSE)</f>
        <v>#REF!</v>
      </c>
      <c r="AE2951" t="e">
        <f>RIGHT(#REF!,(FIND("Complex",#REF!,1)-6))</f>
        <v>#REF!</v>
      </c>
    </row>
    <row r="2952" spans="1:31" x14ac:dyDescent="0.25">
      <c r="A2952">
        <v>3733</v>
      </c>
      <c r="B2952" t="s">
        <v>27</v>
      </c>
      <c r="C2952">
        <v>52</v>
      </c>
      <c r="D2952">
        <v>1186</v>
      </c>
      <c r="E2952">
        <v>3733</v>
      </c>
      <c r="F2952">
        <v>14641201</v>
      </c>
      <c r="G2952">
        <v>14729400</v>
      </c>
      <c r="H2952">
        <f t="shared" si="92"/>
        <v>332.00002267573694</v>
      </c>
      <c r="I2952">
        <f t="shared" si="93"/>
        <v>334</v>
      </c>
      <c r="J2952" t="s">
        <v>25</v>
      </c>
      <c r="K2952">
        <v>6</v>
      </c>
      <c r="L2952" t="e">
        <f t="array" ref="L2952">VLOOKUP(J2952:$J$3871&amp;K2952:$K$3871,CHOOSE({1,2},#REF!&amp;#REF!,#REF!),2,0)</f>
        <v>#N/A</v>
      </c>
      <c r="M2952">
        <v>-15</v>
      </c>
      <c r="N2952">
        <v>0</v>
      </c>
      <c r="O2952" t="s">
        <v>7</v>
      </c>
      <c r="P2952">
        <v>0</v>
      </c>
      <c r="Q2952">
        <v>1</v>
      </c>
      <c r="R2952">
        <v>0</v>
      </c>
      <c r="S2952">
        <v>0</v>
      </c>
      <c r="T2952">
        <v>0</v>
      </c>
      <c r="U2952">
        <v>0</v>
      </c>
      <c r="V2952">
        <v>1</v>
      </c>
      <c r="W2952">
        <v>1</v>
      </c>
      <c r="X2952">
        <v>1</v>
      </c>
      <c r="Y2952">
        <v>1</v>
      </c>
      <c r="Z2952">
        <v>1</v>
      </c>
      <c r="AA2952" t="s">
        <v>2858</v>
      </c>
      <c r="AB2952" t="s">
        <v>6207</v>
      </c>
      <c r="AC2952" t="s">
        <v>2858</v>
      </c>
      <c r="AD2952" t="e">
        <f>VLOOKUP(AB2952,#REF!,2,FALSE)</f>
        <v>#REF!</v>
      </c>
      <c r="AE2952" t="e">
        <f>RIGHT(#REF!,(FIND("Complex",#REF!,1)-8))</f>
        <v>#REF!</v>
      </c>
    </row>
    <row r="2953" spans="1:31" x14ac:dyDescent="0.25">
      <c r="A2953">
        <v>972</v>
      </c>
      <c r="B2953" t="s">
        <v>27</v>
      </c>
      <c r="C2953">
        <v>52</v>
      </c>
      <c r="D2953">
        <v>428</v>
      </c>
      <c r="E2953">
        <v>972</v>
      </c>
      <c r="F2953">
        <v>14553001</v>
      </c>
      <c r="G2953">
        <v>14641200</v>
      </c>
      <c r="H2953">
        <f t="shared" si="92"/>
        <v>330.00002267573694</v>
      </c>
      <c r="I2953">
        <f t="shared" si="93"/>
        <v>332</v>
      </c>
      <c r="J2953" t="s">
        <v>25</v>
      </c>
      <c r="K2953">
        <v>6</v>
      </c>
      <c r="L2953" t="e">
        <f t="array" ref="L2953">VLOOKUP(J2953:$J$3871&amp;K2953:$K$3871,CHOOSE({1,2},#REF!&amp;#REF!,#REF!),2,0)</f>
        <v>#N/A</v>
      </c>
      <c r="M2953">
        <v>-15</v>
      </c>
      <c r="N2953">
        <v>0</v>
      </c>
      <c r="O2953" t="s">
        <v>7</v>
      </c>
      <c r="P2953">
        <v>0</v>
      </c>
      <c r="Q2953">
        <v>0</v>
      </c>
      <c r="R2953">
        <v>0</v>
      </c>
      <c r="S2953">
        <v>0</v>
      </c>
      <c r="T2953">
        <v>1</v>
      </c>
      <c r="U2953">
        <v>0</v>
      </c>
      <c r="V2953">
        <v>1</v>
      </c>
      <c r="W2953">
        <v>1</v>
      </c>
      <c r="X2953">
        <v>1</v>
      </c>
      <c r="Y2953">
        <v>1</v>
      </c>
      <c r="Z2953">
        <v>1</v>
      </c>
      <c r="AA2953" t="s">
        <v>2859</v>
      </c>
      <c r="AB2953" t="s">
        <v>1363</v>
      </c>
      <c r="AC2953" t="s">
        <v>2859</v>
      </c>
      <c r="AD2953" t="e">
        <f>VLOOKUP(AB2953,#REF!,2,FALSE)</f>
        <v>#REF!</v>
      </c>
      <c r="AE2953" t="e">
        <f>RIGHT(#REF!,(FIND("Complex",#REF!,1)-6))</f>
        <v>#REF!</v>
      </c>
    </row>
    <row r="2954" spans="1:31" x14ac:dyDescent="0.25">
      <c r="A2954">
        <v>1863</v>
      </c>
      <c r="B2954" t="s">
        <v>27</v>
      </c>
      <c r="C2954">
        <v>52</v>
      </c>
      <c r="D2954">
        <v>813</v>
      </c>
      <c r="E2954">
        <v>1863</v>
      </c>
      <c r="F2954">
        <v>14464801</v>
      </c>
      <c r="G2954">
        <v>14553000</v>
      </c>
      <c r="H2954">
        <f t="shared" si="92"/>
        <v>328.00002267573694</v>
      </c>
      <c r="I2954">
        <f t="shared" si="93"/>
        <v>330</v>
      </c>
      <c r="J2954" t="s">
        <v>25</v>
      </c>
      <c r="K2954">
        <v>6</v>
      </c>
      <c r="L2954" t="e">
        <f t="array" ref="L2954">VLOOKUP(J2954:$J$3871&amp;K2954:$K$3871,CHOOSE({1,2},#REF!&amp;#REF!,#REF!),2,0)</f>
        <v>#N/A</v>
      </c>
      <c r="M2954">
        <v>-15</v>
      </c>
      <c r="N2954">
        <v>0</v>
      </c>
      <c r="O2954" t="s">
        <v>7</v>
      </c>
      <c r="P2954">
        <v>0</v>
      </c>
      <c r="Q2954">
        <v>0</v>
      </c>
      <c r="R2954">
        <v>0</v>
      </c>
      <c r="S2954">
        <v>0</v>
      </c>
      <c r="T2954">
        <v>1</v>
      </c>
      <c r="U2954">
        <v>0</v>
      </c>
      <c r="V2954">
        <v>1</v>
      </c>
      <c r="W2954">
        <v>1</v>
      </c>
      <c r="X2954">
        <v>1</v>
      </c>
      <c r="Y2954">
        <v>1</v>
      </c>
      <c r="Z2954">
        <v>1</v>
      </c>
      <c r="AA2954" t="s">
        <v>2861</v>
      </c>
      <c r="AB2954" t="s">
        <v>6208</v>
      </c>
      <c r="AC2954" t="s">
        <v>2861</v>
      </c>
      <c r="AD2954" t="e">
        <f>VLOOKUP(AB2954,#REF!,2,FALSE)</f>
        <v>#REF!</v>
      </c>
      <c r="AE2954" t="e">
        <f>RIGHT(#REF!,(FIND("Complex",#REF!,1)-7))</f>
        <v>#REF!</v>
      </c>
    </row>
    <row r="2955" spans="1:31" x14ac:dyDescent="0.25">
      <c r="A2955">
        <v>3711</v>
      </c>
      <c r="B2955" t="s">
        <v>27</v>
      </c>
      <c r="C2955">
        <v>52</v>
      </c>
      <c r="D2955">
        <v>1181</v>
      </c>
      <c r="E2955">
        <v>3711</v>
      </c>
      <c r="F2955">
        <v>14376601</v>
      </c>
      <c r="G2955">
        <v>14464800</v>
      </c>
      <c r="H2955">
        <f t="shared" si="92"/>
        <v>326.00002267573694</v>
      </c>
      <c r="I2955">
        <f t="shared" si="93"/>
        <v>328</v>
      </c>
      <c r="J2955" t="s">
        <v>25</v>
      </c>
      <c r="K2955">
        <v>6</v>
      </c>
      <c r="L2955" t="e">
        <f t="array" ref="L2955">VLOOKUP(J2955:$J$3871&amp;K2955:$K$3871,CHOOSE({1,2},#REF!&amp;#REF!,#REF!),2,0)</f>
        <v>#N/A</v>
      </c>
      <c r="M2955">
        <v>-15</v>
      </c>
      <c r="N2955">
        <v>0</v>
      </c>
      <c r="O2955" t="s">
        <v>7</v>
      </c>
      <c r="P2955">
        <v>0</v>
      </c>
      <c r="Q2955">
        <v>0</v>
      </c>
      <c r="R2955">
        <v>0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1</v>
      </c>
      <c r="Y2955">
        <v>1</v>
      </c>
      <c r="Z2955">
        <v>1</v>
      </c>
      <c r="AA2955" t="s">
        <v>2862</v>
      </c>
      <c r="AB2955" t="s">
        <v>6209</v>
      </c>
      <c r="AC2955" t="s">
        <v>2862</v>
      </c>
      <c r="AD2955" t="e">
        <f>VLOOKUP(AB2955,#REF!,2,FALSE)</f>
        <v>#REF!</v>
      </c>
      <c r="AE2955" t="e">
        <f>RIGHT(#REF!,(FIND("Complex",#REF!,1)-8))</f>
        <v>#REF!</v>
      </c>
    </row>
    <row r="2956" spans="1:31" x14ac:dyDescent="0.25">
      <c r="A2956">
        <v>2739</v>
      </c>
      <c r="B2956" t="s">
        <v>27</v>
      </c>
      <c r="C2956">
        <v>52</v>
      </c>
      <c r="D2956">
        <v>975</v>
      </c>
      <c r="E2956">
        <v>2739</v>
      </c>
      <c r="F2956">
        <v>14112001</v>
      </c>
      <c r="G2956">
        <v>14200200</v>
      </c>
      <c r="H2956">
        <f t="shared" si="92"/>
        <v>320.00002267573694</v>
      </c>
      <c r="I2956">
        <f t="shared" si="93"/>
        <v>322</v>
      </c>
      <c r="J2956" t="s">
        <v>25</v>
      </c>
      <c r="K2956">
        <v>6</v>
      </c>
      <c r="L2956" t="e">
        <f t="array" ref="L2956">VLOOKUP(J2956:$J$3871&amp;K2956:$K$3871,CHOOSE({1,2},#REF!&amp;#REF!,#REF!),2,0)</f>
        <v>#N/A</v>
      </c>
      <c r="M2956">
        <v>-15</v>
      </c>
      <c r="N2956">
        <v>0</v>
      </c>
      <c r="O2956" t="s">
        <v>7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0</v>
      </c>
      <c r="V2956">
        <v>1</v>
      </c>
      <c r="W2956">
        <v>1</v>
      </c>
      <c r="X2956">
        <v>1</v>
      </c>
      <c r="Y2956">
        <v>1</v>
      </c>
      <c r="Z2956">
        <v>1</v>
      </c>
      <c r="AA2956" t="s">
        <v>2865</v>
      </c>
      <c r="AB2956" t="s">
        <v>1364</v>
      </c>
      <c r="AC2956" t="s">
        <v>2865</v>
      </c>
      <c r="AD2956" t="e">
        <f>VLOOKUP(AB2956,#REF!,2,FALSE)</f>
        <v>#REF!</v>
      </c>
      <c r="AE2956" t="e">
        <f>RIGHT(#REF!,(FIND("Complex",#REF!,1)-7))</f>
        <v>#REF!</v>
      </c>
    </row>
    <row r="2957" spans="1:31" x14ac:dyDescent="0.25">
      <c r="A2957">
        <v>3120</v>
      </c>
      <c r="B2957" t="s">
        <v>27</v>
      </c>
      <c r="C2957">
        <v>52</v>
      </c>
      <c r="D2957">
        <v>1044</v>
      </c>
      <c r="E2957">
        <v>3120</v>
      </c>
      <c r="F2957">
        <v>13847401</v>
      </c>
      <c r="G2957">
        <v>13935600</v>
      </c>
      <c r="H2957">
        <f t="shared" si="92"/>
        <v>314.00002267573694</v>
      </c>
      <c r="I2957">
        <f t="shared" si="93"/>
        <v>316</v>
      </c>
      <c r="J2957" t="s">
        <v>25</v>
      </c>
      <c r="K2957">
        <v>6</v>
      </c>
      <c r="L2957" t="e">
        <f t="array" ref="L2957">VLOOKUP(J2957:$J$3871&amp;K2957:$K$3871,CHOOSE({1,2},#REF!&amp;#REF!,#REF!),2,0)</f>
        <v>#N/A</v>
      </c>
      <c r="M2957">
        <v>-15</v>
      </c>
      <c r="N2957">
        <v>0</v>
      </c>
      <c r="O2957" t="s">
        <v>7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0</v>
      </c>
      <c r="V2957">
        <v>1</v>
      </c>
      <c r="W2957">
        <v>1</v>
      </c>
      <c r="X2957">
        <v>1</v>
      </c>
      <c r="Y2957">
        <v>1</v>
      </c>
      <c r="Z2957">
        <v>1</v>
      </c>
      <c r="AA2957" t="s">
        <v>2875</v>
      </c>
      <c r="AB2957" t="s">
        <v>1365</v>
      </c>
      <c r="AC2957" t="s">
        <v>2875</v>
      </c>
      <c r="AD2957" t="e">
        <f>VLOOKUP(AB2957,#REF!,2,FALSE)</f>
        <v>#REF!</v>
      </c>
      <c r="AE2957" t="e">
        <f>RIGHT(#REF!,(FIND("Complex",#REF!,1)-8))</f>
        <v>#REF!</v>
      </c>
    </row>
    <row r="2958" spans="1:31" x14ac:dyDescent="0.25">
      <c r="A2958">
        <v>2051</v>
      </c>
      <c r="B2958" t="s">
        <v>34</v>
      </c>
      <c r="C2958">
        <v>53</v>
      </c>
      <c r="D2958">
        <v>874</v>
      </c>
      <c r="E2958">
        <v>2051</v>
      </c>
      <c r="F2958">
        <v>4321801</v>
      </c>
      <c r="G2958">
        <v>4410000</v>
      </c>
      <c r="H2958">
        <f t="shared" si="92"/>
        <v>98.000022675736957</v>
      </c>
      <c r="I2958">
        <f t="shared" si="93"/>
        <v>100</v>
      </c>
      <c r="J2958" t="s">
        <v>25</v>
      </c>
      <c r="K2958">
        <v>6</v>
      </c>
      <c r="L2958" t="e">
        <f t="array" ref="L2958">VLOOKUP(J2958:$J$3871&amp;K2958:$K$3871,CHOOSE({1,2},#REF!&amp;#REF!,#REF!),2,0)</f>
        <v>#N/A</v>
      </c>
      <c r="M2958">
        <v>-15</v>
      </c>
      <c r="N2958">
        <v>0</v>
      </c>
      <c r="O2958" t="s">
        <v>7</v>
      </c>
      <c r="P2958">
        <v>1</v>
      </c>
      <c r="Q2958">
        <v>0</v>
      </c>
      <c r="R2958">
        <v>1</v>
      </c>
      <c r="S2958">
        <v>0</v>
      </c>
      <c r="T2958">
        <v>0</v>
      </c>
      <c r="U2958">
        <v>1</v>
      </c>
      <c r="V2958">
        <v>1</v>
      </c>
      <c r="W2958">
        <v>1</v>
      </c>
      <c r="X2958">
        <v>1</v>
      </c>
      <c r="Y2958">
        <v>0</v>
      </c>
      <c r="Z2958">
        <v>0</v>
      </c>
      <c r="AA2958" t="s">
        <v>2617</v>
      </c>
      <c r="AB2958" t="s">
        <v>1381</v>
      </c>
      <c r="AC2958" t="s">
        <v>2617</v>
      </c>
      <c r="AD2958" t="e">
        <f>VLOOKUP(AB2958,#REF!,2,FALSE)</f>
        <v>#REF!</v>
      </c>
      <c r="AE2958" t="e">
        <f>RIGHT(#REF!,(FIND("Complex",#REF!,1)-8))</f>
        <v>#REF!</v>
      </c>
    </row>
    <row r="2959" spans="1:31" x14ac:dyDescent="0.25">
      <c r="A2959">
        <v>2288</v>
      </c>
      <c r="B2959" t="s">
        <v>34</v>
      </c>
      <c r="C2959">
        <v>53</v>
      </c>
      <c r="D2959">
        <v>937</v>
      </c>
      <c r="E2959">
        <v>2288</v>
      </c>
      <c r="F2959">
        <v>4233601</v>
      </c>
      <c r="G2959">
        <v>4321800</v>
      </c>
      <c r="H2959">
        <f t="shared" si="92"/>
        <v>96.000022675736957</v>
      </c>
      <c r="I2959">
        <f t="shared" si="93"/>
        <v>98</v>
      </c>
      <c r="J2959" t="s">
        <v>25</v>
      </c>
      <c r="K2959">
        <v>6</v>
      </c>
      <c r="L2959" t="e">
        <f t="array" ref="L2959">VLOOKUP(J2959:$J$3871&amp;K2959:$K$3871,CHOOSE({1,2},#REF!&amp;#REF!,#REF!),2,0)</f>
        <v>#N/A</v>
      </c>
      <c r="M2959">
        <v>-15</v>
      </c>
      <c r="N2959">
        <v>0</v>
      </c>
      <c r="O2959" t="s">
        <v>7</v>
      </c>
      <c r="P2959">
        <v>1</v>
      </c>
      <c r="Q2959">
        <v>0</v>
      </c>
      <c r="R2959">
        <v>1</v>
      </c>
      <c r="S2959">
        <v>0</v>
      </c>
      <c r="T2959">
        <v>0</v>
      </c>
      <c r="U2959">
        <v>1</v>
      </c>
      <c r="V2959">
        <v>1</v>
      </c>
      <c r="W2959">
        <v>1</v>
      </c>
      <c r="X2959">
        <v>1</v>
      </c>
      <c r="Y2959">
        <v>0</v>
      </c>
      <c r="Z2959">
        <v>0</v>
      </c>
      <c r="AA2959" t="s">
        <v>2626</v>
      </c>
      <c r="AB2959" t="s">
        <v>1382</v>
      </c>
      <c r="AC2959" t="s">
        <v>2626</v>
      </c>
      <c r="AD2959" t="e">
        <f>VLOOKUP(AB2959,#REF!,2,FALSE)</f>
        <v>#REF!</v>
      </c>
      <c r="AE2959" t="e">
        <f>RIGHT(#REF!,(FIND("Complex",#REF!,1)-8))</f>
        <v>#REF!</v>
      </c>
    </row>
    <row r="2960" spans="1:31" x14ac:dyDescent="0.25">
      <c r="A2960">
        <v>2332</v>
      </c>
      <c r="B2960" t="s">
        <v>34</v>
      </c>
      <c r="C2960">
        <v>53</v>
      </c>
      <c r="D2960">
        <v>945</v>
      </c>
      <c r="E2960">
        <v>2332</v>
      </c>
      <c r="F2960">
        <v>4057201</v>
      </c>
      <c r="G2960">
        <v>4145400</v>
      </c>
      <c r="H2960">
        <f t="shared" si="92"/>
        <v>92.000022675736957</v>
      </c>
      <c r="I2960">
        <f t="shared" si="93"/>
        <v>94</v>
      </c>
      <c r="J2960" t="s">
        <v>25</v>
      </c>
      <c r="K2960">
        <v>6</v>
      </c>
      <c r="L2960" t="e">
        <f t="array" ref="L2960">VLOOKUP(J2960:$J$3871&amp;K2960:$K$3871,CHOOSE({1,2},#REF!&amp;#REF!,#REF!),2,0)</f>
        <v>#N/A</v>
      </c>
      <c r="M2960">
        <v>-15</v>
      </c>
      <c r="N2960">
        <v>0</v>
      </c>
      <c r="O2960" t="s">
        <v>7</v>
      </c>
      <c r="P2960">
        <v>1</v>
      </c>
      <c r="Q2960">
        <v>0</v>
      </c>
      <c r="R2960">
        <v>1</v>
      </c>
      <c r="S2960">
        <v>0</v>
      </c>
      <c r="T2960">
        <v>0</v>
      </c>
      <c r="U2960">
        <v>1</v>
      </c>
      <c r="V2960">
        <v>1</v>
      </c>
      <c r="W2960">
        <v>1</v>
      </c>
      <c r="X2960">
        <v>1</v>
      </c>
      <c r="Y2960">
        <v>0</v>
      </c>
      <c r="Z2960">
        <v>0</v>
      </c>
      <c r="AA2960" t="s">
        <v>2645</v>
      </c>
      <c r="AB2960" t="s">
        <v>1383</v>
      </c>
      <c r="AC2960" t="s">
        <v>2645</v>
      </c>
      <c r="AD2960" t="e">
        <f>VLOOKUP(AB2960,#REF!,2,FALSE)</f>
        <v>#REF!</v>
      </c>
      <c r="AE2960" t="e">
        <f>RIGHT(#REF!,(FIND("Complex",#REF!,1)-8))</f>
        <v>#REF!</v>
      </c>
    </row>
    <row r="2961" spans="1:31" x14ac:dyDescent="0.25">
      <c r="A2961">
        <v>1283</v>
      </c>
      <c r="B2961" t="s">
        <v>34</v>
      </c>
      <c r="C2961">
        <v>53</v>
      </c>
      <c r="D2961">
        <v>558</v>
      </c>
      <c r="E2961">
        <v>1283</v>
      </c>
      <c r="F2961">
        <v>3528001</v>
      </c>
      <c r="G2961">
        <v>3616200</v>
      </c>
      <c r="H2961">
        <f t="shared" si="92"/>
        <v>80.000022675736957</v>
      </c>
      <c r="I2961">
        <f t="shared" si="93"/>
        <v>82</v>
      </c>
      <c r="J2961" t="s">
        <v>25</v>
      </c>
      <c r="K2961">
        <v>6</v>
      </c>
      <c r="L2961" t="e">
        <f t="array" ref="L2961">VLOOKUP(J2961:$J$3871&amp;K2961:$K$3871,CHOOSE({1,2},#REF!&amp;#REF!,#REF!),2,0)</f>
        <v>#N/A</v>
      </c>
      <c r="M2961">
        <v>-15</v>
      </c>
      <c r="N2961">
        <v>0</v>
      </c>
      <c r="O2961" t="s">
        <v>7</v>
      </c>
      <c r="P2961">
        <v>1</v>
      </c>
      <c r="Q2961">
        <v>0</v>
      </c>
      <c r="R2961">
        <v>1</v>
      </c>
      <c r="S2961">
        <v>0</v>
      </c>
      <c r="T2961">
        <v>0</v>
      </c>
      <c r="U2961">
        <v>1</v>
      </c>
      <c r="V2961">
        <v>1</v>
      </c>
      <c r="W2961">
        <v>1</v>
      </c>
      <c r="X2961">
        <v>1</v>
      </c>
      <c r="Y2961">
        <v>0</v>
      </c>
      <c r="Z2961">
        <v>0</v>
      </c>
      <c r="AA2961" t="s">
        <v>2698</v>
      </c>
      <c r="AB2961" t="s">
        <v>1384</v>
      </c>
      <c r="AC2961" t="s">
        <v>2698</v>
      </c>
      <c r="AD2961" t="e">
        <f>VLOOKUP(AB2961,#REF!,2,FALSE)</f>
        <v>#REF!</v>
      </c>
      <c r="AE2961" t="e">
        <f>RIGHT(#REF!,(FIND("Complex",#REF!,1)-8))</f>
        <v>#REF!</v>
      </c>
    </row>
    <row r="2962" spans="1:31" x14ac:dyDescent="0.25">
      <c r="A2962">
        <v>1770</v>
      </c>
      <c r="B2962" t="s">
        <v>34</v>
      </c>
      <c r="C2962">
        <v>53</v>
      </c>
      <c r="D2962">
        <v>770</v>
      </c>
      <c r="E2962">
        <v>1770</v>
      </c>
      <c r="F2962">
        <v>3263401</v>
      </c>
      <c r="G2962">
        <v>3351600</v>
      </c>
      <c r="H2962">
        <f t="shared" si="92"/>
        <v>74.000022675736957</v>
      </c>
      <c r="I2962">
        <f t="shared" si="93"/>
        <v>76</v>
      </c>
      <c r="J2962" t="s">
        <v>25</v>
      </c>
      <c r="K2962">
        <v>6</v>
      </c>
      <c r="L2962" t="e">
        <f t="array" ref="L2962">VLOOKUP(J2962:$J$3871&amp;K2962:$K$3871,CHOOSE({1,2},#REF!&amp;#REF!,#REF!),2,0)</f>
        <v>#N/A</v>
      </c>
      <c r="M2962">
        <v>-15</v>
      </c>
      <c r="N2962">
        <v>0</v>
      </c>
      <c r="O2962" t="s">
        <v>7</v>
      </c>
      <c r="P2962">
        <v>1</v>
      </c>
      <c r="Q2962">
        <v>0</v>
      </c>
      <c r="R2962">
        <v>1</v>
      </c>
      <c r="S2962">
        <v>0</v>
      </c>
      <c r="T2962">
        <v>0</v>
      </c>
      <c r="U2962">
        <v>1</v>
      </c>
      <c r="V2962">
        <v>1</v>
      </c>
      <c r="W2962">
        <v>1</v>
      </c>
      <c r="X2962">
        <v>1</v>
      </c>
      <c r="Y2962">
        <v>0</v>
      </c>
      <c r="Z2962">
        <v>0</v>
      </c>
      <c r="AA2962" t="s">
        <v>2724</v>
      </c>
      <c r="AB2962" t="s">
        <v>146</v>
      </c>
      <c r="AC2962" t="s">
        <v>2724</v>
      </c>
      <c r="AD2962" t="e">
        <f>VLOOKUP(AB2962,#REF!,2,FALSE)</f>
        <v>#REF!</v>
      </c>
      <c r="AE2962" t="e">
        <f>RIGHT(#REF!,(FIND("Complex",#REF!,1)-8))</f>
        <v>#REF!</v>
      </c>
    </row>
    <row r="2963" spans="1:31" x14ac:dyDescent="0.25">
      <c r="A2963">
        <v>794</v>
      </c>
      <c r="B2963" t="s">
        <v>34</v>
      </c>
      <c r="C2963">
        <v>53</v>
      </c>
      <c r="D2963">
        <v>356</v>
      </c>
      <c r="E2963">
        <v>794</v>
      </c>
      <c r="F2963">
        <v>4410001</v>
      </c>
      <c r="G2963">
        <v>4498200</v>
      </c>
      <c r="H2963">
        <f t="shared" si="92"/>
        <v>100.00002267573696</v>
      </c>
      <c r="I2963">
        <f t="shared" si="93"/>
        <v>102</v>
      </c>
      <c r="J2963" t="s">
        <v>25</v>
      </c>
      <c r="K2963">
        <v>6</v>
      </c>
      <c r="L2963" t="e">
        <f t="array" ref="L2963">VLOOKUP(J2963:$J$3871&amp;K2963:$K$3871,CHOOSE({1,2},#REF!&amp;#REF!,#REF!),2,0)</f>
        <v>#N/A</v>
      </c>
      <c r="M2963">
        <v>-15</v>
      </c>
      <c r="N2963">
        <v>0</v>
      </c>
      <c r="O2963" t="s">
        <v>7</v>
      </c>
      <c r="P2963">
        <v>1</v>
      </c>
      <c r="Q2963">
        <v>0</v>
      </c>
      <c r="R2963">
        <v>1</v>
      </c>
      <c r="S2963">
        <v>0</v>
      </c>
      <c r="T2963">
        <v>0</v>
      </c>
      <c r="U2963">
        <v>1</v>
      </c>
      <c r="V2963">
        <v>1</v>
      </c>
      <c r="W2963">
        <v>1</v>
      </c>
      <c r="X2963">
        <v>1</v>
      </c>
      <c r="Y2963">
        <v>0</v>
      </c>
      <c r="Z2963">
        <v>0</v>
      </c>
      <c r="AA2963" t="s">
        <v>3491</v>
      </c>
      <c r="AB2963" t="s">
        <v>1385</v>
      </c>
      <c r="AC2963" t="s">
        <v>3491</v>
      </c>
      <c r="AD2963" t="e">
        <f>VLOOKUP(AB2963,#REF!,2,FALSE)</f>
        <v>#REF!</v>
      </c>
      <c r="AE2963" t="e">
        <f>RIGHT(#REF!,(FIND("Complex",#REF!,1)-6))</f>
        <v>#REF!</v>
      </c>
    </row>
    <row r="2964" spans="1:31" x14ac:dyDescent="0.25">
      <c r="A2964">
        <v>1247</v>
      </c>
      <c r="B2964" t="s">
        <v>31</v>
      </c>
      <c r="C2964">
        <v>83</v>
      </c>
      <c r="D2964">
        <v>546</v>
      </c>
      <c r="E2964">
        <v>1247</v>
      </c>
      <c r="F2964">
        <v>6967801</v>
      </c>
      <c r="G2964">
        <v>7056000</v>
      </c>
      <c r="H2964">
        <f t="shared" si="92"/>
        <v>158.00002267573697</v>
      </c>
      <c r="I2964">
        <f t="shared" si="93"/>
        <v>160</v>
      </c>
      <c r="J2964" t="s">
        <v>25</v>
      </c>
      <c r="K2964">
        <v>6</v>
      </c>
      <c r="L2964" t="e">
        <f t="array" ref="L2964">VLOOKUP(J2964:$J$3871&amp;K2964:$K$3871,CHOOSE({1,2},#REF!&amp;#REF!,#REF!),2,0)</f>
        <v>#N/A</v>
      </c>
      <c r="M2964">
        <v>-15</v>
      </c>
      <c r="N2964">
        <v>0</v>
      </c>
      <c r="O2964" t="s">
        <v>7</v>
      </c>
      <c r="P2964">
        <v>0</v>
      </c>
      <c r="Q2964">
        <v>1</v>
      </c>
      <c r="R2964">
        <v>1</v>
      </c>
      <c r="S2964">
        <v>0</v>
      </c>
      <c r="T2964">
        <v>1</v>
      </c>
      <c r="U2964">
        <v>1</v>
      </c>
      <c r="V2964">
        <v>0</v>
      </c>
      <c r="W2964">
        <v>1</v>
      </c>
      <c r="X2964">
        <v>1</v>
      </c>
      <c r="Y2964">
        <v>0</v>
      </c>
      <c r="Z2964">
        <v>0</v>
      </c>
      <c r="AA2964" t="s">
        <v>3200</v>
      </c>
      <c r="AB2964" t="s">
        <v>1690</v>
      </c>
      <c r="AC2964" t="s">
        <v>3200</v>
      </c>
      <c r="AD2964" t="e">
        <f>VLOOKUP(AB2964,#REF!,2,FALSE)</f>
        <v>#REF!</v>
      </c>
      <c r="AE2964" t="e">
        <f>RIGHT(#REF!,(FIND("Complex",#REF!,1)-7))</f>
        <v>#REF!</v>
      </c>
    </row>
    <row r="2965" spans="1:31" x14ac:dyDescent="0.25">
      <c r="A2965">
        <v>2400</v>
      </c>
      <c r="B2965" t="s">
        <v>31</v>
      </c>
      <c r="C2965">
        <v>83</v>
      </c>
      <c r="D2965">
        <v>952</v>
      </c>
      <c r="E2965">
        <v>2400</v>
      </c>
      <c r="F2965">
        <v>6615001</v>
      </c>
      <c r="G2965">
        <v>6703200</v>
      </c>
      <c r="H2965">
        <f t="shared" si="92"/>
        <v>150.00002267573697</v>
      </c>
      <c r="I2965">
        <f t="shared" si="93"/>
        <v>152</v>
      </c>
      <c r="J2965" t="s">
        <v>25</v>
      </c>
      <c r="K2965">
        <v>6</v>
      </c>
      <c r="L2965" t="e">
        <f t="array" ref="L2965">VLOOKUP(J2965:$J$3871&amp;K2965:$K$3871,CHOOSE({1,2},#REF!&amp;#REF!,#REF!),2,0)</f>
        <v>#N/A</v>
      </c>
      <c r="M2965">
        <v>-15</v>
      </c>
      <c r="N2965">
        <v>0</v>
      </c>
      <c r="O2965" t="s">
        <v>7</v>
      </c>
      <c r="P2965">
        <v>0</v>
      </c>
      <c r="Q2965">
        <v>1</v>
      </c>
      <c r="R2965">
        <v>1</v>
      </c>
      <c r="S2965">
        <v>0</v>
      </c>
      <c r="T2965">
        <v>1</v>
      </c>
      <c r="U2965">
        <v>1</v>
      </c>
      <c r="V2965">
        <v>0</v>
      </c>
      <c r="W2965">
        <v>1</v>
      </c>
      <c r="X2965">
        <v>1</v>
      </c>
      <c r="Y2965">
        <v>0</v>
      </c>
      <c r="Z2965">
        <v>0</v>
      </c>
      <c r="AA2965" t="s">
        <v>3224</v>
      </c>
      <c r="AB2965" t="s">
        <v>1691</v>
      </c>
      <c r="AC2965" t="s">
        <v>3224</v>
      </c>
      <c r="AD2965" t="e">
        <f>VLOOKUP(AB2965,#REF!,2,FALSE)</f>
        <v>#REF!</v>
      </c>
      <c r="AE2965" t="e">
        <f>RIGHT(#REF!,(FIND("Complex",#REF!,1)-7))</f>
        <v>#REF!</v>
      </c>
    </row>
    <row r="2966" spans="1:31" x14ac:dyDescent="0.25">
      <c r="A2966">
        <v>345</v>
      </c>
      <c r="B2966" t="s">
        <v>31</v>
      </c>
      <c r="C2966">
        <v>83</v>
      </c>
      <c r="D2966">
        <v>146</v>
      </c>
      <c r="E2966">
        <v>345</v>
      </c>
      <c r="F2966">
        <v>6526801</v>
      </c>
      <c r="G2966">
        <v>6615000</v>
      </c>
      <c r="H2966">
        <f t="shared" si="92"/>
        <v>148.00002267573697</v>
      </c>
      <c r="I2966">
        <f t="shared" si="93"/>
        <v>150</v>
      </c>
      <c r="J2966" t="s">
        <v>25</v>
      </c>
      <c r="K2966">
        <v>6</v>
      </c>
      <c r="L2966" t="e">
        <f t="array" ref="L2966">VLOOKUP(J2966:$J$3871&amp;K2966:$K$3871,CHOOSE({1,2},#REF!&amp;#REF!,#REF!),2,0)</f>
        <v>#N/A</v>
      </c>
      <c r="M2966">
        <v>-15</v>
      </c>
      <c r="N2966">
        <v>0</v>
      </c>
      <c r="O2966" t="s">
        <v>7</v>
      </c>
      <c r="P2966">
        <v>0</v>
      </c>
      <c r="Q2966">
        <v>1</v>
      </c>
      <c r="R2966">
        <v>1</v>
      </c>
      <c r="S2966">
        <v>0</v>
      </c>
      <c r="T2966">
        <v>1</v>
      </c>
      <c r="U2966">
        <v>1</v>
      </c>
      <c r="V2966">
        <v>0</v>
      </c>
      <c r="W2966">
        <v>1</v>
      </c>
      <c r="X2966">
        <v>1</v>
      </c>
      <c r="Y2966">
        <v>0</v>
      </c>
      <c r="Z2966">
        <v>0</v>
      </c>
      <c r="AA2966" t="s">
        <v>3230</v>
      </c>
      <c r="AB2966" t="s">
        <v>1692</v>
      </c>
      <c r="AC2966" t="s">
        <v>3230</v>
      </c>
      <c r="AD2966" t="e">
        <f>VLOOKUP(AB2966,#REF!,2,FALSE)</f>
        <v>#REF!</v>
      </c>
      <c r="AE2966" t="e">
        <f>RIGHT(#REF!,(FIND("Complex",#REF!,1)-6))</f>
        <v>#REF!</v>
      </c>
    </row>
    <row r="2967" spans="1:31" x14ac:dyDescent="0.25">
      <c r="A2967">
        <v>877</v>
      </c>
      <c r="B2967" t="s">
        <v>31</v>
      </c>
      <c r="C2967">
        <v>83</v>
      </c>
      <c r="D2967">
        <v>388</v>
      </c>
      <c r="E2967">
        <v>877</v>
      </c>
      <c r="F2967">
        <v>6438601</v>
      </c>
      <c r="G2967">
        <v>6526800</v>
      </c>
      <c r="H2967">
        <f t="shared" si="92"/>
        <v>146.00002267573697</v>
      </c>
      <c r="I2967">
        <f t="shared" si="93"/>
        <v>148</v>
      </c>
      <c r="J2967" t="s">
        <v>25</v>
      </c>
      <c r="K2967">
        <v>6</v>
      </c>
      <c r="L2967" t="e">
        <f t="array" ref="L2967">VLOOKUP(J2967:$J$3871&amp;K2967:$K$3871,CHOOSE({1,2},#REF!&amp;#REF!,#REF!),2,0)</f>
        <v>#N/A</v>
      </c>
      <c r="M2967">
        <v>-15</v>
      </c>
      <c r="N2967">
        <v>0</v>
      </c>
      <c r="O2967" t="s">
        <v>7</v>
      </c>
      <c r="P2967">
        <v>0</v>
      </c>
      <c r="Q2967">
        <v>1</v>
      </c>
      <c r="R2967">
        <v>1</v>
      </c>
      <c r="S2967">
        <v>0</v>
      </c>
      <c r="T2967">
        <v>1</v>
      </c>
      <c r="U2967">
        <v>1</v>
      </c>
      <c r="V2967">
        <v>0</v>
      </c>
      <c r="W2967">
        <v>1</v>
      </c>
      <c r="X2967">
        <v>1</v>
      </c>
      <c r="Y2967">
        <v>0</v>
      </c>
      <c r="Z2967">
        <v>0</v>
      </c>
      <c r="AA2967" t="s">
        <v>3238</v>
      </c>
      <c r="AB2967" t="s">
        <v>1693</v>
      </c>
      <c r="AC2967" t="s">
        <v>3238</v>
      </c>
      <c r="AD2967" t="e">
        <f>VLOOKUP(AB2967,#REF!,2,FALSE)</f>
        <v>#REF!</v>
      </c>
      <c r="AE2967" t="e">
        <f>RIGHT(#REF!,(FIND("Complex",#REF!,1)-6))</f>
        <v>#REF!</v>
      </c>
    </row>
    <row r="2968" spans="1:31" x14ac:dyDescent="0.25">
      <c r="A2968">
        <v>3504</v>
      </c>
      <c r="B2968" t="s">
        <v>57</v>
      </c>
      <c r="C2968">
        <v>84</v>
      </c>
      <c r="D2968">
        <v>1118</v>
      </c>
      <c r="E2968">
        <v>3504</v>
      </c>
      <c r="F2968">
        <v>4145401</v>
      </c>
      <c r="G2968">
        <v>4233600</v>
      </c>
      <c r="H2968">
        <f t="shared" si="92"/>
        <v>94.000022675736957</v>
      </c>
      <c r="I2968">
        <f t="shared" si="93"/>
        <v>96</v>
      </c>
      <c r="J2968" t="s">
        <v>25</v>
      </c>
      <c r="K2968">
        <v>6</v>
      </c>
      <c r="L2968" t="e">
        <f t="array" ref="L2968">VLOOKUP(J2968:$J$3871&amp;K2968:$K$3871,CHOOSE({1,2},#REF!&amp;#REF!,#REF!),2,0)</f>
        <v>#N/A</v>
      </c>
      <c r="M2968">
        <v>-15</v>
      </c>
      <c r="N2968">
        <v>0</v>
      </c>
      <c r="O2968" t="s">
        <v>7</v>
      </c>
      <c r="P2968">
        <v>1</v>
      </c>
      <c r="Q2968">
        <v>0</v>
      </c>
      <c r="R2968">
        <v>0</v>
      </c>
      <c r="S2968">
        <v>0</v>
      </c>
      <c r="T2968">
        <v>1</v>
      </c>
      <c r="U2968">
        <v>1</v>
      </c>
      <c r="V2968">
        <v>0</v>
      </c>
      <c r="W2968">
        <v>1</v>
      </c>
      <c r="X2968">
        <v>1</v>
      </c>
      <c r="Y2968">
        <v>1</v>
      </c>
      <c r="Z2968">
        <v>0</v>
      </c>
      <c r="AA2968" t="s">
        <v>2632</v>
      </c>
      <c r="AB2968" t="s">
        <v>6153</v>
      </c>
      <c r="AC2968" t="s">
        <v>2632</v>
      </c>
      <c r="AD2968" t="e">
        <f>VLOOKUP(AB2968,#REF!,2,FALSE)</f>
        <v>#REF!</v>
      </c>
      <c r="AE2968" t="e">
        <f>RIGHT(#REF!,(FIND("Complex",#REF!,1)-9))</f>
        <v>#REF!</v>
      </c>
    </row>
    <row r="2969" spans="1:31" x14ac:dyDescent="0.25">
      <c r="A2969">
        <v>3006</v>
      </c>
      <c r="B2969" t="s">
        <v>57</v>
      </c>
      <c r="C2969">
        <v>84</v>
      </c>
      <c r="D2969">
        <v>1018</v>
      </c>
      <c r="E2969">
        <v>3006</v>
      </c>
      <c r="F2969">
        <v>3969001</v>
      </c>
      <c r="G2969">
        <v>4057200</v>
      </c>
      <c r="H2969">
        <f t="shared" si="92"/>
        <v>90.000022675736957</v>
      </c>
      <c r="I2969">
        <f t="shared" si="93"/>
        <v>92</v>
      </c>
      <c r="J2969" t="s">
        <v>25</v>
      </c>
      <c r="K2969">
        <v>6</v>
      </c>
      <c r="L2969" t="e">
        <f t="array" ref="L2969">VLOOKUP(J2969:$J$3871&amp;K2969:$K$3871,CHOOSE({1,2},#REF!&amp;#REF!,#REF!),2,0)</f>
        <v>#N/A</v>
      </c>
      <c r="M2969">
        <v>-15</v>
      </c>
      <c r="N2969">
        <v>0</v>
      </c>
      <c r="O2969" t="s">
        <v>7</v>
      </c>
      <c r="P2969">
        <v>1</v>
      </c>
      <c r="Q2969">
        <v>0</v>
      </c>
      <c r="R2969">
        <v>0</v>
      </c>
      <c r="S2969">
        <v>0</v>
      </c>
      <c r="T2969">
        <v>1</v>
      </c>
      <c r="U2969">
        <v>1</v>
      </c>
      <c r="V2969">
        <v>0</v>
      </c>
      <c r="W2969">
        <v>1</v>
      </c>
      <c r="X2969">
        <v>1</v>
      </c>
      <c r="Y2969">
        <v>1</v>
      </c>
      <c r="Z2969">
        <v>0</v>
      </c>
      <c r="AA2969" t="s">
        <v>2653</v>
      </c>
      <c r="AB2969" t="s">
        <v>1720</v>
      </c>
      <c r="AC2969" t="s">
        <v>2653</v>
      </c>
      <c r="AD2969" t="e">
        <f>VLOOKUP(AB2969,#REF!,2,FALSE)</f>
        <v>#REF!</v>
      </c>
      <c r="AE2969" t="e">
        <f>RIGHT(#REF!,(FIND("Complex",#REF!,1)-9))</f>
        <v>#REF!</v>
      </c>
    </row>
    <row r="2970" spans="1:31" x14ac:dyDescent="0.25">
      <c r="A2970">
        <v>2054</v>
      </c>
      <c r="B2970" t="s">
        <v>57</v>
      </c>
      <c r="C2970">
        <v>84</v>
      </c>
      <c r="D2970">
        <v>875</v>
      </c>
      <c r="E2970">
        <v>2054</v>
      </c>
      <c r="F2970">
        <v>3880801</v>
      </c>
      <c r="G2970">
        <v>3969000</v>
      </c>
      <c r="H2970">
        <f t="shared" si="92"/>
        <v>88.000022675736957</v>
      </c>
      <c r="I2970">
        <f t="shared" si="93"/>
        <v>90</v>
      </c>
      <c r="J2970" t="s">
        <v>25</v>
      </c>
      <c r="K2970">
        <v>6</v>
      </c>
      <c r="L2970" t="e">
        <f t="array" ref="L2970">VLOOKUP(J2970:$J$3871&amp;K2970:$K$3871,CHOOSE({1,2},#REF!&amp;#REF!,#REF!),2,0)</f>
        <v>#N/A</v>
      </c>
      <c r="M2970">
        <v>-15</v>
      </c>
      <c r="N2970">
        <v>0</v>
      </c>
      <c r="O2970" t="s">
        <v>7</v>
      </c>
      <c r="P2970">
        <v>1</v>
      </c>
      <c r="Q2970">
        <v>0</v>
      </c>
      <c r="R2970">
        <v>0</v>
      </c>
      <c r="S2970">
        <v>0</v>
      </c>
      <c r="T2970">
        <v>1</v>
      </c>
      <c r="U2970">
        <v>1</v>
      </c>
      <c r="V2970">
        <v>0</v>
      </c>
      <c r="W2970">
        <v>1</v>
      </c>
      <c r="X2970">
        <v>1</v>
      </c>
      <c r="Y2970">
        <v>1</v>
      </c>
      <c r="Z2970">
        <v>0</v>
      </c>
      <c r="AA2970" t="s">
        <v>2660</v>
      </c>
      <c r="AB2970" t="s">
        <v>1721</v>
      </c>
      <c r="AC2970" t="s">
        <v>2660</v>
      </c>
      <c r="AD2970" t="e">
        <f>VLOOKUP(AB2970,#REF!,2,FALSE)</f>
        <v>#REF!</v>
      </c>
      <c r="AE2970" t="e">
        <f>RIGHT(#REF!,(FIND("Complex",#REF!,1)-8))</f>
        <v>#REF!</v>
      </c>
    </row>
    <row r="2971" spans="1:31" x14ac:dyDescent="0.25">
      <c r="A2971">
        <v>3295</v>
      </c>
      <c r="B2971" t="s">
        <v>57</v>
      </c>
      <c r="C2971">
        <v>84</v>
      </c>
      <c r="D2971">
        <v>1071</v>
      </c>
      <c r="E2971">
        <v>3295</v>
      </c>
      <c r="F2971">
        <v>3528001</v>
      </c>
      <c r="G2971">
        <v>3616200</v>
      </c>
      <c r="H2971">
        <f t="shared" si="92"/>
        <v>80.000022675736957</v>
      </c>
      <c r="I2971">
        <f t="shared" si="93"/>
        <v>82</v>
      </c>
      <c r="J2971" t="s">
        <v>25</v>
      </c>
      <c r="K2971">
        <v>6</v>
      </c>
      <c r="L2971" t="e">
        <f t="array" ref="L2971">VLOOKUP(J2971:$J$3871&amp;K2971:$K$3871,CHOOSE({1,2},#REF!&amp;#REF!,#REF!),2,0)</f>
        <v>#N/A</v>
      </c>
      <c r="M2971">
        <v>-15</v>
      </c>
      <c r="N2971">
        <v>0</v>
      </c>
      <c r="O2971" t="s">
        <v>7</v>
      </c>
      <c r="P2971">
        <v>1</v>
      </c>
      <c r="Q2971">
        <v>0</v>
      </c>
      <c r="R2971">
        <v>0</v>
      </c>
      <c r="S2971">
        <v>0</v>
      </c>
      <c r="T2971">
        <v>1</v>
      </c>
      <c r="U2971">
        <v>1</v>
      </c>
      <c r="V2971">
        <v>0</v>
      </c>
      <c r="W2971">
        <v>1</v>
      </c>
      <c r="X2971">
        <v>1</v>
      </c>
      <c r="Y2971">
        <v>1</v>
      </c>
      <c r="Z2971">
        <v>0</v>
      </c>
      <c r="AA2971" t="s">
        <v>2695</v>
      </c>
      <c r="AB2971" t="s">
        <v>1722</v>
      </c>
      <c r="AC2971" t="s">
        <v>2695</v>
      </c>
      <c r="AD2971" t="e">
        <f>VLOOKUP(AB2971,#REF!,2,FALSE)</f>
        <v>#REF!</v>
      </c>
      <c r="AE2971" t="e">
        <f>RIGHT(#REF!,(FIND("Complex",#REF!,1)-9))</f>
        <v>#REF!</v>
      </c>
    </row>
    <row r="2972" spans="1:31" x14ac:dyDescent="0.25">
      <c r="A2972">
        <v>3609</v>
      </c>
      <c r="B2972" t="s">
        <v>57</v>
      </c>
      <c r="C2972">
        <v>84</v>
      </c>
      <c r="D2972">
        <v>1144</v>
      </c>
      <c r="E2972">
        <v>3609</v>
      </c>
      <c r="F2972">
        <v>3439801</v>
      </c>
      <c r="G2972">
        <v>3528000</v>
      </c>
      <c r="H2972">
        <f t="shared" si="92"/>
        <v>78.000022675736957</v>
      </c>
      <c r="I2972">
        <f t="shared" si="93"/>
        <v>80</v>
      </c>
      <c r="J2972" t="s">
        <v>25</v>
      </c>
      <c r="K2972">
        <v>6</v>
      </c>
      <c r="L2972" t="e">
        <f t="array" ref="L2972">VLOOKUP(J2972:$J$3871&amp;K2972:$K$3871,CHOOSE({1,2},#REF!&amp;#REF!,#REF!),2,0)</f>
        <v>#N/A</v>
      </c>
      <c r="M2972">
        <v>-15</v>
      </c>
      <c r="N2972">
        <v>0</v>
      </c>
      <c r="O2972" t="s">
        <v>7</v>
      </c>
      <c r="P2972">
        <v>1</v>
      </c>
      <c r="Q2972">
        <v>0</v>
      </c>
      <c r="R2972">
        <v>0</v>
      </c>
      <c r="S2972">
        <v>0</v>
      </c>
      <c r="T2972">
        <v>1</v>
      </c>
      <c r="U2972">
        <v>1</v>
      </c>
      <c r="V2972">
        <v>0</v>
      </c>
      <c r="W2972">
        <v>1</v>
      </c>
      <c r="X2972">
        <v>1</v>
      </c>
      <c r="Y2972">
        <v>1</v>
      </c>
      <c r="Z2972">
        <v>0</v>
      </c>
      <c r="AA2972" t="s">
        <v>2706</v>
      </c>
      <c r="AB2972" t="s">
        <v>1723</v>
      </c>
      <c r="AC2972" t="s">
        <v>2706</v>
      </c>
      <c r="AD2972" t="e">
        <f>VLOOKUP(AB2972,#REF!,2,FALSE)</f>
        <v>#REF!</v>
      </c>
      <c r="AE2972" t="e">
        <f>RIGHT(#REF!,(FIND("Complex",#REF!,1)-9))</f>
        <v>#REF!</v>
      </c>
    </row>
    <row r="2973" spans="1:31" x14ac:dyDescent="0.25">
      <c r="A2973">
        <v>1105</v>
      </c>
      <c r="B2973" t="s">
        <v>57</v>
      </c>
      <c r="C2973">
        <v>84</v>
      </c>
      <c r="D2973">
        <v>491</v>
      </c>
      <c r="E2973">
        <v>1105</v>
      </c>
      <c r="F2973">
        <v>3263401</v>
      </c>
      <c r="G2973">
        <v>3351600</v>
      </c>
      <c r="H2973">
        <f t="shared" si="92"/>
        <v>74.000022675736957</v>
      </c>
      <c r="I2973">
        <f t="shared" si="93"/>
        <v>76</v>
      </c>
      <c r="J2973" t="s">
        <v>25</v>
      </c>
      <c r="K2973">
        <v>6</v>
      </c>
      <c r="L2973" t="e">
        <f t="array" ref="L2973">VLOOKUP(J2973:$J$3871&amp;K2973:$K$3871,CHOOSE({1,2},#REF!&amp;#REF!,#REF!),2,0)</f>
        <v>#N/A</v>
      </c>
      <c r="M2973">
        <v>-15</v>
      </c>
      <c r="N2973">
        <v>0</v>
      </c>
      <c r="O2973" t="s">
        <v>7</v>
      </c>
      <c r="P2973">
        <v>1</v>
      </c>
      <c r="Q2973">
        <v>0</v>
      </c>
      <c r="R2973">
        <v>0</v>
      </c>
      <c r="S2973">
        <v>0</v>
      </c>
      <c r="T2973">
        <v>1</v>
      </c>
      <c r="U2973">
        <v>1</v>
      </c>
      <c r="V2973">
        <v>0</v>
      </c>
      <c r="W2973">
        <v>1</v>
      </c>
      <c r="X2973">
        <v>1</v>
      </c>
      <c r="Y2973">
        <v>1</v>
      </c>
      <c r="Z2973">
        <v>0</v>
      </c>
      <c r="AA2973" t="s">
        <v>2721</v>
      </c>
      <c r="AB2973" t="s">
        <v>1724</v>
      </c>
      <c r="AC2973" t="s">
        <v>2721</v>
      </c>
      <c r="AD2973" t="e">
        <f>VLOOKUP(AB2973,#REF!,2,FALSE)</f>
        <v>#REF!</v>
      </c>
      <c r="AE2973" t="e">
        <f>RIGHT(#REF!,(FIND("Complex",#REF!,1)-8))</f>
        <v>#REF!</v>
      </c>
    </row>
    <row r="2974" spans="1:31" x14ac:dyDescent="0.25">
      <c r="A2974">
        <v>2881</v>
      </c>
      <c r="B2974" t="s">
        <v>57</v>
      </c>
      <c r="C2974">
        <v>84</v>
      </c>
      <c r="D2974">
        <v>995</v>
      </c>
      <c r="E2974">
        <v>2881</v>
      </c>
      <c r="F2974">
        <v>3175201</v>
      </c>
      <c r="G2974">
        <v>3263400</v>
      </c>
      <c r="H2974">
        <f t="shared" si="92"/>
        <v>72.000022675736957</v>
      </c>
      <c r="I2974">
        <f t="shared" si="93"/>
        <v>74</v>
      </c>
      <c r="J2974" t="s">
        <v>25</v>
      </c>
      <c r="K2974">
        <v>6</v>
      </c>
      <c r="L2974" t="e">
        <f t="array" ref="L2974">VLOOKUP(J2974:$J$3871&amp;K2974:$K$3871,CHOOSE({1,2},#REF!&amp;#REF!,#REF!),2,0)</f>
        <v>#N/A</v>
      </c>
      <c r="M2974">
        <v>-15</v>
      </c>
      <c r="N2974">
        <v>0</v>
      </c>
      <c r="O2974" t="s">
        <v>7</v>
      </c>
      <c r="P2974">
        <v>1</v>
      </c>
      <c r="Q2974">
        <v>0</v>
      </c>
      <c r="R2974">
        <v>0</v>
      </c>
      <c r="S2974">
        <v>0</v>
      </c>
      <c r="T2974">
        <v>1</v>
      </c>
      <c r="U2974">
        <v>1</v>
      </c>
      <c r="V2974">
        <v>0</v>
      </c>
      <c r="W2974">
        <v>1</v>
      </c>
      <c r="X2974">
        <v>1</v>
      </c>
      <c r="Y2974">
        <v>1</v>
      </c>
      <c r="Z2974">
        <v>0</v>
      </c>
      <c r="AA2974" t="s">
        <v>2730</v>
      </c>
      <c r="AB2974" t="s">
        <v>6169</v>
      </c>
      <c r="AC2974" t="s">
        <v>2730</v>
      </c>
      <c r="AD2974" t="e">
        <f>VLOOKUP(AB2974,#REF!,2,FALSE)</f>
        <v>#REF!</v>
      </c>
      <c r="AE2974" t="e">
        <f>RIGHT(#REF!,(FIND("Complex",#REF!,1)-8))</f>
        <v>#REF!</v>
      </c>
    </row>
    <row r="2975" spans="1:31" x14ac:dyDescent="0.25">
      <c r="A2975">
        <v>3641</v>
      </c>
      <c r="B2975" t="s">
        <v>57</v>
      </c>
      <c r="C2975">
        <v>84</v>
      </c>
      <c r="D2975">
        <v>1156</v>
      </c>
      <c r="E2975">
        <v>3641</v>
      </c>
      <c r="F2975">
        <v>2910601</v>
      </c>
      <c r="G2975">
        <v>2998800</v>
      </c>
      <c r="H2975">
        <f t="shared" si="92"/>
        <v>66.000022675736957</v>
      </c>
      <c r="I2975">
        <f t="shared" si="93"/>
        <v>68</v>
      </c>
      <c r="J2975" t="s">
        <v>25</v>
      </c>
      <c r="K2975">
        <v>6</v>
      </c>
      <c r="L2975" t="e">
        <f t="array" ref="L2975">VLOOKUP(J2975:$J$3871&amp;K2975:$K$3871,CHOOSE({1,2},#REF!&amp;#REF!,#REF!),2,0)</f>
        <v>#N/A</v>
      </c>
      <c r="M2975">
        <v>-15</v>
      </c>
      <c r="N2975">
        <v>0</v>
      </c>
      <c r="O2975" t="s">
        <v>7</v>
      </c>
      <c r="P2975">
        <v>1</v>
      </c>
      <c r="Q2975">
        <v>0</v>
      </c>
      <c r="R2975">
        <v>0</v>
      </c>
      <c r="S2975">
        <v>0</v>
      </c>
      <c r="T2975">
        <v>1</v>
      </c>
      <c r="U2975">
        <v>1</v>
      </c>
      <c r="V2975">
        <v>0</v>
      </c>
      <c r="W2975">
        <v>1</v>
      </c>
      <c r="X2975">
        <v>1</v>
      </c>
      <c r="Y2975">
        <v>1</v>
      </c>
      <c r="Z2975">
        <v>0</v>
      </c>
      <c r="AA2975" t="s">
        <v>2754</v>
      </c>
      <c r="AB2975" t="s">
        <v>1725</v>
      </c>
      <c r="AC2975" t="s">
        <v>2754</v>
      </c>
      <c r="AD2975" t="e">
        <f>VLOOKUP(AB2975,#REF!,2,FALSE)</f>
        <v>#REF!</v>
      </c>
      <c r="AE2975" t="e">
        <f>RIGHT(#REF!,(FIND("Complex",#REF!,1)-9))</f>
        <v>#REF!</v>
      </c>
    </row>
    <row r="2976" spans="1:31" x14ac:dyDescent="0.25">
      <c r="A2976">
        <v>2857</v>
      </c>
      <c r="B2976" t="s">
        <v>57</v>
      </c>
      <c r="C2976">
        <v>84</v>
      </c>
      <c r="D2976">
        <v>992</v>
      </c>
      <c r="E2976">
        <v>2857</v>
      </c>
      <c r="F2976">
        <v>2822401</v>
      </c>
      <c r="G2976">
        <v>2910600</v>
      </c>
      <c r="H2976">
        <f t="shared" si="92"/>
        <v>64.000022675736957</v>
      </c>
      <c r="I2976">
        <f t="shared" si="93"/>
        <v>66</v>
      </c>
      <c r="J2976" t="s">
        <v>25</v>
      </c>
      <c r="K2976">
        <v>6</v>
      </c>
      <c r="L2976" t="e">
        <f t="array" ref="L2976">VLOOKUP(J2976:$J$3871&amp;K2976:$K$3871,CHOOSE({1,2},#REF!&amp;#REF!,#REF!),2,0)</f>
        <v>#N/A</v>
      </c>
      <c r="M2976">
        <v>-15</v>
      </c>
      <c r="N2976">
        <v>0</v>
      </c>
      <c r="O2976" t="s">
        <v>7</v>
      </c>
      <c r="P2976">
        <v>1</v>
      </c>
      <c r="Q2976">
        <v>0</v>
      </c>
      <c r="R2976">
        <v>0</v>
      </c>
      <c r="S2976">
        <v>0</v>
      </c>
      <c r="T2976">
        <v>1</v>
      </c>
      <c r="U2976">
        <v>1</v>
      </c>
      <c r="V2976">
        <v>0</v>
      </c>
      <c r="W2976">
        <v>1</v>
      </c>
      <c r="X2976">
        <v>1</v>
      </c>
      <c r="Y2976">
        <v>1</v>
      </c>
      <c r="Z2976">
        <v>0</v>
      </c>
      <c r="AA2976" t="s">
        <v>2762</v>
      </c>
      <c r="AB2976" t="s">
        <v>1726</v>
      </c>
      <c r="AC2976" t="s">
        <v>2762</v>
      </c>
      <c r="AD2976" t="e">
        <f>VLOOKUP(AB2976,#REF!,2,FALSE)</f>
        <v>#REF!</v>
      </c>
      <c r="AE2976" t="e">
        <f>RIGHT(#REF!,(FIND("Complex",#REF!,1)-8))</f>
        <v>#REF!</v>
      </c>
    </row>
    <row r="2977" spans="1:31" x14ac:dyDescent="0.25">
      <c r="A2977">
        <v>3443</v>
      </c>
      <c r="B2977" t="s">
        <v>57</v>
      </c>
      <c r="C2977">
        <v>84</v>
      </c>
      <c r="D2977">
        <v>1104</v>
      </c>
      <c r="E2977">
        <v>3443</v>
      </c>
      <c r="F2977">
        <v>2734201</v>
      </c>
      <c r="G2977">
        <v>2822400</v>
      </c>
      <c r="H2977">
        <f t="shared" si="92"/>
        <v>62.000022675736965</v>
      </c>
      <c r="I2977">
        <f t="shared" si="93"/>
        <v>64</v>
      </c>
      <c r="J2977" t="s">
        <v>25</v>
      </c>
      <c r="K2977">
        <v>6</v>
      </c>
      <c r="L2977" t="e">
        <f t="array" ref="L2977">VLOOKUP(J2977:$J$3871&amp;K2977:$K$3871,CHOOSE({1,2},#REF!&amp;#REF!,#REF!),2,0)</f>
        <v>#N/A</v>
      </c>
      <c r="M2977">
        <v>-15</v>
      </c>
      <c r="N2977">
        <v>0</v>
      </c>
      <c r="O2977" t="s">
        <v>7</v>
      </c>
      <c r="P2977">
        <v>1</v>
      </c>
      <c r="Q2977">
        <v>0</v>
      </c>
      <c r="R2977">
        <v>0</v>
      </c>
      <c r="S2977">
        <v>0</v>
      </c>
      <c r="T2977">
        <v>1</v>
      </c>
      <c r="U2977">
        <v>1</v>
      </c>
      <c r="V2977">
        <v>0</v>
      </c>
      <c r="W2977">
        <v>1</v>
      </c>
      <c r="X2977">
        <v>1</v>
      </c>
      <c r="Y2977">
        <v>1</v>
      </c>
      <c r="Z2977">
        <v>0</v>
      </c>
      <c r="AA2977" t="s">
        <v>2772</v>
      </c>
      <c r="AB2977" t="s">
        <v>6181</v>
      </c>
      <c r="AC2977" t="s">
        <v>2772</v>
      </c>
      <c r="AD2977" t="e">
        <f>VLOOKUP(AB2977,#REF!,2,FALSE)</f>
        <v>#REF!</v>
      </c>
      <c r="AE2977" t="e">
        <f>RIGHT(#REF!,(FIND("Complex",#REF!,1)-9))</f>
        <v>#REF!</v>
      </c>
    </row>
    <row r="2978" spans="1:31" x14ac:dyDescent="0.25">
      <c r="A2978">
        <v>3553</v>
      </c>
      <c r="B2978" t="s">
        <v>57</v>
      </c>
      <c r="C2978">
        <v>84</v>
      </c>
      <c r="D2978">
        <v>1131</v>
      </c>
      <c r="E2978">
        <v>3553</v>
      </c>
      <c r="F2978">
        <v>2028601</v>
      </c>
      <c r="G2978">
        <v>2116800</v>
      </c>
      <c r="H2978">
        <f t="shared" si="92"/>
        <v>46.000022675736965</v>
      </c>
      <c r="I2978">
        <f t="shared" si="93"/>
        <v>48</v>
      </c>
      <c r="J2978" t="s">
        <v>25</v>
      </c>
      <c r="K2978">
        <v>6</v>
      </c>
      <c r="L2978" t="e">
        <f t="array" ref="L2978">VLOOKUP(J2978:$J$3871&amp;K2978:$K$3871,CHOOSE({1,2},#REF!&amp;#REF!,#REF!),2,0)</f>
        <v>#N/A</v>
      </c>
      <c r="M2978">
        <v>-15</v>
      </c>
      <c r="N2978">
        <v>0</v>
      </c>
      <c r="O2978" t="s">
        <v>7</v>
      </c>
      <c r="P2978">
        <v>1</v>
      </c>
      <c r="Q2978">
        <v>0</v>
      </c>
      <c r="R2978">
        <v>0</v>
      </c>
      <c r="S2978">
        <v>0</v>
      </c>
      <c r="T2978">
        <v>1</v>
      </c>
      <c r="U2978">
        <v>1</v>
      </c>
      <c r="V2978">
        <v>0</v>
      </c>
      <c r="W2978">
        <v>1</v>
      </c>
      <c r="X2978">
        <v>1</v>
      </c>
      <c r="Y2978">
        <v>1</v>
      </c>
      <c r="Z2978">
        <v>0</v>
      </c>
      <c r="AA2978" t="s">
        <v>2814</v>
      </c>
      <c r="AB2978" t="s">
        <v>6191</v>
      </c>
      <c r="AC2978" t="s">
        <v>2814</v>
      </c>
      <c r="AD2978" t="e">
        <f>VLOOKUP(AB2978,#REF!,2,FALSE)</f>
        <v>#REF!</v>
      </c>
      <c r="AE2978" t="e">
        <f>RIGHT(#REF!,(FIND("Complex",#REF!,1)-9))</f>
        <v>#REF!</v>
      </c>
    </row>
    <row r="2979" spans="1:31" x14ac:dyDescent="0.25">
      <c r="A2979">
        <v>3482</v>
      </c>
      <c r="B2979" t="s">
        <v>57</v>
      </c>
      <c r="C2979">
        <v>84</v>
      </c>
      <c r="D2979">
        <v>1113</v>
      </c>
      <c r="E2979">
        <v>3482</v>
      </c>
      <c r="F2979">
        <v>1940401</v>
      </c>
      <c r="G2979">
        <v>2028600</v>
      </c>
      <c r="H2979">
        <f t="shared" si="92"/>
        <v>44.000022675736965</v>
      </c>
      <c r="I2979">
        <f t="shared" si="93"/>
        <v>46</v>
      </c>
      <c r="J2979" t="s">
        <v>25</v>
      </c>
      <c r="K2979">
        <v>6</v>
      </c>
      <c r="L2979" t="e">
        <f t="array" ref="L2979">VLOOKUP(J2979:$J$3871&amp;K2979:$K$3871,CHOOSE({1,2},#REF!&amp;#REF!,#REF!),2,0)</f>
        <v>#N/A</v>
      </c>
      <c r="M2979">
        <v>-15</v>
      </c>
      <c r="N2979">
        <v>0</v>
      </c>
      <c r="O2979" t="s">
        <v>7</v>
      </c>
      <c r="P2979">
        <v>1</v>
      </c>
      <c r="Q2979">
        <v>0</v>
      </c>
      <c r="R2979">
        <v>0</v>
      </c>
      <c r="S2979">
        <v>0</v>
      </c>
      <c r="T2979">
        <v>1</v>
      </c>
      <c r="U2979">
        <v>1</v>
      </c>
      <c r="V2979">
        <v>0</v>
      </c>
      <c r="W2979">
        <v>1</v>
      </c>
      <c r="X2979">
        <v>1</v>
      </c>
      <c r="Y2979">
        <v>1</v>
      </c>
      <c r="Z2979">
        <v>0</v>
      </c>
      <c r="AA2979" t="s">
        <v>2819</v>
      </c>
      <c r="AB2979" t="s">
        <v>6195</v>
      </c>
      <c r="AC2979" t="s">
        <v>2819</v>
      </c>
      <c r="AD2979" t="e">
        <f>VLOOKUP(AB2979,#REF!,2,FALSE)</f>
        <v>#REF!</v>
      </c>
      <c r="AE2979" t="e">
        <f>RIGHT(#REF!,(FIND("Complex",#REF!,1)-9))</f>
        <v>#REF!</v>
      </c>
    </row>
    <row r="2980" spans="1:31" x14ac:dyDescent="0.25">
      <c r="A2980">
        <v>3617</v>
      </c>
      <c r="B2980" t="s">
        <v>57</v>
      </c>
      <c r="C2980">
        <v>84</v>
      </c>
      <c r="D2980">
        <v>1148</v>
      </c>
      <c r="E2980">
        <v>3617</v>
      </c>
      <c r="F2980">
        <v>1764001</v>
      </c>
      <c r="G2980">
        <v>1852200</v>
      </c>
      <c r="H2980">
        <f t="shared" si="92"/>
        <v>40.000022675736965</v>
      </c>
      <c r="I2980">
        <f t="shared" si="93"/>
        <v>42</v>
      </c>
      <c r="J2980" t="s">
        <v>25</v>
      </c>
      <c r="K2980">
        <v>6</v>
      </c>
      <c r="L2980" t="e">
        <f t="array" ref="L2980">VLOOKUP(J2980:$J$3871&amp;K2980:$K$3871,CHOOSE({1,2},#REF!&amp;#REF!,#REF!),2,0)</f>
        <v>#N/A</v>
      </c>
      <c r="M2980">
        <v>-15</v>
      </c>
      <c r="N2980">
        <v>0</v>
      </c>
      <c r="O2980" t="s">
        <v>7</v>
      </c>
      <c r="P2980">
        <v>1</v>
      </c>
      <c r="Q2980">
        <v>0</v>
      </c>
      <c r="R2980">
        <v>0</v>
      </c>
      <c r="S2980">
        <v>0</v>
      </c>
      <c r="T2980">
        <v>1</v>
      </c>
      <c r="U2980">
        <v>1</v>
      </c>
      <c r="V2980">
        <v>0</v>
      </c>
      <c r="W2980">
        <v>1</v>
      </c>
      <c r="X2980">
        <v>1</v>
      </c>
      <c r="Y2980">
        <v>1</v>
      </c>
      <c r="Z2980">
        <v>0</v>
      </c>
      <c r="AA2980" t="s">
        <v>2837</v>
      </c>
      <c r="AB2980" t="s">
        <v>1727</v>
      </c>
      <c r="AC2980" t="s">
        <v>2837</v>
      </c>
      <c r="AD2980" t="e">
        <f>VLOOKUP(AB2980,#REF!,2,FALSE)</f>
        <v>#REF!</v>
      </c>
      <c r="AE2980" t="e">
        <f>RIGHT(#REF!,(FIND("Complex",#REF!,1)-9))</f>
        <v>#REF!</v>
      </c>
    </row>
    <row r="2981" spans="1:31" x14ac:dyDescent="0.25">
      <c r="A2981">
        <v>3420</v>
      </c>
      <c r="B2981" t="s">
        <v>57</v>
      </c>
      <c r="C2981">
        <v>84</v>
      </c>
      <c r="D2981">
        <v>1101</v>
      </c>
      <c r="E2981">
        <v>3420</v>
      </c>
      <c r="F2981">
        <v>1587601</v>
      </c>
      <c r="G2981">
        <v>1675800</v>
      </c>
      <c r="H2981">
        <f t="shared" si="92"/>
        <v>36.000022675736965</v>
      </c>
      <c r="I2981">
        <f t="shared" si="93"/>
        <v>38</v>
      </c>
      <c r="J2981" t="s">
        <v>25</v>
      </c>
      <c r="K2981">
        <v>6</v>
      </c>
      <c r="L2981" t="e">
        <f t="array" ref="L2981">VLOOKUP(J2981:$J$3871&amp;K2981:$K$3871,CHOOSE({1,2},#REF!&amp;#REF!,#REF!),2,0)</f>
        <v>#N/A</v>
      </c>
      <c r="M2981">
        <v>-15</v>
      </c>
      <c r="N2981">
        <v>0</v>
      </c>
      <c r="O2981" t="s">
        <v>7</v>
      </c>
      <c r="P2981">
        <v>1</v>
      </c>
      <c r="Q2981">
        <v>0</v>
      </c>
      <c r="R2981">
        <v>0</v>
      </c>
      <c r="S2981">
        <v>0</v>
      </c>
      <c r="T2981">
        <v>1</v>
      </c>
      <c r="U2981">
        <v>1</v>
      </c>
      <c r="V2981">
        <v>0</v>
      </c>
      <c r="W2981">
        <v>1</v>
      </c>
      <c r="X2981">
        <v>1</v>
      </c>
      <c r="Y2981">
        <v>1</v>
      </c>
      <c r="Z2981">
        <v>0</v>
      </c>
      <c r="AA2981" t="s">
        <v>2847</v>
      </c>
      <c r="AB2981" t="s">
        <v>6201</v>
      </c>
      <c r="AC2981" t="s">
        <v>2847</v>
      </c>
      <c r="AD2981" t="e">
        <f>VLOOKUP(AB2981,#REF!,2,FALSE)</f>
        <v>#REF!</v>
      </c>
      <c r="AE2981" t="e">
        <f>RIGHT(#REF!,(FIND("Complex",#REF!,1)-9))</f>
        <v>#REF!</v>
      </c>
    </row>
    <row r="2982" spans="1:31" x14ac:dyDescent="0.25">
      <c r="A2982">
        <v>3630</v>
      </c>
      <c r="B2982" t="s">
        <v>57</v>
      </c>
      <c r="C2982">
        <v>84</v>
      </c>
      <c r="D2982">
        <v>1152</v>
      </c>
      <c r="E2982">
        <v>3630</v>
      </c>
      <c r="F2982">
        <v>1499401</v>
      </c>
      <c r="G2982">
        <v>1587600</v>
      </c>
      <c r="H2982">
        <f t="shared" si="92"/>
        <v>34.000022675736965</v>
      </c>
      <c r="I2982">
        <f t="shared" si="93"/>
        <v>36</v>
      </c>
      <c r="J2982" t="s">
        <v>25</v>
      </c>
      <c r="K2982">
        <v>6</v>
      </c>
      <c r="L2982" t="e">
        <f t="array" ref="L2982">VLOOKUP(J2982:$J$3871&amp;K2982:$K$3871,CHOOSE({1,2},#REF!&amp;#REF!,#REF!),2,0)</f>
        <v>#N/A</v>
      </c>
      <c r="M2982">
        <v>-15</v>
      </c>
      <c r="N2982">
        <v>0</v>
      </c>
      <c r="O2982" t="s">
        <v>7</v>
      </c>
      <c r="P2982">
        <v>1</v>
      </c>
      <c r="Q2982">
        <v>0</v>
      </c>
      <c r="R2982">
        <v>0</v>
      </c>
      <c r="S2982">
        <v>0</v>
      </c>
      <c r="T2982">
        <v>1</v>
      </c>
      <c r="U2982">
        <v>1</v>
      </c>
      <c r="V2982">
        <v>0</v>
      </c>
      <c r="W2982">
        <v>1</v>
      </c>
      <c r="X2982">
        <v>1</v>
      </c>
      <c r="Y2982">
        <v>1</v>
      </c>
      <c r="Z2982">
        <v>0</v>
      </c>
      <c r="AA2982" t="s">
        <v>2852</v>
      </c>
      <c r="AB2982" t="s">
        <v>6203</v>
      </c>
      <c r="AC2982" t="s">
        <v>2852</v>
      </c>
      <c r="AD2982" t="e">
        <f>VLOOKUP(AB2982,#REF!,2,FALSE)</f>
        <v>#REF!</v>
      </c>
      <c r="AE2982" t="e">
        <f>RIGHT(#REF!,(FIND("Complex",#REF!,1)-9))</f>
        <v>#REF!</v>
      </c>
    </row>
    <row r="2983" spans="1:31" x14ac:dyDescent="0.25">
      <c r="A2983">
        <v>2945</v>
      </c>
      <c r="B2983" t="s">
        <v>57</v>
      </c>
      <c r="C2983">
        <v>84</v>
      </c>
      <c r="D2983">
        <v>1008</v>
      </c>
      <c r="E2983">
        <v>2945</v>
      </c>
      <c r="F2983">
        <v>1411201</v>
      </c>
      <c r="G2983">
        <v>1499400</v>
      </c>
      <c r="H2983">
        <f t="shared" si="92"/>
        <v>32.000022675736965</v>
      </c>
      <c r="I2983">
        <f t="shared" si="93"/>
        <v>34</v>
      </c>
      <c r="J2983" t="s">
        <v>25</v>
      </c>
      <c r="K2983">
        <v>6</v>
      </c>
      <c r="L2983" t="e">
        <f t="array" ref="L2983">VLOOKUP(J2983:$J$3871&amp;K2983:$K$3871,CHOOSE({1,2},#REF!&amp;#REF!,#REF!),2,0)</f>
        <v>#N/A</v>
      </c>
      <c r="M2983">
        <v>-15</v>
      </c>
      <c r="N2983">
        <v>0</v>
      </c>
      <c r="O2983" t="s">
        <v>7</v>
      </c>
      <c r="P2983">
        <v>1</v>
      </c>
      <c r="Q2983">
        <v>0</v>
      </c>
      <c r="R2983">
        <v>0</v>
      </c>
      <c r="S2983">
        <v>0</v>
      </c>
      <c r="T2983">
        <v>1</v>
      </c>
      <c r="U2983">
        <v>1</v>
      </c>
      <c r="V2983">
        <v>0</v>
      </c>
      <c r="W2983">
        <v>1</v>
      </c>
      <c r="X2983">
        <v>1</v>
      </c>
      <c r="Y2983">
        <v>1</v>
      </c>
      <c r="Z2983">
        <v>0</v>
      </c>
      <c r="AA2983" t="s">
        <v>2867</v>
      </c>
      <c r="AB2983" t="s">
        <v>6212</v>
      </c>
      <c r="AC2983" t="s">
        <v>2867</v>
      </c>
      <c r="AD2983" t="e">
        <f>VLOOKUP(AB2983,#REF!,2,FALSE)</f>
        <v>#REF!</v>
      </c>
      <c r="AE2983" t="e">
        <f>RIGHT(#REF!,(FIND("Complex",#REF!,1)-9))</f>
        <v>#REF!</v>
      </c>
    </row>
    <row r="2984" spans="1:31" x14ac:dyDescent="0.25">
      <c r="A2984">
        <v>3334</v>
      </c>
      <c r="B2984" t="s">
        <v>57</v>
      </c>
      <c r="C2984">
        <v>84</v>
      </c>
      <c r="D2984">
        <v>1077</v>
      </c>
      <c r="E2984">
        <v>3334</v>
      </c>
      <c r="F2984">
        <v>1323001</v>
      </c>
      <c r="G2984">
        <v>1411200</v>
      </c>
      <c r="H2984">
        <f t="shared" si="92"/>
        <v>30.000022675736961</v>
      </c>
      <c r="I2984">
        <f t="shared" si="93"/>
        <v>32</v>
      </c>
      <c r="J2984" t="s">
        <v>25</v>
      </c>
      <c r="K2984">
        <v>6</v>
      </c>
      <c r="L2984" t="e">
        <f t="array" ref="L2984">VLOOKUP(J2984:$J$3871&amp;K2984:$K$3871,CHOOSE({1,2},#REF!&amp;#REF!,#REF!),2,0)</f>
        <v>#N/A</v>
      </c>
      <c r="M2984">
        <v>-15</v>
      </c>
      <c r="N2984">
        <v>0</v>
      </c>
      <c r="O2984" t="s">
        <v>7</v>
      </c>
      <c r="P2984">
        <v>1</v>
      </c>
      <c r="Q2984">
        <v>0</v>
      </c>
      <c r="R2984">
        <v>0</v>
      </c>
      <c r="S2984">
        <v>0</v>
      </c>
      <c r="T2984">
        <v>1</v>
      </c>
      <c r="U2984">
        <v>1</v>
      </c>
      <c r="V2984">
        <v>0</v>
      </c>
      <c r="W2984">
        <v>1</v>
      </c>
      <c r="X2984">
        <v>1</v>
      </c>
      <c r="Y2984">
        <v>1</v>
      </c>
      <c r="Z2984">
        <v>0</v>
      </c>
      <c r="AA2984" t="s">
        <v>2883</v>
      </c>
      <c r="AB2984" t="s">
        <v>153</v>
      </c>
      <c r="AC2984" t="s">
        <v>2883</v>
      </c>
      <c r="AD2984" t="e">
        <f>VLOOKUP(AB2984,#REF!,2,FALSE)</f>
        <v>#REF!</v>
      </c>
      <c r="AE2984" t="e">
        <f>RIGHT(#REF!,(FIND("Complex",#REF!,1)-9))</f>
        <v>#REF!</v>
      </c>
    </row>
    <row r="2985" spans="1:31" x14ac:dyDescent="0.25">
      <c r="A2985">
        <v>3683</v>
      </c>
      <c r="B2985" t="s">
        <v>57</v>
      </c>
      <c r="C2985">
        <v>84</v>
      </c>
      <c r="D2985">
        <v>1169</v>
      </c>
      <c r="E2985">
        <v>3683</v>
      </c>
      <c r="F2985">
        <v>9261001</v>
      </c>
      <c r="G2985">
        <v>9349200</v>
      </c>
      <c r="H2985">
        <f t="shared" si="92"/>
        <v>210.00002267573697</v>
      </c>
      <c r="I2985">
        <f t="shared" si="93"/>
        <v>212</v>
      </c>
      <c r="J2985" t="s">
        <v>25</v>
      </c>
      <c r="K2985">
        <v>6</v>
      </c>
      <c r="L2985" t="e">
        <f t="array" ref="L2985">VLOOKUP(J2985:$J$3871&amp;K2985:$K$3871,CHOOSE({1,2},#REF!&amp;#REF!,#REF!),2,0)</f>
        <v>#N/A</v>
      </c>
      <c r="M2985">
        <v>-15</v>
      </c>
      <c r="N2985">
        <v>0</v>
      </c>
      <c r="O2985" t="s">
        <v>7</v>
      </c>
      <c r="P2985">
        <v>1</v>
      </c>
      <c r="Q2985">
        <v>0</v>
      </c>
      <c r="R2985">
        <v>0</v>
      </c>
      <c r="S2985">
        <v>1</v>
      </c>
      <c r="T2985">
        <v>1</v>
      </c>
      <c r="U2985">
        <v>0</v>
      </c>
      <c r="V2985">
        <v>0</v>
      </c>
      <c r="W2985">
        <v>1</v>
      </c>
      <c r="X2985">
        <v>1</v>
      </c>
      <c r="Y2985">
        <v>1</v>
      </c>
      <c r="Z2985">
        <v>0</v>
      </c>
      <c r="AA2985" t="s">
        <v>3026</v>
      </c>
      <c r="AB2985" t="s">
        <v>1728</v>
      </c>
      <c r="AC2985" t="s">
        <v>3026</v>
      </c>
      <c r="AD2985" t="e">
        <f>VLOOKUP(AB2985,#REF!,2,FALSE)</f>
        <v>#REF!</v>
      </c>
      <c r="AE2985" t="e">
        <f>RIGHT(#REF!,(FIND("Complex",#REF!,1)-8))</f>
        <v>#REF!</v>
      </c>
    </row>
    <row r="2986" spans="1:31" x14ac:dyDescent="0.25">
      <c r="A2986">
        <v>1398</v>
      </c>
      <c r="B2986" t="s">
        <v>57</v>
      </c>
      <c r="C2986">
        <v>84</v>
      </c>
      <c r="D2986">
        <v>612</v>
      </c>
      <c r="E2986">
        <v>1398</v>
      </c>
      <c r="F2986">
        <v>9084601</v>
      </c>
      <c r="G2986">
        <v>9172800</v>
      </c>
      <c r="H2986">
        <f t="shared" si="92"/>
        <v>206.00002267573697</v>
      </c>
      <c r="I2986">
        <f t="shared" si="93"/>
        <v>208</v>
      </c>
      <c r="J2986" t="s">
        <v>25</v>
      </c>
      <c r="K2986">
        <v>6</v>
      </c>
      <c r="L2986" t="e">
        <f t="array" ref="L2986">VLOOKUP(J2986:$J$3871&amp;K2986:$K$3871,CHOOSE({1,2},#REF!&amp;#REF!,#REF!),2,0)</f>
        <v>#N/A</v>
      </c>
      <c r="M2986">
        <v>-15</v>
      </c>
      <c r="N2986">
        <v>0</v>
      </c>
      <c r="O2986" t="s">
        <v>7</v>
      </c>
      <c r="P2986">
        <v>1</v>
      </c>
      <c r="Q2986">
        <v>0</v>
      </c>
      <c r="R2986">
        <v>0</v>
      </c>
      <c r="S2986">
        <v>1</v>
      </c>
      <c r="T2986">
        <v>1</v>
      </c>
      <c r="U2986">
        <v>0</v>
      </c>
      <c r="V2986">
        <v>0</v>
      </c>
      <c r="W2986">
        <v>1</v>
      </c>
      <c r="X2986">
        <v>1</v>
      </c>
      <c r="Y2986">
        <v>1</v>
      </c>
      <c r="Z2986">
        <v>0</v>
      </c>
      <c r="AA2986" t="s">
        <v>3036</v>
      </c>
      <c r="AB2986" t="s">
        <v>1729</v>
      </c>
      <c r="AC2986" t="s">
        <v>3036</v>
      </c>
      <c r="AD2986" t="e">
        <f>VLOOKUP(AB2986,#REF!,2,FALSE)</f>
        <v>#REF!</v>
      </c>
      <c r="AE2986" t="e">
        <f>RIGHT(#REF!,(FIND("Complex",#REF!,1)-7))</f>
        <v>#REF!</v>
      </c>
    </row>
    <row r="2987" spans="1:31" x14ac:dyDescent="0.25">
      <c r="A2987">
        <v>3132</v>
      </c>
      <c r="B2987" t="s">
        <v>57</v>
      </c>
      <c r="C2987">
        <v>84</v>
      </c>
      <c r="D2987">
        <v>1046</v>
      </c>
      <c r="E2987">
        <v>3132</v>
      </c>
      <c r="F2987">
        <v>8820001</v>
      </c>
      <c r="G2987">
        <v>8908200</v>
      </c>
      <c r="H2987">
        <f t="shared" si="92"/>
        <v>200.00002267573697</v>
      </c>
      <c r="I2987">
        <f t="shared" si="93"/>
        <v>202</v>
      </c>
      <c r="J2987" t="s">
        <v>25</v>
      </c>
      <c r="K2987">
        <v>6</v>
      </c>
      <c r="L2987" t="e">
        <f t="array" ref="L2987">VLOOKUP(J2987:$J$3871&amp;K2987:$K$3871,CHOOSE({1,2},#REF!&amp;#REF!,#REF!),2,0)</f>
        <v>#N/A</v>
      </c>
      <c r="M2987">
        <v>-15</v>
      </c>
      <c r="N2987">
        <v>0</v>
      </c>
      <c r="O2987" t="s">
        <v>7</v>
      </c>
      <c r="P2987">
        <v>1</v>
      </c>
      <c r="Q2987">
        <v>0</v>
      </c>
      <c r="R2987">
        <v>0</v>
      </c>
      <c r="S2987">
        <v>1</v>
      </c>
      <c r="T2987">
        <v>1</v>
      </c>
      <c r="U2987">
        <v>0</v>
      </c>
      <c r="V2987">
        <v>0</v>
      </c>
      <c r="W2987">
        <v>1</v>
      </c>
      <c r="X2987">
        <v>1</v>
      </c>
      <c r="Y2987">
        <v>1</v>
      </c>
      <c r="Z2987">
        <v>0</v>
      </c>
      <c r="AA2987" t="s">
        <v>3050</v>
      </c>
      <c r="AB2987" t="s">
        <v>6251</v>
      </c>
      <c r="AC2987" t="s">
        <v>3050</v>
      </c>
      <c r="AD2987" t="e">
        <f>VLOOKUP(AB2987,#REF!,2,FALSE)</f>
        <v>#REF!</v>
      </c>
      <c r="AE2987" t="e">
        <f>RIGHT(#REF!,(FIND("Complex",#REF!,1)-8))</f>
        <v>#REF!</v>
      </c>
    </row>
    <row r="2988" spans="1:31" x14ac:dyDescent="0.25">
      <c r="A2988">
        <v>1457</v>
      </c>
      <c r="B2988" t="s">
        <v>57</v>
      </c>
      <c r="C2988">
        <v>84</v>
      </c>
      <c r="D2988">
        <v>637</v>
      </c>
      <c r="E2988">
        <v>1457</v>
      </c>
      <c r="F2988">
        <v>8731801</v>
      </c>
      <c r="G2988">
        <v>8820000</v>
      </c>
      <c r="H2988">
        <f t="shared" si="92"/>
        <v>198.00002267573697</v>
      </c>
      <c r="I2988">
        <f t="shared" si="93"/>
        <v>200</v>
      </c>
      <c r="J2988" t="s">
        <v>25</v>
      </c>
      <c r="K2988">
        <v>6</v>
      </c>
      <c r="L2988" t="e">
        <f t="array" ref="L2988">VLOOKUP(J2988:$J$3871&amp;K2988:$K$3871,CHOOSE({1,2},#REF!&amp;#REF!,#REF!),2,0)</f>
        <v>#N/A</v>
      </c>
      <c r="M2988">
        <v>-15</v>
      </c>
      <c r="N2988">
        <v>0</v>
      </c>
      <c r="O2988" t="s">
        <v>7</v>
      </c>
      <c r="P2988">
        <v>1</v>
      </c>
      <c r="Q2988">
        <v>0</v>
      </c>
      <c r="R2988">
        <v>0</v>
      </c>
      <c r="S2988">
        <v>1</v>
      </c>
      <c r="T2988">
        <v>1</v>
      </c>
      <c r="U2988">
        <v>0</v>
      </c>
      <c r="V2988">
        <v>0</v>
      </c>
      <c r="W2988">
        <v>1</v>
      </c>
      <c r="X2988">
        <v>1</v>
      </c>
      <c r="Y2988">
        <v>1</v>
      </c>
      <c r="Z2988">
        <v>0</v>
      </c>
      <c r="AA2988" t="s">
        <v>3058</v>
      </c>
      <c r="AB2988" t="s">
        <v>1730</v>
      </c>
      <c r="AC2988" t="s">
        <v>3058</v>
      </c>
      <c r="AD2988" t="e">
        <f>VLOOKUP(AB2988,#REF!,2,FALSE)</f>
        <v>#REF!</v>
      </c>
      <c r="AE2988" t="e">
        <f>RIGHT(#REF!,(FIND("Complex",#REF!,1)-7))</f>
        <v>#REF!</v>
      </c>
    </row>
    <row r="2989" spans="1:31" x14ac:dyDescent="0.25">
      <c r="A2989">
        <v>2303</v>
      </c>
      <c r="B2989" t="s">
        <v>57</v>
      </c>
      <c r="C2989">
        <v>84</v>
      </c>
      <c r="D2989">
        <v>943</v>
      </c>
      <c r="E2989">
        <v>2303</v>
      </c>
      <c r="F2989">
        <v>8467201</v>
      </c>
      <c r="G2989">
        <v>8555400</v>
      </c>
      <c r="H2989">
        <f t="shared" si="92"/>
        <v>192.00002267573697</v>
      </c>
      <c r="I2989">
        <f t="shared" si="93"/>
        <v>194</v>
      </c>
      <c r="J2989" t="s">
        <v>25</v>
      </c>
      <c r="K2989">
        <v>6</v>
      </c>
      <c r="L2989" t="e">
        <f t="array" ref="L2989">VLOOKUP(J2989:$J$3871&amp;K2989:$K$3871,CHOOSE({1,2},#REF!&amp;#REF!,#REF!),2,0)</f>
        <v>#N/A</v>
      </c>
      <c r="M2989">
        <v>-15</v>
      </c>
      <c r="N2989">
        <v>0</v>
      </c>
      <c r="O2989" t="s">
        <v>7</v>
      </c>
      <c r="P2989">
        <v>1</v>
      </c>
      <c r="Q2989">
        <v>0</v>
      </c>
      <c r="R2989">
        <v>0</v>
      </c>
      <c r="S2989">
        <v>1</v>
      </c>
      <c r="T2989">
        <v>1</v>
      </c>
      <c r="U2989">
        <v>0</v>
      </c>
      <c r="V2989">
        <v>0</v>
      </c>
      <c r="W2989">
        <v>1</v>
      </c>
      <c r="X2989">
        <v>1</v>
      </c>
      <c r="Y2989">
        <v>1</v>
      </c>
      <c r="Z2989">
        <v>0</v>
      </c>
      <c r="AA2989" t="s">
        <v>3075</v>
      </c>
      <c r="AB2989" t="s">
        <v>6258</v>
      </c>
      <c r="AC2989" t="s">
        <v>3075</v>
      </c>
      <c r="AD2989" t="e">
        <f>VLOOKUP(AB2989,#REF!,2,FALSE)</f>
        <v>#REF!</v>
      </c>
      <c r="AE2989" t="e">
        <f>RIGHT(#REF!,(FIND("Complex",#REF!,1)-7))</f>
        <v>#REF!</v>
      </c>
    </row>
    <row r="2990" spans="1:31" x14ac:dyDescent="0.25">
      <c r="A2990">
        <v>3030</v>
      </c>
      <c r="B2990" t="s">
        <v>57</v>
      </c>
      <c r="C2990">
        <v>84</v>
      </c>
      <c r="D2990">
        <v>1027</v>
      </c>
      <c r="E2990">
        <v>3030</v>
      </c>
      <c r="F2990">
        <v>8290801</v>
      </c>
      <c r="G2990">
        <v>8379000</v>
      </c>
      <c r="H2990">
        <f t="shared" si="92"/>
        <v>188.00002267573697</v>
      </c>
      <c r="I2990">
        <f t="shared" si="93"/>
        <v>190</v>
      </c>
      <c r="J2990" t="s">
        <v>25</v>
      </c>
      <c r="K2990">
        <v>6</v>
      </c>
      <c r="L2990" t="e">
        <f t="array" ref="L2990">VLOOKUP(J2990:$J$3871&amp;K2990:$K$3871,CHOOSE({1,2},#REF!&amp;#REF!,#REF!),2,0)</f>
        <v>#N/A</v>
      </c>
      <c r="M2990">
        <v>-15</v>
      </c>
      <c r="N2990">
        <v>0</v>
      </c>
      <c r="O2990" t="s">
        <v>7</v>
      </c>
      <c r="P2990">
        <v>1</v>
      </c>
      <c r="Q2990">
        <v>0</v>
      </c>
      <c r="R2990">
        <v>0</v>
      </c>
      <c r="S2990">
        <v>1</v>
      </c>
      <c r="T2990">
        <v>1</v>
      </c>
      <c r="U2990">
        <v>0</v>
      </c>
      <c r="V2990">
        <v>0</v>
      </c>
      <c r="W2990">
        <v>1</v>
      </c>
      <c r="X2990">
        <v>1</v>
      </c>
      <c r="Y2990">
        <v>1</v>
      </c>
      <c r="Z2990">
        <v>0</v>
      </c>
      <c r="AA2990" t="s">
        <v>3092</v>
      </c>
      <c r="AB2990" t="s">
        <v>1731</v>
      </c>
      <c r="AC2990" t="s">
        <v>3092</v>
      </c>
      <c r="AD2990" t="e">
        <f>VLOOKUP(AB2990,#REF!,2,FALSE)</f>
        <v>#REF!</v>
      </c>
      <c r="AE2990" t="e">
        <f>RIGHT(#REF!,(FIND("Complex",#REF!,1)-8))</f>
        <v>#REF!</v>
      </c>
    </row>
    <row r="2991" spans="1:31" x14ac:dyDescent="0.25">
      <c r="A2991">
        <v>27</v>
      </c>
      <c r="B2991" t="s">
        <v>57</v>
      </c>
      <c r="C2991">
        <v>84</v>
      </c>
      <c r="D2991">
        <v>10</v>
      </c>
      <c r="E2991">
        <v>27</v>
      </c>
      <c r="F2991">
        <v>8114401</v>
      </c>
      <c r="G2991">
        <v>8202600</v>
      </c>
      <c r="H2991">
        <f t="shared" si="92"/>
        <v>184.00002267573697</v>
      </c>
      <c r="I2991">
        <f t="shared" si="93"/>
        <v>186</v>
      </c>
      <c r="J2991" t="s">
        <v>25</v>
      </c>
      <c r="K2991">
        <v>6</v>
      </c>
      <c r="L2991" t="e">
        <f t="array" ref="L2991">VLOOKUP(J2991:$J$3871&amp;K2991:$K$3871,CHOOSE({1,2},#REF!&amp;#REF!,#REF!),2,0)</f>
        <v>#N/A</v>
      </c>
      <c r="M2991">
        <v>-15</v>
      </c>
      <c r="N2991">
        <v>0</v>
      </c>
      <c r="O2991" t="s">
        <v>7</v>
      </c>
      <c r="P2991">
        <v>1</v>
      </c>
      <c r="Q2991">
        <v>0</v>
      </c>
      <c r="R2991">
        <v>0</v>
      </c>
      <c r="S2991">
        <v>1</v>
      </c>
      <c r="T2991">
        <v>1</v>
      </c>
      <c r="U2991">
        <v>0</v>
      </c>
      <c r="V2991">
        <v>0</v>
      </c>
      <c r="W2991">
        <v>1</v>
      </c>
      <c r="X2991">
        <v>1</v>
      </c>
      <c r="Y2991">
        <v>1</v>
      </c>
      <c r="Z2991">
        <v>0</v>
      </c>
      <c r="AA2991" t="s">
        <v>3106</v>
      </c>
      <c r="AB2991" t="s">
        <v>1732</v>
      </c>
      <c r="AC2991" t="s">
        <v>3106</v>
      </c>
      <c r="AD2991" t="e">
        <f>VLOOKUP(AB2991,#REF!,2,FALSE)</f>
        <v>#REF!</v>
      </c>
      <c r="AE2991" t="e">
        <f>RIGHT(#REF!,(FIND("Complex",#REF!,1)-5))</f>
        <v>#REF!</v>
      </c>
    </row>
    <row r="2992" spans="1:31" x14ac:dyDescent="0.25">
      <c r="A2992">
        <v>3077</v>
      </c>
      <c r="B2992" t="s">
        <v>57</v>
      </c>
      <c r="C2992">
        <v>84</v>
      </c>
      <c r="D2992">
        <v>1036</v>
      </c>
      <c r="E2992">
        <v>3077</v>
      </c>
      <c r="F2992">
        <v>4410001</v>
      </c>
      <c r="G2992">
        <v>4498200</v>
      </c>
      <c r="H2992">
        <f t="shared" si="92"/>
        <v>100.00002267573696</v>
      </c>
      <c r="I2992">
        <f t="shared" si="93"/>
        <v>102</v>
      </c>
      <c r="J2992" t="s">
        <v>25</v>
      </c>
      <c r="K2992">
        <v>6</v>
      </c>
      <c r="L2992" t="e">
        <f t="array" ref="L2992">VLOOKUP(J2992:$J$3871&amp;K2992:$K$3871,CHOOSE({1,2},#REF!&amp;#REF!,#REF!),2,0)</f>
        <v>#N/A</v>
      </c>
      <c r="M2992">
        <v>-15</v>
      </c>
      <c r="N2992">
        <v>0</v>
      </c>
      <c r="O2992" t="s">
        <v>7</v>
      </c>
      <c r="P2992">
        <v>1</v>
      </c>
      <c r="Q2992">
        <v>0</v>
      </c>
      <c r="R2992">
        <v>0</v>
      </c>
      <c r="S2992">
        <v>0</v>
      </c>
      <c r="T2992">
        <v>1</v>
      </c>
      <c r="U2992">
        <v>1</v>
      </c>
      <c r="V2992">
        <v>0</v>
      </c>
      <c r="W2992">
        <v>1</v>
      </c>
      <c r="X2992">
        <v>1</v>
      </c>
      <c r="Y2992">
        <v>1</v>
      </c>
      <c r="Z2992">
        <v>0</v>
      </c>
      <c r="AA2992" t="s">
        <v>3488</v>
      </c>
      <c r="AB2992" t="s">
        <v>1733</v>
      </c>
      <c r="AC2992" t="s">
        <v>3488</v>
      </c>
      <c r="AD2992" t="e">
        <f>VLOOKUP(AB2992,#REF!,2,FALSE)</f>
        <v>#REF!</v>
      </c>
      <c r="AE2992" t="e">
        <f>RIGHT(#REF!,(FIND("Complex",#REF!,1)-8))</f>
        <v>#REF!</v>
      </c>
    </row>
    <row r="2993" spans="1:31" x14ac:dyDescent="0.25">
      <c r="A2993">
        <v>2944</v>
      </c>
      <c r="B2993" t="s">
        <v>77</v>
      </c>
      <c r="C2993">
        <v>87</v>
      </c>
      <c r="D2993">
        <v>1007</v>
      </c>
      <c r="E2993">
        <v>2944</v>
      </c>
      <c r="F2993">
        <v>12259801</v>
      </c>
      <c r="G2993">
        <v>12348000</v>
      </c>
      <c r="H2993">
        <f t="shared" si="92"/>
        <v>278.00002267573694</v>
      </c>
      <c r="I2993">
        <f t="shared" si="93"/>
        <v>280</v>
      </c>
      <c r="J2993" t="s">
        <v>25</v>
      </c>
      <c r="K2993">
        <v>6</v>
      </c>
      <c r="L2993" t="e">
        <f t="array" ref="L2993">VLOOKUP(J2993:$J$3871&amp;K2993:$K$3871,CHOOSE({1,2},#REF!&amp;#REF!,#REF!),2,0)</f>
        <v>#N/A</v>
      </c>
      <c r="M2993">
        <v>-15</v>
      </c>
      <c r="N2993">
        <v>0</v>
      </c>
      <c r="O2993" t="s">
        <v>7</v>
      </c>
      <c r="P2993">
        <v>1</v>
      </c>
      <c r="Q2993">
        <v>1</v>
      </c>
      <c r="R2993">
        <v>0</v>
      </c>
      <c r="S2993">
        <v>1</v>
      </c>
      <c r="T2993">
        <v>1</v>
      </c>
      <c r="U2993">
        <v>0</v>
      </c>
      <c r="V2993">
        <v>0</v>
      </c>
      <c r="W2993">
        <v>1</v>
      </c>
      <c r="X2993">
        <v>0</v>
      </c>
      <c r="Y2993">
        <v>1</v>
      </c>
      <c r="Z2993">
        <v>0</v>
      </c>
      <c r="AA2993" t="s">
        <v>2903</v>
      </c>
      <c r="AB2993" t="s">
        <v>1789</v>
      </c>
      <c r="AC2993" t="s">
        <v>2903</v>
      </c>
      <c r="AD2993" t="e">
        <f>VLOOKUP(AB2993,#REF!,2,FALSE)</f>
        <v>#REF!</v>
      </c>
      <c r="AE2993" t="e">
        <f>RIGHT(#REF!,(FIND("Complex",#REF!,1)-8))</f>
        <v>#REF!</v>
      </c>
    </row>
    <row r="2994" spans="1:31" x14ac:dyDescent="0.25">
      <c r="A2994">
        <v>1201</v>
      </c>
      <c r="B2994" t="s">
        <v>77</v>
      </c>
      <c r="C2994">
        <v>87</v>
      </c>
      <c r="D2994">
        <v>531</v>
      </c>
      <c r="E2994">
        <v>1201</v>
      </c>
      <c r="F2994">
        <v>12171601</v>
      </c>
      <c r="G2994">
        <v>12259800</v>
      </c>
      <c r="H2994">
        <f t="shared" si="92"/>
        <v>276.00002267573694</v>
      </c>
      <c r="I2994">
        <f t="shared" si="93"/>
        <v>278</v>
      </c>
      <c r="J2994" t="s">
        <v>25</v>
      </c>
      <c r="K2994">
        <v>6</v>
      </c>
      <c r="L2994" t="e">
        <f t="array" ref="L2994">VLOOKUP(J2994:$J$3871&amp;K2994:$K$3871,CHOOSE({1,2},#REF!&amp;#REF!,#REF!),2,0)</f>
        <v>#N/A</v>
      </c>
      <c r="M2994">
        <v>-15</v>
      </c>
      <c r="N2994">
        <v>0</v>
      </c>
      <c r="O2994" t="s">
        <v>7</v>
      </c>
      <c r="P2994">
        <v>1</v>
      </c>
      <c r="Q2994">
        <v>1</v>
      </c>
      <c r="R2994">
        <v>0</v>
      </c>
      <c r="S2994">
        <v>1</v>
      </c>
      <c r="T2994">
        <v>1</v>
      </c>
      <c r="U2994">
        <v>0</v>
      </c>
      <c r="V2994">
        <v>0</v>
      </c>
      <c r="W2994">
        <v>1</v>
      </c>
      <c r="X2994">
        <v>0</v>
      </c>
      <c r="Y2994">
        <v>1</v>
      </c>
      <c r="Z2994">
        <v>0</v>
      </c>
      <c r="AA2994" t="s">
        <v>2904</v>
      </c>
      <c r="AB2994" t="s">
        <v>1790</v>
      </c>
      <c r="AC2994" t="s">
        <v>2904</v>
      </c>
      <c r="AD2994" t="e">
        <f>VLOOKUP(AB2994,#REF!,2,FALSE)</f>
        <v>#REF!</v>
      </c>
      <c r="AE2994" t="e">
        <f>RIGHT(#REF!,(FIND("Complex",#REF!,1)-7))</f>
        <v>#REF!</v>
      </c>
    </row>
    <row r="2995" spans="1:31" x14ac:dyDescent="0.25">
      <c r="A2995">
        <v>707</v>
      </c>
      <c r="B2995" t="s">
        <v>77</v>
      </c>
      <c r="C2995">
        <v>87</v>
      </c>
      <c r="D2995">
        <v>310</v>
      </c>
      <c r="E2995">
        <v>707</v>
      </c>
      <c r="F2995">
        <v>11377801</v>
      </c>
      <c r="G2995">
        <v>11466000</v>
      </c>
      <c r="H2995">
        <f t="shared" si="92"/>
        <v>258.00002267573694</v>
      </c>
      <c r="I2995">
        <f t="shared" si="93"/>
        <v>260</v>
      </c>
      <c r="J2995" t="s">
        <v>25</v>
      </c>
      <c r="K2995">
        <v>6</v>
      </c>
      <c r="L2995" t="e">
        <f t="array" ref="L2995">VLOOKUP(J2995:$J$3871&amp;K2995:$K$3871,CHOOSE({1,2},#REF!&amp;#REF!,#REF!),2,0)</f>
        <v>#N/A</v>
      </c>
      <c r="M2995">
        <v>-15</v>
      </c>
      <c r="N2995">
        <v>0</v>
      </c>
      <c r="O2995" t="s">
        <v>7</v>
      </c>
      <c r="P2995">
        <v>1</v>
      </c>
      <c r="Q2995">
        <v>1</v>
      </c>
      <c r="R2995">
        <v>0</v>
      </c>
      <c r="S2995">
        <v>1</v>
      </c>
      <c r="T2995">
        <v>1</v>
      </c>
      <c r="U2995">
        <v>0</v>
      </c>
      <c r="V2995">
        <v>0</v>
      </c>
      <c r="W2995">
        <v>1</v>
      </c>
      <c r="X2995">
        <v>0</v>
      </c>
      <c r="Y2995">
        <v>1</v>
      </c>
      <c r="Z2995">
        <v>0</v>
      </c>
      <c r="AA2995" t="s">
        <v>2922</v>
      </c>
      <c r="AB2995" t="s">
        <v>6223</v>
      </c>
      <c r="AC2995" t="s">
        <v>2922</v>
      </c>
      <c r="AD2995" t="e">
        <f>VLOOKUP(AB2995,#REF!,2,FALSE)</f>
        <v>#REF!</v>
      </c>
      <c r="AE2995" t="e">
        <f>RIGHT(#REF!,(FIND("Complex",#REF!,1)-6))</f>
        <v>#REF!</v>
      </c>
    </row>
    <row r="2996" spans="1:31" x14ac:dyDescent="0.25">
      <c r="A2996">
        <v>3605</v>
      </c>
      <c r="B2996" t="s">
        <v>77</v>
      </c>
      <c r="C2996">
        <v>87</v>
      </c>
      <c r="D2996">
        <v>1143</v>
      </c>
      <c r="E2996">
        <v>3605</v>
      </c>
      <c r="F2996">
        <v>11289601</v>
      </c>
      <c r="G2996">
        <v>11377800</v>
      </c>
      <c r="H2996">
        <f t="shared" si="92"/>
        <v>256.00002267573694</v>
      </c>
      <c r="I2996">
        <f t="shared" si="93"/>
        <v>258</v>
      </c>
      <c r="J2996" t="s">
        <v>25</v>
      </c>
      <c r="K2996">
        <v>6</v>
      </c>
      <c r="L2996" t="e">
        <f t="array" ref="L2996">VLOOKUP(J2996:$J$3871&amp;K2996:$K$3871,CHOOSE({1,2},#REF!&amp;#REF!,#REF!),2,0)</f>
        <v>#N/A</v>
      </c>
      <c r="M2996">
        <v>-15</v>
      </c>
      <c r="N2996">
        <v>0</v>
      </c>
      <c r="O2996" t="s">
        <v>7</v>
      </c>
      <c r="P2996">
        <v>1</v>
      </c>
      <c r="Q2996">
        <v>1</v>
      </c>
      <c r="R2996">
        <v>0</v>
      </c>
      <c r="S2996">
        <v>1</v>
      </c>
      <c r="T2996">
        <v>1</v>
      </c>
      <c r="U2996">
        <v>0</v>
      </c>
      <c r="V2996">
        <v>0</v>
      </c>
      <c r="W2996">
        <v>1</v>
      </c>
      <c r="X2996">
        <v>0</v>
      </c>
      <c r="Y2996">
        <v>1</v>
      </c>
      <c r="Z2996">
        <v>0</v>
      </c>
      <c r="AA2996" t="s">
        <v>2924</v>
      </c>
      <c r="AB2996" t="s">
        <v>1791</v>
      </c>
      <c r="AC2996" t="s">
        <v>2924</v>
      </c>
      <c r="AD2996" t="e">
        <f>VLOOKUP(AB2996,#REF!,2,FALSE)</f>
        <v>#REF!</v>
      </c>
      <c r="AE2996" t="e">
        <f>RIGHT(#REF!,(FIND("Complex",#REF!,1)-8))</f>
        <v>#REF!</v>
      </c>
    </row>
    <row r="2997" spans="1:31" x14ac:dyDescent="0.25">
      <c r="A2997">
        <v>2984</v>
      </c>
      <c r="B2997" t="s">
        <v>77</v>
      </c>
      <c r="C2997">
        <v>87</v>
      </c>
      <c r="D2997">
        <v>1014</v>
      </c>
      <c r="E2997">
        <v>2984</v>
      </c>
      <c r="F2997">
        <v>9437401</v>
      </c>
      <c r="G2997">
        <v>9525600</v>
      </c>
      <c r="H2997">
        <f t="shared" si="92"/>
        <v>214.00002267573697</v>
      </c>
      <c r="I2997">
        <f t="shared" si="93"/>
        <v>216</v>
      </c>
      <c r="J2997" t="s">
        <v>25</v>
      </c>
      <c r="K2997">
        <v>6</v>
      </c>
      <c r="L2997" t="e">
        <f t="array" ref="L2997">VLOOKUP(J2997:$J$3871&amp;K2997:$K$3871,CHOOSE({1,2},#REF!&amp;#REF!,#REF!),2,0)</f>
        <v>#N/A</v>
      </c>
      <c r="M2997">
        <v>-15</v>
      </c>
      <c r="N2997">
        <v>0</v>
      </c>
      <c r="O2997" t="s">
        <v>7</v>
      </c>
      <c r="P2997">
        <v>1</v>
      </c>
      <c r="Q2997">
        <v>1</v>
      </c>
      <c r="R2997">
        <v>0</v>
      </c>
      <c r="S2997">
        <v>1</v>
      </c>
      <c r="T2997">
        <v>1</v>
      </c>
      <c r="U2997">
        <v>0</v>
      </c>
      <c r="V2997">
        <v>0</v>
      </c>
      <c r="W2997">
        <v>1</v>
      </c>
      <c r="X2997">
        <v>0</v>
      </c>
      <c r="Y2997">
        <v>1</v>
      </c>
      <c r="Z2997">
        <v>0</v>
      </c>
      <c r="AA2997" t="s">
        <v>3018</v>
      </c>
      <c r="AB2997" t="s">
        <v>1792</v>
      </c>
      <c r="AC2997" t="s">
        <v>3018</v>
      </c>
      <c r="AD2997" t="e">
        <f>VLOOKUP(AB2997,#REF!,2,FALSE)</f>
        <v>#REF!</v>
      </c>
      <c r="AE2997" t="e">
        <f>RIGHT(#REF!,(FIND("Complex",#REF!,1)-8))</f>
        <v>#REF!</v>
      </c>
    </row>
    <row r="2998" spans="1:31" x14ac:dyDescent="0.25">
      <c r="A2998">
        <v>611</v>
      </c>
      <c r="B2998" t="s">
        <v>77</v>
      </c>
      <c r="C2998">
        <v>87</v>
      </c>
      <c r="D2998">
        <v>262</v>
      </c>
      <c r="E2998">
        <v>611</v>
      </c>
      <c r="F2998">
        <v>9261001</v>
      </c>
      <c r="G2998">
        <v>9349200</v>
      </c>
      <c r="H2998">
        <f t="shared" si="92"/>
        <v>210.00002267573697</v>
      </c>
      <c r="I2998">
        <f t="shared" si="93"/>
        <v>212</v>
      </c>
      <c r="J2998" t="s">
        <v>25</v>
      </c>
      <c r="K2998">
        <v>6</v>
      </c>
      <c r="L2998" t="e">
        <f t="array" ref="L2998">VLOOKUP(J2998:$J$3871&amp;K2998:$K$3871,CHOOSE({1,2},#REF!&amp;#REF!,#REF!),2,0)</f>
        <v>#N/A</v>
      </c>
      <c r="M2998">
        <v>-15</v>
      </c>
      <c r="N2998">
        <v>0</v>
      </c>
      <c r="O2998" t="s">
        <v>7</v>
      </c>
      <c r="P2998">
        <v>1</v>
      </c>
      <c r="Q2998">
        <v>1</v>
      </c>
      <c r="R2998">
        <v>0</v>
      </c>
      <c r="S2998">
        <v>1</v>
      </c>
      <c r="T2998">
        <v>1</v>
      </c>
      <c r="U2998">
        <v>0</v>
      </c>
      <c r="V2998">
        <v>0</v>
      </c>
      <c r="W2998">
        <v>1</v>
      </c>
      <c r="X2998">
        <v>0</v>
      </c>
      <c r="Y2998">
        <v>1</v>
      </c>
      <c r="Z2998">
        <v>0</v>
      </c>
      <c r="AA2998" t="s">
        <v>3025</v>
      </c>
      <c r="AB2998" t="s">
        <v>1793</v>
      </c>
      <c r="AC2998" t="s">
        <v>3025</v>
      </c>
      <c r="AD2998" t="e">
        <f>VLOOKUP(AB2998,#REF!,2,FALSE)</f>
        <v>#REF!</v>
      </c>
      <c r="AE2998" t="e">
        <f>RIGHT(#REF!,(FIND("Complex",#REF!,1)-6))</f>
        <v>#REF!</v>
      </c>
    </row>
    <row r="2999" spans="1:31" x14ac:dyDescent="0.25">
      <c r="A2999">
        <v>846</v>
      </c>
      <c r="B2999" t="s">
        <v>83</v>
      </c>
      <c r="C2999">
        <v>97</v>
      </c>
      <c r="D2999">
        <v>381</v>
      </c>
      <c r="E2999">
        <v>846</v>
      </c>
      <c r="F2999">
        <v>7673401</v>
      </c>
      <c r="G2999">
        <v>7761600</v>
      </c>
      <c r="H2999">
        <f t="shared" si="92"/>
        <v>174.00002267573697</v>
      </c>
      <c r="I2999">
        <f t="shared" si="93"/>
        <v>176</v>
      </c>
      <c r="J2999" t="s">
        <v>25</v>
      </c>
      <c r="K2999">
        <v>6</v>
      </c>
      <c r="L2999" t="e">
        <f t="array" ref="L2999">VLOOKUP(J2999:$J$3871&amp;K2999:$K$3871,CHOOSE({1,2},#REF!&amp;#REF!,#REF!),2,0)</f>
        <v>#N/A</v>
      </c>
      <c r="M2999">
        <v>-15</v>
      </c>
      <c r="N2999">
        <v>0</v>
      </c>
      <c r="O2999" t="s">
        <v>7</v>
      </c>
      <c r="P2999">
        <v>1</v>
      </c>
      <c r="Q2999">
        <v>1</v>
      </c>
      <c r="R2999">
        <v>1</v>
      </c>
      <c r="S2999">
        <v>1</v>
      </c>
      <c r="T2999">
        <v>0</v>
      </c>
      <c r="U2999">
        <v>0</v>
      </c>
      <c r="V2999">
        <v>0</v>
      </c>
      <c r="W2999">
        <v>1</v>
      </c>
      <c r="X2999">
        <v>1</v>
      </c>
      <c r="Y2999">
        <v>0</v>
      </c>
      <c r="Z2999">
        <v>0</v>
      </c>
      <c r="AA2999" t="s">
        <v>3153</v>
      </c>
      <c r="AB2999" t="s">
        <v>1898</v>
      </c>
      <c r="AC2999" t="s">
        <v>3153</v>
      </c>
      <c r="AD2999" t="e">
        <f>VLOOKUP(AB2999,#REF!,2,FALSE)</f>
        <v>#REF!</v>
      </c>
      <c r="AE2999" t="e">
        <f>RIGHT(#REF!,(FIND("Complex",#REF!,1)-6))</f>
        <v>#REF!</v>
      </c>
    </row>
    <row r="3000" spans="1:31" x14ac:dyDescent="0.25">
      <c r="A3000">
        <v>3497</v>
      </c>
      <c r="B3000" t="s">
        <v>83</v>
      </c>
      <c r="C3000">
        <v>97</v>
      </c>
      <c r="D3000">
        <v>1115</v>
      </c>
      <c r="E3000">
        <v>3497</v>
      </c>
      <c r="F3000">
        <v>7144201</v>
      </c>
      <c r="G3000">
        <v>7232400</v>
      </c>
      <c r="H3000">
        <f t="shared" si="92"/>
        <v>162.00002267573697</v>
      </c>
      <c r="I3000">
        <f t="shared" si="93"/>
        <v>164</v>
      </c>
      <c r="J3000" t="s">
        <v>25</v>
      </c>
      <c r="K3000">
        <v>6</v>
      </c>
      <c r="L3000" t="e">
        <f t="array" ref="L3000">VLOOKUP(J3000:$J$3871&amp;K3000:$K$3871,CHOOSE({1,2},#REF!&amp;#REF!,#REF!),2,0)</f>
        <v>#N/A</v>
      </c>
      <c r="M3000">
        <v>-15</v>
      </c>
      <c r="N3000">
        <v>0</v>
      </c>
      <c r="O3000" t="s">
        <v>7</v>
      </c>
      <c r="P3000">
        <v>1</v>
      </c>
      <c r="Q3000">
        <v>1</v>
      </c>
      <c r="R3000">
        <v>1</v>
      </c>
      <c r="S3000">
        <v>1</v>
      </c>
      <c r="T3000">
        <v>0</v>
      </c>
      <c r="U3000">
        <v>0</v>
      </c>
      <c r="V3000">
        <v>0</v>
      </c>
      <c r="W3000">
        <v>1</v>
      </c>
      <c r="X3000">
        <v>1</v>
      </c>
      <c r="Y3000">
        <v>0</v>
      </c>
      <c r="Z3000">
        <v>0</v>
      </c>
      <c r="AA3000" t="s">
        <v>3189</v>
      </c>
      <c r="AB3000" t="s">
        <v>1899</v>
      </c>
      <c r="AC3000" t="s">
        <v>3189</v>
      </c>
      <c r="AD3000" t="e">
        <f>VLOOKUP(AB3000,#REF!,2,FALSE)</f>
        <v>#REF!</v>
      </c>
      <c r="AE3000" t="e">
        <f>RIGHT(#REF!,(FIND("Complex",#REF!,1)-8))</f>
        <v>#REF!</v>
      </c>
    </row>
    <row r="3001" spans="1:31" x14ac:dyDescent="0.25">
      <c r="A3001">
        <v>2900</v>
      </c>
      <c r="B3001" t="s">
        <v>74</v>
      </c>
      <c r="C3001">
        <v>101</v>
      </c>
      <c r="D3001">
        <v>1000</v>
      </c>
      <c r="E3001">
        <v>2900</v>
      </c>
      <c r="F3001">
        <v>10584001</v>
      </c>
      <c r="G3001">
        <v>10672200</v>
      </c>
      <c r="H3001">
        <f t="shared" si="92"/>
        <v>240.00002267573697</v>
      </c>
      <c r="I3001">
        <f t="shared" si="93"/>
        <v>242</v>
      </c>
      <c r="J3001" t="s">
        <v>25</v>
      </c>
      <c r="K3001">
        <v>6</v>
      </c>
      <c r="L3001" t="e">
        <f t="array" ref="L3001">VLOOKUP(J3001:$J$3871&amp;K3001:$K$3871,CHOOSE({1,2},#REF!&amp;#REF!,#REF!),2,0)</f>
        <v>#N/A</v>
      </c>
      <c r="M3001">
        <v>-15</v>
      </c>
      <c r="N3001">
        <v>0</v>
      </c>
      <c r="O3001" t="s">
        <v>7</v>
      </c>
      <c r="P3001">
        <v>1</v>
      </c>
      <c r="Q3001">
        <v>1</v>
      </c>
      <c r="R3001">
        <v>0</v>
      </c>
      <c r="S3001">
        <v>1</v>
      </c>
      <c r="T3001">
        <v>0</v>
      </c>
      <c r="U3001">
        <v>0</v>
      </c>
      <c r="V3001">
        <v>0</v>
      </c>
      <c r="W3001">
        <v>1</v>
      </c>
      <c r="X3001">
        <v>1</v>
      </c>
      <c r="Y3001">
        <v>1</v>
      </c>
      <c r="Z3001">
        <v>0</v>
      </c>
      <c r="AA3001" t="s">
        <v>2960</v>
      </c>
      <c r="AB3001" t="s">
        <v>1943</v>
      </c>
      <c r="AC3001" t="s">
        <v>2960</v>
      </c>
      <c r="AD3001" t="e">
        <f>VLOOKUP(AB3001,#REF!,2,FALSE)</f>
        <v>#REF!</v>
      </c>
      <c r="AE3001" t="e">
        <f>RIGHT(#REF!,(FIND("Complex",#REF!,1)-7))</f>
        <v>#REF!</v>
      </c>
    </row>
    <row r="3002" spans="1:31" x14ac:dyDescent="0.25">
      <c r="A3002">
        <v>2890</v>
      </c>
      <c r="B3002" t="s">
        <v>74</v>
      </c>
      <c r="C3002">
        <v>101</v>
      </c>
      <c r="D3002">
        <v>997</v>
      </c>
      <c r="E3002">
        <v>2890</v>
      </c>
      <c r="F3002">
        <v>10319401</v>
      </c>
      <c r="G3002">
        <v>10407600</v>
      </c>
      <c r="H3002">
        <f t="shared" si="92"/>
        <v>234.00002267573697</v>
      </c>
      <c r="I3002">
        <f t="shared" si="93"/>
        <v>236</v>
      </c>
      <c r="J3002" t="s">
        <v>25</v>
      </c>
      <c r="K3002">
        <v>6</v>
      </c>
      <c r="L3002" t="e">
        <f t="array" ref="L3002">VLOOKUP(J3002:$J$3871&amp;K3002:$K$3871,CHOOSE({1,2},#REF!&amp;#REF!,#REF!),2,0)</f>
        <v>#N/A</v>
      </c>
      <c r="M3002">
        <v>-15</v>
      </c>
      <c r="N3002">
        <v>0</v>
      </c>
      <c r="O3002" t="s">
        <v>7</v>
      </c>
      <c r="P3002">
        <v>1</v>
      </c>
      <c r="Q3002">
        <v>1</v>
      </c>
      <c r="R3002">
        <v>0</v>
      </c>
      <c r="S3002">
        <v>1</v>
      </c>
      <c r="T3002">
        <v>0</v>
      </c>
      <c r="U3002">
        <v>0</v>
      </c>
      <c r="V3002">
        <v>0</v>
      </c>
      <c r="W3002">
        <v>1</v>
      </c>
      <c r="X3002">
        <v>1</v>
      </c>
      <c r="Y3002">
        <v>1</v>
      </c>
      <c r="Z3002">
        <v>0</v>
      </c>
      <c r="AA3002" t="s">
        <v>2973</v>
      </c>
      <c r="AB3002" t="s">
        <v>1944</v>
      </c>
      <c r="AC3002" t="s">
        <v>2973</v>
      </c>
      <c r="AD3002" t="e">
        <f>VLOOKUP(AB3002,#REF!,2,FALSE)</f>
        <v>#REF!</v>
      </c>
      <c r="AE3002" t="e">
        <f>RIGHT(#REF!,(FIND("Complex",#REF!,1)-6))</f>
        <v>#REF!</v>
      </c>
    </row>
    <row r="3003" spans="1:31" x14ac:dyDescent="0.25">
      <c r="A3003">
        <v>949</v>
      </c>
      <c r="B3003" t="s">
        <v>74</v>
      </c>
      <c r="C3003">
        <v>101</v>
      </c>
      <c r="D3003">
        <v>417</v>
      </c>
      <c r="E3003">
        <v>949</v>
      </c>
      <c r="F3003">
        <v>8643601</v>
      </c>
      <c r="G3003">
        <v>8731800</v>
      </c>
      <c r="H3003">
        <f t="shared" si="92"/>
        <v>196.00002267573697</v>
      </c>
      <c r="I3003">
        <f t="shared" si="93"/>
        <v>198</v>
      </c>
      <c r="J3003" t="s">
        <v>25</v>
      </c>
      <c r="K3003">
        <v>6</v>
      </c>
      <c r="L3003" t="e">
        <f t="array" ref="L3003">VLOOKUP(J3003:$J$3871&amp;K3003:$K$3871,CHOOSE({1,2},#REF!&amp;#REF!,#REF!),2,0)</f>
        <v>#N/A</v>
      </c>
      <c r="M3003">
        <v>-15</v>
      </c>
      <c r="N3003">
        <v>0</v>
      </c>
      <c r="O3003" t="s">
        <v>7</v>
      </c>
      <c r="P3003">
        <v>1</v>
      </c>
      <c r="Q3003">
        <v>1</v>
      </c>
      <c r="R3003">
        <v>0</v>
      </c>
      <c r="S3003">
        <v>1</v>
      </c>
      <c r="T3003">
        <v>0</v>
      </c>
      <c r="U3003">
        <v>0</v>
      </c>
      <c r="V3003">
        <v>0</v>
      </c>
      <c r="W3003">
        <v>1</v>
      </c>
      <c r="X3003">
        <v>1</v>
      </c>
      <c r="Y3003">
        <v>1</v>
      </c>
      <c r="Z3003">
        <v>0</v>
      </c>
      <c r="AA3003" t="s">
        <v>3069</v>
      </c>
      <c r="AB3003" t="s">
        <v>6256</v>
      </c>
      <c r="AC3003" t="s">
        <v>3069</v>
      </c>
      <c r="AD3003" t="e">
        <f>VLOOKUP(AB3003,#REF!,2,FALSE)</f>
        <v>#REF!</v>
      </c>
      <c r="AE3003" t="e">
        <f>RIGHT(#REF!,(FIND("Complex",#REF!,1)-5))</f>
        <v>#REF!</v>
      </c>
    </row>
    <row r="3004" spans="1:31" x14ac:dyDescent="0.25">
      <c r="A3004">
        <v>3480</v>
      </c>
      <c r="B3004" t="s">
        <v>74</v>
      </c>
      <c r="C3004">
        <v>101</v>
      </c>
      <c r="D3004">
        <v>1111</v>
      </c>
      <c r="E3004">
        <v>3480</v>
      </c>
      <c r="F3004">
        <v>6350401</v>
      </c>
      <c r="G3004">
        <v>6438600</v>
      </c>
      <c r="H3004">
        <f t="shared" si="92"/>
        <v>144.00002267573697</v>
      </c>
      <c r="I3004">
        <f t="shared" si="93"/>
        <v>146</v>
      </c>
      <c r="J3004" t="s">
        <v>25</v>
      </c>
      <c r="K3004">
        <v>6</v>
      </c>
      <c r="L3004" t="e">
        <f t="array" ref="L3004">VLOOKUP(J3004:$J$3871&amp;K3004:$K$3871,CHOOSE({1,2},#REF!&amp;#REF!,#REF!),2,0)</f>
        <v>#N/A</v>
      </c>
      <c r="M3004">
        <v>-15</v>
      </c>
      <c r="N3004">
        <v>0</v>
      </c>
      <c r="O3004" t="s">
        <v>7</v>
      </c>
      <c r="P3004">
        <v>1</v>
      </c>
      <c r="Q3004">
        <v>1</v>
      </c>
      <c r="R3004">
        <v>0</v>
      </c>
      <c r="S3004">
        <v>1</v>
      </c>
      <c r="T3004">
        <v>0</v>
      </c>
      <c r="U3004">
        <v>0</v>
      </c>
      <c r="V3004">
        <v>0</v>
      </c>
      <c r="W3004">
        <v>1</v>
      </c>
      <c r="X3004">
        <v>1</v>
      </c>
      <c r="Y3004">
        <v>1</v>
      </c>
      <c r="Z3004">
        <v>0</v>
      </c>
      <c r="AA3004" t="s">
        <v>3254</v>
      </c>
      <c r="AB3004" t="s">
        <v>1945</v>
      </c>
      <c r="AC3004" t="s">
        <v>3254</v>
      </c>
      <c r="AD3004" t="e">
        <f>VLOOKUP(AB3004,#REF!,2,FALSE)</f>
        <v>#REF!</v>
      </c>
      <c r="AE3004" t="e">
        <f>RIGHT(#REF!,(FIND("Complex",#REF!,1)-7))</f>
        <v>#REF!</v>
      </c>
    </row>
    <row r="3005" spans="1:31" x14ac:dyDescent="0.25">
      <c r="A3005">
        <v>3458</v>
      </c>
      <c r="B3005" t="s">
        <v>74</v>
      </c>
      <c r="C3005">
        <v>101</v>
      </c>
      <c r="D3005">
        <v>1106</v>
      </c>
      <c r="E3005">
        <v>3458</v>
      </c>
      <c r="F3005">
        <v>6174001</v>
      </c>
      <c r="G3005">
        <v>6262200</v>
      </c>
      <c r="H3005">
        <f t="shared" si="92"/>
        <v>140.00002267573697</v>
      </c>
      <c r="I3005">
        <f t="shared" si="93"/>
        <v>142</v>
      </c>
      <c r="J3005" t="s">
        <v>25</v>
      </c>
      <c r="K3005">
        <v>6</v>
      </c>
      <c r="L3005" t="e">
        <f t="array" ref="L3005">VLOOKUP(J3005:$J$3871&amp;K3005:$K$3871,CHOOSE({1,2},#REF!&amp;#REF!,#REF!),2,0)</f>
        <v>#N/A</v>
      </c>
      <c r="M3005">
        <v>-15</v>
      </c>
      <c r="N3005">
        <v>0</v>
      </c>
      <c r="O3005" t="s">
        <v>7</v>
      </c>
      <c r="P3005">
        <v>1</v>
      </c>
      <c r="Q3005">
        <v>1</v>
      </c>
      <c r="R3005">
        <v>0</v>
      </c>
      <c r="S3005">
        <v>1</v>
      </c>
      <c r="T3005">
        <v>0</v>
      </c>
      <c r="U3005">
        <v>0</v>
      </c>
      <c r="V3005">
        <v>0</v>
      </c>
      <c r="W3005">
        <v>1</v>
      </c>
      <c r="X3005">
        <v>1</v>
      </c>
      <c r="Y3005">
        <v>1</v>
      </c>
      <c r="Z3005">
        <v>0</v>
      </c>
      <c r="AA3005" t="s">
        <v>3270</v>
      </c>
      <c r="AB3005" t="s">
        <v>6293</v>
      </c>
      <c r="AC3005" t="s">
        <v>3270</v>
      </c>
      <c r="AD3005" t="e">
        <f>VLOOKUP(AB3005,#REF!,2,FALSE)</f>
        <v>#REF!</v>
      </c>
      <c r="AE3005" t="e">
        <f>RIGHT(#REF!,(FIND("Complex",#REF!,1)-7))</f>
        <v>#REF!</v>
      </c>
    </row>
    <row r="3006" spans="1:31" x14ac:dyDescent="0.25">
      <c r="A3006">
        <v>242</v>
      </c>
      <c r="B3006" t="s">
        <v>74</v>
      </c>
      <c r="C3006">
        <v>101</v>
      </c>
      <c r="D3006">
        <v>104</v>
      </c>
      <c r="E3006">
        <v>242</v>
      </c>
      <c r="F3006">
        <v>5909401</v>
      </c>
      <c r="G3006">
        <v>5997600</v>
      </c>
      <c r="H3006">
        <f t="shared" si="92"/>
        <v>134.00002267573697</v>
      </c>
      <c r="I3006">
        <f t="shared" si="93"/>
        <v>136</v>
      </c>
      <c r="J3006" t="s">
        <v>25</v>
      </c>
      <c r="K3006">
        <v>6</v>
      </c>
      <c r="L3006" t="e">
        <f t="array" ref="L3006">VLOOKUP(J3006:$J$3871&amp;K3006:$K$3871,CHOOSE({1,2},#REF!&amp;#REF!,#REF!),2,0)</f>
        <v>#N/A</v>
      </c>
      <c r="M3006">
        <v>-15</v>
      </c>
      <c r="N3006">
        <v>0</v>
      </c>
      <c r="O3006" t="s">
        <v>7</v>
      </c>
      <c r="P3006">
        <v>1</v>
      </c>
      <c r="Q3006">
        <v>1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1</v>
      </c>
      <c r="X3006">
        <v>1</v>
      </c>
      <c r="Y3006">
        <v>1</v>
      </c>
      <c r="Z3006">
        <v>0</v>
      </c>
      <c r="AA3006" t="s">
        <v>3304</v>
      </c>
      <c r="AB3006" t="s">
        <v>1946</v>
      </c>
      <c r="AC3006" t="s">
        <v>3304</v>
      </c>
      <c r="AD3006" t="e">
        <f>VLOOKUP(AB3006,#REF!,2,FALSE)</f>
        <v>#REF!</v>
      </c>
      <c r="AE3006" t="e">
        <f>RIGHT(#REF!,(FIND("Complex",#REF!,1)-5))</f>
        <v>#REF!</v>
      </c>
    </row>
    <row r="3007" spans="1:31" x14ac:dyDescent="0.25">
      <c r="A3007">
        <v>421</v>
      </c>
      <c r="B3007" t="s">
        <v>74</v>
      </c>
      <c r="C3007">
        <v>101</v>
      </c>
      <c r="D3007">
        <v>178</v>
      </c>
      <c r="E3007">
        <v>421</v>
      </c>
      <c r="F3007">
        <v>5821201</v>
      </c>
      <c r="G3007">
        <v>5909400</v>
      </c>
      <c r="H3007">
        <f t="shared" si="92"/>
        <v>132.00002267573697</v>
      </c>
      <c r="I3007">
        <f t="shared" si="93"/>
        <v>134</v>
      </c>
      <c r="J3007" t="s">
        <v>25</v>
      </c>
      <c r="K3007">
        <v>6</v>
      </c>
      <c r="L3007" t="e">
        <f t="array" ref="L3007">VLOOKUP(J3007:$J$3871&amp;K3007:$K$3871,CHOOSE({1,2},#REF!&amp;#REF!,#REF!),2,0)</f>
        <v>#N/A</v>
      </c>
      <c r="M3007">
        <v>-15</v>
      </c>
      <c r="N3007">
        <v>0</v>
      </c>
      <c r="O3007" t="s">
        <v>7</v>
      </c>
      <c r="P3007">
        <v>1</v>
      </c>
      <c r="Q3007">
        <v>1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1</v>
      </c>
      <c r="X3007">
        <v>1</v>
      </c>
      <c r="Y3007">
        <v>1</v>
      </c>
      <c r="Z3007">
        <v>0</v>
      </c>
      <c r="AA3007" t="s">
        <v>3317</v>
      </c>
      <c r="AB3007" t="s">
        <v>1947</v>
      </c>
      <c r="AC3007" t="s">
        <v>3317</v>
      </c>
      <c r="AD3007" t="e">
        <f>VLOOKUP(AB3007,#REF!,2,FALSE)</f>
        <v>#REF!</v>
      </c>
      <c r="AE3007" t="e">
        <f>RIGHT(#REF!,(FIND("Complex",#REF!,1)-5))</f>
        <v>#REF!</v>
      </c>
    </row>
    <row r="3008" spans="1:31" x14ac:dyDescent="0.25">
      <c r="A3008">
        <v>3162</v>
      </c>
      <c r="B3008" t="s">
        <v>74</v>
      </c>
      <c r="C3008">
        <v>101</v>
      </c>
      <c r="D3008">
        <v>1050</v>
      </c>
      <c r="E3008">
        <v>3162</v>
      </c>
      <c r="F3008">
        <v>5292001</v>
      </c>
      <c r="G3008">
        <v>5380200</v>
      </c>
      <c r="H3008">
        <f t="shared" si="92"/>
        <v>120.00002267573696</v>
      </c>
      <c r="I3008">
        <f t="shared" si="93"/>
        <v>122</v>
      </c>
      <c r="J3008" t="s">
        <v>25</v>
      </c>
      <c r="K3008">
        <v>6</v>
      </c>
      <c r="L3008" t="e">
        <f t="array" ref="L3008">VLOOKUP(J3008:$J$3871&amp;K3008:$K$3871,CHOOSE({1,2},#REF!&amp;#REF!,#REF!),2,0)</f>
        <v>#N/A</v>
      </c>
      <c r="M3008">
        <v>-15</v>
      </c>
      <c r="N3008">
        <v>0</v>
      </c>
      <c r="O3008" t="s">
        <v>7</v>
      </c>
      <c r="P3008">
        <v>1</v>
      </c>
      <c r="Q3008">
        <v>1</v>
      </c>
      <c r="R3008">
        <v>0</v>
      </c>
      <c r="S3008">
        <v>1</v>
      </c>
      <c r="T3008">
        <v>0</v>
      </c>
      <c r="U3008">
        <v>0</v>
      </c>
      <c r="V3008">
        <v>0</v>
      </c>
      <c r="W3008">
        <v>1</v>
      </c>
      <c r="X3008">
        <v>1</v>
      </c>
      <c r="Y3008">
        <v>1</v>
      </c>
      <c r="Z3008">
        <v>0</v>
      </c>
      <c r="AA3008" t="s">
        <v>3389</v>
      </c>
      <c r="AB3008" t="s">
        <v>1948</v>
      </c>
      <c r="AC3008" t="s">
        <v>3389</v>
      </c>
      <c r="AD3008" t="e">
        <f>VLOOKUP(AB3008,#REF!,2,FALSE)</f>
        <v>#REF!</v>
      </c>
      <c r="AE3008" t="e">
        <f>RIGHT(#REF!,(FIND("Complex",#REF!,1)-7))</f>
        <v>#REF!</v>
      </c>
    </row>
    <row r="3009" spans="1:31" x14ac:dyDescent="0.25">
      <c r="A3009">
        <v>2410</v>
      </c>
      <c r="B3009" t="s">
        <v>74</v>
      </c>
      <c r="C3009">
        <v>101</v>
      </c>
      <c r="D3009">
        <v>954</v>
      </c>
      <c r="E3009">
        <v>2410</v>
      </c>
      <c r="F3009">
        <v>5115601</v>
      </c>
      <c r="G3009">
        <v>5203800</v>
      </c>
      <c r="H3009">
        <f t="shared" si="92"/>
        <v>116.00002267573696</v>
      </c>
      <c r="I3009">
        <f t="shared" si="93"/>
        <v>118</v>
      </c>
      <c r="J3009" t="s">
        <v>25</v>
      </c>
      <c r="K3009">
        <v>6</v>
      </c>
      <c r="L3009" t="e">
        <f t="array" ref="L3009">VLOOKUP(J3009:$J$3871&amp;K3009:$K$3871,CHOOSE({1,2},#REF!&amp;#REF!,#REF!),2,0)</f>
        <v>#N/A</v>
      </c>
      <c r="M3009">
        <v>-15</v>
      </c>
      <c r="N3009">
        <v>0</v>
      </c>
      <c r="O3009" t="s">
        <v>7</v>
      </c>
      <c r="P3009">
        <v>1</v>
      </c>
      <c r="Q3009">
        <v>1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1</v>
      </c>
      <c r="X3009">
        <v>1</v>
      </c>
      <c r="Y3009">
        <v>1</v>
      </c>
      <c r="Z3009">
        <v>0</v>
      </c>
      <c r="AA3009" t="s">
        <v>3419</v>
      </c>
      <c r="AB3009" t="s">
        <v>1949</v>
      </c>
      <c r="AC3009" t="s">
        <v>3419</v>
      </c>
      <c r="AD3009" t="e">
        <f>VLOOKUP(AB3009,#REF!,2,FALSE)</f>
        <v>#REF!</v>
      </c>
      <c r="AE3009" t="e">
        <f>RIGHT(#REF!,(FIND("Complex",#REF!,1)-6))</f>
        <v>#REF!</v>
      </c>
    </row>
    <row r="3010" spans="1:31" x14ac:dyDescent="0.25">
      <c r="A3010">
        <v>3828</v>
      </c>
      <c r="B3010" t="s">
        <v>55</v>
      </c>
      <c r="C3010">
        <v>102</v>
      </c>
      <c r="D3010">
        <v>1217</v>
      </c>
      <c r="E3010">
        <v>3828</v>
      </c>
      <c r="F3010">
        <v>2822401</v>
      </c>
      <c r="G3010">
        <v>2910600</v>
      </c>
      <c r="H3010">
        <f t="shared" ref="H3010:H3073" si="94">F3010/44100</f>
        <v>64.000022675736957</v>
      </c>
      <c r="I3010">
        <f t="shared" ref="I3010:I3073" si="95">G3010/44100</f>
        <v>66</v>
      </c>
      <c r="J3010" t="s">
        <v>25</v>
      </c>
      <c r="K3010">
        <v>6</v>
      </c>
      <c r="L3010" t="e">
        <f t="array" ref="L3010">VLOOKUP(J3010:$J$3871&amp;K3010:$K$3871,CHOOSE({1,2},#REF!&amp;#REF!,#REF!),2,0)</f>
        <v>#N/A</v>
      </c>
      <c r="M3010">
        <v>-15</v>
      </c>
      <c r="N3010">
        <v>0</v>
      </c>
      <c r="O3010" t="s">
        <v>7</v>
      </c>
      <c r="P3010">
        <v>1</v>
      </c>
      <c r="Q3010">
        <v>0</v>
      </c>
      <c r="R3010">
        <v>1</v>
      </c>
      <c r="S3010">
        <v>1</v>
      </c>
      <c r="T3010">
        <v>0</v>
      </c>
      <c r="U3010">
        <v>1</v>
      </c>
      <c r="V3010">
        <v>0</v>
      </c>
      <c r="W3010">
        <v>1</v>
      </c>
      <c r="X3010">
        <v>1</v>
      </c>
      <c r="Y3010">
        <v>0</v>
      </c>
      <c r="Z3010">
        <v>0</v>
      </c>
      <c r="AA3010" t="s">
        <v>2770</v>
      </c>
      <c r="AB3010" t="s">
        <v>6180</v>
      </c>
      <c r="AC3010" t="s">
        <v>2770</v>
      </c>
      <c r="AD3010" t="e">
        <f>VLOOKUP(AB3010,#REF!,2,FALSE)</f>
        <v>#REF!</v>
      </c>
      <c r="AE3010" t="e">
        <f>RIGHT(#REF!,(FIND("Complex",#REF!,1)-8))</f>
        <v>#REF!</v>
      </c>
    </row>
    <row r="3011" spans="1:31" x14ac:dyDescent="0.25">
      <c r="A3011">
        <v>3439</v>
      </c>
      <c r="B3011" t="s">
        <v>55</v>
      </c>
      <c r="C3011">
        <v>102</v>
      </c>
      <c r="D3011">
        <v>1103</v>
      </c>
      <c r="E3011">
        <v>3439</v>
      </c>
      <c r="F3011">
        <v>2469601</v>
      </c>
      <c r="G3011">
        <v>2557800</v>
      </c>
      <c r="H3011">
        <f t="shared" si="94"/>
        <v>56.000022675736965</v>
      </c>
      <c r="I3011">
        <f t="shared" si="95"/>
        <v>58</v>
      </c>
      <c r="J3011" t="s">
        <v>25</v>
      </c>
      <c r="K3011">
        <v>6</v>
      </c>
      <c r="L3011" t="e">
        <f t="array" ref="L3011">VLOOKUP(J3011:$J$3871&amp;K3011:$K$3871,CHOOSE({1,2},#REF!&amp;#REF!,#REF!),2,0)</f>
        <v>#N/A</v>
      </c>
      <c r="M3011">
        <v>-15</v>
      </c>
      <c r="N3011">
        <v>0</v>
      </c>
      <c r="O3011" t="s">
        <v>7</v>
      </c>
      <c r="P3011">
        <v>1</v>
      </c>
      <c r="Q3011">
        <v>0</v>
      </c>
      <c r="R3011">
        <v>1</v>
      </c>
      <c r="S3011">
        <v>1</v>
      </c>
      <c r="T3011">
        <v>0</v>
      </c>
      <c r="U3011">
        <v>1</v>
      </c>
      <c r="V3011">
        <v>0</v>
      </c>
      <c r="W3011">
        <v>1</v>
      </c>
      <c r="X3011">
        <v>1</v>
      </c>
      <c r="Y3011">
        <v>0</v>
      </c>
      <c r="Z3011">
        <v>0</v>
      </c>
      <c r="AA3011" t="s">
        <v>2796</v>
      </c>
      <c r="AB3011" t="s">
        <v>6184</v>
      </c>
      <c r="AC3011" t="s">
        <v>2796</v>
      </c>
      <c r="AD3011" t="e">
        <f>VLOOKUP(AB3011,#REF!,2,FALSE)</f>
        <v>#REF!</v>
      </c>
      <c r="AE3011" t="e">
        <f>RIGHT(#REF!,(FIND("Complex",#REF!,1)-8))</f>
        <v>#REF!</v>
      </c>
    </row>
    <row r="3012" spans="1:31" x14ac:dyDescent="0.25">
      <c r="A3012">
        <v>3653</v>
      </c>
      <c r="B3012" t="s">
        <v>55</v>
      </c>
      <c r="C3012">
        <v>102</v>
      </c>
      <c r="D3012">
        <v>1159</v>
      </c>
      <c r="E3012">
        <v>3653</v>
      </c>
      <c r="F3012">
        <v>2381401</v>
      </c>
      <c r="G3012">
        <v>2469600</v>
      </c>
      <c r="H3012">
        <f t="shared" si="94"/>
        <v>54.000022675736965</v>
      </c>
      <c r="I3012">
        <f t="shared" si="95"/>
        <v>56</v>
      </c>
      <c r="J3012" t="s">
        <v>25</v>
      </c>
      <c r="K3012">
        <v>6</v>
      </c>
      <c r="L3012" t="e">
        <f t="array" ref="L3012">VLOOKUP(J3012:$J$3871&amp;K3012:$K$3871,CHOOSE({1,2},#REF!&amp;#REF!,#REF!),2,0)</f>
        <v>#N/A</v>
      </c>
      <c r="M3012">
        <v>-15</v>
      </c>
      <c r="N3012">
        <v>0</v>
      </c>
      <c r="O3012" t="s">
        <v>7</v>
      </c>
      <c r="P3012">
        <v>1</v>
      </c>
      <c r="Q3012">
        <v>0</v>
      </c>
      <c r="R3012">
        <v>1</v>
      </c>
      <c r="S3012">
        <v>1</v>
      </c>
      <c r="T3012">
        <v>0</v>
      </c>
      <c r="U3012">
        <v>1</v>
      </c>
      <c r="V3012">
        <v>0</v>
      </c>
      <c r="W3012">
        <v>1</v>
      </c>
      <c r="X3012">
        <v>1</v>
      </c>
      <c r="Y3012">
        <v>0</v>
      </c>
      <c r="Z3012">
        <v>0</v>
      </c>
      <c r="AA3012" t="s">
        <v>2797</v>
      </c>
      <c r="AB3012" t="s">
        <v>6185</v>
      </c>
      <c r="AC3012" t="s">
        <v>2797</v>
      </c>
      <c r="AD3012" t="e">
        <f>VLOOKUP(AB3012,#REF!,2,FALSE)</f>
        <v>#REF!</v>
      </c>
      <c r="AE3012" t="e">
        <f>RIGHT(#REF!,(FIND("Complex",#REF!,1)-8))</f>
        <v>#REF!</v>
      </c>
    </row>
    <row r="3013" spans="1:31" x14ac:dyDescent="0.25">
      <c r="A3013">
        <v>3054</v>
      </c>
      <c r="B3013" t="s">
        <v>55</v>
      </c>
      <c r="C3013">
        <v>102</v>
      </c>
      <c r="D3013">
        <v>1032</v>
      </c>
      <c r="E3013">
        <v>3054</v>
      </c>
      <c r="F3013">
        <v>2028601</v>
      </c>
      <c r="G3013">
        <v>2116800</v>
      </c>
      <c r="H3013">
        <f t="shared" si="94"/>
        <v>46.000022675736965</v>
      </c>
      <c r="I3013">
        <f t="shared" si="95"/>
        <v>48</v>
      </c>
      <c r="J3013" t="s">
        <v>25</v>
      </c>
      <c r="K3013">
        <v>6</v>
      </c>
      <c r="L3013" t="e">
        <f t="array" ref="L3013">VLOOKUP(J3013:$J$3871&amp;K3013:$K$3871,CHOOSE({1,2},#REF!&amp;#REF!,#REF!),2,0)</f>
        <v>#N/A</v>
      </c>
      <c r="M3013">
        <v>-15</v>
      </c>
      <c r="N3013">
        <v>0</v>
      </c>
      <c r="O3013" t="s">
        <v>7</v>
      </c>
      <c r="P3013">
        <v>1</v>
      </c>
      <c r="Q3013">
        <v>0</v>
      </c>
      <c r="R3013">
        <v>1</v>
      </c>
      <c r="S3013">
        <v>1</v>
      </c>
      <c r="T3013">
        <v>0</v>
      </c>
      <c r="U3013">
        <v>1</v>
      </c>
      <c r="V3013">
        <v>0</v>
      </c>
      <c r="W3013">
        <v>1</v>
      </c>
      <c r="X3013">
        <v>1</v>
      </c>
      <c r="Y3013">
        <v>0</v>
      </c>
      <c r="Z3013">
        <v>0</v>
      </c>
      <c r="AA3013" t="s">
        <v>2815</v>
      </c>
      <c r="AB3013" t="s">
        <v>6192</v>
      </c>
      <c r="AC3013" t="s">
        <v>2815</v>
      </c>
      <c r="AD3013" t="e">
        <f>VLOOKUP(AB3013,#REF!,2,FALSE)</f>
        <v>#REF!</v>
      </c>
      <c r="AE3013" t="e">
        <f>RIGHT(#REF!,(FIND("Complex",#REF!,1)-8))</f>
        <v>#REF!</v>
      </c>
    </row>
    <row r="3014" spans="1:31" x14ac:dyDescent="0.25">
      <c r="A3014">
        <v>2942</v>
      </c>
      <c r="B3014" t="s">
        <v>55</v>
      </c>
      <c r="C3014">
        <v>102</v>
      </c>
      <c r="D3014">
        <v>1006</v>
      </c>
      <c r="E3014">
        <v>2942</v>
      </c>
      <c r="F3014">
        <v>1940401</v>
      </c>
      <c r="G3014">
        <v>2028600</v>
      </c>
      <c r="H3014">
        <f t="shared" si="94"/>
        <v>44.000022675736965</v>
      </c>
      <c r="I3014">
        <f t="shared" si="95"/>
        <v>46</v>
      </c>
      <c r="J3014" t="s">
        <v>25</v>
      </c>
      <c r="K3014">
        <v>6</v>
      </c>
      <c r="L3014" t="e">
        <f t="array" ref="L3014">VLOOKUP(J3014:$J$3871&amp;K3014:$K$3871,CHOOSE({1,2},#REF!&amp;#REF!,#REF!),2,0)</f>
        <v>#N/A</v>
      </c>
      <c r="M3014">
        <v>-15</v>
      </c>
      <c r="N3014">
        <v>0</v>
      </c>
      <c r="O3014" t="s">
        <v>7</v>
      </c>
      <c r="P3014">
        <v>1</v>
      </c>
      <c r="Q3014">
        <v>0</v>
      </c>
      <c r="R3014">
        <v>1</v>
      </c>
      <c r="S3014">
        <v>1</v>
      </c>
      <c r="T3014">
        <v>0</v>
      </c>
      <c r="U3014">
        <v>1</v>
      </c>
      <c r="V3014">
        <v>0</v>
      </c>
      <c r="W3014">
        <v>1</v>
      </c>
      <c r="X3014">
        <v>1</v>
      </c>
      <c r="Y3014">
        <v>0</v>
      </c>
      <c r="Z3014">
        <v>0</v>
      </c>
      <c r="AA3014" t="s">
        <v>2821</v>
      </c>
      <c r="AB3014" t="s">
        <v>2020</v>
      </c>
      <c r="AC3014" t="s">
        <v>2821</v>
      </c>
      <c r="AD3014" t="e">
        <f>VLOOKUP(AB3014,#REF!,2,FALSE)</f>
        <v>#REF!</v>
      </c>
      <c r="AE3014" t="e">
        <f>RIGHT(#REF!,(FIND("Complex",#REF!,1)-8))</f>
        <v>#REF!</v>
      </c>
    </row>
    <row r="3015" spans="1:31" x14ac:dyDescent="0.25">
      <c r="A3015">
        <v>3470</v>
      </c>
      <c r="B3015" t="s">
        <v>55</v>
      </c>
      <c r="C3015">
        <v>102</v>
      </c>
      <c r="D3015">
        <v>1109</v>
      </c>
      <c r="E3015">
        <v>3470</v>
      </c>
      <c r="F3015">
        <v>1587601</v>
      </c>
      <c r="G3015">
        <v>1675800</v>
      </c>
      <c r="H3015">
        <f t="shared" si="94"/>
        <v>36.000022675736965</v>
      </c>
      <c r="I3015">
        <f t="shared" si="95"/>
        <v>38</v>
      </c>
      <c r="J3015" t="s">
        <v>25</v>
      </c>
      <c r="K3015">
        <v>6</v>
      </c>
      <c r="L3015" t="e">
        <f t="array" ref="L3015">VLOOKUP(J3015:$J$3871&amp;K3015:$K$3871,CHOOSE({1,2},#REF!&amp;#REF!,#REF!),2,0)</f>
        <v>#N/A</v>
      </c>
      <c r="M3015">
        <v>-15</v>
      </c>
      <c r="N3015">
        <v>0</v>
      </c>
      <c r="O3015" t="s">
        <v>7</v>
      </c>
      <c r="P3015">
        <v>1</v>
      </c>
      <c r="Q3015">
        <v>0</v>
      </c>
      <c r="R3015">
        <v>1</v>
      </c>
      <c r="S3015">
        <v>1</v>
      </c>
      <c r="T3015">
        <v>0</v>
      </c>
      <c r="U3015">
        <v>1</v>
      </c>
      <c r="V3015">
        <v>0</v>
      </c>
      <c r="W3015">
        <v>1</v>
      </c>
      <c r="X3015">
        <v>1</v>
      </c>
      <c r="Y3015">
        <v>0</v>
      </c>
      <c r="Z3015">
        <v>0</v>
      </c>
      <c r="AA3015" t="s">
        <v>2848</v>
      </c>
      <c r="AB3015" t="s">
        <v>6202</v>
      </c>
      <c r="AC3015" t="s">
        <v>2848</v>
      </c>
      <c r="AD3015" t="e">
        <f>VLOOKUP(AB3015,#REF!,2,FALSE)</f>
        <v>#REF!</v>
      </c>
      <c r="AE3015" t="e">
        <f>RIGHT(#REF!,(FIND("Complex",#REF!,1)-8))</f>
        <v>#REF!</v>
      </c>
    </row>
    <row r="3016" spans="1:31" x14ac:dyDescent="0.25">
      <c r="A3016">
        <v>3614</v>
      </c>
      <c r="B3016" t="s">
        <v>55</v>
      </c>
      <c r="C3016">
        <v>102</v>
      </c>
      <c r="D3016">
        <v>1146</v>
      </c>
      <c r="E3016">
        <v>3614</v>
      </c>
      <c r="F3016">
        <v>1411201</v>
      </c>
      <c r="G3016">
        <v>1499400</v>
      </c>
      <c r="H3016">
        <f t="shared" si="94"/>
        <v>32.000022675736965</v>
      </c>
      <c r="I3016">
        <f t="shared" si="95"/>
        <v>34</v>
      </c>
      <c r="J3016" t="s">
        <v>25</v>
      </c>
      <c r="K3016">
        <v>6</v>
      </c>
      <c r="L3016" t="e">
        <f t="array" ref="L3016">VLOOKUP(J3016:$J$3871&amp;K3016:$K$3871,CHOOSE({1,2},#REF!&amp;#REF!,#REF!),2,0)</f>
        <v>#N/A</v>
      </c>
      <c r="M3016">
        <v>-15</v>
      </c>
      <c r="N3016">
        <v>0</v>
      </c>
      <c r="O3016" t="s">
        <v>7</v>
      </c>
      <c r="P3016">
        <v>1</v>
      </c>
      <c r="Q3016">
        <v>0</v>
      </c>
      <c r="R3016">
        <v>1</v>
      </c>
      <c r="S3016">
        <v>1</v>
      </c>
      <c r="T3016">
        <v>0</v>
      </c>
      <c r="U3016">
        <v>1</v>
      </c>
      <c r="V3016">
        <v>0</v>
      </c>
      <c r="W3016">
        <v>1</v>
      </c>
      <c r="X3016">
        <v>1</v>
      </c>
      <c r="Y3016">
        <v>0</v>
      </c>
      <c r="Z3016">
        <v>0</v>
      </c>
      <c r="AA3016" t="s">
        <v>2870</v>
      </c>
      <c r="AB3016" t="s">
        <v>2021</v>
      </c>
      <c r="AC3016" t="s">
        <v>2870</v>
      </c>
      <c r="AD3016" t="e">
        <f>VLOOKUP(AB3016,#REF!,2,FALSE)</f>
        <v>#REF!</v>
      </c>
      <c r="AE3016" t="e">
        <f>RIGHT(#REF!,(FIND("Complex",#REF!,1)-8))</f>
        <v>#REF!</v>
      </c>
    </row>
    <row r="3017" spans="1:31" x14ac:dyDescent="0.25">
      <c r="A3017">
        <v>3225</v>
      </c>
      <c r="B3017" t="s">
        <v>55</v>
      </c>
      <c r="C3017">
        <v>102</v>
      </c>
      <c r="D3017">
        <v>1059</v>
      </c>
      <c r="E3017">
        <v>3225</v>
      </c>
      <c r="F3017">
        <v>9261001</v>
      </c>
      <c r="G3017">
        <v>9349200</v>
      </c>
      <c r="H3017">
        <f t="shared" si="94"/>
        <v>210.00002267573697</v>
      </c>
      <c r="I3017">
        <f t="shared" si="95"/>
        <v>212</v>
      </c>
      <c r="J3017" t="s">
        <v>25</v>
      </c>
      <c r="K3017">
        <v>6</v>
      </c>
      <c r="L3017" t="e">
        <f t="array" ref="L3017">VLOOKUP(J3017:$J$3871&amp;K3017:$K$3871,CHOOSE({1,2},#REF!&amp;#REF!,#REF!),2,0)</f>
        <v>#N/A</v>
      </c>
      <c r="M3017">
        <v>-15</v>
      </c>
      <c r="N3017">
        <v>0</v>
      </c>
      <c r="O3017" t="s">
        <v>7</v>
      </c>
      <c r="P3017">
        <v>1</v>
      </c>
      <c r="Q3017">
        <v>0</v>
      </c>
      <c r="R3017">
        <v>1</v>
      </c>
      <c r="S3017">
        <v>1</v>
      </c>
      <c r="T3017">
        <v>0</v>
      </c>
      <c r="U3017">
        <v>1</v>
      </c>
      <c r="V3017">
        <v>0</v>
      </c>
      <c r="W3017">
        <v>1</v>
      </c>
      <c r="X3017">
        <v>1</v>
      </c>
      <c r="Y3017">
        <v>0</v>
      </c>
      <c r="Z3017">
        <v>0</v>
      </c>
      <c r="AA3017" t="s">
        <v>3030</v>
      </c>
      <c r="AB3017" t="s">
        <v>2022</v>
      </c>
      <c r="AC3017" t="s">
        <v>3030</v>
      </c>
      <c r="AD3017" t="e">
        <f>VLOOKUP(AB3017,#REF!,2,FALSE)</f>
        <v>#REF!</v>
      </c>
      <c r="AE3017" t="e">
        <f>RIGHT(#REF!,(FIND("Complex",#REF!,1)-7))</f>
        <v>#REF!</v>
      </c>
    </row>
    <row r="3018" spans="1:31" x14ac:dyDescent="0.25">
      <c r="A3018">
        <v>3710</v>
      </c>
      <c r="B3018" t="s">
        <v>55</v>
      </c>
      <c r="C3018">
        <v>102</v>
      </c>
      <c r="D3018">
        <v>1180</v>
      </c>
      <c r="E3018">
        <v>3710</v>
      </c>
      <c r="F3018">
        <v>9172801</v>
      </c>
      <c r="G3018">
        <v>9261000</v>
      </c>
      <c r="H3018">
        <f t="shared" si="94"/>
        <v>208.00002267573697</v>
      </c>
      <c r="I3018">
        <f t="shared" si="95"/>
        <v>210</v>
      </c>
      <c r="J3018" t="s">
        <v>25</v>
      </c>
      <c r="K3018">
        <v>6</v>
      </c>
      <c r="L3018" t="e">
        <f t="array" ref="L3018">VLOOKUP(J3018:$J$3871&amp;K3018:$K$3871,CHOOSE({1,2},#REF!&amp;#REF!,#REF!),2,0)</f>
        <v>#N/A</v>
      </c>
      <c r="M3018">
        <v>-15</v>
      </c>
      <c r="N3018">
        <v>0</v>
      </c>
      <c r="O3018" t="s">
        <v>7</v>
      </c>
      <c r="P3018">
        <v>1</v>
      </c>
      <c r="Q3018">
        <v>0</v>
      </c>
      <c r="R3018">
        <v>1</v>
      </c>
      <c r="S3018">
        <v>1</v>
      </c>
      <c r="T3018">
        <v>0</v>
      </c>
      <c r="U3018">
        <v>1</v>
      </c>
      <c r="V3018">
        <v>0</v>
      </c>
      <c r="W3018">
        <v>1</v>
      </c>
      <c r="X3018">
        <v>1</v>
      </c>
      <c r="Y3018">
        <v>0</v>
      </c>
      <c r="Z3018">
        <v>0</v>
      </c>
      <c r="AA3018" t="s">
        <v>3034</v>
      </c>
      <c r="AB3018" t="s">
        <v>2023</v>
      </c>
      <c r="AC3018" t="s">
        <v>3034</v>
      </c>
      <c r="AD3018" t="e">
        <f>VLOOKUP(AB3018,#REF!,2,FALSE)</f>
        <v>#REF!</v>
      </c>
      <c r="AE3018" t="e">
        <f>RIGHT(#REF!,(FIND("Complex",#REF!,1)-7))</f>
        <v>#REF!</v>
      </c>
    </row>
    <row r="3019" spans="1:31" x14ac:dyDescent="0.25">
      <c r="A3019">
        <v>2030</v>
      </c>
      <c r="B3019" t="s">
        <v>55</v>
      </c>
      <c r="C3019">
        <v>102</v>
      </c>
      <c r="D3019">
        <v>866</v>
      </c>
      <c r="E3019">
        <v>2030</v>
      </c>
      <c r="F3019">
        <v>5556601</v>
      </c>
      <c r="G3019">
        <v>5644800</v>
      </c>
      <c r="H3019">
        <f t="shared" si="94"/>
        <v>126.00002267573696</v>
      </c>
      <c r="I3019">
        <f t="shared" si="95"/>
        <v>128</v>
      </c>
      <c r="J3019" t="s">
        <v>25</v>
      </c>
      <c r="K3019">
        <v>6</v>
      </c>
      <c r="L3019" t="e">
        <f t="array" ref="L3019">VLOOKUP(J3019:$J$3871&amp;K3019:$K$3871,CHOOSE({1,2},#REF!&amp;#REF!,#REF!),2,0)</f>
        <v>#N/A</v>
      </c>
      <c r="M3019">
        <v>-15</v>
      </c>
      <c r="N3019">
        <v>0</v>
      </c>
      <c r="O3019" t="s">
        <v>7</v>
      </c>
      <c r="P3019">
        <v>1</v>
      </c>
      <c r="Q3019">
        <v>0</v>
      </c>
      <c r="R3019">
        <v>1</v>
      </c>
      <c r="S3019">
        <v>1</v>
      </c>
      <c r="T3019">
        <v>0</v>
      </c>
      <c r="U3019">
        <v>1</v>
      </c>
      <c r="V3019">
        <v>0</v>
      </c>
      <c r="W3019">
        <v>1</v>
      </c>
      <c r="X3019">
        <v>1</v>
      </c>
      <c r="Y3019">
        <v>0</v>
      </c>
      <c r="Z3019">
        <v>0</v>
      </c>
      <c r="AA3019" t="s">
        <v>3355</v>
      </c>
      <c r="AB3019" t="s">
        <v>2024</v>
      </c>
      <c r="AC3019" t="s">
        <v>3355</v>
      </c>
      <c r="AD3019" t="e">
        <f>VLOOKUP(AB3019,#REF!,2,FALSE)</f>
        <v>#REF!</v>
      </c>
      <c r="AE3019" t="e">
        <f>RIGHT(#REF!,(FIND("Complex",#REF!,1)-6))</f>
        <v>#REF!</v>
      </c>
    </row>
    <row r="3020" spans="1:31" x14ac:dyDescent="0.25">
      <c r="A3020">
        <v>3821</v>
      </c>
      <c r="B3020" t="s">
        <v>55</v>
      </c>
      <c r="C3020">
        <v>102</v>
      </c>
      <c r="D3020">
        <v>1213</v>
      </c>
      <c r="E3020">
        <v>3821</v>
      </c>
      <c r="F3020">
        <v>4939201</v>
      </c>
      <c r="G3020">
        <v>5027400</v>
      </c>
      <c r="H3020">
        <f t="shared" si="94"/>
        <v>112.00002267573696</v>
      </c>
      <c r="I3020">
        <f t="shared" si="95"/>
        <v>114</v>
      </c>
      <c r="J3020" t="s">
        <v>25</v>
      </c>
      <c r="K3020">
        <v>6</v>
      </c>
      <c r="L3020" t="e">
        <f t="array" ref="L3020">VLOOKUP(J3020:$J$3871&amp;K3020:$K$3871,CHOOSE({1,2},#REF!&amp;#REF!,#REF!),2,0)</f>
        <v>#N/A</v>
      </c>
      <c r="M3020">
        <v>-15</v>
      </c>
      <c r="N3020">
        <v>0</v>
      </c>
      <c r="O3020" t="s">
        <v>7</v>
      </c>
      <c r="P3020">
        <v>1</v>
      </c>
      <c r="Q3020">
        <v>0</v>
      </c>
      <c r="R3020">
        <v>1</v>
      </c>
      <c r="S3020">
        <v>1</v>
      </c>
      <c r="T3020">
        <v>0</v>
      </c>
      <c r="U3020">
        <v>1</v>
      </c>
      <c r="V3020">
        <v>0</v>
      </c>
      <c r="W3020">
        <v>1</v>
      </c>
      <c r="X3020">
        <v>1</v>
      </c>
      <c r="Y3020">
        <v>0</v>
      </c>
      <c r="Z3020">
        <v>0</v>
      </c>
      <c r="AA3020" t="s">
        <v>3443</v>
      </c>
      <c r="AB3020" t="s">
        <v>6309</v>
      </c>
      <c r="AC3020" t="s">
        <v>3443</v>
      </c>
      <c r="AD3020" t="e">
        <f>VLOOKUP(AB3020,#REF!,2,FALSE)</f>
        <v>#REF!</v>
      </c>
      <c r="AE3020" t="e">
        <f>RIGHT(#REF!,(FIND("Complex",#REF!,1)-7))</f>
        <v>#REF!</v>
      </c>
    </row>
    <row r="3021" spans="1:31" x14ac:dyDescent="0.25">
      <c r="A3021">
        <v>2299</v>
      </c>
      <c r="B3021" t="s">
        <v>55</v>
      </c>
      <c r="C3021">
        <v>102</v>
      </c>
      <c r="D3021">
        <v>941</v>
      </c>
      <c r="E3021">
        <v>2299</v>
      </c>
      <c r="F3021">
        <v>4762801</v>
      </c>
      <c r="G3021">
        <v>4851000</v>
      </c>
      <c r="H3021">
        <f t="shared" si="94"/>
        <v>108.00002267573696</v>
      </c>
      <c r="I3021">
        <f t="shared" si="95"/>
        <v>110</v>
      </c>
      <c r="J3021" t="s">
        <v>25</v>
      </c>
      <c r="K3021">
        <v>6</v>
      </c>
      <c r="L3021" t="e">
        <f t="array" ref="L3021">VLOOKUP(J3021:$J$3871&amp;K3021:$K$3871,CHOOSE({1,2},#REF!&amp;#REF!,#REF!),2,0)</f>
        <v>#N/A</v>
      </c>
      <c r="M3021">
        <v>-15</v>
      </c>
      <c r="N3021">
        <v>0</v>
      </c>
      <c r="O3021" t="s">
        <v>7</v>
      </c>
      <c r="P3021">
        <v>1</v>
      </c>
      <c r="Q3021">
        <v>0</v>
      </c>
      <c r="R3021">
        <v>1</v>
      </c>
      <c r="S3021">
        <v>1</v>
      </c>
      <c r="T3021">
        <v>0</v>
      </c>
      <c r="U3021">
        <v>1</v>
      </c>
      <c r="V3021">
        <v>0</v>
      </c>
      <c r="W3021">
        <v>1</v>
      </c>
      <c r="X3021">
        <v>1</v>
      </c>
      <c r="Y3021">
        <v>0</v>
      </c>
      <c r="Z3021">
        <v>0</v>
      </c>
      <c r="AA3021" t="s">
        <v>3462</v>
      </c>
      <c r="AB3021" t="s">
        <v>6310</v>
      </c>
      <c r="AC3021" t="s">
        <v>3462</v>
      </c>
      <c r="AD3021" t="e">
        <f>VLOOKUP(AB3021,#REF!,2,FALSE)</f>
        <v>#REF!</v>
      </c>
      <c r="AE3021" t="e">
        <f>RIGHT(#REF!,(FIND("Complex",#REF!,1)-6))</f>
        <v>#REF!</v>
      </c>
    </row>
    <row r="3022" spans="1:31" x14ac:dyDescent="0.25">
      <c r="A3022">
        <v>3338</v>
      </c>
      <c r="B3022" t="s">
        <v>55</v>
      </c>
      <c r="C3022">
        <v>102</v>
      </c>
      <c r="D3022">
        <v>1078</v>
      </c>
      <c r="E3022">
        <v>3338</v>
      </c>
      <c r="F3022">
        <v>4674601</v>
      </c>
      <c r="G3022">
        <v>4762800</v>
      </c>
      <c r="H3022">
        <f t="shared" si="94"/>
        <v>106.00002267573696</v>
      </c>
      <c r="I3022">
        <f t="shared" si="95"/>
        <v>108</v>
      </c>
      <c r="J3022" t="s">
        <v>25</v>
      </c>
      <c r="K3022">
        <v>6</v>
      </c>
      <c r="L3022" t="e">
        <f t="array" ref="L3022">VLOOKUP(J3022:$J$3871&amp;K3022:$K$3871,CHOOSE({1,2},#REF!&amp;#REF!,#REF!),2,0)</f>
        <v>#N/A</v>
      </c>
      <c r="M3022">
        <v>-15</v>
      </c>
      <c r="N3022">
        <v>0</v>
      </c>
      <c r="O3022" t="s">
        <v>7</v>
      </c>
      <c r="P3022">
        <v>1</v>
      </c>
      <c r="Q3022">
        <v>0</v>
      </c>
      <c r="R3022">
        <v>1</v>
      </c>
      <c r="S3022">
        <v>1</v>
      </c>
      <c r="T3022">
        <v>0</v>
      </c>
      <c r="U3022">
        <v>1</v>
      </c>
      <c r="V3022">
        <v>0</v>
      </c>
      <c r="W3022">
        <v>1</v>
      </c>
      <c r="X3022">
        <v>1</v>
      </c>
      <c r="Y3022">
        <v>0</v>
      </c>
      <c r="Z3022">
        <v>0</v>
      </c>
      <c r="AA3022" t="s">
        <v>3470</v>
      </c>
      <c r="AB3022" t="s">
        <v>6312</v>
      </c>
      <c r="AC3022" t="s">
        <v>3470</v>
      </c>
      <c r="AD3022" t="e">
        <f>VLOOKUP(AB3022,#REF!,2,FALSE)</f>
        <v>#REF!</v>
      </c>
      <c r="AE3022" t="e">
        <f>RIGHT(#REF!,(FIND("Complex",#REF!,1)-7))</f>
        <v>#REF!</v>
      </c>
    </row>
    <row r="3023" spans="1:31" x14ac:dyDescent="0.25">
      <c r="A3023">
        <v>248</v>
      </c>
      <c r="B3023" t="s">
        <v>55</v>
      </c>
      <c r="C3023">
        <v>102</v>
      </c>
      <c r="D3023">
        <v>107</v>
      </c>
      <c r="E3023">
        <v>248</v>
      </c>
      <c r="F3023">
        <v>4586401</v>
      </c>
      <c r="G3023">
        <v>4674600</v>
      </c>
      <c r="H3023">
        <f t="shared" si="94"/>
        <v>104.00002267573696</v>
      </c>
      <c r="I3023">
        <f t="shared" si="95"/>
        <v>106</v>
      </c>
      <c r="J3023" t="s">
        <v>25</v>
      </c>
      <c r="K3023">
        <v>6</v>
      </c>
      <c r="L3023" t="e">
        <f t="array" ref="L3023">VLOOKUP(J3023:$J$3871&amp;K3023:$K$3871,CHOOSE({1,2},#REF!&amp;#REF!,#REF!),2,0)</f>
        <v>#N/A</v>
      </c>
      <c r="M3023">
        <v>-15</v>
      </c>
      <c r="N3023">
        <v>0</v>
      </c>
      <c r="O3023" t="s">
        <v>7</v>
      </c>
      <c r="P3023">
        <v>1</v>
      </c>
      <c r="Q3023">
        <v>0</v>
      </c>
      <c r="R3023">
        <v>1</v>
      </c>
      <c r="S3023">
        <v>1</v>
      </c>
      <c r="T3023">
        <v>0</v>
      </c>
      <c r="U3023">
        <v>1</v>
      </c>
      <c r="V3023">
        <v>0</v>
      </c>
      <c r="W3023">
        <v>1</v>
      </c>
      <c r="X3023">
        <v>1</v>
      </c>
      <c r="Y3023">
        <v>0</v>
      </c>
      <c r="Z3023">
        <v>0</v>
      </c>
      <c r="AA3023" t="s">
        <v>3478</v>
      </c>
      <c r="AB3023" t="s">
        <v>2025</v>
      </c>
      <c r="AC3023" t="s">
        <v>3478</v>
      </c>
      <c r="AD3023" t="e">
        <f>VLOOKUP(AB3023,#REF!,2,FALSE)</f>
        <v>#REF!</v>
      </c>
      <c r="AE3023" t="e">
        <f>RIGHT(#REF!,(FIND("Complex",#REF!,1)-5))</f>
        <v>#REF!</v>
      </c>
    </row>
    <row r="3024" spans="1:31" x14ac:dyDescent="0.25">
      <c r="A3024">
        <v>1110</v>
      </c>
      <c r="B3024" t="s">
        <v>95</v>
      </c>
      <c r="C3024">
        <v>103</v>
      </c>
      <c r="D3024">
        <v>494</v>
      </c>
      <c r="E3024">
        <v>1110</v>
      </c>
      <c r="F3024">
        <v>3792601</v>
      </c>
      <c r="G3024">
        <v>3880800</v>
      </c>
      <c r="H3024">
        <f t="shared" si="94"/>
        <v>86.000022675736957</v>
      </c>
      <c r="I3024">
        <f t="shared" si="95"/>
        <v>88</v>
      </c>
      <c r="J3024" t="s">
        <v>25</v>
      </c>
      <c r="K3024">
        <v>6</v>
      </c>
      <c r="L3024" t="e">
        <f t="array" ref="L3024">VLOOKUP(J3024:$J$3871&amp;K3024:$K$3871,CHOOSE({1,2},#REF!&amp;#REF!,#REF!),2,0)</f>
        <v>#N/A</v>
      </c>
      <c r="M3024">
        <v>-15</v>
      </c>
      <c r="N3024">
        <v>0</v>
      </c>
      <c r="O3024" t="s">
        <v>7</v>
      </c>
      <c r="P3024">
        <v>1</v>
      </c>
      <c r="Q3024">
        <v>0</v>
      </c>
      <c r="R3024">
        <v>1</v>
      </c>
      <c r="S3024">
        <v>1</v>
      </c>
      <c r="T3024">
        <v>1</v>
      </c>
      <c r="U3024">
        <v>0</v>
      </c>
      <c r="V3024">
        <v>0</v>
      </c>
      <c r="W3024">
        <v>1</v>
      </c>
      <c r="X3024">
        <v>1</v>
      </c>
      <c r="Y3024">
        <v>0</v>
      </c>
      <c r="Z3024">
        <v>0</v>
      </c>
      <c r="AA3024" t="s">
        <v>2674</v>
      </c>
      <c r="AB3024" t="s">
        <v>2053</v>
      </c>
      <c r="AC3024" t="s">
        <v>2674</v>
      </c>
      <c r="AD3024" t="e">
        <f>VLOOKUP(AB3024,#REF!,2,FALSE)</f>
        <v>#REF!</v>
      </c>
      <c r="AE3024" t="e">
        <f>RIGHT(#REF!,(FIND("Complex",#REF!,1)-7))</f>
        <v>#REF!</v>
      </c>
    </row>
    <row r="3025" spans="1:31" x14ac:dyDescent="0.25">
      <c r="A3025">
        <v>547</v>
      </c>
      <c r="B3025" t="s">
        <v>95</v>
      </c>
      <c r="C3025">
        <v>103</v>
      </c>
      <c r="D3025">
        <v>230</v>
      </c>
      <c r="E3025">
        <v>547</v>
      </c>
      <c r="F3025">
        <v>3528001</v>
      </c>
      <c r="G3025">
        <v>3616200</v>
      </c>
      <c r="H3025">
        <f t="shared" si="94"/>
        <v>80.000022675736957</v>
      </c>
      <c r="I3025">
        <f t="shared" si="95"/>
        <v>82</v>
      </c>
      <c r="J3025" t="s">
        <v>25</v>
      </c>
      <c r="K3025">
        <v>6</v>
      </c>
      <c r="L3025" t="e">
        <f t="array" ref="L3025">VLOOKUP(J3025:$J$3871&amp;K3025:$K$3871,CHOOSE({1,2},#REF!&amp;#REF!,#REF!),2,0)</f>
        <v>#N/A</v>
      </c>
      <c r="M3025">
        <v>-15</v>
      </c>
      <c r="N3025">
        <v>0</v>
      </c>
      <c r="O3025" t="s">
        <v>7</v>
      </c>
      <c r="P3025">
        <v>1</v>
      </c>
      <c r="Q3025">
        <v>0</v>
      </c>
      <c r="R3025">
        <v>1</v>
      </c>
      <c r="S3025">
        <v>1</v>
      </c>
      <c r="T3025">
        <v>1</v>
      </c>
      <c r="U3025">
        <v>0</v>
      </c>
      <c r="V3025">
        <v>0</v>
      </c>
      <c r="W3025">
        <v>1</v>
      </c>
      <c r="X3025">
        <v>1</v>
      </c>
      <c r="Y3025">
        <v>0</v>
      </c>
      <c r="Z3025">
        <v>0</v>
      </c>
      <c r="AA3025" t="s">
        <v>2703</v>
      </c>
      <c r="AB3025" t="s">
        <v>2054</v>
      </c>
      <c r="AC3025" t="s">
        <v>2703</v>
      </c>
      <c r="AD3025" t="e">
        <f>VLOOKUP(AB3025,#REF!,2,FALSE)</f>
        <v>#REF!</v>
      </c>
      <c r="AE3025" t="e">
        <f>RIGHT(#REF!,(FIND("Complex",#REF!,1)-6))</f>
        <v>#REF!</v>
      </c>
    </row>
    <row r="3026" spans="1:31" x14ac:dyDescent="0.25">
      <c r="A3026">
        <v>2907</v>
      </c>
      <c r="B3026" t="s">
        <v>95</v>
      </c>
      <c r="C3026">
        <v>103</v>
      </c>
      <c r="D3026">
        <v>1001</v>
      </c>
      <c r="E3026">
        <v>2907</v>
      </c>
      <c r="F3026">
        <v>3087001</v>
      </c>
      <c r="G3026">
        <v>3175200</v>
      </c>
      <c r="H3026">
        <f t="shared" si="94"/>
        <v>70.000022675736957</v>
      </c>
      <c r="I3026">
        <f t="shared" si="95"/>
        <v>72</v>
      </c>
      <c r="J3026" t="s">
        <v>25</v>
      </c>
      <c r="K3026">
        <v>6</v>
      </c>
      <c r="L3026" t="e">
        <f t="array" ref="L3026">VLOOKUP(J3026:$J$3871&amp;K3026:$K$3871,CHOOSE({1,2},#REF!&amp;#REF!,#REF!),2,0)</f>
        <v>#N/A</v>
      </c>
      <c r="M3026">
        <v>-15</v>
      </c>
      <c r="N3026">
        <v>0</v>
      </c>
      <c r="O3026" t="s">
        <v>7</v>
      </c>
      <c r="P3026">
        <v>1</v>
      </c>
      <c r="Q3026">
        <v>0</v>
      </c>
      <c r="R3026">
        <v>1</v>
      </c>
      <c r="S3026">
        <v>1</v>
      </c>
      <c r="T3026">
        <v>1</v>
      </c>
      <c r="U3026">
        <v>0</v>
      </c>
      <c r="V3026">
        <v>0</v>
      </c>
      <c r="W3026">
        <v>1</v>
      </c>
      <c r="X3026">
        <v>1</v>
      </c>
      <c r="Y3026">
        <v>0</v>
      </c>
      <c r="Z3026">
        <v>0</v>
      </c>
      <c r="AA3026" t="s">
        <v>2743</v>
      </c>
      <c r="AB3026" t="s">
        <v>2055</v>
      </c>
      <c r="AC3026" t="s">
        <v>2743</v>
      </c>
      <c r="AD3026" t="e">
        <f>VLOOKUP(AB3026,#REF!,2,FALSE)</f>
        <v>#REF!</v>
      </c>
      <c r="AE3026" t="e">
        <f>RIGHT(#REF!,(FIND("Complex",#REF!,1)-8))</f>
        <v>#REF!</v>
      </c>
    </row>
    <row r="3027" spans="1:31" x14ac:dyDescent="0.25">
      <c r="A3027">
        <v>1199</v>
      </c>
      <c r="B3027" t="s">
        <v>95</v>
      </c>
      <c r="C3027">
        <v>103</v>
      </c>
      <c r="D3027">
        <v>530</v>
      </c>
      <c r="E3027">
        <v>1199</v>
      </c>
      <c r="F3027">
        <v>2557801</v>
      </c>
      <c r="G3027">
        <v>2646000</v>
      </c>
      <c r="H3027">
        <f t="shared" si="94"/>
        <v>58.000022675736965</v>
      </c>
      <c r="I3027">
        <f t="shared" si="95"/>
        <v>60</v>
      </c>
      <c r="J3027" t="s">
        <v>25</v>
      </c>
      <c r="K3027">
        <v>6</v>
      </c>
      <c r="L3027" t="e">
        <f t="array" ref="L3027">VLOOKUP(J3027:$J$3871&amp;K3027:$K$3871,CHOOSE({1,2},#REF!&amp;#REF!,#REF!),2,0)</f>
        <v>#N/A</v>
      </c>
      <c r="M3027">
        <v>-15</v>
      </c>
      <c r="N3027">
        <v>0</v>
      </c>
      <c r="O3027" t="s">
        <v>7</v>
      </c>
      <c r="P3027">
        <v>1</v>
      </c>
      <c r="Q3027">
        <v>0</v>
      </c>
      <c r="R3027">
        <v>1</v>
      </c>
      <c r="S3027">
        <v>1</v>
      </c>
      <c r="T3027">
        <v>1</v>
      </c>
      <c r="U3027">
        <v>0</v>
      </c>
      <c r="V3027">
        <v>0</v>
      </c>
      <c r="W3027">
        <v>1</v>
      </c>
      <c r="X3027">
        <v>1</v>
      </c>
      <c r="Y3027">
        <v>0</v>
      </c>
      <c r="Z3027">
        <v>0</v>
      </c>
      <c r="AA3027" t="s">
        <v>2789</v>
      </c>
      <c r="AB3027" t="s">
        <v>2056</v>
      </c>
      <c r="AC3027" t="s">
        <v>2789</v>
      </c>
      <c r="AD3027" t="e">
        <f>VLOOKUP(AB3027,#REF!,2,FALSE)</f>
        <v>#REF!</v>
      </c>
      <c r="AE3027" t="e">
        <f>RIGHT(#REF!,(FIND("Complex",#REF!,1)-7))</f>
        <v>#REF!</v>
      </c>
    </row>
    <row r="3028" spans="1:31" x14ac:dyDescent="0.25">
      <c r="A3028">
        <v>3183</v>
      </c>
      <c r="B3028" t="s">
        <v>95</v>
      </c>
      <c r="C3028">
        <v>103</v>
      </c>
      <c r="D3028">
        <v>1052</v>
      </c>
      <c r="E3028">
        <v>3183</v>
      </c>
      <c r="F3028">
        <v>2469601</v>
      </c>
      <c r="G3028">
        <v>2557800</v>
      </c>
      <c r="H3028">
        <f t="shared" si="94"/>
        <v>56.000022675736965</v>
      </c>
      <c r="I3028">
        <f t="shared" si="95"/>
        <v>58</v>
      </c>
      <c r="J3028" t="s">
        <v>25</v>
      </c>
      <c r="K3028">
        <v>6</v>
      </c>
      <c r="L3028" t="e">
        <f t="array" ref="L3028">VLOOKUP(J3028:$J$3871&amp;K3028:$K$3871,CHOOSE({1,2},#REF!&amp;#REF!,#REF!),2,0)</f>
        <v>#N/A</v>
      </c>
      <c r="M3028">
        <v>-15</v>
      </c>
      <c r="N3028">
        <v>0</v>
      </c>
      <c r="O3028" t="s">
        <v>7</v>
      </c>
      <c r="P3028">
        <v>1</v>
      </c>
      <c r="Q3028">
        <v>0</v>
      </c>
      <c r="R3028">
        <v>1</v>
      </c>
      <c r="S3028">
        <v>1</v>
      </c>
      <c r="T3028">
        <v>1</v>
      </c>
      <c r="U3028">
        <v>0</v>
      </c>
      <c r="V3028">
        <v>0</v>
      </c>
      <c r="W3028">
        <v>1</v>
      </c>
      <c r="X3028">
        <v>1</v>
      </c>
      <c r="Y3028">
        <v>0</v>
      </c>
      <c r="Z3028">
        <v>0</v>
      </c>
      <c r="AA3028" t="s">
        <v>2795</v>
      </c>
      <c r="AB3028" t="s">
        <v>2057</v>
      </c>
      <c r="AC3028" t="s">
        <v>2795</v>
      </c>
      <c r="AD3028" t="e">
        <f>VLOOKUP(AB3028,#REF!,2,FALSE)</f>
        <v>#REF!</v>
      </c>
      <c r="AE3028" t="e">
        <f>RIGHT(#REF!,(FIND("Complex",#REF!,1)-8))</f>
        <v>#REF!</v>
      </c>
    </row>
    <row r="3029" spans="1:31" x14ac:dyDescent="0.25">
      <c r="A3029">
        <v>3012</v>
      </c>
      <c r="B3029" t="s">
        <v>95</v>
      </c>
      <c r="C3029">
        <v>103</v>
      </c>
      <c r="D3029">
        <v>1021</v>
      </c>
      <c r="E3029">
        <v>3012</v>
      </c>
      <c r="F3029">
        <v>8467201</v>
      </c>
      <c r="G3029">
        <v>8555400</v>
      </c>
      <c r="H3029">
        <f t="shared" si="94"/>
        <v>192.00002267573697</v>
      </c>
      <c r="I3029">
        <f t="shared" si="95"/>
        <v>194</v>
      </c>
      <c r="J3029" t="s">
        <v>25</v>
      </c>
      <c r="K3029">
        <v>6</v>
      </c>
      <c r="L3029" t="e">
        <f t="array" ref="L3029">VLOOKUP(J3029:$J$3871&amp;K3029:$K$3871,CHOOSE({1,2},#REF!&amp;#REF!,#REF!),2,0)</f>
        <v>#N/A</v>
      </c>
      <c r="M3029">
        <v>-15</v>
      </c>
      <c r="N3029">
        <v>0</v>
      </c>
      <c r="O3029" t="s">
        <v>7</v>
      </c>
      <c r="P3029">
        <v>1</v>
      </c>
      <c r="Q3029">
        <v>0</v>
      </c>
      <c r="R3029">
        <v>1</v>
      </c>
      <c r="S3029">
        <v>1</v>
      </c>
      <c r="T3029">
        <v>0</v>
      </c>
      <c r="U3029">
        <v>0</v>
      </c>
      <c r="V3029">
        <v>0</v>
      </c>
      <c r="W3029">
        <v>1</v>
      </c>
      <c r="X3029">
        <v>1</v>
      </c>
      <c r="Y3029">
        <v>1</v>
      </c>
      <c r="Z3029">
        <v>0</v>
      </c>
      <c r="AA3029" t="s">
        <v>3083</v>
      </c>
      <c r="AB3029" t="s">
        <v>2058</v>
      </c>
      <c r="AC3029" t="s">
        <v>3083</v>
      </c>
      <c r="AD3029" t="e">
        <f>VLOOKUP(AB3029,#REF!,2,FALSE)</f>
        <v>#REF!</v>
      </c>
      <c r="AE3029" t="e">
        <f>RIGHT(#REF!,(FIND("Complex",#REF!,1)-7))</f>
        <v>#REF!</v>
      </c>
    </row>
    <row r="3030" spans="1:31" x14ac:dyDescent="0.25">
      <c r="A3030">
        <v>2402</v>
      </c>
      <c r="B3030" t="s">
        <v>95</v>
      </c>
      <c r="C3030">
        <v>103</v>
      </c>
      <c r="D3030">
        <v>953</v>
      </c>
      <c r="E3030">
        <v>2402</v>
      </c>
      <c r="F3030">
        <v>7761601</v>
      </c>
      <c r="G3030">
        <v>7849800</v>
      </c>
      <c r="H3030">
        <f t="shared" si="94"/>
        <v>176.00002267573697</v>
      </c>
      <c r="I3030">
        <f t="shared" si="95"/>
        <v>178</v>
      </c>
      <c r="J3030" t="s">
        <v>25</v>
      </c>
      <c r="K3030">
        <v>6</v>
      </c>
      <c r="L3030" t="e">
        <f t="array" ref="L3030">VLOOKUP(J3030:$J$3871&amp;K3030:$K$3871,CHOOSE({1,2},#REF!&amp;#REF!,#REF!),2,0)</f>
        <v>#N/A</v>
      </c>
      <c r="M3030">
        <v>-15</v>
      </c>
      <c r="N3030">
        <v>0</v>
      </c>
      <c r="O3030" t="s">
        <v>7</v>
      </c>
      <c r="P3030">
        <v>1</v>
      </c>
      <c r="Q3030">
        <v>0</v>
      </c>
      <c r="R3030">
        <v>0</v>
      </c>
      <c r="S3030">
        <v>1</v>
      </c>
      <c r="T3030">
        <v>1</v>
      </c>
      <c r="U3030">
        <v>0</v>
      </c>
      <c r="V3030">
        <v>0</v>
      </c>
      <c r="W3030">
        <v>1</v>
      </c>
      <c r="X3030">
        <v>1</v>
      </c>
      <c r="Y3030">
        <v>1</v>
      </c>
      <c r="Z3030">
        <v>0</v>
      </c>
      <c r="AA3030" t="s">
        <v>3152</v>
      </c>
      <c r="AB3030" t="s">
        <v>2059</v>
      </c>
      <c r="AC3030" t="s">
        <v>3152</v>
      </c>
      <c r="AD3030" t="e">
        <f>VLOOKUP(AB3030,#REF!,2,FALSE)</f>
        <v>#REF!</v>
      </c>
      <c r="AE3030" t="e">
        <f>RIGHT(#REF!,(FIND("Complex",#REF!,1)-6))</f>
        <v>#REF!</v>
      </c>
    </row>
    <row r="3031" spans="1:31" x14ac:dyDescent="0.25">
      <c r="A3031">
        <v>3515</v>
      </c>
      <c r="B3031" t="s">
        <v>95</v>
      </c>
      <c r="C3031">
        <v>103</v>
      </c>
      <c r="D3031">
        <v>1121</v>
      </c>
      <c r="E3031">
        <v>3515</v>
      </c>
      <c r="F3031">
        <v>5821201</v>
      </c>
      <c r="G3031">
        <v>5909400</v>
      </c>
      <c r="H3031">
        <f t="shared" si="94"/>
        <v>132.00002267573697</v>
      </c>
      <c r="I3031">
        <f t="shared" si="95"/>
        <v>134</v>
      </c>
      <c r="J3031" t="s">
        <v>25</v>
      </c>
      <c r="K3031">
        <v>6</v>
      </c>
      <c r="L3031" t="e">
        <f t="array" ref="L3031">VLOOKUP(J3031:$J$3871&amp;K3031:$K$3871,CHOOSE({1,2},#REF!&amp;#REF!,#REF!),2,0)</f>
        <v>#N/A</v>
      </c>
      <c r="M3031">
        <v>-15</v>
      </c>
      <c r="N3031">
        <v>0</v>
      </c>
      <c r="O3031" t="s">
        <v>7</v>
      </c>
      <c r="P3031">
        <v>1</v>
      </c>
      <c r="Q3031">
        <v>0</v>
      </c>
      <c r="R3031">
        <v>1</v>
      </c>
      <c r="S3031">
        <v>1</v>
      </c>
      <c r="T3031">
        <v>1</v>
      </c>
      <c r="U3031">
        <v>0</v>
      </c>
      <c r="V3031">
        <v>0</v>
      </c>
      <c r="W3031">
        <v>1</v>
      </c>
      <c r="X3031">
        <v>1</v>
      </c>
      <c r="Y3031">
        <v>0</v>
      </c>
      <c r="Z3031">
        <v>0</v>
      </c>
      <c r="AA3031" t="s">
        <v>3316</v>
      </c>
      <c r="AB3031" t="s">
        <v>2060</v>
      </c>
      <c r="AC3031" t="s">
        <v>3316</v>
      </c>
      <c r="AD3031" t="e">
        <f>VLOOKUP(AB3031,#REF!,2,FALSE)</f>
        <v>#REF!</v>
      </c>
      <c r="AE3031" t="e">
        <f>RIGHT(#REF!,(FIND("Complex",#REF!,1)-7))</f>
        <v>#REF!</v>
      </c>
    </row>
    <row r="3032" spans="1:31" x14ac:dyDescent="0.25">
      <c r="A3032">
        <v>2079</v>
      </c>
      <c r="B3032" t="s">
        <v>95</v>
      </c>
      <c r="C3032">
        <v>103</v>
      </c>
      <c r="D3032">
        <v>880</v>
      </c>
      <c r="E3032">
        <v>2079</v>
      </c>
      <c r="F3032">
        <v>5380201</v>
      </c>
      <c r="G3032">
        <v>5468400</v>
      </c>
      <c r="H3032">
        <f t="shared" si="94"/>
        <v>122.00002267573696</v>
      </c>
      <c r="I3032">
        <f t="shared" si="95"/>
        <v>124</v>
      </c>
      <c r="J3032" t="s">
        <v>25</v>
      </c>
      <c r="K3032">
        <v>6</v>
      </c>
      <c r="L3032" t="e">
        <f t="array" ref="L3032">VLOOKUP(J3032:$J$3871&amp;K3032:$K$3871,CHOOSE({1,2},#REF!&amp;#REF!,#REF!),2,0)</f>
        <v>#N/A</v>
      </c>
      <c r="M3032">
        <v>-15</v>
      </c>
      <c r="N3032">
        <v>0</v>
      </c>
      <c r="O3032" t="s">
        <v>7</v>
      </c>
      <c r="P3032">
        <v>1</v>
      </c>
      <c r="Q3032">
        <v>0</v>
      </c>
      <c r="R3032">
        <v>1</v>
      </c>
      <c r="S3032">
        <v>1</v>
      </c>
      <c r="T3032">
        <v>1</v>
      </c>
      <c r="U3032">
        <v>0</v>
      </c>
      <c r="V3032">
        <v>0</v>
      </c>
      <c r="W3032">
        <v>1</v>
      </c>
      <c r="X3032">
        <v>1</v>
      </c>
      <c r="Y3032">
        <v>0</v>
      </c>
      <c r="Z3032">
        <v>0</v>
      </c>
      <c r="AA3032" t="s">
        <v>3377</v>
      </c>
      <c r="AB3032" t="s">
        <v>2061</v>
      </c>
      <c r="AC3032" t="s">
        <v>3377</v>
      </c>
      <c r="AD3032" t="e">
        <f>VLOOKUP(AB3032,#REF!,2,FALSE)</f>
        <v>#REF!</v>
      </c>
      <c r="AE3032" t="e">
        <f>RIGHT(#REF!,(FIND("Complex",#REF!,1)-6))</f>
        <v>#REF!</v>
      </c>
    </row>
    <row r="3033" spans="1:31" x14ac:dyDescent="0.25">
      <c r="A3033">
        <v>3257</v>
      </c>
      <c r="B3033" t="s">
        <v>95</v>
      </c>
      <c r="C3033">
        <v>103</v>
      </c>
      <c r="D3033">
        <v>1067</v>
      </c>
      <c r="E3033">
        <v>3257</v>
      </c>
      <c r="F3033">
        <v>5203801</v>
      </c>
      <c r="G3033">
        <v>5292000</v>
      </c>
      <c r="H3033">
        <f t="shared" si="94"/>
        <v>118.00002267573696</v>
      </c>
      <c r="I3033">
        <f t="shared" si="95"/>
        <v>120</v>
      </c>
      <c r="J3033" t="s">
        <v>25</v>
      </c>
      <c r="K3033">
        <v>6</v>
      </c>
      <c r="L3033" t="e">
        <f t="array" ref="L3033">VLOOKUP(J3033:$J$3871&amp;K3033:$K$3871,CHOOSE({1,2},#REF!&amp;#REF!,#REF!),2,0)</f>
        <v>#N/A</v>
      </c>
      <c r="M3033">
        <v>-15</v>
      </c>
      <c r="N3033">
        <v>0</v>
      </c>
      <c r="O3033" t="s">
        <v>7</v>
      </c>
      <c r="P3033">
        <v>1</v>
      </c>
      <c r="Q3033">
        <v>0</v>
      </c>
      <c r="R3033">
        <v>1</v>
      </c>
      <c r="S3033">
        <v>1</v>
      </c>
      <c r="T3033">
        <v>1</v>
      </c>
      <c r="U3033">
        <v>0</v>
      </c>
      <c r="V3033">
        <v>0</v>
      </c>
      <c r="W3033">
        <v>1</v>
      </c>
      <c r="X3033">
        <v>1</v>
      </c>
      <c r="Y3033">
        <v>0</v>
      </c>
      <c r="Z3033">
        <v>0</v>
      </c>
      <c r="AA3033" t="s">
        <v>3404</v>
      </c>
      <c r="AB3033" t="s">
        <v>2062</v>
      </c>
      <c r="AC3033" t="s">
        <v>3404</v>
      </c>
      <c r="AD3033" t="e">
        <f>VLOOKUP(AB3033,#REF!,2,FALSE)</f>
        <v>#REF!</v>
      </c>
      <c r="AE3033" t="e">
        <f>RIGHT(#REF!,(FIND("Complex",#REF!,1)-7))</f>
        <v>#REF!</v>
      </c>
    </row>
    <row r="3034" spans="1:31" x14ac:dyDescent="0.25">
      <c r="A3034">
        <v>2419</v>
      </c>
      <c r="B3034" t="s">
        <v>95</v>
      </c>
      <c r="C3034">
        <v>103</v>
      </c>
      <c r="D3034">
        <v>955</v>
      </c>
      <c r="E3034">
        <v>2419</v>
      </c>
      <c r="F3034">
        <v>5115601</v>
      </c>
      <c r="G3034">
        <v>5203800</v>
      </c>
      <c r="H3034">
        <f t="shared" si="94"/>
        <v>116.00002267573696</v>
      </c>
      <c r="I3034">
        <f t="shared" si="95"/>
        <v>118</v>
      </c>
      <c r="J3034" t="s">
        <v>25</v>
      </c>
      <c r="K3034">
        <v>6</v>
      </c>
      <c r="L3034" t="e">
        <f t="array" ref="L3034">VLOOKUP(J3034:$J$3871&amp;K3034:$K$3871,CHOOSE({1,2},#REF!&amp;#REF!,#REF!),2,0)</f>
        <v>#N/A</v>
      </c>
      <c r="M3034">
        <v>-15</v>
      </c>
      <c r="N3034">
        <v>0</v>
      </c>
      <c r="O3034" t="s">
        <v>7</v>
      </c>
      <c r="P3034">
        <v>1</v>
      </c>
      <c r="Q3034">
        <v>0</v>
      </c>
      <c r="R3034">
        <v>1</v>
      </c>
      <c r="S3034">
        <v>1</v>
      </c>
      <c r="T3034">
        <v>1</v>
      </c>
      <c r="U3034">
        <v>0</v>
      </c>
      <c r="V3034">
        <v>0</v>
      </c>
      <c r="W3034">
        <v>1</v>
      </c>
      <c r="X3034">
        <v>1</v>
      </c>
      <c r="Y3034">
        <v>0</v>
      </c>
      <c r="Z3034">
        <v>0</v>
      </c>
      <c r="AA3034" t="s">
        <v>3417</v>
      </c>
      <c r="AB3034" t="s">
        <v>2063</v>
      </c>
      <c r="AC3034" t="s">
        <v>3417</v>
      </c>
      <c r="AD3034" t="e">
        <f>VLOOKUP(AB3034,#REF!,2,FALSE)</f>
        <v>#REF!</v>
      </c>
      <c r="AE3034" t="e">
        <f>RIGHT(#REF!,(FIND("Complex",#REF!,1)-6))</f>
        <v>#REF!</v>
      </c>
    </row>
    <row r="3035" spans="1:31" x14ac:dyDescent="0.25">
      <c r="A3035">
        <v>3398</v>
      </c>
      <c r="B3035" t="s">
        <v>95</v>
      </c>
      <c r="C3035">
        <v>103</v>
      </c>
      <c r="D3035">
        <v>1093</v>
      </c>
      <c r="E3035">
        <v>3398</v>
      </c>
      <c r="F3035">
        <v>5027401</v>
      </c>
      <c r="G3035">
        <v>5115600</v>
      </c>
      <c r="H3035">
        <f t="shared" si="94"/>
        <v>114.00002267573696</v>
      </c>
      <c r="I3035">
        <f t="shared" si="95"/>
        <v>116</v>
      </c>
      <c r="J3035" t="s">
        <v>25</v>
      </c>
      <c r="K3035">
        <v>6</v>
      </c>
      <c r="L3035" t="e">
        <f t="array" ref="L3035">VLOOKUP(J3035:$J$3871&amp;K3035:$K$3871,CHOOSE({1,2},#REF!&amp;#REF!,#REF!),2,0)</f>
        <v>#N/A</v>
      </c>
      <c r="M3035">
        <v>-15</v>
      </c>
      <c r="N3035">
        <v>0</v>
      </c>
      <c r="O3035" t="s">
        <v>7</v>
      </c>
      <c r="P3035">
        <v>1</v>
      </c>
      <c r="Q3035">
        <v>0</v>
      </c>
      <c r="R3035">
        <v>1</v>
      </c>
      <c r="S3035">
        <v>1</v>
      </c>
      <c r="T3035">
        <v>1</v>
      </c>
      <c r="U3035">
        <v>0</v>
      </c>
      <c r="V3035">
        <v>0</v>
      </c>
      <c r="W3035">
        <v>1</v>
      </c>
      <c r="X3035">
        <v>1</v>
      </c>
      <c r="Y3035">
        <v>0</v>
      </c>
      <c r="Z3035">
        <v>0</v>
      </c>
      <c r="AA3035" t="s">
        <v>3428</v>
      </c>
      <c r="AB3035" t="s">
        <v>2064</v>
      </c>
      <c r="AC3035" t="s">
        <v>3428</v>
      </c>
      <c r="AD3035" t="e">
        <f>VLOOKUP(AB3035,#REF!,2,FALSE)</f>
        <v>#REF!</v>
      </c>
      <c r="AE3035" t="e">
        <f>RIGHT(#REF!,(FIND("Complex",#REF!,1)-7))</f>
        <v>#REF!</v>
      </c>
    </row>
    <row r="3036" spans="1:31" x14ac:dyDescent="0.25">
      <c r="A3036">
        <v>3693</v>
      </c>
      <c r="B3036" t="s">
        <v>72</v>
      </c>
      <c r="C3036">
        <v>104</v>
      </c>
      <c r="D3036">
        <v>1174</v>
      </c>
      <c r="E3036">
        <v>3693</v>
      </c>
      <c r="F3036">
        <v>4321801</v>
      </c>
      <c r="G3036">
        <v>4410000</v>
      </c>
      <c r="H3036">
        <f t="shared" si="94"/>
        <v>98.000022675736957</v>
      </c>
      <c r="I3036">
        <f t="shared" si="95"/>
        <v>100</v>
      </c>
      <c r="J3036" t="s">
        <v>25</v>
      </c>
      <c r="K3036">
        <v>6</v>
      </c>
      <c r="L3036" t="e">
        <f t="array" ref="L3036">VLOOKUP(J3036:$J$3871&amp;K3036:$K$3871,CHOOSE({1,2},#REF!&amp;#REF!,#REF!),2,0)</f>
        <v>#N/A</v>
      </c>
      <c r="M3036">
        <v>-15</v>
      </c>
      <c r="N3036">
        <v>0</v>
      </c>
      <c r="O3036" t="s">
        <v>7</v>
      </c>
      <c r="P3036">
        <v>1</v>
      </c>
      <c r="Q3036">
        <v>0</v>
      </c>
      <c r="R3036">
        <v>1</v>
      </c>
      <c r="S3036">
        <v>1</v>
      </c>
      <c r="T3036">
        <v>0</v>
      </c>
      <c r="U3036">
        <v>0</v>
      </c>
      <c r="V3036">
        <v>0</v>
      </c>
      <c r="W3036">
        <v>1</v>
      </c>
      <c r="X3036">
        <v>1</v>
      </c>
      <c r="Y3036">
        <v>1</v>
      </c>
      <c r="Z3036">
        <v>0</v>
      </c>
      <c r="AA3036" t="s">
        <v>2623</v>
      </c>
      <c r="AB3036" t="s">
        <v>2133</v>
      </c>
      <c r="AC3036" t="s">
        <v>2623</v>
      </c>
      <c r="AD3036" t="e">
        <f>VLOOKUP(AB3036,#REF!,2,FALSE)</f>
        <v>#REF!</v>
      </c>
      <c r="AE3036" t="e">
        <f>RIGHT(#REF!,(FIND("Complex",#REF!,1)-8))</f>
        <v>#REF!</v>
      </c>
    </row>
    <row r="3037" spans="1:31" x14ac:dyDescent="0.25">
      <c r="A3037">
        <v>3820</v>
      </c>
      <c r="B3037" t="s">
        <v>72</v>
      </c>
      <c r="C3037">
        <v>104</v>
      </c>
      <c r="D3037">
        <v>1212</v>
      </c>
      <c r="E3037">
        <v>3820</v>
      </c>
      <c r="F3037">
        <v>3616201</v>
      </c>
      <c r="G3037">
        <v>3704400</v>
      </c>
      <c r="H3037">
        <f t="shared" si="94"/>
        <v>82.000022675736957</v>
      </c>
      <c r="I3037">
        <f t="shared" si="95"/>
        <v>84</v>
      </c>
      <c r="J3037" t="s">
        <v>25</v>
      </c>
      <c r="K3037">
        <v>6</v>
      </c>
      <c r="L3037" t="e">
        <f t="array" ref="L3037">VLOOKUP(J3037:$J$3871&amp;K3037:$K$3871,CHOOSE({1,2},#REF!&amp;#REF!,#REF!),2,0)</f>
        <v>#N/A</v>
      </c>
      <c r="M3037">
        <v>-15</v>
      </c>
      <c r="N3037">
        <v>0</v>
      </c>
      <c r="O3037" t="s">
        <v>7</v>
      </c>
      <c r="P3037">
        <v>1</v>
      </c>
      <c r="Q3037">
        <v>0</v>
      </c>
      <c r="R3037">
        <v>1</v>
      </c>
      <c r="S3037">
        <v>1</v>
      </c>
      <c r="T3037">
        <v>1</v>
      </c>
      <c r="U3037">
        <v>0</v>
      </c>
      <c r="V3037">
        <v>0</v>
      </c>
      <c r="W3037">
        <v>1</v>
      </c>
      <c r="X3037">
        <v>1</v>
      </c>
      <c r="Y3037">
        <v>0</v>
      </c>
      <c r="Z3037">
        <v>0</v>
      </c>
      <c r="AA3037" t="s">
        <v>2692</v>
      </c>
      <c r="AB3037" t="s">
        <v>6159</v>
      </c>
      <c r="AC3037" t="s">
        <v>2692</v>
      </c>
      <c r="AD3037" t="e">
        <f>VLOOKUP(AB3037,#REF!,2,FALSE)</f>
        <v>#REF!</v>
      </c>
      <c r="AE3037" t="e">
        <f>RIGHT(#REF!,(FIND("Complex",#REF!,1)-8))</f>
        <v>#REF!</v>
      </c>
    </row>
    <row r="3038" spans="1:31" x14ac:dyDescent="0.25">
      <c r="A3038">
        <v>3631</v>
      </c>
      <c r="B3038" t="s">
        <v>72</v>
      </c>
      <c r="C3038">
        <v>104</v>
      </c>
      <c r="D3038">
        <v>1153</v>
      </c>
      <c r="E3038">
        <v>3631</v>
      </c>
      <c r="F3038">
        <v>3175201</v>
      </c>
      <c r="G3038">
        <v>3263400</v>
      </c>
      <c r="H3038">
        <f t="shared" si="94"/>
        <v>72.000022675736957</v>
      </c>
      <c r="I3038">
        <f t="shared" si="95"/>
        <v>74</v>
      </c>
      <c r="J3038" t="s">
        <v>25</v>
      </c>
      <c r="K3038">
        <v>6</v>
      </c>
      <c r="L3038" t="e">
        <f t="array" ref="L3038">VLOOKUP(J3038:$J$3871&amp;K3038:$K$3871,CHOOSE({1,2},#REF!&amp;#REF!,#REF!),2,0)</f>
        <v>#N/A</v>
      </c>
      <c r="M3038">
        <v>-15</v>
      </c>
      <c r="N3038">
        <v>0</v>
      </c>
      <c r="O3038" t="s">
        <v>7</v>
      </c>
      <c r="P3038">
        <v>1</v>
      </c>
      <c r="Q3038">
        <v>0</v>
      </c>
      <c r="R3038">
        <v>1</v>
      </c>
      <c r="S3038">
        <v>1</v>
      </c>
      <c r="T3038">
        <v>1</v>
      </c>
      <c r="U3038">
        <v>0</v>
      </c>
      <c r="V3038">
        <v>0</v>
      </c>
      <c r="W3038">
        <v>1</v>
      </c>
      <c r="X3038">
        <v>1</v>
      </c>
      <c r="Y3038">
        <v>0</v>
      </c>
      <c r="Z3038">
        <v>0</v>
      </c>
      <c r="AA3038" t="s">
        <v>2734</v>
      </c>
      <c r="AB3038" t="s">
        <v>2134</v>
      </c>
      <c r="AC3038" t="s">
        <v>2734</v>
      </c>
      <c r="AD3038" t="e">
        <f>VLOOKUP(AB3038,#REF!,2,FALSE)</f>
        <v>#REF!</v>
      </c>
      <c r="AE3038" t="e">
        <f>RIGHT(#REF!,(FIND("Complex",#REF!,1)-8))</f>
        <v>#REF!</v>
      </c>
    </row>
    <row r="3039" spans="1:31" x14ac:dyDescent="0.25">
      <c r="A3039">
        <v>3467</v>
      </c>
      <c r="B3039" t="s">
        <v>72</v>
      </c>
      <c r="C3039">
        <v>104</v>
      </c>
      <c r="D3039">
        <v>1107</v>
      </c>
      <c r="E3039">
        <v>3467</v>
      </c>
      <c r="F3039">
        <v>2822401</v>
      </c>
      <c r="G3039">
        <v>2910600</v>
      </c>
      <c r="H3039">
        <f t="shared" si="94"/>
        <v>64.000022675736957</v>
      </c>
      <c r="I3039">
        <f t="shared" si="95"/>
        <v>66</v>
      </c>
      <c r="J3039" t="s">
        <v>25</v>
      </c>
      <c r="K3039">
        <v>6</v>
      </c>
      <c r="L3039" t="e">
        <f t="array" ref="L3039">VLOOKUP(J3039:$J$3871&amp;K3039:$K$3871,CHOOSE({1,2},#REF!&amp;#REF!,#REF!),2,0)</f>
        <v>#N/A</v>
      </c>
      <c r="M3039">
        <v>-15</v>
      </c>
      <c r="N3039">
        <v>0</v>
      </c>
      <c r="O3039" t="s">
        <v>7</v>
      </c>
      <c r="P3039">
        <v>1</v>
      </c>
      <c r="Q3039">
        <v>0</v>
      </c>
      <c r="R3039">
        <v>1</v>
      </c>
      <c r="S3039">
        <v>1</v>
      </c>
      <c r="T3039">
        <v>1</v>
      </c>
      <c r="U3039">
        <v>0</v>
      </c>
      <c r="V3039">
        <v>0</v>
      </c>
      <c r="W3039">
        <v>1</v>
      </c>
      <c r="X3039">
        <v>1</v>
      </c>
      <c r="Y3039">
        <v>0</v>
      </c>
      <c r="Z3039">
        <v>0</v>
      </c>
      <c r="AA3039" t="s">
        <v>2769</v>
      </c>
      <c r="AB3039" t="s">
        <v>2135</v>
      </c>
      <c r="AC3039" t="s">
        <v>2769</v>
      </c>
      <c r="AD3039" t="e">
        <f>VLOOKUP(AB3039,#REF!,2,FALSE)</f>
        <v>#REF!</v>
      </c>
      <c r="AE3039" t="e">
        <f>RIGHT(#REF!,(FIND("Complex",#REF!,1)-8))</f>
        <v>#REF!</v>
      </c>
    </row>
    <row r="3040" spans="1:31" x14ac:dyDescent="0.25">
      <c r="A3040">
        <v>3850</v>
      </c>
      <c r="B3040" t="s">
        <v>72</v>
      </c>
      <c r="C3040">
        <v>104</v>
      </c>
      <c r="D3040">
        <v>1221</v>
      </c>
      <c r="E3040">
        <v>3850</v>
      </c>
      <c r="F3040">
        <v>15523201</v>
      </c>
      <c r="G3040">
        <v>15611400</v>
      </c>
      <c r="H3040">
        <f t="shared" si="94"/>
        <v>352.00002267573694</v>
      </c>
      <c r="I3040">
        <f t="shared" si="95"/>
        <v>354</v>
      </c>
      <c r="J3040" t="s">
        <v>25</v>
      </c>
      <c r="K3040">
        <v>6</v>
      </c>
      <c r="L3040" t="e">
        <f t="array" ref="L3040">VLOOKUP(J3040:$J$3871&amp;K3040:$K$3871,CHOOSE({1,2},#REF!&amp;#REF!,#REF!),2,0)</f>
        <v>#N/A</v>
      </c>
      <c r="M3040">
        <v>-15</v>
      </c>
      <c r="N3040">
        <v>0</v>
      </c>
      <c r="O3040" t="s">
        <v>7</v>
      </c>
      <c r="P3040">
        <v>0</v>
      </c>
      <c r="Q3040">
        <v>1</v>
      </c>
      <c r="R3040">
        <v>1</v>
      </c>
      <c r="S3040">
        <v>1</v>
      </c>
      <c r="T3040">
        <v>1</v>
      </c>
      <c r="U3040">
        <v>0</v>
      </c>
      <c r="V3040">
        <v>0</v>
      </c>
      <c r="W3040">
        <v>1</v>
      </c>
      <c r="X3040">
        <v>1</v>
      </c>
      <c r="Y3040">
        <v>0</v>
      </c>
      <c r="Z3040">
        <v>0</v>
      </c>
      <c r="AA3040" t="s">
        <v>2850</v>
      </c>
      <c r="AB3040" t="s">
        <v>2136</v>
      </c>
      <c r="AC3040" t="s">
        <v>2850</v>
      </c>
      <c r="AD3040" t="e">
        <f>VLOOKUP(AB3040,#REF!,2,FALSE)</f>
        <v>#REF!</v>
      </c>
      <c r="AE3040" t="e">
        <f>RIGHT(#REF!,(FIND("Complex",#REF!,1)-7))</f>
        <v>#REF!</v>
      </c>
    </row>
    <row r="3041" spans="1:31" x14ac:dyDescent="0.25">
      <c r="A3041">
        <v>2349</v>
      </c>
      <c r="B3041" t="s">
        <v>72</v>
      </c>
      <c r="C3041">
        <v>104</v>
      </c>
      <c r="D3041">
        <v>948</v>
      </c>
      <c r="E3041">
        <v>2349</v>
      </c>
      <c r="F3041">
        <v>14200201</v>
      </c>
      <c r="G3041">
        <v>14288400</v>
      </c>
      <c r="H3041">
        <f t="shared" si="94"/>
        <v>322.00002267573694</v>
      </c>
      <c r="I3041">
        <f t="shared" si="95"/>
        <v>324</v>
      </c>
      <c r="J3041" t="s">
        <v>25</v>
      </c>
      <c r="K3041">
        <v>6</v>
      </c>
      <c r="L3041" t="e">
        <f t="array" ref="L3041">VLOOKUP(J3041:$J$3871&amp;K3041:$K$3871,CHOOSE({1,2},#REF!&amp;#REF!,#REF!),2,0)</f>
        <v>#N/A</v>
      </c>
      <c r="M3041">
        <v>-15</v>
      </c>
      <c r="N3041">
        <v>0</v>
      </c>
      <c r="O3041" t="s">
        <v>7</v>
      </c>
      <c r="P3041">
        <v>1</v>
      </c>
      <c r="Q3041">
        <v>1</v>
      </c>
      <c r="R3041">
        <v>1</v>
      </c>
      <c r="S3041">
        <v>1</v>
      </c>
      <c r="T3041">
        <v>0</v>
      </c>
      <c r="U3041">
        <v>0</v>
      </c>
      <c r="V3041">
        <v>0</v>
      </c>
      <c r="W3041">
        <v>1</v>
      </c>
      <c r="X3041">
        <v>1</v>
      </c>
      <c r="Y3041">
        <v>0</v>
      </c>
      <c r="Z3041">
        <v>0</v>
      </c>
      <c r="AA3041" t="s">
        <v>2864</v>
      </c>
      <c r="AB3041" t="s">
        <v>6210</v>
      </c>
      <c r="AC3041" t="s">
        <v>2864</v>
      </c>
      <c r="AD3041" t="e">
        <f>VLOOKUP(AB3041,#REF!,2,FALSE)</f>
        <v>#REF!</v>
      </c>
      <c r="AE3041" t="e">
        <f>RIGHT(#REF!,(FIND("Complex",#REF!,1)-6))</f>
        <v>#REF!</v>
      </c>
    </row>
    <row r="3042" spans="1:31" x14ac:dyDescent="0.25">
      <c r="A3042">
        <v>730</v>
      </c>
      <c r="B3042" t="s">
        <v>72</v>
      </c>
      <c r="C3042">
        <v>104</v>
      </c>
      <c r="D3042">
        <v>318</v>
      </c>
      <c r="E3042">
        <v>730</v>
      </c>
      <c r="F3042">
        <v>12789001</v>
      </c>
      <c r="G3042">
        <v>12877200</v>
      </c>
      <c r="H3042">
        <f t="shared" si="94"/>
        <v>290.00002267573694</v>
      </c>
      <c r="I3042">
        <f t="shared" si="95"/>
        <v>292</v>
      </c>
      <c r="J3042" t="s">
        <v>25</v>
      </c>
      <c r="K3042">
        <v>6</v>
      </c>
      <c r="L3042" t="e">
        <f t="array" ref="L3042">VLOOKUP(J3042:$J$3871&amp;K3042:$K$3871,CHOOSE({1,2},#REF!&amp;#REF!,#REF!),2,0)</f>
        <v>#N/A</v>
      </c>
      <c r="M3042">
        <v>-15</v>
      </c>
      <c r="N3042">
        <v>0</v>
      </c>
      <c r="O3042" t="s">
        <v>7</v>
      </c>
      <c r="P3042">
        <v>0</v>
      </c>
      <c r="Q3042">
        <v>1</v>
      </c>
      <c r="R3042">
        <v>1</v>
      </c>
      <c r="S3042">
        <v>1</v>
      </c>
      <c r="T3042">
        <v>0</v>
      </c>
      <c r="U3042">
        <v>0</v>
      </c>
      <c r="V3042">
        <v>0</v>
      </c>
      <c r="W3042">
        <v>1</v>
      </c>
      <c r="X3042">
        <v>1</v>
      </c>
      <c r="Y3042">
        <v>1</v>
      </c>
      <c r="Z3042">
        <v>0</v>
      </c>
      <c r="AA3042" t="s">
        <v>2894</v>
      </c>
      <c r="AB3042" t="s">
        <v>6217</v>
      </c>
      <c r="AC3042" t="s">
        <v>2894</v>
      </c>
      <c r="AD3042" t="e">
        <f>VLOOKUP(AB3042,#REF!,2,FALSE)</f>
        <v>#REF!</v>
      </c>
      <c r="AE3042" t="e">
        <f>RIGHT(#REF!,(FIND("Complex",#REF!,1)-5))</f>
        <v>#REF!</v>
      </c>
    </row>
    <row r="3043" spans="1:31" x14ac:dyDescent="0.25">
      <c r="A3043">
        <v>1586</v>
      </c>
      <c r="B3043" t="s">
        <v>72</v>
      </c>
      <c r="C3043">
        <v>104</v>
      </c>
      <c r="D3043">
        <v>687</v>
      </c>
      <c r="E3043">
        <v>1586</v>
      </c>
      <c r="F3043">
        <v>12612601</v>
      </c>
      <c r="G3043">
        <v>12700800</v>
      </c>
      <c r="H3043">
        <f t="shared" si="94"/>
        <v>286.00002267573694</v>
      </c>
      <c r="I3043">
        <f t="shared" si="95"/>
        <v>288</v>
      </c>
      <c r="J3043" t="s">
        <v>25</v>
      </c>
      <c r="K3043">
        <v>6</v>
      </c>
      <c r="L3043" t="e">
        <f t="array" ref="L3043">VLOOKUP(J3043:$J$3871&amp;K3043:$K$3871,CHOOSE({1,2},#REF!&amp;#REF!,#REF!),2,0)</f>
        <v>#N/A</v>
      </c>
      <c r="M3043">
        <v>-15</v>
      </c>
      <c r="N3043">
        <v>0</v>
      </c>
      <c r="O3043" t="s">
        <v>7</v>
      </c>
      <c r="P3043">
        <v>0</v>
      </c>
      <c r="Q3043">
        <v>1</v>
      </c>
      <c r="R3043">
        <v>1</v>
      </c>
      <c r="S3043">
        <v>1</v>
      </c>
      <c r="T3043">
        <v>1</v>
      </c>
      <c r="U3043">
        <v>0</v>
      </c>
      <c r="V3043">
        <v>0</v>
      </c>
      <c r="W3043">
        <v>1</v>
      </c>
      <c r="X3043">
        <v>1</v>
      </c>
      <c r="Y3043">
        <v>0</v>
      </c>
      <c r="Z3043">
        <v>0</v>
      </c>
      <c r="AA3043" t="s">
        <v>2897</v>
      </c>
      <c r="AB3043" t="s">
        <v>2137</v>
      </c>
      <c r="AC3043" t="s">
        <v>2897</v>
      </c>
      <c r="AD3043" t="e">
        <f>VLOOKUP(AB3043,#REF!,2,FALSE)</f>
        <v>#REF!</v>
      </c>
      <c r="AE3043" t="e">
        <f>RIGHT(#REF!,(FIND("Complex",#REF!,1)-6))</f>
        <v>#REF!</v>
      </c>
    </row>
    <row r="3044" spans="1:31" x14ac:dyDescent="0.25">
      <c r="A3044">
        <v>3750</v>
      </c>
      <c r="B3044" t="s">
        <v>72</v>
      </c>
      <c r="C3044">
        <v>104</v>
      </c>
      <c r="D3044">
        <v>1192</v>
      </c>
      <c r="E3044">
        <v>3750</v>
      </c>
      <c r="F3044">
        <v>12171601</v>
      </c>
      <c r="G3044">
        <v>12259800</v>
      </c>
      <c r="H3044">
        <f t="shared" si="94"/>
        <v>276.00002267573694</v>
      </c>
      <c r="I3044">
        <f t="shared" si="95"/>
        <v>278</v>
      </c>
      <c r="J3044" t="s">
        <v>25</v>
      </c>
      <c r="K3044">
        <v>6</v>
      </c>
      <c r="L3044" t="e">
        <f t="array" ref="L3044">VLOOKUP(J3044:$J$3871&amp;K3044:$K$3871,CHOOSE({1,2},#REF!&amp;#REF!,#REF!),2,0)</f>
        <v>#N/A</v>
      </c>
      <c r="M3044">
        <v>-15</v>
      </c>
      <c r="N3044">
        <v>0</v>
      </c>
      <c r="O3044" t="s">
        <v>7</v>
      </c>
      <c r="P3044">
        <v>1</v>
      </c>
      <c r="Q3044">
        <v>0</v>
      </c>
      <c r="R3044">
        <v>1</v>
      </c>
      <c r="S3044">
        <v>1</v>
      </c>
      <c r="T3044">
        <v>1</v>
      </c>
      <c r="U3044">
        <v>0</v>
      </c>
      <c r="V3044">
        <v>0</v>
      </c>
      <c r="W3044">
        <v>1</v>
      </c>
      <c r="X3044">
        <v>1</v>
      </c>
      <c r="Y3044">
        <v>0</v>
      </c>
      <c r="Z3044">
        <v>0</v>
      </c>
      <c r="AA3044" t="s">
        <v>2905</v>
      </c>
      <c r="AB3044" t="s">
        <v>2138</v>
      </c>
      <c r="AC3044" t="s">
        <v>2905</v>
      </c>
      <c r="AD3044" t="e">
        <f>VLOOKUP(AB3044,#REF!,2,FALSE)</f>
        <v>#REF!</v>
      </c>
      <c r="AE3044" t="e">
        <f>RIGHT(#REF!,(FIND("Complex",#REF!,1)-7))</f>
        <v>#REF!</v>
      </c>
    </row>
    <row r="3045" spans="1:31" x14ac:dyDescent="0.25">
      <c r="A3045">
        <v>3809</v>
      </c>
      <c r="B3045" t="s">
        <v>72</v>
      </c>
      <c r="C3045">
        <v>104</v>
      </c>
      <c r="D3045">
        <v>1210</v>
      </c>
      <c r="E3045">
        <v>3809</v>
      </c>
      <c r="F3045">
        <v>11995201</v>
      </c>
      <c r="G3045">
        <v>12083400</v>
      </c>
      <c r="H3045">
        <f t="shared" si="94"/>
        <v>272.00002267573694</v>
      </c>
      <c r="I3045">
        <f t="shared" si="95"/>
        <v>274</v>
      </c>
      <c r="J3045" t="s">
        <v>25</v>
      </c>
      <c r="K3045">
        <v>6</v>
      </c>
      <c r="L3045" t="e">
        <f t="array" ref="L3045">VLOOKUP(J3045:$J$3871&amp;K3045:$K$3871,CHOOSE({1,2},#REF!&amp;#REF!,#REF!),2,0)</f>
        <v>#N/A</v>
      </c>
      <c r="M3045">
        <v>-15</v>
      </c>
      <c r="N3045">
        <v>0</v>
      </c>
      <c r="O3045" t="s">
        <v>7</v>
      </c>
      <c r="P3045">
        <v>1</v>
      </c>
      <c r="Q3045">
        <v>0</v>
      </c>
      <c r="R3045">
        <v>1</v>
      </c>
      <c r="S3045">
        <v>1</v>
      </c>
      <c r="T3045">
        <v>1</v>
      </c>
      <c r="U3045">
        <v>0</v>
      </c>
      <c r="V3045">
        <v>0</v>
      </c>
      <c r="W3045">
        <v>1</v>
      </c>
      <c r="X3045">
        <v>1</v>
      </c>
      <c r="Y3045">
        <v>0</v>
      </c>
      <c r="Z3045">
        <v>0</v>
      </c>
      <c r="AA3045" t="s">
        <v>2909</v>
      </c>
      <c r="AB3045" t="s">
        <v>6221</v>
      </c>
      <c r="AC3045" t="s">
        <v>2909</v>
      </c>
      <c r="AD3045" t="e">
        <f>VLOOKUP(AB3045,#REF!,2,FALSE)</f>
        <v>#REF!</v>
      </c>
      <c r="AE3045" t="e">
        <f>RIGHT(#REF!,(FIND("Complex",#REF!,1)-7))</f>
        <v>#REF!</v>
      </c>
    </row>
    <row r="3046" spans="1:31" x14ac:dyDescent="0.25">
      <c r="A3046">
        <v>3682</v>
      </c>
      <c r="B3046" t="s">
        <v>72</v>
      </c>
      <c r="C3046">
        <v>104</v>
      </c>
      <c r="D3046">
        <v>1168</v>
      </c>
      <c r="E3046">
        <v>3682</v>
      </c>
      <c r="F3046">
        <v>10936801</v>
      </c>
      <c r="G3046">
        <v>11025000</v>
      </c>
      <c r="H3046">
        <f t="shared" si="94"/>
        <v>248.00002267573697</v>
      </c>
      <c r="I3046">
        <f t="shared" si="95"/>
        <v>250</v>
      </c>
      <c r="J3046" t="s">
        <v>25</v>
      </c>
      <c r="K3046">
        <v>6</v>
      </c>
      <c r="L3046" t="e">
        <f t="array" ref="L3046">VLOOKUP(J3046:$J$3871&amp;K3046:$K$3871,CHOOSE({1,2},#REF!&amp;#REF!,#REF!),2,0)</f>
        <v>#N/A</v>
      </c>
      <c r="M3046">
        <v>-15</v>
      </c>
      <c r="N3046">
        <v>0</v>
      </c>
      <c r="O3046" t="s">
        <v>7</v>
      </c>
      <c r="P3046">
        <v>1</v>
      </c>
      <c r="Q3046">
        <v>0</v>
      </c>
      <c r="R3046">
        <v>1</v>
      </c>
      <c r="S3046">
        <v>1</v>
      </c>
      <c r="T3046">
        <v>1</v>
      </c>
      <c r="U3046">
        <v>0</v>
      </c>
      <c r="V3046">
        <v>0</v>
      </c>
      <c r="W3046">
        <v>1</v>
      </c>
      <c r="X3046">
        <v>1</v>
      </c>
      <c r="Y3046">
        <v>0</v>
      </c>
      <c r="Z3046">
        <v>0</v>
      </c>
      <c r="AA3046" t="s">
        <v>2943</v>
      </c>
      <c r="AB3046" t="s">
        <v>2139</v>
      </c>
      <c r="AC3046" t="s">
        <v>2943</v>
      </c>
      <c r="AD3046" t="e">
        <f>VLOOKUP(AB3046,#REF!,2,FALSE)</f>
        <v>#REF!</v>
      </c>
      <c r="AE3046" t="e">
        <f>RIGHT(#REF!,(FIND("Complex",#REF!,1)-7))</f>
        <v>#REF!</v>
      </c>
    </row>
    <row r="3047" spans="1:31" x14ac:dyDescent="0.25">
      <c r="A3047">
        <v>1311</v>
      </c>
      <c r="B3047" t="s">
        <v>72</v>
      </c>
      <c r="C3047">
        <v>104</v>
      </c>
      <c r="D3047">
        <v>569</v>
      </c>
      <c r="E3047">
        <v>1311</v>
      </c>
      <c r="F3047">
        <v>10672201</v>
      </c>
      <c r="G3047">
        <v>10760400</v>
      </c>
      <c r="H3047">
        <f t="shared" si="94"/>
        <v>242.00002267573697</v>
      </c>
      <c r="I3047">
        <f t="shared" si="95"/>
        <v>244</v>
      </c>
      <c r="J3047" t="s">
        <v>25</v>
      </c>
      <c r="K3047">
        <v>6</v>
      </c>
      <c r="L3047" t="e">
        <f t="array" ref="L3047">VLOOKUP(J3047:$J$3871&amp;K3047:$K$3871,CHOOSE({1,2},#REF!&amp;#REF!,#REF!),2,0)</f>
        <v>#N/A</v>
      </c>
      <c r="M3047">
        <v>-15</v>
      </c>
      <c r="N3047">
        <v>0</v>
      </c>
      <c r="O3047" t="s">
        <v>7</v>
      </c>
      <c r="P3047">
        <v>1</v>
      </c>
      <c r="Q3047">
        <v>0</v>
      </c>
      <c r="R3047">
        <v>1</v>
      </c>
      <c r="S3047">
        <v>1</v>
      </c>
      <c r="T3047">
        <v>1</v>
      </c>
      <c r="U3047">
        <v>0</v>
      </c>
      <c r="V3047">
        <v>0</v>
      </c>
      <c r="W3047">
        <v>1</v>
      </c>
      <c r="X3047">
        <v>0</v>
      </c>
      <c r="Y3047">
        <v>1</v>
      </c>
      <c r="Z3047">
        <v>0</v>
      </c>
      <c r="AA3047" t="s">
        <v>2954</v>
      </c>
      <c r="AB3047" t="s">
        <v>2140</v>
      </c>
      <c r="AC3047" t="s">
        <v>2954</v>
      </c>
      <c r="AD3047" t="e">
        <f>VLOOKUP(AB3047,#REF!,2,FALSE)</f>
        <v>#REF!</v>
      </c>
      <c r="AE3047" t="e">
        <f>RIGHT(#REF!,(FIND("Complex",#REF!,1)-6))</f>
        <v>#REF!</v>
      </c>
    </row>
    <row r="3048" spans="1:31" x14ac:dyDescent="0.25">
      <c r="A3048">
        <v>3726</v>
      </c>
      <c r="B3048" t="s">
        <v>72</v>
      </c>
      <c r="C3048">
        <v>104</v>
      </c>
      <c r="D3048">
        <v>1184</v>
      </c>
      <c r="E3048">
        <v>3726</v>
      </c>
      <c r="F3048">
        <v>10495801</v>
      </c>
      <c r="G3048">
        <v>10584000</v>
      </c>
      <c r="H3048">
        <f t="shared" si="94"/>
        <v>238.00002267573697</v>
      </c>
      <c r="I3048">
        <f t="shared" si="95"/>
        <v>240</v>
      </c>
      <c r="J3048" t="s">
        <v>25</v>
      </c>
      <c r="K3048">
        <v>6</v>
      </c>
      <c r="L3048" t="e">
        <f t="array" ref="L3048">VLOOKUP(J3048:$J$3871&amp;K3048:$K$3871,CHOOSE({1,2},#REF!&amp;#REF!,#REF!),2,0)</f>
        <v>#N/A</v>
      </c>
      <c r="M3048">
        <v>-15</v>
      </c>
      <c r="N3048">
        <v>0</v>
      </c>
      <c r="O3048" t="s">
        <v>7</v>
      </c>
      <c r="P3048">
        <v>0</v>
      </c>
      <c r="Q3048">
        <v>0</v>
      </c>
      <c r="R3048">
        <v>1</v>
      </c>
      <c r="S3048">
        <v>1</v>
      </c>
      <c r="T3048">
        <v>1</v>
      </c>
      <c r="U3048">
        <v>0</v>
      </c>
      <c r="V3048">
        <v>0</v>
      </c>
      <c r="W3048">
        <v>1</v>
      </c>
      <c r="X3048">
        <v>1</v>
      </c>
      <c r="Y3048">
        <v>1</v>
      </c>
      <c r="Z3048">
        <v>0</v>
      </c>
      <c r="AA3048" t="s">
        <v>2966</v>
      </c>
      <c r="AB3048" t="s">
        <v>2141</v>
      </c>
      <c r="AC3048" t="s">
        <v>2966</v>
      </c>
      <c r="AD3048" t="e">
        <f>VLOOKUP(AB3048,#REF!,2,FALSE)</f>
        <v>#REF!</v>
      </c>
      <c r="AE3048" t="e">
        <f>RIGHT(#REF!,(FIND("Complex",#REF!,1)-7))</f>
        <v>#REF!</v>
      </c>
    </row>
    <row r="3049" spans="1:31" x14ac:dyDescent="0.25">
      <c r="A3049">
        <v>3588</v>
      </c>
      <c r="B3049" t="s">
        <v>72</v>
      </c>
      <c r="C3049">
        <v>104</v>
      </c>
      <c r="D3049">
        <v>1137</v>
      </c>
      <c r="E3049">
        <v>3588</v>
      </c>
      <c r="F3049">
        <v>10143001</v>
      </c>
      <c r="G3049">
        <v>10231200</v>
      </c>
      <c r="H3049">
        <f t="shared" si="94"/>
        <v>230.00002267573697</v>
      </c>
      <c r="I3049">
        <f t="shared" si="95"/>
        <v>232</v>
      </c>
      <c r="J3049" t="s">
        <v>25</v>
      </c>
      <c r="K3049">
        <v>6</v>
      </c>
      <c r="L3049" t="e">
        <f t="array" ref="L3049">VLOOKUP(J3049:$J$3871&amp;K3049:$K$3871,CHOOSE({1,2},#REF!&amp;#REF!,#REF!),2,0)</f>
        <v>#N/A</v>
      </c>
      <c r="M3049">
        <v>-15</v>
      </c>
      <c r="N3049">
        <v>0</v>
      </c>
      <c r="O3049" t="s">
        <v>7</v>
      </c>
      <c r="P3049">
        <v>1</v>
      </c>
      <c r="Q3049">
        <v>0</v>
      </c>
      <c r="R3049">
        <v>1</v>
      </c>
      <c r="S3049">
        <v>1</v>
      </c>
      <c r="T3049">
        <v>1</v>
      </c>
      <c r="U3049">
        <v>0</v>
      </c>
      <c r="V3049">
        <v>0</v>
      </c>
      <c r="W3049">
        <v>1</v>
      </c>
      <c r="X3049">
        <v>1</v>
      </c>
      <c r="Y3049">
        <v>0</v>
      </c>
      <c r="Z3049">
        <v>0</v>
      </c>
      <c r="AA3049" t="s">
        <v>2982</v>
      </c>
      <c r="AB3049" t="s">
        <v>2142</v>
      </c>
      <c r="AC3049" t="s">
        <v>2982</v>
      </c>
      <c r="AD3049" t="e">
        <f>VLOOKUP(AB3049,#REF!,2,FALSE)</f>
        <v>#REF!</v>
      </c>
      <c r="AE3049" t="e">
        <f>RIGHT(#REF!,(FIND("Complex",#REF!,1)-7))</f>
        <v>#REF!</v>
      </c>
    </row>
    <row r="3050" spans="1:31" x14ac:dyDescent="0.25">
      <c r="A3050">
        <v>2550</v>
      </c>
      <c r="B3050" t="s">
        <v>72</v>
      </c>
      <c r="C3050">
        <v>104</v>
      </c>
      <c r="D3050">
        <v>966</v>
      </c>
      <c r="E3050">
        <v>2550</v>
      </c>
      <c r="F3050">
        <v>8820001</v>
      </c>
      <c r="G3050">
        <v>8908200</v>
      </c>
      <c r="H3050">
        <f t="shared" si="94"/>
        <v>200.00002267573697</v>
      </c>
      <c r="I3050">
        <f t="shared" si="95"/>
        <v>202</v>
      </c>
      <c r="J3050" t="s">
        <v>25</v>
      </c>
      <c r="K3050">
        <v>6</v>
      </c>
      <c r="L3050" t="e">
        <f t="array" ref="L3050">VLOOKUP(J3050:$J$3871&amp;K3050:$K$3871,CHOOSE({1,2},#REF!&amp;#REF!,#REF!),2,0)</f>
        <v>#N/A</v>
      </c>
      <c r="M3050">
        <v>-15</v>
      </c>
      <c r="N3050">
        <v>0</v>
      </c>
      <c r="O3050" t="s">
        <v>7</v>
      </c>
      <c r="P3050">
        <v>1</v>
      </c>
      <c r="Q3050">
        <v>1</v>
      </c>
      <c r="R3050">
        <v>1</v>
      </c>
      <c r="S3050">
        <v>0</v>
      </c>
      <c r="T3050">
        <v>1</v>
      </c>
      <c r="U3050">
        <v>0</v>
      </c>
      <c r="V3050">
        <v>0</v>
      </c>
      <c r="W3050">
        <v>1</v>
      </c>
      <c r="X3050">
        <v>1</v>
      </c>
      <c r="Y3050">
        <v>0</v>
      </c>
      <c r="Z3050">
        <v>0</v>
      </c>
      <c r="AA3050" t="s">
        <v>3054</v>
      </c>
      <c r="AB3050" t="s">
        <v>2143</v>
      </c>
      <c r="AC3050" t="s">
        <v>3054</v>
      </c>
      <c r="AD3050" t="e">
        <f>VLOOKUP(AB3050,#REF!,2,FALSE)</f>
        <v>#REF!</v>
      </c>
      <c r="AE3050" t="e">
        <f>RIGHT(#REF!,(FIND("Complex",#REF!,1)-6))</f>
        <v>#REF!</v>
      </c>
    </row>
    <row r="3051" spans="1:31" x14ac:dyDescent="0.25">
      <c r="A3051">
        <v>3742</v>
      </c>
      <c r="B3051" t="s">
        <v>72</v>
      </c>
      <c r="C3051">
        <v>104</v>
      </c>
      <c r="D3051">
        <v>1189</v>
      </c>
      <c r="E3051">
        <v>3742</v>
      </c>
      <c r="F3051">
        <v>7938001</v>
      </c>
      <c r="G3051">
        <v>8026200</v>
      </c>
      <c r="H3051">
        <f t="shared" si="94"/>
        <v>180.00002267573697</v>
      </c>
      <c r="I3051">
        <f t="shared" si="95"/>
        <v>182</v>
      </c>
      <c r="J3051" t="s">
        <v>25</v>
      </c>
      <c r="K3051">
        <v>6</v>
      </c>
      <c r="L3051" t="e">
        <f t="array" ref="L3051">VLOOKUP(J3051:$J$3871&amp;K3051:$K$3871,CHOOSE({1,2},#REF!&amp;#REF!,#REF!),2,0)</f>
        <v>#N/A</v>
      </c>
      <c r="M3051">
        <v>-15</v>
      </c>
      <c r="N3051">
        <v>0</v>
      </c>
      <c r="O3051" t="s">
        <v>7</v>
      </c>
      <c r="P3051">
        <v>1</v>
      </c>
      <c r="Q3051">
        <v>1</v>
      </c>
      <c r="R3051">
        <v>1</v>
      </c>
      <c r="S3051">
        <v>0</v>
      </c>
      <c r="T3051">
        <v>1</v>
      </c>
      <c r="U3051">
        <v>0</v>
      </c>
      <c r="V3051">
        <v>0</v>
      </c>
      <c r="W3051">
        <v>1</v>
      </c>
      <c r="X3051">
        <v>1</v>
      </c>
      <c r="Y3051">
        <v>0</v>
      </c>
      <c r="Z3051">
        <v>0</v>
      </c>
      <c r="AA3051" t="s">
        <v>3133</v>
      </c>
      <c r="AB3051" t="s">
        <v>2144</v>
      </c>
      <c r="AC3051" t="s">
        <v>3133</v>
      </c>
      <c r="AD3051" t="e">
        <f>VLOOKUP(AB3051,#REF!,2,FALSE)</f>
        <v>#REF!</v>
      </c>
      <c r="AE3051" t="e">
        <f>RIGHT(#REF!,(FIND("Complex",#REF!,1)-7))</f>
        <v>#REF!</v>
      </c>
    </row>
    <row r="3052" spans="1:31" x14ac:dyDescent="0.25">
      <c r="A3052">
        <v>813</v>
      </c>
      <c r="B3052" t="s">
        <v>72</v>
      </c>
      <c r="C3052">
        <v>104</v>
      </c>
      <c r="D3052">
        <v>365</v>
      </c>
      <c r="E3052">
        <v>813</v>
      </c>
      <c r="F3052">
        <v>7761601</v>
      </c>
      <c r="G3052">
        <v>7849800</v>
      </c>
      <c r="H3052">
        <f t="shared" si="94"/>
        <v>176.00002267573697</v>
      </c>
      <c r="I3052">
        <f t="shared" si="95"/>
        <v>178</v>
      </c>
      <c r="J3052" t="s">
        <v>25</v>
      </c>
      <c r="K3052">
        <v>6</v>
      </c>
      <c r="L3052" t="e">
        <f t="array" ref="L3052">VLOOKUP(J3052:$J$3871&amp;K3052:$K$3871,CHOOSE({1,2},#REF!&amp;#REF!,#REF!),2,0)</f>
        <v>#N/A</v>
      </c>
      <c r="M3052">
        <v>-15</v>
      </c>
      <c r="N3052">
        <v>0</v>
      </c>
      <c r="O3052" t="s">
        <v>7</v>
      </c>
      <c r="P3052">
        <v>1</v>
      </c>
      <c r="Q3052">
        <v>1</v>
      </c>
      <c r="R3052">
        <v>1</v>
      </c>
      <c r="S3052">
        <v>0</v>
      </c>
      <c r="T3052">
        <v>1</v>
      </c>
      <c r="U3052">
        <v>0</v>
      </c>
      <c r="V3052">
        <v>0</v>
      </c>
      <c r="W3052">
        <v>1</v>
      </c>
      <c r="X3052">
        <v>1</v>
      </c>
      <c r="Y3052">
        <v>0</v>
      </c>
      <c r="Z3052">
        <v>0</v>
      </c>
      <c r="AA3052" t="s">
        <v>3151</v>
      </c>
      <c r="AB3052" t="s">
        <v>2145</v>
      </c>
      <c r="AC3052" t="s">
        <v>3151</v>
      </c>
      <c r="AD3052" t="e">
        <f>VLOOKUP(AB3052,#REF!,2,FALSE)</f>
        <v>#REF!</v>
      </c>
      <c r="AE3052" t="e">
        <f>RIGHT(#REF!,(FIND("Complex",#REF!,1)-5))</f>
        <v>#REF!</v>
      </c>
    </row>
    <row r="3053" spans="1:31" x14ac:dyDescent="0.25">
      <c r="A3053">
        <v>466</v>
      </c>
      <c r="B3053" t="s">
        <v>72</v>
      </c>
      <c r="C3053">
        <v>104</v>
      </c>
      <c r="D3053">
        <v>195</v>
      </c>
      <c r="E3053">
        <v>466</v>
      </c>
      <c r="F3053">
        <v>5203801</v>
      </c>
      <c r="G3053">
        <v>5292000</v>
      </c>
      <c r="H3053">
        <f t="shared" si="94"/>
        <v>118.00002267573696</v>
      </c>
      <c r="I3053">
        <f t="shared" si="95"/>
        <v>120</v>
      </c>
      <c r="J3053" t="s">
        <v>25</v>
      </c>
      <c r="K3053">
        <v>6</v>
      </c>
      <c r="L3053" t="e">
        <f t="array" ref="L3053">VLOOKUP(J3053:$J$3871&amp;K3053:$K$3871,CHOOSE({1,2},#REF!&amp;#REF!,#REF!),2,0)</f>
        <v>#N/A</v>
      </c>
      <c r="M3053">
        <v>-15</v>
      </c>
      <c r="N3053">
        <v>0</v>
      </c>
      <c r="O3053" t="s">
        <v>7</v>
      </c>
      <c r="P3053">
        <v>1</v>
      </c>
      <c r="Q3053">
        <v>0</v>
      </c>
      <c r="R3053">
        <v>1</v>
      </c>
      <c r="S3053">
        <v>1</v>
      </c>
      <c r="T3053">
        <v>1</v>
      </c>
      <c r="U3053">
        <v>0</v>
      </c>
      <c r="V3053">
        <v>0</v>
      </c>
      <c r="W3053">
        <v>1</v>
      </c>
      <c r="X3053">
        <v>1</v>
      </c>
      <c r="Y3053">
        <v>0</v>
      </c>
      <c r="Z3053">
        <v>0</v>
      </c>
      <c r="AA3053" t="s">
        <v>3403</v>
      </c>
      <c r="AB3053" t="s">
        <v>6308</v>
      </c>
      <c r="AC3053" t="s">
        <v>3403</v>
      </c>
      <c r="AD3053" t="e">
        <f>VLOOKUP(AB3053,#REF!,2,FALSE)</f>
        <v>#REF!</v>
      </c>
      <c r="AE3053" t="e">
        <f>RIGHT(#REF!,(FIND("Complex",#REF!,1)-5))</f>
        <v>#REF!</v>
      </c>
    </row>
    <row r="3054" spans="1:31" x14ac:dyDescent="0.25">
      <c r="A3054">
        <v>1678</v>
      </c>
      <c r="B3054" t="s">
        <v>72</v>
      </c>
      <c r="C3054">
        <v>104</v>
      </c>
      <c r="D3054">
        <v>734</v>
      </c>
      <c r="E3054">
        <v>1678</v>
      </c>
      <c r="F3054">
        <v>4851001</v>
      </c>
      <c r="G3054">
        <v>4939200</v>
      </c>
      <c r="H3054">
        <f t="shared" si="94"/>
        <v>110.00002267573696</v>
      </c>
      <c r="I3054">
        <f t="shared" si="95"/>
        <v>112</v>
      </c>
      <c r="J3054" t="s">
        <v>25</v>
      </c>
      <c r="K3054">
        <v>6</v>
      </c>
      <c r="L3054" t="e">
        <f t="array" ref="L3054">VLOOKUP(J3054:$J$3871&amp;K3054:$K$3871,CHOOSE({1,2},#REF!&amp;#REF!,#REF!),2,0)</f>
        <v>#N/A</v>
      </c>
      <c r="M3054">
        <v>-15</v>
      </c>
      <c r="N3054">
        <v>0</v>
      </c>
      <c r="O3054" t="s">
        <v>7</v>
      </c>
      <c r="P3054">
        <v>0</v>
      </c>
      <c r="Q3054">
        <v>0</v>
      </c>
      <c r="R3054">
        <v>1</v>
      </c>
      <c r="S3054">
        <v>1</v>
      </c>
      <c r="T3054">
        <v>1</v>
      </c>
      <c r="U3054">
        <v>0</v>
      </c>
      <c r="V3054">
        <v>0</v>
      </c>
      <c r="W3054">
        <v>1</v>
      </c>
      <c r="X3054">
        <v>1</v>
      </c>
      <c r="Y3054">
        <v>1</v>
      </c>
      <c r="Z3054">
        <v>0</v>
      </c>
      <c r="AA3054" t="s">
        <v>3454</v>
      </c>
      <c r="AB3054" t="s">
        <v>2146</v>
      </c>
      <c r="AC3054" t="s">
        <v>3454</v>
      </c>
      <c r="AD3054" t="e">
        <f>VLOOKUP(AB3054,#REF!,2,FALSE)</f>
        <v>#REF!</v>
      </c>
      <c r="AE3054" t="e">
        <f>RIGHT(#REF!,(FIND("Complex",#REF!,1)-6))</f>
        <v>#REF!</v>
      </c>
    </row>
    <row r="3055" spans="1:31" x14ac:dyDescent="0.25">
      <c r="A3055">
        <v>3479</v>
      </c>
      <c r="B3055" t="s">
        <v>67</v>
      </c>
      <c r="C3055">
        <v>110</v>
      </c>
      <c r="D3055">
        <v>1110</v>
      </c>
      <c r="E3055">
        <v>3479</v>
      </c>
      <c r="F3055">
        <v>5644801</v>
      </c>
      <c r="G3055">
        <v>5733000</v>
      </c>
      <c r="H3055">
        <f t="shared" si="94"/>
        <v>128.00002267573697</v>
      </c>
      <c r="I3055">
        <f t="shared" si="95"/>
        <v>130</v>
      </c>
      <c r="J3055" t="s">
        <v>25</v>
      </c>
      <c r="K3055">
        <v>6</v>
      </c>
      <c r="L3055" t="e">
        <f t="array" ref="L3055">VLOOKUP(J3055:$J$3871&amp;K3055:$K$3871,CHOOSE({1,2},#REF!&amp;#REF!,#REF!),2,0)</f>
        <v>#N/A</v>
      </c>
      <c r="M3055">
        <v>-15</v>
      </c>
      <c r="N3055">
        <v>0</v>
      </c>
      <c r="O3055" t="s">
        <v>7</v>
      </c>
      <c r="P3055">
        <v>1</v>
      </c>
      <c r="Q3055">
        <v>1</v>
      </c>
      <c r="R3055">
        <v>0</v>
      </c>
      <c r="S3055">
        <v>1</v>
      </c>
      <c r="T3055">
        <v>1</v>
      </c>
      <c r="U3055">
        <v>0</v>
      </c>
      <c r="V3055">
        <v>0</v>
      </c>
      <c r="W3055">
        <v>1</v>
      </c>
      <c r="X3055">
        <v>1</v>
      </c>
      <c r="Y3055">
        <v>0</v>
      </c>
      <c r="Z3055">
        <v>0</v>
      </c>
      <c r="AA3055" t="s">
        <v>3342</v>
      </c>
      <c r="AB3055" t="s">
        <v>6301</v>
      </c>
      <c r="AC3055" t="s">
        <v>3342</v>
      </c>
      <c r="AD3055" t="e">
        <f>VLOOKUP(AB3055,#REF!,2,FALSE)</f>
        <v>#REF!</v>
      </c>
      <c r="AE3055" t="e">
        <f>RIGHT(#REF!,(FIND("Complex",#REF!,1)-7))</f>
        <v>#REF!</v>
      </c>
    </row>
    <row r="3056" spans="1:31" x14ac:dyDescent="0.25">
      <c r="A3056">
        <v>3373</v>
      </c>
      <c r="B3056" t="s">
        <v>67</v>
      </c>
      <c r="C3056">
        <v>110</v>
      </c>
      <c r="D3056">
        <v>1087</v>
      </c>
      <c r="E3056">
        <v>3373</v>
      </c>
      <c r="F3056">
        <v>5556601</v>
      </c>
      <c r="G3056">
        <v>5644800</v>
      </c>
      <c r="H3056">
        <f t="shared" si="94"/>
        <v>126.00002267573696</v>
      </c>
      <c r="I3056">
        <f t="shared" si="95"/>
        <v>128</v>
      </c>
      <c r="J3056" t="s">
        <v>25</v>
      </c>
      <c r="K3056">
        <v>6</v>
      </c>
      <c r="L3056" t="e">
        <f t="array" ref="L3056">VLOOKUP(J3056:$J$3871&amp;K3056:$K$3871,CHOOSE({1,2},#REF!&amp;#REF!,#REF!),2,0)</f>
        <v>#N/A</v>
      </c>
      <c r="M3056">
        <v>-15</v>
      </c>
      <c r="N3056">
        <v>0</v>
      </c>
      <c r="O3056" t="s">
        <v>7</v>
      </c>
      <c r="P3056">
        <v>1</v>
      </c>
      <c r="Q3056">
        <v>1</v>
      </c>
      <c r="R3056">
        <v>0</v>
      </c>
      <c r="S3056">
        <v>1</v>
      </c>
      <c r="T3056">
        <v>1</v>
      </c>
      <c r="U3056">
        <v>0</v>
      </c>
      <c r="V3056">
        <v>0</v>
      </c>
      <c r="W3056">
        <v>1</v>
      </c>
      <c r="X3056">
        <v>1</v>
      </c>
      <c r="Y3056">
        <v>0</v>
      </c>
      <c r="Z3056">
        <v>0</v>
      </c>
      <c r="AA3056" t="s">
        <v>3353</v>
      </c>
      <c r="AB3056" t="s">
        <v>6303</v>
      </c>
      <c r="AC3056" t="s">
        <v>3353</v>
      </c>
      <c r="AD3056" t="e">
        <f>VLOOKUP(AB3056,#REF!,2,FALSE)</f>
        <v>#REF!</v>
      </c>
      <c r="AE3056" t="e">
        <f>RIGHT(#REF!,(FIND("Complex",#REF!,1)-7))</f>
        <v>#REF!</v>
      </c>
    </row>
    <row r="3057" spans="1:31" x14ac:dyDescent="0.25">
      <c r="A3057">
        <v>1329</v>
      </c>
      <c r="B3057" t="s">
        <v>67</v>
      </c>
      <c r="C3057">
        <v>110</v>
      </c>
      <c r="D3057">
        <v>579</v>
      </c>
      <c r="E3057">
        <v>1329</v>
      </c>
      <c r="F3057">
        <v>5468401</v>
      </c>
      <c r="G3057">
        <v>5556600</v>
      </c>
      <c r="H3057">
        <f t="shared" si="94"/>
        <v>124.00002267573696</v>
      </c>
      <c r="I3057">
        <f t="shared" si="95"/>
        <v>126</v>
      </c>
      <c r="J3057" t="s">
        <v>25</v>
      </c>
      <c r="K3057">
        <v>6</v>
      </c>
      <c r="L3057" t="e">
        <f t="array" ref="L3057">VLOOKUP(J3057:$J$3871&amp;K3057:$K$3871,CHOOSE({1,2},#REF!&amp;#REF!,#REF!),2,0)</f>
        <v>#N/A</v>
      </c>
      <c r="M3057">
        <v>-15</v>
      </c>
      <c r="N3057">
        <v>0</v>
      </c>
      <c r="O3057" t="s">
        <v>7</v>
      </c>
      <c r="P3057">
        <v>1</v>
      </c>
      <c r="Q3057">
        <v>1</v>
      </c>
      <c r="R3057">
        <v>0</v>
      </c>
      <c r="S3057">
        <v>1</v>
      </c>
      <c r="T3057">
        <v>1</v>
      </c>
      <c r="U3057">
        <v>0</v>
      </c>
      <c r="V3057">
        <v>0</v>
      </c>
      <c r="W3057">
        <v>1</v>
      </c>
      <c r="X3057">
        <v>1</v>
      </c>
      <c r="Y3057">
        <v>0</v>
      </c>
      <c r="Z3057">
        <v>0</v>
      </c>
      <c r="AA3057" t="s">
        <v>3364</v>
      </c>
      <c r="AB3057" t="s">
        <v>6305</v>
      </c>
      <c r="AC3057" t="s">
        <v>3364</v>
      </c>
      <c r="AD3057" t="e">
        <f>VLOOKUP(AB3057,#REF!,2,FALSE)</f>
        <v>#REF!</v>
      </c>
      <c r="AE3057" t="e">
        <f>RIGHT(#REF!,(FIND("Complex",#REF!,1)-6))</f>
        <v>#REF!</v>
      </c>
    </row>
    <row r="3058" spans="1:31" x14ac:dyDescent="0.25">
      <c r="A3058">
        <v>3088</v>
      </c>
      <c r="B3058" t="s">
        <v>90</v>
      </c>
      <c r="C3058">
        <v>111</v>
      </c>
      <c r="D3058">
        <v>1038</v>
      </c>
      <c r="E3058">
        <v>3088</v>
      </c>
      <c r="F3058">
        <v>3792601</v>
      </c>
      <c r="G3058">
        <v>3880800</v>
      </c>
      <c r="H3058">
        <f t="shared" si="94"/>
        <v>86.000022675736957</v>
      </c>
      <c r="I3058">
        <f t="shared" si="95"/>
        <v>88</v>
      </c>
      <c r="J3058" t="s">
        <v>25</v>
      </c>
      <c r="K3058">
        <v>6</v>
      </c>
      <c r="L3058" t="e">
        <f t="array" ref="L3058">VLOOKUP(J3058:$J$3871&amp;K3058:$K$3871,CHOOSE({1,2},#REF!&amp;#REF!,#REF!),2,0)</f>
        <v>#N/A</v>
      </c>
      <c r="M3058">
        <v>-15</v>
      </c>
      <c r="N3058">
        <v>0</v>
      </c>
      <c r="O3058" t="s">
        <v>7</v>
      </c>
      <c r="P3058">
        <v>1</v>
      </c>
      <c r="Q3058">
        <v>1</v>
      </c>
      <c r="R3058">
        <v>1</v>
      </c>
      <c r="S3058">
        <v>0</v>
      </c>
      <c r="T3058">
        <v>0</v>
      </c>
      <c r="U3058">
        <v>1</v>
      </c>
      <c r="V3058">
        <v>0</v>
      </c>
      <c r="W3058">
        <v>1</v>
      </c>
      <c r="X3058">
        <v>1</v>
      </c>
      <c r="Y3058">
        <v>0</v>
      </c>
      <c r="Z3058">
        <v>0</v>
      </c>
      <c r="AA3058" t="s">
        <v>2672</v>
      </c>
      <c r="AB3058" t="s">
        <v>2209</v>
      </c>
      <c r="AC3058" t="s">
        <v>2672</v>
      </c>
      <c r="AD3058" t="e">
        <f>VLOOKUP(AB3058,#REF!,2,FALSE)</f>
        <v>#REF!</v>
      </c>
      <c r="AE3058" t="e">
        <f>RIGHT(#REF!,(FIND("Complex",#REF!,1)-8))</f>
        <v>#REF!</v>
      </c>
    </row>
    <row r="3059" spans="1:31" x14ac:dyDescent="0.25">
      <c r="A3059">
        <v>3401</v>
      </c>
      <c r="B3059" t="s">
        <v>90</v>
      </c>
      <c r="C3059">
        <v>111</v>
      </c>
      <c r="D3059">
        <v>1095</v>
      </c>
      <c r="E3059">
        <v>3401</v>
      </c>
      <c r="F3059">
        <v>3616201</v>
      </c>
      <c r="G3059">
        <v>3704400</v>
      </c>
      <c r="H3059">
        <f t="shared" si="94"/>
        <v>82.000022675736957</v>
      </c>
      <c r="I3059">
        <f t="shared" si="95"/>
        <v>84</v>
      </c>
      <c r="J3059" t="s">
        <v>25</v>
      </c>
      <c r="K3059">
        <v>6</v>
      </c>
      <c r="L3059" t="e">
        <f t="array" ref="L3059">VLOOKUP(J3059:$J$3871&amp;K3059:$K$3871,CHOOSE({1,2},#REF!&amp;#REF!,#REF!),2,0)</f>
        <v>#N/A</v>
      </c>
      <c r="M3059">
        <v>-15</v>
      </c>
      <c r="N3059">
        <v>0</v>
      </c>
      <c r="O3059" t="s">
        <v>7</v>
      </c>
      <c r="P3059">
        <v>1</v>
      </c>
      <c r="Q3059">
        <v>1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1</v>
      </c>
      <c r="X3059">
        <v>1</v>
      </c>
      <c r="Y3059">
        <v>0</v>
      </c>
      <c r="Z3059">
        <v>0</v>
      </c>
      <c r="AA3059" t="s">
        <v>2691</v>
      </c>
      <c r="AB3059" t="s">
        <v>2210</v>
      </c>
      <c r="AC3059" t="s">
        <v>2691</v>
      </c>
      <c r="AD3059" t="e">
        <f>VLOOKUP(AB3059,#REF!,2,FALSE)</f>
        <v>#REF!</v>
      </c>
      <c r="AE3059" t="e">
        <f>RIGHT(#REF!,(FIND("Complex",#REF!,1)-8))</f>
        <v>#REF!</v>
      </c>
    </row>
    <row r="3060" spans="1:31" x14ac:dyDescent="0.25">
      <c r="A3060">
        <v>526</v>
      </c>
      <c r="B3060" t="s">
        <v>90</v>
      </c>
      <c r="C3060">
        <v>111</v>
      </c>
      <c r="D3060">
        <v>222</v>
      </c>
      <c r="E3060">
        <v>526</v>
      </c>
      <c r="F3060">
        <v>3528001</v>
      </c>
      <c r="G3060">
        <v>3616200</v>
      </c>
      <c r="H3060">
        <f t="shared" si="94"/>
        <v>80.000022675736957</v>
      </c>
      <c r="I3060">
        <f t="shared" si="95"/>
        <v>82</v>
      </c>
      <c r="J3060" t="s">
        <v>25</v>
      </c>
      <c r="K3060">
        <v>6</v>
      </c>
      <c r="L3060" t="e">
        <f t="array" ref="L3060">VLOOKUP(J3060:$J$3871&amp;K3060:$K$3871,CHOOSE({1,2},#REF!&amp;#REF!,#REF!),2,0)</f>
        <v>#N/A</v>
      </c>
      <c r="M3060">
        <v>-15</v>
      </c>
      <c r="N3060">
        <v>0</v>
      </c>
      <c r="O3060" t="s">
        <v>7</v>
      </c>
      <c r="P3060">
        <v>1</v>
      </c>
      <c r="Q3060">
        <v>1</v>
      </c>
      <c r="R3060">
        <v>1</v>
      </c>
      <c r="S3060">
        <v>0</v>
      </c>
      <c r="T3060">
        <v>0</v>
      </c>
      <c r="U3060">
        <v>1</v>
      </c>
      <c r="V3060">
        <v>0</v>
      </c>
      <c r="W3060">
        <v>1</v>
      </c>
      <c r="X3060">
        <v>1</v>
      </c>
      <c r="Y3060">
        <v>0</v>
      </c>
      <c r="Z3060">
        <v>0</v>
      </c>
      <c r="AA3060" t="s">
        <v>2702</v>
      </c>
      <c r="AB3060" t="s">
        <v>2211</v>
      </c>
      <c r="AC3060" t="s">
        <v>2702</v>
      </c>
      <c r="AD3060" t="e">
        <f>VLOOKUP(AB3060,#REF!,2,FALSE)</f>
        <v>#REF!</v>
      </c>
      <c r="AE3060" t="e">
        <f>RIGHT(#REF!,(FIND("Complex",#REF!,1)-6))</f>
        <v>#REF!</v>
      </c>
    </row>
    <row r="3061" spans="1:31" x14ac:dyDescent="0.25">
      <c r="A3061">
        <v>2212</v>
      </c>
      <c r="B3061" t="s">
        <v>90</v>
      </c>
      <c r="C3061">
        <v>111</v>
      </c>
      <c r="D3061">
        <v>918</v>
      </c>
      <c r="E3061">
        <v>2212</v>
      </c>
      <c r="F3061">
        <v>3351601</v>
      </c>
      <c r="G3061">
        <v>3439800</v>
      </c>
      <c r="H3061">
        <f t="shared" si="94"/>
        <v>76.000022675736957</v>
      </c>
      <c r="I3061">
        <f t="shared" si="95"/>
        <v>78</v>
      </c>
      <c r="J3061" t="s">
        <v>25</v>
      </c>
      <c r="K3061">
        <v>6</v>
      </c>
      <c r="L3061" t="e">
        <f t="array" ref="L3061">VLOOKUP(J3061:$J$3871&amp;K3061:$K$3871,CHOOSE({1,2},#REF!&amp;#REF!,#REF!),2,0)</f>
        <v>#N/A</v>
      </c>
      <c r="M3061">
        <v>-15</v>
      </c>
      <c r="N3061">
        <v>0</v>
      </c>
      <c r="O3061" t="s">
        <v>7</v>
      </c>
      <c r="P3061">
        <v>1</v>
      </c>
      <c r="Q3061">
        <v>1</v>
      </c>
      <c r="R3061">
        <v>1</v>
      </c>
      <c r="S3061">
        <v>0</v>
      </c>
      <c r="T3061">
        <v>0</v>
      </c>
      <c r="U3061">
        <v>1</v>
      </c>
      <c r="V3061">
        <v>0</v>
      </c>
      <c r="W3061">
        <v>1</v>
      </c>
      <c r="X3061">
        <v>1</v>
      </c>
      <c r="Y3061">
        <v>0</v>
      </c>
      <c r="Z3061">
        <v>0</v>
      </c>
      <c r="AA3061" t="s">
        <v>2719</v>
      </c>
      <c r="AB3061" t="s">
        <v>2212</v>
      </c>
      <c r="AC3061" t="s">
        <v>2719</v>
      </c>
      <c r="AD3061" t="e">
        <f>VLOOKUP(AB3061,#REF!,2,FALSE)</f>
        <v>#REF!</v>
      </c>
      <c r="AE3061" t="e">
        <f>RIGHT(#REF!,(FIND("Complex",#REF!,1)-7))</f>
        <v>#REF!</v>
      </c>
    </row>
    <row r="3062" spans="1:31" x14ac:dyDescent="0.25">
      <c r="A3062">
        <v>3358</v>
      </c>
      <c r="B3062" t="s">
        <v>90</v>
      </c>
      <c r="C3062">
        <v>111</v>
      </c>
      <c r="D3062">
        <v>1085</v>
      </c>
      <c r="E3062">
        <v>3358</v>
      </c>
      <c r="F3062">
        <v>3087001</v>
      </c>
      <c r="G3062">
        <v>3175200</v>
      </c>
      <c r="H3062">
        <f t="shared" si="94"/>
        <v>70.000022675736957</v>
      </c>
      <c r="I3062">
        <f t="shared" si="95"/>
        <v>72</v>
      </c>
      <c r="J3062" t="s">
        <v>25</v>
      </c>
      <c r="K3062">
        <v>6</v>
      </c>
      <c r="L3062" t="e">
        <f t="array" ref="L3062">VLOOKUP(J3062:$J$3871&amp;K3062:$K$3871,CHOOSE({1,2},#REF!&amp;#REF!,#REF!),2,0)</f>
        <v>#N/A</v>
      </c>
      <c r="M3062">
        <v>-15</v>
      </c>
      <c r="N3062">
        <v>0</v>
      </c>
      <c r="O3062" t="s">
        <v>7</v>
      </c>
      <c r="P3062">
        <v>1</v>
      </c>
      <c r="Q3062">
        <v>1</v>
      </c>
      <c r="R3062">
        <v>1</v>
      </c>
      <c r="S3062">
        <v>0</v>
      </c>
      <c r="T3062">
        <v>0</v>
      </c>
      <c r="U3062">
        <v>1</v>
      </c>
      <c r="V3062">
        <v>0</v>
      </c>
      <c r="W3062">
        <v>1</v>
      </c>
      <c r="X3062">
        <v>1</v>
      </c>
      <c r="Y3062">
        <v>0</v>
      </c>
      <c r="Z3062">
        <v>0</v>
      </c>
      <c r="AA3062" t="s">
        <v>2741</v>
      </c>
      <c r="AB3062" t="s">
        <v>2213</v>
      </c>
      <c r="AC3062" t="s">
        <v>2741</v>
      </c>
      <c r="AD3062" t="e">
        <f>VLOOKUP(AB3062,#REF!,2,FALSE)</f>
        <v>#REF!</v>
      </c>
      <c r="AE3062" t="e">
        <f>RIGHT(#REF!,(FIND("Complex",#REF!,1)-8))</f>
        <v>#REF!</v>
      </c>
    </row>
    <row r="3063" spans="1:31" x14ac:dyDescent="0.25">
      <c r="A3063">
        <v>1486</v>
      </c>
      <c r="B3063" t="s">
        <v>90</v>
      </c>
      <c r="C3063">
        <v>111</v>
      </c>
      <c r="D3063">
        <v>652</v>
      </c>
      <c r="E3063">
        <v>1486</v>
      </c>
      <c r="F3063">
        <v>8820001</v>
      </c>
      <c r="G3063">
        <v>8908200</v>
      </c>
      <c r="H3063">
        <f t="shared" si="94"/>
        <v>200.00002267573697</v>
      </c>
      <c r="I3063">
        <f t="shared" si="95"/>
        <v>202</v>
      </c>
      <c r="J3063" t="s">
        <v>25</v>
      </c>
      <c r="K3063">
        <v>6</v>
      </c>
      <c r="L3063" t="e">
        <f t="array" ref="L3063">VLOOKUP(J3063:$J$3871&amp;K3063:$K$3871,CHOOSE({1,2},#REF!&amp;#REF!,#REF!),2,0)</f>
        <v>#N/A</v>
      </c>
      <c r="M3063">
        <v>-15</v>
      </c>
      <c r="N3063">
        <v>0</v>
      </c>
      <c r="O3063" t="s">
        <v>7</v>
      </c>
      <c r="P3063">
        <v>1</v>
      </c>
      <c r="Q3063">
        <v>1</v>
      </c>
      <c r="R3063">
        <v>1</v>
      </c>
      <c r="S3063">
        <v>0</v>
      </c>
      <c r="T3063">
        <v>0</v>
      </c>
      <c r="U3063">
        <v>1</v>
      </c>
      <c r="V3063">
        <v>0</v>
      </c>
      <c r="W3063">
        <v>1</v>
      </c>
      <c r="X3063">
        <v>1</v>
      </c>
      <c r="Y3063">
        <v>0</v>
      </c>
      <c r="Z3063">
        <v>0</v>
      </c>
      <c r="AA3063" t="s">
        <v>3053</v>
      </c>
      <c r="AB3063" t="s">
        <v>2214</v>
      </c>
      <c r="AC3063" t="s">
        <v>3053</v>
      </c>
      <c r="AD3063" t="e">
        <f>VLOOKUP(AB3063,#REF!,2,FALSE)</f>
        <v>#REF!</v>
      </c>
      <c r="AE3063" t="e">
        <f>RIGHT(#REF!,(FIND("Complex",#REF!,1)-6))</f>
        <v>#REF!</v>
      </c>
    </row>
    <row r="3064" spans="1:31" x14ac:dyDescent="0.25">
      <c r="A3064">
        <v>1598</v>
      </c>
      <c r="B3064" t="s">
        <v>90</v>
      </c>
      <c r="C3064">
        <v>111</v>
      </c>
      <c r="D3064">
        <v>692</v>
      </c>
      <c r="E3064">
        <v>1598</v>
      </c>
      <c r="F3064">
        <v>8643601</v>
      </c>
      <c r="G3064">
        <v>8731800</v>
      </c>
      <c r="H3064">
        <f t="shared" si="94"/>
        <v>196.00002267573697</v>
      </c>
      <c r="I3064">
        <f t="shared" si="95"/>
        <v>198</v>
      </c>
      <c r="J3064" t="s">
        <v>25</v>
      </c>
      <c r="K3064">
        <v>6</v>
      </c>
      <c r="L3064" t="e">
        <f t="array" ref="L3064">VLOOKUP(J3064:$J$3871&amp;K3064:$K$3871,CHOOSE({1,2},#REF!&amp;#REF!,#REF!),2,0)</f>
        <v>#N/A</v>
      </c>
      <c r="M3064">
        <v>-15</v>
      </c>
      <c r="N3064">
        <v>0</v>
      </c>
      <c r="O3064" t="s">
        <v>7</v>
      </c>
      <c r="P3064">
        <v>1</v>
      </c>
      <c r="Q3064">
        <v>1</v>
      </c>
      <c r="R3064">
        <v>1</v>
      </c>
      <c r="S3064">
        <v>0</v>
      </c>
      <c r="T3064">
        <v>0</v>
      </c>
      <c r="U3064">
        <v>1</v>
      </c>
      <c r="V3064">
        <v>0</v>
      </c>
      <c r="W3064">
        <v>1</v>
      </c>
      <c r="X3064">
        <v>1</v>
      </c>
      <c r="Y3064">
        <v>0</v>
      </c>
      <c r="Z3064">
        <v>0</v>
      </c>
      <c r="AA3064" t="s">
        <v>3067</v>
      </c>
      <c r="AB3064" t="s">
        <v>2215</v>
      </c>
      <c r="AC3064" t="s">
        <v>3067</v>
      </c>
      <c r="AD3064" t="e">
        <f>VLOOKUP(AB3064,#REF!,2,FALSE)</f>
        <v>#REF!</v>
      </c>
      <c r="AE3064" t="e">
        <f>RIGHT(#REF!,(FIND("Complex",#REF!,1)-6))</f>
        <v>#REF!</v>
      </c>
    </row>
    <row r="3065" spans="1:31" x14ac:dyDescent="0.25">
      <c r="A3065">
        <v>2991</v>
      </c>
      <c r="B3065" t="s">
        <v>90</v>
      </c>
      <c r="C3065">
        <v>111</v>
      </c>
      <c r="D3065">
        <v>1015</v>
      </c>
      <c r="E3065">
        <v>2991</v>
      </c>
      <c r="F3065">
        <v>8467201</v>
      </c>
      <c r="G3065">
        <v>8555400</v>
      </c>
      <c r="H3065">
        <f t="shared" si="94"/>
        <v>192.00002267573697</v>
      </c>
      <c r="I3065">
        <f t="shared" si="95"/>
        <v>194</v>
      </c>
      <c r="J3065" t="s">
        <v>25</v>
      </c>
      <c r="K3065">
        <v>6</v>
      </c>
      <c r="L3065" t="e">
        <f t="array" ref="L3065">VLOOKUP(J3065:$J$3871&amp;K3065:$K$3871,CHOOSE({1,2},#REF!&amp;#REF!,#REF!),2,0)</f>
        <v>#N/A</v>
      </c>
      <c r="M3065">
        <v>-15</v>
      </c>
      <c r="N3065">
        <v>0</v>
      </c>
      <c r="O3065" t="s">
        <v>7</v>
      </c>
      <c r="P3065">
        <v>1</v>
      </c>
      <c r="Q3065">
        <v>1</v>
      </c>
      <c r="R3065">
        <v>1</v>
      </c>
      <c r="S3065">
        <v>0</v>
      </c>
      <c r="T3065">
        <v>0</v>
      </c>
      <c r="U3065">
        <v>1</v>
      </c>
      <c r="V3065">
        <v>0</v>
      </c>
      <c r="W3065">
        <v>1</v>
      </c>
      <c r="X3065">
        <v>1</v>
      </c>
      <c r="Y3065">
        <v>0</v>
      </c>
      <c r="Z3065">
        <v>0</v>
      </c>
      <c r="AA3065" t="s">
        <v>3081</v>
      </c>
      <c r="AB3065" t="s">
        <v>2216</v>
      </c>
      <c r="AC3065" t="s">
        <v>3081</v>
      </c>
      <c r="AD3065" t="e">
        <f>VLOOKUP(AB3065,#REF!,2,FALSE)</f>
        <v>#REF!</v>
      </c>
      <c r="AE3065" t="e">
        <f>RIGHT(#REF!,(FIND("Complex",#REF!,1)-7))</f>
        <v>#REF!</v>
      </c>
    </row>
    <row r="3066" spans="1:31" x14ac:dyDescent="0.25">
      <c r="A3066">
        <v>2096</v>
      </c>
      <c r="B3066" t="s">
        <v>90</v>
      </c>
      <c r="C3066">
        <v>111</v>
      </c>
      <c r="D3066">
        <v>886</v>
      </c>
      <c r="E3066">
        <v>2096</v>
      </c>
      <c r="F3066">
        <v>8114401</v>
      </c>
      <c r="G3066">
        <v>8202600</v>
      </c>
      <c r="H3066">
        <f t="shared" si="94"/>
        <v>184.00002267573697</v>
      </c>
      <c r="I3066">
        <f t="shared" si="95"/>
        <v>186</v>
      </c>
      <c r="J3066" t="s">
        <v>25</v>
      </c>
      <c r="K3066">
        <v>6</v>
      </c>
      <c r="L3066" t="e">
        <f t="array" ref="L3066">VLOOKUP(J3066:$J$3871&amp;K3066:$K$3871,CHOOSE({1,2},#REF!&amp;#REF!,#REF!),2,0)</f>
        <v>#N/A</v>
      </c>
      <c r="M3066">
        <v>-15</v>
      </c>
      <c r="N3066">
        <v>0</v>
      </c>
      <c r="O3066" t="s">
        <v>7</v>
      </c>
      <c r="P3066">
        <v>1</v>
      </c>
      <c r="Q3066">
        <v>1</v>
      </c>
      <c r="R3066">
        <v>1</v>
      </c>
      <c r="S3066">
        <v>0</v>
      </c>
      <c r="T3066">
        <v>0</v>
      </c>
      <c r="U3066">
        <v>1</v>
      </c>
      <c r="V3066">
        <v>0</v>
      </c>
      <c r="W3066">
        <v>1</v>
      </c>
      <c r="X3066">
        <v>1</v>
      </c>
      <c r="Y3066">
        <v>0</v>
      </c>
      <c r="Z3066">
        <v>0</v>
      </c>
      <c r="AA3066" t="s">
        <v>3113</v>
      </c>
      <c r="AB3066" t="s">
        <v>6269</v>
      </c>
      <c r="AC3066" t="s">
        <v>3113</v>
      </c>
      <c r="AD3066" t="e">
        <f>VLOOKUP(AB3066,#REF!,2,FALSE)</f>
        <v>#REF!</v>
      </c>
      <c r="AE3066" t="e">
        <f>RIGHT(#REF!,(FIND("Complex",#REF!,1)-6))</f>
        <v>#REF!</v>
      </c>
    </row>
    <row r="3067" spans="1:31" x14ac:dyDescent="0.25">
      <c r="A3067">
        <v>3204</v>
      </c>
      <c r="B3067" t="s">
        <v>90</v>
      </c>
      <c r="C3067">
        <v>111</v>
      </c>
      <c r="D3067">
        <v>1057</v>
      </c>
      <c r="E3067">
        <v>3204</v>
      </c>
      <c r="F3067">
        <v>8026201</v>
      </c>
      <c r="G3067">
        <v>8114400</v>
      </c>
      <c r="H3067">
        <f t="shared" si="94"/>
        <v>182.00002267573697</v>
      </c>
      <c r="I3067">
        <f t="shared" si="95"/>
        <v>184</v>
      </c>
      <c r="J3067" t="s">
        <v>25</v>
      </c>
      <c r="K3067">
        <v>6</v>
      </c>
      <c r="L3067" t="e">
        <f t="array" ref="L3067">VLOOKUP(J3067:$J$3871&amp;K3067:$K$3871,CHOOSE({1,2},#REF!&amp;#REF!,#REF!),2,0)</f>
        <v>#N/A</v>
      </c>
      <c r="M3067">
        <v>-15</v>
      </c>
      <c r="N3067">
        <v>0</v>
      </c>
      <c r="O3067" t="s">
        <v>7</v>
      </c>
      <c r="P3067">
        <v>1</v>
      </c>
      <c r="Q3067">
        <v>1</v>
      </c>
      <c r="R3067">
        <v>1</v>
      </c>
      <c r="S3067">
        <v>0</v>
      </c>
      <c r="T3067">
        <v>0</v>
      </c>
      <c r="U3067">
        <v>1</v>
      </c>
      <c r="V3067">
        <v>0</v>
      </c>
      <c r="W3067">
        <v>1</v>
      </c>
      <c r="X3067">
        <v>1</v>
      </c>
      <c r="Y3067">
        <v>0</v>
      </c>
      <c r="Z3067">
        <v>0</v>
      </c>
      <c r="AA3067" t="s">
        <v>3123</v>
      </c>
      <c r="AB3067" t="s">
        <v>6271</v>
      </c>
      <c r="AC3067" t="s">
        <v>3123</v>
      </c>
      <c r="AD3067" t="e">
        <f>VLOOKUP(AB3067,#REF!,2,FALSE)</f>
        <v>#REF!</v>
      </c>
      <c r="AE3067" t="e">
        <f>RIGHT(#REF!,(FIND("Complex",#REF!,1)-7))</f>
        <v>#REF!</v>
      </c>
    </row>
    <row r="3068" spans="1:31" x14ac:dyDescent="0.25">
      <c r="A3068">
        <v>978</v>
      </c>
      <c r="B3068" t="s">
        <v>90</v>
      </c>
      <c r="C3068">
        <v>111</v>
      </c>
      <c r="D3068">
        <v>433</v>
      </c>
      <c r="E3068">
        <v>978</v>
      </c>
      <c r="F3068">
        <v>5909401</v>
      </c>
      <c r="G3068">
        <v>5997600</v>
      </c>
      <c r="H3068">
        <f t="shared" si="94"/>
        <v>134.00002267573697</v>
      </c>
      <c r="I3068">
        <f t="shared" si="95"/>
        <v>136</v>
      </c>
      <c r="J3068" t="s">
        <v>25</v>
      </c>
      <c r="K3068">
        <v>6</v>
      </c>
      <c r="L3068" t="e">
        <f t="array" ref="L3068">VLOOKUP(J3068:$J$3871&amp;K3068:$K$3871,CHOOSE({1,2},#REF!&amp;#REF!,#REF!),2,0)</f>
        <v>#N/A</v>
      </c>
      <c r="M3068">
        <v>-15</v>
      </c>
      <c r="N3068">
        <v>0</v>
      </c>
      <c r="O3068" t="s">
        <v>7</v>
      </c>
      <c r="P3068">
        <v>1</v>
      </c>
      <c r="Q3068">
        <v>1</v>
      </c>
      <c r="R3068">
        <v>1</v>
      </c>
      <c r="S3068">
        <v>0</v>
      </c>
      <c r="T3068">
        <v>0</v>
      </c>
      <c r="U3068">
        <v>1</v>
      </c>
      <c r="V3068">
        <v>0</v>
      </c>
      <c r="W3068">
        <v>1</v>
      </c>
      <c r="X3068">
        <v>1</v>
      </c>
      <c r="Y3068">
        <v>0</v>
      </c>
      <c r="Z3068">
        <v>0</v>
      </c>
      <c r="AA3068" t="s">
        <v>3302</v>
      </c>
      <c r="AB3068" t="s">
        <v>2217</v>
      </c>
      <c r="AC3068" t="s">
        <v>3302</v>
      </c>
      <c r="AD3068" t="e">
        <f>VLOOKUP(AB3068,#REF!,2,FALSE)</f>
        <v>#REF!</v>
      </c>
      <c r="AE3068" t="e">
        <f>RIGHT(#REF!,(FIND("Complex",#REF!,1)-5))</f>
        <v>#REF!</v>
      </c>
    </row>
    <row r="3069" spans="1:31" x14ac:dyDescent="0.25">
      <c r="A3069">
        <v>1365</v>
      </c>
      <c r="B3069" t="s">
        <v>90</v>
      </c>
      <c r="C3069">
        <v>111</v>
      </c>
      <c r="D3069">
        <v>596</v>
      </c>
      <c r="E3069">
        <v>1365</v>
      </c>
      <c r="F3069">
        <v>5821201</v>
      </c>
      <c r="G3069">
        <v>5909400</v>
      </c>
      <c r="H3069">
        <f t="shared" si="94"/>
        <v>132.00002267573697</v>
      </c>
      <c r="I3069">
        <f t="shared" si="95"/>
        <v>134</v>
      </c>
      <c r="J3069" t="s">
        <v>25</v>
      </c>
      <c r="K3069">
        <v>6</v>
      </c>
      <c r="L3069" t="e">
        <f t="array" ref="L3069">VLOOKUP(J3069:$J$3871&amp;K3069:$K$3871,CHOOSE({1,2},#REF!&amp;#REF!,#REF!),2,0)</f>
        <v>#N/A</v>
      </c>
      <c r="M3069">
        <v>-15</v>
      </c>
      <c r="N3069">
        <v>0</v>
      </c>
      <c r="O3069" t="s">
        <v>7</v>
      </c>
      <c r="P3069">
        <v>1</v>
      </c>
      <c r="Q3069">
        <v>1</v>
      </c>
      <c r="R3069">
        <v>1</v>
      </c>
      <c r="S3069">
        <v>0</v>
      </c>
      <c r="T3069">
        <v>0</v>
      </c>
      <c r="U3069">
        <v>1</v>
      </c>
      <c r="V3069">
        <v>0</v>
      </c>
      <c r="W3069">
        <v>1</v>
      </c>
      <c r="X3069">
        <v>1</v>
      </c>
      <c r="Y3069">
        <v>0</v>
      </c>
      <c r="Z3069">
        <v>0</v>
      </c>
      <c r="AA3069" t="s">
        <v>3315</v>
      </c>
      <c r="AB3069" t="s">
        <v>170</v>
      </c>
      <c r="AC3069" t="s">
        <v>3315</v>
      </c>
      <c r="AD3069" t="e">
        <f>VLOOKUP(AB3069,#REF!,2,FALSE)</f>
        <v>#REF!</v>
      </c>
      <c r="AE3069" t="e">
        <f>RIGHT(#REF!,(FIND("Complex",#REF!,1)-6))</f>
        <v>#REF!</v>
      </c>
    </row>
    <row r="3070" spans="1:31" x14ac:dyDescent="0.25">
      <c r="A3070">
        <v>3076</v>
      </c>
      <c r="B3070" t="s">
        <v>90</v>
      </c>
      <c r="C3070">
        <v>111</v>
      </c>
      <c r="D3070">
        <v>1035</v>
      </c>
      <c r="E3070">
        <v>3076</v>
      </c>
      <c r="F3070">
        <v>5644801</v>
      </c>
      <c r="G3070">
        <v>5733000</v>
      </c>
      <c r="H3070">
        <f t="shared" si="94"/>
        <v>128.00002267573697</v>
      </c>
      <c r="I3070">
        <f t="shared" si="95"/>
        <v>130</v>
      </c>
      <c r="J3070" t="s">
        <v>25</v>
      </c>
      <c r="K3070">
        <v>6</v>
      </c>
      <c r="L3070" t="e">
        <f t="array" ref="L3070">VLOOKUP(J3070:$J$3871&amp;K3070:$K$3871,CHOOSE({1,2},#REF!&amp;#REF!,#REF!),2,0)</f>
        <v>#N/A</v>
      </c>
      <c r="M3070">
        <v>-15</v>
      </c>
      <c r="N3070">
        <v>0</v>
      </c>
      <c r="O3070" t="s">
        <v>7</v>
      </c>
      <c r="P3070">
        <v>1</v>
      </c>
      <c r="Q3070">
        <v>1</v>
      </c>
      <c r="R3070">
        <v>1</v>
      </c>
      <c r="S3070">
        <v>0</v>
      </c>
      <c r="T3070">
        <v>0</v>
      </c>
      <c r="U3070">
        <v>1</v>
      </c>
      <c r="V3070">
        <v>0</v>
      </c>
      <c r="W3070">
        <v>1</v>
      </c>
      <c r="X3070">
        <v>1</v>
      </c>
      <c r="Y3070">
        <v>0</v>
      </c>
      <c r="Z3070">
        <v>0</v>
      </c>
      <c r="AA3070" t="s">
        <v>3341</v>
      </c>
      <c r="AB3070" t="s">
        <v>2218</v>
      </c>
      <c r="AC3070" t="s">
        <v>3341</v>
      </c>
      <c r="AD3070" t="e">
        <f>VLOOKUP(AB3070,#REF!,2,FALSE)</f>
        <v>#REF!</v>
      </c>
      <c r="AE3070" t="e">
        <f>RIGHT(#REF!,(FIND("Complex",#REF!,1)-7))</f>
        <v>#REF!</v>
      </c>
    </row>
    <row r="3071" spans="1:31" x14ac:dyDescent="0.25">
      <c r="A3071">
        <v>2531</v>
      </c>
      <c r="B3071" t="s">
        <v>82</v>
      </c>
      <c r="C3071">
        <v>115</v>
      </c>
      <c r="D3071">
        <v>963</v>
      </c>
      <c r="E3071">
        <v>2531</v>
      </c>
      <c r="F3071">
        <v>4939201</v>
      </c>
      <c r="G3071">
        <v>5027400</v>
      </c>
      <c r="H3071">
        <f t="shared" si="94"/>
        <v>112.00002267573696</v>
      </c>
      <c r="I3071">
        <f t="shared" si="95"/>
        <v>114</v>
      </c>
      <c r="J3071" t="s">
        <v>25</v>
      </c>
      <c r="K3071">
        <v>6</v>
      </c>
      <c r="L3071" t="e">
        <f t="array" ref="L3071">VLOOKUP(J3071:$J$3871&amp;K3071:$K$3871,CHOOSE({1,2},#REF!&amp;#REF!,#REF!),2,0)</f>
        <v>#N/A</v>
      </c>
      <c r="M3071">
        <v>-15</v>
      </c>
      <c r="N3071">
        <v>0</v>
      </c>
      <c r="O3071" t="s">
        <v>7</v>
      </c>
      <c r="P3071">
        <v>0</v>
      </c>
      <c r="Q3071">
        <v>0</v>
      </c>
      <c r="R3071">
        <v>1</v>
      </c>
      <c r="S3071">
        <v>1</v>
      </c>
      <c r="T3071">
        <v>1</v>
      </c>
      <c r="U3071">
        <v>0</v>
      </c>
      <c r="V3071">
        <v>0</v>
      </c>
      <c r="W3071">
        <v>1</v>
      </c>
      <c r="X3071">
        <v>1</v>
      </c>
      <c r="Y3071">
        <v>1</v>
      </c>
      <c r="Z3071">
        <v>0</v>
      </c>
      <c r="AA3071" t="s">
        <v>3442</v>
      </c>
      <c r="AB3071" t="s">
        <v>2263</v>
      </c>
      <c r="AC3071" t="s">
        <v>3442</v>
      </c>
      <c r="AD3071" t="e">
        <f>VLOOKUP(AB3071,#REF!,2,FALSE)</f>
        <v>#REF!</v>
      </c>
      <c r="AE3071" t="e">
        <f>RIGHT(#REF!,(FIND("Complex",#REF!,1)-6))</f>
        <v>#REF!</v>
      </c>
    </row>
    <row r="3072" spans="1:31" x14ac:dyDescent="0.25">
      <c r="A3072">
        <v>931</v>
      </c>
      <c r="B3072" t="s">
        <v>86</v>
      </c>
      <c r="C3072">
        <v>1</v>
      </c>
      <c r="D3072">
        <v>407</v>
      </c>
      <c r="E3072">
        <v>931</v>
      </c>
      <c r="F3072">
        <v>4321801</v>
      </c>
      <c r="G3072">
        <v>4410000</v>
      </c>
      <c r="H3072">
        <f t="shared" si="94"/>
        <v>98.000022675736957</v>
      </c>
      <c r="I3072">
        <f t="shared" si="95"/>
        <v>100</v>
      </c>
      <c r="J3072" t="s">
        <v>25</v>
      </c>
      <c r="K3072">
        <v>4</v>
      </c>
      <c r="L3072" t="e">
        <f t="array" ref="L3072">VLOOKUP(J3072:$J$3871&amp;K3072:$K$3871,CHOOSE({1,2},#REF!&amp;#REF!,#REF!),2,0)</f>
        <v>#N/A</v>
      </c>
      <c r="M3072">
        <v>0</v>
      </c>
      <c r="N3072">
        <v>1</v>
      </c>
      <c r="O3072" t="s">
        <v>23</v>
      </c>
      <c r="P3072">
        <v>0</v>
      </c>
      <c r="Q3072">
        <v>1</v>
      </c>
      <c r="R3072">
        <v>0</v>
      </c>
      <c r="S3072">
        <v>1</v>
      </c>
      <c r="T3072">
        <v>0</v>
      </c>
      <c r="U3072">
        <v>0</v>
      </c>
      <c r="V3072">
        <v>0</v>
      </c>
      <c r="W3072">
        <v>1</v>
      </c>
      <c r="X3072">
        <v>1</v>
      </c>
      <c r="Y3072">
        <v>0</v>
      </c>
      <c r="Z3072">
        <v>0</v>
      </c>
      <c r="AA3072" t="s">
        <v>3514</v>
      </c>
      <c r="AB3072" t="s">
        <v>343</v>
      </c>
      <c r="AC3072" t="s">
        <v>3514</v>
      </c>
      <c r="AD3072" t="e">
        <f>VLOOKUP(AB3072,#REF!,2,FALSE)</f>
        <v>#REF!</v>
      </c>
      <c r="AE3072" t="e">
        <f>RIGHT(#REF!,(FIND("Complex",#REF!,1)-6))</f>
        <v>#REF!</v>
      </c>
    </row>
    <row r="3073" spans="1:31" x14ac:dyDescent="0.25">
      <c r="A3073">
        <v>195</v>
      </c>
      <c r="B3073" t="s">
        <v>86</v>
      </c>
      <c r="C3073">
        <v>1</v>
      </c>
      <c r="D3073">
        <v>80</v>
      </c>
      <c r="E3073">
        <v>195</v>
      </c>
      <c r="F3073">
        <v>1234801</v>
      </c>
      <c r="G3073">
        <v>1323000</v>
      </c>
      <c r="H3073">
        <f t="shared" si="94"/>
        <v>28.000022675736961</v>
      </c>
      <c r="I3073">
        <f t="shared" si="95"/>
        <v>30</v>
      </c>
      <c r="J3073" t="s">
        <v>25</v>
      </c>
      <c r="K3073">
        <v>4</v>
      </c>
      <c r="L3073" t="e">
        <f t="array" ref="L3073">VLOOKUP(J3073:$J$3871&amp;K3073:$K$3871,CHOOSE({1,2},#REF!&amp;#REF!,#REF!),2,0)</f>
        <v>#N/A</v>
      </c>
      <c r="M3073">
        <v>0</v>
      </c>
      <c r="N3073">
        <v>1</v>
      </c>
      <c r="O3073" t="s">
        <v>23</v>
      </c>
      <c r="P3073">
        <v>0</v>
      </c>
      <c r="Q3073">
        <v>1</v>
      </c>
      <c r="R3073">
        <v>0</v>
      </c>
      <c r="S3073">
        <v>1</v>
      </c>
      <c r="T3073">
        <v>0</v>
      </c>
      <c r="U3073">
        <v>0</v>
      </c>
      <c r="V3073">
        <v>0</v>
      </c>
      <c r="W3073">
        <v>1</v>
      </c>
      <c r="X3073">
        <v>1</v>
      </c>
      <c r="Y3073">
        <v>0</v>
      </c>
      <c r="Z3073">
        <v>0</v>
      </c>
      <c r="AA3073" t="s">
        <v>4115</v>
      </c>
      <c r="AB3073" t="s">
        <v>6676</v>
      </c>
      <c r="AC3073" t="s">
        <v>4115</v>
      </c>
      <c r="AD3073" t="e">
        <f>VLOOKUP(AB3073,#REF!,2,FALSE)</f>
        <v>#REF!</v>
      </c>
      <c r="AE3073" t="e">
        <f>RIGHT(#REF!,(FIND("Complex",#REF!,1)-6))</f>
        <v>#REF!</v>
      </c>
    </row>
    <row r="3074" spans="1:31" x14ac:dyDescent="0.25">
      <c r="A3074">
        <v>843</v>
      </c>
      <c r="B3074" t="s">
        <v>48</v>
      </c>
      <c r="C3074">
        <v>2</v>
      </c>
      <c r="D3074">
        <v>379</v>
      </c>
      <c r="E3074">
        <v>843</v>
      </c>
      <c r="F3074">
        <v>3351601</v>
      </c>
      <c r="G3074">
        <v>3439800</v>
      </c>
      <c r="H3074">
        <f t="shared" ref="H3074:H3137" si="96">F3074/44100</f>
        <v>76.000022675736957</v>
      </c>
      <c r="I3074">
        <f t="shared" ref="I3074:I3137" si="97">G3074/44100</f>
        <v>78</v>
      </c>
      <c r="J3074" t="s">
        <v>25</v>
      </c>
      <c r="K3074">
        <v>4</v>
      </c>
      <c r="L3074" t="e">
        <f t="array" ref="L3074">VLOOKUP(J3074:$J$3871&amp;K3074:$K$3871,CHOOSE({1,2},#REF!&amp;#REF!,#REF!),2,0)</f>
        <v>#N/A</v>
      </c>
      <c r="M3074">
        <v>0</v>
      </c>
      <c r="N3074">
        <v>1</v>
      </c>
      <c r="O3074" t="s">
        <v>23</v>
      </c>
      <c r="P3074">
        <v>1</v>
      </c>
      <c r="Q3074">
        <v>1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1</v>
      </c>
      <c r="Y3074">
        <v>0</v>
      </c>
      <c r="Z3074">
        <v>0</v>
      </c>
      <c r="AA3074" t="s">
        <v>3674</v>
      </c>
      <c r="AB3074" t="s">
        <v>6405</v>
      </c>
      <c r="AC3074" t="s">
        <v>3674</v>
      </c>
      <c r="AD3074" t="e">
        <f>VLOOKUP(AB3074,#REF!,2,FALSE)</f>
        <v>#REF!</v>
      </c>
      <c r="AE3074" t="e">
        <f>RIGHT(#REF!,(FIND("Complex",#REF!,1)-6))</f>
        <v>#REF!</v>
      </c>
    </row>
    <row r="3075" spans="1:31" x14ac:dyDescent="0.25">
      <c r="A3075">
        <v>182</v>
      </c>
      <c r="B3075" t="s">
        <v>48</v>
      </c>
      <c r="C3075">
        <v>2</v>
      </c>
      <c r="D3075">
        <v>76</v>
      </c>
      <c r="E3075">
        <v>182</v>
      </c>
      <c r="F3075">
        <v>2205001</v>
      </c>
      <c r="G3075">
        <v>2293200</v>
      </c>
      <c r="H3075">
        <f t="shared" si="96"/>
        <v>50.000022675736965</v>
      </c>
      <c r="I3075">
        <f t="shared" si="97"/>
        <v>52</v>
      </c>
      <c r="J3075" t="s">
        <v>25</v>
      </c>
      <c r="K3075">
        <v>4</v>
      </c>
      <c r="L3075" t="e">
        <f t="array" ref="L3075">VLOOKUP(J3075:$J$3871&amp;K3075:$K$3871,CHOOSE({1,2},#REF!&amp;#REF!,#REF!),2,0)</f>
        <v>#N/A</v>
      </c>
      <c r="M3075">
        <v>0</v>
      </c>
      <c r="N3075">
        <v>1</v>
      </c>
      <c r="O3075" t="s">
        <v>23</v>
      </c>
      <c r="P3075">
        <v>1</v>
      </c>
      <c r="Q3075">
        <v>1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1</v>
      </c>
      <c r="Y3075">
        <v>0</v>
      </c>
      <c r="Z3075">
        <v>0</v>
      </c>
      <c r="AA3075" t="s">
        <v>3879</v>
      </c>
      <c r="AB3075" t="s">
        <v>6528</v>
      </c>
      <c r="AC3075" t="s">
        <v>3879</v>
      </c>
      <c r="AD3075" t="e">
        <f>VLOOKUP(AB3075,#REF!,2,FALSE)</f>
        <v>#REF!</v>
      </c>
      <c r="AE3075" t="e">
        <f>RIGHT(#REF!,(FIND("Complex",#REF!,1)-6))</f>
        <v>#REF!</v>
      </c>
    </row>
    <row r="3076" spans="1:31" x14ac:dyDescent="0.25">
      <c r="A3076">
        <v>1799</v>
      </c>
      <c r="B3076" t="s">
        <v>48</v>
      </c>
      <c r="C3076">
        <v>2</v>
      </c>
      <c r="D3076">
        <v>782</v>
      </c>
      <c r="E3076">
        <v>1799</v>
      </c>
      <c r="F3076">
        <v>1675801</v>
      </c>
      <c r="G3076">
        <v>1764000</v>
      </c>
      <c r="H3076">
        <f t="shared" si="96"/>
        <v>38.000022675736965</v>
      </c>
      <c r="I3076">
        <f t="shared" si="97"/>
        <v>40</v>
      </c>
      <c r="J3076" t="s">
        <v>25</v>
      </c>
      <c r="K3076">
        <v>4</v>
      </c>
      <c r="L3076" t="e">
        <f t="array" ref="L3076">VLOOKUP(J3076:$J$3871&amp;K3076:$K$3871,CHOOSE({1,2},#REF!&amp;#REF!,#REF!),2,0)</f>
        <v>#N/A</v>
      </c>
      <c r="M3076">
        <v>0</v>
      </c>
      <c r="N3076">
        <v>1</v>
      </c>
      <c r="O3076" t="s">
        <v>23</v>
      </c>
      <c r="P3076">
        <v>1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1</v>
      </c>
      <c r="Y3076">
        <v>0</v>
      </c>
      <c r="Z3076">
        <v>0</v>
      </c>
      <c r="AA3076" t="s">
        <v>3986</v>
      </c>
      <c r="AB3076" t="s">
        <v>6584</v>
      </c>
      <c r="AC3076" t="s">
        <v>3986</v>
      </c>
      <c r="AD3076" t="e">
        <f>VLOOKUP(AB3076,#REF!,2,FALSE)</f>
        <v>#REF!</v>
      </c>
      <c r="AE3076" t="e">
        <f>RIGHT(#REF!,(FIND("Complex",#REF!,1)-7))</f>
        <v>#REF!</v>
      </c>
    </row>
    <row r="3077" spans="1:31" x14ac:dyDescent="0.25">
      <c r="A3077">
        <v>636</v>
      </c>
      <c r="B3077" t="s">
        <v>48</v>
      </c>
      <c r="C3077">
        <v>2</v>
      </c>
      <c r="D3077">
        <v>276</v>
      </c>
      <c r="E3077">
        <v>636</v>
      </c>
      <c r="F3077">
        <v>1499401</v>
      </c>
      <c r="G3077">
        <v>1587600</v>
      </c>
      <c r="H3077">
        <f t="shared" si="96"/>
        <v>34.000022675736965</v>
      </c>
      <c r="I3077">
        <f t="shared" si="97"/>
        <v>36</v>
      </c>
      <c r="J3077" t="s">
        <v>25</v>
      </c>
      <c r="K3077">
        <v>4</v>
      </c>
      <c r="L3077" t="e">
        <f t="array" ref="L3077">VLOOKUP(J3077:$J$3871&amp;K3077:$K$3871,CHOOSE({1,2},#REF!&amp;#REF!,#REF!),2,0)</f>
        <v>#N/A</v>
      </c>
      <c r="M3077">
        <v>0</v>
      </c>
      <c r="N3077">
        <v>1</v>
      </c>
      <c r="O3077" t="s">
        <v>23</v>
      </c>
      <c r="P3077">
        <v>1</v>
      </c>
      <c r="Q3077">
        <v>1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1</v>
      </c>
      <c r="X3077">
        <v>1</v>
      </c>
      <c r="Y3077">
        <v>0</v>
      </c>
      <c r="Z3077">
        <v>0</v>
      </c>
      <c r="AA3077" t="s">
        <v>4028</v>
      </c>
      <c r="AB3077" t="s">
        <v>6616</v>
      </c>
      <c r="AC3077" t="s">
        <v>4028</v>
      </c>
      <c r="AD3077" t="e">
        <f>VLOOKUP(AB3077,#REF!,2,FALSE)</f>
        <v>#REF!</v>
      </c>
      <c r="AE3077" t="e">
        <f>RIGHT(#REF!,(FIND("Complex",#REF!,1)-6))</f>
        <v>#REF!</v>
      </c>
    </row>
    <row r="3078" spans="1:31" x14ac:dyDescent="0.25">
      <c r="A3078">
        <v>1557</v>
      </c>
      <c r="B3078" t="s">
        <v>96</v>
      </c>
      <c r="C3078">
        <v>3</v>
      </c>
      <c r="D3078">
        <v>679</v>
      </c>
      <c r="E3078">
        <v>1557</v>
      </c>
      <c r="F3078">
        <v>3969001</v>
      </c>
      <c r="G3078">
        <v>4057200</v>
      </c>
      <c r="H3078">
        <f t="shared" si="96"/>
        <v>90.000022675736957</v>
      </c>
      <c r="I3078">
        <f t="shared" si="97"/>
        <v>92</v>
      </c>
      <c r="J3078" t="s">
        <v>25</v>
      </c>
      <c r="K3078">
        <v>4</v>
      </c>
      <c r="L3078" t="e">
        <f t="array" ref="L3078">VLOOKUP(J3078:$J$3871&amp;K3078:$K$3871,CHOOSE({1,2},#REF!&amp;#REF!,#REF!),2,0)</f>
        <v>#N/A</v>
      </c>
      <c r="M3078">
        <v>0</v>
      </c>
      <c r="N3078">
        <v>1</v>
      </c>
      <c r="O3078" t="s">
        <v>23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0</v>
      </c>
      <c r="V3078">
        <v>1</v>
      </c>
      <c r="W3078">
        <v>1</v>
      </c>
      <c r="X3078">
        <v>1</v>
      </c>
      <c r="Y3078">
        <v>0</v>
      </c>
      <c r="Z3078">
        <v>0</v>
      </c>
      <c r="AA3078" t="s">
        <v>3561</v>
      </c>
      <c r="AB3078" t="s">
        <v>6345</v>
      </c>
      <c r="AC3078" t="s">
        <v>3561</v>
      </c>
      <c r="AD3078" t="e">
        <f>VLOOKUP(AB3078,#REF!,2,FALSE)</f>
        <v>#REF!</v>
      </c>
      <c r="AE3078" t="e">
        <f>RIGHT(#REF!,(FIND("Complex",#REF!,1)-7))</f>
        <v>#REF!</v>
      </c>
    </row>
    <row r="3079" spans="1:31" x14ac:dyDescent="0.25">
      <c r="A3079">
        <v>1717</v>
      </c>
      <c r="B3079" t="s">
        <v>96</v>
      </c>
      <c r="C3079">
        <v>3</v>
      </c>
      <c r="D3079">
        <v>748</v>
      </c>
      <c r="E3079">
        <v>1717</v>
      </c>
      <c r="F3079">
        <v>3616201</v>
      </c>
      <c r="G3079">
        <v>3704400</v>
      </c>
      <c r="H3079">
        <f t="shared" si="96"/>
        <v>82.000022675736957</v>
      </c>
      <c r="I3079">
        <f t="shared" si="97"/>
        <v>84</v>
      </c>
      <c r="J3079" t="s">
        <v>25</v>
      </c>
      <c r="K3079">
        <v>4</v>
      </c>
      <c r="L3079" t="e">
        <f t="array" ref="L3079">VLOOKUP(J3079:$J$3871&amp;K3079:$K$3871,CHOOSE({1,2},#REF!&amp;#REF!,#REF!),2,0)</f>
        <v>#N/A</v>
      </c>
      <c r="M3079">
        <v>0</v>
      </c>
      <c r="N3079">
        <v>1</v>
      </c>
      <c r="O3079" t="s">
        <v>23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0</v>
      </c>
      <c r="V3079">
        <v>1</v>
      </c>
      <c r="W3079">
        <v>1</v>
      </c>
      <c r="X3079">
        <v>1</v>
      </c>
      <c r="Y3079">
        <v>0</v>
      </c>
      <c r="Z3079">
        <v>0</v>
      </c>
      <c r="AA3079" t="s">
        <v>3614</v>
      </c>
      <c r="AB3079" t="s">
        <v>386</v>
      </c>
      <c r="AC3079" t="s">
        <v>3614</v>
      </c>
      <c r="AD3079" t="e">
        <f>VLOOKUP(AB3079,#REF!,2,FALSE)</f>
        <v>#REF!</v>
      </c>
      <c r="AE3079" t="e">
        <f>RIGHT(#REF!,(FIND("Complex",#REF!,1)-7))</f>
        <v>#REF!</v>
      </c>
    </row>
    <row r="3080" spans="1:31" x14ac:dyDescent="0.25">
      <c r="A3080">
        <v>529</v>
      </c>
      <c r="B3080" t="s">
        <v>68</v>
      </c>
      <c r="C3080">
        <v>4</v>
      </c>
      <c r="D3080">
        <v>224</v>
      </c>
      <c r="E3080">
        <v>529</v>
      </c>
      <c r="F3080">
        <v>10407601</v>
      </c>
      <c r="G3080">
        <v>10495800</v>
      </c>
      <c r="H3080">
        <f t="shared" si="96"/>
        <v>236.00002267573697</v>
      </c>
      <c r="I3080">
        <f t="shared" si="97"/>
        <v>238</v>
      </c>
      <c r="J3080" t="s">
        <v>25</v>
      </c>
      <c r="K3080">
        <v>4</v>
      </c>
      <c r="L3080" t="e">
        <f t="array" ref="L3080">VLOOKUP(J3080:$J$3871&amp;K3080:$K$3871,CHOOSE({1,2},#REF!&amp;#REF!,#REF!),2,0)</f>
        <v>#N/A</v>
      </c>
      <c r="M3080">
        <v>0</v>
      </c>
      <c r="N3080">
        <v>1</v>
      </c>
      <c r="O3080" t="s">
        <v>23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1</v>
      </c>
      <c r="Y3080">
        <v>0</v>
      </c>
      <c r="Z3080">
        <v>1</v>
      </c>
      <c r="AA3080" t="s">
        <v>4208</v>
      </c>
      <c r="AB3080" t="s">
        <v>6746</v>
      </c>
      <c r="AC3080" t="s">
        <v>4208</v>
      </c>
      <c r="AD3080" t="e">
        <f>VLOOKUP(AB3080,#REF!,2,FALSE)</f>
        <v>#REF!</v>
      </c>
      <c r="AE3080" t="e">
        <f>RIGHT(#REF!,(FIND("Complex",#REF!,1)-5))</f>
        <v>#REF!</v>
      </c>
    </row>
    <row r="3081" spans="1:31" x14ac:dyDescent="0.25">
      <c r="A3081">
        <v>1419</v>
      </c>
      <c r="B3081" t="s">
        <v>68</v>
      </c>
      <c r="C3081">
        <v>4</v>
      </c>
      <c r="D3081">
        <v>621</v>
      </c>
      <c r="E3081">
        <v>1419</v>
      </c>
      <c r="F3081">
        <v>9790201</v>
      </c>
      <c r="G3081">
        <v>9878400</v>
      </c>
      <c r="H3081">
        <f t="shared" si="96"/>
        <v>222.00002267573697</v>
      </c>
      <c r="I3081">
        <f t="shared" si="97"/>
        <v>224</v>
      </c>
      <c r="J3081" t="s">
        <v>25</v>
      </c>
      <c r="K3081">
        <v>4</v>
      </c>
      <c r="L3081" t="e">
        <f t="array" ref="L3081">VLOOKUP(J3081:$J$3871&amp;K3081:$K$3871,CHOOSE({1,2},#REF!&amp;#REF!,#REF!),2,0)</f>
        <v>#N/A</v>
      </c>
      <c r="M3081">
        <v>0</v>
      </c>
      <c r="N3081">
        <v>1</v>
      </c>
      <c r="O3081" t="s">
        <v>23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1</v>
      </c>
      <c r="Y3081">
        <v>0</v>
      </c>
      <c r="Z3081">
        <v>1</v>
      </c>
      <c r="AA3081" t="s">
        <v>4232</v>
      </c>
      <c r="AB3081" t="s">
        <v>408</v>
      </c>
      <c r="AC3081" t="s">
        <v>4232</v>
      </c>
      <c r="AD3081" t="e">
        <f>VLOOKUP(AB3081,#REF!,2,FALSE)</f>
        <v>#REF!</v>
      </c>
      <c r="AE3081" t="e">
        <f>RIGHT(#REF!,(FIND("Complex",#REF!,1)-6))</f>
        <v>#REF!</v>
      </c>
    </row>
    <row r="3082" spans="1:31" x14ac:dyDescent="0.25">
      <c r="A3082">
        <v>1327</v>
      </c>
      <c r="B3082" t="s">
        <v>68</v>
      </c>
      <c r="C3082">
        <v>4</v>
      </c>
      <c r="D3082">
        <v>578</v>
      </c>
      <c r="E3082">
        <v>1327</v>
      </c>
      <c r="F3082">
        <v>8643601</v>
      </c>
      <c r="G3082">
        <v>8731800</v>
      </c>
      <c r="H3082">
        <f t="shared" si="96"/>
        <v>196.00002267573697</v>
      </c>
      <c r="I3082">
        <f t="shared" si="97"/>
        <v>198</v>
      </c>
      <c r="J3082" t="s">
        <v>25</v>
      </c>
      <c r="K3082">
        <v>4</v>
      </c>
      <c r="L3082" t="e">
        <f t="array" ref="L3082">VLOOKUP(J3082:$J$3871&amp;K3082:$K$3871,CHOOSE({1,2},#REF!&amp;#REF!,#REF!),2,0)</f>
        <v>#N/A</v>
      </c>
      <c r="M3082">
        <v>0</v>
      </c>
      <c r="N3082">
        <v>1</v>
      </c>
      <c r="O3082" t="s">
        <v>23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0</v>
      </c>
      <c r="V3082">
        <v>1</v>
      </c>
      <c r="W3082">
        <v>1</v>
      </c>
      <c r="X3082">
        <v>1</v>
      </c>
      <c r="Y3082">
        <v>0</v>
      </c>
      <c r="Z3082">
        <v>0</v>
      </c>
      <c r="AA3082" t="s">
        <v>4345</v>
      </c>
      <c r="AB3082" t="s">
        <v>6822</v>
      </c>
      <c r="AC3082" t="s">
        <v>4345</v>
      </c>
      <c r="AD3082" t="e">
        <f>VLOOKUP(AB3082,#REF!,2,FALSE)</f>
        <v>#REF!</v>
      </c>
      <c r="AE3082" t="e">
        <f>RIGHT(#REF!,(FIND("Complex",#REF!,1)-6))</f>
        <v>#REF!</v>
      </c>
    </row>
    <row r="3083" spans="1:31" x14ac:dyDescent="0.25">
      <c r="A3083">
        <v>1732</v>
      </c>
      <c r="B3083" t="s">
        <v>68</v>
      </c>
      <c r="C3083">
        <v>4</v>
      </c>
      <c r="D3083">
        <v>752</v>
      </c>
      <c r="E3083">
        <v>1732</v>
      </c>
      <c r="F3083">
        <v>6967801</v>
      </c>
      <c r="G3083">
        <v>7056000</v>
      </c>
      <c r="H3083">
        <f t="shared" si="96"/>
        <v>158.00002267573697</v>
      </c>
      <c r="I3083">
        <f t="shared" si="97"/>
        <v>160</v>
      </c>
      <c r="J3083" t="s">
        <v>25</v>
      </c>
      <c r="K3083">
        <v>4</v>
      </c>
      <c r="L3083" t="e">
        <f t="array" ref="L3083">VLOOKUP(J3083:$J$3871&amp;K3083:$K$3871,CHOOSE({1,2},#REF!&amp;#REF!,#REF!),2,0)</f>
        <v>#N/A</v>
      </c>
      <c r="M3083">
        <v>0</v>
      </c>
      <c r="N3083">
        <v>1</v>
      </c>
      <c r="O3083" t="s">
        <v>23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0</v>
      </c>
      <c r="V3083">
        <v>1</v>
      </c>
      <c r="W3083">
        <v>1</v>
      </c>
      <c r="X3083">
        <v>1</v>
      </c>
      <c r="Y3083">
        <v>0</v>
      </c>
      <c r="Z3083">
        <v>0</v>
      </c>
      <c r="AA3083" t="s">
        <v>4508</v>
      </c>
      <c r="AB3083" t="s">
        <v>6928</v>
      </c>
      <c r="AC3083" t="s">
        <v>4508</v>
      </c>
      <c r="AD3083" t="e">
        <f>VLOOKUP(AB3083,#REF!,2,FALSE)</f>
        <v>#REF!</v>
      </c>
      <c r="AE3083" t="e">
        <f>RIGHT(#REF!,(FIND("Complex",#REF!,1)-6))</f>
        <v>#REF!</v>
      </c>
    </row>
    <row r="3084" spans="1:31" x14ac:dyDescent="0.25">
      <c r="A3084">
        <v>1854</v>
      </c>
      <c r="B3084" t="s">
        <v>68</v>
      </c>
      <c r="C3084">
        <v>4</v>
      </c>
      <c r="D3084">
        <v>807</v>
      </c>
      <c r="E3084">
        <v>1854</v>
      </c>
      <c r="F3084">
        <v>5380201</v>
      </c>
      <c r="G3084">
        <v>5468400</v>
      </c>
      <c r="H3084">
        <f t="shared" si="96"/>
        <v>122.00002267573696</v>
      </c>
      <c r="I3084">
        <f t="shared" si="97"/>
        <v>124</v>
      </c>
      <c r="J3084" t="s">
        <v>25</v>
      </c>
      <c r="K3084">
        <v>4</v>
      </c>
      <c r="L3084" t="e">
        <f t="array" ref="L3084">VLOOKUP(J3084:$J$3871&amp;K3084:$K$3871,CHOOSE({1,2},#REF!&amp;#REF!,#REF!),2,0)</f>
        <v>#N/A</v>
      </c>
      <c r="M3084">
        <v>0</v>
      </c>
      <c r="N3084">
        <v>1</v>
      </c>
      <c r="O3084" t="s">
        <v>23</v>
      </c>
      <c r="P3084">
        <v>1</v>
      </c>
      <c r="Q3084">
        <v>1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1</v>
      </c>
      <c r="Y3084">
        <v>0</v>
      </c>
      <c r="Z3084">
        <v>0</v>
      </c>
      <c r="AA3084" t="s">
        <v>4706</v>
      </c>
      <c r="AB3084" t="s">
        <v>7057</v>
      </c>
      <c r="AC3084" t="s">
        <v>4706</v>
      </c>
      <c r="AD3084" t="e">
        <f>VLOOKUP(AB3084,#REF!,2,FALSE)</f>
        <v>#REF!</v>
      </c>
      <c r="AE3084" t="e">
        <f>RIGHT(#REF!,(FIND("Complex",#REF!,1)-6))</f>
        <v>#REF!</v>
      </c>
    </row>
    <row r="3085" spans="1:31" x14ac:dyDescent="0.25">
      <c r="A3085">
        <v>575</v>
      </c>
      <c r="B3085" t="s">
        <v>68</v>
      </c>
      <c r="C3085">
        <v>4</v>
      </c>
      <c r="D3085">
        <v>244</v>
      </c>
      <c r="E3085">
        <v>575</v>
      </c>
      <c r="F3085">
        <v>4586401</v>
      </c>
      <c r="G3085">
        <v>4674600</v>
      </c>
      <c r="H3085">
        <f t="shared" si="96"/>
        <v>104.00002267573696</v>
      </c>
      <c r="I3085">
        <f t="shared" si="97"/>
        <v>106</v>
      </c>
      <c r="J3085" t="s">
        <v>25</v>
      </c>
      <c r="K3085">
        <v>4</v>
      </c>
      <c r="L3085" t="e">
        <f t="array" ref="L3085">VLOOKUP(J3085:$J$3871&amp;K3085:$K$3871,CHOOSE({1,2},#REF!&amp;#REF!,#REF!),2,0)</f>
        <v>#N/A</v>
      </c>
      <c r="M3085">
        <v>0</v>
      </c>
      <c r="N3085">
        <v>1</v>
      </c>
      <c r="O3085" t="s">
        <v>23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1</v>
      </c>
      <c r="Y3085">
        <v>0</v>
      </c>
      <c r="Z3085">
        <v>1</v>
      </c>
      <c r="AA3085" t="s">
        <v>4817</v>
      </c>
      <c r="AB3085" t="s">
        <v>7120</v>
      </c>
      <c r="AC3085" t="s">
        <v>4817</v>
      </c>
      <c r="AD3085" t="e">
        <f>VLOOKUP(AB3085,#REF!,2,FALSE)</f>
        <v>#REF!</v>
      </c>
      <c r="AE3085" t="e">
        <f>RIGHT(#REF!,(FIND("Complex",#REF!,1)-5))</f>
        <v>#REF!</v>
      </c>
    </row>
    <row r="3086" spans="1:31" x14ac:dyDescent="0.25">
      <c r="A3086">
        <v>78</v>
      </c>
      <c r="B3086" t="s">
        <v>81</v>
      </c>
      <c r="C3086">
        <v>5</v>
      </c>
      <c r="D3086">
        <v>39</v>
      </c>
      <c r="E3086">
        <v>78</v>
      </c>
      <c r="F3086">
        <v>16228801</v>
      </c>
      <c r="G3086">
        <v>16317000</v>
      </c>
      <c r="H3086">
        <f t="shared" si="96"/>
        <v>368.00002267573694</v>
      </c>
      <c r="I3086">
        <f t="shared" si="97"/>
        <v>370</v>
      </c>
      <c r="J3086" t="s">
        <v>25</v>
      </c>
      <c r="K3086">
        <v>4</v>
      </c>
      <c r="L3086" t="e">
        <f t="array" ref="L3086">VLOOKUP(J3086:$J$3871&amp;K3086:$K$3871,CHOOSE({1,2},#REF!&amp;#REF!,#REF!),2,0)</f>
        <v>#N/A</v>
      </c>
      <c r="M3086">
        <v>0</v>
      </c>
      <c r="N3086">
        <v>1</v>
      </c>
      <c r="O3086" t="s">
        <v>23</v>
      </c>
      <c r="P3086">
        <v>1</v>
      </c>
      <c r="Q3086">
        <v>1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1</v>
      </c>
      <c r="Y3086">
        <v>0</v>
      </c>
      <c r="Z3086">
        <v>0</v>
      </c>
      <c r="AA3086" t="s">
        <v>3993</v>
      </c>
      <c r="AB3086" t="s">
        <v>6590</v>
      </c>
      <c r="AC3086" t="s">
        <v>3993</v>
      </c>
      <c r="AD3086" t="e">
        <f>VLOOKUP(AB3086,#REF!,2,FALSE)</f>
        <v>#REF!</v>
      </c>
      <c r="AE3086" t="e">
        <f>RIGHT(#REF!,(FIND("Complex",#REF!,1)-4))</f>
        <v>#REF!</v>
      </c>
    </row>
    <row r="3087" spans="1:31" x14ac:dyDescent="0.25">
      <c r="A3087">
        <v>1000</v>
      </c>
      <c r="B3087" t="s">
        <v>81</v>
      </c>
      <c r="C3087">
        <v>5</v>
      </c>
      <c r="D3087">
        <v>443</v>
      </c>
      <c r="E3087">
        <v>1000</v>
      </c>
      <c r="F3087">
        <v>14376601</v>
      </c>
      <c r="G3087">
        <v>14464800</v>
      </c>
      <c r="H3087">
        <f t="shared" si="96"/>
        <v>326.00002267573694</v>
      </c>
      <c r="I3087">
        <f t="shared" si="97"/>
        <v>328</v>
      </c>
      <c r="J3087" t="s">
        <v>25</v>
      </c>
      <c r="K3087">
        <v>4</v>
      </c>
      <c r="L3087" t="e">
        <f t="array" ref="L3087">VLOOKUP(J3087:$J$3871&amp;K3087:$K$3871,CHOOSE({1,2},#REF!&amp;#REF!,#REF!),2,0)</f>
        <v>#N/A</v>
      </c>
      <c r="M3087">
        <v>0</v>
      </c>
      <c r="N3087">
        <v>1</v>
      </c>
      <c r="O3087" t="s">
        <v>23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1</v>
      </c>
      <c r="W3087">
        <v>1</v>
      </c>
      <c r="X3087">
        <v>0</v>
      </c>
      <c r="Y3087">
        <v>0</v>
      </c>
      <c r="Z3087">
        <v>0</v>
      </c>
      <c r="AA3087" t="s">
        <v>4035</v>
      </c>
      <c r="AB3087" t="s">
        <v>454</v>
      </c>
      <c r="AC3087" t="s">
        <v>4035</v>
      </c>
      <c r="AD3087" t="e">
        <f>VLOOKUP(AB3087,#REF!,2,FALSE)</f>
        <v>#REF!</v>
      </c>
      <c r="AE3087" t="e">
        <f>RIGHT(#REF!,(FIND("Complex",#REF!,1)-6))</f>
        <v>#REF!</v>
      </c>
    </row>
    <row r="3088" spans="1:31" x14ac:dyDescent="0.25">
      <c r="A3088">
        <v>1734</v>
      </c>
      <c r="B3088" t="s">
        <v>81</v>
      </c>
      <c r="C3088">
        <v>5</v>
      </c>
      <c r="D3088">
        <v>753</v>
      </c>
      <c r="E3088">
        <v>1734</v>
      </c>
      <c r="F3088">
        <v>6438601</v>
      </c>
      <c r="G3088">
        <v>6526800</v>
      </c>
      <c r="H3088">
        <f t="shared" si="96"/>
        <v>146.00002267573697</v>
      </c>
      <c r="I3088">
        <f t="shared" si="97"/>
        <v>148</v>
      </c>
      <c r="J3088" t="s">
        <v>25</v>
      </c>
      <c r="K3088">
        <v>4</v>
      </c>
      <c r="L3088" t="e">
        <f t="array" ref="L3088">VLOOKUP(J3088:$J$3871&amp;K3088:$K$3871,CHOOSE({1,2},#REF!&amp;#REF!,#REF!),2,0)</f>
        <v>#N/A</v>
      </c>
      <c r="M3088">
        <v>0</v>
      </c>
      <c r="N3088">
        <v>1</v>
      </c>
      <c r="O3088" t="s">
        <v>23</v>
      </c>
      <c r="P3088">
        <v>1</v>
      </c>
      <c r="Q3088">
        <v>1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1</v>
      </c>
      <c r="Y3088">
        <v>0</v>
      </c>
      <c r="Z3088">
        <v>0</v>
      </c>
      <c r="AA3088" t="s">
        <v>4565</v>
      </c>
      <c r="AB3088" t="s">
        <v>6970</v>
      </c>
      <c r="AC3088" t="s">
        <v>4565</v>
      </c>
      <c r="AD3088" t="e">
        <f>VLOOKUP(AB3088,#REF!,2,FALSE)</f>
        <v>#REF!</v>
      </c>
      <c r="AE3088" t="e">
        <f>RIGHT(#REF!,(FIND("Complex",#REF!,1)-6))</f>
        <v>#REF!</v>
      </c>
    </row>
    <row r="3089" spans="1:31" x14ac:dyDescent="0.25">
      <c r="A3089">
        <v>1736</v>
      </c>
      <c r="B3089" t="s">
        <v>94</v>
      </c>
      <c r="C3089">
        <v>7</v>
      </c>
      <c r="D3089">
        <v>755</v>
      </c>
      <c r="E3089">
        <v>1736</v>
      </c>
      <c r="F3089">
        <v>1852201</v>
      </c>
      <c r="G3089">
        <v>1940400</v>
      </c>
      <c r="H3089">
        <f t="shared" si="96"/>
        <v>42.000022675736965</v>
      </c>
      <c r="I3089">
        <f t="shared" si="97"/>
        <v>44</v>
      </c>
      <c r="J3089" t="s">
        <v>25</v>
      </c>
      <c r="K3089">
        <v>4</v>
      </c>
      <c r="L3089" t="e">
        <f t="array" ref="L3089">VLOOKUP(J3089:$J$3871&amp;K3089:$K$3871,CHOOSE({1,2},#REF!&amp;#REF!,#REF!),2,0)</f>
        <v>#N/A</v>
      </c>
      <c r="M3089">
        <v>0</v>
      </c>
      <c r="N3089">
        <v>1</v>
      </c>
      <c r="O3089" t="s">
        <v>23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0</v>
      </c>
      <c r="V3089">
        <v>1</v>
      </c>
      <c r="W3089">
        <v>1</v>
      </c>
      <c r="X3089">
        <v>1</v>
      </c>
      <c r="Y3089">
        <v>0</v>
      </c>
      <c r="Z3089">
        <v>0</v>
      </c>
      <c r="AA3089" t="s">
        <v>3926</v>
      </c>
      <c r="AB3089" t="s">
        <v>6556</v>
      </c>
      <c r="AC3089" t="s">
        <v>3926</v>
      </c>
      <c r="AD3089" t="e">
        <f>VLOOKUP(AB3089,#REF!,2,FALSE)</f>
        <v>#REF!</v>
      </c>
      <c r="AE3089" t="e">
        <f>RIGHT(#REF!,(FIND("Complex",#REF!,1)-7))</f>
        <v>#REF!</v>
      </c>
    </row>
    <row r="3090" spans="1:31" x14ac:dyDescent="0.25">
      <c r="A3090">
        <v>1748</v>
      </c>
      <c r="B3090" t="s">
        <v>89</v>
      </c>
      <c r="C3090">
        <v>8</v>
      </c>
      <c r="D3090">
        <v>762</v>
      </c>
      <c r="E3090">
        <v>1748</v>
      </c>
      <c r="F3090">
        <v>2116801</v>
      </c>
      <c r="G3090">
        <v>2205000</v>
      </c>
      <c r="H3090">
        <f t="shared" si="96"/>
        <v>48.000022675736965</v>
      </c>
      <c r="I3090">
        <f t="shared" si="97"/>
        <v>50</v>
      </c>
      <c r="J3090" t="s">
        <v>25</v>
      </c>
      <c r="K3090">
        <v>4</v>
      </c>
      <c r="L3090" t="e">
        <f t="array" ref="L3090">VLOOKUP(J3090:$J$3871&amp;K3090:$K$3871,CHOOSE({1,2},#REF!&amp;#REF!,#REF!),2,0)</f>
        <v>#N/A</v>
      </c>
      <c r="M3090">
        <v>0</v>
      </c>
      <c r="N3090">
        <v>1</v>
      </c>
      <c r="O3090" t="s">
        <v>23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1</v>
      </c>
      <c r="Y3090">
        <v>0</v>
      </c>
      <c r="Z3090">
        <v>1</v>
      </c>
      <c r="AA3090" t="s">
        <v>3885</v>
      </c>
      <c r="AB3090" t="s">
        <v>513</v>
      </c>
      <c r="AC3090" t="s">
        <v>3885</v>
      </c>
      <c r="AD3090" t="e">
        <f>VLOOKUP(AB3090,#REF!,2,FALSE)</f>
        <v>#REF!</v>
      </c>
      <c r="AE3090" t="e">
        <f>RIGHT(#REF!,(FIND("Complex",#REF!,1)-7))</f>
        <v>#REF!</v>
      </c>
    </row>
    <row r="3091" spans="1:31" x14ac:dyDescent="0.25">
      <c r="A3091">
        <v>142</v>
      </c>
      <c r="B3091" t="s">
        <v>89</v>
      </c>
      <c r="C3091">
        <v>8</v>
      </c>
      <c r="D3091">
        <v>60</v>
      </c>
      <c r="E3091">
        <v>142</v>
      </c>
      <c r="F3091">
        <v>1675801</v>
      </c>
      <c r="G3091">
        <v>1764000</v>
      </c>
      <c r="H3091">
        <f t="shared" si="96"/>
        <v>38.000022675736965</v>
      </c>
      <c r="I3091">
        <f t="shared" si="97"/>
        <v>40</v>
      </c>
      <c r="J3091" t="s">
        <v>25</v>
      </c>
      <c r="K3091">
        <v>4</v>
      </c>
      <c r="L3091" t="e">
        <f t="array" ref="L3091">VLOOKUP(J3091:$J$3871&amp;K3091:$K$3871,CHOOSE({1,2},#REF!&amp;#REF!,#REF!),2,0)</f>
        <v>#N/A</v>
      </c>
      <c r="M3091">
        <v>0</v>
      </c>
      <c r="N3091">
        <v>1</v>
      </c>
      <c r="O3091" t="s">
        <v>23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1</v>
      </c>
      <c r="Y3091">
        <v>0</v>
      </c>
      <c r="Z3091">
        <v>1</v>
      </c>
      <c r="AA3091" t="s">
        <v>3973</v>
      </c>
      <c r="AB3091" t="s">
        <v>6577</v>
      </c>
      <c r="AC3091" t="s">
        <v>3973</v>
      </c>
      <c r="AD3091" t="e">
        <f>VLOOKUP(AB3091,#REF!,2,FALSE)</f>
        <v>#REF!</v>
      </c>
      <c r="AE3091" t="e">
        <f>RIGHT(#REF!,(FIND("Complex",#REF!,1)-6))</f>
        <v>#REF!</v>
      </c>
    </row>
    <row r="3092" spans="1:31" x14ac:dyDescent="0.25">
      <c r="A3092">
        <v>99</v>
      </c>
      <c r="B3092" t="s">
        <v>89</v>
      </c>
      <c r="C3092">
        <v>8</v>
      </c>
      <c r="D3092">
        <v>48</v>
      </c>
      <c r="E3092">
        <v>99</v>
      </c>
      <c r="F3092">
        <v>617401</v>
      </c>
      <c r="G3092">
        <v>705600</v>
      </c>
      <c r="H3092">
        <f t="shared" si="96"/>
        <v>14.000022675736961</v>
      </c>
      <c r="I3092">
        <f t="shared" si="97"/>
        <v>16</v>
      </c>
      <c r="J3092" t="s">
        <v>25</v>
      </c>
      <c r="K3092">
        <v>4</v>
      </c>
      <c r="L3092" t="e">
        <f t="array" ref="L3092">VLOOKUP(J3092:$J$3871&amp;K3092:$K$3871,CHOOSE({1,2},#REF!&amp;#REF!,#REF!),2,0)</f>
        <v>#N/A</v>
      </c>
      <c r="M3092">
        <v>0</v>
      </c>
      <c r="N3092">
        <v>1</v>
      </c>
      <c r="O3092" t="s">
        <v>23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1</v>
      </c>
      <c r="Y3092">
        <v>0</v>
      </c>
      <c r="Z3092">
        <v>1</v>
      </c>
      <c r="AA3092" t="s">
        <v>4607</v>
      </c>
      <c r="AB3092" t="s">
        <v>6998</v>
      </c>
      <c r="AC3092" t="s">
        <v>4607</v>
      </c>
      <c r="AD3092" t="e">
        <f>VLOOKUP(AB3092,#REF!,2,FALSE)</f>
        <v>#REF!</v>
      </c>
      <c r="AE3092" t="e">
        <f>RIGHT(#REF!,(FIND("Complex",#REF!,1)-5))</f>
        <v>#REF!</v>
      </c>
    </row>
    <row r="3093" spans="1:31" x14ac:dyDescent="0.25">
      <c r="A3093">
        <v>521</v>
      </c>
      <c r="B3093" t="s">
        <v>89</v>
      </c>
      <c r="C3093">
        <v>8</v>
      </c>
      <c r="D3093">
        <v>220</v>
      </c>
      <c r="E3093">
        <v>521</v>
      </c>
      <c r="F3093">
        <v>529201</v>
      </c>
      <c r="G3093">
        <v>617400</v>
      </c>
      <c r="H3093">
        <f t="shared" si="96"/>
        <v>12.000022675736961</v>
      </c>
      <c r="I3093">
        <f t="shared" si="97"/>
        <v>14</v>
      </c>
      <c r="J3093" t="s">
        <v>25</v>
      </c>
      <c r="K3093">
        <v>4</v>
      </c>
      <c r="L3093" t="e">
        <f t="array" ref="L3093">VLOOKUP(J3093:$J$3871&amp;K3093:$K$3871,CHOOSE({1,2},#REF!&amp;#REF!,#REF!),2,0)</f>
        <v>#N/A</v>
      </c>
      <c r="M3093">
        <v>0</v>
      </c>
      <c r="N3093">
        <v>1</v>
      </c>
      <c r="O3093" t="s">
        <v>23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1</v>
      </c>
      <c r="Y3093">
        <v>0</v>
      </c>
      <c r="Z3093">
        <v>1</v>
      </c>
      <c r="AA3093" t="s">
        <v>4726</v>
      </c>
      <c r="AB3093" t="s">
        <v>7072</v>
      </c>
      <c r="AC3093" t="s">
        <v>4726</v>
      </c>
      <c r="AD3093" t="e">
        <f>VLOOKUP(AB3093,#REF!,2,FALSE)</f>
        <v>#REF!</v>
      </c>
      <c r="AE3093" t="e">
        <f>RIGHT(#REF!,(FIND("Complex",#REF!,1)-6))</f>
        <v>#REF!</v>
      </c>
    </row>
    <row r="3094" spans="1:31" x14ac:dyDescent="0.25">
      <c r="A3094">
        <v>1677</v>
      </c>
      <c r="B3094" t="s">
        <v>234</v>
      </c>
      <c r="C3094">
        <v>10</v>
      </c>
      <c r="D3094">
        <v>733</v>
      </c>
      <c r="E3094">
        <v>1677</v>
      </c>
      <c r="F3094">
        <v>3704401</v>
      </c>
      <c r="G3094">
        <v>3792600</v>
      </c>
      <c r="H3094">
        <f t="shared" si="96"/>
        <v>84.000022675736957</v>
      </c>
      <c r="I3094">
        <f t="shared" si="97"/>
        <v>86</v>
      </c>
      <c r="J3094" t="s">
        <v>25</v>
      </c>
      <c r="K3094">
        <v>4</v>
      </c>
      <c r="L3094" t="e">
        <f t="array" ref="L3094">VLOOKUP(J3094:$J$3871&amp;K3094:$K$3871,CHOOSE({1,2},#REF!&amp;#REF!,#REF!),2,0)</f>
        <v>#N/A</v>
      </c>
      <c r="M3094">
        <v>0</v>
      </c>
      <c r="N3094">
        <v>1</v>
      </c>
      <c r="O3094" t="s">
        <v>23</v>
      </c>
      <c r="P3094">
        <v>1</v>
      </c>
      <c r="Q3094">
        <v>1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1</v>
      </c>
      <c r="Y3094">
        <v>0</v>
      </c>
      <c r="Z3094">
        <v>0</v>
      </c>
      <c r="AA3094" t="s">
        <v>3603</v>
      </c>
      <c r="AB3094" t="s">
        <v>6368</v>
      </c>
      <c r="AC3094" t="s">
        <v>3603</v>
      </c>
      <c r="AD3094" t="e">
        <f>VLOOKUP(AB3094,#REF!,2,FALSE)</f>
        <v>#REF!</v>
      </c>
      <c r="AE3094" t="e">
        <f>RIGHT(#REF!,(FIND("Complex",#REF!,1)-6))</f>
        <v>#REF!</v>
      </c>
    </row>
    <row r="3095" spans="1:31" x14ac:dyDescent="0.25">
      <c r="A3095">
        <v>1616</v>
      </c>
      <c r="B3095" t="s">
        <v>234</v>
      </c>
      <c r="C3095">
        <v>10</v>
      </c>
      <c r="D3095">
        <v>699</v>
      </c>
      <c r="E3095">
        <v>1616</v>
      </c>
      <c r="F3095">
        <v>1499401</v>
      </c>
      <c r="G3095">
        <v>1587600</v>
      </c>
      <c r="H3095">
        <f t="shared" si="96"/>
        <v>34.000022675736965</v>
      </c>
      <c r="I3095">
        <f t="shared" si="97"/>
        <v>36</v>
      </c>
      <c r="J3095" t="s">
        <v>25</v>
      </c>
      <c r="K3095">
        <v>4</v>
      </c>
      <c r="L3095" t="e">
        <f t="array" ref="L3095">VLOOKUP(J3095:$J$3871&amp;K3095:$K$3871,CHOOSE({1,2},#REF!&amp;#REF!,#REF!),2,0)</f>
        <v>#N/A</v>
      </c>
      <c r="M3095">
        <v>0</v>
      </c>
      <c r="N3095">
        <v>1</v>
      </c>
      <c r="O3095" t="s">
        <v>23</v>
      </c>
      <c r="P3095">
        <v>1</v>
      </c>
      <c r="Q3095">
        <v>1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1</v>
      </c>
      <c r="Y3095">
        <v>0</v>
      </c>
      <c r="Z3095">
        <v>0</v>
      </c>
      <c r="AA3095" t="s">
        <v>4032</v>
      </c>
      <c r="AB3095" t="s">
        <v>6618</v>
      </c>
      <c r="AC3095" t="s">
        <v>4032</v>
      </c>
      <c r="AD3095" t="e">
        <f>VLOOKUP(AB3095,#REF!,2,FALSE)</f>
        <v>#REF!</v>
      </c>
      <c r="AE3095" t="e">
        <f>RIGHT(#REF!,(FIND("Complex",#REF!,1)-6))</f>
        <v>#REF!</v>
      </c>
    </row>
    <row r="3096" spans="1:31" x14ac:dyDescent="0.25">
      <c r="A3096">
        <v>137</v>
      </c>
      <c r="B3096" t="s">
        <v>234</v>
      </c>
      <c r="C3096">
        <v>10</v>
      </c>
      <c r="D3096">
        <v>59</v>
      </c>
      <c r="E3096">
        <v>137</v>
      </c>
      <c r="F3096">
        <v>1146601</v>
      </c>
      <c r="G3096">
        <v>1234800</v>
      </c>
      <c r="H3096">
        <f t="shared" si="96"/>
        <v>26.000022675736961</v>
      </c>
      <c r="I3096">
        <f t="shared" si="97"/>
        <v>28</v>
      </c>
      <c r="J3096" t="s">
        <v>25</v>
      </c>
      <c r="K3096">
        <v>4</v>
      </c>
      <c r="L3096" t="e">
        <f t="array" ref="L3096">VLOOKUP(J3096:$J$3871&amp;K3096:$K$3871,CHOOSE({1,2},#REF!&amp;#REF!,#REF!),2,0)</f>
        <v>#N/A</v>
      </c>
      <c r="M3096">
        <v>0</v>
      </c>
      <c r="N3096">
        <v>1</v>
      </c>
      <c r="O3096" t="s">
        <v>23</v>
      </c>
      <c r="P3096">
        <v>1</v>
      </c>
      <c r="Q3096">
        <v>1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1</v>
      </c>
      <c r="Y3096">
        <v>0</v>
      </c>
      <c r="Z3096">
        <v>0</v>
      </c>
      <c r="AA3096" t="s">
        <v>4157</v>
      </c>
      <c r="AB3096" t="s">
        <v>6707</v>
      </c>
      <c r="AC3096" t="s">
        <v>4157</v>
      </c>
      <c r="AD3096" t="e">
        <f>VLOOKUP(AB3096,#REF!,2,FALSE)</f>
        <v>#REF!</v>
      </c>
      <c r="AE3096" t="e">
        <f>RIGHT(#REF!,(FIND("Complex",#REF!,1)-5))</f>
        <v>#REF!</v>
      </c>
    </row>
    <row r="3097" spans="1:31" x14ac:dyDescent="0.25">
      <c r="A3097">
        <v>976</v>
      </c>
      <c r="B3097" t="s">
        <v>234</v>
      </c>
      <c r="C3097">
        <v>10</v>
      </c>
      <c r="D3097">
        <v>431</v>
      </c>
      <c r="E3097">
        <v>976</v>
      </c>
      <c r="F3097">
        <v>705601</v>
      </c>
      <c r="G3097">
        <v>793800</v>
      </c>
      <c r="H3097">
        <f t="shared" si="96"/>
        <v>16.000022675736961</v>
      </c>
      <c r="I3097">
        <f t="shared" si="97"/>
        <v>18</v>
      </c>
      <c r="J3097" t="s">
        <v>25</v>
      </c>
      <c r="K3097">
        <v>4</v>
      </c>
      <c r="L3097" t="e">
        <f t="array" ref="L3097">VLOOKUP(J3097:$J$3871&amp;K3097:$K$3871,CHOOSE({1,2},#REF!&amp;#REF!,#REF!),2,0)</f>
        <v>#N/A</v>
      </c>
      <c r="M3097">
        <v>0</v>
      </c>
      <c r="N3097">
        <v>1</v>
      </c>
      <c r="O3097" t="s">
        <v>23</v>
      </c>
      <c r="P3097">
        <v>1</v>
      </c>
      <c r="Q3097">
        <v>1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1</v>
      </c>
      <c r="Y3097">
        <v>0</v>
      </c>
      <c r="Z3097">
        <v>0</v>
      </c>
      <c r="AA3097" t="s">
        <v>4505</v>
      </c>
      <c r="AB3097" t="s">
        <v>6926</v>
      </c>
      <c r="AC3097" t="s">
        <v>4505</v>
      </c>
      <c r="AD3097" t="e">
        <f>VLOOKUP(AB3097,#REF!,2,FALSE)</f>
        <v>#REF!</v>
      </c>
      <c r="AE3097" t="e">
        <f>RIGHT(#REF!,(FIND("Complex",#REF!,1)-5))</f>
        <v>#REF!</v>
      </c>
    </row>
    <row r="3098" spans="1:31" x14ac:dyDescent="0.25">
      <c r="A3098">
        <v>1472</v>
      </c>
      <c r="B3098" t="s">
        <v>79</v>
      </c>
      <c r="C3098">
        <v>13</v>
      </c>
      <c r="D3098">
        <v>644</v>
      </c>
      <c r="E3098">
        <v>1472</v>
      </c>
      <c r="F3098">
        <v>7585201</v>
      </c>
      <c r="G3098">
        <v>7673400</v>
      </c>
      <c r="H3098">
        <f t="shared" si="96"/>
        <v>172.00002267573697</v>
      </c>
      <c r="I3098">
        <f t="shared" si="97"/>
        <v>174</v>
      </c>
      <c r="J3098" t="s">
        <v>25</v>
      </c>
      <c r="K3098">
        <v>4</v>
      </c>
      <c r="L3098" t="e">
        <f t="array" ref="L3098">VLOOKUP(J3098:$J$3871&amp;K3098:$K$3871,CHOOSE({1,2},#REF!&amp;#REF!,#REF!),2,0)</f>
        <v>#N/A</v>
      </c>
      <c r="M3098">
        <v>0</v>
      </c>
      <c r="N3098">
        <v>1</v>
      </c>
      <c r="O3098" t="s">
        <v>23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0</v>
      </c>
      <c r="V3098">
        <v>1</v>
      </c>
      <c r="W3098">
        <v>1</v>
      </c>
      <c r="X3098">
        <v>0</v>
      </c>
      <c r="Y3098">
        <v>1</v>
      </c>
      <c r="Z3098">
        <v>0</v>
      </c>
      <c r="AA3098" t="s">
        <v>4433</v>
      </c>
      <c r="AB3098" t="s">
        <v>569</v>
      </c>
      <c r="AC3098" t="s">
        <v>4433</v>
      </c>
      <c r="AD3098" t="e">
        <f>VLOOKUP(AB3098,#REF!,2,FALSE)</f>
        <v>#REF!</v>
      </c>
      <c r="AE3098" t="e">
        <f>RIGHT(#REF!,(FIND("Complex",#REF!,1)-5))</f>
        <v>#REF!</v>
      </c>
    </row>
    <row r="3099" spans="1:31" x14ac:dyDescent="0.25">
      <c r="A3099">
        <v>1422</v>
      </c>
      <c r="B3099" t="s">
        <v>236</v>
      </c>
      <c r="C3099">
        <v>15</v>
      </c>
      <c r="D3099">
        <v>623</v>
      </c>
      <c r="E3099">
        <v>1422</v>
      </c>
      <c r="F3099">
        <v>3087001</v>
      </c>
      <c r="G3099">
        <v>3175200</v>
      </c>
      <c r="H3099">
        <f t="shared" si="96"/>
        <v>70.000022675736957</v>
      </c>
      <c r="I3099">
        <f t="shared" si="97"/>
        <v>72</v>
      </c>
      <c r="J3099" t="s">
        <v>25</v>
      </c>
      <c r="K3099">
        <v>4</v>
      </c>
      <c r="L3099" t="e">
        <f t="array" ref="L3099">VLOOKUP(J3099:$J$3871&amp;K3099:$K$3871,CHOOSE({1,2},#REF!&amp;#REF!,#REF!),2,0)</f>
        <v>#N/A</v>
      </c>
      <c r="M3099">
        <v>0</v>
      </c>
      <c r="N3099">
        <v>1</v>
      </c>
      <c r="O3099" t="s">
        <v>23</v>
      </c>
      <c r="P3099">
        <v>1</v>
      </c>
      <c r="Q3099">
        <v>1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1</v>
      </c>
      <c r="Y3099">
        <v>0</v>
      </c>
      <c r="Z3099">
        <v>0</v>
      </c>
      <c r="AA3099" t="s">
        <v>3714</v>
      </c>
      <c r="AB3099" t="s">
        <v>6430</v>
      </c>
      <c r="AC3099" t="s">
        <v>3714</v>
      </c>
      <c r="AD3099" t="e">
        <f>VLOOKUP(AB3099,#REF!,2,FALSE)</f>
        <v>#REF!</v>
      </c>
      <c r="AE3099" t="e">
        <f>RIGHT(#REF!,(FIND("Complex",#REF!,1)-6))</f>
        <v>#REF!</v>
      </c>
    </row>
    <row r="3100" spans="1:31" x14ac:dyDescent="0.25">
      <c r="A3100">
        <v>1324</v>
      </c>
      <c r="B3100" t="s">
        <v>236</v>
      </c>
      <c r="C3100">
        <v>15</v>
      </c>
      <c r="D3100">
        <v>576</v>
      </c>
      <c r="E3100">
        <v>1324</v>
      </c>
      <c r="F3100">
        <v>1587601</v>
      </c>
      <c r="G3100">
        <v>1675800</v>
      </c>
      <c r="H3100">
        <f t="shared" si="96"/>
        <v>36.000022675736965</v>
      </c>
      <c r="I3100">
        <f t="shared" si="97"/>
        <v>38</v>
      </c>
      <c r="J3100" t="s">
        <v>25</v>
      </c>
      <c r="K3100">
        <v>4</v>
      </c>
      <c r="L3100" t="e">
        <f t="array" ref="L3100">VLOOKUP(J3100:$J$3871&amp;K3100:$K$3871,CHOOSE({1,2},#REF!&amp;#REF!,#REF!),2,0)</f>
        <v>#N/A</v>
      </c>
      <c r="M3100">
        <v>0</v>
      </c>
      <c r="N3100">
        <v>1</v>
      </c>
      <c r="O3100" t="s">
        <v>23</v>
      </c>
      <c r="P3100">
        <v>1</v>
      </c>
      <c r="Q3100">
        <v>1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1</v>
      </c>
      <c r="Y3100">
        <v>0</v>
      </c>
      <c r="Z3100">
        <v>0</v>
      </c>
      <c r="AA3100" t="s">
        <v>4011</v>
      </c>
      <c r="AB3100" t="s">
        <v>6603</v>
      </c>
      <c r="AC3100" t="s">
        <v>4011</v>
      </c>
      <c r="AD3100" t="e">
        <f>VLOOKUP(AB3100,#REF!,2,FALSE)</f>
        <v>#REF!</v>
      </c>
      <c r="AE3100" t="e">
        <f>RIGHT(#REF!,(FIND("Complex",#REF!,1)-6))</f>
        <v>#REF!</v>
      </c>
    </row>
    <row r="3101" spans="1:31" x14ac:dyDescent="0.25">
      <c r="A3101">
        <v>511</v>
      </c>
      <c r="B3101" t="s">
        <v>236</v>
      </c>
      <c r="C3101">
        <v>15</v>
      </c>
      <c r="D3101">
        <v>212</v>
      </c>
      <c r="E3101">
        <v>511</v>
      </c>
      <c r="F3101">
        <v>7497001</v>
      </c>
      <c r="G3101">
        <v>7585200</v>
      </c>
      <c r="H3101">
        <f t="shared" si="96"/>
        <v>170.00002267573697</v>
      </c>
      <c r="I3101">
        <f t="shared" si="97"/>
        <v>172</v>
      </c>
      <c r="J3101" t="s">
        <v>25</v>
      </c>
      <c r="K3101">
        <v>4</v>
      </c>
      <c r="L3101" t="e">
        <f t="array" ref="L3101">VLOOKUP(J3101:$J$3871&amp;K3101:$K$3871,CHOOSE({1,2},#REF!&amp;#REF!,#REF!),2,0)</f>
        <v>#N/A</v>
      </c>
      <c r="M3101">
        <v>0</v>
      </c>
      <c r="N3101">
        <v>1</v>
      </c>
      <c r="O3101" t="s">
        <v>23</v>
      </c>
      <c r="P3101">
        <v>1</v>
      </c>
      <c r="Q3101">
        <v>1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1</v>
      </c>
      <c r="Y3101">
        <v>0</v>
      </c>
      <c r="Z3101">
        <v>0</v>
      </c>
      <c r="AA3101" t="s">
        <v>4440</v>
      </c>
      <c r="AB3101" t="s">
        <v>6881</v>
      </c>
      <c r="AC3101" t="s">
        <v>4440</v>
      </c>
      <c r="AD3101" t="e">
        <f>VLOOKUP(AB3101,#REF!,2,FALSE)</f>
        <v>#REF!</v>
      </c>
      <c r="AE3101" t="e">
        <f>RIGHT(#REF!,(FIND("Complex",#REF!,1)-4))</f>
        <v>#REF!</v>
      </c>
    </row>
    <row r="3102" spans="1:31" x14ac:dyDescent="0.25">
      <c r="A3102">
        <v>1067</v>
      </c>
      <c r="B3102" t="s">
        <v>236</v>
      </c>
      <c r="C3102">
        <v>15</v>
      </c>
      <c r="D3102">
        <v>473</v>
      </c>
      <c r="E3102">
        <v>1067</v>
      </c>
      <c r="F3102">
        <v>705601</v>
      </c>
      <c r="G3102">
        <v>793800</v>
      </c>
      <c r="H3102">
        <f t="shared" si="96"/>
        <v>16.000022675736961</v>
      </c>
      <c r="I3102">
        <f t="shared" si="97"/>
        <v>18</v>
      </c>
      <c r="J3102" t="s">
        <v>25</v>
      </c>
      <c r="K3102">
        <v>4</v>
      </c>
      <c r="L3102" t="e">
        <f t="array" ref="L3102">VLOOKUP(J3102:$J$3871&amp;K3102:$K$3871,CHOOSE({1,2},#REF!&amp;#REF!,#REF!),2,0)</f>
        <v>#N/A</v>
      </c>
      <c r="M3102">
        <v>0</v>
      </c>
      <c r="N3102">
        <v>1</v>
      </c>
      <c r="O3102" t="s">
        <v>23</v>
      </c>
      <c r="P3102">
        <v>1</v>
      </c>
      <c r="Q3102">
        <v>1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1</v>
      </c>
      <c r="Y3102">
        <v>0</v>
      </c>
      <c r="Z3102">
        <v>0</v>
      </c>
      <c r="AA3102" t="s">
        <v>4502</v>
      </c>
      <c r="AB3102" t="s">
        <v>6924</v>
      </c>
      <c r="AC3102" t="s">
        <v>4502</v>
      </c>
      <c r="AD3102" t="e">
        <f>VLOOKUP(AB3102,#REF!,2,FALSE)</f>
        <v>#REF!</v>
      </c>
      <c r="AE3102" t="e">
        <f>RIGHT(#REF!,(FIND("Complex",#REF!,1)-6))</f>
        <v>#REF!</v>
      </c>
    </row>
    <row r="3103" spans="1:31" x14ac:dyDescent="0.25">
      <c r="A3103">
        <v>737</v>
      </c>
      <c r="B3103" t="s">
        <v>238</v>
      </c>
      <c r="C3103">
        <v>17</v>
      </c>
      <c r="D3103">
        <v>324</v>
      </c>
      <c r="E3103">
        <v>737</v>
      </c>
      <c r="F3103">
        <v>4145401</v>
      </c>
      <c r="G3103">
        <v>4233600</v>
      </c>
      <c r="H3103">
        <f t="shared" si="96"/>
        <v>94.000022675736957</v>
      </c>
      <c r="I3103">
        <f t="shared" si="97"/>
        <v>96</v>
      </c>
      <c r="J3103" t="s">
        <v>25</v>
      </c>
      <c r="K3103">
        <v>4</v>
      </c>
      <c r="L3103" t="e">
        <f t="array" ref="L3103">VLOOKUP(J3103:$J$3871&amp;K3103:$K$3871,CHOOSE({1,2},#REF!&amp;#REF!,#REF!),2,0)</f>
        <v>#N/A</v>
      </c>
      <c r="M3103">
        <v>0</v>
      </c>
      <c r="N3103">
        <v>1</v>
      </c>
      <c r="O3103" t="s">
        <v>23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1</v>
      </c>
      <c r="Y3103">
        <v>1</v>
      </c>
      <c r="Z3103">
        <v>1</v>
      </c>
      <c r="AA3103" t="s">
        <v>3536</v>
      </c>
      <c r="AB3103" t="s">
        <v>6333</v>
      </c>
      <c r="AC3103" t="s">
        <v>3536</v>
      </c>
      <c r="AD3103" t="e">
        <f>VLOOKUP(AB3103,#REF!,2,FALSE)</f>
        <v>#REF!</v>
      </c>
      <c r="AE3103" t="e">
        <f>RIGHT(#REF!,(FIND("Complex",#REF!,1)-5))</f>
        <v>#REF!</v>
      </c>
    </row>
    <row r="3104" spans="1:31" x14ac:dyDescent="0.25">
      <c r="A3104">
        <v>1074</v>
      </c>
      <c r="B3104" t="s">
        <v>238</v>
      </c>
      <c r="C3104">
        <v>17</v>
      </c>
      <c r="D3104">
        <v>476</v>
      </c>
      <c r="E3104">
        <v>1074</v>
      </c>
      <c r="F3104">
        <v>4057201</v>
      </c>
      <c r="G3104">
        <v>4145400</v>
      </c>
      <c r="H3104">
        <f t="shared" si="96"/>
        <v>92.000022675736957</v>
      </c>
      <c r="I3104">
        <f t="shared" si="97"/>
        <v>94</v>
      </c>
      <c r="J3104" t="s">
        <v>25</v>
      </c>
      <c r="K3104">
        <v>4</v>
      </c>
      <c r="L3104" t="e">
        <f t="array" ref="L3104">VLOOKUP(J3104:$J$3871&amp;K3104:$K$3871,CHOOSE({1,2},#REF!&amp;#REF!,#REF!),2,0)</f>
        <v>#N/A</v>
      </c>
      <c r="M3104">
        <v>0</v>
      </c>
      <c r="N3104">
        <v>1</v>
      </c>
      <c r="O3104" t="s">
        <v>23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1</v>
      </c>
      <c r="Y3104">
        <v>1</v>
      </c>
      <c r="Z3104">
        <v>1</v>
      </c>
      <c r="AA3104" t="s">
        <v>3545</v>
      </c>
      <c r="AB3104" t="s">
        <v>6337</v>
      </c>
      <c r="AC3104" t="s">
        <v>3545</v>
      </c>
      <c r="AD3104" t="e">
        <f>VLOOKUP(AB3104,#REF!,2,FALSE)</f>
        <v>#REF!</v>
      </c>
      <c r="AE3104" t="e">
        <f>RIGHT(#REF!,(FIND("Complex",#REF!,1)-6))</f>
        <v>#REF!</v>
      </c>
    </row>
    <row r="3105" spans="1:31" x14ac:dyDescent="0.25">
      <c r="A3105">
        <v>267</v>
      </c>
      <c r="B3105" t="s">
        <v>238</v>
      </c>
      <c r="C3105">
        <v>17</v>
      </c>
      <c r="D3105">
        <v>114</v>
      </c>
      <c r="E3105">
        <v>267</v>
      </c>
      <c r="F3105">
        <v>2822401</v>
      </c>
      <c r="G3105">
        <v>2910600</v>
      </c>
      <c r="H3105">
        <f t="shared" si="96"/>
        <v>64.000022675736957</v>
      </c>
      <c r="I3105">
        <f t="shared" si="97"/>
        <v>66</v>
      </c>
      <c r="J3105" t="s">
        <v>25</v>
      </c>
      <c r="K3105">
        <v>4</v>
      </c>
      <c r="L3105" t="e">
        <f t="array" ref="L3105">VLOOKUP(J3105:$J$3871&amp;K3105:$K$3871,CHOOSE({1,2},#REF!&amp;#REF!,#REF!),2,0)</f>
        <v>#N/A</v>
      </c>
      <c r="M3105">
        <v>0</v>
      </c>
      <c r="N3105">
        <v>1</v>
      </c>
      <c r="O3105" t="s">
        <v>23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1</v>
      </c>
      <c r="Y3105">
        <v>1</v>
      </c>
      <c r="Z3105">
        <v>1</v>
      </c>
      <c r="AA3105" t="s">
        <v>3751</v>
      </c>
      <c r="AB3105" t="s">
        <v>6451</v>
      </c>
      <c r="AC3105" t="s">
        <v>3751</v>
      </c>
      <c r="AD3105" t="e">
        <f>VLOOKUP(AB3105,#REF!,2,FALSE)</f>
        <v>#REF!</v>
      </c>
      <c r="AE3105" t="e">
        <f>RIGHT(#REF!,(FIND("Complex",#REF!,1)-5))</f>
        <v>#REF!</v>
      </c>
    </row>
    <row r="3106" spans="1:31" x14ac:dyDescent="0.25">
      <c r="A3106">
        <v>1623</v>
      </c>
      <c r="B3106" t="s">
        <v>238</v>
      </c>
      <c r="C3106">
        <v>17</v>
      </c>
      <c r="D3106">
        <v>705</v>
      </c>
      <c r="E3106">
        <v>1623</v>
      </c>
      <c r="F3106">
        <v>2557801</v>
      </c>
      <c r="G3106">
        <v>2646000</v>
      </c>
      <c r="H3106">
        <f t="shared" si="96"/>
        <v>58.000022675736965</v>
      </c>
      <c r="I3106">
        <f t="shared" si="97"/>
        <v>60</v>
      </c>
      <c r="J3106" t="s">
        <v>25</v>
      </c>
      <c r="K3106">
        <v>4</v>
      </c>
      <c r="L3106" t="e">
        <f t="array" ref="L3106">VLOOKUP(J3106:$J$3871&amp;K3106:$K$3871,CHOOSE({1,2},#REF!&amp;#REF!,#REF!),2,0)</f>
        <v>#N/A</v>
      </c>
      <c r="M3106">
        <v>0</v>
      </c>
      <c r="N3106">
        <v>1</v>
      </c>
      <c r="O3106" t="s">
        <v>23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1</v>
      </c>
      <c r="Y3106">
        <v>1</v>
      </c>
      <c r="Z3106">
        <v>1</v>
      </c>
      <c r="AA3106" t="s">
        <v>3825</v>
      </c>
      <c r="AB3106" t="s">
        <v>6495</v>
      </c>
      <c r="AC3106" t="s">
        <v>3825</v>
      </c>
      <c r="AD3106" t="e">
        <f>VLOOKUP(AB3106,#REF!,2,FALSE)</f>
        <v>#REF!</v>
      </c>
      <c r="AE3106" t="e">
        <f>RIGHT(#REF!,(FIND("Complex",#REF!,1)-6))</f>
        <v>#REF!</v>
      </c>
    </row>
    <row r="3107" spans="1:31" x14ac:dyDescent="0.25">
      <c r="A3107">
        <v>1754</v>
      </c>
      <c r="B3107" t="s">
        <v>238</v>
      </c>
      <c r="C3107">
        <v>17</v>
      </c>
      <c r="D3107">
        <v>765</v>
      </c>
      <c r="E3107">
        <v>1754</v>
      </c>
      <c r="F3107">
        <v>2028601</v>
      </c>
      <c r="G3107">
        <v>2116800</v>
      </c>
      <c r="H3107">
        <f t="shared" si="96"/>
        <v>46.000022675736965</v>
      </c>
      <c r="I3107">
        <f t="shared" si="97"/>
        <v>48</v>
      </c>
      <c r="J3107" t="s">
        <v>25</v>
      </c>
      <c r="K3107">
        <v>4</v>
      </c>
      <c r="L3107" t="e">
        <f t="array" ref="L3107">VLOOKUP(J3107:$J$3871&amp;K3107:$K$3871,CHOOSE({1,2},#REF!&amp;#REF!,#REF!),2,0)</f>
        <v>#N/A</v>
      </c>
      <c r="M3107">
        <v>0</v>
      </c>
      <c r="N3107">
        <v>1</v>
      </c>
      <c r="O3107" t="s">
        <v>23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1</v>
      </c>
      <c r="Y3107">
        <v>1</v>
      </c>
      <c r="Z3107">
        <v>1</v>
      </c>
      <c r="AA3107" t="s">
        <v>3906</v>
      </c>
      <c r="AB3107" t="s">
        <v>6541</v>
      </c>
      <c r="AC3107" t="s">
        <v>3906</v>
      </c>
      <c r="AD3107" t="e">
        <f>VLOOKUP(AB3107,#REF!,2,FALSE)</f>
        <v>#REF!</v>
      </c>
      <c r="AE3107" t="e">
        <f>RIGHT(#REF!,(FIND("Complex",#REF!,1)-6))</f>
        <v>#REF!</v>
      </c>
    </row>
    <row r="3108" spans="1:31" x14ac:dyDescent="0.25">
      <c r="A3108">
        <v>3</v>
      </c>
      <c r="B3108" t="s">
        <v>238</v>
      </c>
      <c r="C3108">
        <v>17</v>
      </c>
      <c r="D3108">
        <v>1</v>
      </c>
      <c r="E3108">
        <v>3</v>
      </c>
      <c r="F3108">
        <v>10672201</v>
      </c>
      <c r="G3108">
        <v>10760400</v>
      </c>
      <c r="H3108">
        <f t="shared" si="96"/>
        <v>242.00002267573697</v>
      </c>
      <c r="I3108">
        <f t="shared" si="97"/>
        <v>244</v>
      </c>
      <c r="J3108" t="s">
        <v>25</v>
      </c>
      <c r="K3108">
        <v>4</v>
      </c>
      <c r="L3108" t="e">
        <f t="array" ref="L3108">VLOOKUP(J3108:$J$3871&amp;K3108:$K$3871,CHOOSE({1,2},#REF!&amp;#REF!,#REF!),2,0)</f>
        <v>#N/A</v>
      </c>
      <c r="M3108">
        <v>0</v>
      </c>
      <c r="N3108">
        <v>1</v>
      </c>
      <c r="O3108" t="s">
        <v>23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1</v>
      </c>
      <c r="Y3108">
        <v>1</v>
      </c>
      <c r="Z3108">
        <v>1</v>
      </c>
      <c r="AA3108" t="s">
        <v>4173</v>
      </c>
      <c r="AB3108" t="s">
        <v>6720</v>
      </c>
      <c r="AC3108" t="s">
        <v>4173</v>
      </c>
      <c r="AD3108" t="e">
        <f>VLOOKUP(AB3108,#REF!,2,FALSE)</f>
        <v>#REF!</v>
      </c>
      <c r="AE3108" t="e">
        <f>RIGHT(#REF!,(FIND("Complex",#REF!,1)-2))</f>
        <v>#REF!</v>
      </c>
    </row>
    <row r="3109" spans="1:31" x14ac:dyDescent="0.25">
      <c r="A3109">
        <v>1450</v>
      </c>
      <c r="B3109" t="s">
        <v>238</v>
      </c>
      <c r="C3109">
        <v>17</v>
      </c>
      <c r="D3109">
        <v>633</v>
      </c>
      <c r="E3109">
        <v>1450</v>
      </c>
      <c r="F3109">
        <v>10495801</v>
      </c>
      <c r="G3109">
        <v>10584000</v>
      </c>
      <c r="H3109">
        <f t="shared" si="96"/>
        <v>238.00002267573697</v>
      </c>
      <c r="I3109">
        <f t="shared" si="97"/>
        <v>240</v>
      </c>
      <c r="J3109" t="s">
        <v>25</v>
      </c>
      <c r="K3109">
        <v>4</v>
      </c>
      <c r="L3109" t="e">
        <f t="array" ref="L3109">VLOOKUP(J3109:$J$3871&amp;K3109:$K$3871,CHOOSE({1,2},#REF!&amp;#REF!,#REF!),2,0)</f>
        <v>#N/A</v>
      </c>
      <c r="M3109">
        <v>0</v>
      </c>
      <c r="N3109">
        <v>1</v>
      </c>
      <c r="O3109" t="s">
        <v>23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1</v>
      </c>
      <c r="Y3109">
        <v>1</v>
      </c>
      <c r="Z3109">
        <v>1</v>
      </c>
      <c r="AA3109" t="s">
        <v>4203</v>
      </c>
      <c r="AB3109" t="s">
        <v>6741</v>
      </c>
      <c r="AC3109" t="s">
        <v>4203</v>
      </c>
      <c r="AD3109" t="e">
        <f>VLOOKUP(AB3109,#REF!,2,FALSE)</f>
        <v>#REF!</v>
      </c>
      <c r="AE3109" t="e">
        <f>RIGHT(#REF!,(FIND("Complex",#REF!,1)-5))</f>
        <v>#REF!</v>
      </c>
    </row>
    <row r="3110" spans="1:31" x14ac:dyDescent="0.25">
      <c r="A3110">
        <v>597</v>
      </c>
      <c r="B3110" t="s">
        <v>238</v>
      </c>
      <c r="C3110">
        <v>17</v>
      </c>
      <c r="D3110">
        <v>255</v>
      </c>
      <c r="E3110">
        <v>597</v>
      </c>
      <c r="F3110">
        <v>9525601</v>
      </c>
      <c r="G3110">
        <v>9613800</v>
      </c>
      <c r="H3110">
        <f t="shared" si="96"/>
        <v>216.00002267573697</v>
      </c>
      <c r="I3110">
        <f t="shared" si="97"/>
        <v>218</v>
      </c>
      <c r="J3110" t="s">
        <v>25</v>
      </c>
      <c r="K3110">
        <v>4</v>
      </c>
      <c r="L3110" t="e">
        <f t="array" ref="L3110">VLOOKUP(J3110:$J$3871&amp;K3110:$K$3871,CHOOSE({1,2},#REF!&amp;#REF!,#REF!),2,0)</f>
        <v>#N/A</v>
      </c>
      <c r="M3110">
        <v>0</v>
      </c>
      <c r="N3110">
        <v>1</v>
      </c>
      <c r="O3110" t="s">
        <v>23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1</v>
      </c>
      <c r="Y3110">
        <v>1</v>
      </c>
      <c r="Z3110">
        <v>1</v>
      </c>
      <c r="AA3110" t="s">
        <v>4262</v>
      </c>
      <c r="AB3110" t="s">
        <v>645</v>
      </c>
      <c r="AC3110" t="s">
        <v>4262</v>
      </c>
      <c r="AD3110" t="e">
        <f>VLOOKUP(AB3110,#REF!,2,FALSE)</f>
        <v>#REF!</v>
      </c>
      <c r="AE3110" t="e">
        <f>RIGHT(#REF!,(FIND("Complex",#REF!,1)-4))</f>
        <v>#REF!</v>
      </c>
    </row>
    <row r="3111" spans="1:31" x14ac:dyDescent="0.25">
      <c r="A3111">
        <v>923</v>
      </c>
      <c r="B3111" t="s">
        <v>238</v>
      </c>
      <c r="C3111">
        <v>17</v>
      </c>
      <c r="D3111">
        <v>406</v>
      </c>
      <c r="E3111">
        <v>923</v>
      </c>
      <c r="F3111">
        <v>9437401</v>
      </c>
      <c r="G3111">
        <v>9525600</v>
      </c>
      <c r="H3111">
        <f t="shared" si="96"/>
        <v>214.00002267573697</v>
      </c>
      <c r="I3111">
        <f t="shared" si="97"/>
        <v>216</v>
      </c>
      <c r="J3111" t="s">
        <v>25</v>
      </c>
      <c r="K3111">
        <v>4</v>
      </c>
      <c r="L3111" t="e">
        <f t="array" ref="L3111">VLOOKUP(J3111:$J$3871&amp;K3111:$K$3871,CHOOSE({1,2},#REF!&amp;#REF!,#REF!),2,0)</f>
        <v>#N/A</v>
      </c>
      <c r="M3111">
        <v>0</v>
      </c>
      <c r="N3111">
        <v>1</v>
      </c>
      <c r="O3111" t="s">
        <v>23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1</v>
      </c>
      <c r="Y3111">
        <v>1</v>
      </c>
      <c r="Z3111">
        <v>1</v>
      </c>
      <c r="AA3111" t="s">
        <v>4266</v>
      </c>
      <c r="AB3111" t="s">
        <v>6779</v>
      </c>
      <c r="AC3111" t="s">
        <v>4266</v>
      </c>
      <c r="AD3111" t="e">
        <f>VLOOKUP(AB3111,#REF!,2,FALSE)</f>
        <v>#REF!</v>
      </c>
      <c r="AE3111" t="e">
        <f>RIGHT(#REF!,(FIND("Complex",#REF!,1)-4))</f>
        <v>#REF!</v>
      </c>
    </row>
    <row r="3112" spans="1:31" x14ac:dyDescent="0.25">
      <c r="A3112">
        <v>513</v>
      </c>
      <c r="B3112" t="s">
        <v>238</v>
      </c>
      <c r="C3112">
        <v>17</v>
      </c>
      <c r="D3112">
        <v>214</v>
      </c>
      <c r="E3112">
        <v>513</v>
      </c>
      <c r="F3112">
        <v>8731801</v>
      </c>
      <c r="G3112">
        <v>8820000</v>
      </c>
      <c r="H3112">
        <f t="shared" si="96"/>
        <v>198.00002267573697</v>
      </c>
      <c r="I3112">
        <f t="shared" si="97"/>
        <v>200</v>
      </c>
      <c r="J3112" t="s">
        <v>25</v>
      </c>
      <c r="K3112">
        <v>4</v>
      </c>
      <c r="L3112" t="e">
        <f t="array" ref="L3112">VLOOKUP(J3112:$J$3871&amp;K3112:$K$3871,CHOOSE({1,2},#REF!&amp;#REF!,#REF!),2,0)</f>
        <v>#N/A</v>
      </c>
      <c r="M3112">
        <v>0</v>
      </c>
      <c r="N3112">
        <v>1</v>
      </c>
      <c r="O3112" t="s">
        <v>23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1</v>
      </c>
      <c r="Y3112">
        <v>1</v>
      </c>
      <c r="Z3112">
        <v>1</v>
      </c>
      <c r="AA3112" t="s">
        <v>4341</v>
      </c>
      <c r="AB3112" t="s">
        <v>6819</v>
      </c>
      <c r="AC3112" t="s">
        <v>4341</v>
      </c>
      <c r="AD3112" t="e">
        <f>VLOOKUP(AB3112,#REF!,2,FALSE)</f>
        <v>#REF!</v>
      </c>
      <c r="AE3112" t="e">
        <f>RIGHT(#REF!,(FIND("Complex",#REF!,1)-4))</f>
        <v>#REF!</v>
      </c>
    </row>
    <row r="3113" spans="1:31" x14ac:dyDescent="0.25">
      <c r="A3113">
        <v>1641</v>
      </c>
      <c r="B3113" t="s">
        <v>238</v>
      </c>
      <c r="C3113">
        <v>17</v>
      </c>
      <c r="D3113">
        <v>716</v>
      </c>
      <c r="E3113">
        <v>1641</v>
      </c>
      <c r="F3113">
        <v>8643601</v>
      </c>
      <c r="G3113">
        <v>8731800</v>
      </c>
      <c r="H3113">
        <f t="shared" si="96"/>
        <v>196.00002267573697</v>
      </c>
      <c r="I3113">
        <f t="shared" si="97"/>
        <v>198</v>
      </c>
      <c r="J3113" t="s">
        <v>25</v>
      </c>
      <c r="K3113">
        <v>4</v>
      </c>
      <c r="L3113" t="e">
        <f t="array" ref="L3113">VLOOKUP(J3113:$J$3871&amp;K3113:$K$3871,CHOOSE({1,2},#REF!&amp;#REF!,#REF!),2,0)</f>
        <v>#N/A</v>
      </c>
      <c r="M3113">
        <v>0</v>
      </c>
      <c r="N3113">
        <v>1</v>
      </c>
      <c r="O3113" t="s">
        <v>23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1</v>
      </c>
      <c r="Y3113">
        <v>1</v>
      </c>
      <c r="Z3113">
        <v>1</v>
      </c>
      <c r="AA3113" t="s">
        <v>4347</v>
      </c>
      <c r="AB3113" t="s">
        <v>6824</v>
      </c>
      <c r="AC3113" t="s">
        <v>4347</v>
      </c>
      <c r="AD3113" t="e">
        <f>VLOOKUP(AB3113,#REF!,2,FALSE)</f>
        <v>#REF!</v>
      </c>
      <c r="AE3113" t="e">
        <f>RIGHT(#REF!,(FIND("Complex",#REF!,1)-5))</f>
        <v>#REF!</v>
      </c>
    </row>
    <row r="3114" spans="1:31" x14ac:dyDescent="0.25">
      <c r="A3114">
        <v>1210</v>
      </c>
      <c r="B3114" t="s">
        <v>238</v>
      </c>
      <c r="C3114">
        <v>17</v>
      </c>
      <c r="D3114">
        <v>535</v>
      </c>
      <c r="E3114">
        <v>1210</v>
      </c>
      <c r="F3114">
        <v>8202601</v>
      </c>
      <c r="G3114">
        <v>8290800</v>
      </c>
      <c r="H3114">
        <f t="shared" si="96"/>
        <v>186.00002267573697</v>
      </c>
      <c r="I3114">
        <f t="shared" si="97"/>
        <v>188</v>
      </c>
      <c r="J3114" t="s">
        <v>25</v>
      </c>
      <c r="K3114">
        <v>4</v>
      </c>
      <c r="L3114" t="e">
        <f t="array" ref="L3114">VLOOKUP(J3114:$J$3871&amp;K3114:$K$3871,CHOOSE({1,2},#REF!&amp;#REF!,#REF!),2,0)</f>
        <v>#N/A</v>
      </c>
      <c r="M3114">
        <v>0</v>
      </c>
      <c r="N3114">
        <v>1</v>
      </c>
      <c r="O3114" t="s">
        <v>23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1</v>
      </c>
      <c r="Y3114">
        <v>1</v>
      </c>
      <c r="Z3114">
        <v>1</v>
      </c>
      <c r="AA3114" t="s">
        <v>4384</v>
      </c>
      <c r="AB3114" t="s">
        <v>6849</v>
      </c>
      <c r="AC3114" t="s">
        <v>4384</v>
      </c>
      <c r="AD3114" t="e">
        <f>VLOOKUP(AB3114,#REF!,2,FALSE)</f>
        <v>#REF!</v>
      </c>
      <c r="AE3114" t="e">
        <f>RIGHT(#REF!,(FIND("Complex",#REF!,1)-5))</f>
        <v>#REF!</v>
      </c>
    </row>
    <row r="3115" spans="1:31" x14ac:dyDescent="0.25">
      <c r="A3115">
        <v>177</v>
      </c>
      <c r="B3115" t="s">
        <v>238</v>
      </c>
      <c r="C3115">
        <v>17</v>
      </c>
      <c r="D3115">
        <v>75</v>
      </c>
      <c r="E3115">
        <v>177</v>
      </c>
      <c r="F3115">
        <v>7320601</v>
      </c>
      <c r="G3115">
        <v>7408800</v>
      </c>
      <c r="H3115">
        <f t="shared" si="96"/>
        <v>166.00002267573697</v>
      </c>
      <c r="I3115">
        <f t="shared" si="97"/>
        <v>168</v>
      </c>
      <c r="J3115" t="s">
        <v>25</v>
      </c>
      <c r="K3115">
        <v>4</v>
      </c>
      <c r="L3115" t="e">
        <f t="array" ref="L3115">VLOOKUP(J3115:$J$3871&amp;K3115:$K$3871,CHOOSE({1,2},#REF!&amp;#REF!,#REF!),2,0)</f>
        <v>#N/A</v>
      </c>
      <c r="M3115">
        <v>0</v>
      </c>
      <c r="N3115">
        <v>1</v>
      </c>
      <c r="O3115" t="s">
        <v>23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1</v>
      </c>
      <c r="Y3115">
        <v>1</v>
      </c>
      <c r="Z3115">
        <v>1</v>
      </c>
      <c r="AA3115" t="s">
        <v>4460</v>
      </c>
      <c r="AB3115" t="s">
        <v>6896</v>
      </c>
      <c r="AC3115" t="s">
        <v>4460</v>
      </c>
      <c r="AD3115" t="e">
        <f>VLOOKUP(AB3115,#REF!,2,FALSE)</f>
        <v>#REF!</v>
      </c>
      <c r="AE3115" t="e">
        <f>RIGHT(#REF!,(FIND("Complex",#REF!,1)-4))</f>
        <v>#REF!</v>
      </c>
    </row>
    <row r="3116" spans="1:31" x14ac:dyDescent="0.25">
      <c r="A3116">
        <v>1012</v>
      </c>
      <c r="B3116" t="s">
        <v>238</v>
      </c>
      <c r="C3116">
        <v>17</v>
      </c>
      <c r="D3116">
        <v>448</v>
      </c>
      <c r="E3116">
        <v>1012</v>
      </c>
      <c r="F3116">
        <v>7056001</v>
      </c>
      <c r="G3116">
        <v>7144200</v>
      </c>
      <c r="H3116">
        <f t="shared" si="96"/>
        <v>160.00002267573697</v>
      </c>
      <c r="I3116">
        <f t="shared" si="97"/>
        <v>162</v>
      </c>
      <c r="J3116" t="s">
        <v>25</v>
      </c>
      <c r="K3116">
        <v>4</v>
      </c>
      <c r="L3116" t="e">
        <f t="array" ref="L3116">VLOOKUP(J3116:$J$3871&amp;K3116:$K$3871,CHOOSE({1,2},#REF!&amp;#REF!,#REF!),2,0)</f>
        <v>#N/A</v>
      </c>
      <c r="M3116">
        <v>0</v>
      </c>
      <c r="N3116">
        <v>1</v>
      </c>
      <c r="O3116" t="s">
        <v>23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1</v>
      </c>
      <c r="Y3116">
        <v>1</v>
      </c>
      <c r="Z3116">
        <v>1</v>
      </c>
      <c r="AA3116" t="s">
        <v>4484</v>
      </c>
      <c r="AB3116" t="s">
        <v>6913</v>
      </c>
      <c r="AC3116" t="s">
        <v>4484</v>
      </c>
      <c r="AD3116" t="e">
        <f>VLOOKUP(AB3116,#REF!,2,FALSE)</f>
        <v>#REF!</v>
      </c>
      <c r="AE3116" t="e">
        <f>RIGHT(#REF!,(FIND("Complex",#REF!,1)-5))</f>
        <v>#REF!</v>
      </c>
    </row>
    <row r="3117" spans="1:31" x14ac:dyDescent="0.25">
      <c r="A3117">
        <v>1444</v>
      </c>
      <c r="B3117" t="s">
        <v>238</v>
      </c>
      <c r="C3117">
        <v>17</v>
      </c>
      <c r="D3117">
        <v>631</v>
      </c>
      <c r="E3117">
        <v>1444</v>
      </c>
      <c r="F3117">
        <v>6791401</v>
      </c>
      <c r="G3117">
        <v>6879600</v>
      </c>
      <c r="H3117">
        <f t="shared" si="96"/>
        <v>154.00002267573697</v>
      </c>
      <c r="I3117">
        <f t="shared" si="97"/>
        <v>156</v>
      </c>
      <c r="J3117" t="s">
        <v>25</v>
      </c>
      <c r="K3117">
        <v>4</v>
      </c>
      <c r="L3117" t="e">
        <f t="array" ref="L3117">VLOOKUP(J3117:$J$3871&amp;K3117:$K$3871,CHOOSE({1,2},#REF!&amp;#REF!,#REF!),2,0)</f>
        <v>#N/A</v>
      </c>
      <c r="M3117">
        <v>0</v>
      </c>
      <c r="N3117">
        <v>1</v>
      </c>
      <c r="O3117" t="s">
        <v>23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1</v>
      </c>
      <c r="Y3117">
        <v>1</v>
      </c>
      <c r="Z3117">
        <v>1</v>
      </c>
      <c r="AA3117" t="s">
        <v>4532</v>
      </c>
      <c r="AB3117" t="s">
        <v>6947</v>
      </c>
      <c r="AC3117" t="s">
        <v>4532</v>
      </c>
      <c r="AD3117" t="e">
        <f>VLOOKUP(AB3117,#REF!,2,FALSE)</f>
        <v>#REF!</v>
      </c>
      <c r="AE3117" t="e">
        <f>RIGHT(#REF!,(FIND("Complex",#REF!,1)-5))</f>
        <v>#REF!</v>
      </c>
    </row>
    <row r="3118" spans="1:31" x14ac:dyDescent="0.25">
      <c r="A3118">
        <v>845</v>
      </c>
      <c r="B3118" t="s">
        <v>238</v>
      </c>
      <c r="C3118">
        <v>17</v>
      </c>
      <c r="D3118">
        <v>380</v>
      </c>
      <c r="E3118">
        <v>845</v>
      </c>
      <c r="F3118">
        <v>6438601</v>
      </c>
      <c r="G3118">
        <v>6526800</v>
      </c>
      <c r="H3118">
        <f t="shared" si="96"/>
        <v>146.00002267573697</v>
      </c>
      <c r="I3118">
        <f t="shared" si="97"/>
        <v>148</v>
      </c>
      <c r="J3118" t="s">
        <v>25</v>
      </c>
      <c r="K3118">
        <v>4</v>
      </c>
      <c r="L3118" t="e">
        <f t="array" ref="L3118">VLOOKUP(J3118:$J$3871&amp;K3118:$K$3871,CHOOSE({1,2},#REF!&amp;#REF!,#REF!),2,0)</f>
        <v>#N/A</v>
      </c>
      <c r="M3118">
        <v>0</v>
      </c>
      <c r="N3118">
        <v>1</v>
      </c>
      <c r="O3118" t="s">
        <v>23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1</v>
      </c>
      <c r="Y3118">
        <v>1</v>
      </c>
      <c r="Z3118">
        <v>1</v>
      </c>
      <c r="AA3118" t="s">
        <v>4574</v>
      </c>
      <c r="AB3118" t="s">
        <v>6976</v>
      </c>
      <c r="AC3118" t="s">
        <v>4574</v>
      </c>
      <c r="AD3118" t="e">
        <f>VLOOKUP(AB3118,#REF!,2,FALSE)</f>
        <v>#REF!</v>
      </c>
      <c r="AE3118" t="e">
        <f>RIGHT(#REF!,(FIND("Complex",#REF!,1)-4))</f>
        <v>#REF!</v>
      </c>
    </row>
    <row r="3119" spans="1:31" x14ac:dyDescent="0.25">
      <c r="A3119">
        <v>1321</v>
      </c>
      <c r="B3119" t="s">
        <v>238</v>
      </c>
      <c r="C3119">
        <v>17</v>
      </c>
      <c r="D3119">
        <v>574</v>
      </c>
      <c r="E3119">
        <v>1321</v>
      </c>
      <c r="F3119">
        <v>6174001</v>
      </c>
      <c r="G3119">
        <v>6262200</v>
      </c>
      <c r="H3119">
        <f t="shared" si="96"/>
        <v>140.00002267573697</v>
      </c>
      <c r="I3119">
        <f t="shared" si="97"/>
        <v>142</v>
      </c>
      <c r="J3119" t="s">
        <v>25</v>
      </c>
      <c r="K3119">
        <v>4</v>
      </c>
      <c r="L3119" t="e">
        <f t="array" ref="L3119">VLOOKUP(J3119:$J$3871&amp;K3119:$K$3871,CHOOSE({1,2},#REF!&amp;#REF!,#REF!),2,0)</f>
        <v>#N/A</v>
      </c>
      <c r="M3119">
        <v>0</v>
      </c>
      <c r="N3119">
        <v>1</v>
      </c>
      <c r="O3119" t="s">
        <v>23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1</v>
      </c>
      <c r="Y3119">
        <v>1</v>
      </c>
      <c r="Z3119">
        <v>1</v>
      </c>
      <c r="AA3119" t="s">
        <v>4602</v>
      </c>
      <c r="AB3119" t="s">
        <v>646</v>
      </c>
      <c r="AC3119" t="s">
        <v>4602</v>
      </c>
      <c r="AD3119" t="e">
        <f>VLOOKUP(AB3119,#REF!,2,FALSE)</f>
        <v>#REF!</v>
      </c>
      <c r="AE3119" t="e">
        <f>RIGHT(#REF!,(FIND("Complex",#REF!,1)-5))</f>
        <v>#REF!</v>
      </c>
    </row>
    <row r="3120" spans="1:31" x14ac:dyDescent="0.25">
      <c r="A3120">
        <v>192</v>
      </c>
      <c r="B3120" t="s">
        <v>239</v>
      </c>
      <c r="C3120">
        <v>18</v>
      </c>
      <c r="D3120">
        <v>79</v>
      </c>
      <c r="E3120">
        <v>192</v>
      </c>
      <c r="F3120">
        <v>3087001</v>
      </c>
      <c r="G3120">
        <v>3175200</v>
      </c>
      <c r="H3120">
        <f t="shared" si="96"/>
        <v>70.000022675736957</v>
      </c>
      <c r="I3120">
        <f t="shared" si="97"/>
        <v>72</v>
      </c>
      <c r="J3120" t="s">
        <v>25</v>
      </c>
      <c r="K3120">
        <v>4</v>
      </c>
      <c r="L3120" t="e">
        <f t="array" ref="L3120">VLOOKUP(J3120:$J$3871&amp;K3120:$K$3871,CHOOSE({1,2},#REF!&amp;#REF!,#REF!),2,0)</f>
        <v>#N/A</v>
      </c>
      <c r="M3120">
        <v>0</v>
      </c>
      <c r="N3120">
        <v>1</v>
      </c>
      <c r="O3120" t="s">
        <v>23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1</v>
      </c>
      <c r="Y3120">
        <v>1</v>
      </c>
      <c r="Z3120">
        <v>1</v>
      </c>
      <c r="AA3120" t="s">
        <v>3713</v>
      </c>
      <c r="AB3120" t="s">
        <v>6429</v>
      </c>
      <c r="AC3120" t="s">
        <v>3713</v>
      </c>
      <c r="AD3120" t="e">
        <f>VLOOKUP(AB3120,#REF!,2,FALSE)</f>
        <v>#REF!</v>
      </c>
      <c r="AE3120" t="e">
        <f>RIGHT(#REF!,(FIND("Complex",#REF!,1)-5))</f>
        <v>#REF!</v>
      </c>
    </row>
    <row r="3121" spans="1:31" x14ac:dyDescent="0.25">
      <c r="A3121">
        <v>1296</v>
      </c>
      <c r="B3121" t="s">
        <v>239</v>
      </c>
      <c r="C3121">
        <v>18</v>
      </c>
      <c r="D3121">
        <v>563</v>
      </c>
      <c r="E3121">
        <v>1296</v>
      </c>
      <c r="F3121">
        <v>2646001</v>
      </c>
      <c r="G3121">
        <v>2734200</v>
      </c>
      <c r="H3121">
        <f t="shared" si="96"/>
        <v>60.000022675736965</v>
      </c>
      <c r="I3121">
        <f t="shared" si="97"/>
        <v>62</v>
      </c>
      <c r="J3121" t="s">
        <v>25</v>
      </c>
      <c r="K3121">
        <v>4</v>
      </c>
      <c r="L3121" t="e">
        <f t="array" ref="L3121">VLOOKUP(J3121:$J$3871&amp;K3121:$K$3871,CHOOSE({1,2},#REF!&amp;#REF!,#REF!),2,0)</f>
        <v>#N/A</v>
      </c>
      <c r="M3121">
        <v>0</v>
      </c>
      <c r="N3121">
        <v>1</v>
      </c>
      <c r="O3121" t="s">
        <v>23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1</v>
      </c>
      <c r="Y3121">
        <v>1</v>
      </c>
      <c r="Z3121">
        <v>1</v>
      </c>
      <c r="AA3121" t="s">
        <v>3793</v>
      </c>
      <c r="AB3121" t="s">
        <v>6482</v>
      </c>
      <c r="AC3121" t="s">
        <v>3793</v>
      </c>
      <c r="AD3121" t="e">
        <f>VLOOKUP(AB3121,#REF!,2,FALSE)</f>
        <v>#REF!</v>
      </c>
      <c r="AE3121" t="e">
        <f>RIGHT(#REF!,(FIND("Complex",#REF!,1)-6))</f>
        <v>#REF!</v>
      </c>
    </row>
    <row r="3122" spans="1:31" x14ac:dyDescent="0.25">
      <c r="A3122">
        <v>1640</v>
      </c>
      <c r="B3122" t="s">
        <v>239</v>
      </c>
      <c r="C3122">
        <v>18</v>
      </c>
      <c r="D3122">
        <v>715</v>
      </c>
      <c r="E3122">
        <v>1640</v>
      </c>
      <c r="F3122">
        <v>2557801</v>
      </c>
      <c r="G3122">
        <v>2646000</v>
      </c>
      <c r="H3122">
        <f t="shared" si="96"/>
        <v>58.000022675736965</v>
      </c>
      <c r="I3122">
        <f t="shared" si="97"/>
        <v>60</v>
      </c>
      <c r="J3122" t="s">
        <v>25</v>
      </c>
      <c r="K3122">
        <v>4</v>
      </c>
      <c r="L3122" t="e">
        <f t="array" ref="L3122">VLOOKUP(J3122:$J$3871&amp;K3122:$K$3871,CHOOSE({1,2},#REF!&amp;#REF!,#REF!),2,0)</f>
        <v>#N/A</v>
      </c>
      <c r="M3122">
        <v>0</v>
      </c>
      <c r="N3122">
        <v>1</v>
      </c>
      <c r="O3122" t="s">
        <v>23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1</v>
      </c>
      <c r="Y3122">
        <v>1</v>
      </c>
      <c r="Z3122">
        <v>1</v>
      </c>
      <c r="AA3122" t="s">
        <v>3824</v>
      </c>
      <c r="AB3122" t="s">
        <v>6494</v>
      </c>
      <c r="AC3122" t="s">
        <v>3824</v>
      </c>
      <c r="AD3122" t="e">
        <f>VLOOKUP(AB3122,#REF!,2,FALSE)</f>
        <v>#REF!</v>
      </c>
      <c r="AE3122" t="e">
        <f>RIGHT(#REF!,(FIND("Complex",#REF!,1)-6))</f>
        <v>#REF!</v>
      </c>
    </row>
    <row r="3123" spans="1:31" x14ac:dyDescent="0.25">
      <c r="A3123">
        <v>218</v>
      </c>
      <c r="B3123" t="s">
        <v>239</v>
      </c>
      <c r="C3123">
        <v>18</v>
      </c>
      <c r="D3123">
        <v>91</v>
      </c>
      <c r="E3123">
        <v>218</v>
      </c>
      <c r="F3123">
        <v>13141801</v>
      </c>
      <c r="G3123">
        <v>13230000</v>
      </c>
      <c r="H3123">
        <f t="shared" si="96"/>
        <v>298.00002267573694</v>
      </c>
      <c r="I3123">
        <f t="shared" si="97"/>
        <v>300</v>
      </c>
      <c r="J3123" t="s">
        <v>25</v>
      </c>
      <c r="K3123">
        <v>4</v>
      </c>
      <c r="L3123" t="e">
        <f t="array" ref="L3123">VLOOKUP(J3123:$J$3871&amp;K3123:$K$3871,CHOOSE({1,2},#REF!&amp;#REF!,#REF!),2,0)</f>
        <v>#N/A</v>
      </c>
      <c r="M3123">
        <v>0</v>
      </c>
      <c r="N3123">
        <v>1</v>
      </c>
      <c r="O3123" t="s">
        <v>23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1</v>
      </c>
      <c r="Y3123">
        <v>1</v>
      </c>
      <c r="Z3123">
        <v>1</v>
      </c>
      <c r="AA3123" t="s">
        <v>4070</v>
      </c>
      <c r="AB3123" t="s">
        <v>6641</v>
      </c>
      <c r="AC3123" t="s">
        <v>4070</v>
      </c>
      <c r="AD3123" t="e">
        <f>VLOOKUP(AB3123,#REF!,2,FALSE)</f>
        <v>#REF!</v>
      </c>
      <c r="AE3123" t="e">
        <f>RIGHT(#REF!,(FIND("Complex",#REF!,1)-4))</f>
        <v>#REF!</v>
      </c>
    </row>
    <row r="3124" spans="1:31" x14ac:dyDescent="0.25">
      <c r="A3124">
        <v>1478</v>
      </c>
      <c r="B3124" t="s">
        <v>239</v>
      </c>
      <c r="C3124">
        <v>18</v>
      </c>
      <c r="D3124">
        <v>647</v>
      </c>
      <c r="E3124">
        <v>1478</v>
      </c>
      <c r="F3124">
        <v>12524401</v>
      </c>
      <c r="G3124">
        <v>12612600</v>
      </c>
      <c r="H3124">
        <f t="shared" si="96"/>
        <v>284.00002267573694</v>
      </c>
      <c r="I3124">
        <f t="shared" si="97"/>
        <v>286</v>
      </c>
      <c r="J3124" t="s">
        <v>25</v>
      </c>
      <c r="K3124">
        <v>4</v>
      </c>
      <c r="L3124" t="e">
        <f t="array" ref="L3124">VLOOKUP(J3124:$J$3871&amp;K3124:$K$3871,CHOOSE({1,2},#REF!&amp;#REF!,#REF!),2,0)</f>
        <v>#N/A</v>
      </c>
      <c r="M3124">
        <v>0</v>
      </c>
      <c r="N3124">
        <v>1</v>
      </c>
      <c r="O3124" t="s">
        <v>23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1</v>
      </c>
      <c r="Y3124">
        <v>1</v>
      </c>
      <c r="Z3124">
        <v>1</v>
      </c>
      <c r="AA3124" t="s">
        <v>4084</v>
      </c>
      <c r="AB3124" t="s">
        <v>6651</v>
      </c>
      <c r="AC3124" t="s">
        <v>4084</v>
      </c>
      <c r="AD3124" t="e">
        <f>VLOOKUP(AB3124,#REF!,2,FALSE)</f>
        <v>#REF!</v>
      </c>
      <c r="AE3124" t="e">
        <f>RIGHT(#REF!,(FIND("Complex",#REF!,1)-5))</f>
        <v>#REF!</v>
      </c>
    </row>
    <row r="3125" spans="1:31" x14ac:dyDescent="0.25">
      <c r="A3125">
        <v>23</v>
      </c>
      <c r="B3125" t="s">
        <v>239</v>
      </c>
      <c r="C3125">
        <v>18</v>
      </c>
      <c r="D3125">
        <v>8</v>
      </c>
      <c r="E3125">
        <v>23</v>
      </c>
      <c r="F3125">
        <v>12436201</v>
      </c>
      <c r="G3125">
        <v>12524400</v>
      </c>
      <c r="H3125">
        <f t="shared" si="96"/>
        <v>282.00002267573694</v>
      </c>
      <c r="I3125">
        <f t="shared" si="97"/>
        <v>284</v>
      </c>
      <c r="J3125" t="s">
        <v>25</v>
      </c>
      <c r="K3125">
        <v>4</v>
      </c>
      <c r="L3125" t="e">
        <f t="array" ref="L3125">VLOOKUP(J3125:$J$3871&amp;K3125:$K$3871,CHOOSE({1,2},#REF!&amp;#REF!,#REF!),2,0)</f>
        <v>#N/A</v>
      </c>
      <c r="M3125">
        <v>0</v>
      </c>
      <c r="N3125">
        <v>1</v>
      </c>
      <c r="O3125" t="s">
        <v>23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1</v>
      </c>
      <c r="Y3125">
        <v>1</v>
      </c>
      <c r="Z3125">
        <v>1</v>
      </c>
      <c r="AA3125" t="s">
        <v>4088</v>
      </c>
      <c r="AB3125" t="s">
        <v>6655</v>
      </c>
      <c r="AC3125" t="s">
        <v>4088</v>
      </c>
      <c r="AD3125" t="e">
        <f>VLOOKUP(AB3125,#REF!,2,FALSE)</f>
        <v>#REF!</v>
      </c>
      <c r="AE3125" t="e">
        <f>RIGHT(#REF!,(FIND("Complex",#REF!,1)-3))</f>
        <v>#REF!</v>
      </c>
    </row>
    <row r="3126" spans="1:31" x14ac:dyDescent="0.25">
      <c r="A3126">
        <v>1154</v>
      </c>
      <c r="B3126" t="s">
        <v>239</v>
      </c>
      <c r="C3126">
        <v>18</v>
      </c>
      <c r="D3126">
        <v>514</v>
      </c>
      <c r="E3126">
        <v>1154</v>
      </c>
      <c r="F3126">
        <v>7232401</v>
      </c>
      <c r="G3126">
        <v>7320600</v>
      </c>
      <c r="H3126">
        <f t="shared" si="96"/>
        <v>164.00002267573697</v>
      </c>
      <c r="I3126">
        <f t="shared" si="97"/>
        <v>166</v>
      </c>
      <c r="J3126" t="s">
        <v>25</v>
      </c>
      <c r="K3126">
        <v>4</v>
      </c>
      <c r="L3126" t="e">
        <f t="array" ref="L3126">VLOOKUP(J3126:$J$3871&amp;K3126:$K$3871,CHOOSE({1,2},#REF!&amp;#REF!,#REF!),2,0)</f>
        <v>#N/A</v>
      </c>
      <c r="M3126">
        <v>0</v>
      </c>
      <c r="N3126">
        <v>1</v>
      </c>
      <c r="O3126" t="s">
        <v>23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1</v>
      </c>
      <c r="Y3126">
        <v>1</v>
      </c>
      <c r="Z3126">
        <v>1</v>
      </c>
      <c r="AA3126" t="s">
        <v>4466</v>
      </c>
      <c r="AB3126" t="s">
        <v>6899</v>
      </c>
      <c r="AC3126" t="s">
        <v>4466</v>
      </c>
      <c r="AD3126" t="e">
        <f>VLOOKUP(AB3126,#REF!,2,FALSE)</f>
        <v>#REF!</v>
      </c>
      <c r="AE3126" t="e">
        <f>RIGHT(#REF!,(FIND("Complex",#REF!,1)-5))</f>
        <v>#REF!</v>
      </c>
    </row>
    <row r="3127" spans="1:31" x14ac:dyDescent="0.25">
      <c r="A3127">
        <v>1113</v>
      </c>
      <c r="B3127" t="s">
        <v>239</v>
      </c>
      <c r="C3127">
        <v>18</v>
      </c>
      <c r="D3127">
        <v>497</v>
      </c>
      <c r="E3127">
        <v>1113</v>
      </c>
      <c r="F3127">
        <v>6262201</v>
      </c>
      <c r="G3127">
        <v>6350400</v>
      </c>
      <c r="H3127">
        <f t="shared" si="96"/>
        <v>142.00002267573697</v>
      </c>
      <c r="I3127">
        <f t="shared" si="97"/>
        <v>144</v>
      </c>
      <c r="J3127" t="s">
        <v>25</v>
      </c>
      <c r="K3127">
        <v>4</v>
      </c>
      <c r="L3127" t="e">
        <f t="array" ref="L3127">VLOOKUP(J3127:$J$3871&amp;K3127:$K$3871,CHOOSE({1,2},#REF!&amp;#REF!,#REF!),2,0)</f>
        <v>#N/A</v>
      </c>
      <c r="M3127">
        <v>0</v>
      </c>
      <c r="N3127">
        <v>1</v>
      </c>
      <c r="O3127" t="s">
        <v>23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1</v>
      </c>
      <c r="Y3127">
        <v>1</v>
      </c>
      <c r="Z3127">
        <v>1</v>
      </c>
      <c r="AA3127" t="s">
        <v>4592</v>
      </c>
      <c r="AB3127" t="s">
        <v>6989</v>
      </c>
      <c r="AC3127" t="s">
        <v>4592</v>
      </c>
      <c r="AD3127" t="e">
        <f>VLOOKUP(AB3127,#REF!,2,FALSE)</f>
        <v>#REF!</v>
      </c>
      <c r="AE3127" t="e">
        <f>RIGHT(#REF!,(FIND("Complex",#REF!,1)-5))</f>
        <v>#REF!</v>
      </c>
    </row>
    <row r="3128" spans="1:31" x14ac:dyDescent="0.25">
      <c r="A3128">
        <v>712</v>
      </c>
      <c r="B3128" t="s">
        <v>239</v>
      </c>
      <c r="C3128">
        <v>18</v>
      </c>
      <c r="D3128">
        <v>313</v>
      </c>
      <c r="E3128">
        <v>712</v>
      </c>
      <c r="F3128">
        <v>4851001</v>
      </c>
      <c r="G3128">
        <v>4939200</v>
      </c>
      <c r="H3128">
        <f t="shared" si="96"/>
        <v>110.00002267573696</v>
      </c>
      <c r="I3128">
        <f t="shared" si="97"/>
        <v>112</v>
      </c>
      <c r="J3128" t="s">
        <v>25</v>
      </c>
      <c r="K3128">
        <v>4</v>
      </c>
      <c r="L3128" t="e">
        <f t="array" ref="L3128">VLOOKUP(J3128:$J$3871&amp;K3128:$K$3871,CHOOSE({1,2},#REF!&amp;#REF!,#REF!),2,0)</f>
        <v>#N/A</v>
      </c>
      <c r="M3128">
        <v>0</v>
      </c>
      <c r="N3128">
        <v>1</v>
      </c>
      <c r="O3128" t="s">
        <v>23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1</v>
      </c>
      <c r="Y3128">
        <v>1</v>
      </c>
      <c r="Z3128">
        <v>1</v>
      </c>
      <c r="AA3128" t="s">
        <v>4786</v>
      </c>
      <c r="AB3128" t="s">
        <v>7102</v>
      </c>
      <c r="AC3128" t="s">
        <v>4786</v>
      </c>
      <c r="AD3128" t="e">
        <f>VLOOKUP(AB3128,#REF!,2,FALSE)</f>
        <v>#REF!</v>
      </c>
      <c r="AE3128" t="e">
        <f>RIGHT(#REF!,(FIND("Complex",#REF!,1)-4))</f>
        <v>#REF!</v>
      </c>
    </row>
    <row r="3129" spans="1:31" x14ac:dyDescent="0.25">
      <c r="A3129">
        <v>738</v>
      </c>
      <c r="B3129" t="s">
        <v>43</v>
      </c>
      <c r="C3129">
        <v>19</v>
      </c>
      <c r="D3129">
        <v>325</v>
      </c>
      <c r="E3129">
        <v>738</v>
      </c>
      <c r="F3129">
        <v>6174001</v>
      </c>
      <c r="G3129">
        <v>6262200</v>
      </c>
      <c r="H3129">
        <f t="shared" si="96"/>
        <v>140.00002267573697</v>
      </c>
      <c r="I3129">
        <f t="shared" si="97"/>
        <v>142</v>
      </c>
      <c r="J3129" t="s">
        <v>25</v>
      </c>
      <c r="K3129">
        <v>4</v>
      </c>
      <c r="L3129" t="e">
        <f t="array" ref="L3129">VLOOKUP(J3129:$J$3871&amp;K3129:$K$3871,CHOOSE({1,2},#REF!&amp;#REF!,#REF!),2,0)</f>
        <v>#N/A</v>
      </c>
      <c r="M3129">
        <v>0</v>
      </c>
      <c r="N3129">
        <v>1</v>
      </c>
      <c r="O3129" t="s">
        <v>23</v>
      </c>
      <c r="P3129">
        <v>0</v>
      </c>
      <c r="Q3129">
        <v>1</v>
      </c>
      <c r="R3129">
        <v>1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1</v>
      </c>
      <c r="Y3129">
        <v>0</v>
      </c>
      <c r="Z3129">
        <v>0</v>
      </c>
      <c r="AA3129" t="s">
        <v>4601</v>
      </c>
      <c r="AB3129" t="s">
        <v>6994</v>
      </c>
      <c r="AC3129" t="s">
        <v>4601</v>
      </c>
      <c r="AD3129" t="e">
        <f>VLOOKUP(AB3129,#REF!,2,FALSE)</f>
        <v>#REF!</v>
      </c>
      <c r="AE3129" t="e">
        <f>RIGHT(#REF!,(FIND("Complex",#REF!,1)-4))</f>
        <v>#REF!</v>
      </c>
    </row>
    <row r="3130" spans="1:31" x14ac:dyDescent="0.25">
      <c r="A3130">
        <v>215</v>
      </c>
      <c r="B3130" t="s">
        <v>61</v>
      </c>
      <c r="C3130">
        <v>21</v>
      </c>
      <c r="D3130">
        <v>89</v>
      </c>
      <c r="E3130">
        <v>215</v>
      </c>
      <c r="F3130">
        <v>3528001</v>
      </c>
      <c r="G3130">
        <v>3616200</v>
      </c>
      <c r="H3130">
        <f t="shared" si="96"/>
        <v>80.000022675736957</v>
      </c>
      <c r="I3130">
        <f t="shared" si="97"/>
        <v>82</v>
      </c>
      <c r="J3130" t="s">
        <v>25</v>
      </c>
      <c r="K3130">
        <v>4</v>
      </c>
      <c r="L3130" t="e">
        <f t="array" ref="L3130">VLOOKUP(J3130:$J$3871&amp;K3130:$K$3871,CHOOSE({1,2},#REF!&amp;#REF!,#REF!),2,0)</f>
        <v>#N/A</v>
      </c>
      <c r="M3130">
        <v>0</v>
      </c>
      <c r="N3130">
        <v>1</v>
      </c>
      <c r="O3130" t="s">
        <v>23</v>
      </c>
      <c r="P3130">
        <v>0</v>
      </c>
      <c r="Q3130">
        <v>0</v>
      </c>
      <c r="R3130">
        <v>0</v>
      </c>
      <c r="S3130">
        <v>1</v>
      </c>
      <c r="T3130">
        <v>1</v>
      </c>
      <c r="U3130">
        <v>0</v>
      </c>
      <c r="V3130">
        <v>0</v>
      </c>
      <c r="W3130">
        <v>1</v>
      </c>
      <c r="X3130">
        <v>1</v>
      </c>
      <c r="Y3130">
        <v>0</v>
      </c>
      <c r="Z3130">
        <v>0</v>
      </c>
      <c r="AA3130" t="s">
        <v>3631</v>
      </c>
      <c r="AB3130" t="s">
        <v>6386</v>
      </c>
      <c r="AC3130" t="s">
        <v>3631</v>
      </c>
      <c r="AD3130" t="e">
        <f>VLOOKUP(AB3130,#REF!,2,FALSE)</f>
        <v>#REF!</v>
      </c>
      <c r="AE3130" t="e">
        <f>RIGHT(#REF!,(FIND("Complex",#REF!,1)-5))</f>
        <v>#REF!</v>
      </c>
    </row>
    <row r="3131" spans="1:31" x14ac:dyDescent="0.25">
      <c r="A3131">
        <v>1669</v>
      </c>
      <c r="B3131" t="s">
        <v>61</v>
      </c>
      <c r="C3131">
        <v>21</v>
      </c>
      <c r="D3131">
        <v>729</v>
      </c>
      <c r="E3131">
        <v>1669</v>
      </c>
      <c r="F3131">
        <v>2646001</v>
      </c>
      <c r="G3131">
        <v>2734200</v>
      </c>
      <c r="H3131">
        <f t="shared" si="96"/>
        <v>60.000022675736965</v>
      </c>
      <c r="I3131">
        <f t="shared" si="97"/>
        <v>62</v>
      </c>
      <c r="J3131" t="s">
        <v>25</v>
      </c>
      <c r="K3131">
        <v>4</v>
      </c>
      <c r="L3131" t="e">
        <f t="array" ref="L3131">VLOOKUP(J3131:$J$3871&amp;K3131:$K$3871,CHOOSE({1,2},#REF!&amp;#REF!,#REF!),2,0)</f>
        <v>#N/A</v>
      </c>
      <c r="M3131">
        <v>0</v>
      </c>
      <c r="N3131">
        <v>1</v>
      </c>
      <c r="O3131" t="s">
        <v>23</v>
      </c>
      <c r="P3131">
        <v>1</v>
      </c>
      <c r="Q3131">
        <v>0</v>
      </c>
      <c r="R3131">
        <v>1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1</v>
      </c>
      <c r="Y3131">
        <v>0</v>
      </c>
      <c r="Z3131">
        <v>0</v>
      </c>
      <c r="AA3131" t="s">
        <v>3791</v>
      </c>
      <c r="AB3131" t="s">
        <v>736</v>
      </c>
      <c r="AC3131" t="s">
        <v>3791</v>
      </c>
      <c r="AD3131" t="e">
        <f>VLOOKUP(AB3131,#REF!,2,FALSE)</f>
        <v>#REF!</v>
      </c>
      <c r="AE3131" t="e">
        <f>RIGHT(#REF!,(FIND("Complex",#REF!,1)-6))</f>
        <v>#REF!</v>
      </c>
    </row>
    <row r="3132" spans="1:31" x14ac:dyDescent="0.25">
      <c r="A3132">
        <v>1519</v>
      </c>
      <c r="B3132" t="s">
        <v>61</v>
      </c>
      <c r="C3132">
        <v>21</v>
      </c>
      <c r="D3132">
        <v>664</v>
      </c>
      <c r="E3132">
        <v>1519</v>
      </c>
      <c r="F3132">
        <v>7849801</v>
      </c>
      <c r="G3132">
        <v>7938000</v>
      </c>
      <c r="H3132">
        <f t="shared" si="96"/>
        <v>178.00002267573697</v>
      </c>
      <c r="I3132">
        <f t="shared" si="97"/>
        <v>180</v>
      </c>
      <c r="J3132" t="s">
        <v>25</v>
      </c>
      <c r="K3132">
        <v>4</v>
      </c>
      <c r="L3132" t="e">
        <f t="array" ref="L3132">VLOOKUP(J3132:$J$3871&amp;K3132:$K$3871,CHOOSE({1,2},#REF!&amp;#REF!,#REF!),2,0)</f>
        <v>#N/A</v>
      </c>
      <c r="M3132">
        <v>0</v>
      </c>
      <c r="N3132">
        <v>1</v>
      </c>
      <c r="O3132" t="s">
        <v>23</v>
      </c>
      <c r="P3132">
        <v>0</v>
      </c>
      <c r="Q3132">
        <v>0</v>
      </c>
      <c r="R3132">
        <v>0</v>
      </c>
      <c r="S3132">
        <v>1</v>
      </c>
      <c r="T3132">
        <v>1</v>
      </c>
      <c r="U3132">
        <v>0</v>
      </c>
      <c r="V3132">
        <v>0</v>
      </c>
      <c r="W3132">
        <v>1</v>
      </c>
      <c r="X3132">
        <v>1</v>
      </c>
      <c r="Y3132">
        <v>0</v>
      </c>
      <c r="Z3132">
        <v>0</v>
      </c>
      <c r="AA3132" t="s">
        <v>4424</v>
      </c>
      <c r="AB3132" t="s">
        <v>6873</v>
      </c>
      <c r="AC3132" t="s">
        <v>4424</v>
      </c>
      <c r="AD3132" t="e">
        <f>VLOOKUP(AB3132,#REF!,2,FALSE)</f>
        <v>#REF!</v>
      </c>
      <c r="AE3132" t="e">
        <f>RIGHT(#REF!,(FIND("Complex",#REF!,1)-5))</f>
        <v>#REF!</v>
      </c>
    </row>
    <row r="3133" spans="1:31" x14ac:dyDescent="0.25">
      <c r="A3133">
        <v>35</v>
      </c>
      <c r="B3133" t="s">
        <v>61</v>
      </c>
      <c r="C3133">
        <v>21</v>
      </c>
      <c r="D3133">
        <v>16</v>
      </c>
      <c r="E3133">
        <v>35</v>
      </c>
      <c r="F3133">
        <v>7144201</v>
      </c>
      <c r="G3133">
        <v>7232400</v>
      </c>
      <c r="H3133">
        <f t="shared" si="96"/>
        <v>162.00002267573697</v>
      </c>
      <c r="I3133">
        <f t="shared" si="97"/>
        <v>164</v>
      </c>
      <c r="J3133" t="s">
        <v>25</v>
      </c>
      <c r="K3133">
        <v>4</v>
      </c>
      <c r="L3133" t="e">
        <f t="array" ref="L3133">VLOOKUP(J3133:$J$3871&amp;K3133:$K$3871,CHOOSE({1,2},#REF!&amp;#REF!,#REF!),2,0)</f>
        <v>#N/A</v>
      </c>
      <c r="M3133">
        <v>0</v>
      </c>
      <c r="N3133">
        <v>1</v>
      </c>
      <c r="O3133" t="s">
        <v>23</v>
      </c>
      <c r="P3133">
        <v>0</v>
      </c>
      <c r="Q3133">
        <v>0</v>
      </c>
      <c r="R3133">
        <v>1</v>
      </c>
      <c r="S3133">
        <v>1</v>
      </c>
      <c r="T3133">
        <v>0</v>
      </c>
      <c r="U3133">
        <v>0</v>
      </c>
      <c r="V3133">
        <v>0</v>
      </c>
      <c r="W3133">
        <v>1</v>
      </c>
      <c r="X3133">
        <v>1</v>
      </c>
      <c r="Y3133">
        <v>0</v>
      </c>
      <c r="Z3133">
        <v>0</v>
      </c>
      <c r="AA3133" t="s">
        <v>4472</v>
      </c>
      <c r="AB3133" t="s">
        <v>6904</v>
      </c>
      <c r="AC3133" t="s">
        <v>4472</v>
      </c>
      <c r="AD3133" t="e">
        <f>VLOOKUP(AB3133,#REF!,2,FALSE)</f>
        <v>#REF!</v>
      </c>
      <c r="AE3133" t="e">
        <f>RIGHT(#REF!,(FIND("Complex",#REF!,1)-3))</f>
        <v>#REF!</v>
      </c>
    </row>
    <row r="3134" spans="1:31" x14ac:dyDescent="0.25">
      <c r="A3134">
        <v>1461</v>
      </c>
      <c r="B3134" t="s">
        <v>35</v>
      </c>
      <c r="C3134">
        <v>23</v>
      </c>
      <c r="D3134">
        <v>639</v>
      </c>
      <c r="E3134">
        <v>1461</v>
      </c>
      <c r="F3134">
        <v>3969001</v>
      </c>
      <c r="G3134">
        <v>4057200</v>
      </c>
      <c r="H3134">
        <f t="shared" si="96"/>
        <v>90.000022675736957</v>
      </c>
      <c r="I3134">
        <f t="shared" si="97"/>
        <v>92</v>
      </c>
      <c r="J3134" t="s">
        <v>25</v>
      </c>
      <c r="K3134">
        <v>4</v>
      </c>
      <c r="L3134" t="e">
        <f t="array" ref="L3134">VLOOKUP(J3134:$J$3871&amp;K3134:$K$3871,CHOOSE({1,2},#REF!&amp;#REF!,#REF!),2,0)</f>
        <v>#N/A</v>
      </c>
      <c r="M3134">
        <v>0</v>
      </c>
      <c r="N3134">
        <v>1</v>
      </c>
      <c r="O3134" t="s">
        <v>23</v>
      </c>
      <c r="P3134">
        <v>1</v>
      </c>
      <c r="Q3134">
        <v>0</v>
      </c>
      <c r="R3134">
        <v>1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1</v>
      </c>
      <c r="Y3134">
        <v>0</v>
      </c>
      <c r="Z3134">
        <v>0</v>
      </c>
      <c r="AA3134" t="s">
        <v>3563</v>
      </c>
      <c r="AB3134" t="s">
        <v>6347</v>
      </c>
      <c r="AC3134" t="s">
        <v>3563</v>
      </c>
      <c r="AD3134" t="e">
        <f>VLOOKUP(AB3134,#REF!,2,FALSE)</f>
        <v>#REF!</v>
      </c>
      <c r="AE3134" t="e">
        <f>RIGHT(#REF!,(FIND("Complex",#REF!,1)-6))</f>
        <v>#REF!</v>
      </c>
    </row>
    <row r="3135" spans="1:31" x14ac:dyDescent="0.25">
      <c r="A3135">
        <v>1044</v>
      </c>
      <c r="B3135" t="s">
        <v>35</v>
      </c>
      <c r="C3135">
        <v>23</v>
      </c>
      <c r="D3135">
        <v>461</v>
      </c>
      <c r="E3135">
        <v>1044</v>
      </c>
      <c r="F3135">
        <v>5733001</v>
      </c>
      <c r="G3135">
        <v>5821200</v>
      </c>
      <c r="H3135">
        <f t="shared" si="96"/>
        <v>130.00002267573697</v>
      </c>
      <c r="I3135">
        <f t="shared" si="97"/>
        <v>132</v>
      </c>
      <c r="J3135" t="s">
        <v>25</v>
      </c>
      <c r="K3135">
        <v>4</v>
      </c>
      <c r="L3135" t="e">
        <f t="array" ref="L3135">VLOOKUP(J3135:$J$3871&amp;K3135:$K$3871,CHOOSE({1,2},#REF!&amp;#REF!,#REF!),2,0)</f>
        <v>#N/A</v>
      </c>
      <c r="M3135">
        <v>0</v>
      </c>
      <c r="N3135">
        <v>1</v>
      </c>
      <c r="O3135" t="s">
        <v>23</v>
      </c>
      <c r="P3135">
        <v>0</v>
      </c>
      <c r="Q3135">
        <v>0</v>
      </c>
      <c r="R3135">
        <v>1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1</v>
      </c>
      <c r="Y3135">
        <v>1</v>
      </c>
      <c r="Z3135">
        <v>0</v>
      </c>
      <c r="AA3135" t="s">
        <v>4676</v>
      </c>
      <c r="AB3135" t="s">
        <v>7038</v>
      </c>
      <c r="AC3135" t="s">
        <v>4676</v>
      </c>
      <c r="AD3135" t="e">
        <f>VLOOKUP(AB3135,#REF!,2,FALSE)</f>
        <v>#REF!</v>
      </c>
      <c r="AE3135" t="e">
        <f>RIGHT(#REF!,(FIND("Complex",#REF!,1)-5))</f>
        <v>#REF!</v>
      </c>
    </row>
    <row r="3136" spans="1:31" x14ac:dyDescent="0.25">
      <c r="A3136">
        <v>233</v>
      </c>
      <c r="B3136" t="s">
        <v>35</v>
      </c>
      <c r="C3136">
        <v>23</v>
      </c>
      <c r="D3136">
        <v>98</v>
      </c>
      <c r="E3136">
        <v>233</v>
      </c>
      <c r="F3136">
        <v>4939201</v>
      </c>
      <c r="G3136">
        <v>5027400</v>
      </c>
      <c r="H3136">
        <f t="shared" si="96"/>
        <v>112.00002267573696</v>
      </c>
      <c r="I3136">
        <f t="shared" si="97"/>
        <v>114</v>
      </c>
      <c r="J3136" t="s">
        <v>25</v>
      </c>
      <c r="K3136">
        <v>4</v>
      </c>
      <c r="L3136" t="e">
        <f t="array" ref="L3136">VLOOKUP(J3136:$J$3871&amp;K3136:$K$3871,CHOOSE({1,2},#REF!&amp;#REF!,#REF!),2,0)</f>
        <v>#N/A</v>
      </c>
      <c r="M3136">
        <v>0</v>
      </c>
      <c r="N3136">
        <v>1</v>
      </c>
      <c r="O3136" t="s">
        <v>23</v>
      </c>
      <c r="P3136">
        <v>1</v>
      </c>
      <c r="Q3136">
        <v>0</v>
      </c>
      <c r="R3136">
        <v>1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1</v>
      </c>
      <c r="Y3136">
        <v>0</v>
      </c>
      <c r="Z3136">
        <v>0</v>
      </c>
      <c r="AA3136" t="s">
        <v>4774</v>
      </c>
      <c r="AB3136" t="s">
        <v>768</v>
      </c>
      <c r="AC3136" t="s">
        <v>4774</v>
      </c>
      <c r="AD3136" t="e">
        <f>VLOOKUP(AB3136,#REF!,2,FALSE)</f>
        <v>#REF!</v>
      </c>
      <c r="AE3136" t="e">
        <f>RIGHT(#REF!,(FIND("Complex",#REF!,1)-4))</f>
        <v>#REF!</v>
      </c>
    </row>
    <row r="3137" spans="1:31" x14ac:dyDescent="0.25">
      <c r="A3137">
        <v>1455</v>
      </c>
      <c r="B3137" t="s">
        <v>242</v>
      </c>
      <c r="C3137">
        <v>25</v>
      </c>
      <c r="D3137">
        <v>636</v>
      </c>
      <c r="E3137">
        <v>1455</v>
      </c>
      <c r="F3137">
        <v>3439801</v>
      </c>
      <c r="G3137">
        <v>3528000</v>
      </c>
      <c r="H3137">
        <f t="shared" si="96"/>
        <v>78.000022675736957</v>
      </c>
      <c r="I3137">
        <f t="shared" si="97"/>
        <v>80</v>
      </c>
      <c r="J3137" t="s">
        <v>25</v>
      </c>
      <c r="K3137">
        <v>4</v>
      </c>
      <c r="L3137" t="e">
        <f t="array" ref="L3137">VLOOKUP(J3137:$J$3871&amp;K3137:$K$3871,CHOOSE({1,2},#REF!&amp;#REF!,#REF!),2,0)</f>
        <v>#N/A</v>
      </c>
      <c r="M3137">
        <v>0</v>
      </c>
      <c r="N3137">
        <v>1</v>
      </c>
      <c r="O3137" t="s">
        <v>23</v>
      </c>
      <c r="P3137">
        <v>1</v>
      </c>
      <c r="Q3137">
        <v>1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0</v>
      </c>
      <c r="AA3137" t="s">
        <v>3657</v>
      </c>
      <c r="AB3137" t="s">
        <v>6398</v>
      </c>
      <c r="AC3137" t="s">
        <v>3657</v>
      </c>
      <c r="AD3137" t="e">
        <f>VLOOKUP(AB3137,#REF!,2,FALSE)</f>
        <v>#REF!</v>
      </c>
      <c r="AE3137" t="e">
        <f>RIGHT(#REF!,(FIND("Complex",#REF!,1)-6))</f>
        <v>#REF!</v>
      </c>
    </row>
    <row r="3138" spans="1:31" x14ac:dyDescent="0.25">
      <c r="A3138">
        <v>1728</v>
      </c>
      <c r="B3138" t="s">
        <v>242</v>
      </c>
      <c r="C3138">
        <v>25</v>
      </c>
      <c r="D3138">
        <v>750</v>
      </c>
      <c r="E3138">
        <v>1728</v>
      </c>
      <c r="F3138">
        <v>12789001</v>
      </c>
      <c r="G3138">
        <v>12877200</v>
      </c>
      <c r="H3138">
        <f t="shared" ref="H3138:H3201" si="98">F3138/44100</f>
        <v>290.00002267573694</v>
      </c>
      <c r="I3138">
        <f t="shared" ref="I3138:I3201" si="99">G3138/44100</f>
        <v>292</v>
      </c>
      <c r="J3138" t="s">
        <v>25</v>
      </c>
      <c r="K3138">
        <v>4</v>
      </c>
      <c r="L3138" t="e">
        <f t="array" ref="L3138">VLOOKUP(J3138:$J$3871&amp;K3138:$K$3871,CHOOSE({1,2},#REF!&amp;#REF!,#REF!),2,0)</f>
        <v>#N/A</v>
      </c>
      <c r="M3138">
        <v>0</v>
      </c>
      <c r="N3138">
        <v>1</v>
      </c>
      <c r="O3138" t="s">
        <v>23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0</v>
      </c>
      <c r="V3138">
        <v>1</v>
      </c>
      <c r="W3138">
        <v>1</v>
      </c>
      <c r="X3138">
        <v>1</v>
      </c>
      <c r="Y3138">
        <v>0</v>
      </c>
      <c r="Z3138">
        <v>0</v>
      </c>
      <c r="AA3138" t="s">
        <v>4076</v>
      </c>
      <c r="AB3138" t="s">
        <v>789</v>
      </c>
      <c r="AC3138" t="s">
        <v>4076</v>
      </c>
      <c r="AD3138" t="e">
        <f>VLOOKUP(AB3138,#REF!,2,FALSE)</f>
        <v>#REF!</v>
      </c>
      <c r="AE3138" t="e">
        <f>RIGHT(#REF!,(FIND("Complex",#REF!,1)-5))</f>
        <v>#REF!</v>
      </c>
    </row>
    <row r="3139" spans="1:31" x14ac:dyDescent="0.25">
      <c r="A3139">
        <v>1856</v>
      </c>
      <c r="B3139" t="s">
        <v>242</v>
      </c>
      <c r="C3139">
        <v>25</v>
      </c>
      <c r="D3139">
        <v>809</v>
      </c>
      <c r="E3139">
        <v>1856</v>
      </c>
      <c r="F3139">
        <v>11113201</v>
      </c>
      <c r="G3139">
        <v>11201400</v>
      </c>
      <c r="H3139">
        <f t="shared" si="98"/>
        <v>252.00002267573697</v>
      </c>
      <c r="I3139">
        <f t="shared" si="99"/>
        <v>254</v>
      </c>
      <c r="J3139" t="s">
        <v>25</v>
      </c>
      <c r="K3139">
        <v>4</v>
      </c>
      <c r="L3139" t="e">
        <f t="array" ref="L3139">VLOOKUP(J3139:$J$3871&amp;K3139:$K$3871,CHOOSE({1,2},#REF!&amp;#REF!,#REF!),2,0)</f>
        <v>#N/A</v>
      </c>
      <c r="M3139">
        <v>0</v>
      </c>
      <c r="N3139">
        <v>1</v>
      </c>
      <c r="O3139" t="s">
        <v>23</v>
      </c>
      <c r="P3139">
        <v>1</v>
      </c>
      <c r="Q3139">
        <v>1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1</v>
      </c>
      <c r="Y3139">
        <v>0</v>
      </c>
      <c r="Z3139">
        <v>0</v>
      </c>
      <c r="AA3139" t="s">
        <v>4165</v>
      </c>
      <c r="AB3139" t="s">
        <v>6715</v>
      </c>
      <c r="AC3139" t="s">
        <v>4165</v>
      </c>
      <c r="AD3139" t="e">
        <f>VLOOKUP(AB3139,#REF!,2,FALSE)</f>
        <v>#REF!</v>
      </c>
      <c r="AE3139" t="e">
        <f>RIGHT(#REF!,(FIND("Complex",#REF!,1)-5))</f>
        <v>#REF!</v>
      </c>
    </row>
    <row r="3140" spans="1:31" x14ac:dyDescent="0.25">
      <c r="A3140">
        <v>905</v>
      </c>
      <c r="B3140" t="s">
        <v>242</v>
      </c>
      <c r="C3140">
        <v>25</v>
      </c>
      <c r="D3140">
        <v>402</v>
      </c>
      <c r="E3140">
        <v>905</v>
      </c>
      <c r="F3140">
        <v>10319401</v>
      </c>
      <c r="G3140">
        <v>10407600</v>
      </c>
      <c r="H3140">
        <f t="shared" si="98"/>
        <v>234.00002267573697</v>
      </c>
      <c r="I3140">
        <f t="shared" si="99"/>
        <v>236</v>
      </c>
      <c r="J3140" t="s">
        <v>25</v>
      </c>
      <c r="K3140">
        <v>4</v>
      </c>
      <c r="L3140" t="e">
        <f t="array" ref="L3140">VLOOKUP(J3140:$J$3871&amp;K3140:$K$3871,CHOOSE({1,2},#REF!&amp;#REF!,#REF!),2,0)</f>
        <v>#N/A</v>
      </c>
      <c r="M3140">
        <v>0</v>
      </c>
      <c r="N3140">
        <v>1</v>
      </c>
      <c r="O3140" t="s">
        <v>23</v>
      </c>
      <c r="P3140">
        <v>1</v>
      </c>
      <c r="Q3140">
        <v>1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1</v>
      </c>
      <c r="Y3140">
        <v>0</v>
      </c>
      <c r="Z3140">
        <v>0</v>
      </c>
      <c r="AA3140" t="s">
        <v>4213</v>
      </c>
      <c r="AB3140" t="s">
        <v>790</v>
      </c>
      <c r="AC3140" t="s">
        <v>4213</v>
      </c>
      <c r="AD3140" t="e">
        <f>VLOOKUP(AB3140,#REF!,2,FALSE)</f>
        <v>#REF!</v>
      </c>
      <c r="AE3140" t="e">
        <f>RIGHT(#REF!,(FIND("Complex",#REF!,1)-4))</f>
        <v>#REF!</v>
      </c>
    </row>
    <row r="3141" spans="1:31" x14ac:dyDescent="0.25">
      <c r="A3141">
        <v>819</v>
      </c>
      <c r="B3141" t="s">
        <v>242</v>
      </c>
      <c r="C3141">
        <v>25</v>
      </c>
      <c r="D3141">
        <v>369</v>
      </c>
      <c r="E3141">
        <v>819</v>
      </c>
      <c r="F3141">
        <v>7408801</v>
      </c>
      <c r="G3141">
        <v>7497000</v>
      </c>
      <c r="H3141">
        <f t="shared" si="98"/>
        <v>168.00002267573697</v>
      </c>
      <c r="I3141">
        <f t="shared" si="99"/>
        <v>170</v>
      </c>
      <c r="J3141" t="s">
        <v>25</v>
      </c>
      <c r="K3141">
        <v>4</v>
      </c>
      <c r="L3141" t="e">
        <f t="array" ref="L3141">VLOOKUP(J3141:$J$3871&amp;K3141:$K$3871,CHOOSE({1,2},#REF!&amp;#REF!,#REF!),2,0)</f>
        <v>#N/A</v>
      </c>
      <c r="M3141">
        <v>0</v>
      </c>
      <c r="N3141">
        <v>1</v>
      </c>
      <c r="O3141" t="s">
        <v>23</v>
      </c>
      <c r="P3141">
        <v>0</v>
      </c>
      <c r="Q3141">
        <v>1</v>
      </c>
      <c r="R3141">
        <v>0</v>
      </c>
      <c r="S3141">
        <v>0</v>
      </c>
      <c r="T3141">
        <v>0</v>
      </c>
      <c r="U3141">
        <v>0</v>
      </c>
      <c r="V3141">
        <v>1</v>
      </c>
      <c r="W3141">
        <v>1</v>
      </c>
      <c r="X3141">
        <v>1</v>
      </c>
      <c r="Y3141">
        <v>0</v>
      </c>
      <c r="Z3141">
        <v>0</v>
      </c>
      <c r="AA3141" t="s">
        <v>4447</v>
      </c>
      <c r="AB3141" t="s">
        <v>6888</v>
      </c>
      <c r="AC3141" t="s">
        <v>4447</v>
      </c>
      <c r="AD3141" t="e">
        <f>VLOOKUP(AB3141,#REF!,2,FALSE)</f>
        <v>#REF!</v>
      </c>
      <c r="AE3141" t="e">
        <f>RIGHT(#REF!,(FIND("Complex",#REF!,1)-4))</f>
        <v>#REF!</v>
      </c>
    </row>
    <row r="3142" spans="1:31" x14ac:dyDescent="0.25">
      <c r="A3142">
        <v>648</v>
      </c>
      <c r="B3142" t="s">
        <v>242</v>
      </c>
      <c r="C3142">
        <v>25</v>
      </c>
      <c r="D3142">
        <v>280</v>
      </c>
      <c r="E3142">
        <v>648</v>
      </c>
      <c r="F3142">
        <v>6967801</v>
      </c>
      <c r="G3142">
        <v>7056000</v>
      </c>
      <c r="H3142">
        <f t="shared" si="98"/>
        <v>158.00002267573697</v>
      </c>
      <c r="I3142">
        <f t="shared" si="99"/>
        <v>160</v>
      </c>
      <c r="J3142" t="s">
        <v>25</v>
      </c>
      <c r="K3142">
        <v>4</v>
      </c>
      <c r="L3142" t="e">
        <f t="array" ref="L3142">VLOOKUP(J3142:$J$3871&amp;K3142:$K$3871,CHOOSE({1,2},#REF!&amp;#REF!,#REF!),2,0)</f>
        <v>#N/A</v>
      </c>
      <c r="M3142">
        <v>0</v>
      </c>
      <c r="N3142">
        <v>1</v>
      </c>
      <c r="O3142" t="s">
        <v>23</v>
      </c>
      <c r="P3142">
        <v>0</v>
      </c>
      <c r="Q3142">
        <v>1</v>
      </c>
      <c r="R3142">
        <v>0</v>
      </c>
      <c r="S3142">
        <v>0</v>
      </c>
      <c r="T3142">
        <v>0</v>
      </c>
      <c r="U3142">
        <v>0</v>
      </c>
      <c r="V3142">
        <v>1</v>
      </c>
      <c r="W3142">
        <v>1</v>
      </c>
      <c r="X3142">
        <v>1</v>
      </c>
      <c r="Y3142">
        <v>0</v>
      </c>
      <c r="Z3142">
        <v>0</v>
      </c>
      <c r="AA3142" t="s">
        <v>4512</v>
      </c>
      <c r="AB3142" t="s">
        <v>6932</v>
      </c>
      <c r="AC3142" t="s">
        <v>4512</v>
      </c>
      <c r="AD3142" t="e">
        <f>VLOOKUP(AB3142,#REF!,2,FALSE)</f>
        <v>#REF!</v>
      </c>
      <c r="AE3142" t="e">
        <f>RIGHT(#REF!,(FIND("Complex",#REF!,1)-4))</f>
        <v>#REF!</v>
      </c>
    </row>
    <row r="3143" spans="1:31" x14ac:dyDescent="0.25">
      <c r="A3143">
        <v>1951</v>
      </c>
      <c r="B3143" t="s">
        <v>242</v>
      </c>
      <c r="C3143">
        <v>25</v>
      </c>
      <c r="D3143">
        <v>842</v>
      </c>
      <c r="E3143">
        <v>1951</v>
      </c>
      <c r="F3143">
        <v>5997601</v>
      </c>
      <c r="G3143">
        <v>6085800</v>
      </c>
      <c r="H3143">
        <f t="shared" si="98"/>
        <v>136.00002267573697</v>
      </c>
      <c r="I3143">
        <f t="shared" si="99"/>
        <v>138</v>
      </c>
      <c r="J3143" t="s">
        <v>25</v>
      </c>
      <c r="K3143">
        <v>4</v>
      </c>
      <c r="L3143" t="e">
        <f t="array" ref="L3143">VLOOKUP(J3143:$J$3871&amp;K3143:$K$3871,CHOOSE({1,2},#REF!&amp;#REF!,#REF!),2,0)</f>
        <v>#N/A</v>
      </c>
      <c r="M3143">
        <v>0</v>
      </c>
      <c r="N3143">
        <v>1</v>
      </c>
      <c r="O3143" t="s">
        <v>23</v>
      </c>
      <c r="P3143">
        <v>1</v>
      </c>
      <c r="Q3143">
        <v>1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1</v>
      </c>
      <c r="Y3143">
        <v>0</v>
      </c>
      <c r="Z3143">
        <v>0</v>
      </c>
      <c r="AA3143" t="s">
        <v>4647</v>
      </c>
      <c r="AB3143" t="s">
        <v>7022</v>
      </c>
      <c r="AC3143" t="s">
        <v>4647</v>
      </c>
      <c r="AD3143" t="e">
        <f>VLOOKUP(AB3143,#REF!,2,FALSE)</f>
        <v>#REF!</v>
      </c>
      <c r="AE3143" t="e">
        <f>RIGHT(#REF!,(FIND("Complex",#REF!,1)-5))</f>
        <v>#REF!</v>
      </c>
    </row>
    <row r="3144" spans="1:31" x14ac:dyDescent="0.25">
      <c r="A3144">
        <v>1812</v>
      </c>
      <c r="B3144" t="s">
        <v>62</v>
      </c>
      <c r="C3144">
        <v>26</v>
      </c>
      <c r="D3144">
        <v>787</v>
      </c>
      <c r="E3144">
        <v>1812</v>
      </c>
      <c r="F3144">
        <v>3528001</v>
      </c>
      <c r="G3144">
        <v>3616200</v>
      </c>
      <c r="H3144">
        <f t="shared" si="98"/>
        <v>80.000022675736957</v>
      </c>
      <c r="I3144">
        <f t="shared" si="99"/>
        <v>82</v>
      </c>
      <c r="J3144" t="s">
        <v>25</v>
      </c>
      <c r="K3144">
        <v>4</v>
      </c>
      <c r="L3144" t="e">
        <f t="array" ref="L3144">VLOOKUP(J3144:$J$3871&amp;K3144:$K$3871,CHOOSE({1,2},#REF!&amp;#REF!,#REF!),2,0)</f>
        <v>#N/A</v>
      </c>
      <c r="M3144">
        <v>0</v>
      </c>
      <c r="N3144">
        <v>1</v>
      </c>
      <c r="O3144" t="s">
        <v>23</v>
      </c>
      <c r="P3144">
        <v>1</v>
      </c>
      <c r="Q3144">
        <v>0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1</v>
      </c>
      <c r="X3144">
        <v>1</v>
      </c>
      <c r="Y3144">
        <v>0</v>
      </c>
      <c r="Z3144">
        <v>0</v>
      </c>
      <c r="AA3144" t="s">
        <v>3628</v>
      </c>
      <c r="AB3144" t="s">
        <v>804</v>
      </c>
      <c r="AC3144" t="s">
        <v>3628</v>
      </c>
      <c r="AD3144" t="e">
        <f>VLOOKUP(AB3144,#REF!,2,FALSE)</f>
        <v>#REF!</v>
      </c>
      <c r="AE3144" t="e">
        <f>RIGHT(#REF!,(FIND("Complex",#REF!,1)-6))</f>
        <v>#REF!</v>
      </c>
    </row>
    <row r="3145" spans="1:31" x14ac:dyDescent="0.25">
      <c r="A3145">
        <v>679</v>
      </c>
      <c r="B3145" t="s">
        <v>62</v>
      </c>
      <c r="C3145">
        <v>26</v>
      </c>
      <c r="D3145">
        <v>296</v>
      </c>
      <c r="E3145">
        <v>679</v>
      </c>
      <c r="F3145">
        <v>2910601</v>
      </c>
      <c r="G3145">
        <v>2998800</v>
      </c>
      <c r="H3145">
        <f t="shared" si="98"/>
        <v>66.000022675736957</v>
      </c>
      <c r="I3145">
        <f t="shared" si="99"/>
        <v>68</v>
      </c>
      <c r="J3145" t="s">
        <v>25</v>
      </c>
      <c r="K3145">
        <v>4</v>
      </c>
      <c r="L3145" t="e">
        <f t="array" ref="L3145">VLOOKUP(J3145:$J$3871&amp;K3145:$K$3871,CHOOSE({1,2},#REF!&amp;#REF!,#REF!),2,0)</f>
        <v>#N/A</v>
      </c>
      <c r="M3145">
        <v>0</v>
      </c>
      <c r="N3145">
        <v>1</v>
      </c>
      <c r="O3145" t="s">
        <v>23</v>
      </c>
      <c r="P3145">
        <v>1</v>
      </c>
      <c r="Q3145">
        <v>0</v>
      </c>
      <c r="R3145">
        <v>0</v>
      </c>
      <c r="S3145">
        <v>1</v>
      </c>
      <c r="T3145">
        <v>0</v>
      </c>
      <c r="U3145">
        <v>0</v>
      </c>
      <c r="V3145">
        <v>0</v>
      </c>
      <c r="W3145">
        <v>1</v>
      </c>
      <c r="X3145">
        <v>1</v>
      </c>
      <c r="Y3145">
        <v>0</v>
      </c>
      <c r="Z3145">
        <v>0</v>
      </c>
      <c r="AA3145" t="s">
        <v>3741</v>
      </c>
      <c r="AB3145" t="s">
        <v>6443</v>
      </c>
      <c r="AC3145" t="s">
        <v>3741</v>
      </c>
      <c r="AD3145" t="e">
        <f>VLOOKUP(AB3145,#REF!,2,FALSE)</f>
        <v>#REF!</v>
      </c>
      <c r="AE3145" t="e">
        <f>RIGHT(#REF!,(FIND("Complex",#REF!,1)-5))</f>
        <v>#REF!</v>
      </c>
    </row>
    <row r="3146" spans="1:31" x14ac:dyDescent="0.25">
      <c r="A3146">
        <v>1390</v>
      </c>
      <c r="B3146" t="s">
        <v>62</v>
      </c>
      <c r="C3146">
        <v>26</v>
      </c>
      <c r="D3146">
        <v>606</v>
      </c>
      <c r="E3146">
        <v>1390</v>
      </c>
      <c r="F3146">
        <v>2293201</v>
      </c>
      <c r="G3146">
        <v>2381400</v>
      </c>
      <c r="H3146">
        <f t="shared" si="98"/>
        <v>52.000022675736965</v>
      </c>
      <c r="I3146">
        <f t="shared" si="99"/>
        <v>54</v>
      </c>
      <c r="J3146" t="s">
        <v>25</v>
      </c>
      <c r="K3146">
        <v>4</v>
      </c>
      <c r="L3146" t="e">
        <f t="array" ref="L3146">VLOOKUP(J3146:$J$3871&amp;K3146:$K$3871,CHOOSE({1,2},#REF!&amp;#REF!,#REF!),2,0)</f>
        <v>#N/A</v>
      </c>
      <c r="M3146">
        <v>0</v>
      </c>
      <c r="N3146">
        <v>1</v>
      </c>
      <c r="O3146" t="s">
        <v>23</v>
      </c>
      <c r="P3146">
        <v>1</v>
      </c>
      <c r="Q3146">
        <v>0</v>
      </c>
      <c r="R3146">
        <v>0</v>
      </c>
      <c r="S3146">
        <v>1</v>
      </c>
      <c r="T3146">
        <v>0</v>
      </c>
      <c r="U3146">
        <v>0</v>
      </c>
      <c r="V3146">
        <v>0</v>
      </c>
      <c r="W3146">
        <v>1</v>
      </c>
      <c r="X3146">
        <v>1</v>
      </c>
      <c r="Y3146">
        <v>0</v>
      </c>
      <c r="Z3146">
        <v>0</v>
      </c>
      <c r="AA3146" t="s">
        <v>3864</v>
      </c>
      <c r="AB3146" t="s">
        <v>6518</v>
      </c>
      <c r="AC3146" t="s">
        <v>3864</v>
      </c>
      <c r="AD3146" t="e">
        <f>VLOOKUP(AB3146,#REF!,2,FALSE)</f>
        <v>#REF!</v>
      </c>
      <c r="AE3146" t="e">
        <f>RIGHT(#REF!,(FIND("Complex",#REF!,1)-6))</f>
        <v>#REF!</v>
      </c>
    </row>
    <row r="3147" spans="1:31" x14ac:dyDescent="0.25">
      <c r="A3147">
        <v>74</v>
      </c>
      <c r="B3147" t="s">
        <v>62</v>
      </c>
      <c r="C3147">
        <v>26</v>
      </c>
      <c r="D3147">
        <v>38</v>
      </c>
      <c r="E3147">
        <v>74</v>
      </c>
      <c r="F3147">
        <v>9437401</v>
      </c>
      <c r="G3147">
        <v>9525600</v>
      </c>
      <c r="H3147">
        <f t="shared" si="98"/>
        <v>214.00002267573697</v>
      </c>
      <c r="I3147">
        <f t="shared" si="99"/>
        <v>216</v>
      </c>
      <c r="J3147" t="s">
        <v>25</v>
      </c>
      <c r="K3147">
        <v>4</v>
      </c>
      <c r="L3147" t="e">
        <f t="array" ref="L3147">VLOOKUP(J3147:$J$3871&amp;K3147:$K$3871,CHOOSE({1,2},#REF!&amp;#REF!,#REF!),2,0)</f>
        <v>#N/A</v>
      </c>
      <c r="M3147">
        <v>0</v>
      </c>
      <c r="N3147">
        <v>1</v>
      </c>
      <c r="O3147" t="s">
        <v>23</v>
      </c>
      <c r="P3147">
        <v>0</v>
      </c>
      <c r="Q3147">
        <v>0</v>
      </c>
      <c r="R3147">
        <v>0</v>
      </c>
      <c r="S3147">
        <v>0</v>
      </c>
      <c r="T3147">
        <v>1</v>
      </c>
      <c r="U3147">
        <v>0</v>
      </c>
      <c r="V3147">
        <v>0</v>
      </c>
      <c r="W3147">
        <v>1</v>
      </c>
      <c r="X3147">
        <v>1</v>
      </c>
      <c r="Y3147">
        <v>1</v>
      </c>
      <c r="Z3147">
        <v>0</v>
      </c>
      <c r="AA3147" t="s">
        <v>4265</v>
      </c>
      <c r="AB3147" t="s">
        <v>805</v>
      </c>
      <c r="AC3147" t="s">
        <v>4265</v>
      </c>
      <c r="AD3147" t="e">
        <f>VLOOKUP(AB3147,#REF!,2,FALSE)</f>
        <v>#REF!</v>
      </c>
      <c r="AE3147" t="e">
        <f>RIGHT(#REF!,(FIND("Complex",#REF!,1)-3))</f>
        <v>#REF!</v>
      </c>
    </row>
    <row r="3148" spans="1:31" x14ac:dyDescent="0.25">
      <c r="A3148">
        <v>1946</v>
      </c>
      <c r="B3148" t="s">
        <v>62</v>
      </c>
      <c r="C3148">
        <v>26</v>
      </c>
      <c r="D3148">
        <v>839</v>
      </c>
      <c r="E3148">
        <v>1946</v>
      </c>
      <c r="F3148">
        <v>88201</v>
      </c>
      <c r="G3148">
        <v>176400</v>
      </c>
      <c r="H3148">
        <f t="shared" si="98"/>
        <v>2.0000226757369615</v>
      </c>
      <c r="I3148">
        <f t="shared" si="99"/>
        <v>4</v>
      </c>
      <c r="J3148" t="s">
        <v>25</v>
      </c>
      <c r="K3148">
        <v>4</v>
      </c>
      <c r="L3148" t="e">
        <f t="array" ref="L3148">VLOOKUP(J3148:$J$3871&amp;K3148:$K$3871,CHOOSE({1,2},#REF!&amp;#REF!,#REF!),2,0)</f>
        <v>#N/A</v>
      </c>
      <c r="M3148">
        <v>0</v>
      </c>
      <c r="N3148">
        <v>1</v>
      </c>
      <c r="O3148" t="s">
        <v>23</v>
      </c>
      <c r="P3148">
        <v>0</v>
      </c>
      <c r="Q3148">
        <v>0</v>
      </c>
      <c r="R3148">
        <v>0</v>
      </c>
      <c r="S3148">
        <v>0</v>
      </c>
      <c r="T3148">
        <v>1</v>
      </c>
      <c r="U3148">
        <v>0</v>
      </c>
      <c r="V3148">
        <v>0</v>
      </c>
      <c r="W3148">
        <v>1</v>
      </c>
      <c r="X3148">
        <v>1</v>
      </c>
      <c r="Y3148">
        <v>1</v>
      </c>
      <c r="Z3148">
        <v>0</v>
      </c>
      <c r="AA3148" t="s">
        <v>4337</v>
      </c>
      <c r="AB3148" t="s">
        <v>6817</v>
      </c>
      <c r="AC3148" t="s">
        <v>4337</v>
      </c>
      <c r="AD3148" t="e">
        <f>VLOOKUP(AB3148,#REF!,2,FALSE)</f>
        <v>#REF!</v>
      </c>
      <c r="AE3148" t="e">
        <f>RIGHT(#REF!,(FIND("Complex",#REF!,1)-7))</f>
        <v>#REF!</v>
      </c>
    </row>
    <row r="3149" spans="1:31" x14ac:dyDescent="0.25">
      <c r="A3149">
        <v>896</v>
      </c>
      <c r="B3149" t="s">
        <v>62</v>
      </c>
      <c r="C3149">
        <v>26</v>
      </c>
      <c r="D3149">
        <v>398</v>
      </c>
      <c r="E3149">
        <v>896</v>
      </c>
      <c r="F3149">
        <v>5468401</v>
      </c>
      <c r="G3149">
        <v>5556600</v>
      </c>
      <c r="H3149">
        <f t="shared" si="98"/>
        <v>124.00002267573696</v>
      </c>
      <c r="I3149">
        <f t="shared" si="99"/>
        <v>126</v>
      </c>
      <c r="J3149" t="s">
        <v>25</v>
      </c>
      <c r="K3149">
        <v>4</v>
      </c>
      <c r="L3149" t="e">
        <f t="array" ref="L3149">VLOOKUP(J3149:$J$3871&amp;K3149:$K$3871,CHOOSE({1,2},#REF!&amp;#REF!,#REF!),2,0)</f>
        <v>#N/A</v>
      </c>
      <c r="M3149">
        <v>0</v>
      </c>
      <c r="N3149">
        <v>1</v>
      </c>
      <c r="O3149" t="s">
        <v>23</v>
      </c>
      <c r="P3149">
        <v>1</v>
      </c>
      <c r="Q3149">
        <v>0</v>
      </c>
      <c r="R3149">
        <v>0</v>
      </c>
      <c r="S3149">
        <v>1</v>
      </c>
      <c r="T3149">
        <v>0</v>
      </c>
      <c r="U3149">
        <v>0</v>
      </c>
      <c r="V3149">
        <v>0</v>
      </c>
      <c r="W3149">
        <v>1</v>
      </c>
      <c r="X3149">
        <v>1</v>
      </c>
      <c r="Y3149">
        <v>0</v>
      </c>
      <c r="Z3149">
        <v>0</v>
      </c>
      <c r="AA3149" t="s">
        <v>4698</v>
      </c>
      <c r="AB3149" t="s">
        <v>7052</v>
      </c>
      <c r="AC3149" t="s">
        <v>4698</v>
      </c>
      <c r="AD3149" t="e">
        <f>VLOOKUP(AB3149,#REF!,2,FALSE)</f>
        <v>#REF!</v>
      </c>
      <c r="AE3149" t="e">
        <f>RIGHT(#REF!,(FIND("Complex",#REF!,1)-4))</f>
        <v>#REF!</v>
      </c>
    </row>
    <row r="3150" spans="1:31" x14ac:dyDescent="0.25">
      <c r="A3150">
        <v>381</v>
      </c>
      <c r="B3150" t="s">
        <v>243</v>
      </c>
      <c r="C3150">
        <v>30</v>
      </c>
      <c r="D3150">
        <v>160</v>
      </c>
      <c r="E3150">
        <v>381</v>
      </c>
      <c r="F3150">
        <v>3351601</v>
      </c>
      <c r="G3150">
        <v>3439800</v>
      </c>
      <c r="H3150">
        <f t="shared" si="98"/>
        <v>76.000022675736957</v>
      </c>
      <c r="I3150">
        <f t="shared" si="99"/>
        <v>78</v>
      </c>
      <c r="J3150" t="s">
        <v>25</v>
      </c>
      <c r="K3150">
        <v>4</v>
      </c>
      <c r="L3150" t="e">
        <f t="array" ref="L3150">VLOOKUP(J3150:$J$3871&amp;K3150:$K$3871,CHOOSE({1,2},#REF!&amp;#REF!,#REF!),2,0)</f>
        <v>#N/A</v>
      </c>
      <c r="M3150">
        <v>0</v>
      </c>
      <c r="N3150">
        <v>1</v>
      </c>
      <c r="O3150" t="s">
        <v>23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1</v>
      </c>
      <c r="X3150">
        <v>1</v>
      </c>
      <c r="Y3150">
        <v>0</v>
      </c>
      <c r="Z3150">
        <v>1</v>
      </c>
      <c r="AA3150" t="s">
        <v>3672</v>
      </c>
      <c r="AB3150" t="s">
        <v>6404</v>
      </c>
      <c r="AC3150" t="s">
        <v>3672</v>
      </c>
      <c r="AD3150" t="e">
        <f>VLOOKUP(AB3150,#REF!,2,FALSE)</f>
        <v>#REF!</v>
      </c>
      <c r="AE3150" t="e">
        <f>RIGHT(#REF!,(FIND("Complex",#REF!,1)-5))</f>
        <v>#REF!</v>
      </c>
    </row>
    <row r="3151" spans="1:31" x14ac:dyDescent="0.25">
      <c r="A3151">
        <v>1221</v>
      </c>
      <c r="B3151" t="s">
        <v>243</v>
      </c>
      <c r="C3151">
        <v>30</v>
      </c>
      <c r="D3151">
        <v>538</v>
      </c>
      <c r="E3151">
        <v>1221</v>
      </c>
      <c r="F3151">
        <v>3087001</v>
      </c>
      <c r="G3151">
        <v>3175200</v>
      </c>
      <c r="H3151">
        <f t="shared" si="98"/>
        <v>70.000022675736957</v>
      </c>
      <c r="I3151">
        <f t="shared" si="99"/>
        <v>72</v>
      </c>
      <c r="J3151" t="s">
        <v>25</v>
      </c>
      <c r="K3151">
        <v>4</v>
      </c>
      <c r="L3151" t="e">
        <f t="array" ref="L3151">VLOOKUP(J3151:$J$3871&amp;K3151:$K$3871,CHOOSE({1,2},#REF!&amp;#REF!,#REF!),2,0)</f>
        <v>#N/A</v>
      </c>
      <c r="M3151">
        <v>0</v>
      </c>
      <c r="N3151">
        <v>1</v>
      </c>
      <c r="O3151" t="s">
        <v>23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1</v>
      </c>
      <c r="X3151">
        <v>1</v>
      </c>
      <c r="Y3151">
        <v>0</v>
      </c>
      <c r="Z3151">
        <v>1</v>
      </c>
      <c r="AA3151" t="s">
        <v>3709</v>
      </c>
      <c r="AB3151" t="s">
        <v>6427</v>
      </c>
      <c r="AC3151" t="s">
        <v>3709</v>
      </c>
      <c r="AD3151" t="e">
        <f>VLOOKUP(AB3151,#REF!,2,FALSE)</f>
        <v>#REF!</v>
      </c>
      <c r="AE3151" t="e">
        <f>RIGHT(#REF!,(FIND("Complex",#REF!,1)-6))</f>
        <v>#REF!</v>
      </c>
    </row>
    <row r="3152" spans="1:31" x14ac:dyDescent="0.25">
      <c r="A3152">
        <v>901</v>
      </c>
      <c r="B3152" t="s">
        <v>243</v>
      </c>
      <c r="C3152">
        <v>30</v>
      </c>
      <c r="D3152">
        <v>401</v>
      </c>
      <c r="E3152">
        <v>901</v>
      </c>
      <c r="F3152">
        <v>2734201</v>
      </c>
      <c r="G3152">
        <v>2822400</v>
      </c>
      <c r="H3152">
        <f t="shared" si="98"/>
        <v>62.000022675736965</v>
      </c>
      <c r="I3152">
        <f t="shared" si="99"/>
        <v>64</v>
      </c>
      <c r="J3152" t="s">
        <v>25</v>
      </c>
      <c r="K3152">
        <v>4</v>
      </c>
      <c r="L3152" t="e">
        <f t="array" ref="L3152">VLOOKUP(J3152:$J$3871&amp;K3152:$K$3871,CHOOSE({1,2},#REF!&amp;#REF!,#REF!),2,0)</f>
        <v>#N/A</v>
      </c>
      <c r="M3152">
        <v>0</v>
      </c>
      <c r="N3152">
        <v>1</v>
      </c>
      <c r="O3152" t="s">
        <v>23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1</v>
      </c>
      <c r="X3152">
        <v>1</v>
      </c>
      <c r="Y3152">
        <v>0</v>
      </c>
      <c r="Z3152">
        <v>1</v>
      </c>
      <c r="AA3152" t="s">
        <v>3767</v>
      </c>
      <c r="AB3152" t="s">
        <v>6463</v>
      </c>
      <c r="AC3152" t="s">
        <v>3767</v>
      </c>
      <c r="AD3152" t="e">
        <f>VLOOKUP(AB3152,#REF!,2,FALSE)</f>
        <v>#REF!</v>
      </c>
      <c r="AE3152" t="e">
        <f>RIGHT(#REF!,(FIND("Complex",#REF!,1)-5))</f>
        <v>#REF!</v>
      </c>
    </row>
    <row r="3153" spans="1:31" x14ac:dyDescent="0.25">
      <c r="A3153">
        <v>1739</v>
      </c>
      <c r="B3153" t="s">
        <v>243</v>
      </c>
      <c r="C3153">
        <v>30</v>
      </c>
      <c r="D3153">
        <v>757</v>
      </c>
      <c r="E3153">
        <v>1739</v>
      </c>
      <c r="F3153">
        <v>1764001</v>
      </c>
      <c r="G3153">
        <v>1852200</v>
      </c>
      <c r="H3153">
        <f t="shared" si="98"/>
        <v>40.000022675736965</v>
      </c>
      <c r="I3153">
        <f t="shared" si="99"/>
        <v>42</v>
      </c>
      <c r="J3153" t="s">
        <v>25</v>
      </c>
      <c r="K3153">
        <v>4</v>
      </c>
      <c r="L3153" t="e">
        <f t="array" ref="L3153">VLOOKUP(J3153:$J$3871&amp;K3153:$K$3871,CHOOSE({1,2},#REF!&amp;#REF!,#REF!),2,0)</f>
        <v>#N/A</v>
      </c>
      <c r="M3153">
        <v>0</v>
      </c>
      <c r="N3153">
        <v>1</v>
      </c>
      <c r="O3153" t="s">
        <v>23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1</v>
      </c>
      <c r="X3153">
        <v>1</v>
      </c>
      <c r="Y3153">
        <v>0</v>
      </c>
      <c r="Z3153">
        <v>1</v>
      </c>
      <c r="AA3153" t="s">
        <v>3950</v>
      </c>
      <c r="AB3153" t="s">
        <v>6570</v>
      </c>
      <c r="AC3153" t="s">
        <v>3950</v>
      </c>
      <c r="AD3153" t="e">
        <f>VLOOKUP(AB3153,#REF!,2,FALSE)</f>
        <v>#REF!</v>
      </c>
      <c r="AE3153" t="e">
        <f>RIGHT(#REF!,(FIND("Complex",#REF!,1)-6))</f>
        <v>#REF!</v>
      </c>
    </row>
    <row r="3154" spans="1:31" x14ac:dyDescent="0.25">
      <c r="A3154">
        <v>1666</v>
      </c>
      <c r="B3154" t="s">
        <v>243</v>
      </c>
      <c r="C3154">
        <v>30</v>
      </c>
      <c r="D3154">
        <v>728</v>
      </c>
      <c r="E3154">
        <v>1666</v>
      </c>
      <c r="F3154">
        <v>10231201</v>
      </c>
      <c r="G3154">
        <v>10319400</v>
      </c>
      <c r="H3154">
        <f t="shared" si="98"/>
        <v>232.00002267573697</v>
      </c>
      <c r="I3154">
        <f t="shared" si="99"/>
        <v>234</v>
      </c>
      <c r="J3154" t="s">
        <v>25</v>
      </c>
      <c r="K3154">
        <v>4</v>
      </c>
      <c r="L3154" t="e">
        <f t="array" ref="L3154">VLOOKUP(J3154:$J$3871&amp;K3154:$K$3871,CHOOSE({1,2},#REF!&amp;#REF!,#REF!),2,0)</f>
        <v>#N/A</v>
      </c>
      <c r="M3154">
        <v>0</v>
      </c>
      <c r="N3154">
        <v>1</v>
      </c>
      <c r="O3154" t="s">
        <v>23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1</v>
      </c>
      <c r="X3154">
        <v>1</v>
      </c>
      <c r="Y3154">
        <v>0</v>
      </c>
      <c r="Z3154">
        <v>1</v>
      </c>
      <c r="AA3154" t="s">
        <v>4215</v>
      </c>
      <c r="AB3154" t="s">
        <v>6750</v>
      </c>
      <c r="AC3154" t="s">
        <v>4215</v>
      </c>
      <c r="AD3154" t="e">
        <f>VLOOKUP(AB3154,#REF!,2,FALSE)</f>
        <v>#REF!</v>
      </c>
      <c r="AE3154" t="e">
        <f>RIGHT(#REF!,(FIND("Complex",#REF!,1)-5))</f>
        <v>#REF!</v>
      </c>
    </row>
    <row r="3155" spans="1:31" x14ac:dyDescent="0.25">
      <c r="A3155">
        <v>1617</v>
      </c>
      <c r="B3155" t="s">
        <v>243</v>
      </c>
      <c r="C3155">
        <v>30</v>
      </c>
      <c r="D3155">
        <v>700</v>
      </c>
      <c r="E3155">
        <v>1617</v>
      </c>
      <c r="F3155">
        <v>8379001</v>
      </c>
      <c r="G3155">
        <v>8467200</v>
      </c>
      <c r="H3155">
        <f t="shared" si="98"/>
        <v>190.00002267573697</v>
      </c>
      <c r="I3155">
        <f t="shared" si="99"/>
        <v>192</v>
      </c>
      <c r="J3155" t="s">
        <v>25</v>
      </c>
      <c r="K3155">
        <v>4</v>
      </c>
      <c r="L3155" t="e">
        <f t="array" ref="L3155">VLOOKUP(J3155:$J$3871&amp;K3155:$K$3871,CHOOSE({1,2},#REF!&amp;#REF!,#REF!),2,0)</f>
        <v>#N/A</v>
      </c>
      <c r="M3155">
        <v>0</v>
      </c>
      <c r="N3155">
        <v>1</v>
      </c>
      <c r="O3155" t="s">
        <v>23</v>
      </c>
      <c r="P3155">
        <v>0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1</v>
      </c>
      <c r="X3155">
        <v>1</v>
      </c>
      <c r="Y3155">
        <v>0</v>
      </c>
      <c r="Z3155">
        <v>1</v>
      </c>
      <c r="AA3155" t="s">
        <v>4368</v>
      </c>
      <c r="AB3155" t="s">
        <v>915</v>
      </c>
      <c r="AC3155" t="s">
        <v>4368</v>
      </c>
      <c r="AD3155" t="e">
        <f>VLOOKUP(AB3155,#REF!,2,FALSE)</f>
        <v>#REF!</v>
      </c>
      <c r="AE3155" t="e">
        <f>RIGHT(#REF!,(FIND("Complex",#REF!,1)-5))</f>
        <v>#REF!</v>
      </c>
    </row>
    <row r="3156" spans="1:31" x14ac:dyDescent="0.25">
      <c r="A3156">
        <v>1832</v>
      </c>
      <c r="B3156" t="s">
        <v>243</v>
      </c>
      <c r="C3156">
        <v>30</v>
      </c>
      <c r="D3156">
        <v>795</v>
      </c>
      <c r="E3156">
        <v>1832</v>
      </c>
      <c r="F3156">
        <v>7408801</v>
      </c>
      <c r="G3156">
        <v>7497000</v>
      </c>
      <c r="H3156">
        <f t="shared" si="98"/>
        <v>168.00002267573697</v>
      </c>
      <c r="I3156">
        <f t="shared" si="99"/>
        <v>170</v>
      </c>
      <c r="J3156" t="s">
        <v>25</v>
      </c>
      <c r="K3156">
        <v>4</v>
      </c>
      <c r="L3156" t="e">
        <f t="array" ref="L3156">VLOOKUP(J3156:$J$3871&amp;K3156:$K$3871,CHOOSE({1,2},#REF!&amp;#REF!,#REF!),2,0)</f>
        <v>#N/A</v>
      </c>
      <c r="M3156">
        <v>0</v>
      </c>
      <c r="N3156">
        <v>1</v>
      </c>
      <c r="O3156" t="s">
        <v>23</v>
      </c>
      <c r="P3156">
        <v>0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1</v>
      </c>
      <c r="X3156">
        <v>1</v>
      </c>
      <c r="Y3156">
        <v>0</v>
      </c>
      <c r="Z3156">
        <v>1</v>
      </c>
      <c r="AA3156" t="s">
        <v>4446</v>
      </c>
      <c r="AB3156" t="s">
        <v>6887</v>
      </c>
      <c r="AC3156" t="s">
        <v>4446</v>
      </c>
      <c r="AD3156" t="e">
        <f>VLOOKUP(AB3156,#REF!,2,FALSE)</f>
        <v>#REF!</v>
      </c>
      <c r="AE3156" t="e">
        <f>RIGHT(#REF!,(FIND("Complex",#REF!,1)-5))</f>
        <v>#REF!</v>
      </c>
    </row>
    <row r="3157" spans="1:31" x14ac:dyDescent="0.25">
      <c r="A3157">
        <v>1008</v>
      </c>
      <c r="B3157" t="s">
        <v>243</v>
      </c>
      <c r="C3157">
        <v>30</v>
      </c>
      <c r="D3157">
        <v>445</v>
      </c>
      <c r="E3157">
        <v>1008</v>
      </c>
      <c r="F3157">
        <v>6967801</v>
      </c>
      <c r="G3157">
        <v>7056000</v>
      </c>
      <c r="H3157">
        <f t="shared" si="98"/>
        <v>158.00002267573697</v>
      </c>
      <c r="I3157">
        <f t="shared" si="99"/>
        <v>160</v>
      </c>
      <c r="J3157" t="s">
        <v>25</v>
      </c>
      <c r="K3157">
        <v>4</v>
      </c>
      <c r="L3157" t="e">
        <f t="array" ref="L3157">VLOOKUP(J3157:$J$3871&amp;K3157:$K$3871,CHOOSE({1,2},#REF!&amp;#REF!,#REF!),2,0)</f>
        <v>#N/A</v>
      </c>
      <c r="M3157">
        <v>0</v>
      </c>
      <c r="N3157">
        <v>1</v>
      </c>
      <c r="O3157" t="s">
        <v>23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1</v>
      </c>
      <c r="X3157">
        <v>1</v>
      </c>
      <c r="Y3157">
        <v>0</v>
      </c>
      <c r="Z3157">
        <v>1</v>
      </c>
      <c r="AA3157" t="s">
        <v>4511</v>
      </c>
      <c r="AB3157" t="s">
        <v>6931</v>
      </c>
      <c r="AC3157" t="s">
        <v>4511</v>
      </c>
      <c r="AD3157" t="e">
        <f>VLOOKUP(AB3157,#REF!,2,FALSE)</f>
        <v>#REF!</v>
      </c>
      <c r="AE3157" t="e">
        <f>RIGHT(#REF!,(FIND("Complex",#REF!,1)-5))</f>
        <v>#REF!</v>
      </c>
    </row>
    <row r="3158" spans="1:31" x14ac:dyDescent="0.25">
      <c r="A3158">
        <v>1510</v>
      </c>
      <c r="B3158" t="s">
        <v>243</v>
      </c>
      <c r="C3158">
        <v>30</v>
      </c>
      <c r="D3158">
        <v>662</v>
      </c>
      <c r="E3158">
        <v>1510</v>
      </c>
      <c r="F3158">
        <v>6703201</v>
      </c>
      <c r="G3158">
        <v>6791400</v>
      </c>
      <c r="H3158">
        <f t="shared" si="98"/>
        <v>152.00002267573697</v>
      </c>
      <c r="I3158">
        <f t="shared" si="99"/>
        <v>154</v>
      </c>
      <c r="J3158" t="s">
        <v>25</v>
      </c>
      <c r="K3158">
        <v>4</v>
      </c>
      <c r="L3158" t="e">
        <f t="array" ref="L3158">VLOOKUP(J3158:$J$3871&amp;K3158:$K$3871,CHOOSE({1,2},#REF!&amp;#REF!,#REF!),2,0)</f>
        <v>#N/A</v>
      </c>
      <c r="M3158">
        <v>0</v>
      </c>
      <c r="N3158">
        <v>1</v>
      </c>
      <c r="O3158" t="s">
        <v>23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1</v>
      </c>
      <c r="X3158">
        <v>1</v>
      </c>
      <c r="Y3158">
        <v>0</v>
      </c>
      <c r="Z3158">
        <v>1</v>
      </c>
      <c r="AA3158" t="s">
        <v>4540</v>
      </c>
      <c r="AB3158" t="s">
        <v>6953</v>
      </c>
      <c r="AC3158" t="s">
        <v>4540</v>
      </c>
      <c r="AD3158" t="e">
        <f>VLOOKUP(AB3158,#REF!,2,FALSE)</f>
        <v>#REF!</v>
      </c>
      <c r="AE3158" t="e">
        <f>RIGHT(#REF!,(FIND("Complex",#REF!,1)-5))</f>
        <v>#REF!</v>
      </c>
    </row>
    <row r="3159" spans="1:31" x14ac:dyDescent="0.25">
      <c r="A3159">
        <v>762</v>
      </c>
      <c r="B3159" t="s">
        <v>243</v>
      </c>
      <c r="C3159">
        <v>30</v>
      </c>
      <c r="D3159">
        <v>340</v>
      </c>
      <c r="E3159">
        <v>762</v>
      </c>
      <c r="F3159">
        <v>6350401</v>
      </c>
      <c r="G3159">
        <v>6438600</v>
      </c>
      <c r="H3159">
        <f t="shared" si="98"/>
        <v>144.00002267573697</v>
      </c>
      <c r="I3159">
        <f t="shared" si="99"/>
        <v>146</v>
      </c>
      <c r="J3159" t="s">
        <v>25</v>
      </c>
      <c r="K3159">
        <v>4</v>
      </c>
      <c r="L3159" t="e">
        <f t="array" ref="L3159">VLOOKUP(J3159:$J$3871&amp;K3159:$K$3871,CHOOSE({1,2},#REF!&amp;#REF!,#REF!),2,0)</f>
        <v>#N/A</v>
      </c>
      <c r="M3159">
        <v>0</v>
      </c>
      <c r="N3159">
        <v>1</v>
      </c>
      <c r="O3159" t="s">
        <v>23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1</v>
      </c>
      <c r="X3159">
        <v>1</v>
      </c>
      <c r="Y3159">
        <v>0</v>
      </c>
      <c r="Z3159">
        <v>1</v>
      </c>
      <c r="AA3159" t="s">
        <v>4583</v>
      </c>
      <c r="AB3159" t="s">
        <v>6984</v>
      </c>
      <c r="AC3159" t="s">
        <v>4583</v>
      </c>
      <c r="AD3159" t="e">
        <f>VLOOKUP(AB3159,#REF!,2,FALSE)</f>
        <v>#REF!</v>
      </c>
      <c r="AE3159" t="e">
        <f>RIGHT(#REF!,(FIND("Complex",#REF!,1)-4))</f>
        <v>#REF!</v>
      </c>
    </row>
    <row r="3160" spans="1:31" x14ac:dyDescent="0.25">
      <c r="A3160">
        <v>504</v>
      </c>
      <c r="B3160" t="s">
        <v>243</v>
      </c>
      <c r="C3160">
        <v>30</v>
      </c>
      <c r="D3160">
        <v>207</v>
      </c>
      <c r="E3160">
        <v>504</v>
      </c>
      <c r="F3160">
        <v>5909401</v>
      </c>
      <c r="G3160">
        <v>5997600</v>
      </c>
      <c r="H3160">
        <f t="shared" si="98"/>
        <v>134.00002267573697</v>
      </c>
      <c r="I3160">
        <f t="shared" si="99"/>
        <v>136</v>
      </c>
      <c r="J3160" t="s">
        <v>25</v>
      </c>
      <c r="K3160">
        <v>4</v>
      </c>
      <c r="L3160" t="e">
        <f t="array" ref="L3160">VLOOKUP(J3160:$J$3871&amp;K3160:$K$3871,CHOOSE({1,2},#REF!&amp;#REF!,#REF!),2,0)</f>
        <v>#N/A</v>
      </c>
      <c r="M3160">
        <v>0</v>
      </c>
      <c r="N3160">
        <v>1</v>
      </c>
      <c r="O3160" t="s">
        <v>23</v>
      </c>
      <c r="P3160">
        <v>0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1</v>
      </c>
      <c r="X3160">
        <v>1</v>
      </c>
      <c r="Y3160">
        <v>0</v>
      </c>
      <c r="Z3160">
        <v>1</v>
      </c>
      <c r="AA3160" t="s">
        <v>4656</v>
      </c>
      <c r="AB3160" t="s">
        <v>7027</v>
      </c>
      <c r="AC3160" t="s">
        <v>4656</v>
      </c>
      <c r="AD3160" t="e">
        <f>VLOOKUP(AB3160,#REF!,2,FALSE)</f>
        <v>#REF!</v>
      </c>
      <c r="AE3160" t="e">
        <f>RIGHT(#REF!,(FIND("Complex",#REF!,1)-4))</f>
        <v>#REF!</v>
      </c>
    </row>
    <row r="3161" spans="1:31" x14ac:dyDescent="0.25">
      <c r="A3161">
        <v>711</v>
      </c>
      <c r="B3161" t="s">
        <v>243</v>
      </c>
      <c r="C3161">
        <v>30</v>
      </c>
      <c r="D3161">
        <v>312</v>
      </c>
      <c r="E3161">
        <v>711</v>
      </c>
      <c r="F3161">
        <v>5380201</v>
      </c>
      <c r="G3161">
        <v>5468400</v>
      </c>
      <c r="H3161">
        <f t="shared" si="98"/>
        <v>122.00002267573696</v>
      </c>
      <c r="I3161">
        <f t="shared" si="99"/>
        <v>124</v>
      </c>
      <c r="J3161" t="s">
        <v>25</v>
      </c>
      <c r="K3161">
        <v>4</v>
      </c>
      <c r="L3161" t="e">
        <f t="array" ref="L3161">VLOOKUP(J3161:$J$3871&amp;K3161:$K$3871,CHOOSE({1,2},#REF!&amp;#REF!,#REF!),2,0)</f>
        <v>#N/A</v>
      </c>
      <c r="M3161">
        <v>0</v>
      </c>
      <c r="N3161">
        <v>1</v>
      </c>
      <c r="O3161" t="s">
        <v>23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1</v>
      </c>
      <c r="X3161">
        <v>1</v>
      </c>
      <c r="Y3161">
        <v>0</v>
      </c>
      <c r="Z3161">
        <v>1</v>
      </c>
      <c r="AA3161" t="s">
        <v>4708</v>
      </c>
      <c r="AB3161" t="s">
        <v>7059</v>
      </c>
      <c r="AC3161" t="s">
        <v>4708</v>
      </c>
      <c r="AD3161" t="e">
        <f>VLOOKUP(AB3161,#REF!,2,FALSE)</f>
        <v>#REF!</v>
      </c>
      <c r="AE3161" t="e">
        <f>RIGHT(#REF!,(FIND("Complex",#REF!,1)-4))</f>
        <v>#REF!</v>
      </c>
    </row>
    <row r="3162" spans="1:31" x14ac:dyDescent="0.25">
      <c r="A3162">
        <v>145</v>
      </c>
      <c r="B3162" t="s">
        <v>243</v>
      </c>
      <c r="C3162">
        <v>30</v>
      </c>
      <c r="D3162">
        <v>63</v>
      </c>
      <c r="E3162">
        <v>145</v>
      </c>
      <c r="F3162">
        <v>5292001</v>
      </c>
      <c r="G3162">
        <v>5380200</v>
      </c>
      <c r="H3162">
        <f t="shared" si="98"/>
        <v>120.00002267573696</v>
      </c>
      <c r="I3162">
        <f t="shared" si="99"/>
        <v>122</v>
      </c>
      <c r="J3162" t="s">
        <v>25</v>
      </c>
      <c r="K3162">
        <v>4</v>
      </c>
      <c r="L3162" t="e">
        <f t="array" ref="L3162">VLOOKUP(J3162:$J$3871&amp;K3162:$K$3871,CHOOSE({1,2},#REF!&amp;#REF!,#REF!),2,0)</f>
        <v>#N/A</v>
      </c>
      <c r="M3162">
        <v>0</v>
      </c>
      <c r="N3162">
        <v>1</v>
      </c>
      <c r="O3162" t="s">
        <v>23</v>
      </c>
      <c r="P3162">
        <v>0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1</v>
      </c>
      <c r="X3162">
        <v>1</v>
      </c>
      <c r="Y3162">
        <v>0</v>
      </c>
      <c r="Z3162">
        <v>1</v>
      </c>
      <c r="AA3162" t="s">
        <v>4715</v>
      </c>
      <c r="AB3162" t="s">
        <v>7063</v>
      </c>
      <c r="AC3162" t="s">
        <v>4715</v>
      </c>
      <c r="AD3162" t="e">
        <f>VLOOKUP(AB3162,#REF!,2,FALSE)</f>
        <v>#REF!</v>
      </c>
      <c r="AE3162" t="e">
        <f>RIGHT(#REF!,(FIND("Complex",#REF!,1)-4))</f>
        <v>#REF!</v>
      </c>
    </row>
    <row r="3163" spans="1:31" x14ac:dyDescent="0.25">
      <c r="A3163">
        <v>1411</v>
      </c>
      <c r="B3163" t="s">
        <v>63</v>
      </c>
      <c r="C3163">
        <v>32</v>
      </c>
      <c r="D3163">
        <v>619</v>
      </c>
      <c r="E3163">
        <v>1411</v>
      </c>
      <c r="F3163">
        <v>3528001</v>
      </c>
      <c r="G3163">
        <v>3616200</v>
      </c>
      <c r="H3163">
        <f t="shared" si="98"/>
        <v>80.000022675736957</v>
      </c>
      <c r="I3163">
        <f t="shared" si="99"/>
        <v>82</v>
      </c>
      <c r="J3163" t="s">
        <v>25</v>
      </c>
      <c r="K3163">
        <v>4</v>
      </c>
      <c r="L3163" t="e">
        <f t="array" ref="L3163">VLOOKUP(J3163:$J$3871&amp;K3163:$K$3871,CHOOSE({1,2},#REF!&amp;#REF!,#REF!),2,0)</f>
        <v>#N/A</v>
      </c>
      <c r="M3163">
        <v>0</v>
      </c>
      <c r="N3163">
        <v>1</v>
      </c>
      <c r="O3163" t="s">
        <v>23</v>
      </c>
      <c r="P3163">
        <v>1</v>
      </c>
      <c r="Q3163">
        <v>1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1</v>
      </c>
      <c r="Y3163">
        <v>0</v>
      </c>
      <c r="Z3163">
        <v>0</v>
      </c>
      <c r="AA3163" t="s">
        <v>3627</v>
      </c>
      <c r="AB3163" t="s">
        <v>6384</v>
      </c>
      <c r="AC3163" t="s">
        <v>3627</v>
      </c>
      <c r="AD3163" t="e">
        <f>VLOOKUP(AB3163,#REF!,2,FALSE)</f>
        <v>#REF!</v>
      </c>
      <c r="AE3163" t="e">
        <f>RIGHT(#REF!,(FIND("Complex",#REF!,1)-6))</f>
        <v>#REF!</v>
      </c>
    </row>
    <row r="3164" spans="1:31" x14ac:dyDescent="0.25">
      <c r="A3164">
        <v>1125</v>
      </c>
      <c r="B3164" t="s">
        <v>63</v>
      </c>
      <c r="C3164">
        <v>32</v>
      </c>
      <c r="D3164">
        <v>502</v>
      </c>
      <c r="E3164">
        <v>1125</v>
      </c>
      <c r="F3164">
        <v>2293201</v>
      </c>
      <c r="G3164">
        <v>2381400</v>
      </c>
      <c r="H3164">
        <f t="shared" si="98"/>
        <v>52.000022675736965</v>
      </c>
      <c r="I3164">
        <f t="shared" si="99"/>
        <v>54</v>
      </c>
      <c r="J3164" t="s">
        <v>25</v>
      </c>
      <c r="K3164">
        <v>4</v>
      </c>
      <c r="L3164" t="e">
        <f t="array" ref="L3164">VLOOKUP(J3164:$J$3871&amp;K3164:$K$3871,CHOOSE({1,2},#REF!&amp;#REF!,#REF!),2,0)</f>
        <v>#N/A</v>
      </c>
      <c r="M3164">
        <v>0</v>
      </c>
      <c r="N3164">
        <v>1</v>
      </c>
      <c r="O3164" t="s">
        <v>23</v>
      </c>
      <c r="P3164">
        <v>1</v>
      </c>
      <c r="Q3164">
        <v>1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1</v>
      </c>
      <c r="Y3164">
        <v>0</v>
      </c>
      <c r="Z3164">
        <v>0</v>
      </c>
      <c r="AA3164" t="s">
        <v>3863</v>
      </c>
      <c r="AB3164" t="s">
        <v>6517</v>
      </c>
      <c r="AC3164" t="s">
        <v>3863</v>
      </c>
      <c r="AD3164" t="e">
        <f>VLOOKUP(AB3164,#REF!,2,FALSE)</f>
        <v>#REF!</v>
      </c>
      <c r="AE3164" t="e">
        <f>RIGHT(#REF!,(FIND("Complex",#REF!,1)-6))</f>
        <v>#REF!</v>
      </c>
    </row>
    <row r="3165" spans="1:31" x14ac:dyDescent="0.25">
      <c r="A3165">
        <v>300</v>
      </c>
      <c r="B3165" t="s">
        <v>63</v>
      </c>
      <c r="C3165">
        <v>32</v>
      </c>
      <c r="D3165">
        <v>127</v>
      </c>
      <c r="E3165">
        <v>300</v>
      </c>
      <c r="F3165">
        <v>2205001</v>
      </c>
      <c r="G3165">
        <v>2293200</v>
      </c>
      <c r="H3165">
        <f t="shared" si="98"/>
        <v>50.000022675736965</v>
      </c>
      <c r="I3165">
        <f t="shared" si="99"/>
        <v>52</v>
      </c>
      <c r="J3165" t="s">
        <v>25</v>
      </c>
      <c r="K3165">
        <v>4</v>
      </c>
      <c r="L3165" t="e">
        <f t="array" ref="L3165">VLOOKUP(J3165:$J$3871&amp;K3165:$K$3871,CHOOSE({1,2},#REF!&amp;#REF!,#REF!),2,0)</f>
        <v>#N/A</v>
      </c>
      <c r="M3165">
        <v>0</v>
      </c>
      <c r="N3165">
        <v>1</v>
      </c>
      <c r="O3165" t="s">
        <v>23</v>
      </c>
      <c r="P3165">
        <v>1</v>
      </c>
      <c r="Q3165">
        <v>1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1</v>
      </c>
      <c r="Y3165">
        <v>0</v>
      </c>
      <c r="Z3165">
        <v>0</v>
      </c>
      <c r="AA3165" t="s">
        <v>3877</v>
      </c>
      <c r="AB3165" t="s">
        <v>6527</v>
      </c>
      <c r="AC3165" t="s">
        <v>3877</v>
      </c>
      <c r="AD3165" t="e">
        <f>VLOOKUP(AB3165,#REF!,2,FALSE)</f>
        <v>#REF!</v>
      </c>
      <c r="AE3165" t="e">
        <f>RIGHT(#REF!,(FIND("Complex",#REF!,1)-5))</f>
        <v>#REF!</v>
      </c>
    </row>
    <row r="3166" spans="1:31" x14ac:dyDescent="0.25">
      <c r="A3166">
        <v>210</v>
      </c>
      <c r="B3166" t="s">
        <v>64</v>
      </c>
      <c r="C3166">
        <v>33</v>
      </c>
      <c r="D3166">
        <v>85</v>
      </c>
      <c r="E3166">
        <v>210</v>
      </c>
      <c r="F3166">
        <v>264601</v>
      </c>
      <c r="G3166">
        <v>352800</v>
      </c>
      <c r="H3166">
        <f t="shared" si="98"/>
        <v>6.000022675736961</v>
      </c>
      <c r="I3166">
        <f t="shared" si="99"/>
        <v>8</v>
      </c>
      <c r="J3166" t="s">
        <v>25</v>
      </c>
      <c r="K3166">
        <v>4</v>
      </c>
      <c r="L3166" t="e">
        <f t="array" ref="L3166">VLOOKUP(J3166:$J$3871&amp;K3166:$K$3871,CHOOSE({1,2},#REF!&amp;#REF!,#REF!),2,0)</f>
        <v>#N/A</v>
      </c>
      <c r="M3166">
        <v>0</v>
      </c>
      <c r="N3166">
        <v>1</v>
      </c>
      <c r="O3166" t="s">
        <v>23</v>
      </c>
      <c r="P3166">
        <v>0</v>
      </c>
      <c r="Q3166">
        <v>1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1</v>
      </c>
      <c r="Y3166">
        <v>1</v>
      </c>
      <c r="Z3166">
        <v>0</v>
      </c>
      <c r="AA3166" t="s">
        <v>3812</v>
      </c>
      <c r="AB3166" t="s">
        <v>6486</v>
      </c>
      <c r="AC3166" t="s">
        <v>3812</v>
      </c>
      <c r="AD3166" t="e">
        <f>VLOOKUP(AB3166,#REF!,2,FALSE)</f>
        <v>#REF!</v>
      </c>
      <c r="AE3166" t="e">
        <f>RIGHT(#REF!,(FIND("Complex",#REF!,1)-6))</f>
        <v>#REF!</v>
      </c>
    </row>
    <row r="3167" spans="1:31" x14ac:dyDescent="0.25">
      <c r="A3167">
        <v>982</v>
      </c>
      <c r="B3167" t="s">
        <v>64</v>
      </c>
      <c r="C3167">
        <v>33</v>
      </c>
      <c r="D3167">
        <v>435</v>
      </c>
      <c r="E3167">
        <v>982</v>
      </c>
      <c r="F3167">
        <v>8908201</v>
      </c>
      <c r="G3167">
        <v>8996400</v>
      </c>
      <c r="H3167">
        <f t="shared" si="98"/>
        <v>202.00002267573697</v>
      </c>
      <c r="I3167">
        <f t="shared" si="99"/>
        <v>204</v>
      </c>
      <c r="J3167" t="s">
        <v>25</v>
      </c>
      <c r="K3167">
        <v>4</v>
      </c>
      <c r="L3167" t="e">
        <f t="array" ref="L3167">VLOOKUP(J3167:$J$3871&amp;K3167:$K$3871,CHOOSE({1,2},#REF!&amp;#REF!,#REF!),2,0)</f>
        <v>#N/A</v>
      </c>
      <c r="M3167">
        <v>0</v>
      </c>
      <c r="N3167">
        <v>1</v>
      </c>
      <c r="O3167" t="s">
        <v>23</v>
      </c>
      <c r="P3167">
        <v>0</v>
      </c>
      <c r="Q3167">
        <v>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1</v>
      </c>
      <c r="Y3167">
        <v>1</v>
      </c>
      <c r="Z3167">
        <v>0</v>
      </c>
      <c r="AA3167" t="s">
        <v>4289</v>
      </c>
      <c r="AB3167" t="s">
        <v>6796</v>
      </c>
      <c r="AC3167" t="s">
        <v>4289</v>
      </c>
      <c r="AD3167" t="e">
        <f>VLOOKUP(AB3167,#REF!,2,FALSE)</f>
        <v>#REF!</v>
      </c>
      <c r="AE3167" t="e">
        <f>RIGHT(#REF!,(FIND("Complex",#REF!,1)-4))</f>
        <v>#REF!</v>
      </c>
    </row>
    <row r="3168" spans="1:31" x14ac:dyDescent="0.25">
      <c r="A3168">
        <v>285</v>
      </c>
      <c r="B3168" t="s">
        <v>64</v>
      </c>
      <c r="C3168">
        <v>33</v>
      </c>
      <c r="D3168">
        <v>121</v>
      </c>
      <c r="E3168">
        <v>285</v>
      </c>
      <c r="F3168">
        <v>8820001</v>
      </c>
      <c r="G3168">
        <v>8908200</v>
      </c>
      <c r="H3168">
        <f t="shared" si="98"/>
        <v>200.00002267573697</v>
      </c>
      <c r="I3168">
        <f t="shared" si="99"/>
        <v>202</v>
      </c>
      <c r="J3168" t="s">
        <v>25</v>
      </c>
      <c r="K3168">
        <v>4</v>
      </c>
      <c r="L3168" t="e">
        <f t="array" ref="L3168">VLOOKUP(J3168:$J$3871&amp;K3168:$K$3871,CHOOSE({1,2},#REF!&amp;#REF!,#REF!),2,0)</f>
        <v>#N/A</v>
      </c>
      <c r="M3168">
        <v>0</v>
      </c>
      <c r="N3168">
        <v>1</v>
      </c>
      <c r="O3168" t="s">
        <v>23</v>
      </c>
      <c r="P3168">
        <v>0</v>
      </c>
      <c r="Q3168">
        <v>1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1</v>
      </c>
      <c r="Y3168">
        <v>1</v>
      </c>
      <c r="Z3168">
        <v>0</v>
      </c>
      <c r="AA3168" t="s">
        <v>4297</v>
      </c>
      <c r="AB3168" t="s">
        <v>6799</v>
      </c>
      <c r="AC3168" t="s">
        <v>4297</v>
      </c>
      <c r="AD3168" t="e">
        <f>VLOOKUP(AB3168,#REF!,2,FALSE)</f>
        <v>#REF!</v>
      </c>
      <c r="AE3168" t="e">
        <f>RIGHT(#REF!,(FIND("Complex",#REF!,1)-4))</f>
        <v>#REF!</v>
      </c>
    </row>
    <row r="3169" spans="1:31" x14ac:dyDescent="0.25">
      <c r="A3169">
        <v>1944</v>
      </c>
      <c r="B3169" t="s">
        <v>92</v>
      </c>
      <c r="C3169">
        <v>34</v>
      </c>
      <c r="D3169">
        <v>838</v>
      </c>
      <c r="E3169">
        <v>1944</v>
      </c>
      <c r="F3169">
        <v>3616201</v>
      </c>
      <c r="G3169">
        <v>3704400</v>
      </c>
      <c r="H3169">
        <f t="shared" si="98"/>
        <v>82.000022675736957</v>
      </c>
      <c r="I3169">
        <f t="shared" si="99"/>
        <v>84</v>
      </c>
      <c r="J3169" t="s">
        <v>25</v>
      </c>
      <c r="K3169">
        <v>4</v>
      </c>
      <c r="L3169" t="e">
        <f t="array" ref="L3169">VLOOKUP(J3169:$J$3871&amp;K3169:$K$3871,CHOOSE({1,2},#REF!&amp;#REF!,#REF!),2,0)</f>
        <v>#N/A</v>
      </c>
      <c r="M3169">
        <v>0</v>
      </c>
      <c r="N3169">
        <v>1</v>
      </c>
      <c r="O3169" t="s">
        <v>23</v>
      </c>
      <c r="P3169">
        <v>1</v>
      </c>
      <c r="Q3169">
        <v>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1</v>
      </c>
      <c r="Y3169">
        <v>0</v>
      </c>
      <c r="Z3169">
        <v>0</v>
      </c>
      <c r="AA3169" t="s">
        <v>3613</v>
      </c>
      <c r="AB3169" t="s">
        <v>6375</v>
      </c>
      <c r="AC3169" t="s">
        <v>3613</v>
      </c>
      <c r="AD3169" t="e">
        <f>VLOOKUP(AB3169,#REF!,2,FALSE)</f>
        <v>#REF!</v>
      </c>
      <c r="AE3169" t="e">
        <f>RIGHT(#REF!,(FIND("Complex",#REF!,1)-6))</f>
        <v>#REF!</v>
      </c>
    </row>
    <row r="3170" spans="1:31" x14ac:dyDescent="0.25">
      <c r="A3170">
        <v>1426</v>
      </c>
      <c r="B3170" t="s">
        <v>92</v>
      </c>
      <c r="C3170">
        <v>34</v>
      </c>
      <c r="D3170">
        <v>624</v>
      </c>
      <c r="E3170">
        <v>1426</v>
      </c>
      <c r="F3170">
        <v>3263401</v>
      </c>
      <c r="G3170">
        <v>3351600</v>
      </c>
      <c r="H3170">
        <f t="shared" si="98"/>
        <v>74.000022675736957</v>
      </c>
      <c r="I3170">
        <f t="shared" si="99"/>
        <v>76</v>
      </c>
      <c r="J3170" t="s">
        <v>25</v>
      </c>
      <c r="K3170">
        <v>4</v>
      </c>
      <c r="L3170" t="e">
        <f t="array" ref="L3170">VLOOKUP(J3170:$J$3871&amp;K3170:$K$3871,CHOOSE({1,2},#REF!&amp;#REF!,#REF!),2,0)</f>
        <v>#N/A</v>
      </c>
      <c r="M3170">
        <v>0</v>
      </c>
      <c r="N3170">
        <v>1</v>
      </c>
      <c r="O3170" t="s">
        <v>23</v>
      </c>
      <c r="P3170">
        <v>1</v>
      </c>
      <c r="Q3170">
        <v>1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1</v>
      </c>
      <c r="Y3170">
        <v>0</v>
      </c>
      <c r="Z3170">
        <v>0</v>
      </c>
      <c r="AA3170" t="s">
        <v>3681</v>
      </c>
      <c r="AB3170" t="s">
        <v>6411</v>
      </c>
      <c r="AC3170" t="s">
        <v>3681</v>
      </c>
      <c r="AD3170" t="e">
        <f>VLOOKUP(AB3170,#REF!,2,FALSE)</f>
        <v>#REF!</v>
      </c>
      <c r="AE3170" t="e">
        <f>RIGHT(#REF!,(FIND("Complex",#REF!,1)-6))</f>
        <v>#REF!</v>
      </c>
    </row>
    <row r="3171" spans="1:31" x14ac:dyDescent="0.25">
      <c r="A3171">
        <v>1197</v>
      </c>
      <c r="B3171" t="s">
        <v>92</v>
      </c>
      <c r="C3171">
        <v>34</v>
      </c>
      <c r="D3171">
        <v>528</v>
      </c>
      <c r="E3171">
        <v>1197</v>
      </c>
      <c r="F3171">
        <v>4851001</v>
      </c>
      <c r="G3171">
        <v>4939200</v>
      </c>
      <c r="H3171">
        <f t="shared" si="98"/>
        <v>110.00002267573696</v>
      </c>
      <c r="I3171">
        <f t="shared" si="99"/>
        <v>112</v>
      </c>
      <c r="J3171" t="s">
        <v>25</v>
      </c>
      <c r="K3171">
        <v>4</v>
      </c>
      <c r="L3171" t="e">
        <f t="array" ref="L3171">VLOOKUP(J3171:$J$3871&amp;K3171:$K$3871,CHOOSE({1,2},#REF!&amp;#REF!,#REF!),2,0)</f>
        <v>#N/A</v>
      </c>
      <c r="M3171">
        <v>0</v>
      </c>
      <c r="N3171">
        <v>1</v>
      </c>
      <c r="O3171" t="s">
        <v>23</v>
      </c>
      <c r="P3171">
        <v>1</v>
      </c>
      <c r="Q3171">
        <v>1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1</v>
      </c>
      <c r="Y3171">
        <v>0</v>
      </c>
      <c r="Z3171">
        <v>0</v>
      </c>
      <c r="AA3171" t="s">
        <v>4782</v>
      </c>
      <c r="AB3171" t="s">
        <v>7101</v>
      </c>
      <c r="AC3171" t="s">
        <v>4782</v>
      </c>
      <c r="AD3171" t="e">
        <f>VLOOKUP(AB3171,#REF!,2,FALSE)</f>
        <v>#REF!</v>
      </c>
      <c r="AE3171" t="e">
        <f>RIGHT(#REF!,(FIND("Complex",#REF!,1)-5))</f>
        <v>#REF!</v>
      </c>
    </row>
    <row r="3172" spans="1:31" x14ac:dyDescent="0.25">
      <c r="A3172">
        <v>244</v>
      </c>
      <c r="B3172" t="s">
        <v>60</v>
      </c>
      <c r="C3172">
        <v>35</v>
      </c>
      <c r="D3172">
        <v>105</v>
      </c>
      <c r="E3172">
        <v>244</v>
      </c>
      <c r="F3172">
        <v>8379001</v>
      </c>
      <c r="G3172">
        <v>8467200</v>
      </c>
      <c r="H3172">
        <f t="shared" si="98"/>
        <v>190.00002267573697</v>
      </c>
      <c r="I3172">
        <f t="shared" si="99"/>
        <v>192</v>
      </c>
      <c r="J3172" t="s">
        <v>25</v>
      </c>
      <c r="K3172">
        <v>4</v>
      </c>
      <c r="L3172" t="e">
        <f t="array" ref="L3172">VLOOKUP(J3172:$J$3871&amp;K3172:$K$3871,CHOOSE({1,2},#REF!&amp;#REF!,#REF!),2,0)</f>
        <v>#N/A</v>
      </c>
      <c r="M3172">
        <v>0</v>
      </c>
      <c r="N3172">
        <v>1</v>
      </c>
      <c r="O3172" t="s">
        <v>23</v>
      </c>
      <c r="P3172">
        <v>1</v>
      </c>
      <c r="Q3172">
        <v>0</v>
      </c>
      <c r="R3172">
        <v>1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1</v>
      </c>
      <c r="Y3172">
        <v>0</v>
      </c>
      <c r="Z3172">
        <v>0</v>
      </c>
      <c r="AA3172" t="s">
        <v>4367</v>
      </c>
      <c r="AB3172" t="s">
        <v>6840</v>
      </c>
      <c r="AC3172" t="s">
        <v>4367</v>
      </c>
      <c r="AD3172" t="e">
        <f>VLOOKUP(AB3172,#REF!,2,FALSE)</f>
        <v>#REF!</v>
      </c>
      <c r="AE3172" t="e">
        <f>RIGHT(#REF!,(FIND("Complex",#REF!,1)-4))</f>
        <v>#REF!</v>
      </c>
    </row>
    <row r="3173" spans="1:31" x14ac:dyDescent="0.25">
      <c r="A3173">
        <v>509</v>
      </c>
      <c r="B3173" t="s">
        <v>60</v>
      </c>
      <c r="C3173">
        <v>35</v>
      </c>
      <c r="D3173">
        <v>210</v>
      </c>
      <c r="E3173">
        <v>509</v>
      </c>
      <c r="F3173">
        <v>6350401</v>
      </c>
      <c r="G3173">
        <v>6438600</v>
      </c>
      <c r="H3173">
        <f t="shared" si="98"/>
        <v>144.00002267573697</v>
      </c>
      <c r="I3173">
        <f t="shared" si="99"/>
        <v>146</v>
      </c>
      <c r="J3173" t="s">
        <v>25</v>
      </c>
      <c r="K3173">
        <v>4</v>
      </c>
      <c r="L3173" t="e">
        <f t="array" ref="L3173">VLOOKUP(J3173:$J$3871&amp;K3173:$K$3871,CHOOSE({1,2},#REF!&amp;#REF!,#REF!),2,0)</f>
        <v>#N/A</v>
      </c>
      <c r="M3173">
        <v>0</v>
      </c>
      <c r="N3173">
        <v>1</v>
      </c>
      <c r="O3173" t="s">
        <v>23</v>
      </c>
      <c r="P3173">
        <v>0</v>
      </c>
      <c r="Q3173">
        <v>0</v>
      </c>
      <c r="R3173">
        <v>0</v>
      </c>
      <c r="S3173">
        <v>1</v>
      </c>
      <c r="T3173">
        <v>1</v>
      </c>
      <c r="U3173">
        <v>0</v>
      </c>
      <c r="V3173">
        <v>0</v>
      </c>
      <c r="W3173">
        <v>1</v>
      </c>
      <c r="X3173">
        <v>1</v>
      </c>
      <c r="Y3173">
        <v>0</v>
      </c>
      <c r="Z3173">
        <v>0</v>
      </c>
      <c r="AA3173" t="s">
        <v>4582</v>
      </c>
      <c r="AB3173" t="s">
        <v>6983</v>
      </c>
      <c r="AC3173" t="s">
        <v>4582</v>
      </c>
      <c r="AD3173" t="e">
        <f>VLOOKUP(AB3173,#REF!,2,FALSE)</f>
        <v>#REF!</v>
      </c>
      <c r="AE3173" t="e">
        <f>RIGHT(#REF!,(FIND("Complex",#REF!,1)-4))</f>
        <v>#REF!</v>
      </c>
    </row>
    <row r="3174" spans="1:31" x14ac:dyDescent="0.25">
      <c r="A3174">
        <v>1703</v>
      </c>
      <c r="B3174" t="s">
        <v>60</v>
      </c>
      <c r="C3174">
        <v>35</v>
      </c>
      <c r="D3174">
        <v>744</v>
      </c>
      <c r="E3174">
        <v>1703</v>
      </c>
      <c r="F3174">
        <v>5644801</v>
      </c>
      <c r="G3174">
        <v>5733000</v>
      </c>
      <c r="H3174">
        <f t="shared" si="98"/>
        <v>128.00002267573697</v>
      </c>
      <c r="I3174">
        <f t="shared" si="99"/>
        <v>130</v>
      </c>
      <c r="J3174" t="s">
        <v>25</v>
      </c>
      <c r="K3174">
        <v>4</v>
      </c>
      <c r="L3174" t="e">
        <f t="array" ref="L3174">VLOOKUP(J3174:$J$3871&amp;K3174:$K$3871,CHOOSE({1,2},#REF!&amp;#REF!,#REF!),2,0)</f>
        <v>#N/A</v>
      </c>
      <c r="M3174">
        <v>0</v>
      </c>
      <c r="N3174">
        <v>1</v>
      </c>
      <c r="O3174" t="s">
        <v>23</v>
      </c>
      <c r="P3174">
        <v>0</v>
      </c>
      <c r="Q3174">
        <v>0</v>
      </c>
      <c r="R3174">
        <v>0</v>
      </c>
      <c r="S3174">
        <v>1</v>
      </c>
      <c r="T3174">
        <v>1</v>
      </c>
      <c r="U3174">
        <v>0</v>
      </c>
      <c r="V3174">
        <v>0</v>
      </c>
      <c r="W3174">
        <v>1</v>
      </c>
      <c r="X3174">
        <v>1</v>
      </c>
      <c r="Y3174">
        <v>0</v>
      </c>
      <c r="Z3174">
        <v>0</v>
      </c>
      <c r="AA3174" t="s">
        <v>4684</v>
      </c>
      <c r="AB3174" t="s">
        <v>1079</v>
      </c>
      <c r="AC3174" t="s">
        <v>4684</v>
      </c>
      <c r="AD3174" t="e">
        <f>VLOOKUP(AB3174,#REF!,2,FALSE)</f>
        <v>#REF!</v>
      </c>
      <c r="AE3174" t="e">
        <f>RIGHT(#REF!,(FIND("Complex",#REF!,1)-5))</f>
        <v>#REF!</v>
      </c>
    </row>
    <row r="3175" spans="1:31" x14ac:dyDescent="0.25">
      <c r="A3175">
        <v>33</v>
      </c>
      <c r="B3175" t="s">
        <v>60</v>
      </c>
      <c r="C3175">
        <v>35</v>
      </c>
      <c r="D3175">
        <v>15</v>
      </c>
      <c r="E3175">
        <v>33</v>
      </c>
      <c r="F3175">
        <v>5380201</v>
      </c>
      <c r="G3175">
        <v>5468400</v>
      </c>
      <c r="H3175">
        <f t="shared" si="98"/>
        <v>122.00002267573696</v>
      </c>
      <c r="I3175">
        <f t="shared" si="99"/>
        <v>124</v>
      </c>
      <c r="J3175" t="s">
        <v>25</v>
      </c>
      <c r="K3175">
        <v>4</v>
      </c>
      <c r="L3175" t="e">
        <f t="array" ref="L3175">VLOOKUP(J3175:$J$3871&amp;K3175:$K$3871,CHOOSE({1,2},#REF!&amp;#REF!,#REF!),2,0)</f>
        <v>#N/A</v>
      </c>
      <c r="M3175">
        <v>0</v>
      </c>
      <c r="N3175">
        <v>1</v>
      </c>
      <c r="O3175" t="s">
        <v>23</v>
      </c>
      <c r="P3175">
        <v>0</v>
      </c>
      <c r="Q3175">
        <v>0</v>
      </c>
      <c r="R3175">
        <v>0</v>
      </c>
      <c r="S3175">
        <v>1</v>
      </c>
      <c r="T3175">
        <v>1</v>
      </c>
      <c r="U3175">
        <v>0</v>
      </c>
      <c r="V3175">
        <v>0</v>
      </c>
      <c r="W3175">
        <v>1</v>
      </c>
      <c r="X3175">
        <v>1</v>
      </c>
      <c r="Y3175">
        <v>0</v>
      </c>
      <c r="Z3175">
        <v>0</v>
      </c>
      <c r="AA3175" t="s">
        <v>4707</v>
      </c>
      <c r="AB3175" t="s">
        <v>7058</v>
      </c>
      <c r="AC3175" t="s">
        <v>4707</v>
      </c>
      <c r="AD3175" t="e">
        <f>VLOOKUP(AB3175,#REF!,2,FALSE)</f>
        <v>#REF!</v>
      </c>
      <c r="AE3175" t="e">
        <f>RIGHT(#REF!,(FIND("Complex",#REF!,1)-3))</f>
        <v>#REF!</v>
      </c>
    </row>
    <row r="3176" spans="1:31" x14ac:dyDescent="0.25">
      <c r="A3176">
        <v>1326</v>
      </c>
      <c r="B3176" t="s">
        <v>38</v>
      </c>
      <c r="C3176">
        <v>37</v>
      </c>
      <c r="D3176">
        <v>577</v>
      </c>
      <c r="E3176">
        <v>1326</v>
      </c>
      <c r="F3176">
        <v>3792601</v>
      </c>
      <c r="G3176">
        <v>3880800</v>
      </c>
      <c r="H3176">
        <f t="shared" si="98"/>
        <v>86.000022675736957</v>
      </c>
      <c r="I3176">
        <f t="shared" si="99"/>
        <v>88</v>
      </c>
      <c r="J3176" t="s">
        <v>25</v>
      </c>
      <c r="K3176">
        <v>4</v>
      </c>
      <c r="L3176" t="e">
        <f t="array" ref="L3176">VLOOKUP(J3176:$J$3871&amp;K3176:$K$3871,CHOOSE({1,2},#REF!&amp;#REF!,#REF!),2,0)</f>
        <v>#N/A</v>
      </c>
      <c r="M3176">
        <v>0</v>
      </c>
      <c r="N3176">
        <v>1</v>
      </c>
      <c r="O3176" t="s">
        <v>23</v>
      </c>
      <c r="P3176">
        <v>0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1</v>
      </c>
      <c r="X3176">
        <v>1</v>
      </c>
      <c r="Y3176">
        <v>0</v>
      </c>
      <c r="Z3176">
        <v>0</v>
      </c>
      <c r="AA3176" t="s">
        <v>3586</v>
      </c>
      <c r="AB3176" t="s">
        <v>6360</v>
      </c>
      <c r="AC3176" t="s">
        <v>3586</v>
      </c>
      <c r="AD3176" t="e">
        <f>VLOOKUP(AB3176,#REF!,2,FALSE)</f>
        <v>#REF!</v>
      </c>
      <c r="AE3176" t="e">
        <f>RIGHT(#REF!,(FIND("Complex",#REF!,1)-6))</f>
        <v>#REF!</v>
      </c>
    </row>
    <row r="3177" spans="1:31" x14ac:dyDescent="0.25">
      <c r="A3177">
        <v>583</v>
      </c>
      <c r="B3177" t="s">
        <v>38</v>
      </c>
      <c r="C3177">
        <v>37</v>
      </c>
      <c r="D3177">
        <v>249</v>
      </c>
      <c r="E3177">
        <v>583</v>
      </c>
      <c r="F3177">
        <v>7056001</v>
      </c>
      <c r="G3177">
        <v>7144200</v>
      </c>
      <c r="H3177">
        <f t="shared" si="98"/>
        <v>160.00002267573697</v>
      </c>
      <c r="I3177">
        <f t="shared" si="99"/>
        <v>162</v>
      </c>
      <c r="J3177" t="s">
        <v>25</v>
      </c>
      <c r="K3177">
        <v>4</v>
      </c>
      <c r="L3177" t="e">
        <f t="array" ref="L3177">VLOOKUP(J3177:$J$3871&amp;K3177:$K$3871,CHOOSE({1,2},#REF!&amp;#REF!,#REF!),2,0)</f>
        <v>#N/A</v>
      </c>
      <c r="M3177">
        <v>0</v>
      </c>
      <c r="N3177">
        <v>1</v>
      </c>
      <c r="O3177" t="s">
        <v>23</v>
      </c>
      <c r="P3177">
        <v>0</v>
      </c>
      <c r="Q3177">
        <v>1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</v>
      </c>
      <c r="X3177">
        <v>1</v>
      </c>
      <c r="Y3177">
        <v>0</v>
      </c>
      <c r="Z3177">
        <v>1</v>
      </c>
      <c r="AA3177" t="s">
        <v>4480</v>
      </c>
      <c r="AB3177" t="s">
        <v>6911</v>
      </c>
      <c r="AC3177" t="s">
        <v>4480</v>
      </c>
      <c r="AD3177" t="e">
        <f>VLOOKUP(AB3177,#REF!,2,FALSE)</f>
        <v>#REF!</v>
      </c>
      <c r="AE3177" t="e">
        <f>RIGHT(#REF!,(FIND("Complex",#REF!,1)-4))</f>
        <v>#REF!</v>
      </c>
    </row>
    <row r="3178" spans="1:31" x14ac:dyDescent="0.25">
      <c r="A3178">
        <v>803</v>
      </c>
      <c r="B3178" t="s">
        <v>50</v>
      </c>
      <c r="C3178">
        <v>38</v>
      </c>
      <c r="D3178">
        <v>362</v>
      </c>
      <c r="E3178">
        <v>803</v>
      </c>
      <c r="F3178">
        <v>1499401</v>
      </c>
      <c r="G3178">
        <v>1587600</v>
      </c>
      <c r="H3178">
        <f t="shared" si="98"/>
        <v>34.000022675736965</v>
      </c>
      <c r="I3178">
        <f t="shared" si="99"/>
        <v>36</v>
      </c>
      <c r="J3178" t="s">
        <v>25</v>
      </c>
      <c r="K3178">
        <v>4</v>
      </c>
      <c r="L3178" t="e">
        <f t="array" ref="L3178">VLOOKUP(J3178:$J$3871&amp;K3178:$K$3871,CHOOSE({1,2},#REF!&amp;#REF!,#REF!),2,0)</f>
        <v>#N/A</v>
      </c>
      <c r="M3178">
        <v>0</v>
      </c>
      <c r="N3178">
        <v>1</v>
      </c>
      <c r="O3178" t="s">
        <v>23</v>
      </c>
      <c r="P3178">
        <v>1</v>
      </c>
      <c r="Q3178">
        <v>1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1</v>
      </c>
      <c r="X3178">
        <v>1</v>
      </c>
      <c r="Y3178">
        <v>0</v>
      </c>
      <c r="Z3178">
        <v>0</v>
      </c>
      <c r="AA3178" t="s">
        <v>4026</v>
      </c>
      <c r="AB3178" t="s">
        <v>6615</v>
      </c>
      <c r="AC3178" t="s">
        <v>4026</v>
      </c>
      <c r="AD3178" t="e">
        <f>VLOOKUP(AB3178,#REF!,2,FALSE)</f>
        <v>#REF!</v>
      </c>
      <c r="AE3178" t="e">
        <f>RIGHT(#REF!,(FIND("Complex",#REF!,1)-5))</f>
        <v>#REF!</v>
      </c>
    </row>
    <row r="3179" spans="1:31" x14ac:dyDescent="0.25">
      <c r="A3179">
        <v>1174</v>
      </c>
      <c r="B3179" t="s">
        <v>50</v>
      </c>
      <c r="C3179">
        <v>38</v>
      </c>
      <c r="D3179">
        <v>520</v>
      </c>
      <c r="E3179">
        <v>1174</v>
      </c>
      <c r="F3179">
        <v>1411201</v>
      </c>
      <c r="G3179">
        <v>1499400</v>
      </c>
      <c r="H3179">
        <f t="shared" si="98"/>
        <v>32.000022675736965</v>
      </c>
      <c r="I3179">
        <f t="shared" si="99"/>
        <v>34</v>
      </c>
      <c r="J3179" t="s">
        <v>25</v>
      </c>
      <c r="K3179">
        <v>4</v>
      </c>
      <c r="L3179" t="e">
        <f t="array" ref="L3179">VLOOKUP(J3179:$J$3871&amp;K3179:$K$3871,CHOOSE({1,2},#REF!&amp;#REF!,#REF!),2,0)</f>
        <v>#N/A</v>
      </c>
      <c r="M3179">
        <v>0</v>
      </c>
      <c r="N3179">
        <v>1</v>
      </c>
      <c r="O3179" t="s">
        <v>23</v>
      </c>
      <c r="P3179">
        <v>1</v>
      </c>
      <c r="Q3179">
        <v>1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1</v>
      </c>
      <c r="X3179">
        <v>1</v>
      </c>
      <c r="Y3179">
        <v>0</v>
      </c>
      <c r="Z3179">
        <v>0</v>
      </c>
      <c r="AA3179" t="s">
        <v>4044</v>
      </c>
      <c r="AB3179" t="s">
        <v>6623</v>
      </c>
      <c r="AC3179" t="s">
        <v>4044</v>
      </c>
      <c r="AD3179" t="e">
        <f>VLOOKUP(AB3179,#REF!,2,FALSE)</f>
        <v>#REF!</v>
      </c>
      <c r="AE3179" t="e">
        <f>RIGHT(#REF!,(FIND("Complex",#REF!,1)-6))</f>
        <v>#REF!</v>
      </c>
    </row>
    <row r="3180" spans="1:31" x14ac:dyDescent="0.25">
      <c r="A3180">
        <v>857</v>
      </c>
      <c r="B3180" t="s">
        <v>50</v>
      </c>
      <c r="C3180">
        <v>38</v>
      </c>
      <c r="D3180">
        <v>383</v>
      </c>
      <c r="E3180">
        <v>857</v>
      </c>
      <c r="F3180">
        <v>11025001</v>
      </c>
      <c r="G3180">
        <v>11113200</v>
      </c>
      <c r="H3180">
        <f t="shared" si="98"/>
        <v>250.00002267573697</v>
      </c>
      <c r="I3180">
        <f t="shared" si="99"/>
        <v>252</v>
      </c>
      <c r="J3180" t="s">
        <v>25</v>
      </c>
      <c r="K3180">
        <v>4</v>
      </c>
      <c r="L3180" t="e">
        <f t="array" ref="L3180">VLOOKUP(J3180:$J$3871&amp;K3180:$K$3871,CHOOSE({1,2},#REF!&amp;#REF!,#REF!),2,0)</f>
        <v>#N/A</v>
      </c>
      <c r="M3180">
        <v>0</v>
      </c>
      <c r="N3180">
        <v>1</v>
      </c>
      <c r="O3180" t="s">
        <v>23</v>
      </c>
      <c r="P3180">
        <v>0</v>
      </c>
      <c r="Q3180">
        <v>1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1</v>
      </c>
      <c r="X3180">
        <v>1</v>
      </c>
      <c r="Y3180">
        <v>0</v>
      </c>
      <c r="Z3180">
        <v>0</v>
      </c>
      <c r="AA3180" t="s">
        <v>4166</v>
      </c>
      <c r="AB3180" t="s">
        <v>1148</v>
      </c>
      <c r="AC3180" t="s">
        <v>4166</v>
      </c>
      <c r="AD3180" t="e">
        <f>VLOOKUP(AB3180,#REF!,2,FALSE)</f>
        <v>#REF!</v>
      </c>
      <c r="AE3180" t="e">
        <f>RIGHT(#REF!,(FIND("Complex",#REF!,1)-4))</f>
        <v>#REF!</v>
      </c>
    </row>
    <row r="3181" spans="1:31" x14ac:dyDescent="0.25">
      <c r="A3181">
        <v>1878</v>
      </c>
      <c r="B3181" t="s">
        <v>50</v>
      </c>
      <c r="C3181">
        <v>38</v>
      </c>
      <c r="D3181">
        <v>818</v>
      </c>
      <c r="E3181">
        <v>1878</v>
      </c>
      <c r="F3181">
        <v>882001</v>
      </c>
      <c r="G3181">
        <v>970200</v>
      </c>
      <c r="H3181">
        <f t="shared" si="98"/>
        <v>20.000022675736961</v>
      </c>
      <c r="I3181">
        <f t="shared" si="99"/>
        <v>22</v>
      </c>
      <c r="J3181" t="s">
        <v>25</v>
      </c>
      <c r="K3181">
        <v>4</v>
      </c>
      <c r="L3181" t="e">
        <f t="array" ref="L3181">VLOOKUP(J3181:$J$3871&amp;K3181:$K$3871,CHOOSE({1,2},#REF!&amp;#REF!,#REF!),2,0)</f>
        <v>#N/A</v>
      </c>
      <c r="M3181">
        <v>0</v>
      </c>
      <c r="N3181">
        <v>1</v>
      </c>
      <c r="O3181" t="s">
        <v>23</v>
      </c>
      <c r="P3181">
        <v>1</v>
      </c>
      <c r="Q3181">
        <v>1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1</v>
      </c>
      <c r="X3181">
        <v>1</v>
      </c>
      <c r="Y3181">
        <v>0</v>
      </c>
      <c r="Z3181">
        <v>0</v>
      </c>
      <c r="AA3181" t="s">
        <v>4318</v>
      </c>
      <c r="AB3181" t="s">
        <v>6811</v>
      </c>
      <c r="AC3181" t="s">
        <v>4318</v>
      </c>
      <c r="AD3181" t="e">
        <f>VLOOKUP(AB3181,#REF!,2,FALSE)</f>
        <v>#REF!</v>
      </c>
      <c r="AE3181" t="e">
        <f>RIGHT(#REF!,(FIND("Complex",#REF!,1)-6))</f>
        <v>#REF!</v>
      </c>
    </row>
    <row r="3182" spans="1:31" x14ac:dyDescent="0.25">
      <c r="A3182">
        <v>143</v>
      </c>
      <c r="B3182" t="s">
        <v>50</v>
      </c>
      <c r="C3182">
        <v>38</v>
      </c>
      <c r="D3182">
        <v>61</v>
      </c>
      <c r="E3182">
        <v>143</v>
      </c>
      <c r="F3182">
        <v>6085801</v>
      </c>
      <c r="G3182">
        <v>6174000</v>
      </c>
      <c r="H3182">
        <f t="shared" si="98"/>
        <v>138.00002267573697</v>
      </c>
      <c r="I3182">
        <f t="shared" si="99"/>
        <v>140</v>
      </c>
      <c r="J3182" t="s">
        <v>25</v>
      </c>
      <c r="K3182">
        <v>4</v>
      </c>
      <c r="L3182" t="e">
        <f t="array" ref="L3182">VLOOKUP(J3182:$J$3871&amp;K3182:$K$3871,CHOOSE({1,2},#REF!&amp;#REF!,#REF!),2,0)</f>
        <v>#N/A</v>
      </c>
      <c r="M3182">
        <v>0</v>
      </c>
      <c r="N3182">
        <v>1</v>
      </c>
      <c r="O3182" t="s">
        <v>23</v>
      </c>
      <c r="P3182">
        <v>1</v>
      </c>
      <c r="Q3182">
        <v>1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1</v>
      </c>
      <c r="X3182">
        <v>1</v>
      </c>
      <c r="Y3182">
        <v>0</v>
      </c>
      <c r="Z3182">
        <v>0</v>
      </c>
      <c r="AA3182" t="s">
        <v>4630</v>
      </c>
      <c r="AB3182" t="s">
        <v>7007</v>
      </c>
      <c r="AC3182" t="s">
        <v>4630</v>
      </c>
      <c r="AD3182" t="e">
        <f>VLOOKUP(AB3182,#REF!,2,FALSE)</f>
        <v>#REF!</v>
      </c>
      <c r="AE3182" t="e">
        <f>RIGHT(#REF!,(FIND("Complex",#REF!,1)-4))</f>
        <v>#REF!</v>
      </c>
    </row>
    <row r="3183" spans="1:31" x14ac:dyDescent="0.25">
      <c r="A3183">
        <v>367</v>
      </c>
      <c r="B3183" t="s">
        <v>88</v>
      </c>
      <c r="C3183">
        <v>39</v>
      </c>
      <c r="D3183">
        <v>153</v>
      </c>
      <c r="E3183">
        <v>367</v>
      </c>
      <c r="F3183">
        <v>1764001</v>
      </c>
      <c r="G3183">
        <v>1852200</v>
      </c>
      <c r="H3183">
        <f t="shared" si="98"/>
        <v>40.000022675736965</v>
      </c>
      <c r="I3183">
        <f t="shared" si="99"/>
        <v>42</v>
      </c>
      <c r="J3183" t="s">
        <v>25</v>
      </c>
      <c r="K3183">
        <v>4</v>
      </c>
      <c r="L3183" t="e">
        <f t="array" ref="L3183">VLOOKUP(J3183:$J$3871&amp;K3183:$K$3871,CHOOSE({1,2},#REF!&amp;#REF!,#REF!),2,0)</f>
        <v>#N/A</v>
      </c>
      <c r="M3183">
        <v>0</v>
      </c>
      <c r="N3183">
        <v>1</v>
      </c>
      <c r="O3183" t="s">
        <v>23</v>
      </c>
      <c r="P3183">
        <v>1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1</v>
      </c>
      <c r="X3183">
        <v>1</v>
      </c>
      <c r="Y3183">
        <v>1</v>
      </c>
      <c r="Z3183">
        <v>0</v>
      </c>
      <c r="AA3183" t="s">
        <v>3948</v>
      </c>
      <c r="AB3183" t="s">
        <v>6568</v>
      </c>
      <c r="AC3183" t="s">
        <v>3948</v>
      </c>
      <c r="AD3183" t="e">
        <f>VLOOKUP(AB3183,#REF!,2,FALSE)</f>
        <v>#REF!</v>
      </c>
      <c r="AE3183" t="e">
        <f>RIGHT(#REF!,(FIND("Complex",#REF!,1)-5))</f>
        <v>#REF!</v>
      </c>
    </row>
    <row r="3184" spans="1:31" x14ac:dyDescent="0.25">
      <c r="A3184">
        <v>666</v>
      </c>
      <c r="B3184" t="s">
        <v>88</v>
      </c>
      <c r="C3184">
        <v>39</v>
      </c>
      <c r="D3184">
        <v>287</v>
      </c>
      <c r="E3184">
        <v>666</v>
      </c>
      <c r="F3184">
        <v>6615001</v>
      </c>
      <c r="G3184">
        <v>6703200</v>
      </c>
      <c r="H3184">
        <f t="shared" si="98"/>
        <v>150.00002267573697</v>
      </c>
      <c r="I3184">
        <f t="shared" si="99"/>
        <v>152</v>
      </c>
      <c r="J3184" t="s">
        <v>25</v>
      </c>
      <c r="K3184">
        <v>4</v>
      </c>
      <c r="L3184" t="e">
        <f t="array" ref="L3184">VLOOKUP(J3184:$J$3871&amp;K3184:$K$3871,CHOOSE({1,2},#REF!&amp;#REF!,#REF!),2,0)</f>
        <v>#N/A</v>
      </c>
      <c r="M3184">
        <v>0</v>
      </c>
      <c r="N3184">
        <v>1</v>
      </c>
      <c r="O3184" t="s">
        <v>23</v>
      </c>
      <c r="P3184">
        <v>1</v>
      </c>
      <c r="Q3184">
        <v>1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1</v>
      </c>
      <c r="X3184">
        <v>1</v>
      </c>
      <c r="Y3184">
        <v>0</v>
      </c>
      <c r="Z3184">
        <v>0</v>
      </c>
      <c r="AA3184" t="s">
        <v>4550</v>
      </c>
      <c r="AB3184" t="s">
        <v>6962</v>
      </c>
      <c r="AC3184" t="s">
        <v>4550</v>
      </c>
      <c r="AD3184" t="e">
        <f>VLOOKUP(AB3184,#REF!,2,FALSE)</f>
        <v>#REF!</v>
      </c>
      <c r="AE3184" t="e">
        <f>RIGHT(#REF!,(FIND("Complex",#REF!,1)-4))</f>
        <v>#REF!</v>
      </c>
    </row>
    <row r="3185" spans="1:31" x14ac:dyDescent="0.25">
      <c r="A3185">
        <v>148</v>
      </c>
      <c r="B3185" t="s">
        <v>246</v>
      </c>
      <c r="C3185">
        <v>41</v>
      </c>
      <c r="D3185">
        <v>65</v>
      </c>
      <c r="E3185">
        <v>148</v>
      </c>
      <c r="F3185">
        <v>2205001</v>
      </c>
      <c r="G3185">
        <v>2293200</v>
      </c>
      <c r="H3185">
        <f t="shared" si="98"/>
        <v>50.000022675736965</v>
      </c>
      <c r="I3185">
        <f t="shared" si="99"/>
        <v>52</v>
      </c>
      <c r="J3185" t="s">
        <v>25</v>
      </c>
      <c r="K3185">
        <v>4</v>
      </c>
      <c r="L3185" t="e">
        <f t="array" ref="L3185">VLOOKUP(J3185:$J$3871&amp;K3185:$K$3871,CHOOSE({1,2},#REF!&amp;#REF!,#REF!),2,0)</f>
        <v>#N/A</v>
      </c>
      <c r="M3185">
        <v>0</v>
      </c>
      <c r="N3185">
        <v>1</v>
      </c>
      <c r="O3185" t="s">
        <v>23</v>
      </c>
      <c r="P3185">
        <v>1</v>
      </c>
      <c r="Q3185">
        <v>1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</v>
      </c>
      <c r="X3185">
        <v>1</v>
      </c>
      <c r="Y3185">
        <v>0</v>
      </c>
      <c r="Z3185">
        <v>0</v>
      </c>
      <c r="AA3185" t="s">
        <v>3875</v>
      </c>
      <c r="AB3185" t="s">
        <v>6525</v>
      </c>
      <c r="AC3185" t="s">
        <v>3875</v>
      </c>
      <c r="AD3185" t="e">
        <f>VLOOKUP(AB3185,#REF!,2,FALSE)</f>
        <v>#REF!</v>
      </c>
      <c r="AE3185" t="e">
        <f>RIGHT(#REF!,(FIND("Complex",#REF!,1)-5))</f>
        <v>#REF!</v>
      </c>
    </row>
    <row r="3186" spans="1:31" x14ac:dyDescent="0.25">
      <c r="A3186">
        <v>1918</v>
      </c>
      <c r="B3186" t="s">
        <v>246</v>
      </c>
      <c r="C3186">
        <v>41</v>
      </c>
      <c r="D3186">
        <v>830</v>
      </c>
      <c r="E3186">
        <v>1918</v>
      </c>
      <c r="F3186">
        <v>1764001</v>
      </c>
      <c r="G3186">
        <v>1852200</v>
      </c>
      <c r="H3186">
        <f t="shared" si="98"/>
        <v>40.000022675736965</v>
      </c>
      <c r="I3186">
        <f t="shared" si="99"/>
        <v>42</v>
      </c>
      <c r="J3186" t="s">
        <v>25</v>
      </c>
      <c r="K3186">
        <v>4</v>
      </c>
      <c r="L3186" t="e">
        <f t="array" ref="L3186">VLOOKUP(J3186:$J$3871&amp;K3186:$K$3871,CHOOSE({1,2},#REF!&amp;#REF!,#REF!),2,0)</f>
        <v>#N/A</v>
      </c>
      <c r="M3186">
        <v>0</v>
      </c>
      <c r="N3186">
        <v>1</v>
      </c>
      <c r="O3186" t="s">
        <v>23</v>
      </c>
      <c r="P3186">
        <v>1</v>
      </c>
      <c r="Q3186">
        <v>1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1</v>
      </c>
      <c r="X3186">
        <v>1</v>
      </c>
      <c r="Y3186">
        <v>0</v>
      </c>
      <c r="Z3186">
        <v>0</v>
      </c>
      <c r="AA3186" t="s">
        <v>3947</v>
      </c>
      <c r="AB3186" t="s">
        <v>6567</v>
      </c>
      <c r="AC3186" t="s">
        <v>3947</v>
      </c>
      <c r="AD3186" t="e">
        <f>VLOOKUP(AB3186,#REF!,2,FALSE)</f>
        <v>#REF!</v>
      </c>
      <c r="AE3186" t="e">
        <f>RIGHT(#REF!,(FIND("Complex",#REF!,1)-6))</f>
        <v>#REF!</v>
      </c>
    </row>
    <row r="3187" spans="1:31" x14ac:dyDescent="0.25">
      <c r="A3187">
        <v>415</v>
      </c>
      <c r="B3187" t="s">
        <v>246</v>
      </c>
      <c r="C3187">
        <v>41</v>
      </c>
      <c r="D3187">
        <v>176</v>
      </c>
      <c r="E3187">
        <v>415</v>
      </c>
      <c r="F3187">
        <v>1411201</v>
      </c>
      <c r="G3187">
        <v>1499400</v>
      </c>
      <c r="H3187">
        <f t="shared" si="98"/>
        <v>32.000022675736965</v>
      </c>
      <c r="I3187">
        <f t="shared" si="99"/>
        <v>34</v>
      </c>
      <c r="J3187" t="s">
        <v>25</v>
      </c>
      <c r="K3187">
        <v>4</v>
      </c>
      <c r="L3187" t="e">
        <f t="array" ref="L3187">VLOOKUP(J3187:$J$3871&amp;K3187:$K$3871,CHOOSE({1,2},#REF!&amp;#REF!,#REF!),2,0)</f>
        <v>#N/A</v>
      </c>
      <c r="M3187">
        <v>0</v>
      </c>
      <c r="N3187">
        <v>1</v>
      </c>
      <c r="O3187" t="s">
        <v>23</v>
      </c>
      <c r="P3187">
        <v>1</v>
      </c>
      <c r="Q3187">
        <v>1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1</v>
      </c>
      <c r="Y3187">
        <v>0</v>
      </c>
      <c r="Z3187">
        <v>0</v>
      </c>
      <c r="AA3187" t="s">
        <v>4042</v>
      </c>
      <c r="AB3187" t="s">
        <v>247</v>
      </c>
      <c r="AC3187" t="s">
        <v>4042</v>
      </c>
      <c r="AD3187" t="e">
        <f>VLOOKUP(AB3187,#REF!,2,FALSE)</f>
        <v>#REF!</v>
      </c>
      <c r="AE3187" t="e">
        <f>RIGHT(#REF!,(FIND("Complex",#REF!,1)-5))</f>
        <v>#REF!</v>
      </c>
    </row>
    <row r="3188" spans="1:31" x14ac:dyDescent="0.25">
      <c r="A3188">
        <v>536</v>
      </c>
      <c r="B3188" t="s">
        <v>246</v>
      </c>
      <c r="C3188">
        <v>41</v>
      </c>
      <c r="D3188">
        <v>225</v>
      </c>
      <c r="E3188">
        <v>536</v>
      </c>
      <c r="F3188">
        <v>1234801</v>
      </c>
      <c r="G3188">
        <v>1323000</v>
      </c>
      <c r="H3188">
        <f t="shared" si="98"/>
        <v>28.000022675736961</v>
      </c>
      <c r="I3188">
        <f t="shared" si="99"/>
        <v>30</v>
      </c>
      <c r="J3188" t="s">
        <v>25</v>
      </c>
      <c r="K3188">
        <v>4</v>
      </c>
      <c r="L3188" t="e">
        <f t="array" ref="L3188">VLOOKUP(J3188:$J$3871&amp;K3188:$K$3871,CHOOSE({1,2},#REF!&amp;#REF!,#REF!),2,0)</f>
        <v>#N/A</v>
      </c>
      <c r="M3188">
        <v>0</v>
      </c>
      <c r="N3188">
        <v>1</v>
      </c>
      <c r="O3188" t="s">
        <v>23</v>
      </c>
      <c r="P3188">
        <v>1</v>
      </c>
      <c r="Q3188">
        <v>1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</v>
      </c>
      <c r="X3188">
        <v>1</v>
      </c>
      <c r="Y3188">
        <v>0</v>
      </c>
      <c r="Z3188">
        <v>0</v>
      </c>
      <c r="AA3188" t="s">
        <v>4107</v>
      </c>
      <c r="AB3188" t="s">
        <v>6669</v>
      </c>
      <c r="AC3188" t="s">
        <v>4107</v>
      </c>
      <c r="AD3188" t="e">
        <f>VLOOKUP(AB3188,#REF!,2,FALSE)</f>
        <v>#REF!</v>
      </c>
      <c r="AE3188" t="e">
        <f>RIGHT(#REF!,(FIND("Complex",#REF!,1)-5))</f>
        <v>#REF!</v>
      </c>
    </row>
    <row r="3189" spans="1:31" x14ac:dyDescent="0.25">
      <c r="A3189">
        <v>615</v>
      </c>
      <c r="B3189" t="s">
        <v>246</v>
      </c>
      <c r="C3189">
        <v>41</v>
      </c>
      <c r="D3189">
        <v>264</v>
      </c>
      <c r="E3189">
        <v>615</v>
      </c>
      <c r="F3189">
        <v>7056001</v>
      </c>
      <c r="G3189">
        <v>7144200</v>
      </c>
      <c r="H3189">
        <f t="shared" si="98"/>
        <v>160.00002267573697</v>
      </c>
      <c r="I3189">
        <f t="shared" si="99"/>
        <v>162</v>
      </c>
      <c r="J3189" t="s">
        <v>25</v>
      </c>
      <c r="K3189">
        <v>4</v>
      </c>
      <c r="L3189" t="e">
        <f t="array" ref="L3189">VLOOKUP(J3189:$J$3871&amp;K3189:$K$3871,CHOOSE({1,2},#REF!&amp;#REF!,#REF!),2,0)</f>
        <v>#N/A</v>
      </c>
      <c r="M3189">
        <v>0</v>
      </c>
      <c r="N3189">
        <v>1</v>
      </c>
      <c r="O3189" t="s">
        <v>23</v>
      </c>
      <c r="P3189">
        <v>1</v>
      </c>
      <c r="Q3189">
        <v>1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1</v>
      </c>
      <c r="X3189">
        <v>1</v>
      </c>
      <c r="Y3189">
        <v>0</v>
      </c>
      <c r="Z3189">
        <v>0</v>
      </c>
      <c r="AA3189" t="s">
        <v>4479</v>
      </c>
      <c r="AB3189" t="s">
        <v>6910</v>
      </c>
      <c r="AC3189" t="s">
        <v>4479</v>
      </c>
      <c r="AD3189" t="e">
        <f>VLOOKUP(AB3189,#REF!,2,FALSE)</f>
        <v>#REF!</v>
      </c>
      <c r="AE3189" t="e">
        <f>RIGHT(#REF!,(FIND("Complex",#REF!,1)-4))</f>
        <v>#REF!</v>
      </c>
    </row>
    <row r="3190" spans="1:31" x14ac:dyDescent="0.25">
      <c r="A3190">
        <v>41</v>
      </c>
      <c r="B3190" t="s">
        <v>246</v>
      </c>
      <c r="C3190">
        <v>41</v>
      </c>
      <c r="D3190">
        <v>19</v>
      </c>
      <c r="E3190">
        <v>41</v>
      </c>
      <c r="F3190">
        <v>4586401</v>
      </c>
      <c r="G3190">
        <v>4674600</v>
      </c>
      <c r="H3190">
        <f t="shared" si="98"/>
        <v>104.00002267573696</v>
      </c>
      <c r="I3190">
        <f t="shared" si="99"/>
        <v>106</v>
      </c>
      <c r="J3190" t="s">
        <v>25</v>
      </c>
      <c r="K3190">
        <v>4</v>
      </c>
      <c r="L3190" t="e">
        <f t="array" ref="L3190">VLOOKUP(J3190:$J$3871&amp;K3190:$K$3871,CHOOSE({1,2},#REF!&amp;#REF!,#REF!),2,0)</f>
        <v>#N/A</v>
      </c>
      <c r="M3190">
        <v>0</v>
      </c>
      <c r="N3190">
        <v>1</v>
      </c>
      <c r="O3190" t="s">
        <v>23</v>
      </c>
      <c r="P3190">
        <v>1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1</v>
      </c>
      <c r="X3190">
        <v>1</v>
      </c>
      <c r="Y3190">
        <v>0</v>
      </c>
      <c r="Z3190">
        <v>0</v>
      </c>
      <c r="AA3190" t="s">
        <v>4816</v>
      </c>
      <c r="AB3190" t="s">
        <v>7119</v>
      </c>
      <c r="AC3190" t="s">
        <v>4816</v>
      </c>
      <c r="AD3190" t="e">
        <f>VLOOKUP(AB3190,#REF!,2,FALSE)</f>
        <v>#REF!</v>
      </c>
      <c r="AE3190" t="e">
        <f>RIGHT(#REF!,(FIND("Complex",#REF!,1)-3))</f>
        <v>#REF!</v>
      </c>
    </row>
    <row r="3191" spans="1:31" x14ac:dyDescent="0.25">
      <c r="A3191">
        <v>1496</v>
      </c>
      <c r="B3191" t="s">
        <v>37</v>
      </c>
      <c r="C3191">
        <v>43</v>
      </c>
      <c r="D3191">
        <v>657</v>
      </c>
      <c r="E3191">
        <v>1496</v>
      </c>
      <c r="F3191">
        <v>4145401</v>
      </c>
      <c r="G3191">
        <v>4233600</v>
      </c>
      <c r="H3191">
        <f t="shared" si="98"/>
        <v>94.000022675736957</v>
      </c>
      <c r="I3191">
        <f t="shared" si="99"/>
        <v>96</v>
      </c>
      <c r="J3191" t="s">
        <v>25</v>
      </c>
      <c r="K3191">
        <v>4</v>
      </c>
      <c r="L3191" t="e">
        <f t="array" ref="L3191">VLOOKUP(J3191:$J$3871&amp;K3191:$K$3871,CHOOSE({1,2},#REF!&amp;#REF!,#REF!),2,0)</f>
        <v>#N/A</v>
      </c>
      <c r="M3191">
        <v>0</v>
      </c>
      <c r="N3191">
        <v>1</v>
      </c>
      <c r="O3191" t="s">
        <v>23</v>
      </c>
      <c r="P3191">
        <v>0</v>
      </c>
      <c r="Q3191">
        <v>1</v>
      </c>
      <c r="R3191">
        <v>0</v>
      </c>
      <c r="S3191">
        <v>1</v>
      </c>
      <c r="T3191">
        <v>0</v>
      </c>
      <c r="U3191">
        <v>0</v>
      </c>
      <c r="V3191">
        <v>0</v>
      </c>
      <c r="W3191">
        <v>1</v>
      </c>
      <c r="X3191">
        <v>1</v>
      </c>
      <c r="Y3191">
        <v>0</v>
      </c>
      <c r="Z3191">
        <v>0</v>
      </c>
      <c r="AA3191" t="s">
        <v>3531</v>
      </c>
      <c r="AB3191" t="s">
        <v>6330</v>
      </c>
      <c r="AC3191" t="s">
        <v>3531</v>
      </c>
      <c r="AD3191" t="e">
        <f>VLOOKUP(AB3191,#REF!,2,FALSE)</f>
        <v>#REF!</v>
      </c>
      <c r="AE3191" t="e">
        <f>RIGHT(#REF!,(FIND("Complex",#REF!,1)-6))</f>
        <v>#REF!</v>
      </c>
    </row>
    <row r="3192" spans="1:31" x14ac:dyDescent="0.25">
      <c r="A3192">
        <v>1817</v>
      </c>
      <c r="B3192" t="s">
        <v>37</v>
      </c>
      <c r="C3192">
        <v>43</v>
      </c>
      <c r="D3192">
        <v>790</v>
      </c>
      <c r="E3192">
        <v>1817</v>
      </c>
      <c r="F3192">
        <v>3969001</v>
      </c>
      <c r="G3192">
        <v>4057200</v>
      </c>
      <c r="H3192">
        <f t="shared" si="98"/>
        <v>90.000022675736957</v>
      </c>
      <c r="I3192">
        <f t="shared" si="99"/>
        <v>92</v>
      </c>
      <c r="J3192" t="s">
        <v>25</v>
      </c>
      <c r="K3192">
        <v>4</v>
      </c>
      <c r="L3192" t="e">
        <f t="array" ref="L3192">VLOOKUP(J3192:$J$3871&amp;K3192:$K$3871,CHOOSE({1,2},#REF!&amp;#REF!,#REF!),2,0)</f>
        <v>#N/A</v>
      </c>
      <c r="M3192">
        <v>0</v>
      </c>
      <c r="N3192">
        <v>1</v>
      </c>
      <c r="O3192" t="s">
        <v>23</v>
      </c>
      <c r="P3192">
        <v>0</v>
      </c>
      <c r="Q3192">
        <v>1</v>
      </c>
      <c r="R3192">
        <v>0</v>
      </c>
      <c r="S3192">
        <v>1</v>
      </c>
      <c r="T3192">
        <v>0</v>
      </c>
      <c r="U3192">
        <v>0</v>
      </c>
      <c r="V3192">
        <v>0</v>
      </c>
      <c r="W3192">
        <v>1</v>
      </c>
      <c r="X3192">
        <v>1</v>
      </c>
      <c r="Y3192">
        <v>0</v>
      </c>
      <c r="Z3192">
        <v>0</v>
      </c>
      <c r="AA3192" t="s">
        <v>3557</v>
      </c>
      <c r="AB3192" t="s">
        <v>6343</v>
      </c>
      <c r="AC3192" t="s">
        <v>3557</v>
      </c>
      <c r="AD3192" t="e">
        <f>VLOOKUP(AB3192,#REF!,2,FALSE)</f>
        <v>#REF!</v>
      </c>
      <c r="AE3192" t="e">
        <f>RIGHT(#REF!,(FIND("Complex",#REF!,1)-6))</f>
        <v>#REF!</v>
      </c>
    </row>
    <row r="3193" spans="1:31" x14ac:dyDescent="0.25">
      <c r="A3193">
        <v>769</v>
      </c>
      <c r="B3193" t="s">
        <v>37</v>
      </c>
      <c r="C3193">
        <v>43</v>
      </c>
      <c r="D3193">
        <v>344</v>
      </c>
      <c r="E3193">
        <v>769</v>
      </c>
      <c r="F3193">
        <v>3880801</v>
      </c>
      <c r="G3193">
        <v>3969000</v>
      </c>
      <c r="H3193">
        <f t="shared" si="98"/>
        <v>88.000022675736957</v>
      </c>
      <c r="I3193">
        <f t="shared" si="99"/>
        <v>90</v>
      </c>
      <c r="J3193" t="s">
        <v>25</v>
      </c>
      <c r="K3193">
        <v>4</v>
      </c>
      <c r="L3193" t="e">
        <f t="array" ref="L3193">VLOOKUP(J3193:$J$3871&amp;K3193:$K$3871,CHOOSE({1,2},#REF!&amp;#REF!,#REF!),2,0)</f>
        <v>#N/A</v>
      </c>
      <c r="M3193">
        <v>0</v>
      </c>
      <c r="N3193">
        <v>1</v>
      </c>
      <c r="O3193" t="s">
        <v>23</v>
      </c>
      <c r="P3193">
        <v>0</v>
      </c>
      <c r="Q3193">
        <v>1</v>
      </c>
      <c r="R3193">
        <v>0</v>
      </c>
      <c r="S3193">
        <v>1</v>
      </c>
      <c r="T3193">
        <v>0</v>
      </c>
      <c r="U3193">
        <v>0</v>
      </c>
      <c r="V3193">
        <v>0</v>
      </c>
      <c r="W3193">
        <v>1</v>
      </c>
      <c r="X3193">
        <v>1</v>
      </c>
      <c r="Y3193">
        <v>0</v>
      </c>
      <c r="Z3193">
        <v>0</v>
      </c>
      <c r="AA3193" t="s">
        <v>3574</v>
      </c>
      <c r="AB3193" t="s">
        <v>6355</v>
      </c>
      <c r="AC3193" t="s">
        <v>3574</v>
      </c>
      <c r="AD3193" t="e">
        <f>VLOOKUP(AB3193,#REF!,2,FALSE)</f>
        <v>#REF!</v>
      </c>
      <c r="AE3193" t="e">
        <f>RIGHT(#REF!,(FIND("Complex",#REF!,1)-5))</f>
        <v>#REF!</v>
      </c>
    </row>
    <row r="3194" spans="1:31" x14ac:dyDescent="0.25">
      <c r="A3194">
        <v>213</v>
      </c>
      <c r="B3194" t="s">
        <v>37</v>
      </c>
      <c r="C3194">
        <v>43</v>
      </c>
      <c r="D3194">
        <v>87</v>
      </c>
      <c r="E3194">
        <v>213</v>
      </c>
      <c r="F3194">
        <v>3351601</v>
      </c>
      <c r="G3194">
        <v>3439800</v>
      </c>
      <c r="H3194">
        <f t="shared" si="98"/>
        <v>76.000022675736957</v>
      </c>
      <c r="I3194">
        <f t="shared" si="99"/>
        <v>78</v>
      </c>
      <c r="J3194" t="s">
        <v>25</v>
      </c>
      <c r="K3194">
        <v>4</v>
      </c>
      <c r="L3194" t="e">
        <f t="array" ref="L3194">VLOOKUP(J3194:$J$3871&amp;K3194:$K$3871,CHOOSE({1,2},#REF!&amp;#REF!,#REF!),2,0)</f>
        <v>#N/A</v>
      </c>
      <c r="M3194">
        <v>0</v>
      </c>
      <c r="N3194">
        <v>1</v>
      </c>
      <c r="O3194" t="s">
        <v>23</v>
      </c>
      <c r="P3194">
        <v>0</v>
      </c>
      <c r="Q3194">
        <v>1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1</v>
      </c>
      <c r="X3194">
        <v>1</v>
      </c>
      <c r="Y3194">
        <v>0</v>
      </c>
      <c r="Z3194">
        <v>0</v>
      </c>
      <c r="AA3194" t="s">
        <v>3667</v>
      </c>
      <c r="AB3194" t="s">
        <v>6403</v>
      </c>
      <c r="AC3194" t="s">
        <v>3667</v>
      </c>
      <c r="AD3194" t="e">
        <f>VLOOKUP(AB3194,#REF!,2,FALSE)</f>
        <v>#REF!</v>
      </c>
      <c r="AE3194" t="e">
        <f>RIGHT(#REF!,(FIND("Complex",#REF!,1)-5))</f>
        <v>#REF!</v>
      </c>
    </row>
    <row r="3195" spans="1:31" x14ac:dyDescent="0.25">
      <c r="A3195">
        <v>336</v>
      </c>
      <c r="B3195" t="s">
        <v>37</v>
      </c>
      <c r="C3195">
        <v>43</v>
      </c>
      <c r="D3195">
        <v>139</v>
      </c>
      <c r="E3195">
        <v>336</v>
      </c>
      <c r="F3195">
        <v>2646001</v>
      </c>
      <c r="G3195">
        <v>2734200</v>
      </c>
      <c r="H3195">
        <f t="shared" si="98"/>
        <v>60.000022675736965</v>
      </c>
      <c r="I3195">
        <f t="shared" si="99"/>
        <v>62</v>
      </c>
      <c r="J3195" t="s">
        <v>25</v>
      </c>
      <c r="K3195">
        <v>4</v>
      </c>
      <c r="L3195" t="e">
        <f t="array" ref="L3195">VLOOKUP(J3195:$J$3871&amp;K3195:$K$3871,CHOOSE({1,2},#REF!&amp;#REF!,#REF!),2,0)</f>
        <v>#N/A</v>
      </c>
      <c r="M3195">
        <v>0</v>
      </c>
      <c r="N3195">
        <v>1</v>
      </c>
      <c r="O3195" t="s">
        <v>23</v>
      </c>
      <c r="P3195">
        <v>0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1</v>
      </c>
      <c r="W3195">
        <v>1</v>
      </c>
      <c r="X3195">
        <v>1</v>
      </c>
      <c r="Y3195">
        <v>0</v>
      </c>
      <c r="Z3195">
        <v>0</v>
      </c>
      <c r="AA3195" t="s">
        <v>3785</v>
      </c>
      <c r="AB3195" t="s">
        <v>6477</v>
      </c>
      <c r="AC3195" t="s">
        <v>3785</v>
      </c>
      <c r="AD3195" t="e">
        <f>VLOOKUP(AB3195,#REF!,2,FALSE)</f>
        <v>#REF!</v>
      </c>
      <c r="AE3195" t="e">
        <f>RIGHT(#REF!,(FIND("Complex",#REF!,1)-5))</f>
        <v>#REF!</v>
      </c>
    </row>
    <row r="3196" spans="1:31" x14ac:dyDescent="0.25">
      <c r="A3196">
        <v>678</v>
      </c>
      <c r="B3196" t="s">
        <v>37</v>
      </c>
      <c r="C3196">
        <v>43</v>
      </c>
      <c r="D3196">
        <v>295</v>
      </c>
      <c r="E3196">
        <v>678</v>
      </c>
      <c r="F3196">
        <v>2205001</v>
      </c>
      <c r="G3196">
        <v>2293200</v>
      </c>
      <c r="H3196">
        <f t="shared" si="98"/>
        <v>50.000022675736965</v>
      </c>
      <c r="I3196">
        <f t="shared" si="99"/>
        <v>52</v>
      </c>
      <c r="J3196" t="s">
        <v>25</v>
      </c>
      <c r="K3196">
        <v>4</v>
      </c>
      <c r="L3196" t="e">
        <f t="array" ref="L3196">VLOOKUP(J3196:$J$3871&amp;K3196:$K$3871,CHOOSE({1,2},#REF!&amp;#REF!,#REF!),2,0)</f>
        <v>#N/A</v>
      </c>
      <c r="M3196">
        <v>0</v>
      </c>
      <c r="N3196">
        <v>1</v>
      </c>
      <c r="O3196" t="s">
        <v>23</v>
      </c>
      <c r="P3196">
        <v>0</v>
      </c>
      <c r="Q3196">
        <v>1</v>
      </c>
      <c r="R3196">
        <v>0</v>
      </c>
      <c r="S3196">
        <v>0</v>
      </c>
      <c r="T3196">
        <v>0</v>
      </c>
      <c r="U3196">
        <v>0</v>
      </c>
      <c r="V3196">
        <v>1</v>
      </c>
      <c r="W3196">
        <v>1</v>
      </c>
      <c r="X3196">
        <v>1</v>
      </c>
      <c r="Y3196">
        <v>0</v>
      </c>
      <c r="Z3196">
        <v>0</v>
      </c>
      <c r="AA3196" t="s">
        <v>3874</v>
      </c>
      <c r="AB3196" t="s">
        <v>6524</v>
      </c>
      <c r="AC3196" t="s">
        <v>3874</v>
      </c>
      <c r="AD3196" t="e">
        <f>VLOOKUP(AB3196,#REF!,2,FALSE)</f>
        <v>#REF!</v>
      </c>
      <c r="AE3196" t="e">
        <f>RIGHT(#REF!,(FIND("Complex",#REF!,1)-5))</f>
        <v>#REF!</v>
      </c>
    </row>
    <row r="3197" spans="1:31" x14ac:dyDescent="0.25">
      <c r="A3197">
        <v>551</v>
      </c>
      <c r="B3197" t="s">
        <v>37</v>
      </c>
      <c r="C3197">
        <v>43</v>
      </c>
      <c r="D3197">
        <v>234</v>
      </c>
      <c r="E3197">
        <v>551</v>
      </c>
      <c r="F3197">
        <v>2116801</v>
      </c>
      <c r="G3197">
        <v>2205000</v>
      </c>
      <c r="H3197">
        <f t="shared" si="98"/>
        <v>48.000022675736965</v>
      </c>
      <c r="I3197">
        <f t="shared" si="99"/>
        <v>50</v>
      </c>
      <c r="J3197" t="s">
        <v>25</v>
      </c>
      <c r="K3197">
        <v>4</v>
      </c>
      <c r="L3197" t="e">
        <f t="array" ref="L3197">VLOOKUP(J3197:$J$3871&amp;K3197:$K$3871,CHOOSE({1,2},#REF!&amp;#REF!,#REF!),2,0)</f>
        <v>#N/A</v>
      </c>
      <c r="M3197">
        <v>0</v>
      </c>
      <c r="N3197">
        <v>1</v>
      </c>
      <c r="O3197" t="s">
        <v>23</v>
      </c>
      <c r="P3197">
        <v>0</v>
      </c>
      <c r="Q3197">
        <v>1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1</v>
      </c>
      <c r="X3197">
        <v>1</v>
      </c>
      <c r="Y3197">
        <v>0</v>
      </c>
      <c r="Z3197">
        <v>0</v>
      </c>
      <c r="AA3197" t="s">
        <v>3890</v>
      </c>
      <c r="AB3197" t="s">
        <v>6533</v>
      </c>
      <c r="AC3197" t="s">
        <v>3890</v>
      </c>
      <c r="AD3197" t="e">
        <f>VLOOKUP(AB3197,#REF!,2,FALSE)</f>
        <v>#REF!</v>
      </c>
      <c r="AE3197" t="e">
        <f>RIGHT(#REF!,(FIND("Complex",#REF!,1)-5))</f>
        <v>#REF!</v>
      </c>
    </row>
    <row r="3198" spans="1:31" x14ac:dyDescent="0.25">
      <c r="A3198">
        <v>1659</v>
      </c>
      <c r="B3198" t="s">
        <v>37</v>
      </c>
      <c r="C3198">
        <v>43</v>
      </c>
      <c r="D3198">
        <v>725</v>
      </c>
      <c r="E3198">
        <v>1659</v>
      </c>
      <c r="F3198">
        <v>1058401</v>
      </c>
      <c r="G3198">
        <v>1146600</v>
      </c>
      <c r="H3198">
        <f t="shared" si="98"/>
        <v>24.000022675736961</v>
      </c>
      <c r="I3198">
        <f t="shared" si="99"/>
        <v>26</v>
      </c>
      <c r="J3198" t="s">
        <v>25</v>
      </c>
      <c r="K3198">
        <v>4</v>
      </c>
      <c r="L3198" t="e">
        <f t="array" ref="L3198">VLOOKUP(J3198:$J$3871&amp;K3198:$K$3871,CHOOSE({1,2},#REF!&amp;#REF!,#REF!),2,0)</f>
        <v>#N/A</v>
      </c>
      <c r="M3198">
        <v>0</v>
      </c>
      <c r="N3198">
        <v>1</v>
      </c>
      <c r="O3198" t="s">
        <v>23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1</v>
      </c>
      <c r="W3198">
        <v>1</v>
      </c>
      <c r="X3198">
        <v>1</v>
      </c>
      <c r="Y3198">
        <v>1</v>
      </c>
      <c r="Z3198">
        <v>0</v>
      </c>
      <c r="AA3198" t="s">
        <v>4192</v>
      </c>
      <c r="AB3198" t="s">
        <v>6731</v>
      </c>
      <c r="AC3198" t="s">
        <v>4192</v>
      </c>
      <c r="AD3198" t="e">
        <f>VLOOKUP(AB3198,#REF!,2,FALSE)</f>
        <v>#REF!</v>
      </c>
      <c r="AE3198" t="e">
        <f>RIGHT(#REF!,(FIND("Complex",#REF!,1)-6))</f>
        <v>#REF!</v>
      </c>
    </row>
    <row r="3199" spans="1:31" x14ac:dyDescent="0.25">
      <c r="A3199">
        <v>20</v>
      </c>
      <c r="B3199" t="s">
        <v>37</v>
      </c>
      <c r="C3199">
        <v>43</v>
      </c>
      <c r="D3199">
        <v>7</v>
      </c>
      <c r="E3199">
        <v>20</v>
      </c>
      <c r="F3199">
        <v>5468401</v>
      </c>
      <c r="G3199">
        <v>5556600</v>
      </c>
      <c r="H3199">
        <f t="shared" si="98"/>
        <v>124.00002267573696</v>
      </c>
      <c r="I3199">
        <f t="shared" si="99"/>
        <v>126</v>
      </c>
      <c r="J3199" t="s">
        <v>25</v>
      </c>
      <c r="K3199">
        <v>4</v>
      </c>
      <c r="L3199" t="e">
        <f t="array" ref="L3199">VLOOKUP(J3199:$J$3871&amp;K3199:$K$3871,CHOOSE({1,2},#REF!&amp;#REF!,#REF!),2,0)</f>
        <v>#N/A</v>
      </c>
      <c r="M3199">
        <v>0</v>
      </c>
      <c r="N3199">
        <v>1</v>
      </c>
      <c r="O3199" t="s">
        <v>23</v>
      </c>
      <c r="P3199">
        <v>0</v>
      </c>
      <c r="Q3199">
        <v>1</v>
      </c>
      <c r="R3199">
        <v>0</v>
      </c>
      <c r="S3199">
        <v>0</v>
      </c>
      <c r="T3199">
        <v>0</v>
      </c>
      <c r="U3199">
        <v>0</v>
      </c>
      <c r="V3199">
        <v>1</v>
      </c>
      <c r="W3199">
        <v>1</v>
      </c>
      <c r="X3199">
        <v>1</v>
      </c>
      <c r="Y3199">
        <v>0</v>
      </c>
      <c r="Z3199">
        <v>0</v>
      </c>
      <c r="AA3199" t="s">
        <v>4697</v>
      </c>
      <c r="AB3199" t="s">
        <v>7051</v>
      </c>
      <c r="AC3199" t="s">
        <v>4697</v>
      </c>
      <c r="AD3199" t="e">
        <f>VLOOKUP(AB3199,#REF!,2,FALSE)</f>
        <v>#REF!</v>
      </c>
      <c r="AE3199" t="e">
        <f>RIGHT(#REF!,(FIND("Complex",#REF!,1)-3))</f>
        <v>#REF!</v>
      </c>
    </row>
    <row r="3200" spans="1:31" x14ac:dyDescent="0.25">
      <c r="A3200">
        <v>1101</v>
      </c>
      <c r="B3200" t="s">
        <v>37</v>
      </c>
      <c r="C3200">
        <v>43</v>
      </c>
      <c r="D3200">
        <v>489</v>
      </c>
      <c r="E3200">
        <v>1101</v>
      </c>
      <c r="F3200">
        <v>4410001</v>
      </c>
      <c r="G3200">
        <v>4498200</v>
      </c>
      <c r="H3200">
        <f t="shared" si="98"/>
        <v>100.00002267573696</v>
      </c>
      <c r="I3200">
        <f t="shared" si="99"/>
        <v>102</v>
      </c>
      <c r="J3200" t="s">
        <v>25</v>
      </c>
      <c r="K3200">
        <v>4</v>
      </c>
      <c r="L3200" t="e">
        <f t="array" ref="L3200">VLOOKUP(J3200:$J$3871&amp;K3200:$K$3871,CHOOSE({1,2},#REF!&amp;#REF!,#REF!),2,0)</f>
        <v>#N/A</v>
      </c>
      <c r="M3200">
        <v>0</v>
      </c>
      <c r="N3200">
        <v>1</v>
      </c>
      <c r="O3200" t="s">
        <v>23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0</v>
      </c>
      <c r="V3200">
        <v>1</v>
      </c>
      <c r="W3200">
        <v>1</v>
      </c>
      <c r="X3200">
        <v>1</v>
      </c>
      <c r="Y3200">
        <v>0</v>
      </c>
      <c r="Z3200">
        <v>0</v>
      </c>
      <c r="AA3200" t="s">
        <v>4841</v>
      </c>
      <c r="AB3200" t="s">
        <v>1254</v>
      </c>
      <c r="AC3200" t="s">
        <v>4841</v>
      </c>
      <c r="AD3200" t="e">
        <f>VLOOKUP(AB3200,#REF!,2,FALSE)</f>
        <v>#REF!</v>
      </c>
      <c r="AE3200" t="e">
        <f>RIGHT(#REF!,(FIND("Complex",#REF!,1)-5))</f>
        <v>#REF!</v>
      </c>
    </row>
    <row r="3201" spans="1:31" x14ac:dyDescent="0.25">
      <c r="A3201">
        <v>956</v>
      </c>
      <c r="B3201" t="s">
        <v>248</v>
      </c>
      <c r="C3201">
        <v>45</v>
      </c>
      <c r="D3201">
        <v>422</v>
      </c>
      <c r="E3201">
        <v>956</v>
      </c>
      <c r="F3201">
        <v>11907001</v>
      </c>
      <c r="G3201">
        <v>11995200</v>
      </c>
      <c r="H3201">
        <f t="shared" si="98"/>
        <v>270.00002267573694</v>
      </c>
      <c r="I3201">
        <f t="shared" si="99"/>
        <v>272</v>
      </c>
      <c r="J3201" t="s">
        <v>25</v>
      </c>
      <c r="K3201">
        <v>4</v>
      </c>
      <c r="L3201" t="e">
        <f t="array" ref="L3201">VLOOKUP(J3201:$J$3871&amp;K3201:$K$3871,CHOOSE({1,2},#REF!&amp;#REF!,#REF!),2,0)</f>
        <v>#N/A</v>
      </c>
      <c r="M3201">
        <v>0</v>
      </c>
      <c r="N3201">
        <v>1</v>
      </c>
      <c r="O3201" t="s">
        <v>23</v>
      </c>
      <c r="P3201">
        <v>0</v>
      </c>
      <c r="Q3201">
        <v>0</v>
      </c>
      <c r="R3201">
        <v>0</v>
      </c>
      <c r="S3201">
        <v>1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1</v>
      </c>
      <c r="Z3201">
        <v>1</v>
      </c>
      <c r="AA3201" t="s">
        <v>4126</v>
      </c>
      <c r="AB3201" t="s">
        <v>6686</v>
      </c>
      <c r="AC3201" t="s">
        <v>4126</v>
      </c>
      <c r="AD3201" t="e">
        <f>VLOOKUP(AB3201,#REF!,2,FALSE)</f>
        <v>#REF!</v>
      </c>
      <c r="AE3201" t="e">
        <f>RIGHT(#REF!,(FIND("Complex",#REF!,1)-4))</f>
        <v>#REF!</v>
      </c>
    </row>
    <row r="3202" spans="1:31" x14ac:dyDescent="0.25">
      <c r="A3202">
        <v>274</v>
      </c>
      <c r="B3202" t="s">
        <v>248</v>
      </c>
      <c r="C3202">
        <v>45</v>
      </c>
      <c r="D3202">
        <v>118</v>
      </c>
      <c r="E3202">
        <v>274</v>
      </c>
      <c r="F3202">
        <v>9966601</v>
      </c>
      <c r="G3202">
        <v>10054800</v>
      </c>
      <c r="H3202">
        <f t="shared" ref="H3202:H3265" si="100">F3202/44100</f>
        <v>226.00002267573697</v>
      </c>
      <c r="I3202">
        <f t="shared" ref="I3202:I3265" si="101">G3202/44100</f>
        <v>228</v>
      </c>
      <c r="J3202" t="s">
        <v>25</v>
      </c>
      <c r="K3202">
        <v>4</v>
      </c>
      <c r="L3202" t="e">
        <f t="array" ref="L3202">VLOOKUP(J3202:$J$3871&amp;K3202:$K$3871,CHOOSE({1,2},#REF!&amp;#REF!,#REF!),2,0)</f>
        <v>#N/A</v>
      </c>
      <c r="M3202">
        <v>0</v>
      </c>
      <c r="N3202">
        <v>1</v>
      </c>
      <c r="O3202" t="s">
        <v>23</v>
      </c>
      <c r="P3202">
        <v>0</v>
      </c>
      <c r="Q3202">
        <v>1</v>
      </c>
      <c r="R3202">
        <v>0</v>
      </c>
      <c r="S3202">
        <v>1</v>
      </c>
      <c r="T3202">
        <v>0</v>
      </c>
      <c r="U3202">
        <v>0</v>
      </c>
      <c r="V3202">
        <v>0</v>
      </c>
      <c r="W3202">
        <v>1</v>
      </c>
      <c r="X3202">
        <v>0</v>
      </c>
      <c r="Y3202">
        <v>1</v>
      </c>
      <c r="Z3202">
        <v>0</v>
      </c>
      <c r="AA3202" t="s">
        <v>4222</v>
      </c>
      <c r="AB3202" t="s">
        <v>6757</v>
      </c>
      <c r="AC3202" t="s">
        <v>4222</v>
      </c>
      <c r="AD3202" t="e">
        <f>VLOOKUP(AB3202,#REF!,2,FALSE)</f>
        <v>#REF!</v>
      </c>
      <c r="AE3202" t="e">
        <f>RIGHT(#REF!,(FIND("Complex",#REF!,1)-4))</f>
        <v>#REF!</v>
      </c>
    </row>
    <row r="3203" spans="1:31" x14ac:dyDescent="0.25">
      <c r="A3203">
        <v>695</v>
      </c>
      <c r="B3203" t="s">
        <v>248</v>
      </c>
      <c r="C3203">
        <v>45</v>
      </c>
      <c r="D3203">
        <v>302</v>
      </c>
      <c r="E3203">
        <v>695</v>
      </c>
      <c r="F3203">
        <v>8996401</v>
      </c>
      <c r="G3203">
        <v>9084600</v>
      </c>
      <c r="H3203">
        <f t="shared" si="100"/>
        <v>204.00002267573697</v>
      </c>
      <c r="I3203">
        <f t="shared" si="101"/>
        <v>206</v>
      </c>
      <c r="J3203" t="s">
        <v>25</v>
      </c>
      <c r="K3203">
        <v>4</v>
      </c>
      <c r="L3203" t="e">
        <f t="array" ref="L3203">VLOOKUP(J3203:$J$3871&amp;K3203:$K$3871,CHOOSE({1,2},#REF!&amp;#REF!,#REF!),2,0)</f>
        <v>#N/A</v>
      </c>
      <c r="M3203">
        <v>0</v>
      </c>
      <c r="N3203">
        <v>1</v>
      </c>
      <c r="O3203" t="s">
        <v>23</v>
      </c>
      <c r="P3203">
        <v>0</v>
      </c>
      <c r="Q3203">
        <v>1</v>
      </c>
      <c r="R3203">
        <v>0</v>
      </c>
      <c r="S3203">
        <v>1</v>
      </c>
      <c r="T3203">
        <v>0</v>
      </c>
      <c r="U3203">
        <v>0</v>
      </c>
      <c r="V3203">
        <v>0</v>
      </c>
      <c r="W3203">
        <v>1</v>
      </c>
      <c r="X3203">
        <v>0</v>
      </c>
      <c r="Y3203">
        <v>1</v>
      </c>
      <c r="Z3203">
        <v>0</v>
      </c>
      <c r="AA3203" t="s">
        <v>4283</v>
      </c>
      <c r="AB3203" t="s">
        <v>6792</v>
      </c>
      <c r="AC3203" t="s">
        <v>4283</v>
      </c>
      <c r="AD3203" t="e">
        <f>VLOOKUP(AB3203,#REF!,2,FALSE)</f>
        <v>#REF!</v>
      </c>
      <c r="AE3203" t="e">
        <f>RIGHT(#REF!,(FIND("Complex",#REF!,1)-4))</f>
        <v>#REF!</v>
      </c>
    </row>
    <row r="3204" spans="1:31" x14ac:dyDescent="0.25">
      <c r="A3204">
        <v>1819</v>
      </c>
      <c r="B3204" t="s">
        <v>248</v>
      </c>
      <c r="C3204">
        <v>45</v>
      </c>
      <c r="D3204">
        <v>791</v>
      </c>
      <c r="E3204">
        <v>1819</v>
      </c>
      <c r="F3204">
        <v>88201</v>
      </c>
      <c r="G3204">
        <v>176400</v>
      </c>
      <c r="H3204">
        <f t="shared" si="100"/>
        <v>2.0000226757369615</v>
      </c>
      <c r="I3204">
        <f t="shared" si="101"/>
        <v>4</v>
      </c>
      <c r="J3204" t="s">
        <v>25</v>
      </c>
      <c r="K3204">
        <v>4</v>
      </c>
      <c r="L3204" t="e">
        <f t="array" ref="L3204">VLOOKUP(J3204:$J$3871&amp;K3204:$K$3871,CHOOSE({1,2},#REF!&amp;#REF!,#REF!),2,0)</f>
        <v>#N/A</v>
      </c>
      <c r="M3204">
        <v>0</v>
      </c>
      <c r="N3204">
        <v>1</v>
      </c>
      <c r="O3204" t="s">
        <v>23</v>
      </c>
      <c r="P3204">
        <v>0</v>
      </c>
      <c r="Q3204">
        <v>1</v>
      </c>
      <c r="R3204">
        <v>0</v>
      </c>
      <c r="S3204">
        <v>1</v>
      </c>
      <c r="T3204">
        <v>0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1</v>
      </c>
      <c r="AA3204" t="s">
        <v>4336</v>
      </c>
      <c r="AB3204" t="s">
        <v>6816</v>
      </c>
      <c r="AC3204" t="s">
        <v>4336</v>
      </c>
      <c r="AD3204" t="e">
        <f>VLOOKUP(AB3204,#REF!,2,FALSE)</f>
        <v>#REF!</v>
      </c>
      <c r="AE3204" t="e">
        <f>RIGHT(#REF!,(FIND("Complex",#REF!,1)-7))</f>
        <v>#REF!</v>
      </c>
    </row>
    <row r="3205" spans="1:31" x14ac:dyDescent="0.25">
      <c r="A3205">
        <v>28</v>
      </c>
      <c r="B3205" t="s">
        <v>249</v>
      </c>
      <c r="C3205">
        <v>46</v>
      </c>
      <c r="D3205">
        <v>11</v>
      </c>
      <c r="E3205">
        <v>28</v>
      </c>
      <c r="F3205">
        <v>4057201</v>
      </c>
      <c r="G3205">
        <v>4145400</v>
      </c>
      <c r="H3205">
        <f t="shared" si="100"/>
        <v>92.000022675736957</v>
      </c>
      <c r="I3205">
        <f t="shared" si="101"/>
        <v>94</v>
      </c>
      <c r="J3205" t="s">
        <v>25</v>
      </c>
      <c r="K3205">
        <v>4</v>
      </c>
      <c r="L3205" t="e">
        <f t="array" ref="L3205">VLOOKUP(J3205:$J$3871&amp;K3205:$K$3871,CHOOSE({1,2},#REF!&amp;#REF!,#REF!),2,0)</f>
        <v>#N/A</v>
      </c>
      <c r="M3205">
        <v>0</v>
      </c>
      <c r="N3205">
        <v>1</v>
      </c>
      <c r="O3205" t="s">
        <v>23</v>
      </c>
      <c r="P3205">
        <v>0</v>
      </c>
      <c r="Q3205">
        <v>1</v>
      </c>
      <c r="R3205">
        <v>0</v>
      </c>
      <c r="S3205">
        <v>1</v>
      </c>
      <c r="T3205">
        <v>0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1</v>
      </c>
      <c r="AA3205" t="s">
        <v>3539</v>
      </c>
      <c r="AB3205" t="s">
        <v>6334</v>
      </c>
      <c r="AC3205" t="s">
        <v>3539</v>
      </c>
      <c r="AD3205" t="e">
        <f>VLOOKUP(AB3205,#REF!,2,FALSE)</f>
        <v>#REF!</v>
      </c>
      <c r="AE3205" t="e">
        <f>RIGHT(#REF!,(FIND("Complex",#REF!,1)-4))</f>
        <v>#REF!</v>
      </c>
    </row>
    <row r="3206" spans="1:31" x14ac:dyDescent="0.25">
      <c r="A3206">
        <v>810</v>
      </c>
      <c r="B3206" t="s">
        <v>249</v>
      </c>
      <c r="C3206">
        <v>46</v>
      </c>
      <c r="D3206">
        <v>363</v>
      </c>
      <c r="E3206">
        <v>810</v>
      </c>
      <c r="F3206">
        <v>8820001</v>
      </c>
      <c r="G3206">
        <v>8908200</v>
      </c>
      <c r="H3206">
        <f t="shared" si="100"/>
        <v>200.00002267573697</v>
      </c>
      <c r="I3206">
        <f t="shared" si="101"/>
        <v>202</v>
      </c>
      <c r="J3206" t="s">
        <v>25</v>
      </c>
      <c r="K3206">
        <v>4</v>
      </c>
      <c r="L3206" t="e">
        <f t="array" ref="L3206">VLOOKUP(J3206:$J$3871&amp;K3206:$K$3871,CHOOSE({1,2},#REF!&amp;#REF!,#REF!),2,0)</f>
        <v>#N/A</v>
      </c>
      <c r="M3206">
        <v>0</v>
      </c>
      <c r="N3206">
        <v>1</v>
      </c>
      <c r="O3206" t="s">
        <v>23</v>
      </c>
      <c r="P3206">
        <v>0</v>
      </c>
      <c r="Q3206">
        <v>1</v>
      </c>
      <c r="R3206">
        <v>0</v>
      </c>
      <c r="S3206">
        <v>1</v>
      </c>
      <c r="T3206">
        <v>0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1</v>
      </c>
      <c r="AA3206" t="s">
        <v>4295</v>
      </c>
      <c r="AB3206" t="s">
        <v>1261</v>
      </c>
      <c r="AC3206" t="s">
        <v>4295</v>
      </c>
      <c r="AD3206" t="e">
        <f>VLOOKUP(AB3206,#REF!,2,FALSE)</f>
        <v>#REF!</v>
      </c>
      <c r="AE3206" t="e">
        <f>RIGHT(#REF!,(FIND("Complex",#REF!,1)-4))</f>
        <v>#REF!</v>
      </c>
    </row>
    <row r="3207" spans="1:31" x14ac:dyDescent="0.25">
      <c r="A3207">
        <v>1257</v>
      </c>
      <c r="B3207" t="s">
        <v>249</v>
      </c>
      <c r="C3207">
        <v>46</v>
      </c>
      <c r="D3207">
        <v>550</v>
      </c>
      <c r="E3207">
        <v>1257</v>
      </c>
      <c r="F3207">
        <v>6703201</v>
      </c>
      <c r="G3207">
        <v>6791400</v>
      </c>
      <c r="H3207">
        <f t="shared" si="100"/>
        <v>152.00002267573697</v>
      </c>
      <c r="I3207">
        <f t="shared" si="101"/>
        <v>154</v>
      </c>
      <c r="J3207" t="s">
        <v>25</v>
      </c>
      <c r="K3207">
        <v>4</v>
      </c>
      <c r="L3207" t="e">
        <f t="array" ref="L3207">VLOOKUP(J3207:$J$3871&amp;K3207:$K$3871,CHOOSE({1,2},#REF!&amp;#REF!,#REF!),2,0)</f>
        <v>#N/A</v>
      </c>
      <c r="M3207">
        <v>0</v>
      </c>
      <c r="N3207">
        <v>1</v>
      </c>
      <c r="O3207" t="s">
        <v>23</v>
      </c>
      <c r="P3207">
        <v>0</v>
      </c>
      <c r="Q3207">
        <v>1</v>
      </c>
      <c r="R3207">
        <v>0</v>
      </c>
      <c r="S3207">
        <v>1</v>
      </c>
      <c r="T3207">
        <v>0</v>
      </c>
      <c r="U3207">
        <v>0</v>
      </c>
      <c r="V3207">
        <v>0</v>
      </c>
      <c r="W3207">
        <v>1</v>
      </c>
      <c r="X3207">
        <v>0</v>
      </c>
      <c r="Y3207">
        <v>1</v>
      </c>
      <c r="Z3207">
        <v>0</v>
      </c>
      <c r="AA3207" t="s">
        <v>4535</v>
      </c>
      <c r="AB3207" t="s">
        <v>250</v>
      </c>
      <c r="AC3207" t="s">
        <v>4535</v>
      </c>
      <c r="AD3207" t="e">
        <f>VLOOKUP(AB3207,#REF!,2,FALSE)</f>
        <v>#REF!</v>
      </c>
      <c r="AE3207" t="e">
        <f>RIGHT(#REF!,(FIND("Complex",#REF!,1)-5))</f>
        <v>#REF!</v>
      </c>
    </row>
    <row r="3208" spans="1:31" x14ac:dyDescent="0.25">
      <c r="A3208">
        <v>892</v>
      </c>
      <c r="B3208" t="s">
        <v>249</v>
      </c>
      <c r="C3208">
        <v>46</v>
      </c>
      <c r="D3208">
        <v>396</v>
      </c>
      <c r="E3208">
        <v>892</v>
      </c>
      <c r="F3208">
        <v>6350401</v>
      </c>
      <c r="G3208">
        <v>6438600</v>
      </c>
      <c r="H3208">
        <f t="shared" si="100"/>
        <v>144.00002267573697</v>
      </c>
      <c r="I3208">
        <f t="shared" si="101"/>
        <v>146</v>
      </c>
      <c r="J3208" t="s">
        <v>25</v>
      </c>
      <c r="K3208">
        <v>4</v>
      </c>
      <c r="L3208" t="e">
        <f t="array" ref="L3208">VLOOKUP(J3208:$J$3871&amp;K3208:$K$3871,CHOOSE({1,2},#REF!&amp;#REF!,#REF!),2,0)</f>
        <v>#N/A</v>
      </c>
      <c r="M3208">
        <v>0</v>
      </c>
      <c r="N3208">
        <v>1</v>
      </c>
      <c r="O3208" t="s">
        <v>23</v>
      </c>
      <c r="P3208">
        <v>0</v>
      </c>
      <c r="Q3208">
        <v>1</v>
      </c>
      <c r="R3208">
        <v>0</v>
      </c>
      <c r="S3208">
        <v>1</v>
      </c>
      <c r="T3208">
        <v>0</v>
      </c>
      <c r="U3208">
        <v>0</v>
      </c>
      <c r="V3208">
        <v>0</v>
      </c>
      <c r="W3208">
        <v>1</v>
      </c>
      <c r="X3208">
        <v>0</v>
      </c>
      <c r="Y3208">
        <v>1</v>
      </c>
      <c r="Z3208">
        <v>0</v>
      </c>
      <c r="AA3208" t="s">
        <v>4578</v>
      </c>
      <c r="AB3208" t="s">
        <v>6979</v>
      </c>
      <c r="AC3208" t="s">
        <v>4578</v>
      </c>
      <c r="AD3208" t="e">
        <f>VLOOKUP(AB3208,#REF!,2,FALSE)</f>
        <v>#REF!</v>
      </c>
      <c r="AE3208" t="e">
        <f>RIGHT(#REF!,(FIND("Complex",#REF!,1)-4))</f>
        <v>#REF!</v>
      </c>
    </row>
    <row r="3209" spans="1:31" x14ac:dyDescent="0.25">
      <c r="A3209">
        <v>162</v>
      </c>
      <c r="B3209" t="s">
        <v>87</v>
      </c>
      <c r="C3209">
        <v>47</v>
      </c>
      <c r="D3209">
        <v>69</v>
      </c>
      <c r="E3209">
        <v>162</v>
      </c>
      <c r="F3209">
        <v>352801</v>
      </c>
      <c r="G3209">
        <v>441000</v>
      </c>
      <c r="H3209">
        <f t="shared" si="100"/>
        <v>8.000022675736961</v>
      </c>
      <c r="I3209">
        <f t="shared" si="101"/>
        <v>10</v>
      </c>
      <c r="J3209" t="s">
        <v>25</v>
      </c>
      <c r="K3209">
        <v>4</v>
      </c>
      <c r="L3209" t="e">
        <f t="array" ref="L3209">VLOOKUP(J3209:$J$3871&amp;K3209:$K$3871,CHOOSE({1,2},#REF!&amp;#REF!,#REF!),2,0)</f>
        <v>#N/A</v>
      </c>
      <c r="M3209">
        <v>0</v>
      </c>
      <c r="N3209">
        <v>1</v>
      </c>
      <c r="O3209" t="s">
        <v>23</v>
      </c>
      <c r="P3209">
        <v>0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1</v>
      </c>
      <c r="X3209">
        <v>1</v>
      </c>
      <c r="Y3209">
        <v>0</v>
      </c>
      <c r="Z3209">
        <v>0</v>
      </c>
      <c r="AA3209" t="s">
        <v>3646</v>
      </c>
      <c r="AB3209" t="s">
        <v>6392</v>
      </c>
      <c r="AC3209" t="s">
        <v>3646</v>
      </c>
      <c r="AD3209" t="e">
        <f>VLOOKUP(AB3209,#REF!,2,FALSE)</f>
        <v>#REF!</v>
      </c>
      <c r="AE3209" t="e">
        <f>RIGHT(#REF!,(FIND("Complex",#REF!,1)-6))</f>
        <v>#REF!</v>
      </c>
    </row>
    <row r="3210" spans="1:31" x14ac:dyDescent="0.25">
      <c r="A3210">
        <v>86</v>
      </c>
      <c r="B3210" t="s">
        <v>87</v>
      </c>
      <c r="C3210">
        <v>47</v>
      </c>
      <c r="D3210">
        <v>40</v>
      </c>
      <c r="E3210">
        <v>86</v>
      </c>
      <c r="F3210">
        <v>882001</v>
      </c>
      <c r="G3210">
        <v>970200</v>
      </c>
      <c r="H3210">
        <f t="shared" si="100"/>
        <v>20.000022675736961</v>
      </c>
      <c r="I3210">
        <f t="shared" si="101"/>
        <v>22</v>
      </c>
      <c r="J3210" t="s">
        <v>25</v>
      </c>
      <c r="K3210">
        <v>4</v>
      </c>
      <c r="L3210" t="e">
        <f t="array" ref="L3210">VLOOKUP(J3210:$J$3871&amp;K3210:$K$3871,CHOOSE({1,2},#REF!&amp;#REF!,#REF!),2,0)</f>
        <v>#N/A</v>
      </c>
      <c r="M3210">
        <v>0</v>
      </c>
      <c r="N3210">
        <v>1</v>
      </c>
      <c r="O3210" t="s">
        <v>23</v>
      </c>
      <c r="P3210">
        <v>0</v>
      </c>
      <c r="Q3210">
        <v>1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1</v>
      </c>
      <c r="X3210">
        <v>1</v>
      </c>
      <c r="Y3210">
        <v>0</v>
      </c>
      <c r="Z3210">
        <v>0</v>
      </c>
      <c r="AA3210" t="s">
        <v>4316</v>
      </c>
      <c r="AB3210" t="s">
        <v>1268</v>
      </c>
      <c r="AC3210" t="s">
        <v>4316</v>
      </c>
      <c r="AD3210" t="e">
        <f>VLOOKUP(AB3210,#REF!,2,FALSE)</f>
        <v>#REF!</v>
      </c>
      <c r="AE3210" t="e">
        <f>RIGHT(#REF!,(FIND("Complex",#REF!,1)-4))</f>
        <v>#REF!</v>
      </c>
    </row>
    <row r="3211" spans="1:31" x14ac:dyDescent="0.25">
      <c r="A3211">
        <v>371</v>
      </c>
      <c r="B3211" t="s">
        <v>87</v>
      </c>
      <c r="C3211">
        <v>47</v>
      </c>
      <c r="D3211">
        <v>156</v>
      </c>
      <c r="E3211">
        <v>371</v>
      </c>
      <c r="F3211">
        <v>705601</v>
      </c>
      <c r="G3211">
        <v>793800</v>
      </c>
      <c r="H3211">
        <f t="shared" si="100"/>
        <v>16.000022675736961</v>
      </c>
      <c r="I3211">
        <f t="shared" si="101"/>
        <v>18</v>
      </c>
      <c r="J3211" t="s">
        <v>25</v>
      </c>
      <c r="K3211">
        <v>4</v>
      </c>
      <c r="L3211" t="e">
        <f t="array" ref="L3211">VLOOKUP(J3211:$J$3871&amp;K3211:$K$3871,CHOOSE({1,2},#REF!&amp;#REF!,#REF!),2,0)</f>
        <v>#N/A</v>
      </c>
      <c r="M3211">
        <v>0</v>
      </c>
      <c r="N3211">
        <v>1</v>
      </c>
      <c r="O3211" t="s">
        <v>23</v>
      </c>
      <c r="P3211">
        <v>0</v>
      </c>
      <c r="Q3211">
        <v>1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1</v>
      </c>
      <c r="X3211">
        <v>1</v>
      </c>
      <c r="Y3211">
        <v>0</v>
      </c>
      <c r="Z3211">
        <v>0</v>
      </c>
      <c r="AA3211" t="s">
        <v>4501</v>
      </c>
      <c r="AB3211" t="s">
        <v>251</v>
      </c>
      <c r="AC3211" t="s">
        <v>4501</v>
      </c>
      <c r="AD3211" t="e">
        <f>VLOOKUP(AB3211,#REF!,2,FALSE)</f>
        <v>#REF!</v>
      </c>
      <c r="AE3211" t="e">
        <f>RIGHT(#REF!,(FIND("Complex",#REF!,1)-5))</f>
        <v>#REF!</v>
      </c>
    </row>
    <row r="3212" spans="1:31" x14ac:dyDescent="0.25">
      <c r="A3212">
        <v>765</v>
      </c>
      <c r="B3212" t="s">
        <v>87</v>
      </c>
      <c r="C3212">
        <v>47</v>
      </c>
      <c r="D3212">
        <v>342</v>
      </c>
      <c r="E3212">
        <v>765</v>
      </c>
      <c r="F3212">
        <v>1</v>
      </c>
      <c r="G3212">
        <v>88200</v>
      </c>
      <c r="H3212">
        <f t="shared" si="100"/>
        <v>2.2675736961451248E-5</v>
      </c>
      <c r="I3212">
        <f t="shared" si="101"/>
        <v>2</v>
      </c>
      <c r="J3212" t="s">
        <v>25</v>
      </c>
      <c r="K3212">
        <v>4</v>
      </c>
      <c r="L3212" t="e">
        <f t="array" ref="L3212">VLOOKUP(J3212:$J$3871&amp;K3212:$K$3871,CHOOSE({1,2},#REF!&amp;#REF!,#REF!),2,0)</f>
        <v>#N/A</v>
      </c>
      <c r="M3212">
        <v>0</v>
      </c>
      <c r="N3212">
        <v>1</v>
      </c>
      <c r="O3212" t="s">
        <v>23</v>
      </c>
      <c r="P3212">
        <v>0</v>
      </c>
      <c r="Q3212">
        <v>1</v>
      </c>
      <c r="R3212">
        <v>0</v>
      </c>
      <c r="S3212">
        <v>1</v>
      </c>
      <c r="T3212">
        <v>0</v>
      </c>
      <c r="U3212">
        <v>0</v>
      </c>
      <c r="V3212">
        <v>0</v>
      </c>
      <c r="W3212">
        <v>1</v>
      </c>
      <c r="X3212">
        <v>1</v>
      </c>
      <c r="Y3212">
        <v>0</v>
      </c>
      <c r="Z3212">
        <v>0</v>
      </c>
      <c r="AA3212" t="s">
        <v>4879</v>
      </c>
      <c r="AB3212" t="s">
        <v>1269</v>
      </c>
      <c r="AC3212" t="s">
        <v>4879</v>
      </c>
      <c r="AD3212" t="e">
        <f>VLOOKUP(AB3212,#REF!,2,FALSE)</f>
        <v>#REF!</v>
      </c>
      <c r="AE3212" t="e">
        <f>RIGHT(#REF!,(FIND("Complex",#REF!,1)-6))</f>
        <v>#REF!</v>
      </c>
    </row>
    <row r="3213" spans="1:31" x14ac:dyDescent="0.25">
      <c r="A3213">
        <v>1010</v>
      </c>
      <c r="B3213" t="s">
        <v>24</v>
      </c>
      <c r="C3213">
        <v>49</v>
      </c>
      <c r="D3213">
        <v>446</v>
      </c>
      <c r="E3213">
        <v>1010</v>
      </c>
      <c r="F3213">
        <v>3087001</v>
      </c>
      <c r="G3213">
        <v>3175200</v>
      </c>
      <c r="H3213">
        <f t="shared" si="100"/>
        <v>70.000022675736957</v>
      </c>
      <c r="I3213">
        <f t="shared" si="101"/>
        <v>72</v>
      </c>
      <c r="J3213" t="s">
        <v>25</v>
      </c>
      <c r="K3213">
        <v>4</v>
      </c>
      <c r="L3213" t="e">
        <f t="array" ref="L3213">VLOOKUP(J3213:$J$3871&amp;K3213:$K$3871,CHOOSE({1,2},#REF!&amp;#REF!,#REF!),2,0)</f>
        <v>#N/A</v>
      </c>
      <c r="M3213">
        <v>0</v>
      </c>
      <c r="N3213">
        <v>1</v>
      </c>
      <c r="O3213" t="s">
        <v>23</v>
      </c>
      <c r="P3213">
        <v>0</v>
      </c>
      <c r="Q3213">
        <v>1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1</v>
      </c>
      <c r="X3213">
        <v>1</v>
      </c>
      <c r="Y3213">
        <v>0</v>
      </c>
      <c r="Z3213">
        <v>0</v>
      </c>
      <c r="AA3213" t="s">
        <v>3706</v>
      </c>
      <c r="AB3213" t="s">
        <v>6425</v>
      </c>
      <c r="AC3213" t="s">
        <v>3706</v>
      </c>
      <c r="AD3213" t="e">
        <f>VLOOKUP(AB3213,#REF!,2,FALSE)</f>
        <v>#REF!</v>
      </c>
      <c r="AE3213" t="e">
        <f>RIGHT(#REF!,(FIND("Complex",#REF!,1)-6))</f>
        <v>#REF!</v>
      </c>
    </row>
    <row r="3214" spans="1:31" x14ac:dyDescent="0.25">
      <c r="A3214">
        <v>1929</v>
      </c>
      <c r="B3214" t="s">
        <v>24</v>
      </c>
      <c r="C3214">
        <v>49</v>
      </c>
      <c r="D3214">
        <v>834</v>
      </c>
      <c r="E3214">
        <v>1929</v>
      </c>
      <c r="F3214">
        <v>970201</v>
      </c>
      <c r="G3214">
        <v>1058400</v>
      </c>
      <c r="H3214">
        <f t="shared" si="100"/>
        <v>22.000022675736961</v>
      </c>
      <c r="I3214">
        <f t="shared" si="101"/>
        <v>24</v>
      </c>
      <c r="J3214" t="s">
        <v>25</v>
      </c>
      <c r="K3214">
        <v>4</v>
      </c>
      <c r="L3214" t="e">
        <f t="array" ref="L3214">VLOOKUP(J3214:$J$3871&amp;K3214:$K$3871,CHOOSE({1,2},#REF!&amp;#REF!,#REF!),2,0)</f>
        <v>#N/A</v>
      </c>
      <c r="M3214">
        <v>0</v>
      </c>
      <c r="N3214">
        <v>1</v>
      </c>
      <c r="O3214" t="s">
        <v>23</v>
      </c>
      <c r="P3214">
        <v>0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1</v>
      </c>
      <c r="X3214">
        <v>1</v>
      </c>
      <c r="Y3214">
        <v>0</v>
      </c>
      <c r="Z3214">
        <v>0</v>
      </c>
      <c r="AA3214" t="s">
        <v>4248</v>
      </c>
      <c r="AB3214" t="s">
        <v>6768</v>
      </c>
      <c r="AC3214" t="s">
        <v>4248</v>
      </c>
      <c r="AD3214" t="e">
        <f>VLOOKUP(AB3214,#REF!,2,FALSE)</f>
        <v>#REF!</v>
      </c>
      <c r="AE3214" t="e">
        <f>RIGHT(#REF!,(FIND("Complex",#REF!,1)-6))</f>
        <v>#REF!</v>
      </c>
    </row>
    <row r="3215" spans="1:31" x14ac:dyDescent="0.25">
      <c r="A3215">
        <v>654</v>
      </c>
      <c r="B3215" t="s">
        <v>24</v>
      </c>
      <c r="C3215">
        <v>49</v>
      </c>
      <c r="D3215">
        <v>283</v>
      </c>
      <c r="E3215">
        <v>654</v>
      </c>
      <c r="F3215">
        <v>88201</v>
      </c>
      <c r="G3215">
        <v>176400</v>
      </c>
      <c r="H3215">
        <f t="shared" si="100"/>
        <v>2.0000226757369615</v>
      </c>
      <c r="I3215">
        <f t="shared" si="101"/>
        <v>4</v>
      </c>
      <c r="J3215" t="s">
        <v>25</v>
      </c>
      <c r="K3215">
        <v>4</v>
      </c>
      <c r="L3215" t="e">
        <f t="array" ref="L3215">VLOOKUP(J3215:$J$3871&amp;K3215:$K$3871,CHOOSE({1,2},#REF!&amp;#REF!,#REF!),2,0)</f>
        <v>#N/A</v>
      </c>
      <c r="M3215">
        <v>0</v>
      </c>
      <c r="N3215">
        <v>1</v>
      </c>
      <c r="O3215" t="s">
        <v>23</v>
      </c>
      <c r="P3215">
        <v>0</v>
      </c>
      <c r="Q3215">
        <v>1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1</v>
      </c>
      <c r="X3215">
        <v>1</v>
      </c>
      <c r="Y3215">
        <v>0</v>
      </c>
      <c r="Z3215">
        <v>0</v>
      </c>
      <c r="AA3215" t="s">
        <v>4334</v>
      </c>
      <c r="AB3215" t="s">
        <v>1319</v>
      </c>
      <c r="AC3215" t="s">
        <v>4334</v>
      </c>
      <c r="AD3215" t="e">
        <f>VLOOKUP(AB3215,#REF!,2,FALSE)</f>
        <v>#REF!</v>
      </c>
      <c r="AE3215" t="e">
        <f>RIGHT(#REF!,(FIND("Complex",#REF!,1)-6))</f>
        <v>#REF!</v>
      </c>
    </row>
    <row r="3216" spans="1:31" x14ac:dyDescent="0.25">
      <c r="A3216">
        <v>320</v>
      </c>
      <c r="B3216" t="s">
        <v>24</v>
      </c>
      <c r="C3216">
        <v>49</v>
      </c>
      <c r="D3216">
        <v>134</v>
      </c>
      <c r="E3216">
        <v>320</v>
      </c>
      <c r="F3216">
        <v>7144201</v>
      </c>
      <c r="G3216">
        <v>7232400</v>
      </c>
      <c r="H3216">
        <f t="shared" si="100"/>
        <v>162.00002267573697</v>
      </c>
      <c r="I3216">
        <f t="shared" si="101"/>
        <v>164</v>
      </c>
      <c r="J3216" t="s">
        <v>25</v>
      </c>
      <c r="K3216">
        <v>4</v>
      </c>
      <c r="L3216" t="e">
        <f t="array" ref="L3216">VLOOKUP(J3216:$J$3871&amp;K3216:$K$3871,CHOOSE({1,2},#REF!&amp;#REF!,#REF!),2,0)</f>
        <v>#N/A</v>
      </c>
      <c r="M3216">
        <v>0</v>
      </c>
      <c r="N3216">
        <v>1</v>
      </c>
      <c r="O3216" t="s">
        <v>23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1</v>
      </c>
      <c r="X3216">
        <v>1</v>
      </c>
      <c r="Y3216">
        <v>0</v>
      </c>
      <c r="Z3216">
        <v>0</v>
      </c>
      <c r="AA3216" t="s">
        <v>4470</v>
      </c>
      <c r="AB3216" t="s">
        <v>1320</v>
      </c>
      <c r="AC3216" t="s">
        <v>4470</v>
      </c>
      <c r="AD3216" t="e">
        <f>VLOOKUP(AB3216,#REF!,2,FALSE)</f>
        <v>#REF!</v>
      </c>
      <c r="AE3216" t="e">
        <f>RIGHT(#REF!,(FIND("Complex",#REF!,1)-4))</f>
        <v>#REF!</v>
      </c>
    </row>
    <row r="3217" spans="1:31" x14ac:dyDescent="0.25">
      <c r="A3217">
        <v>1745</v>
      </c>
      <c r="B3217" t="s">
        <v>24</v>
      </c>
      <c r="C3217">
        <v>49</v>
      </c>
      <c r="D3217">
        <v>760</v>
      </c>
      <c r="E3217">
        <v>1745</v>
      </c>
      <c r="F3217">
        <v>441001</v>
      </c>
      <c r="G3217">
        <v>529200</v>
      </c>
      <c r="H3217">
        <f t="shared" si="100"/>
        <v>10.000022675736961</v>
      </c>
      <c r="I3217">
        <f t="shared" si="101"/>
        <v>12</v>
      </c>
      <c r="J3217" t="s">
        <v>25</v>
      </c>
      <c r="K3217">
        <v>4</v>
      </c>
      <c r="L3217" t="e">
        <f t="array" ref="L3217">VLOOKUP(J3217:$J$3871&amp;K3217:$K$3871,CHOOSE({1,2},#REF!&amp;#REF!,#REF!),2,0)</f>
        <v>#N/A</v>
      </c>
      <c r="M3217">
        <v>0</v>
      </c>
      <c r="N3217">
        <v>1</v>
      </c>
      <c r="O3217" t="s">
        <v>23</v>
      </c>
      <c r="P3217">
        <v>0</v>
      </c>
      <c r="Q3217">
        <v>1</v>
      </c>
      <c r="R3217">
        <v>0</v>
      </c>
      <c r="S3217">
        <v>1</v>
      </c>
      <c r="T3217">
        <v>0</v>
      </c>
      <c r="U3217">
        <v>0</v>
      </c>
      <c r="V3217">
        <v>0</v>
      </c>
      <c r="W3217">
        <v>1</v>
      </c>
      <c r="X3217">
        <v>1</v>
      </c>
      <c r="Y3217">
        <v>0</v>
      </c>
      <c r="Z3217">
        <v>0</v>
      </c>
      <c r="AA3217" t="s">
        <v>4865</v>
      </c>
      <c r="AB3217" t="s">
        <v>7144</v>
      </c>
      <c r="AC3217" t="s">
        <v>4865</v>
      </c>
      <c r="AD3217" t="e">
        <f>VLOOKUP(AB3217,#REF!,2,FALSE)</f>
        <v>#REF!</v>
      </c>
      <c r="AE3217" t="e">
        <f>RIGHT(#REF!,(FIND("Complex",#REF!,1)-6))</f>
        <v>#REF!</v>
      </c>
    </row>
    <row r="3218" spans="1:31" x14ac:dyDescent="0.25">
      <c r="A3218">
        <v>1596</v>
      </c>
      <c r="B3218" t="s">
        <v>27</v>
      </c>
      <c r="C3218">
        <v>52</v>
      </c>
      <c r="D3218">
        <v>690</v>
      </c>
      <c r="E3218">
        <v>1596</v>
      </c>
      <c r="F3218">
        <v>12524401</v>
      </c>
      <c r="G3218">
        <v>12612600</v>
      </c>
      <c r="H3218">
        <f t="shared" si="100"/>
        <v>284.00002267573694</v>
      </c>
      <c r="I3218">
        <f t="shared" si="101"/>
        <v>286</v>
      </c>
      <c r="J3218" t="s">
        <v>25</v>
      </c>
      <c r="K3218">
        <v>4</v>
      </c>
      <c r="L3218" t="e">
        <f t="array" ref="L3218">VLOOKUP(J3218:$J$3871&amp;K3218:$K$3871,CHOOSE({1,2},#REF!&amp;#REF!,#REF!),2,0)</f>
        <v>#N/A</v>
      </c>
      <c r="M3218">
        <v>0</v>
      </c>
      <c r="N3218">
        <v>1</v>
      </c>
      <c r="O3218" t="s">
        <v>23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1</v>
      </c>
      <c r="Y3218">
        <v>1</v>
      </c>
      <c r="Z3218">
        <v>1</v>
      </c>
      <c r="AA3218" t="s">
        <v>4082</v>
      </c>
      <c r="AB3218" t="s">
        <v>6649</v>
      </c>
      <c r="AC3218" t="s">
        <v>4082</v>
      </c>
      <c r="AD3218" t="e">
        <f>VLOOKUP(AB3218,#REF!,2,FALSE)</f>
        <v>#REF!</v>
      </c>
      <c r="AE3218" t="e">
        <f>RIGHT(#REF!,(FIND("Complex",#REF!,1)-5))</f>
        <v>#REF!</v>
      </c>
    </row>
    <row r="3219" spans="1:31" x14ac:dyDescent="0.25">
      <c r="A3219">
        <v>399</v>
      </c>
      <c r="B3219" t="s">
        <v>27</v>
      </c>
      <c r="C3219">
        <v>52</v>
      </c>
      <c r="D3219">
        <v>169</v>
      </c>
      <c r="E3219">
        <v>399</v>
      </c>
      <c r="F3219">
        <v>9613801</v>
      </c>
      <c r="G3219">
        <v>9702000</v>
      </c>
      <c r="H3219">
        <f t="shared" si="100"/>
        <v>218.00002267573697</v>
      </c>
      <c r="I3219">
        <f t="shared" si="101"/>
        <v>220</v>
      </c>
      <c r="J3219" t="s">
        <v>25</v>
      </c>
      <c r="K3219">
        <v>4</v>
      </c>
      <c r="L3219" t="e">
        <f t="array" ref="L3219">VLOOKUP(J3219:$J$3871&amp;K3219:$K$3871,CHOOSE({1,2},#REF!&amp;#REF!,#REF!),2,0)</f>
        <v>#N/A</v>
      </c>
      <c r="M3219">
        <v>0</v>
      </c>
      <c r="N3219">
        <v>1</v>
      </c>
      <c r="O3219" t="s">
        <v>23</v>
      </c>
      <c r="P3219">
        <v>0</v>
      </c>
      <c r="Q3219">
        <v>0</v>
      </c>
      <c r="R3219">
        <v>0</v>
      </c>
      <c r="S3219">
        <v>0</v>
      </c>
      <c r="T3219">
        <v>1</v>
      </c>
      <c r="U3219">
        <v>1</v>
      </c>
      <c r="V3219">
        <v>1</v>
      </c>
      <c r="W3219">
        <v>1</v>
      </c>
      <c r="X3219">
        <v>0</v>
      </c>
      <c r="Y3219">
        <v>0</v>
      </c>
      <c r="Z3219">
        <v>0</v>
      </c>
      <c r="AA3219" t="s">
        <v>4256</v>
      </c>
      <c r="AB3219" t="s">
        <v>1366</v>
      </c>
      <c r="AC3219" t="s">
        <v>4256</v>
      </c>
      <c r="AD3219" t="e">
        <f>VLOOKUP(AB3219,#REF!,2,FALSE)</f>
        <v>#REF!</v>
      </c>
      <c r="AE3219" t="e">
        <f>RIGHT(#REF!,(FIND("Complex",#REF!,1)-4))</f>
        <v>#REF!</v>
      </c>
    </row>
    <row r="3220" spans="1:31" x14ac:dyDescent="0.25">
      <c r="A3220">
        <v>645</v>
      </c>
      <c r="B3220" t="s">
        <v>27</v>
      </c>
      <c r="C3220">
        <v>52</v>
      </c>
      <c r="D3220">
        <v>279</v>
      </c>
      <c r="E3220">
        <v>645</v>
      </c>
      <c r="F3220">
        <v>9525601</v>
      </c>
      <c r="G3220">
        <v>9613800</v>
      </c>
      <c r="H3220">
        <f t="shared" si="100"/>
        <v>216.00002267573697</v>
      </c>
      <c r="I3220">
        <f t="shared" si="101"/>
        <v>218</v>
      </c>
      <c r="J3220" t="s">
        <v>25</v>
      </c>
      <c r="K3220">
        <v>4</v>
      </c>
      <c r="L3220" t="e">
        <f t="array" ref="L3220">VLOOKUP(J3220:$J$3871&amp;K3220:$K$3871,CHOOSE({1,2},#REF!&amp;#REF!,#REF!),2,0)</f>
        <v>#N/A</v>
      </c>
      <c r="M3220">
        <v>0</v>
      </c>
      <c r="N3220">
        <v>1</v>
      </c>
      <c r="O3220" t="s">
        <v>23</v>
      </c>
      <c r="P3220">
        <v>0</v>
      </c>
      <c r="Q3220">
        <v>0</v>
      </c>
      <c r="R3220">
        <v>0</v>
      </c>
      <c r="S3220">
        <v>0</v>
      </c>
      <c r="T3220">
        <v>1</v>
      </c>
      <c r="U3220">
        <v>1</v>
      </c>
      <c r="V3220">
        <v>1</v>
      </c>
      <c r="W3220">
        <v>1</v>
      </c>
      <c r="X3220">
        <v>0</v>
      </c>
      <c r="Y3220">
        <v>0</v>
      </c>
      <c r="Z3220">
        <v>0</v>
      </c>
      <c r="AA3220" t="s">
        <v>4261</v>
      </c>
      <c r="AB3220" t="s">
        <v>6777</v>
      </c>
      <c r="AC3220" t="s">
        <v>4261</v>
      </c>
      <c r="AD3220" t="e">
        <f>VLOOKUP(AB3220,#REF!,2,FALSE)</f>
        <v>#REF!</v>
      </c>
      <c r="AE3220" t="e">
        <f>RIGHT(#REF!,(FIND("Complex",#REF!,1)-4))</f>
        <v>#REF!</v>
      </c>
    </row>
    <row r="3221" spans="1:31" x14ac:dyDescent="0.25">
      <c r="A3221">
        <v>200</v>
      </c>
      <c r="B3221" t="s">
        <v>27</v>
      </c>
      <c r="C3221">
        <v>52</v>
      </c>
      <c r="D3221">
        <v>81</v>
      </c>
      <c r="E3221">
        <v>200</v>
      </c>
      <c r="F3221">
        <v>9437401</v>
      </c>
      <c r="G3221">
        <v>9525600</v>
      </c>
      <c r="H3221">
        <f t="shared" si="100"/>
        <v>214.00002267573697</v>
      </c>
      <c r="I3221">
        <f t="shared" si="101"/>
        <v>216</v>
      </c>
      <c r="J3221" t="s">
        <v>25</v>
      </c>
      <c r="K3221">
        <v>4</v>
      </c>
      <c r="L3221" t="e">
        <f t="array" ref="L3221">VLOOKUP(J3221:$J$3871&amp;K3221:$K$3871,CHOOSE({1,2},#REF!&amp;#REF!,#REF!),2,0)</f>
        <v>#N/A</v>
      </c>
      <c r="M3221">
        <v>0</v>
      </c>
      <c r="N3221">
        <v>1</v>
      </c>
      <c r="O3221" t="s">
        <v>23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1</v>
      </c>
      <c r="V3221">
        <v>1</v>
      </c>
      <c r="W3221">
        <v>1</v>
      </c>
      <c r="X3221">
        <v>0</v>
      </c>
      <c r="Y3221">
        <v>0</v>
      </c>
      <c r="Z3221">
        <v>0</v>
      </c>
      <c r="AA3221" t="s">
        <v>4264</v>
      </c>
      <c r="AB3221" t="s">
        <v>6778</v>
      </c>
      <c r="AC3221" t="s">
        <v>4264</v>
      </c>
      <c r="AD3221" t="e">
        <f>VLOOKUP(AB3221,#REF!,2,FALSE)</f>
        <v>#REF!</v>
      </c>
      <c r="AE3221" t="e">
        <f>RIGHT(#REF!,(FIND("Complex",#REF!,1)-4))</f>
        <v>#REF!</v>
      </c>
    </row>
    <row r="3222" spans="1:31" x14ac:dyDescent="0.25">
      <c r="A3222">
        <v>1786</v>
      </c>
      <c r="B3222" t="s">
        <v>27</v>
      </c>
      <c r="C3222">
        <v>52</v>
      </c>
      <c r="D3222">
        <v>775</v>
      </c>
      <c r="E3222">
        <v>1786</v>
      </c>
      <c r="F3222">
        <v>9349201</v>
      </c>
      <c r="G3222">
        <v>9437400</v>
      </c>
      <c r="H3222">
        <f t="shared" si="100"/>
        <v>212.00002267573697</v>
      </c>
      <c r="I3222">
        <f t="shared" si="101"/>
        <v>214</v>
      </c>
      <c r="J3222" t="s">
        <v>25</v>
      </c>
      <c r="K3222">
        <v>4</v>
      </c>
      <c r="L3222" t="e">
        <f t="array" ref="L3222">VLOOKUP(J3222:$J$3871&amp;K3222:$K$3871,CHOOSE({1,2},#REF!&amp;#REF!,#REF!),2,0)</f>
        <v>#N/A</v>
      </c>
      <c r="M3222">
        <v>0</v>
      </c>
      <c r="N3222">
        <v>1</v>
      </c>
      <c r="O3222" t="s">
        <v>23</v>
      </c>
      <c r="P3222">
        <v>0</v>
      </c>
      <c r="Q3222">
        <v>0</v>
      </c>
      <c r="R3222">
        <v>0</v>
      </c>
      <c r="S3222">
        <v>0</v>
      </c>
      <c r="T3222">
        <v>1</v>
      </c>
      <c r="U3222">
        <v>1</v>
      </c>
      <c r="V3222">
        <v>1</v>
      </c>
      <c r="W3222">
        <v>1</v>
      </c>
      <c r="X3222">
        <v>0</v>
      </c>
      <c r="Y3222">
        <v>0</v>
      </c>
      <c r="Z3222">
        <v>0</v>
      </c>
      <c r="AA3222" t="s">
        <v>4270</v>
      </c>
      <c r="AB3222" t="s">
        <v>6781</v>
      </c>
      <c r="AC3222" t="s">
        <v>4270</v>
      </c>
      <c r="AD3222" t="e">
        <f>VLOOKUP(AB3222,#REF!,2,FALSE)</f>
        <v>#REF!</v>
      </c>
      <c r="AE3222" t="e">
        <f>RIGHT(#REF!,(FIND("Complex",#REF!,1)-5))</f>
        <v>#REF!</v>
      </c>
    </row>
    <row r="3223" spans="1:31" x14ac:dyDescent="0.25">
      <c r="A3223">
        <v>1843</v>
      </c>
      <c r="B3223" t="s">
        <v>34</v>
      </c>
      <c r="C3223">
        <v>53</v>
      </c>
      <c r="D3223">
        <v>802</v>
      </c>
      <c r="E3223">
        <v>1843</v>
      </c>
      <c r="F3223">
        <v>4674601</v>
      </c>
      <c r="G3223">
        <v>4762800</v>
      </c>
      <c r="H3223">
        <f t="shared" si="100"/>
        <v>106.00002267573696</v>
      </c>
      <c r="I3223">
        <f t="shared" si="101"/>
        <v>108</v>
      </c>
      <c r="J3223" t="s">
        <v>25</v>
      </c>
      <c r="K3223">
        <v>4</v>
      </c>
      <c r="L3223" t="e">
        <f t="array" ref="L3223">VLOOKUP(J3223:$J$3871&amp;K3223:$K$3871,CHOOSE({1,2},#REF!&amp;#REF!,#REF!),2,0)</f>
        <v>#N/A</v>
      </c>
      <c r="M3223">
        <v>0</v>
      </c>
      <c r="N3223">
        <v>1</v>
      </c>
      <c r="O3223" t="s">
        <v>23</v>
      </c>
      <c r="P3223">
        <v>1</v>
      </c>
      <c r="Q3223">
        <v>0</v>
      </c>
      <c r="R3223">
        <v>1</v>
      </c>
      <c r="S3223">
        <v>0</v>
      </c>
      <c r="T3223">
        <v>0</v>
      </c>
      <c r="U3223">
        <v>0</v>
      </c>
      <c r="V3223">
        <v>1</v>
      </c>
      <c r="W3223">
        <v>1</v>
      </c>
      <c r="X3223">
        <v>0</v>
      </c>
      <c r="Y3223">
        <v>0</v>
      </c>
      <c r="Z3223">
        <v>0</v>
      </c>
      <c r="AA3223" t="s">
        <v>4802</v>
      </c>
      <c r="AB3223" t="s">
        <v>1386</v>
      </c>
      <c r="AC3223" t="s">
        <v>4802</v>
      </c>
      <c r="AD3223" t="e">
        <f>VLOOKUP(AB3223,#REF!,2,FALSE)</f>
        <v>#REF!</v>
      </c>
      <c r="AE3223" t="e">
        <f>RIGHT(#REF!,(FIND("Complex",#REF!,1)-5))</f>
        <v>#REF!</v>
      </c>
    </row>
    <row r="3224" spans="1:31" x14ac:dyDescent="0.25">
      <c r="A3224">
        <v>1322</v>
      </c>
      <c r="B3224" t="s">
        <v>66</v>
      </c>
      <c r="C3224">
        <v>54</v>
      </c>
      <c r="D3224">
        <v>575</v>
      </c>
      <c r="E3224">
        <v>1322</v>
      </c>
      <c r="F3224">
        <v>32986801</v>
      </c>
      <c r="G3224">
        <v>33075000</v>
      </c>
      <c r="H3224">
        <f t="shared" si="100"/>
        <v>748.000022675737</v>
      </c>
      <c r="I3224">
        <f t="shared" si="101"/>
        <v>750</v>
      </c>
      <c r="J3224" t="s">
        <v>25</v>
      </c>
      <c r="K3224">
        <v>4</v>
      </c>
      <c r="L3224" t="e">
        <f t="array" ref="L3224">VLOOKUP(J3224:$J$3871&amp;K3224:$K$3871,CHOOSE({1,2},#REF!&amp;#REF!,#REF!),2,0)</f>
        <v>#N/A</v>
      </c>
      <c r="M3224">
        <v>0</v>
      </c>
      <c r="N3224">
        <v>1</v>
      </c>
      <c r="O3224" t="s">
        <v>23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1</v>
      </c>
      <c r="W3224">
        <v>1</v>
      </c>
      <c r="X3224">
        <v>0</v>
      </c>
      <c r="Y3224">
        <v>1</v>
      </c>
      <c r="Z3224">
        <v>1</v>
      </c>
      <c r="AA3224" t="s">
        <v>3677</v>
      </c>
      <c r="AB3224" t="s">
        <v>6408</v>
      </c>
      <c r="AC3224" t="s">
        <v>3677</v>
      </c>
      <c r="AD3224" t="e">
        <f>VLOOKUP(AB3224,#REF!,2,FALSE)</f>
        <v>#REF!</v>
      </c>
      <c r="AE3224" t="e">
        <f>RIGHT(#REF!,(FIND("Complex",#REF!,1)-5))</f>
        <v>#REF!</v>
      </c>
    </row>
    <row r="3225" spans="1:31" x14ac:dyDescent="0.25">
      <c r="A3225">
        <v>1855</v>
      </c>
      <c r="B3225" t="s">
        <v>66</v>
      </c>
      <c r="C3225">
        <v>54</v>
      </c>
      <c r="D3225">
        <v>808</v>
      </c>
      <c r="E3225">
        <v>1855</v>
      </c>
      <c r="F3225">
        <v>30693601</v>
      </c>
      <c r="G3225">
        <v>30781800</v>
      </c>
      <c r="H3225">
        <f t="shared" si="100"/>
        <v>696.000022675737</v>
      </c>
      <c r="I3225">
        <f t="shared" si="101"/>
        <v>698</v>
      </c>
      <c r="J3225" t="s">
        <v>25</v>
      </c>
      <c r="K3225">
        <v>4</v>
      </c>
      <c r="L3225" t="e">
        <f t="array" ref="L3225">VLOOKUP(J3225:$J$3871&amp;K3225:$K$3871,CHOOSE({1,2},#REF!&amp;#REF!,#REF!),2,0)</f>
        <v>#N/A</v>
      </c>
      <c r="M3225">
        <v>0</v>
      </c>
      <c r="N3225">
        <v>1</v>
      </c>
      <c r="O3225" t="s">
        <v>23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1</v>
      </c>
      <c r="X3225">
        <v>0</v>
      </c>
      <c r="Y3225">
        <v>1</v>
      </c>
      <c r="Z3225">
        <v>1</v>
      </c>
      <c r="AA3225" t="s">
        <v>3717</v>
      </c>
      <c r="AB3225" t="s">
        <v>6432</v>
      </c>
      <c r="AC3225" t="s">
        <v>3717</v>
      </c>
      <c r="AD3225" t="e">
        <f>VLOOKUP(AB3225,#REF!,2,FALSE)</f>
        <v>#REF!</v>
      </c>
      <c r="AE3225" t="e">
        <f>RIGHT(#REF!,(FIND("Complex",#REF!,1)-5))</f>
        <v>#REF!</v>
      </c>
    </row>
    <row r="3226" spans="1:31" x14ac:dyDescent="0.25">
      <c r="A3226">
        <v>1394</v>
      </c>
      <c r="B3226" t="s">
        <v>66</v>
      </c>
      <c r="C3226">
        <v>54</v>
      </c>
      <c r="D3226">
        <v>609</v>
      </c>
      <c r="E3226">
        <v>1394</v>
      </c>
      <c r="F3226">
        <v>21079801</v>
      </c>
      <c r="G3226">
        <v>21168000</v>
      </c>
      <c r="H3226">
        <f t="shared" si="100"/>
        <v>478.00002267573694</v>
      </c>
      <c r="I3226">
        <f t="shared" si="101"/>
        <v>480</v>
      </c>
      <c r="J3226" t="s">
        <v>25</v>
      </c>
      <c r="K3226">
        <v>4</v>
      </c>
      <c r="L3226" t="e">
        <f t="array" ref="L3226">VLOOKUP(J3226:$J$3871&amp;K3226:$K$3871,CHOOSE({1,2},#REF!&amp;#REF!,#REF!),2,0)</f>
        <v>#N/A</v>
      </c>
      <c r="M3226">
        <v>0</v>
      </c>
      <c r="N3226">
        <v>1</v>
      </c>
      <c r="O3226" t="s">
        <v>23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1</v>
      </c>
      <c r="V3226">
        <v>0</v>
      </c>
      <c r="W3226">
        <v>1</v>
      </c>
      <c r="X3226">
        <v>0</v>
      </c>
      <c r="Y3226">
        <v>0</v>
      </c>
      <c r="Z3226">
        <v>1</v>
      </c>
      <c r="AA3226" t="s">
        <v>3896</v>
      </c>
      <c r="AB3226" t="s">
        <v>6536</v>
      </c>
      <c r="AC3226" t="s">
        <v>3896</v>
      </c>
      <c r="AD3226" t="e">
        <f>VLOOKUP(AB3226,#REF!,2,FALSE)</f>
        <v>#REF!</v>
      </c>
      <c r="AE3226" t="e">
        <f>RIGHT(#REF!,(FIND("Complex",#REF!,1)-5))</f>
        <v>#REF!</v>
      </c>
    </row>
    <row r="3227" spans="1:31" x14ac:dyDescent="0.25">
      <c r="A3227">
        <v>147</v>
      </c>
      <c r="B3227" t="s">
        <v>66</v>
      </c>
      <c r="C3227">
        <v>54</v>
      </c>
      <c r="D3227">
        <v>64</v>
      </c>
      <c r="E3227">
        <v>147</v>
      </c>
      <c r="F3227">
        <v>16317001</v>
      </c>
      <c r="G3227">
        <v>16405200</v>
      </c>
      <c r="H3227">
        <f t="shared" si="100"/>
        <v>370.00002267573694</v>
      </c>
      <c r="I3227">
        <f t="shared" si="101"/>
        <v>372</v>
      </c>
      <c r="J3227" t="s">
        <v>25</v>
      </c>
      <c r="K3227">
        <v>4</v>
      </c>
      <c r="L3227" t="e">
        <f t="array" ref="L3227">VLOOKUP(J3227:$J$3871&amp;K3227:$K$3871,CHOOSE({1,2},#REF!&amp;#REF!,#REF!),2,0)</f>
        <v>#N/A</v>
      </c>
      <c r="M3227">
        <v>0</v>
      </c>
      <c r="N3227">
        <v>1</v>
      </c>
      <c r="O3227" t="s">
        <v>23</v>
      </c>
      <c r="P3227">
        <v>0</v>
      </c>
      <c r="Q3227">
        <v>0</v>
      </c>
      <c r="R3227">
        <v>0</v>
      </c>
      <c r="S3227">
        <v>1</v>
      </c>
      <c r="T3227">
        <v>0</v>
      </c>
      <c r="U3227">
        <v>1</v>
      </c>
      <c r="V3227">
        <v>0</v>
      </c>
      <c r="W3227">
        <v>1</v>
      </c>
      <c r="X3227">
        <v>0</v>
      </c>
      <c r="Y3227">
        <v>0</v>
      </c>
      <c r="Z3227">
        <v>1</v>
      </c>
      <c r="AA3227" t="s">
        <v>3992</v>
      </c>
      <c r="AB3227" t="s">
        <v>6589</v>
      </c>
      <c r="AC3227" t="s">
        <v>3992</v>
      </c>
      <c r="AD3227" t="e">
        <f>VLOOKUP(AB3227,#REF!,2,FALSE)</f>
        <v>#REF!</v>
      </c>
      <c r="AE3227" t="e">
        <f>RIGHT(#REF!,(FIND("Complex",#REF!,1)-4))</f>
        <v>#REF!</v>
      </c>
    </row>
    <row r="3228" spans="1:31" x14ac:dyDescent="0.25">
      <c r="A3228">
        <v>839</v>
      </c>
      <c r="B3228" t="s">
        <v>66</v>
      </c>
      <c r="C3228">
        <v>54</v>
      </c>
      <c r="D3228">
        <v>378</v>
      </c>
      <c r="E3228">
        <v>839</v>
      </c>
      <c r="F3228">
        <v>15964201</v>
      </c>
      <c r="G3228">
        <v>16052400</v>
      </c>
      <c r="H3228">
        <f t="shared" si="100"/>
        <v>362.00002267573694</v>
      </c>
      <c r="I3228">
        <f t="shared" si="101"/>
        <v>364</v>
      </c>
      <c r="J3228" t="s">
        <v>25</v>
      </c>
      <c r="K3228">
        <v>4</v>
      </c>
      <c r="L3228" t="e">
        <f t="array" ref="L3228">VLOOKUP(J3228:$J$3871&amp;K3228:$K$3871,CHOOSE({1,2},#REF!&amp;#REF!,#REF!),2,0)</f>
        <v>#N/A</v>
      </c>
      <c r="M3228">
        <v>0</v>
      </c>
      <c r="N3228">
        <v>1</v>
      </c>
      <c r="O3228" t="s">
        <v>23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1</v>
      </c>
      <c r="V3228">
        <v>0</v>
      </c>
      <c r="W3228">
        <v>1</v>
      </c>
      <c r="X3228">
        <v>0</v>
      </c>
      <c r="Y3228">
        <v>0</v>
      </c>
      <c r="Z3228">
        <v>1</v>
      </c>
      <c r="AA3228" t="s">
        <v>3995</v>
      </c>
      <c r="AB3228" t="s">
        <v>6592</v>
      </c>
      <c r="AC3228" t="s">
        <v>3995</v>
      </c>
      <c r="AD3228" t="e">
        <f>VLOOKUP(AB3228,#REF!,2,FALSE)</f>
        <v>#REF!</v>
      </c>
      <c r="AE3228" t="e">
        <f>RIGHT(#REF!,(FIND("Complex",#REF!,1)-4))</f>
        <v>#REF!</v>
      </c>
    </row>
    <row r="3229" spans="1:31" x14ac:dyDescent="0.25">
      <c r="A3229">
        <v>943</v>
      </c>
      <c r="B3229" t="s">
        <v>66</v>
      </c>
      <c r="C3229">
        <v>54</v>
      </c>
      <c r="D3229">
        <v>412</v>
      </c>
      <c r="E3229">
        <v>943</v>
      </c>
      <c r="F3229">
        <v>15876001</v>
      </c>
      <c r="G3229">
        <v>15964200</v>
      </c>
      <c r="H3229">
        <f t="shared" si="100"/>
        <v>360.00002267573694</v>
      </c>
      <c r="I3229">
        <f t="shared" si="101"/>
        <v>362</v>
      </c>
      <c r="J3229" t="s">
        <v>25</v>
      </c>
      <c r="K3229">
        <v>4</v>
      </c>
      <c r="L3229" t="e">
        <f t="array" ref="L3229">VLOOKUP(J3229:$J$3871&amp;K3229:$K$3871,CHOOSE({1,2},#REF!&amp;#REF!,#REF!),2,0)</f>
        <v>#N/A</v>
      </c>
      <c r="M3229">
        <v>0</v>
      </c>
      <c r="N3229">
        <v>1</v>
      </c>
      <c r="O3229" t="s">
        <v>23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1</v>
      </c>
      <c r="V3229">
        <v>0</v>
      </c>
      <c r="W3229">
        <v>1</v>
      </c>
      <c r="X3229">
        <v>0</v>
      </c>
      <c r="Y3229">
        <v>0</v>
      </c>
      <c r="Z3229">
        <v>1</v>
      </c>
      <c r="AA3229" t="s">
        <v>3996</v>
      </c>
      <c r="AB3229" t="s">
        <v>6593</v>
      </c>
      <c r="AC3229" t="s">
        <v>3996</v>
      </c>
      <c r="AD3229" t="e">
        <f>VLOOKUP(AB3229,#REF!,2,FALSE)</f>
        <v>#REF!</v>
      </c>
      <c r="AE3229" t="e">
        <f>RIGHT(#REF!,(FIND("Complex",#REF!,1)-4))</f>
        <v>#REF!</v>
      </c>
    </row>
    <row r="3230" spans="1:31" x14ac:dyDescent="0.25">
      <c r="A3230">
        <v>1631</v>
      </c>
      <c r="B3230" t="s">
        <v>66</v>
      </c>
      <c r="C3230">
        <v>54</v>
      </c>
      <c r="D3230">
        <v>709</v>
      </c>
      <c r="E3230">
        <v>1631</v>
      </c>
      <c r="F3230">
        <v>45070201</v>
      </c>
      <c r="G3230">
        <v>45158400</v>
      </c>
      <c r="H3230">
        <f t="shared" si="100"/>
        <v>1022.000022675737</v>
      </c>
      <c r="I3230">
        <f t="shared" si="101"/>
        <v>1024</v>
      </c>
      <c r="J3230" t="s">
        <v>25</v>
      </c>
      <c r="K3230">
        <v>4</v>
      </c>
      <c r="L3230" t="e">
        <f t="array" ref="L3230">VLOOKUP(J3230:$J$3871&amp;K3230:$K$3871,CHOOSE({1,2},#REF!&amp;#REF!,#REF!),2,0)</f>
        <v>#N/A</v>
      </c>
      <c r="M3230">
        <v>0</v>
      </c>
      <c r="N3230">
        <v>1</v>
      </c>
      <c r="O3230" t="s">
        <v>23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1</v>
      </c>
      <c r="X3230">
        <v>0</v>
      </c>
      <c r="Y3230">
        <v>0</v>
      </c>
      <c r="Z3230">
        <v>1</v>
      </c>
      <c r="AA3230" t="s">
        <v>4824</v>
      </c>
      <c r="AB3230" t="s">
        <v>7123</v>
      </c>
      <c r="AC3230" t="s">
        <v>4824</v>
      </c>
      <c r="AD3230" t="e">
        <f>VLOOKUP(AB3230,#REF!,2,FALSE)</f>
        <v>#REF!</v>
      </c>
      <c r="AE3230" t="e">
        <f>RIGHT(#REF!,(FIND("Complex",#REF!,1)-4))</f>
        <v>#REF!</v>
      </c>
    </row>
    <row r="3231" spans="1:31" x14ac:dyDescent="0.25">
      <c r="A3231">
        <v>1542</v>
      </c>
      <c r="B3231" t="s">
        <v>253</v>
      </c>
      <c r="C3231">
        <v>55</v>
      </c>
      <c r="D3231">
        <v>672</v>
      </c>
      <c r="E3231">
        <v>1542</v>
      </c>
      <c r="F3231">
        <v>3969001</v>
      </c>
      <c r="G3231">
        <v>4057200</v>
      </c>
      <c r="H3231">
        <f t="shared" si="100"/>
        <v>90.000022675736957</v>
      </c>
      <c r="I3231">
        <f t="shared" si="101"/>
        <v>92</v>
      </c>
      <c r="J3231" t="s">
        <v>25</v>
      </c>
      <c r="K3231">
        <v>4</v>
      </c>
      <c r="L3231" t="e">
        <f t="array" ref="L3231">VLOOKUP(J3231:$J$3871&amp;K3231:$K$3871,CHOOSE({1,2},#REF!&amp;#REF!,#REF!),2,0)</f>
        <v>#N/A</v>
      </c>
      <c r="M3231">
        <v>0</v>
      </c>
      <c r="N3231">
        <v>1</v>
      </c>
      <c r="O3231" t="s">
        <v>23</v>
      </c>
      <c r="P3231">
        <v>1</v>
      </c>
      <c r="Q3231">
        <v>1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</v>
      </c>
      <c r="X3231">
        <v>1</v>
      </c>
      <c r="Y3231">
        <v>0</v>
      </c>
      <c r="Z3231">
        <v>0</v>
      </c>
      <c r="AA3231" t="s">
        <v>3555</v>
      </c>
      <c r="AB3231" t="s">
        <v>6342</v>
      </c>
      <c r="AC3231" t="s">
        <v>3555</v>
      </c>
      <c r="AD3231" t="e">
        <f>VLOOKUP(AB3231,#REF!,2,FALSE)</f>
        <v>#REF!</v>
      </c>
      <c r="AE3231" t="e">
        <f>RIGHT(#REF!,(FIND("Complex",#REF!,1)-6))</f>
        <v>#REF!</v>
      </c>
    </row>
    <row r="3232" spans="1:31" x14ac:dyDescent="0.25">
      <c r="A3232">
        <v>676</v>
      </c>
      <c r="B3232" t="s">
        <v>253</v>
      </c>
      <c r="C3232">
        <v>55</v>
      </c>
      <c r="D3232">
        <v>294</v>
      </c>
      <c r="E3232">
        <v>676</v>
      </c>
      <c r="F3232">
        <v>3616201</v>
      </c>
      <c r="G3232">
        <v>3704400</v>
      </c>
      <c r="H3232">
        <f t="shared" si="100"/>
        <v>82.000022675736957</v>
      </c>
      <c r="I3232">
        <f t="shared" si="101"/>
        <v>84</v>
      </c>
      <c r="J3232" t="s">
        <v>25</v>
      </c>
      <c r="K3232">
        <v>4</v>
      </c>
      <c r="L3232" t="e">
        <f t="array" ref="L3232">VLOOKUP(J3232:$J$3871&amp;K3232:$K$3871,CHOOSE({1,2},#REF!&amp;#REF!,#REF!),2,0)</f>
        <v>#N/A</v>
      </c>
      <c r="M3232">
        <v>0</v>
      </c>
      <c r="N3232">
        <v>1</v>
      </c>
      <c r="O3232" t="s">
        <v>23</v>
      </c>
      <c r="P3232">
        <v>1</v>
      </c>
      <c r="Q3232">
        <v>1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1</v>
      </c>
      <c r="X3232">
        <v>1</v>
      </c>
      <c r="Y3232">
        <v>0</v>
      </c>
      <c r="Z3232">
        <v>0</v>
      </c>
      <c r="AA3232" t="s">
        <v>3609</v>
      </c>
      <c r="AB3232" t="s">
        <v>6372</v>
      </c>
      <c r="AC3232" t="s">
        <v>3609</v>
      </c>
      <c r="AD3232" t="e">
        <f>VLOOKUP(AB3232,#REF!,2,FALSE)</f>
        <v>#REF!</v>
      </c>
      <c r="AE3232" t="e">
        <f>RIGHT(#REF!,(FIND("Complex",#REF!,1)-5))</f>
        <v>#REF!</v>
      </c>
    </row>
    <row r="3233" spans="1:31" x14ac:dyDescent="0.25">
      <c r="A3233">
        <v>1936</v>
      </c>
      <c r="B3233" t="s">
        <v>253</v>
      </c>
      <c r="C3233">
        <v>55</v>
      </c>
      <c r="D3233">
        <v>837</v>
      </c>
      <c r="E3233">
        <v>1936</v>
      </c>
      <c r="F3233">
        <v>8908201</v>
      </c>
      <c r="G3233">
        <v>8996400</v>
      </c>
      <c r="H3233">
        <f t="shared" si="100"/>
        <v>202.00002267573697</v>
      </c>
      <c r="I3233">
        <f t="shared" si="101"/>
        <v>204</v>
      </c>
      <c r="J3233" t="s">
        <v>25</v>
      </c>
      <c r="K3233">
        <v>4</v>
      </c>
      <c r="L3233" t="e">
        <f t="array" ref="L3233">VLOOKUP(J3233:$J$3871&amp;K3233:$K$3871,CHOOSE({1,2},#REF!&amp;#REF!,#REF!),2,0)</f>
        <v>#N/A</v>
      </c>
      <c r="M3233">
        <v>0</v>
      </c>
      <c r="N3233">
        <v>1</v>
      </c>
      <c r="O3233" t="s">
        <v>23</v>
      </c>
      <c r="P3233">
        <v>1</v>
      </c>
      <c r="Q3233">
        <v>1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1</v>
      </c>
      <c r="X3233">
        <v>1</v>
      </c>
      <c r="Y3233">
        <v>0</v>
      </c>
      <c r="Z3233">
        <v>0</v>
      </c>
      <c r="AA3233" t="s">
        <v>4287</v>
      </c>
      <c r="AB3233" t="s">
        <v>6794</v>
      </c>
      <c r="AC3233" t="s">
        <v>4287</v>
      </c>
      <c r="AD3233" t="e">
        <f>VLOOKUP(AB3233,#REF!,2,FALSE)</f>
        <v>#REF!</v>
      </c>
      <c r="AE3233" t="e">
        <f>RIGHT(#REF!,(FIND("Complex",#REF!,1)-5))</f>
        <v>#REF!</v>
      </c>
    </row>
    <row r="3234" spans="1:31" x14ac:dyDescent="0.25">
      <c r="A3234">
        <v>1213</v>
      </c>
      <c r="B3234" t="s">
        <v>253</v>
      </c>
      <c r="C3234">
        <v>55</v>
      </c>
      <c r="D3234">
        <v>536</v>
      </c>
      <c r="E3234">
        <v>1213</v>
      </c>
      <c r="F3234">
        <v>5997601</v>
      </c>
      <c r="G3234">
        <v>6085800</v>
      </c>
      <c r="H3234">
        <f t="shared" si="100"/>
        <v>136.00002267573697</v>
      </c>
      <c r="I3234">
        <f t="shared" si="101"/>
        <v>138</v>
      </c>
      <c r="J3234" t="s">
        <v>25</v>
      </c>
      <c r="K3234">
        <v>4</v>
      </c>
      <c r="L3234" t="e">
        <f t="array" ref="L3234">VLOOKUP(J3234:$J$3871&amp;K3234:$K$3871,CHOOSE({1,2},#REF!&amp;#REF!,#REF!),2,0)</f>
        <v>#N/A</v>
      </c>
      <c r="M3234">
        <v>0</v>
      </c>
      <c r="N3234">
        <v>1</v>
      </c>
      <c r="O3234" t="s">
        <v>23</v>
      </c>
      <c r="P3234">
        <v>1</v>
      </c>
      <c r="Q3234">
        <v>1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1</v>
      </c>
      <c r="Y3234">
        <v>0</v>
      </c>
      <c r="Z3234">
        <v>0</v>
      </c>
      <c r="AA3234" t="s">
        <v>4642</v>
      </c>
      <c r="AB3234" t="s">
        <v>7018</v>
      </c>
      <c r="AC3234" t="s">
        <v>4642</v>
      </c>
      <c r="AD3234" t="e">
        <f>VLOOKUP(AB3234,#REF!,2,FALSE)</f>
        <v>#REF!</v>
      </c>
      <c r="AE3234" t="e">
        <f>RIGHT(#REF!,(FIND("Complex",#REF!,1)-5))</f>
        <v>#REF!</v>
      </c>
    </row>
    <row r="3235" spans="1:31" x14ac:dyDescent="0.25">
      <c r="A3235">
        <v>235</v>
      </c>
      <c r="B3235" t="s">
        <v>253</v>
      </c>
      <c r="C3235">
        <v>55</v>
      </c>
      <c r="D3235">
        <v>100</v>
      </c>
      <c r="E3235">
        <v>235</v>
      </c>
      <c r="F3235">
        <v>4586401</v>
      </c>
      <c r="G3235">
        <v>4674600</v>
      </c>
      <c r="H3235">
        <f t="shared" si="100"/>
        <v>104.00002267573696</v>
      </c>
      <c r="I3235">
        <f t="shared" si="101"/>
        <v>106</v>
      </c>
      <c r="J3235" t="s">
        <v>25</v>
      </c>
      <c r="K3235">
        <v>4</v>
      </c>
      <c r="L3235" t="e">
        <f t="array" ref="L3235">VLOOKUP(J3235:$J$3871&amp;K3235:$K$3871,CHOOSE({1,2},#REF!&amp;#REF!,#REF!),2,0)</f>
        <v>#N/A</v>
      </c>
      <c r="M3235">
        <v>0</v>
      </c>
      <c r="N3235">
        <v>1</v>
      </c>
      <c r="O3235" t="s">
        <v>23</v>
      </c>
      <c r="P3235">
        <v>1</v>
      </c>
      <c r="Q3235">
        <v>1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</v>
      </c>
      <c r="X3235">
        <v>1</v>
      </c>
      <c r="Y3235">
        <v>0</v>
      </c>
      <c r="Z3235">
        <v>0</v>
      </c>
      <c r="AA3235" t="s">
        <v>4815</v>
      </c>
      <c r="AB3235" t="s">
        <v>7118</v>
      </c>
      <c r="AC3235" t="s">
        <v>4815</v>
      </c>
      <c r="AD3235" t="e">
        <f>VLOOKUP(AB3235,#REF!,2,FALSE)</f>
        <v>#REF!</v>
      </c>
      <c r="AE3235" t="e">
        <f>RIGHT(#REF!,(FIND("Complex",#REF!,1)-4))</f>
        <v>#REF!</v>
      </c>
    </row>
    <row r="3236" spans="1:31" x14ac:dyDescent="0.25">
      <c r="A3236">
        <v>719</v>
      </c>
      <c r="B3236" t="s">
        <v>255</v>
      </c>
      <c r="C3236">
        <v>56</v>
      </c>
      <c r="D3236">
        <v>315</v>
      </c>
      <c r="E3236">
        <v>719</v>
      </c>
      <c r="F3236">
        <v>2469601</v>
      </c>
      <c r="G3236">
        <v>2557800</v>
      </c>
      <c r="H3236">
        <f t="shared" si="100"/>
        <v>56.000022675736965</v>
      </c>
      <c r="I3236">
        <f t="shared" si="101"/>
        <v>58</v>
      </c>
      <c r="J3236" t="s">
        <v>25</v>
      </c>
      <c r="K3236">
        <v>4</v>
      </c>
      <c r="L3236" t="e">
        <f t="array" ref="L3236">VLOOKUP(J3236:$J$3871&amp;K3236:$K$3871,CHOOSE({1,2},#REF!&amp;#REF!,#REF!),2,0)</f>
        <v>#N/A</v>
      </c>
      <c r="M3236">
        <v>0</v>
      </c>
      <c r="N3236">
        <v>1</v>
      </c>
      <c r="O3236" t="s">
        <v>23</v>
      </c>
      <c r="P3236">
        <v>1</v>
      </c>
      <c r="Q3236">
        <v>1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1</v>
      </c>
      <c r="X3236">
        <v>1</v>
      </c>
      <c r="Y3236">
        <v>0</v>
      </c>
      <c r="Z3236">
        <v>0</v>
      </c>
      <c r="AA3236" t="s">
        <v>3836</v>
      </c>
      <c r="AB3236" t="s">
        <v>6502</v>
      </c>
      <c r="AC3236" t="s">
        <v>3836</v>
      </c>
      <c r="AD3236" t="e">
        <f>VLOOKUP(AB3236,#REF!,2,FALSE)</f>
        <v>#REF!</v>
      </c>
      <c r="AE3236" t="e">
        <f>RIGHT(#REF!,(FIND("Complex",#REF!,1)-5))</f>
        <v>#REF!</v>
      </c>
    </row>
    <row r="3237" spans="1:31" x14ac:dyDescent="0.25">
      <c r="A3237">
        <v>889</v>
      </c>
      <c r="B3237" t="s">
        <v>255</v>
      </c>
      <c r="C3237">
        <v>56</v>
      </c>
      <c r="D3237">
        <v>394</v>
      </c>
      <c r="E3237">
        <v>889</v>
      </c>
      <c r="F3237">
        <v>6791401</v>
      </c>
      <c r="G3237">
        <v>6879600</v>
      </c>
      <c r="H3237">
        <f t="shared" si="100"/>
        <v>154.00002267573697</v>
      </c>
      <c r="I3237">
        <f t="shared" si="101"/>
        <v>156</v>
      </c>
      <c r="J3237" t="s">
        <v>25</v>
      </c>
      <c r="K3237">
        <v>4</v>
      </c>
      <c r="L3237" t="e">
        <f t="array" ref="L3237">VLOOKUP(J3237:$J$3871&amp;K3237:$K$3871,CHOOSE({1,2},#REF!&amp;#REF!,#REF!),2,0)</f>
        <v>#N/A</v>
      </c>
      <c r="M3237">
        <v>0</v>
      </c>
      <c r="N3237">
        <v>1</v>
      </c>
      <c r="O3237" t="s">
        <v>23</v>
      </c>
      <c r="P3237">
        <v>1</v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1</v>
      </c>
      <c r="X3237">
        <v>1</v>
      </c>
      <c r="Y3237">
        <v>0</v>
      </c>
      <c r="Z3237">
        <v>0</v>
      </c>
      <c r="AA3237" t="s">
        <v>4525</v>
      </c>
      <c r="AB3237" t="s">
        <v>6942</v>
      </c>
      <c r="AC3237" t="s">
        <v>4525</v>
      </c>
      <c r="AD3237" t="e">
        <f>VLOOKUP(AB3237,#REF!,2,FALSE)</f>
        <v>#REF!</v>
      </c>
      <c r="AE3237" t="e">
        <f>RIGHT(#REF!,(FIND("Complex",#REF!,1)-4))</f>
        <v>#REF!</v>
      </c>
    </row>
    <row r="3238" spans="1:31" x14ac:dyDescent="0.25">
      <c r="A3238">
        <v>477</v>
      </c>
      <c r="B3238" t="s">
        <v>255</v>
      </c>
      <c r="C3238">
        <v>56</v>
      </c>
      <c r="D3238">
        <v>198</v>
      </c>
      <c r="E3238">
        <v>477</v>
      </c>
      <c r="F3238">
        <v>6350401</v>
      </c>
      <c r="G3238">
        <v>6438600</v>
      </c>
      <c r="H3238">
        <f t="shared" si="100"/>
        <v>144.00002267573697</v>
      </c>
      <c r="I3238">
        <f t="shared" si="101"/>
        <v>146</v>
      </c>
      <c r="J3238" t="s">
        <v>25</v>
      </c>
      <c r="K3238">
        <v>4</v>
      </c>
      <c r="L3238" t="e">
        <f t="array" ref="L3238">VLOOKUP(J3238:$J$3871&amp;K3238:$K$3871,CHOOSE({1,2},#REF!&amp;#REF!,#REF!),2,0)</f>
        <v>#N/A</v>
      </c>
      <c r="M3238">
        <v>0</v>
      </c>
      <c r="N3238">
        <v>1</v>
      </c>
      <c r="O3238" t="s">
        <v>23</v>
      </c>
      <c r="P3238">
        <v>1</v>
      </c>
      <c r="Q3238">
        <v>1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1</v>
      </c>
      <c r="X3238">
        <v>1</v>
      </c>
      <c r="Y3238">
        <v>0</v>
      </c>
      <c r="Z3238">
        <v>0</v>
      </c>
      <c r="AA3238" t="s">
        <v>4577</v>
      </c>
      <c r="AB3238" t="s">
        <v>6978</v>
      </c>
      <c r="AC3238" t="s">
        <v>4577</v>
      </c>
      <c r="AD3238" t="e">
        <f>VLOOKUP(AB3238,#REF!,2,FALSE)</f>
        <v>#REF!</v>
      </c>
      <c r="AE3238" t="e">
        <f>RIGHT(#REF!,(FIND("Complex",#REF!,1)-4))</f>
        <v>#REF!</v>
      </c>
    </row>
    <row r="3239" spans="1:31" x14ac:dyDescent="0.25">
      <c r="A3239">
        <v>1042</v>
      </c>
      <c r="B3239" t="s">
        <v>255</v>
      </c>
      <c r="C3239">
        <v>56</v>
      </c>
      <c r="D3239">
        <v>460</v>
      </c>
      <c r="E3239">
        <v>1042</v>
      </c>
      <c r="F3239">
        <v>6085801</v>
      </c>
      <c r="G3239">
        <v>6174000</v>
      </c>
      <c r="H3239">
        <f t="shared" si="100"/>
        <v>138.00002267573697</v>
      </c>
      <c r="I3239">
        <f t="shared" si="101"/>
        <v>140</v>
      </c>
      <c r="J3239" t="s">
        <v>25</v>
      </c>
      <c r="K3239">
        <v>4</v>
      </c>
      <c r="L3239" t="e">
        <f t="array" ref="L3239">VLOOKUP(J3239:$J$3871&amp;K3239:$K$3871,CHOOSE({1,2},#REF!&amp;#REF!,#REF!),2,0)</f>
        <v>#N/A</v>
      </c>
      <c r="M3239">
        <v>0</v>
      </c>
      <c r="N3239">
        <v>1</v>
      </c>
      <c r="O3239" t="s">
        <v>23</v>
      </c>
      <c r="P3239">
        <v>1</v>
      </c>
      <c r="Q3239">
        <v>1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1</v>
      </c>
      <c r="Y3239">
        <v>0</v>
      </c>
      <c r="Z3239">
        <v>0</v>
      </c>
      <c r="AA3239" t="s">
        <v>4629</v>
      </c>
      <c r="AB3239" t="s">
        <v>7006</v>
      </c>
      <c r="AC3239" t="s">
        <v>4629</v>
      </c>
      <c r="AD3239" t="e">
        <f>VLOOKUP(AB3239,#REF!,2,FALSE)</f>
        <v>#REF!</v>
      </c>
      <c r="AE3239" t="e">
        <f>RIGHT(#REF!,(FIND("Complex",#REF!,1)-5))</f>
        <v>#REF!</v>
      </c>
    </row>
    <row r="3240" spans="1:31" x14ac:dyDescent="0.25">
      <c r="A3240">
        <v>861</v>
      </c>
      <c r="B3240" t="s">
        <v>30</v>
      </c>
      <c r="C3240">
        <v>57</v>
      </c>
      <c r="D3240">
        <v>385</v>
      </c>
      <c r="E3240">
        <v>861</v>
      </c>
      <c r="F3240">
        <v>2557801</v>
      </c>
      <c r="G3240">
        <v>2646000</v>
      </c>
      <c r="H3240">
        <f t="shared" si="100"/>
        <v>58.000022675736965</v>
      </c>
      <c r="I3240">
        <f t="shared" si="101"/>
        <v>60</v>
      </c>
      <c r="J3240" t="s">
        <v>25</v>
      </c>
      <c r="K3240">
        <v>4</v>
      </c>
      <c r="L3240" t="e">
        <f t="array" ref="L3240">VLOOKUP(J3240:$J$3871&amp;K3240:$K$3871,CHOOSE({1,2},#REF!&amp;#REF!,#REF!),2,0)</f>
        <v>#N/A</v>
      </c>
      <c r="M3240">
        <v>0</v>
      </c>
      <c r="N3240">
        <v>1</v>
      </c>
      <c r="O3240" t="s">
        <v>23</v>
      </c>
      <c r="P3240">
        <v>1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1</v>
      </c>
      <c r="Y3240">
        <v>0</v>
      </c>
      <c r="Z3240">
        <v>0</v>
      </c>
      <c r="AA3240" t="s">
        <v>3819</v>
      </c>
      <c r="AB3240" t="s">
        <v>6490</v>
      </c>
      <c r="AC3240" t="s">
        <v>3819</v>
      </c>
      <c r="AD3240" t="e">
        <f>VLOOKUP(AB3240,#REF!,2,FALSE)</f>
        <v>#REF!</v>
      </c>
      <c r="AE3240" t="e">
        <f>RIGHT(#REF!,(FIND("Complex",#REF!,1)-5))</f>
        <v>#REF!</v>
      </c>
    </row>
    <row r="3241" spans="1:31" x14ac:dyDescent="0.25">
      <c r="A3241">
        <v>749</v>
      </c>
      <c r="B3241" t="s">
        <v>30</v>
      </c>
      <c r="C3241">
        <v>57</v>
      </c>
      <c r="D3241">
        <v>333</v>
      </c>
      <c r="E3241">
        <v>749</v>
      </c>
      <c r="F3241">
        <v>1146601</v>
      </c>
      <c r="G3241">
        <v>1234800</v>
      </c>
      <c r="H3241">
        <f t="shared" si="100"/>
        <v>26.000022675736961</v>
      </c>
      <c r="I3241">
        <f t="shared" si="101"/>
        <v>28</v>
      </c>
      <c r="J3241" t="s">
        <v>25</v>
      </c>
      <c r="K3241">
        <v>4</v>
      </c>
      <c r="L3241" t="e">
        <f t="array" ref="L3241">VLOOKUP(J3241:$J$3871&amp;K3241:$K$3871,CHOOSE({1,2},#REF!&amp;#REF!,#REF!),2,0)</f>
        <v>#N/A</v>
      </c>
      <c r="M3241">
        <v>0</v>
      </c>
      <c r="N3241">
        <v>1</v>
      </c>
      <c r="O3241" t="s">
        <v>23</v>
      </c>
      <c r="P3241">
        <v>1</v>
      </c>
      <c r="Q3241">
        <v>1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1</v>
      </c>
      <c r="Y3241">
        <v>0</v>
      </c>
      <c r="Z3241">
        <v>0</v>
      </c>
      <c r="AA3241" t="s">
        <v>4151</v>
      </c>
      <c r="AB3241" t="s">
        <v>6701</v>
      </c>
      <c r="AC3241" t="s">
        <v>4151</v>
      </c>
      <c r="AD3241" t="e">
        <f>VLOOKUP(AB3241,#REF!,2,FALSE)</f>
        <v>#REF!</v>
      </c>
      <c r="AE3241" t="e">
        <f>RIGHT(#REF!,(FIND("Complex",#REF!,1)-5))</f>
        <v>#REF!</v>
      </c>
    </row>
    <row r="3242" spans="1:31" x14ac:dyDescent="0.25">
      <c r="A3242">
        <v>704</v>
      </c>
      <c r="B3242" t="s">
        <v>30</v>
      </c>
      <c r="C3242">
        <v>57</v>
      </c>
      <c r="D3242">
        <v>308</v>
      </c>
      <c r="E3242">
        <v>704</v>
      </c>
      <c r="F3242">
        <v>1058401</v>
      </c>
      <c r="G3242">
        <v>1146600</v>
      </c>
      <c r="H3242">
        <f t="shared" si="100"/>
        <v>24.000022675736961</v>
      </c>
      <c r="I3242">
        <f t="shared" si="101"/>
        <v>26</v>
      </c>
      <c r="J3242" t="s">
        <v>25</v>
      </c>
      <c r="K3242">
        <v>4</v>
      </c>
      <c r="L3242" t="e">
        <f t="array" ref="L3242">VLOOKUP(J3242:$J$3871&amp;K3242:$K$3871,CHOOSE({1,2},#REF!&amp;#REF!,#REF!),2,0)</f>
        <v>#N/A</v>
      </c>
      <c r="M3242">
        <v>0</v>
      </c>
      <c r="N3242">
        <v>1</v>
      </c>
      <c r="O3242" t="s">
        <v>23</v>
      </c>
      <c r="P3242">
        <v>1</v>
      </c>
      <c r="Q3242">
        <v>1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1</v>
      </c>
      <c r="Y3242">
        <v>0</v>
      </c>
      <c r="Z3242">
        <v>0</v>
      </c>
      <c r="AA3242" t="s">
        <v>4190</v>
      </c>
      <c r="AB3242" t="s">
        <v>1414</v>
      </c>
      <c r="AC3242" t="s">
        <v>4190</v>
      </c>
      <c r="AD3242" t="e">
        <f>VLOOKUP(AB3242,#REF!,2,FALSE)</f>
        <v>#REF!</v>
      </c>
      <c r="AE3242" t="e">
        <f>RIGHT(#REF!,(FIND("Complex",#REF!,1)-5))</f>
        <v>#REF!</v>
      </c>
    </row>
    <row r="3243" spans="1:31" x14ac:dyDescent="0.25">
      <c r="A3243">
        <v>25</v>
      </c>
      <c r="B3243" t="s">
        <v>30</v>
      </c>
      <c r="C3243">
        <v>57</v>
      </c>
      <c r="D3243">
        <v>9</v>
      </c>
      <c r="E3243">
        <v>25</v>
      </c>
      <c r="F3243">
        <v>6791401</v>
      </c>
      <c r="G3243">
        <v>6879600</v>
      </c>
      <c r="H3243">
        <f t="shared" si="100"/>
        <v>154.00002267573697</v>
      </c>
      <c r="I3243">
        <f t="shared" si="101"/>
        <v>156</v>
      </c>
      <c r="J3243" t="s">
        <v>25</v>
      </c>
      <c r="K3243">
        <v>4</v>
      </c>
      <c r="L3243" t="e">
        <f t="array" ref="L3243">VLOOKUP(J3243:$J$3871&amp;K3243:$K$3871,CHOOSE({1,2},#REF!&amp;#REF!,#REF!),2,0)</f>
        <v>#N/A</v>
      </c>
      <c r="M3243">
        <v>0</v>
      </c>
      <c r="N3243">
        <v>1</v>
      </c>
      <c r="O3243" t="s">
        <v>23</v>
      </c>
      <c r="P3243">
        <v>1</v>
      </c>
      <c r="Q3243">
        <v>1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1</v>
      </c>
      <c r="Y3243">
        <v>0</v>
      </c>
      <c r="Z3243">
        <v>0</v>
      </c>
      <c r="AA3243" t="s">
        <v>4524</v>
      </c>
      <c r="AB3243" t="s">
        <v>6941</v>
      </c>
      <c r="AC3243" t="s">
        <v>4524</v>
      </c>
      <c r="AD3243" t="e">
        <f>VLOOKUP(AB3243,#REF!,2,FALSE)</f>
        <v>#REF!</v>
      </c>
      <c r="AE3243" t="e">
        <f>RIGHT(#REF!,(FIND("Complex",#REF!,1)-3))</f>
        <v>#REF!</v>
      </c>
    </row>
    <row r="3244" spans="1:31" x14ac:dyDescent="0.25">
      <c r="A3244">
        <v>1805</v>
      </c>
      <c r="B3244" t="s">
        <v>257</v>
      </c>
      <c r="C3244">
        <v>58</v>
      </c>
      <c r="D3244">
        <v>784</v>
      </c>
      <c r="E3244">
        <v>1805</v>
      </c>
      <c r="F3244">
        <v>1852201</v>
      </c>
      <c r="G3244">
        <v>1940400</v>
      </c>
      <c r="H3244">
        <f t="shared" si="100"/>
        <v>42.000022675736965</v>
      </c>
      <c r="I3244">
        <f t="shared" si="101"/>
        <v>44</v>
      </c>
      <c r="J3244" t="s">
        <v>25</v>
      </c>
      <c r="K3244">
        <v>4</v>
      </c>
      <c r="L3244" t="e">
        <f t="array" ref="L3244">VLOOKUP(J3244:$J$3871&amp;K3244:$K$3871,CHOOSE({1,2},#REF!&amp;#REF!,#REF!),2,0)</f>
        <v>#N/A</v>
      </c>
      <c r="M3244">
        <v>0</v>
      </c>
      <c r="N3244">
        <v>1</v>
      </c>
      <c r="O3244" t="s">
        <v>23</v>
      </c>
      <c r="P3244">
        <v>1</v>
      </c>
      <c r="Q3244">
        <v>1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1</v>
      </c>
      <c r="Y3244">
        <v>0</v>
      </c>
      <c r="Z3244">
        <v>0</v>
      </c>
      <c r="AA3244" t="s">
        <v>3930</v>
      </c>
      <c r="AB3244" t="s">
        <v>6559</v>
      </c>
      <c r="AC3244" t="s">
        <v>3930</v>
      </c>
      <c r="AD3244" t="e">
        <f>VLOOKUP(AB3244,#REF!,2,FALSE)</f>
        <v>#REF!</v>
      </c>
      <c r="AE3244" t="e">
        <f>RIGHT(#REF!,(FIND("Complex",#REF!,1)-6))</f>
        <v>#REF!</v>
      </c>
    </row>
    <row r="3245" spans="1:31" x14ac:dyDescent="0.25">
      <c r="A3245">
        <v>64</v>
      </c>
      <c r="B3245" t="s">
        <v>257</v>
      </c>
      <c r="C3245">
        <v>58</v>
      </c>
      <c r="D3245">
        <v>32</v>
      </c>
      <c r="E3245">
        <v>64</v>
      </c>
      <c r="F3245">
        <v>8467201</v>
      </c>
      <c r="G3245">
        <v>8555400</v>
      </c>
      <c r="H3245">
        <f t="shared" si="100"/>
        <v>192.00002267573697</v>
      </c>
      <c r="I3245">
        <f t="shared" si="101"/>
        <v>194</v>
      </c>
      <c r="J3245" t="s">
        <v>25</v>
      </c>
      <c r="K3245">
        <v>4</v>
      </c>
      <c r="L3245" t="e">
        <f t="array" ref="L3245">VLOOKUP(J3245:$J$3871&amp;K3245:$K$3871,CHOOSE({1,2},#REF!&amp;#REF!,#REF!),2,0)</f>
        <v>#N/A</v>
      </c>
      <c r="M3245">
        <v>0</v>
      </c>
      <c r="N3245">
        <v>1</v>
      </c>
      <c r="O3245" t="s">
        <v>23</v>
      </c>
      <c r="P3245">
        <v>1</v>
      </c>
      <c r="Q3245">
        <v>1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1</v>
      </c>
      <c r="Y3245">
        <v>0</v>
      </c>
      <c r="Z3245">
        <v>0</v>
      </c>
      <c r="AA3245" t="s">
        <v>4361</v>
      </c>
      <c r="AB3245" t="s">
        <v>6834</v>
      </c>
      <c r="AC3245" t="s">
        <v>4361</v>
      </c>
      <c r="AD3245" t="e">
        <f>VLOOKUP(AB3245,#REF!,2,FALSE)</f>
        <v>#REF!</v>
      </c>
      <c r="AE3245" t="e">
        <f>RIGHT(#REF!,(FIND("Complex",#REF!,1)-3))</f>
        <v>#REF!</v>
      </c>
    </row>
    <row r="3246" spans="1:31" x14ac:dyDescent="0.25">
      <c r="A3246">
        <v>964</v>
      </c>
      <c r="B3246" t="s">
        <v>257</v>
      </c>
      <c r="C3246">
        <v>58</v>
      </c>
      <c r="D3246">
        <v>426</v>
      </c>
      <c r="E3246">
        <v>964</v>
      </c>
      <c r="F3246">
        <v>5821201</v>
      </c>
      <c r="G3246">
        <v>5909400</v>
      </c>
      <c r="H3246">
        <f t="shared" si="100"/>
        <v>132.00002267573697</v>
      </c>
      <c r="I3246">
        <f t="shared" si="101"/>
        <v>134</v>
      </c>
      <c r="J3246" t="s">
        <v>25</v>
      </c>
      <c r="K3246">
        <v>4</v>
      </c>
      <c r="L3246" t="e">
        <f t="array" ref="L3246">VLOOKUP(J3246:$J$3871&amp;K3246:$K$3871,CHOOSE({1,2},#REF!&amp;#REF!,#REF!),2,0)</f>
        <v>#N/A</v>
      </c>
      <c r="M3246">
        <v>0</v>
      </c>
      <c r="N3246">
        <v>1</v>
      </c>
      <c r="O3246" t="s">
        <v>23</v>
      </c>
      <c r="P3246">
        <v>1</v>
      </c>
      <c r="Q3246">
        <v>1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1</v>
      </c>
      <c r="Y3246">
        <v>0</v>
      </c>
      <c r="Z3246">
        <v>0</v>
      </c>
      <c r="AA3246" t="s">
        <v>4662</v>
      </c>
      <c r="AB3246" t="s">
        <v>7032</v>
      </c>
      <c r="AC3246" t="s">
        <v>4662</v>
      </c>
      <c r="AD3246" t="e">
        <f>VLOOKUP(AB3246,#REF!,2,FALSE)</f>
        <v>#REF!</v>
      </c>
      <c r="AE3246" t="e">
        <f>RIGHT(#REF!,(FIND("Complex",#REF!,1)-4))</f>
        <v>#REF!</v>
      </c>
    </row>
    <row r="3247" spans="1:31" x14ac:dyDescent="0.25">
      <c r="A3247">
        <v>577</v>
      </c>
      <c r="B3247" t="s">
        <v>257</v>
      </c>
      <c r="C3247">
        <v>58</v>
      </c>
      <c r="D3247">
        <v>245</v>
      </c>
      <c r="E3247">
        <v>577</v>
      </c>
      <c r="F3247">
        <v>5556601</v>
      </c>
      <c r="G3247">
        <v>5644800</v>
      </c>
      <c r="H3247">
        <f t="shared" si="100"/>
        <v>126.00002267573696</v>
      </c>
      <c r="I3247">
        <f t="shared" si="101"/>
        <v>128</v>
      </c>
      <c r="J3247" t="s">
        <v>25</v>
      </c>
      <c r="K3247">
        <v>4</v>
      </c>
      <c r="L3247" t="e">
        <f t="array" ref="L3247">VLOOKUP(J3247:$J$3871&amp;K3247:$K$3871,CHOOSE({1,2},#REF!&amp;#REF!,#REF!),2,0)</f>
        <v>#N/A</v>
      </c>
      <c r="M3247">
        <v>0</v>
      </c>
      <c r="N3247">
        <v>1</v>
      </c>
      <c r="O3247" t="s">
        <v>23</v>
      </c>
      <c r="P3247">
        <v>1</v>
      </c>
      <c r="Q3247">
        <v>1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1</v>
      </c>
      <c r="Y3247">
        <v>0</v>
      </c>
      <c r="Z3247">
        <v>0</v>
      </c>
      <c r="AA3247" t="s">
        <v>4690</v>
      </c>
      <c r="AB3247" t="s">
        <v>7048</v>
      </c>
      <c r="AC3247" t="s">
        <v>4690</v>
      </c>
      <c r="AD3247" t="e">
        <f>VLOOKUP(AB3247,#REF!,2,FALSE)</f>
        <v>#REF!</v>
      </c>
      <c r="AE3247" t="e">
        <f>RIGHT(#REF!,(FIND("Complex",#REF!,1)-4))</f>
        <v>#REF!</v>
      </c>
    </row>
    <row r="3248" spans="1:31" x14ac:dyDescent="0.25">
      <c r="A3248">
        <v>881</v>
      </c>
      <c r="B3248" t="s">
        <v>65</v>
      </c>
      <c r="C3248">
        <v>59</v>
      </c>
      <c r="D3248">
        <v>391</v>
      </c>
      <c r="E3248">
        <v>881</v>
      </c>
      <c r="F3248">
        <v>1234801</v>
      </c>
      <c r="G3248">
        <v>1323000</v>
      </c>
      <c r="H3248">
        <f t="shared" si="100"/>
        <v>28.000022675736961</v>
      </c>
      <c r="I3248">
        <f t="shared" si="101"/>
        <v>30</v>
      </c>
      <c r="J3248" t="s">
        <v>25</v>
      </c>
      <c r="K3248">
        <v>4</v>
      </c>
      <c r="L3248" t="e">
        <f t="array" ref="L3248">VLOOKUP(J3248:$J$3871&amp;K3248:$K$3871,CHOOSE({1,2},#REF!&amp;#REF!,#REF!),2,0)</f>
        <v>#N/A</v>
      </c>
      <c r="M3248">
        <v>0</v>
      </c>
      <c r="N3248">
        <v>1</v>
      </c>
      <c r="O3248" t="s">
        <v>23</v>
      </c>
      <c r="P3248">
        <v>1</v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1</v>
      </c>
      <c r="Y3248">
        <v>0</v>
      </c>
      <c r="Z3248">
        <v>0</v>
      </c>
      <c r="AA3248" t="s">
        <v>4105</v>
      </c>
      <c r="AB3248" t="s">
        <v>6667</v>
      </c>
      <c r="AC3248" t="s">
        <v>4105</v>
      </c>
      <c r="AD3248" t="e">
        <f>VLOOKUP(AB3248,#REF!,2,FALSE)</f>
        <v>#REF!</v>
      </c>
      <c r="AE3248" t="e">
        <f>RIGHT(#REF!,(FIND("Complex",#REF!,1)-5))</f>
        <v>#REF!</v>
      </c>
    </row>
    <row r="3249" spans="1:31" x14ac:dyDescent="0.25">
      <c r="A3249">
        <v>261</v>
      </c>
      <c r="B3249" t="s">
        <v>65</v>
      </c>
      <c r="C3249">
        <v>59</v>
      </c>
      <c r="D3249">
        <v>111</v>
      </c>
      <c r="E3249">
        <v>261</v>
      </c>
      <c r="F3249">
        <v>88201</v>
      </c>
      <c r="G3249">
        <v>176400</v>
      </c>
      <c r="H3249">
        <f t="shared" si="100"/>
        <v>2.0000226757369615</v>
      </c>
      <c r="I3249">
        <f t="shared" si="101"/>
        <v>4</v>
      </c>
      <c r="J3249" t="s">
        <v>25</v>
      </c>
      <c r="K3249">
        <v>4</v>
      </c>
      <c r="L3249" t="e">
        <f t="array" ref="L3249">VLOOKUP(J3249:$J$3871&amp;K3249:$K$3871,CHOOSE({1,2},#REF!&amp;#REF!,#REF!),2,0)</f>
        <v>#N/A</v>
      </c>
      <c r="M3249">
        <v>0</v>
      </c>
      <c r="N3249">
        <v>1</v>
      </c>
      <c r="O3249" t="s">
        <v>23</v>
      </c>
      <c r="P3249">
        <v>1</v>
      </c>
      <c r="Q3249">
        <v>1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1</v>
      </c>
      <c r="Y3249">
        <v>0</v>
      </c>
      <c r="Z3249">
        <v>0</v>
      </c>
      <c r="AA3249" t="s">
        <v>4333</v>
      </c>
      <c r="AB3249" t="s">
        <v>1436</v>
      </c>
      <c r="AC3249" t="s">
        <v>4333</v>
      </c>
      <c r="AD3249" t="e">
        <f>VLOOKUP(AB3249,#REF!,2,FALSE)</f>
        <v>#REF!</v>
      </c>
      <c r="AE3249" t="e">
        <f>RIGHT(#REF!,(FIND("Complex",#REF!,1)-6))</f>
        <v>#REF!</v>
      </c>
    </row>
    <row r="3250" spans="1:31" x14ac:dyDescent="0.25">
      <c r="A3250">
        <v>1652</v>
      </c>
      <c r="B3250" t="s">
        <v>65</v>
      </c>
      <c r="C3250">
        <v>59</v>
      </c>
      <c r="D3250">
        <v>722</v>
      </c>
      <c r="E3250">
        <v>1652</v>
      </c>
      <c r="F3250">
        <v>705601</v>
      </c>
      <c r="G3250">
        <v>793800</v>
      </c>
      <c r="H3250">
        <f t="shared" si="100"/>
        <v>16.000022675736961</v>
      </c>
      <c r="I3250">
        <f t="shared" si="101"/>
        <v>18</v>
      </c>
      <c r="J3250" t="s">
        <v>25</v>
      </c>
      <c r="K3250">
        <v>4</v>
      </c>
      <c r="L3250" t="e">
        <f t="array" ref="L3250">VLOOKUP(J3250:$J$3871&amp;K3250:$K$3871,CHOOSE({1,2},#REF!&amp;#REF!,#REF!),2,0)</f>
        <v>#N/A</v>
      </c>
      <c r="M3250">
        <v>0</v>
      </c>
      <c r="N3250">
        <v>1</v>
      </c>
      <c r="O3250" t="s">
        <v>23</v>
      </c>
      <c r="P3250">
        <v>1</v>
      </c>
      <c r="Q3250">
        <v>1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1</v>
      </c>
      <c r="Y3250">
        <v>0</v>
      </c>
      <c r="Z3250">
        <v>0</v>
      </c>
      <c r="AA3250" t="s">
        <v>4499</v>
      </c>
      <c r="AB3250" t="s">
        <v>1437</v>
      </c>
      <c r="AC3250" t="s">
        <v>4499</v>
      </c>
      <c r="AD3250" t="e">
        <f>VLOOKUP(AB3250,#REF!,2,FALSE)</f>
        <v>#REF!</v>
      </c>
      <c r="AE3250" t="e">
        <f>RIGHT(#REF!,(FIND("Complex",#REF!,1)-6))</f>
        <v>#REF!</v>
      </c>
    </row>
    <row r="3251" spans="1:31" x14ac:dyDescent="0.25">
      <c r="A3251">
        <v>1291</v>
      </c>
      <c r="B3251" t="s">
        <v>65</v>
      </c>
      <c r="C3251">
        <v>59</v>
      </c>
      <c r="D3251">
        <v>560</v>
      </c>
      <c r="E3251">
        <v>1291</v>
      </c>
      <c r="F3251">
        <v>617401</v>
      </c>
      <c r="G3251">
        <v>705600</v>
      </c>
      <c r="H3251">
        <f t="shared" si="100"/>
        <v>14.000022675736961</v>
      </c>
      <c r="I3251">
        <f t="shared" si="101"/>
        <v>16</v>
      </c>
      <c r="J3251" t="s">
        <v>25</v>
      </c>
      <c r="K3251">
        <v>4</v>
      </c>
      <c r="L3251" t="e">
        <f t="array" ref="L3251">VLOOKUP(J3251:$J$3871&amp;K3251:$K$3871,CHOOSE({1,2},#REF!&amp;#REF!,#REF!),2,0)</f>
        <v>#N/A</v>
      </c>
      <c r="M3251">
        <v>0</v>
      </c>
      <c r="N3251">
        <v>1</v>
      </c>
      <c r="O3251" t="s">
        <v>23</v>
      </c>
      <c r="P3251">
        <v>1</v>
      </c>
      <c r="Q3251">
        <v>1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1</v>
      </c>
      <c r="Y3251">
        <v>0</v>
      </c>
      <c r="Z3251">
        <v>0</v>
      </c>
      <c r="AA3251" t="s">
        <v>4619</v>
      </c>
      <c r="AB3251" t="s">
        <v>7000</v>
      </c>
      <c r="AC3251" t="s">
        <v>4619</v>
      </c>
      <c r="AD3251" t="e">
        <f>VLOOKUP(AB3251,#REF!,2,FALSE)</f>
        <v>#REF!</v>
      </c>
      <c r="AE3251" t="e">
        <f>RIGHT(#REF!,(FIND("Complex",#REF!,1)-6))</f>
        <v>#REF!</v>
      </c>
    </row>
    <row r="3252" spans="1:31" x14ac:dyDescent="0.25">
      <c r="A3252">
        <v>1083</v>
      </c>
      <c r="B3252" t="s">
        <v>65</v>
      </c>
      <c r="C3252">
        <v>59</v>
      </c>
      <c r="D3252">
        <v>481</v>
      </c>
      <c r="E3252">
        <v>1083</v>
      </c>
      <c r="F3252">
        <v>529201</v>
      </c>
      <c r="G3252">
        <v>617400</v>
      </c>
      <c r="H3252">
        <f t="shared" si="100"/>
        <v>12.000022675736961</v>
      </c>
      <c r="I3252">
        <f t="shared" si="101"/>
        <v>14</v>
      </c>
      <c r="J3252" t="s">
        <v>25</v>
      </c>
      <c r="K3252">
        <v>4</v>
      </c>
      <c r="L3252" t="e">
        <f t="array" ref="L3252">VLOOKUP(J3252:$J$3871&amp;K3252:$K$3871,CHOOSE({1,2},#REF!&amp;#REF!,#REF!),2,0)</f>
        <v>#N/A</v>
      </c>
      <c r="M3252">
        <v>0</v>
      </c>
      <c r="N3252">
        <v>1</v>
      </c>
      <c r="O3252" t="s">
        <v>23</v>
      </c>
      <c r="P3252">
        <v>1</v>
      </c>
      <c r="Q3252">
        <v>1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1</v>
      </c>
      <c r="Y3252">
        <v>0</v>
      </c>
      <c r="Z3252">
        <v>0</v>
      </c>
      <c r="AA3252" t="s">
        <v>4738</v>
      </c>
      <c r="AB3252" t="s">
        <v>7076</v>
      </c>
      <c r="AC3252" t="s">
        <v>4738</v>
      </c>
      <c r="AD3252" t="e">
        <f>VLOOKUP(AB3252,#REF!,2,FALSE)</f>
        <v>#REF!</v>
      </c>
      <c r="AE3252" t="e">
        <f>RIGHT(#REF!,(FIND("Complex",#REF!,1)-6))</f>
        <v>#REF!</v>
      </c>
    </row>
    <row r="3253" spans="1:31" x14ac:dyDescent="0.25">
      <c r="A3253">
        <v>366</v>
      </c>
      <c r="B3253" t="s">
        <v>65</v>
      </c>
      <c r="C3253">
        <v>59</v>
      </c>
      <c r="D3253">
        <v>152</v>
      </c>
      <c r="E3253">
        <v>366</v>
      </c>
      <c r="F3253">
        <v>1</v>
      </c>
      <c r="G3253">
        <v>88200</v>
      </c>
      <c r="H3253">
        <f t="shared" si="100"/>
        <v>2.2675736961451248E-5</v>
      </c>
      <c r="I3253">
        <f t="shared" si="101"/>
        <v>2</v>
      </c>
      <c r="J3253" t="s">
        <v>25</v>
      </c>
      <c r="K3253">
        <v>4</v>
      </c>
      <c r="L3253" t="e">
        <f t="array" ref="L3253">VLOOKUP(J3253:$J$3871&amp;K3253:$K$3871,CHOOSE({1,2},#REF!&amp;#REF!,#REF!),2,0)</f>
        <v>#N/A</v>
      </c>
      <c r="M3253">
        <v>0</v>
      </c>
      <c r="N3253">
        <v>1</v>
      </c>
      <c r="O3253" t="s">
        <v>23</v>
      </c>
      <c r="P3253">
        <v>1</v>
      </c>
      <c r="Q3253">
        <v>1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1</v>
      </c>
      <c r="Y3253">
        <v>0</v>
      </c>
      <c r="Z3253">
        <v>0</v>
      </c>
      <c r="AA3253" t="s">
        <v>4878</v>
      </c>
      <c r="AB3253" t="s">
        <v>7147</v>
      </c>
      <c r="AC3253" t="s">
        <v>4878</v>
      </c>
      <c r="AD3253" t="e">
        <f>VLOOKUP(AB3253,#REF!,2,FALSE)</f>
        <v>#REF!</v>
      </c>
      <c r="AE3253" t="e">
        <f>RIGHT(#REF!,(FIND("Complex",#REF!,1)-6))</f>
        <v>#REF!</v>
      </c>
    </row>
    <row r="3254" spans="1:31" x14ac:dyDescent="0.25">
      <c r="A3254">
        <v>1046</v>
      </c>
      <c r="B3254" t="s">
        <v>51</v>
      </c>
      <c r="C3254">
        <v>60</v>
      </c>
      <c r="D3254">
        <v>463</v>
      </c>
      <c r="E3254">
        <v>1046</v>
      </c>
      <c r="F3254">
        <v>1499401</v>
      </c>
      <c r="G3254">
        <v>1587600</v>
      </c>
      <c r="H3254">
        <f t="shared" si="100"/>
        <v>34.000022675736965</v>
      </c>
      <c r="I3254">
        <f t="shared" si="101"/>
        <v>36</v>
      </c>
      <c r="J3254" t="s">
        <v>25</v>
      </c>
      <c r="K3254">
        <v>4</v>
      </c>
      <c r="L3254" t="e">
        <f t="array" ref="L3254">VLOOKUP(J3254:$J$3871&amp;K3254:$K$3871,CHOOSE({1,2},#REF!&amp;#REF!,#REF!),2,0)</f>
        <v>#N/A</v>
      </c>
      <c r="M3254">
        <v>0</v>
      </c>
      <c r="N3254">
        <v>1</v>
      </c>
      <c r="O3254" t="s">
        <v>23</v>
      </c>
      <c r="P3254">
        <v>1</v>
      </c>
      <c r="Q3254">
        <v>1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1</v>
      </c>
      <c r="Y3254">
        <v>0</v>
      </c>
      <c r="Z3254">
        <v>0</v>
      </c>
      <c r="AA3254" t="s">
        <v>4022</v>
      </c>
      <c r="AB3254" t="s">
        <v>1445</v>
      </c>
      <c r="AC3254" t="s">
        <v>4022</v>
      </c>
      <c r="AD3254" t="e">
        <f>VLOOKUP(AB3254,#REF!,2,FALSE)</f>
        <v>#REF!</v>
      </c>
      <c r="AE3254" t="e">
        <f>RIGHT(#REF!,(FIND("Complex",#REF!,1)-6))</f>
        <v>#REF!</v>
      </c>
    </row>
    <row r="3255" spans="1:31" x14ac:dyDescent="0.25">
      <c r="A3255">
        <v>1594</v>
      </c>
      <c r="B3255" t="s">
        <v>51</v>
      </c>
      <c r="C3255">
        <v>60</v>
      </c>
      <c r="D3255">
        <v>689</v>
      </c>
      <c r="E3255">
        <v>1594</v>
      </c>
      <c r="F3255">
        <v>1234801</v>
      </c>
      <c r="G3255">
        <v>1323000</v>
      </c>
      <c r="H3255">
        <f t="shared" si="100"/>
        <v>28.000022675736961</v>
      </c>
      <c r="I3255">
        <f t="shared" si="101"/>
        <v>30</v>
      </c>
      <c r="J3255" t="s">
        <v>25</v>
      </c>
      <c r="K3255">
        <v>4</v>
      </c>
      <c r="L3255" t="e">
        <f t="array" ref="L3255">VLOOKUP(J3255:$J$3871&amp;K3255:$K$3871,CHOOSE({1,2},#REF!&amp;#REF!,#REF!),2,0)</f>
        <v>#N/A</v>
      </c>
      <c r="M3255">
        <v>0</v>
      </c>
      <c r="N3255">
        <v>1</v>
      </c>
      <c r="O3255" t="s">
        <v>23</v>
      </c>
      <c r="P3255">
        <v>1</v>
      </c>
      <c r="Q3255">
        <v>1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1</v>
      </c>
      <c r="Y3255">
        <v>0</v>
      </c>
      <c r="Z3255">
        <v>0</v>
      </c>
      <c r="AA3255" t="s">
        <v>4104</v>
      </c>
      <c r="AB3255" t="s">
        <v>1446</v>
      </c>
      <c r="AC3255" t="s">
        <v>4104</v>
      </c>
      <c r="AD3255" t="e">
        <f>VLOOKUP(AB3255,#REF!,2,FALSE)</f>
        <v>#REF!</v>
      </c>
      <c r="AE3255" t="e">
        <f>RIGHT(#REF!,(FIND("Complex",#REF!,1)-6))</f>
        <v>#REF!</v>
      </c>
    </row>
    <row r="3256" spans="1:31" x14ac:dyDescent="0.25">
      <c r="A3256">
        <v>619</v>
      </c>
      <c r="B3256" t="s">
        <v>51</v>
      </c>
      <c r="C3256">
        <v>60</v>
      </c>
      <c r="D3256">
        <v>266</v>
      </c>
      <c r="E3256">
        <v>619</v>
      </c>
      <c r="F3256">
        <v>1146601</v>
      </c>
      <c r="G3256">
        <v>1234800</v>
      </c>
      <c r="H3256">
        <f t="shared" si="100"/>
        <v>26.000022675736961</v>
      </c>
      <c r="I3256">
        <f t="shared" si="101"/>
        <v>28</v>
      </c>
      <c r="J3256" t="s">
        <v>25</v>
      </c>
      <c r="K3256">
        <v>4</v>
      </c>
      <c r="L3256" t="e">
        <f t="array" ref="L3256">VLOOKUP(J3256:$J$3871&amp;K3256:$K$3871,CHOOSE({1,2},#REF!&amp;#REF!,#REF!),2,0)</f>
        <v>#N/A</v>
      </c>
      <c r="M3256">
        <v>0</v>
      </c>
      <c r="N3256">
        <v>1</v>
      </c>
      <c r="O3256" t="s">
        <v>23</v>
      </c>
      <c r="P3256">
        <v>1</v>
      </c>
      <c r="Q3256">
        <v>1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1</v>
      </c>
      <c r="Y3256">
        <v>0</v>
      </c>
      <c r="Z3256">
        <v>0</v>
      </c>
      <c r="AA3256" t="s">
        <v>4149</v>
      </c>
      <c r="AB3256" t="s">
        <v>1447</v>
      </c>
      <c r="AC3256" t="s">
        <v>4149</v>
      </c>
      <c r="AD3256" t="e">
        <f>VLOOKUP(AB3256,#REF!,2,FALSE)</f>
        <v>#REF!</v>
      </c>
      <c r="AE3256" t="e">
        <f>RIGHT(#REF!,(FIND("Complex",#REF!,1)-5))</f>
        <v>#REF!</v>
      </c>
    </row>
    <row r="3257" spans="1:31" x14ac:dyDescent="0.25">
      <c r="A3257">
        <v>398</v>
      </c>
      <c r="B3257" t="s">
        <v>51</v>
      </c>
      <c r="C3257">
        <v>60</v>
      </c>
      <c r="D3257">
        <v>168</v>
      </c>
      <c r="E3257">
        <v>398</v>
      </c>
      <c r="F3257">
        <v>970201</v>
      </c>
      <c r="G3257">
        <v>1058400</v>
      </c>
      <c r="H3257">
        <f t="shared" si="100"/>
        <v>22.000022675736961</v>
      </c>
      <c r="I3257">
        <f t="shared" si="101"/>
        <v>24</v>
      </c>
      <c r="J3257" t="s">
        <v>25</v>
      </c>
      <c r="K3257">
        <v>4</v>
      </c>
      <c r="L3257" t="e">
        <f t="array" ref="L3257">VLOOKUP(J3257:$J$3871&amp;K3257:$K$3871,CHOOSE({1,2},#REF!&amp;#REF!,#REF!),2,0)</f>
        <v>#N/A</v>
      </c>
      <c r="M3257">
        <v>0</v>
      </c>
      <c r="N3257">
        <v>1</v>
      </c>
      <c r="O3257" t="s">
        <v>23</v>
      </c>
      <c r="P3257">
        <v>1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1</v>
      </c>
      <c r="Y3257">
        <v>0</v>
      </c>
      <c r="Z3257">
        <v>0</v>
      </c>
      <c r="AA3257" t="s">
        <v>4246</v>
      </c>
      <c r="AB3257" t="s">
        <v>1448</v>
      </c>
      <c r="AC3257" t="s">
        <v>4246</v>
      </c>
      <c r="AD3257" t="e">
        <f>VLOOKUP(AB3257,#REF!,2,FALSE)</f>
        <v>#REF!</v>
      </c>
      <c r="AE3257" t="e">
        <f>RIGHT(#REF!,(FIND("Complex",#REF!,1)-5))</f>
        <v>#REF!</v>
      </c>
    </row>
    <row r="3258" spans="1:31" x14ac:dyDescent="0.25">
      <c r="A3258">
        <v>284</v>
      </c>
      <c r="B3258" t="s">
        <v>51</v>
      </c>
      <c r="C3258">
        <v>60</v>
      </c>
      <c r="D3258">
        <v>120</v>
      </c>
      <c r="E3258">
        <v>284</v>
      </c>
      <c r="F3258">
        <v>882001</v>
      </c>
      <c r="G3258">
        <v>970200</v>
      </c>
      <c r="H3258">
        <f t="shared" si="100"/>
        <v>20.000022675736961</v>
      </c>
      <c r="I3258">
        <f t="shared" si="101"/>
        <v>22</v>
      </c>
      <c r="J3258" t="s">
        <v>25</v>
      </c>
      <c r="K3258">
        <v>4</v>
      </c>
      <c r="L3258" t="e">
        <f t="array" ref="L3258">VLOOKUP(J3258:$J$3871&amp;K3258:$K$3871,CHOOSE({1,2},#REF!&amp;#REF!,#REF!),2,0)</f>
        <v>#N/A</v>
      </c>
      <c r="M3258">
        <v>0</v>
      </c>
      <c r="N3258">
        <v>1</v>
      </c>
      <c r="O3258" t="s">
        <v>23</v>
      </c>
      <c r="P3258">
        <v>1</v>
      </c>
      <c r="Q3258">
        <v>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1</v>
      </c>
      <c r="Y3258">
        <v>0</v>
      </c>
      <c r="Z3258">
        <v>0</v>
      </c>
      <c r="AA3258" t="s">
        <v>4313</v>
      </c>
      <c r="AB3258" t="s">
        <v>6808</v>
      </c>
      <c r="AC3258" t="s">
        <v>4313</v>
      </c>
      <c r="AD3258" t="e">
        <f>VLOOKUP(AB3258,#REF!,2,FALSE)</f>
        <v>#REF!</v>
      </c>
      <c r="AE3258" t="e">
        <f>RIGHT(#REF!,(FIND("Complex",#REF!,1)-5))</f>
        <v>#REF!</v>
      </c>
    </row>
    <row r="3259" spans="1:31" x14ac:dyDescent="0.25">
      <c r="A3259">
        <v>524</v>
      </c>
      <c r="B3259" t="s">
        <v>51</v>
      </c>
      <c r="C3259">
        <v>60</v>
      </c>
      <c r="D3259">
        <v>221</v>
      </c>
      <c r="E3259">
        <v>524</v>
      </c>
      <c r="F3259">
        <v>88201</v>
      </c>
      <c r="G3259">
        <v>176400</v>
      </c>
      <c r="H3259">
        <f t="shared" si="100"/>
        <v>2.0000226757369615</v>
      </c>
      <c r="I3259">
        <f t="shared" si="101"/>
        <v>4</v>
      </c>
      <c r="J3259" t="s">
        <v>25</v>
      </c>
      <c r="K3259">
        <v>4</v>
      </c>
      <c r="L3259" t="e">
        <f t="array" ref="L3259">VLOOKUP(J3259:$J$3871&amp;K3259:$K$3871,CHOOSE({1,2},#REF!&amp;#REF!,#REF!),2,0)</f>
        <v>#N/A</v>
      </c>
      <c r="M3259">
        <v>0</v>
      </c>
      <c r="N3259">
        <v>1</v>
      </c>
      <c r="O3259" t="s">
        <v>23</v>
      </c>
      <c r="P3259">
        <v>1</v>
      </c>
      <c r="Q3259">
        <v>1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1</v>
      </c>
      <c r="Y3259">
        <v>0</v>
      </c>
      <c r="Z3259">
        <v>0</v>
      </c>
      <c r="AA3259" t="s">
        <v>4332</v>
      </c>
      <c r="AB3259" t="s">
        <v>6815</v>
      </c>
      <c r="AC3259" t="s">
        <v>4332</v>
      </c>
      <c r="AD3259" t="e">
        <f>VLOOKUP(AB3259,#REF!,2,FALSE)</f>
        <v>#REF!</v>
      </c>
      <c r="AE3259" t="e">
        <f>RIGHT(#REF!,(FIND("Complex",#REF!,1)-6))</f>
        <v>#REF!</v>
      </c>
    </row>
    <row r="3260" spans="1:31" x14ac:dyDescent="0.25">
      <c r="A3260">
        <v>1797</v>
      </c>
      <c r="B3260" t="s">
        <v>51</v>
      </c>
      <c r="C3260">
        <v>60</v>
      </c>
      <c r="D3260">
        <v>781</v>
      </c>
      <c r="E3260">
        <v>1797</v>
      </c>
      <c r="F3260">
        <v>793801</v>
      </c>
      <c r="G3260">
        <v>882000</v>
      </c>
      <c r="H3260">
        <f t="shared" si="100"/>
        <v>18.000022675736961</v>
      </c>
      <c r="I3260">
        <f t="shared" si="101"/>
        <v>20</v>
      </c>
      <c r="J3260" t="s">
        <v>25</v>
      </c>
      <c r="K3260">
        <v>4</v>
      </c>
      <c r="L3260" t="e">
        <f t="array" ref="L3260">VLOOKUP(J3260:$J$3871&amp;K3260:$K$3871,CHOOSE({1,2},#REF!&amp;#REF!,#REF!),2,0)</f>
        <v>#N/A</v>
      </c>
      <c r="M3260">
        <v>0</v>
      </c>
      <c r="N3260">
        <v>1</v>
      </c>
      <c r="O3260" t="s">
        <v>23</v>
      </c>
      <c r="P3260">
        <v>1</v>
      </c>
      <c r="Q3260">
        <v>1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1</v>
      </c>
      <c r="Y3260">
        <v>0</v>
      </c>
      <c r="Z3260">
        <v>0</v>
      </c>
      <c r="AA3260" t="s">
        <v>4414</v>
      </c>
      <c r="AB3260" t="s">
        <v>1449</v>
      </c>
      <c r="AC3260" t="s">
        <v>4414</v>
      </c>
      <c r="AD3260" t="e">
        <f>VLOOKUP(AB3260,#REF!,2,FALSE)</f>
        <v>#REF!</v>
      </c>
      <c r="AE3260" t="e">
        <f>RIGHT(#REF!,(FIND("Complex",#REF!,1)-6))</f>
        <v>#REF!</v>
      </c>
    </row>
    <row r="3261" spans="1:31" x14ac:dyDescent="0.25">
      <c r="A3261">
        <v>113</v>
      </c>
      <c r="B3261" t="s">
        <v>51</v>
      </c>
      <c r="C3261">
        <v>60</v>
      </c>
      <c r="D3261">
        <v>52</v>
      </c>
      <c r="E3261">
        <v>113</v>
      </c>
      <c r="F3261">
        <v>705601</v>
      </c>
      <c r="G3261">
        <v>793800</v>
      </c>
      <c r="H3261">
        <f t="shared" si="100"/>
        <v>16.000022675736961</v>
      </c>
      <c r="I3261">
        <f t="shared" si="101"/>
        <v>18</v>
      </c>
      <c r="J3261" t="s">
        <v>25</v>
      </c>
      <c r="K3261">
        <v>4</v>
      </c>
      <c r="L3261" t="e">
        <f t="array" ref="L3261">VLOOKUP(J3261:$J$3871&amp;K3261:$K$3871,CHOOSE({1,2},#REF!&amp;#REF!,#REF!),2,0)</f>
        <v>#N/A</v>
      </c>
      <c r="M3261">
        <v>0</v>
      </c>
      <c r="N3261">
        <v>1</v>
      </c>
      <c r="O3261" t="s">
        <v>23</v>
      </c>
      <c r="P3261">
        <v>1</v>
      </c>
      <c r="Q3261">
        <v>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1</v>
      </c>
      <c r="Y3261">
        <v>0</v>
      </c>
      <c r="Z3261">
        <v>0</v>
      </c>
      <c r="AA3261" t="s">
        <v>4498</v>
      </c>
      <c r="AB3261" t="s">
        <v>6922</v>
      </c>
      <c r="AC3261" t="s">
        <v>4498</v>
      </c>
      <c r="AD3261" t="e">
        <f>VLOOKUP(AB3261,#REF!,2,FALSE)</f>
        <v>#REF!</v>
      </c>
      <c r="AE3261" t="e">
        <f>RIGHT(#REF!,(FIND("Complex",#REF!,1)-5))</f>
        <v>#REF!</v>
      </c>
    </row>
    <row r="3262" spans="1:31" x14ac:dyDescent="0.25">
      <c r="A3262">
        <v>1330</v>
      </c>
      <c r="B3262" t="s">
        <v>51</v>
      </c>
      <c r="C3262">
        <v>60</v>
      </c>
      <c r="D3262">
        <v>580</v>
      </c>
      <c r="E3262">
        <v>1330</v>
      </c>
      <c r="F3262">
        <v>529201</v>
      </c>
      <c r="G3262">
        <v>617400</v>
      </c>
      <c r="H3262">
        <f t="shared" si="100"/>
        <v>12.000022675736961</v>
      </c>
      <c r="I3262">
        <f t="shared" si="101"/>
        <v>14</v>
      </c>
      <c r="J3262" t="s">
        <v>25</v>
      </c>
      <c r="K3262">
        <v>4</v>
      </c>
      <c r="L3262" t="e">
        <f t="array" ref="L3262">VLOOKUP(J3262:$J$3871&amp;K3262:$K$3871,CHOOSE({1,2},#REF!&amp;#REF!,#REF!),2,0)</f>
        <v>#N/A</v>
      </c>
      <c r="M3262">
        <v>0</v>
      </c>
      <c r="N3262">
        <v>1</v>
      </c>
      <c r="O3262" t="s">
        <v>23</v>
      </c>
      <c r="P3262">
        <v>1</v>
      </c>
      <c r="Q3262">
        <v>1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1</v>
      </c>
      <c r="Y3262">
        <v>0</v>
      </c>
      <c r="Z3262">
        <v>0</v>
      </c>
      <c r="AA3262" t="s">
        <v>4737</v>
      </c>
      <c r="AB3262" t="s">
        <v>204</v>
      </c>
      <c r="AC3262" t="s">
        <v>4737</v>
      </c>
      <c r="AD3262" t="e">
        <f>VLOOKUP(AB3262,#REF!,2,FALSE)</f>
        <v>#REF!</v>
      </c>
      <c r="AE3262" t="e">
        <f>RIGHT(#REF!,(FIND("Complex",#REF!,1)-6))</f>
        <v>#REF!</v>
      </c>
    </row>
    <row r="3263" spans="1:31" x14ac:dyDescent="0.25">
      <c r="A3263">
        <v>1341</v>
      </c>
      <c r="B3263" t="s">
        <v>73</v>
      </c>
      <c r="C3263">
        <v>61</v>
      </c>
      <c r="D3263">
        <v>585</v>
      </c>
      <c r="E3263">
        <v>1341</v>
      </c>
      <c r="F3263">
        <v>4233601</v>
      </c>
      <c r="G3263">
        <v>4321800</v>
      </c>
      <c r="H3263">
        <f t="shared" si="100"/>
        <v>96.000022675736957</v>
      </c>
      <c r="I3263">
        <f t="shared" si="101"/>
        <v>98</v>
      </c>
      <c r="J3263" t="s">
        <v>25</v>
      </c>
      <c r="K3263">
        <v>4</v>
      </c>
      <c r="L3263" t="e">
        <f t="array" ref="L3263">VLOOKUP(J3263:$J$3871&amp;K3263:$K$3871,CHOOSE({1,2},#REF!&amp;#REF!,#REF!),2,0)</f>
        <v>#N/A</v>
      </c>
      <c r="M3263">
        <v>0</v>
      </c>
      <c r="N3263">
        <v>1</v>
      </c>
      <c r="O3263" t="s">
        <v>23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0</v>
      </c>
      <c r="V3263">
        <v>1</v>
      </c>
      <c r="W3263">
        <v>1</v>
      </c>
      <c r="X3263">
        <v>1</v>
      </c>
      <c r="Y3263">
        <v>0</v>
      </c>
      <c r="Z3263">
        <v>0</v>
      </c>
      <c r="AA3263" t="s">
        <v>3517</v>
      </c>
      <c r="AB3263" t="s">
        <v>6325</v>
      </c>
      <c r="AC3263" t="s">
        <v>3517</v>
      </c>
      <c r="AD3263" t="e">
        <f>VLOOKUP(AB3263,#REF!,2,FALSE)</f>
        <v>#REF!</v>
      </c>
      <c r="AE3263" t="e">
        <f>RIGHT(#REF!,(FIND("Complex",#REF!,1)-6))</f>
        <v>#REF!</v>
      </c>
    </row>
    <row r="3264" spans="1:31" x14ac:dyDescent="0.25">
      <c r="A3264">
        <v>537</v>
      </c>
      <c r="B3264" t="s">
        <v>73</v>
      </c>
      <c r="C3264">
        <v>61</v>
      </c>
      <c r="D3264">
        <v>226</v>
      </c>
      <c r="E3264">
        <v>537</v>
      </c>
      <c r="F3264">
        <v>3616201</v>
      </c>
      <c r="G3264">
        <v>3704400</v>
      </c>
      <c r="H3264">
        <f t="shared" si="100"/>
        <v>82.000022675736957</v>
      </c>
      <c r="I3264">
        <f t="shared" si="101"/>
        <v>84</v>
      </c>
      <c r="J3264" t="s">
        <v>25</v>
      </c>
      <c r="K3264">
        <v>4</v>
      </c>
      <c r="L3264" t="e">
        <f t="array" ref="L3264">VLOOKUP(J3264:$J$3871&amp;K3264:$K$3871,CHOOSE({1,2},#REF!&amp;#REF!,#REF!),2,0)</f>
        <v>#N/A</v>
      </c>
      <c r="M3264">
        <v>0</v>
      </c>
      <c r="N3264">
        <v>1</v>
      </c>
      <c r="O3264" t="s">
        <v>23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0</v>
      </c>
      <c r="V3264">
        <v>1</v>
      </c>
      <c r="W3264">
        <v>1</v>
      </c>
      <c r="X3264">
        <v>1</v>
      </c>
      <c r="Y3264">
        <v>0</v>
      </c>
      <c r="Z3264">
        <v>0</v>
      </c>
      <c r="AA3264" t="s">
        <v>3608</v>
      </c>
      <c r="AB3264" t="s">
        <v>6371</v>
      </c>
      <c r="AC3264" t="s">
        <v>3608</v>
      </c>
      <c r="AD3264" t="e">
        <f>VLOOKUP(AB3264,#REF!,2,FALSE)</f>
        <v>#REF!</v>
      </c>
      <c r="AE3264" t="e">
        <f>RIGHT(#REF!,(FIND("Complex",#REF!,1)-5))</f>
        <v>#REF!</v>
      </c>
    </row>
    <row r="3265" spans="1:31" x14ac:dyDescent="0.25">
      <c r="A3265">
        <v>702</v>
      </c>
      <c r="B3265" t="s">
        <v>73</v>
      </c>
      <c r="C3265">
        <v>61</v>
      </c>
      <c r="D3265">
        <v>306</v>
      </c>
      <c r="E3265">
        <v>702</v>
      </c>
      <c r="F3265">
        <v>2469601</v>
      </c>
      <c r="G3265">
        <v>2557800</v>
      </c>
      <c r="H3265">
        <f t="shared" si="100"/>
        <v>56.000022675736965</v>
      </c>
      <c r="I3265">
        <f t="shared" si="101"/>
        <v>58</v>
      </c>
      <c r="J3265" t="s">
        <v>25</v>
      </c>
      <c r="K3265">
        <v>4</v>
      </c>
      <c r="L3265" t="e">
        <f t="array" ref="L3265">VLOOKUP(J3265:$J$3871&amp;K3265:$K$3871,CHOOSE({1,2},#REF!&amp;#REF!,#REF!),2,0)</f>
        <v>#N/A</v>
      </c>
      <c r="M3265">
        <v>0</v>
      </c>
      <c r="N3265">
        <v>1</v>
      </c>
      <c r="O3265" t="s">
        <v>23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0</v>
      </c>
      <c r="V3265">
        <v>1</v>
      </c>
      <c r="W3265">
        <v>1</v>
      </c>
      <c r="X3265">
        <v>1</v>
      </c>
      <c r="Y3265">
        <v>0</v>
      </c>
      <c r="Z3265">
        <v>0</v>
      </c>
      <c r="AA3265" t="s">
        <v>3835</v>
      </c>
      <c r="AB3265" t="s">
        <v>6501</v>
      </c>
      <c r="AC3265" t="s">
        <v>3835</v>
      </c>
      <c r="AD3265" t="e">
        <f>VLOOKUP(AB3265,#REF!,2,FALSE)</f>
        <v>#REF!</v>
      </c>
      <c r="AE3265" t="e">
        <f>RIGHT(#REF!,(FIND("Complex",#REF!,1)-5))</f>
        <v>#REF!</v>
      </c>
    </row>
    <row r="3266" spans="1:31" x14ac:dyDescent="0.25">
      <c r="A3266">
        <v>1638</v>
      </c>
      <c r="B3266" t="s">
        <v>73</v>
      </c>
      <c r="C3266">
        <v>61</v>
      </c>
      <c r="D3266">
        <v>713</v>
      </c>
      <c r="E3266">
        <v>1638</v>
      </c>
      <c r="F3266">
        <v>2381401</v>
      </c>
      <c r="G3266">
        <v>2469600</v>
      </c>
      <c r="H3266">
        <f t="shared" ref="H3266:H3329" si="102">F3266/44100</f>
        <v>54.000022675736965</v>
      </c>
      <c r="I3266">
        <f t="shared" ref="I3266:I3329" si="103">G3266/44100</f>
        <v>56</v>
      </c>
      <c r="J3266" t="s">
        <v>25</v>
      </c>
      <c r="K3266">
        <v>4</v>
      </c>
      <c r="L3266" t="e">
        <f t="array" ref="L3266">VLOOKUP(J3266:$J$3871&amp;K3266:$K$3871,CHOOSE({1,2},#REF!&amp;#REF!,#REF!),2,0)</f>
        <v>#N/A</v>
      </c>
      <c r="M3266">
        <v>0</v>
      </c>
      <c r="N3266">
        <v>1</v>
      </c>
      <c r="O3266" t="s">
        <v>23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0</v>
      </c>
      <c r="V3266">
        <v>1</v>
      </c>
      <c r="W3266">
        <v>1</v>
      </c>
      <c r="X3266">
        <v>1</v>
      </c>
      <c r="Y3266">
        <v>0</v>
      </c>
      <c r="Z3266">
        <v>0</v>
      </c>
      <c r="AA3266" t="s">
        <v>3845</v>
      </c>
      <c r="AB3266" t="s">
        <v>6506</v>
      </c>
      <c r="AC3266" t="s">
        <v>3845</v>
      </c>
      <c r="AD3266" t="e">
        <f>VLOOKUP(AB3266,#REF!,2,FALSE)</f>
        <v>#REF!</v>
      </c>
      <c r="AE3266" t="e">
        <f>RIGHT(#REF!,(FIND("Complex",#REF!,1)-6))</f>
        <v>#REF!</v>
      </c>
    </row>
    <row r="3267" spans="1:31" x14ac:dyDescent="0.25">
      <c r="A3267">
        <v>1509</v>
      </c>
      <c r="B3267" t="s">
        <v>73</v>
      </c>
      <c r="C3267">
        <v>61</v>
      </c>
      <c r="D3267">
        <v>661</v>
      </c>
      <c r="E3267">
        <v>1509</v>
      </c>
      <c r="F3267">
        <v>1940401</v>
      </c>
      <c r="G3267">
        <v>2028600</v>
      </c>
      <c r="H3267">
        <f t="shared" si="102"/>
        <v>44.000022675736965</v>
      </c>
      <c r="I3267">
        <f t="shared" si="103"/>
        <v>46</v>
      </c>
      <c r="J3267" t="s">
        <v>25</v>
      </c>
      <c r="K3267">
        <v>4</v>
      </c>
      <c r="L3267" t="e">
        <f t="array" ref="L3267">VLOOKUP(J3267:$J$3871&amp;K3267:$K$3871,CHOOSE({1,2},#REF!&amp;#REF!,#REF!),2,0)</f>
        <v>#N/A</v>
      </c>
      <c r="M3267">
        <v>0</v>
      </c>
      <c r="N3267">
        <v>1</v>
      </c>
      <c r="O3267" t="s">
        <v>23</v>
      </c>
      <c r="P3267">
        <v>0</v>
      </c>
      <c r="Q3267">
        <v>0</v>
      </c>
      <c r="R3267">
        <v>1</v>
      </c>
      <c r="S3267">
        <v>0</v>
      </c>
      <c r="T3267">
        <v>0</v>
      </c>
      <c r="U3267">
        <v>0</v>
      </c>
      <c r="V3267">
        <v>1</v>
      </c>
      <c r="W3267">
        <v>1</v>
      </c>
      <c r="X3267">
        <v>1</v>
      </c>
      <c r="Y3267">
        <v>0</v>
      </c>
      <c r="Z3267">
        <v>0</v>
      </c>
      <c r="AA3267" t="s">
        <v>3913</v>
      </c>
      <c r="AB3267" t="s">
        <v>6545</v>
      </c>
      <c r="AC3267" t="s">
        <v>3913</v>
      </c>
      <c r="AD3267" t="e">
        <f>VLOOKUP(AB3267,#REF!,2,FALSE)</f>
        <v>#REF!</v>
      </c>
      <c r="AE3267" t="e">
        <f>RIGHT(#REF!,(FIND("Complex",#REF!,1)-6))</f>
        <v>#REF!</v>
      </c>
    </row>
    <row r="3268" spans="1:31" x14ac:dyDescent="0.25">
      <c r="A3268">
        <v>952</v>
      </c>
      <c r="B3268" t="s">
        <v>73</v>
      </c>
      <c r="C3268">
        <v>61</v>
      </c>
      <c r="D3268">
        <v>419</v>
      </c>
      <c r="E3268">
        <v>952</v>
      </c>
      <c r="F3268">
        <v>1675801</v>
      </c>
      <c r="G3268">
        <v>1764000</v>
      </c>
      <c r="H3268">
        <f t="shared" si="102"/>
        <v>38.000022675736965</v>
      </c>
      <c r="I3268">
        <f t="shared" si="103"/>
        <v>40</v>
      </c>
      <c r="J3268" t="s">
        <v>25</v>
      </c>
      <c r="K3268">
        <v>4</v>
      </c>
      <c r="L3268" t="e">
        <f t="array" ref="L3268">VLOOKUP(J3268:$J$3871&amp;K3268:$K$3871,CHOOSE({1,2},#REF!&amp;#REF!,#REF!),2,0)</f>
        <v>#N/A</v>
      </c>
      <c r="M3268">
        <v>0</v>
      </c>
      <c r="N3268">
        <v>1</v>
      </c>
      <c r="O3268" t="s">
        <v>23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0</v>
      </c>
      <c r="V3268">
        <v>1</v>
      </c>
      <c r="W3268">
        <v>1</v>
      </c>
      <c r="X3268">
        <v>1</v>
      </c>
      <c r="Y3268">
        <v>0</v>
      </c>
      <c r="Z3268">
        <v>0</v>
      </c>
      <c r="AA3268" t="s">
        <v>3976</v>
      </c>
      <c r="AB3268" t="s">
        <v>1472</v>
      </c>
      <c r="AC3268" t="s">
        <v>3976</v>
      </c>
      <c r="AD3268" t="e">
        <f>VLOOKUP(AB3268,#REF!,2,FALSE)</f>
        <v>#REF!</v>
      </c>
      <c r="AE3268" t="e">
        <f>RIGHT(#REF!,(FIND("Complex",#REF!,1)-5))</f>
        <v>#REF!</v>
      </c>
    </row>
    <row r="3269" spans="1:31" x14ac:dyDescent="0.25">
      <c r="A3269">
        <v>1354</v>
      </c>
      <c r="B3269" t="s">
        <v>73</v>
      </c>
      <c r="C3269">
        <v>61</v>
      </c>
      <c r="D3269">
        <v>592</v>
      </c>
      <c r="E3269">
        <v>1354</v>
      </c>
      <c r="F3269">
        <v>1058401</v>
      </c>
      <c r="G3269">
        <v>1146600</v>
      </c>
      <c r="H3269">
        <f t="shared" si="102"/>
        <v>24.000022675736961</v>
      </c>
      <c r="I3269">
        <f t="shared" si="103"/>
        <v>26</v>
      </c>
      <c r="J3269" t="s">
        <v>25</v>
      </c>
      <c r="K3269">
        <v>4</v>
      </c>
      <c r="L3269" t="e">
        <f t="array" ref="L3269">VLOOKUP(J3269:$J$3871&amp;K3269:$K$3871,CHOOSE({1,2},#REF!&amp;#REF!,#REF!),2,0)</f>
        <v>#N/A</v>
      </c>
      <c r="M3269">
        <v>0</v>
      </c>
      <c r="N3269">
        <v>1</v>
      </c>
      <c r="O3269" t="s">
        <v>23</v>
      </c>
      <c r="P3269">
        <v>0</v>
      </c>
      <c r="Q3269">
        <v>0</v>
      </c>
      <c r="R3269">
        <v>1</v>
      </c>
      <c r="S3269">
        <v>0</v>
      </c>
      <c r="T3269">
        <v>0</v>
      </c>
      <c r="U3269">
        <v>0</v>
      </c>
      <c r="V3269">
        <v>1</v>
      </c>
      <c r="W3269">
        <v>1</v>
      </c>
      <c r="X3269">
        <v>1</v>
      </c>
      <c r="Y3269">
        <v>0</v>
      </c>
      <c r="Z3269">
        <v>0</v>
      </c>
      <c r="AA3269" t="s">
        <v>4187</v>
      </c>
      <c r="AB3269" t="s">
        <v>6729</v>
      </c>
      <c r="AC3269" t="s">
        <v>4187</v>
      </c>
      <c r="AD3269" t="e">
        <f>VLOOKUP(AB3269,#REF!,2,FALSE)</f>
        <v>#REF!</v>
      </c>
      <c r="AE3269" t="e">
        <f>RIGHT(#REF!,(FIND("Complex",#REF!,1)-6))</f>
        <v>#REF!</v>
      </c>
    </row>
    <row r="3270" spans="1:31" x14ac:dyDescent="0.25">
      <c r="A3270">
        <v>800</v>
      </c>
      <c r="B3270" t="s">
        <v>73</v>
      </c>
      <c r="C3270">
        <v>61</v>
      </c>
      <c r="D3270">
        <v>361</v>
      </c>
      <c r="E3270">
        <v>800</v>
      </c>
      <c r="F3270">
        <v>1</v>
      </c>
      <c r="G3270">
        <v>88200</v>
      </c>
      <c r="H3270">
        <f t="shared" si="102"/>
        <v>2.2675736961451248E-5</v>
      </c>
      <c r="I3270">
        <f t="shared" si="103"/>
        <v>2</v>
      </c>
      <c r="J3270" t="s">
        <v>25</v>
      </c>
      <c r="K3270">
        <v>4</v>
      </c>
      <c r="L3270" t="e">
        <f t="array" ref="L3270">VLOOKUP(J3270:$J$3871&amp;K3270:$K$3871,CHOOSE({1,2},#REF!&amp;#REF!,#REF!),2,0)</f>
        <v>#N/A</v>
      </c>
      <c r="M3270">
        <v>0</v>
      </c>
      <c r="N3270">
        <v>1</v>
      </c>
      <c r="O3270" t="s">
        <v>23</v>
      </c>
      <c r="P3270">
        <v>0</v>
      </c>
      <c r="Q3270">
        <v>0</v>
      </c>
      <c r="R3270">
        <v>1</v>
      </c>
      <c r="S3270">
        <v>0</v>
      </c>
      <c r="T3270">
        <v>0</v>
      </c>
      <c r="U3270">
        <v>0</v>
      </c>
      <c r="V3270">
        <v>1</v>
      </c>
      <c r="W3270">
        <v>1</v>
      </c>
      <c r="X3270">
        <v>1</v>
      </c>
      <c r="Y3270">
        <v>0</v>
      </c>
      <c r="Z3270">
        <v>0</v>
      </c>
      <c r="AA3270" t="s">
        <v>4876</v>
      </c>
      <c r="AB3270" t="s">
        <v>1473</v>
      </c>
      <c r="AC3270" t="s">
        <v>4876</v>
      </c>
      <c r="AD3270" t="e">
        <f>VLOOKUP(AB3270,#REF!,2,FALSE)</f>
        <v>#REF!</v>
      </c>
      <c r="AE3270" t="e">
        <f>RIGHT(#REF!,(FIND("Complex",#REF!,1)-6))</f>
        <v>#REF!</v>
      </c>
    </row>
    <row r="3271" spans="1:31" x14ac:dyDescent="0.25">
      <c r="A3271">
        <v>766</v>
      </c>
      <c r="B3271" t="s">
        <v>39</v>
      </c>
      <c r="C3271">
        <v>63</v>
      </c>
      <c r="D3271">
        <v>343</v>
      </c>
      <c r="E3271">
        <v>766</v>
      </c>
      <c r="F3271">
        <v>4145401</v>
      </c>
      <c r="G3271">
        <v>4233600</v>
      </c>
      <c r="H3271">
        <f t="shared" si="102"/>
        <v>94.000022675736957</v>
      </c>
      <c r="I3271">
        <f t="shared" si="103"/>
        <v>96</v>
      </c>
      <c r="J3271" t="s">
        <v>25</v>
      </c>
      <c r="K3271">
        <v>4</v>
      </c>
      <c r="L3271" t="e">
        <f t="array" ref="L3271">VLOOKUP(J3271:$J$3871&amp;K3271:$K$3871,CHOOSE({1,2},#REF!&amp;#REF!,#REF!),2,0)</f>
        <v>#N/A</v>
      </c>
      <c r="M3271">
        <v>0</v>
      </c>
      <c r="N3271">
        <v>1</v>
      </c>
      <c r="O3271" t="s">
        <v>23</v>
      </c>
      <c r="P3271">
        <v>0</v>
      </c>
      <c r="Q3271">
        <v>0</v>
      </c>
      <c r="R3271">
        <v>1</v>
      </c>
      <c r="S3271">
        <v>0</v>
      </c>
      <c r="T3271">
        <v>0</v>
      </c>
      <c r="U3271">
        <v>0</v>
      </c>
      <c r="V3271">
        <v>1</v>
      </c>
      <c r="W3271">
        <v>1</v>
      </c>
      <c r="X3271">
        <v>1</v>
      </c>
      <c r="Y3271">
        <v>0</v>
      </c>
      <c r="Z3271">
        <v>0</v>
      </c>
      <c r="AA3271" t="s">
        <v>3528</v>
      </c>
      <c r="AB3271" t="s">
        <v>6329</v>
      </c>
      <c r="AC3271" t="s">
        <v>3528</v>
      </c>
      <c r="AD3271" t="e">
        <f>VLOOKUP(AB3271,#REF!,2,FALSE)</f>
        <v>#REF!</v>
      </c>
      <c r="AE3271" t="e">
        <f>RIGHT(#REF!,(FIND("Complex",#REF!,1)-5))</f>
        <v>#REF!</v>
      </c>
    </row>
    <row r="3272" spans="1:31" x14ac:dyDescent="0.25">
      <c r="A3272">
        <v>634</v>
      </c>
      <c r="B3272" t="s">
        <v>39</v>
      </c>
      <c r="C3272">
        <v>63</v>
      </c>
      <c r="D3272">
        <v>274</v>
      </c>
      <c r="E3272">
        <v>634</v>
      </c>
      <c r="F3272">
        <v>3792601</v>
      </c>
      <c r="G3272">
        <v>3880800</v>
      </c>
      <c r="H3272">
        <f t="shared" si="102"/>
        <v>86.000022675736957</v>
      </c>
      <c r="I3272">
        <f t="shared" si="103"/>
        <v>88</v>
      </c>
      <c r="J3272" t="s">
        <v>25</v>
      </c>
      <c r="K3272">
        <v>4</v>
      </c>
      <c r="L3272" t="e">
        <f t="array" ref="L3272">VLOOKUP(J3272:$J$3871&amp;K3272:$K$3871,CHOOSE({1,2},#REF!&amp;#REF!,#REF!),2,0)</f>
        <v>#N/A</v>
      </c>
      <c r="M3272">
        <v>0</v>
      </c>
      <c r="N3272">
        <v>1</v>
      </c>
      <c r="O3272" t="s">
        <v>23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1</v>
      </c>
      <c r="W3272">
        <v>1</v>
      </c>
      <c r="X3272">
        <v>1</v>
      </c>
      <c r="Y3272">
        <v>0</v>
      </c>
      <c r="Z3272">
        <v>0</v>
      </c>
      <c r="AA3272" t="s">
        <v>3583</v>
      </c>
      <c r="AB3272" t="s">
        <v>6359</v>
      </c>
      <c r="AC3272" t="s">
        <v>3583</v>
      </c>
      <c r="AD3272" t="e">
        <f>VLOOKUP(AB3272,#REF!,2,FALSE)</f>
        <v>#REF!</v>
      </c>
      <c r="AE3272" t="e">
        <f>RIGHT(#REF!,(FIND("Complex",#REF!,1)-5))</f>
        <v>#REF!</v>
      </c>
    </row>
    <row r="3273" spans="1:31" x14ac:dyDescent="0.25">
      <c r="A3273">
        <v>1524</v>
      </c>
      <c r="B3273" t="s">
        <v>39</v>
      </c>
      <c r="C3273">
        <v>63</v>
      </c>
      <c r="D3273">
        <v>667</v>
      </c>
      <c r="E3273">
        <v>1524</v>
      </c>
      <c r="F3273">
        <v>2734201</v>
      </c>
      <c r="G3273">
        <v>2822400</v>
      </c>
      <c r="H3273">
        <f t="shared" si="102"/>
        <v>62.000022675736965</v>
      </c>
      <c r="I3273">
        <f t="shared" si="103"/>
        <v>64</v>
      </c>
      <c r="J3273" t="s">
        <v>25</v>
      </c>
      <c r="K3273">
        <v>4</v>
      </c>
      <c r="L3273" t="e">
        <f t="array" ref="L3273">VLOOKUP(J3273:$J$3871&amp;K3273:$K$3871,CHOOSE({1,2},#REF!&amp;#REF!,#REF!),2,0)</f>
        <v>#N/A</v>
      </c>
      <c r="M3273">
        <v>0</v>
      </c>
      <c r="N3273">
        <v>1</v>
      </c>
      <c r="O3273" t="s">
        <v>23</v>
      </c>
      <c r="P3273">
        <v>0</v>
      </c>
      <c r="Q3273">
        <v>0</v>
      </c>
      <c r="R3273">
        <v>1</v>
      </c>
      <c r="S3273">
        <v>0</v>
      </c>
      <c r="T3273">
        <v>0</v>
      </c>
      <c r="U3273">
        <v>0</v>
      </c>
      <c r="V3273">
        <v>1</v>
      </c>
      <c r="W3273">
        <v>1</v>
      </c>
      <c r="X3273">
        <v>1</v>
      </c>
      <c r="Y3273">
        <v>0</v>
      </c>
      <c r="Z3273">
        <v>0</v>
      </c>
      <c r="AA3273" t="s">
        <v>3760</v>
      </c>
      <c r="AB3273" t="s">
        <v>6460</v>
      </c>
      <c r="AC3273" t="s">
        <v>3760</v>
      </c>
      <c r="AD3273" t="e">
        <f>VLOOKUP(AB3273,#REF!,2,FALSE)</f>
        <v>#REF!</v>
      </c>
      <c r="AE3273" t="e">
        <f>RIGHT(#REF!,(FIND("Complex",#REF!,1)-6))</f>
        <v>#REF!</v>
      </c>
    </row>
    <row r="3274" spans="1:31" x14ac:dyDescent="0.25">
      <c r="A3274">
        <v>1608</v>
      </c>
      <c r="B3274" t="s">
        <v>39</v>
      </c>
      <c r="C3274">
        <v>63</v>
      </c>
      <c r="D3274">
        <v>695</v>
      </c>
      <c r="E3274">
        <v>1608</v>
      </c>
      <c r="F3274">
        <v>2646001</v>
      </c>
      <c r="G3274">
        <v>2734200</v>
      </c>
      <c r="H3274">
        <f t="shared" si="102"/>
        <v>60.000022675736965</v>
      </c>
      <c r="I3274">
        <f t="shared" si="103"/>
        <v>62</v>
      </c>
      <c r="J3274" t="s">
        <v>25</v>
      </c>
      <c r="K3274">
        <v>4</v>
      </c>
      <c r="L3274" t="e">
        <f t="array" ref="L3274">VLOOKUP(J3274:$J$3871&amp;K3274:$K$3871,CHOOSE({1,2},#REF!&amp;#REF!,#REF!),2,0)</f>
        <v>#N/A</v>
      </c>
      <c r="M3274">
        <v>0</v>
      </c>
      <c r="N3274">
        <v>1</v>
      </c>
      <c r="O3274" t="s">
        <v>23</v>
      </c>
      <c r="P3274">
        <v>0</v>
      </c>
      <c r="Q3274">
        <v>0</v>
      </c>
      <c r="R3274">
        <v>1</v>
      </c>
      <c r="S3274">
        <v>0</v>
      </c>
      <c r="T3274">
        <v>0</v>
      </c>
      <c r="U3274">
        <v>0</v>
      </c>
      <c r="V3274">
        <v>1</v>
      </c>
      <c r="W3274">
        <v>1</v>
      </c>
      <c r="X3274">
        <v>1</v>
      </c>
      <c r="Y3274">
        <v>0</v>
      </c>
      <c r="Z3274">
        <v>0</v>
      </c>
      <c r="AA3274" t="s">
        <v>3780</v>
      </c>
      <c r="AB3274" t="s">
        <v>6473</v>
      </c>
      <c r="AC3274" t="s">
        <v>3780</v>
      </c>
      <c r="AD3274" t="e">
        <f>VLOOKUP(AB3274,#REF!,2,FALSE)</f>
        <v>#REF!</v>
      </c>
      <c r="AE3274" t="e">
        <f>RIGHT(#REF!,(FIND("Complex",#REF!,1)-6))</f>
        <v>#REF!</v>
      </c>
    </row>
    <row r="3275" spans="1:31" x14ac:dyDescent="0.25">
      <c r="A3275">
        <v>94</v>
      </c>
      <c r="B3275" t="s">
        <v>39</v>
      </c>
      <c r="C3275">
        <v>63</v>
      </c>
      <c r="D3275">
        <v>45</v>
      </c>
      <c r="E3275">
        <v>94</v>
      </c>
      <c r="F3275">
        <v>2557801</v>
      </c>
      <c r="G3275">
        <v>2646000</v>
      </c>
      <c r="H3275">
        <f t="shared" si="102"/>
        <v>58.000022675736965</v>
      </c>
      <c r="I3275">
        <f t="shared" si="103"/>
        <v>60</v>
      </c>
      <c r="J3275" t="s">
        <v>25</v>
      </c>
      <c r="K3275">
        <v>4</v>
      </c>
      <c r="L3275" t="e">
        <f t="array" ref="L3275">VLOOKUP(J3275:$J$3871&amp;K3275:$K$3871,CHOOSE({1,2},#REF!&amp;#REF!,#REF!),2,0)</f>
        <v>#N/A</v>
      </c>
      <c r="M3275">
        <v>0</v>
      </c>
      <c r="N3275">
        <v>1</v>
      </c>
      <c r="O3275" t="s">
        <v>23</v>
      </c>
      <c r="P3275">
        <v>0</v>
      </c>
      <c r="Q3275">
        <v>0</v>
      </c>
      <c r="R3275">
        <v>1</v>
      </c>
      <c r="S3275">
        <v>0</v>
      </c>
      <c r="T3275">
        <v>0</v>
      </c>
      <c r="U3275">
        <v>0</v>
      </c>
      <c r="V3275">
        <v>1</v>
      </c>
      <c r="W3275">
        <v>1</v>
      </c>
      <c r="X3275">
        <v>1</v>
      </c>
      <c r="Y3275">
        <v>0</v>
      </c>
      <c r="Z3275">
        <v>0</v>
      </c>
      <c r="AA3275" t="s">
        <v>3817</v>
      </c>
      <c r="AB3275" t="s">
        <v>6489</v>
      </c>
      <c r="AC3275" t="s">
        <v>3817</v>
      </c>
      <c r="AD3275" t="e">
        <f>VLOOKUP(AB3275,#REF!,2,FALSE)</f>
        <v>#REF!</v>
      </c>
      <c r="AE3275" t="e">
        <f>RIGHT(#REF!,(FIND("Complex",#REF!,1)-4))</f>
        <v>#REF!</v>
      </c>
    </row>
    <row r="3276" spans="1:31" x14ac:dyDescent="0.25">
      <c r="A3276">
        <v>264</v>
      </c>
      <c r="B3276" t="s">
        <v>39</v>
      </c>
      <c r="C3276">
        <v>63</v>
      </c>
      <c r="D3276">
        <v>113</v>
      </c>
      <c r="E3276">
        <v>264</v>
      </c>
      <c r="F3276">
        <v>1940401</v>
      </c>
      <c r="G3276">
        <v>2028600</v>
      </c>
      <c r="H3276">
        <f t="shared" si="102"/>
        <v>44.000022675736965</v>
      </c>
      <c r="I3276">
        <f t="shared" si="103"/>
        <v>46</v>
      </c>
      <c r="J3276" t="s">
        <v>25</v>
      </c>
      <c r="K3276">
        <v>4</v>
      </c>
      <c r="L3276" t="e">
        <f t="array" ref="L3276">VLOOKUP(J3276:$J$3871&amp;K3276:$K$3871,CHOOSE({1,2},#REF!&amp;#REF!,#REF!),2,0)</f>
        <v>#N/A</v>
      </c>
      <c r="M3276">
        <v>0</v>
      </c>
      <c r="N3276">
        <v>1</v>
      </c>
      <c r="O3276" t="s">
        <v>23</v>
      </c>
      <c r="P3276">
        <v>0</v>
      </c>
      <c r="Q3276">
        <v>0</v>
      </c>
      <c r="R3276">
        <v>1</v>
      </c>
      <c r="S3276">
        <v>0</v>
      </c>
      <c r="T3276">
        <v>0</v>
      </c>
      <c r="U3276">
        <v>0</v>
      </c>
      <c r="V3276">
        <v>1</v>
      </c>
      <c r="W3276">
        <v>1</v>
      </c>
      <c r="X3276">
        <v>1</v>
      </c>
      <c r="Y3276">
        <v>0</v>
      </c>
      <c r="Z3276">
        <v>0</v>
      </c>
      <c r="AA3276" t="s">
        <v>3912</v>
      </c>
      <c r="AB3276" t="s">
        <v>1501</v>
      </c>
      <c r="AC3276" t="s">
        <v>3912</v>
      </c>
      <c r="AD3276" t="e">
        <f>VLOOKUP(AB3276,#REF!,2,FALSE)</f>
        <v>#REF!</v>
      </c>
      <c r="AE3276" t="e">
        <f>RIGHT(#REF!,(FIND("Complex",#REF!,1)-5))</f>
        <v>#REF!</v>
      </c>
    </row>
    <row r="3277" spans="1:31" x14ac:dyDescent="0.25">
      <c r="A3277">
        <v>1075</v>
      </c>
      <c r="B3277" t="s">
        <v>39</v>
      </c>
      <c r="C3277">
        <v>63</v>
      </c>
      <c r="D3277">
        <v>477</v>
      </c>
      <c r="E3277">
        <v>1075</v>
      </c>
      <c r="F3277">
        <v>1764001</v>
      </c>
      <c r="G3277">
        <v>1852200</v>
      </c>
      <c r="H3277">
        <f t="shared" si="102"/>
        <v>40.000022675736965</v>
      </c>
      <c r="I3277">
        <f t="shared" si="103"/>
        <v>42</v>
      </c>
      <c r="J3277" t="s">
        <v>25</v>
      </c>
      <c r="K3277">
        <v>4</v>
      </c>
      <c r="L3277" t="e">
        <f t="array" ref="L3277">VLOOKUP(J3277:$J$3871&amp;K3277:$K$3871,CHOOSE({1,2},#REF!&amp;#REF!,#REF!),2,0)</f>
        <v>#N/A</v>
      </c>
      <c r="M3277">
        <v>0</v>
      </c>
      <c r="N3277">
        <v>1</v>
      </c>
      <c r="O3277" t="s">
        <v>23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0</v>
      </c>
      <c r="V3277">
        <v>1</v>
      </c>
      <c r="W3277">
        <v>1</v>
      </c>
      <c r="X3277">
        <v>1</v>
      </c>
      <c r="Y3277">
        <v>0</v>
      </c>
      <c r="Z3277">
        <v>0</v>
      </c>
      <c r="AA3277" t="s">
        <v>3941</v>
      </c>
      <c r="AB3277" t="s">
        <v>1502</v>
      </c>
      <c r="AC3277" t="s">
        <v>3941</v>
      </c>
      <c r="AD3277" t="e">
        <f>VLOOKUP(AB3277,#REF!,2,FALSE)</f>
        <v>#REF!</v>
      </c>
      <c r="AE3277" t="e">
        <f>RIGHT(#REF!,(FIND("Complex",#REF!,1)-6))</f>
        <v>#REF!</v>
      </c>
    </row>
    <row r="3278" spans="1:31" x14ac:dyDescent="0.25">
      <c r="A3278">
        <v>1256</v>
      </c>
      <c r="B3278" t="s">
        <v>39</v>
      </c>
      <c r="C3278">
        <v>63</v>
      </c>
      <c r="D3278">
        <v>549</v>
      </c>
      <c r="E3278">
        <v>1256</v>
      </c>
      <c r="F3278">
        <v>1234801</v>
      </c>
      <c r="G3278">
        <v>1323000</v>
      </c>
      <c r="H3278">
        <f t="shared" si="102"/>
        <v>28.000022675736961</v>
      </c>
      <c r="I3278">
        <f t="shared" si="103"/>
        <v>30</v>
      </c>
      <c r="J3278" t="s">
        <v>25</v>
      </c>
      <c r="K3278">
        <v>4</v>
      </c>
      <c r="L3278" t="e">
        <f t="array" ref="L3278">VLOOKUP(J3278:$J$3871&amp;K3278:$K$3871,CHOOSE({1,2},#REF!&amp;#REF!,#REF!),2,0)</f>
        <v>#N/A</v>
      </c>
      <c r="M3278">
        <v>0</v>
      </c>
      <c r="N3278">
        <v>1</v>
      </c>
      <c r="O3278" t="s">
        <v>23</v>
      </c>
      <c r="P3278">
        <v>0</v>
      </c>
      <c r="Q3278">
        <v>0</v>
      </c>
      <c r="R3278">
        <v>1</v>
      </c>
      <c r="S3278">
        <v>0</v>
      </c>
      <c r="T3278">
        <v>0</v>
      </c>
      <c r="U3278">
        <v>0</v>
      </c>
      <c r="V3278">
        <v>1</v>
      </c>
      <c r="W3278">
        <v>1</v>
      </c>
      <c r="X3278">
        <v>1</v>
      </c>
      <c r="Y3278">
        <v>0</v>
      </c>
      <c r="Z3278">
        <v>0</v>
      </c>
      <c r="AA3278" t="s">
        <v>4103</v>
      </c>
      <c r="AB3278" t="s">
        <v>6666</v>
      </c>
      <c r="AC3278" t="s">
        <v>4103</v>
      </c>
      <c r="AD3278" t="e">
        <f>VLOOKUP(AB3278,#REF!,2,FALSE)</f>
        <v>#REF!</v>
      </c>
      <c r="AE3278" t="e">
        <f>RIGHT(#REF!,(FIND("Complex",#REF!,1)-6))</f>
        <v>#REF!</v>
      </c>
    </row>
    <row r="3279" spans="1:31" x14ac:dyDescent="0.25">
      <c r="A3279">
        <v>1830</v>
      </c>
      <c r="B3279" t="s">
        <v>39</v>
      </c>
      <c r="C3279">
        <v>63</v>
      </c>
      <c r="D3279">
        <v>794</v>
      </c>
      <c r="E3279">
        <v>1830</v>
      </c>
      <c r="F3279">
        <v>1146601</v>
      </c>
      <c r="G3279">
        <v>1234800</v>
      </c>
      <c r="H3279">
        <f t="shared" si="102"/>
        <v>26.000022675736961</v>
      </c>
      <c r="I3279">
        <f t="shared" si="103"/>
        <v>28</v>
      </c>
      <c r="J3279" t="s">
        <v>25</v>
      </c>
      <c r="K3279">
        <v>4</v>
      </c>
      <c r="L3279" t="e">
        <f t="array" ref="L3279">VLOOKUP(J3279:$J$3871&amp;K3279:$K$3871,CHOOSE({1,2},#REF!&amp;#REF!,#REF!),2,0)</f>
        <v>#N/A</v>
      </c>
      <c r="M3279">
        <v>0</v>
      </c>
      <c r="N3279">
        <v>1</v>
      </c>
      <c r="O3279" t="s">
        <v>23</v>
      </c>
      <c r="P3279">
        <v>0</v>
      </c>
      <c r="Q3279">
        <v>0</v>
      </c>
      <c r="R3279">
        <v>1</v>
      </c>
      <c r="S3279">
        <v>0</v>
      </c>
      <c r="T3279">
        <v>0</v>
      </c>
      <c r="U3279">
        <v>0</v>
      </c>
      <c r="V3279">
        <v>1</v>
      </c>
      <c r="W3279">
        <v>1</v>
      </c>
      <c r="X3279">
        <v>1</v>
      </c>
      <c r="Y3279">
        <v>0</v>
      </c>
      <c r="Z3279">
        <v>0</v>
      </c>
      <c r="AA3279" t="s">
        <v>4147</v>
      </c>
      <c r="AB3279" t="s">
        <v>6700</v>
      </c>
      <c r="AC3279" t="s">
        <v>4147</v>
      </c>
      <c r="AD3279" t="e">
        <f>VLOOKUP(AB3279,#REF!,2,FALSE)</f>
        <v>#REF!</v>
      </c>
      <c r="AE3279" t="e">
        <f>RIGHT(#REF!,(FIND("Complex",#REF!,1)-6))</f>
        <v>#REF!</v>
      </c>
    </row>
    <row r="3280" spans="1:31" x14ac:dyDescent="0.25">
      <c r="A3280">
        <v>743</v>
      </c>
      <c r="B3280" t="s">
        <v>39</v>
      </c>
      <c r="C3280">
        <v>63</v>
      </c>
      <c r="D3280">
        <v>328</v>
      </c>
      <c r="E3280">
        <v>743</v>
      </c>
      <c r="F3280">
        <v>1058401</v>
      </c>
      <c r="G3280">
        <v>1146600</v>
      </c>
      <c r="H3280">
        <f t="shared" si="102"/>
        <v>24.000022675736961</v>
      </c>
      <c r="I3280">
        <f t="shared" si="103"/>
        <v>26</v>
      </c>
      <c r="J3280" t="s">
        <v>25</v>
      </c>
      <c r="K3280">
        <v>4</v>
      </c>
      <c r="L3280" t="e">
        <f t="array" ref="L3280">VLOOKUP(J3280:$J$3871&amp;K3280:$K$3871,CHOOSE({1,2},#REF!&amp;#REF!,#REF!),2,0)</f>
        <v>#N/A</v>
      </c>
      <c r="M3280">
        <v>0</v>
      </c>
      <c r="N3280">
        <v>1</v>
      </c>
      <c r="O3280" t="s">
        <v>23</v>
      </c>
      <c r="P3280">
        <v>0</v>
      </c>
      <c r="Q3280">
        <v>0</v>
      </c>
      <c r="R3280">
        <v>1</v>
      </c>
      <c r="S3280">
        <v>0</v>
      </c>
      <c r="T3280">
        <v>0</v>
      </c>
      <c r="U3280">
        <v>0</v>
      </c>
      <c r="V3280">
        <v>1</v>
      </c>
      <c r="W3280">
        <v>1</v>
      </c>
      <c r="X3280">
        <v>1</v>
      </c>
      <c r="Y3280">
        <v>0</v>
      </c>
      <c r="Z3280">
        <v>0</v>
      </c>
      <c r="AA3280" t="s">
        <v>4186</v>
      </c>
      <c r="AB3280" t="s">
        <v>6728</v>
      </c>
      <c r="AC3280" t="s">
        <v>4186</v>
      </c>
      <c r="AD3280" t="e">
        <f>VLOOKUP(AB3280,#REF!,2,FALSE)</f>
        <v>#REF!</v>
      </c>
      <c r="AE3280" t="e">
        <f>RIGHT(#REF!,(FIND("Complex",#REF!,1)-5))</f>
        <v>#REF!</v>
      </c>
    </row>
    <row r="3281" spans="1:31" x14ac:dyDescent="0.25">
      <c r="A3281">
        <v>1396</v>
      </c>
      <c r="B3281" t="s">
        <v>21</v>
      </c>
      <c r="C3281">
        <v>64</v>
      </c>
      <c r="D3281">
        <v>610</v>
      </c>
      <c r="E3281">
        <v>1396</v>
      </c>
      <c r="F3281">
        <v>1323001</v>
      </c>
      <c r="G3281">
        <v>1411200</v>
      </c>
      <c r="H3281">
        <f t="shared" si="102"/>
        <v>30.000022675736961</v>
      </c>
      <c r="I3281">
        <f t="shared" si="103"/>
        <v>32</v>
      </c>
      <c r="J3281" t="s">
        <v>25</v>
      </c>
      <c r="K3281">
        <v>4</v>
      </c>
      <c r="L3281" t="e">
        <f t="array" ref="L3281">VLOOKUP(J3281:$J$3871&amp;K3281:$K$3871,CHOOSE({1,2},#REF!&amp;#REF!,#REF!),2,0)</f>
        <v>#N/A</v>
      </c>
      <c r="M3281">
        <v>0</v>
      </c>
      <c r="N3281">
        <v>1</v>
      </c>
      <c r="O3281" t="s">
        <v>23</v>
      </c>
      <c r="P3281">
        <v>1</v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1</v>
      </c>
      <c r="Y3281">
        <v>0</v>
      </c>
      <c r="Z3281">
        <v>0</v>
      </c>
      <c r="AA3281" t="s">
        <v>4064</v>
      </c>
      <c r="AB3281" t="s">
        <v>6638</v>
      </c>
      <c r="AC3281" t="s">
        <v>4064</v>
      </c>
      <c r="AD3281" t="e">
        <f>VLOOKUP(AB3281,#REF!,2,FALSE)</f>
        <v>#REF!</v>
      </c>
      <c r="AE3281" t="e">
        <f>RIGHT(#REF!,(FIND("Complex",#REF!,1)-6))</f>
        <v>#REF!</v>
      </c>
    </row>
    <row r="3282" spans="1:31" x14ac:dyDescent="0.25">
      <c r="A3282">
        <v>1137</v>
      </c>
      <c r="B3282" t="s">
        <v>21</v>
      </c>
      <c r="C3282">
        <v>64</v>
      </c>
      <c r="D3282">
        <v>505</v>
      </c>
      <c r="E3282">
        <v>1137</v>
      </c>
      <c r="F3282">
        <v>1234801</v>
      </c>
      <c r="G3282">
        <v>1323000</v>
      </c>
      <c r="H3282">
        <f t="shared" si="102"/>
        <v>28.000022675736961</v>
      </c>
      <c r="I3282">
        <f t="shared" si="103"/>
        <v>30</v>
      </c>
      <c r="J3282" t="s">
        <v>25</v>
      </c>
      <c r="K3282">
        <v>4</v>
      </c>
      <c r="L3282" t="e">
        <f t="array" ref="L3282">VLOOKUP(J3282:$J$3871&amp;K3282:$K$3871,CHOOSE({1,2},#REF!&amp;#REF!,#REF!),2,0)</f>
        <v>#N/A</v>
      </c>
      <c r="M3282">
        <v>0</v>
      </c>
      <c r="N3282">
        <v>1</v>
      </c>
      <c r="O3282" t="s">
        <v>23</v>
      </c>
      <c r="P3282">
        <v>1</v>
      </c>
      <c r="Q3282">
        <v>1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1</v>
      </c>
      <c r="Y3282">
        <v>0</v>
      </c>
      <c r="Z3282">
        <v>0</v>
      </c>
      <c r="AA3282" t="s">
        <v>4102</v>
      </c>
      <c r="AB3282" t="s">
        <v>1515</v>
      </c>
      <c r="AC3282" t="s">
        <v>4102</v>
      </c>
      <c r="AD3282" t="e">
        <f>VLOOKUP(AB3282,#REF!,2,FALSE)</f>
        <v>#REF!</v>
      </c>
      <c r="AE3282" t="e">
        <f>RIGHT(#REF!,(FIND("Complex",#REF!,1)-6))</f>
        <v>#REF!</v>
      </c>
    </row>
    <row r="3283" spans="1:31" x14ac:dyDescent="0.25">
      <c r="A3283">
        <v>833</v>
      </c>
      <c r="B3283" t="s">
        <v>49</v>
      </c>
      <c r="C3283">
        <v>65</v>
      </c>
      <c r="D3283">
        <v>374</v>
      </c>
      <c r="E3283">
        <v>833</v>
      </c>
      <c r="F3283">
        <v>352801</v>
      </c>
      <c r="G3283">
        <v>441000</v>
      </c>
      <c r="H3283">
        <f t="shared" si="102"/>
        <v>8.000022675736961</v>
      </c>
      <c r="I3283">
        <f t="shared" si="103"/>
        <v>10</v>
      </c>
      <c r="J3283" t="s">
        <v>25</v>
      </c>
      <c r="K3283">
        <v>4</v>
      </c>
      <c r="L3283" t="e">
        <f t="array" ref="L3283">VLOOKUP(J3283:$J$3871&amp;K3283:$K$3871,CHOOSE({1,2},#REF!&amp;#REF!,#REF!),2,0)</f>
        <v>#N/A</v>
      </c>
      <c r="M3283">
        <v>0</v>
      </c>
      <c r="N3283">
        <v>1</v>
      </c>
      <c r="O3283" t="s">
        <v>23</v>
      </c>
      <c r="P3283">
        <v>1</v>
      </c>
      <c r="Q3283">
        <v>1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1</v>
      </c>
      <c r="Y3283">
        <v>0</v>
      </c>
      <c r="Z3283">
        <v>0</v>
      </c>
      <c r="AA3283" t="s">
        <v>3642</v>
      </c>
      <c r="AB3283" t="s">
        <v>1520</v>
      </c>
      <c r="AC3283" t="s">
        <v>3642</v>
      </c>
      <c r="AD3283" t="e">
        <f>VLOOKUP(AB3283,#REF!,2,FALSE)</f>
        <v>#REF!</v>
      </c>
      <c r="AE3283" t="e">
        <f>RIGHT(#REF!,(FIND("Complex",#REF!,1)-6))</f>
        <v>#REF!</v>
      </c>
    </row>
    <row r="3284" spans="1:31" x14ac:dyDescent="0.25">
      <c r="A3284">
        <v>327</v>
      </c>
      <c r="B3284" t="s">
        <v>49</v>
      </c>
      <c r="C3284">
        <v>65</v>
      </c>
      <c r="D3284">
        <v>136</v>
      </c>
      <c r="E3284">
        <v>327</v>
      </c>
      <c r="F3284">
        <v>441001</v>
      </c>
      <c r="G3284">
        <v>529200</v>
      </c>
      <c r="H3284">
        <f t="shared" si="102"/>
        <v>10.000022675736961</v>
      </c>
      <c r="I3284">
        <f t="shared" si="103"/>
        <v>12</v>
      </c>
      <c r="J3284" t="s">
        <v>25</v>
      </c>
      <c r="K3284">
        <v>4</v>
      </c>
      <c r="L3284" t="e">
        <f t="array" ref="L3284">VLOOKUP(J3284:$J$3871&amp;K3284:$K$3871,CHOOSE({1,2},#REF!&amp;#REF!,#REF!),2,0)</f>
        <v>#N/A</v>
      </c>
      <c r="M3284">
        <v>0</v>
      </c>
      <c r="N3284">
        <v>1</v>
      </c>
      <c r="O3284" t="s">
        <v>23</v>
      </c>
      <c r="P3284">
        <v>1</v>
      </c>
      <c r="Q3284">
        <v>1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1</v>
      </c>
      <c r="Y3284">
        <v>0</v>
      </c>
      <c r="Z3284">
        <v>0</v>
      </c>
      <c r="AA3284" t="s">
        <v>4860</v>
      </c>
      <c r="AB3284" t="s">
        <v>1521</v>
      </c>
      <c r="AC3284" t="s">
        <v>4860</v>
      </c>
      <c r="AD3284" t="e">
        <f>VLOOKUP(AB3284,#REF!,2,FALSE)</f>
        <v>#REF!</v>
      </c>
      <c r="AE3284" t="e">
        <f>RIGHT(#REF!,(FIND("Complex",#REF!,1)-5))</f>
        <v>#REF!</v>
      </c>
    </row>
    <row r="3285" spans="1:31" x14ac:dyDescent="0.25">
      <c r="A3285">
        <v>587</v>
      </c>
      <c r="B3285" t="s">
        <v>49</v>
      </c>
      <c r="C3285">
        <v>65</v>
      </c>
      <c r="D3285">
        <v>252</v>
      </c>
      <c r="E3285">
        <v>587</v>
      </c>
      <c r="F3285">
        <v>1</v>
      </c>
      <c r="G3285">
        <v>88200</v>
      </c>
      <c r="H3285">
        <f t="shared" si="102"/>
        <v>2.2675736961451248E-5</v>
      </c>
      <c r="I3285">
        <f t="shared" si="103"/>
        <v>2</v>
      </c>
      <c r="J3285" t="s">
        <v>25</v>
      </c>
      <c r="K3285">
        <v>4</v>
      </c>
      <c r="L3285" t="e">
        <f t="array" ref="L3285">VLOOKUP(J3285:$J$3871&amp;K3285:$K$3871,CHOOSE({1,2},#REF!&amp;#REF!,#REF!),2,0)</f>
        <v>#N/A</v>
      </c>
      <c r="M3285">
        <v>0</v>
      </c>
      <c r="N3285">
        <v>1</v>
      </c>
      <c r="O3285" t="s">
        <v>23</v>
      </c>
      <c r="P3285">
        <v>1</v>
      </c>
      <c r="Q3285">
        <v>1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1</v>
      </c>
      <c r="Y3285">
        <v>0</v>
      </c>
      <c r="Z3285">
        <v>0</v>
      </c>
      <c r="AA3285" t="s">
        <v>4873</v>
      </c>
      <c r="AB3285" t="s">
        <v>1522</v>
      </c>
      <c r="AC3285" t="s">
        <v>4873</v>
      </c>
      <c r="AD3285" t="e">
        <f>VLOOKUP(AB3285,#REF!,2,FALSE)</f>
        <v>#REF!</v>
      </c>
      <c r="AE3285" t="e">
        <f>RIGHT(#REF!,(FIND("Complex",#REF!,1)-6))</f>
        <v>#REF!</v>
      </c>
    </row>
    <row r="3286" spans="1:31" x14ac:dyDescent="0.25">
      <c r="A3286">
        <v>1465</v>
      </c>
      <c r="B3286" t="s">
        <v>259</v>
      </c>
      <c r="C3286">
        <v>66</v>
      </c>
      <c r="D3286">
        <v>642</v>
      </c>
      <c r="E3286">
        <v>1465</v>
      </c>
      <c r="F3286">
        <v>3880801</v>
      </c>
      <c r="G3286">
        <v>3969000</v>
      </c>
      <c r="H3286">
        <f t="shared" si="102"/>
        <v>88.000022675736957</v>
      </c>
      <c r="I3286">
        <f t="shared" si="103"/>
        <v>90</v>
      </c>
      <c r="J3286" t="s">
        <v>25</v>
      </c>
      <c r="K3286">
        <v>4</v>
      </c>
      <c r="L3286" t="e">
        <f t="array" ref="L3286">VLOOKUP(J3286:$J$3871&amp;K3286:$K$3871,CHOOSE({1,2},#REF!&amp;#REF!,#REF!),2,0)</f>
        <v>#N/A</v>
      </c>
      <c r="M3286">
        <v>0</v>
      </c>
      <c r="N3286">
        <v>1</v>
      </c>
      <c r="O3286" t="s">
        <v>23</v>
      </c>
      <c r="P3286">
        <v>1</v>
      </c>
      <c r="Q3286">
        <v>1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1</v>
      </c>
      <c r="Y3286">
        <v>0</v>
      </c>
      <c r="Z3286">
        <v>0</v>
      </c>
      <c r="AA3286" t="s">
        <v>3571</v>
      </c>
      <c r="AB3286" t="s">
        <v>6353</v>
      </c>
      <c r="AC3286" t="s">
        <v>3571</v>
      </c>
      <c r="AD3286" t="e">
        <f>VLOOKUP(AB3286,#REF!,2,FALSE)</f>
        <v>#REF!</v>
      </c>
      <c r="AE3286" t="e">
        <f>RIGHT(#REF!,(FIND("Complex",#REF!,1)-6))</f>
        <v>#REF!</v>
      </c>
    </row>
    <row r="3287" spans="1:31" x14ac:dyDescent="0.25">
      <c r="A3287">
        <v>1751</v>
      </c>
      <c r="B3287" t="s">
        <v>259</v>
      </c>
      <c r="C3287">
        <v>66</v>
      </c>
      <c r="D3287">
        <v>764</v>
      </c>
      <c r="E3287">
        <v>1751</v>
      </c>
      <c r="F3287">
        <v>2822401</v>
      </c>
      <c r="G3287">
        <v>2910600</v>
      </c>
      <c r="H3287">
        <f t="shared" si="102"/>
        <v>64.000022675736957</v>
      </c>
      <c r="I3287">
        <f t="shared" si="103"/>
        <v>66</v>
      </c>
      <c r="J3287" t="s">
        <v>25</v>
      </c>
      <c r="K3287">
        <v>4</v>
      </c>
      <c r="L3287" t="e">
        <f t="array" ref="L3287">VLOOKUP(J3287:$J$3871&amp;K3287:$K$3871,CHOOSE({1,2},#REF!&amp;#REF!,#REF!),2,0)</f>
        <v>#N/A</v>
      </c>
      <c r="M3287">
        <v>0</v>
      </c>
      <c r="N3287">
        <v>1</v>
      </c>
      <c r="O3287" t="s">
        <v>23</v>
      </c>
      <c r="P3287">
        <v>1</v>
      </c>
      <c r="Q3287">
        <v>1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1</v>
      </c>
      <c r="Y3287">
        <v>0</v>
      </c>
      <c r="Z3287">
        <v>0</v>
      </c>
      <c r="AA3287" t="s">
        <v>3746</v>
      </c>
      <c r="AB3287" t="s">
        <v>6446</v>
      </c>
      <c r="AC3287" t="s">
        <v>3746</v>
      </c>
      <c r="AD3287" t="e">
        <f>VLOOKUP(AB3287,#REF!,2,FALSE)</f>
        <v>#REF!</v>
      </c>
      <c r="AE3287" t="e">
        <f>RIGHT(#REF!,(FIND("Complex",#REF!,1)-6))</f>
        <v>#REF!</v>
      </c>
    </row>
    <row r="3288" spans="1:31" x14ac:dyDescent="0.25">
      <c r="A3288">
        <v>1318</v>
      </c>
      <c r="B3288" t="s">
        <v>259</v>
      </c>
      <c r="C3288">
        <v>66</v>
      </c>
      <c r="D3288">
        <v>571</v>
      </c>
      <c r="E3288">
        <v>1318</v>
      </c>
      <c r="F3288">
        <v>2646001</v>
      </c>
      <c r="G3288">
        <v>2734200</v>
      </c>
      <c r="H3288">
        <f t="shared" si="102"/>
        <v>60.000022675736965</v>
      </c>
      <c r="I3288">
        <f t="shared" si="103"/>
        <v>62</v>
      </c>
      <c r="J3288" t="s">
        <v>25</v>
      </c>
      <c r="K3288">
        <v>4</v>
      </c>
      <c r="L3288" t="e">
        <f t="array" ref="L3288">VLOOKUP(J3288:$J$3871&amp;K3288:$K$3871,CHOOSE({1,2},#REF!&amp;#REF!,#REF!),2,0)</f>
        <v>#N/A</v>
      </c>
      <c r="M3288">
        <v>0</v>
      </c>
      <c r="N3288">
        <v>1</v>
      </c>
      <c r="O3288" t="s">
        <v>23</v>
      </c>
      <c r="P3288">
        <v>1</v>
      </c>
      <c r="Q3288">
        <v>1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1</v>
      </c>
      <c r="Y3288">
        <v>0</v>
      </c>
      <c r="Z3288">
        <v>0</v>
      </c>
      <c r="AA3288" t="s">
        <v>3779</v>
      </c>
      <c r="AB3288" t="s">
        <v>6472</v>
      </c>
      <c r="AC3288" t="s">
        <v>3779</v>
      </c>
      <c r="AD3288" t="e">
        <f>VLOOKUP(AB3288,#REF!,2,FALSE)</f>
        <v>#REF!</v>
      </c>
      <c r="AE3288" t="e">
        <f>RIGHT(#REF!,(FIND("Complex",#REF!,1)-6))</f>
        <v>#REF!</v>
      </c>
    </row>
    <row r="3289" spans="1:31" x14ac:dyDescent="0.25">
      <c r="A3289">
        <v>38</v>
      </c>
      <c r="B3289" t="s">
        <v>259</v>
      </c>
      <c r="C3289">
        <v>66</v>
      </c>
      <c r="D3289">
        <v>18</v>
      </c>
      <c r="E3289">
        <v>38</v>
      </c>
      <c r="F3289">
        <v>264601</v>
      </c>
      <c r="G3289">
        <v>352800</v>
      </c>
      <c r="H3289">
        <f t="shared" si="102"/>
        <v>6.000022675736961</v>
      </c>
      <c r="I3289">
        <f t="shared" si="103"/>
        <v>8</v>
      </c>
      <c r="J3289" t="s">
        <v>25</v>
      </c>
      <c r="K3289">
        <v>4</v>
      </c>
      <c r="L3289" t="e">
        <f t="array" ref="L3289">VLOOKUP(J3289:$J$3871&amp;K3289:$K$3871,CHOOSE({1,2},#REF!&amp;#REF!,#REF!),2,0)</f>
        <v>#N/A</v>
      </c>
      <c r="M3289">
        <v>0</v>
      </c>
      <c r="N3289">
        <v>1</v>
      </c>
      <c r="O3289" t="s">
        <v>23</v>
      </c>
      <c r="P3289">
        <v>1</v>
      </c>
      <c r="Q3289">
        <v>1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1</v>
      </c>
      <c r="Y3289">
        <v>0</v>
      </c>
      <c r="Z3289">
        <v>0</v>
      </c>
      <c r="AA3289" t="s">
        <v>3805</v>
      </c>
      <c r="AB3289" t="s">
        <v>6485</v>
      </c>
      <c r="AC3289" t="s">
        <v>3805</v>
      </c>
      <c r="AD3289" t="e">
        <f>VLOOKUP(AB3289,#REF!,2,FALSE)</f>
        <v>#REF!</v>
      </c>
      <c r="AE3289" t="e">
        <f>RIGHT(#REF!,(FIND("Complex",#REF!,1)-5))</f>
        <v>#REF!</v>
      </c>
    </row>
    <row r="3290" spans="1:31" x14ac:dyDescent="0.25">
      <c r="A3290">
        <v>1629</v>
      </c>
      <c r="B3290" t="s">
        <v>259</v>
      </c>
      <c r="C3290">
        <v>66</v>
      </c>
      <c r="D3290">
        <v>707</v>
      </c>
      <c r="E3290">
        <v>1629</v>
      </c>
      <c r="F3290">
        <v>2293201</v>
      </c>
      <c r="G3290">
        <v>2381400</v>
      </c>
      <c r="H3290">
        <f t="shared" si="102"/>
        <v>52.000022675736965</v>
      </c>
      <c r="I3290">
        <f t="shared" si="103"/>
        <v>54</v>
      </c>
      <c r="J3290" t="s">
        <v>25</v>
      </c>
      <c r="K3290">
        <v>4</v>
      </c>
      <c r="L3290" t="e">
        <f t="array" ref="L3290">VLOOKUP(J3290:$J$3871&amp;K3290:$K$3871,CHOOSE({1,2},#REF!&amp;#REF!,#REF!),2,0)</f>
        <v>#N/A</v>
      </c>
      <c r="M3290">
        <v>0</v>
      </c>
      <c r="N3290">
        <v>1</v>
      </c>
      <c r="O3290" t="s">
        <v>23</v>
      </c>
      <c r="P3290">
        <v>1</v>
      </c>
      <c r="Q3290">
        <v>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1</v>
      </c>
      <c r="Y3290">
        <v>0</v>
      </c>
      <c r="Z3290">
        <v>0</v>
      </c>
      <c r="AA3290" t="s">
        <v>3859</v>
      </c>
      <c r="AB3290" t="s">
        <v>6513</v>
      </c>
      <c r="AC3290" t="s">
        <v>3859</v>
      </c>
      <c r="AD3290" t="e">
        <f>VLOOKUP(AB3290,#REF!,2,FALSE)</f>
        <v>#REF!</v>
      </c>
      <c r="AE3290" t="e">
        <f>RIGHT(#REF!,(FIND("Complex",#REF!,1)-6))</f>
        <v>#REF!</v>
      </c>
    </row>
    <row r="3291" spans="1:31" x14ac:dyDescent="0.25">
      <c r="A3291">
        <v>1099</v>
      </c>
      <c r="B3291" t="s">
        <v>259</v>
      </c>
      <c r="C3291">
        <v>66</v>
      </c>
      <c r="D3291">
        <v>488</v>
      </c>
      <c r="E3291">
        <v>1099</v>
      </c>
      <c r="F3291">
        <v>1852201</v>
      </c>
      <c r="G3291">
        <v>1940400</v>
      </c>
      <c r="H3291">
        <f t="shared" si="102"/>
        <v>42.000022675736965</v>
      </c>
      <c r="I3291">
        <f t="shared" si="103"/>
        <v>44</v>
      </c>
      <c r="J3291" t="s">
        <v>25</v>
      </c>
      <c r="K3291">
        <v>4</v>
      </c>
      <c r="L3291" t="e">
        <f t="array" ref="L3291">VLOOKUP(J3291:$J$3871&amp;K3291:$K$3871,CHOOSE({1,2},#REF!&amp;#REF!,#REF!),2,0)</f>
        <v>#N/A</v>
      </c>
      <c r="M3291">
        <v>0</v>
      </c>
      <c r="N3291">
        <v>1</v>
      </c>
      <c r="O3291" t="s">
        <v>23</v>
      </c>
      <c r="P3291">
        <v>1</v>
      </c>
      <c r="Q3291">
        <v>1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1</v>
      </c>
      <c r="Y3291">
        <v>0</v>
      </c>
      <c r="Z3291">
        <v>0</v>
      </c>
      <c r="AA3291" t="s">
        <v>3928</v>
      </c>
      <c r="AB3291" t="s">
        <v>6558</v>
      </c>
      <c r="AC3291" t="s">
        <v>3928</v>
      </c>
      <c r="AD3291" t="e">
        <f>VLOOKUP(AB3291,#REF!,2,FALSE)</f>
        <v>#REF!</v>
      </c>
      <c r="AE3291" t="e">
        <f>RIGHT(#REF!,(FIND("Complex",#REF!,1)-6))</f>
        <v>#REF!</v>
      </c>
    </row>
    <row r="3292" spans="1:31" x14ac:dyDescent="0.25">
      <c r="A3292">
        <v>688</v>
      </c>
      <c r="B3292" t="s">
        <v>259</v>
      </c>
      <c r="C3292">
        <v>66</v>
      </c>
      <c r="D3292">
        <v>301</v>
      </c>
      <c r="E3292">
        <v>688</v>
      </c>
      <c r="F3292">
        <v>176401</v>
      </c>
      <c r="G3292">
        <v>264600</v>
      </c>
      <c r="H3292">
        <f t="shared" si="102"/>
        <v>4.000022675736961</v>
      </c>
      <c r="I3292">
        <f t="shared" si="103"/>
        <v>6</v>
      </c>
      <c r="J3292" t="s">
        <v>25</v>
      </c>
      <c r="K3292">
        <v>4</v>
      </c>
      <c r="L3292" t="e">
        <f t="array" ref="L3292">VLOOKUP(J3292:$J$3871&amp;K3292:$K$3871,CHOOSE({1,2},#REF!&amp;#REF!,#REF!),2,0)</f>
        <v>#N/A</v>
      </c>
      <c r="M3292">
        <v>0</v>
      </c>
      <c r="N3292">
        <v>1</v>
      </c>
      <c r="O3292" t="s">
        <v>23</v>
      </c>
      <c r="P3292">
        <v>1</v>
      </c>
      <c r="Q3292">
        <v>1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1</v>
      </c>
      <c r="Y3292">
        <v>0</v>
      </c>
      <c r="Z3292">
        <v>0</v>
      </c>
      <c r="AA3292" t="s">
        <v>3962</v>
      </c>
      <c r="AB3292" t="s">
        <v>6575</v>
      </c>
      <c r="AC3292" t="s">
        <v>3962</v>
      </c>
      <c r="AD3292" t="e">
        <f>VLOOKUP(AB3292,#REF!,2,FALSE)</f>
        <v>#REF!</v>
      </c>
      <c r="AE3292" t="e">
        <f>RIGHT(#REF!,(FIND("Complex",#REF!,1)-6))</f>
        <v>#REF!</v>
      </c>
    </row>
    <row r="3293" spans="1:31" x14ac:dyDescent="0.25">
      <c r="A3293">
        <v>986</v>
      </c>
      <c r="B3293" t="s">
        <v>259</v>
      </c>
      <c r="C3293">
        <v>66</v>
      </c>
      <c r="D3293">
        <v>438</v>
      </c>
      <c r="E3293">
        <v>986</v>
      </c>
      <c r="F3293">
        <v>1146601</v>
      </c>
      <c r="G3293">
        <v>1234800</v>
      </c>
      <c r="H3293">
        <f t="shared" si="102"/>
        <v>26.000022675736961</v>
      </c>
      <c r="I3293">
        <f t="shared" si="103"/>
        <v>28</v>
      </c>
      <c r="J3293" t="s">
        <v>25</v>
      </c>
      <c r="K3293">
        <v>4</v>
      </c>
      <c r="L3293" t="e">
        <f t="array" ref="L3293">VLOOKUP(J3293:$J$3871&amp;K3293:$K$3871,CHOOSE({1,2},#REF!&amp;#REF!,#REF!),2,0)</f>
        <v>#N/A</v>
      </c>
      <c r="M3293">
        <v>0</v>
      </c>
      <c r="N3293">
        <v>1</v>
      </c>
      <c r="O3293" t="s">
        <v>23</v>
      </c>
      <c r="P3293">
        <v>1</v>
      </c>
      <c r="Q3293">
        <v>1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1</v>
      </c>
      <c r="Y3293">
        <v>0</v>
      </c>
      <c r="Z3293">
        <v>0</v>
      </c>
      <c r="AA3293" t="s">
        <v>4145</v>
      </c>
      <c r="AB3293" t="s">
        <v>6698</v>
      </c>
      <c r="AC3293" t="s">
        <v>4145</v>
      </c>
      <c r="AD3293" t="e">
        <f>VLOOKUP(AB3293,#REF!,2,FALSE)</f>
        <v>#REF!</v>
      </c>
      <c r="AE3293" t="e">
        <f>RIGHT(#REF!,(FIND("Complex",#REF!,1)-5))</f>
        <v>#REF!</v>
      </c>
    </row>
    <row r="3294" spans="1:31" x14ac:dyDescent="0.25">
      <c r="A3294">
        <v>1485</v>
      </c>
      <c r="B3294" t="s">
        <v>26</v>
      </c>
      <c r="C3294">
        <v>68</v>
      </c>
      <c r="D3294">
        <v>651</v>
      </c>
      <c r="E3294">
        <v>1485</v>
      </c>
      <c r="F3294">
        <v>352801</v>
      </c>
      <c r="G3294">
        <v>441000</v>
      </c>
      <c r="H3294">
        <f t="shared" si="102"/>
        <v>8.000022675736961</v>
      </c>
      <c r="I3294">
        <f t="shared" si="103"/>
        <v>10</v>
      </c>
      <c r="J3294" t="s">
        <v>25</v>
      </c>
      <c r="K3294">
        <v>4</v>
      </c>
      <c r="L3294" t="e">
        <f t="array" ref="L3294">VLOOKUP(J3294:$J$3871&amp;K3294:$K$3871,CHOOSE({1,2},#REF!&amp;#REF!,#REF!),2,0)</f>
        <v>#N/A</v>
      </c>
      <c r="M3294">
        <v>0</v>
      </c>
      <c r="N3294">
        <v>1</v>
      </c>
      <c r="O3294" t="s">
        <v>23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1</v>
      </c>
      <c r="W3294">
        <v>1</v>
      </c>
      <c r="X3294">
        <v>1</v>
      </c>
      <c r="Y3294">
        <v>0</v>
      </c>
      <c r="Z3294">
        <v>0</v>
      </c>
      <c r="AA3294" t="s">
        <v>3640</v>
      </c>
      <c r="AB3294" t="s">
        <v>6390</v>
      </c>
      <c r="AC3294" t="s">
        <v>3640</v>
      </c>
      <c r="AD3294" t="e">
        <f>VLOOKUP(AB3294,#REF!,2,FALSE)</f>
        <v>#REF!</v>
      </c>
      <c r="AE3294" t="e">
        <f>RIGHT(#REF!,(FIND("Complex",#REF!,1)-7))</f>
        <v>#REF!</v>
      </c>
    </row>
    <row r="3295" spans="1:31" x14ac:dyDescent="0.25">
      <c r="A3295">
        <v>173</v>
      </c>
      <c r="B3295" t="s">
        <v>26</v>
      </c>
      <c r="C3295">
        <v>68</v>
      </c>
      <c r="D3295">
        <v>73</v>
      </c>
      <c r="E3295">
        <v>173</v>
      </c>
      <c r="F3295">
        <v>2028601</v>
      </c>
      <c r="G3295">
        <v>2116800</v>
      </c>
      <c r="H3295">
        <f t="shared" si="102"/>
        <v>46.000022675736965</v>
      </c>
      <c r="I3295">
        <f t="shared" si="103"/>
        <v>48</v>
      </c>
      <c r="J3295" t="s">
        <v>25</v>
      </c>
      <c r="K3295">
        <v>4</v>
      </c>
      <c r="L3295" t="e">
        <f t="array" ref="L3295">VLOOKUP(J3295:$J$3871&amp;K3295:$K$3871,CHOOSE({1,2},#REF!&amp;#REF!,#REF!),2,0)</f>
        <v>#N/A</v>
      </c>
      <c r="M3295">
        <v>0</v>
      </c>
      <c r="N3295">
        <v>1</v>
      </c>
      <c r="O3295" t="s">
        <v>23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1</v>
      </c>
      <c r="W3295">
        <v>1</v>
      </c>
      <c r="X3295">
        <v>1</v>
      </c>
      <c r="Y3295">
        <v>0</v>
      </c>
      <c r="Z3295">
        <v>0</v>
      </c>
      <c r="AA3295" t="s">
        <v>3901</v>
      </c>
      <c r="AB3295" t="s">
        <v>1541</v>
      </c>
      <c r="AC3295" t="s">
        <v>3901</v>
      </c>
      <c r="AD3295" t="e">
        <f>VLOOKUP(AB3295,#REF!,2,FALSE)</f>
        <v>#REF!</v>
      </c>
      <c r="AE3295" t="e">
        <f>RIGHT(#REF!,(FIND("Complex",#REF!,1)-5))</f>
        <v>#REF!</v>
      </c>
    </row>
    <row r="3296" spans="1:31" x14ac:dyDescent="0.25">
      <c r="A3296">
        <v>1011</v>
      </c>
      <c r="B3296" t="s">
        <v>26</v>
      </c>
      <c r="C3296">
        <v>68</v>
      </c>
      <c r="D3296">
        <v>447</v>
      </c>
      <c r="E3296">
        <v>1011</v>
      </c>
      <c r="F3296">
        <v>1940401</v>
      </c>
      <c r="G3296">
        <v>2028600</v>
      </c>
      <c r="H3296">
        <f t="shared" si="102"/>
        <v>44.000022675736965</v>
      </c>
      <c r="I3296">
        <f t="shared" si="103"/>
        <v>46</v>
      </c>
      <c r="J3296" t="s">
        <v>25</v>
      </c>
      <c r="K3296">
        <v>4</v>
      </c>
      <c r="L3296" t="e">
        <f t="array" ref="L3296">VLOOKUP(J3296:$J$3871&amp;K3296:$K$3871,CHOOSE({1,2},#REF!&amp;#REF!,#REF!),2,0)</f>
        <v>#N/A</v>
      </c>
      <c r="M3296">
        <v>0</v>
      </c>
      <c r="N3296">
        <v>1</v>
      </c>
      <c r="O3296" t="s">
        <v>23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1</v>
      </c>
      <c r="W3296">
        <v>1</v>
      </c>
      <c r="X3296">
        <v>1</v>
      </c>
      <c r="Y3296">
        <v>0</v>
      </c>
      <c r="Z3296">
        <v>0</v>
      </c>
      <c r="AA3296" t="s">
        <v>3911</v>
      </c>
      <c r="AB3296" t="s">
        <v>6544</v>
      </c>
      <c r="AC3296" t="s">
        <v>3911</v>
      </c>
      <c r="AD3296" t="e">
        <f>VLOOKUP(AB3296,#REF!,2,FALSE)</f>
        <v>#REF!</v>
      </c>
      <c r="AE3296" t="e">
        <f>RIGHT(#REF!,(FIND("Complex",#REF!,1)-6))</f>
        <v>#REF!</v>
      </c>
    </row>
    <row r="3297" spans="1:31" x14ac:dyDescent="0.25">
      <c r="A3297">
        <v>699</v>
      </c>
      <c r="B3297" t="s">
        <v>26</v>
      </c>
      <c r="C3297">
        <v>68</v>
      </c>
      <c r="D3297">
        <v>304</v>
      </c>
      <c r="E3297">
        <v>699</v>
      </c>
      <c r="F3297">
        <v>1852201</v>
      </c>
      <c r="G3297">
        <v>1940400</v>
      </c>
      <c r="H3297">
        <f t="shared" si="102"/>
        <v>42.000022675736965</v>
      </c>
      <c r="I3297">
        <f t="shared" si="103"/>
        <v>44</v>
      </c>
      <c r="J3297" t="s">
        <v>25</v>
      </c>
      <c r="K3297">
        <v>4</v>
      </c>
      <c r="L3297" t="e">
        <f t="array" ref="L3297">VLOOKUP(J3297:$J$3871&amp;K3297:$K$3871,CHOOSE({1,2},#REF!&amp;#REF!,#REF!),2,0)</f>
        <v>#N/A</v>
      </c>
      <c r="M3297">
        <v>0</v>
      </c>
      <c r="N3297">
        <v>1</v>
      </c>
      <c r="O3297" t="s">
        <v>23</v>
      </c>
      <c r="P3297">
        <v>0</v>
      </c>
      <c r="Q3297">
        <v>0</v>
      </c>
      <c r="R3297">
        <v>0</v>
      </c>
      <c r="S3297">
        <v>1</v>
      </c>
      <c r="T3297">
        <v>0</v>
      </c>
      <c r="U3297">
        <v>0</v>
      </c>
      <c r="V3297">
        <v>1</v>
      </c>
      <c r="W3297">
        <v>1</v>
      </c>
      <c r="X3297">
        <v>1</v>
      </c>
      <c r="Y3297">
        <v>0</v>
      </c>
      <c r="Z3297">
        <v>0</v>
      </c>
      <c r="AA3297" t="s">
        <v>3927</v>
      </c>
      <c r="AB3297" t="s">
        <v>6557</v>
      </c>
      <c r="AC3297" t="s">
        <v>3927</v>
      </c>
      <c r="AD3297" t="e">
        <f>VLOOKUP(AB3297,#REF!,2,FALSE)</f>
        <v>#REF!</v>
      </c>
      <c r="AE3297" t="e">
        <f>RIGHT(#REF!,(FIND("Complex",#REF!,1)-5))</f>
        <v>#REF!</v>
      </c>
    </row>
    <row r="3298" spans="1:31" x14ac:dyDescent="0.25">
      <c r="A3298">
        <v>441</v>
      </c>
      <c r="B3298" t="s">
        <v>26</v>
      </c>
      <c r="C3298">
        <v>68</v>
      </c>
      <c r="D3298">
        <v>185</v>
      </c>
      <c r="E3298">
        <v>441</v>
      </c>
      <c r="F3298">
        <v>1675801</v>
      </c>
      <c r="G3298">
        <v>1764000</v>
      </c>
      <c r="H3298">
        <f t="shared" si="102"/>
        <v>38.000022675736965</v>
      </c>
      <c r="I3298">
        <f t="shared" si="103"/>
        <v>40</v>
      </c>
      <c r="J3298" t="s">
        <v>25</v>
      </c>
      <c r="K3298">
        <v>4</v>
      </c>
      <c r="L3298" t="e">
        <f t="array" ref="L3298">VLOOKUP(J3298:$J$3871&amp;K3298:$K$3871,CHOOSE({1,2},#REF!&amp;#REF!,#REF!),2,0)</f>
        <v>#N/A</v>
      </c>
      <c r="M3298">
        <v>0</v>
      </c>
      <c r="N3298">
        <v>1</v>
      </c>
      <c r="O3298" t="s">
        <v>23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1</v>
      </c>
      <c r="W3298">
        <v>1</v>
      </c>
      <c r="X3298">
        <v>1</v>
      </c>
      <c r="Y3298">
        <v>0</v>
      </c>
      <c r="Z3298">
        <v>0</v>
      </c>
      <c r="AA3298" t="s">
        <v>3974</v>
      </c>
      <c r="AB3298" t="s">
        <v>6578</v>
      </c>
      <c r="AC3298" t="s">
        <v>3974</v>
      </c>
      <c r="AD3298" t="e">
        <f>VLOOKUP(AB3298,#REF!,2,FALSE)</f>
        <v>#REF!</v>
      </c>
      <c r="AE3298" t="e">
        <f>RIGHT(#REF!,(FIND("Complex",#REF!,1)-5))</f>
        <v>#REF!</v>
      </c>
    </row>
    <row r="3299" spans="1:31" x14ac:dyDescent="0.25">
      <c r="A3299">
        <v>1207</v>
      </c>
      <c r="B3299" t="s">
        <v>26</v>
      </c>
      <c r="C3299">
        <v>68</v>
      </c>
      <c r="D3299">
        <v>533</v>
      </c>
      <c r="E3299">
        <v>1207</v>
      </c>
      <c r="F3299">
        <v>1587601</v>
      </c>
      <c r="G3299">
        <v>1675800</v>
      </c>
      <c r="H3299">
        <f t="shared" si="102"/>
        <v>36.000022675736965</v>
      </c>
      <c r="I3299">
        <f t="shared" si="103"/>
        <v>38</v>
      </c>
      <c r="J3299" t="s">
        <v>25</v>
      </c>
      <c r="K3299">
        <v>4</v>
      </c>
      <c r="L3299" t="e">
        <f t="array" ref="L3299">VLOOKUP(J3299:$J$3871&amp;K3299:$K$3871,CHOOSE({1,2},#REF!&amp;#REF!,#REF!),2,0)</f>
        <v>#N/A</v>
      </c>
      <c r="M3299">
        <v>0</v>
      </c>
      <c r="N3299">
        <v>1</v>
      </c>
      <c r="O3299" t="s">
        <v>23</v>
      </c>
      <c r="P3299">
        <v>0</v>
      </c>
      <c r="Q3299">
        <v>0</v>
      </c>
      <c r="R3299">
        <v>0</v>
      </c>
      <c r="S3299">
        <v>1</v>
      </c>
      <c r="T3299">
        <v>0</v>
      </c>
      <c r="U3299">
        <v>0</v>
      </c>
      <c r="V3299">
        <v>1</v>
      </c>
      <c r="W3299">
        <v>1</v>
      </c>
      <c r="X3299">
        <v>1</v>
      </c>
      <c r="Y3299">
        <v>0</v>
      </c>
      <c r="Z3299">
        <v>0</v>
      </c>
      <c r="AA3299" t="s">
        <v>4000</v>
      </c>
      <c r="AB3299" t="s">
        <v>6596</v>
      </c>
      <c r="AC3299" t="s">
        <v>4000</v>
      </c>
      <c r="AD3299" t="e">
        <f>VLOOKUP(AB3299,#REF!,2,FALSE)</f>
        <v>#REF!</v>
      </c>
      <c r="AE3299" t="e">
        <f>RIGHT(#REF!,(FIND("Complex",#REF!,1)-6))</f>
        <v>#REF!</v>
      </c>
    </row>
    <row r="3300" spans="1:31" x14ac:dyDescent="0.25">
      <c r="A3300">
        <v>317</v>
      </c>
      <c r="B3300" t="s">
        <v>26</v>
      </c>
      <c r="C3300">
        <v>68</v>
      </c>
      <c r="D3300">
        <v>133</v>
      </c>
      <c r="E3300">
        <v>317</v>
      </c>
      <c r="F3300">
        <v>1499401</v>
      </c>
      <c r="G3300">
        <v>1587600</v>
      </c>
      <c r="H3300">
        <f t="shared" si="102"/>
        <v>34.000022675736965</v>
      </c>
      <c r="I3300">
        <f t="shared" si="103"/>
        <v>36</v>
      </c>
      <c r="J3300" t="s">
        <v>25</v>
      </c>
      <c r="K3300">
        <v>4</v>
      </c>
      <c r="L3300" t="e">
        <f t="array" ref="L3300">VLOOKUP(J3300:$J$3871&amp;K3300:$K$3871,CHOOSE({1,2},#REF!&amp;#REF!,#REF!),2,0)</f>
        <v>#N/A</v>
      </c>
      <c r="M3300">
        <v>0</v>
      </c>
      <c r="N3300">
        <v>1</v>
      </c>
      <c r="O3300" t="s">
        <v>23</v>
      </c>
      <c r="P3300">
        <v>0</v>
      </c>
      <c r="Q3300">
        <v>0</v>
      </c>
      <c r="R3300">
        <v>0</v>
      </c>
      <c r="S3300">
        <v>1</v>
      </c>
      <c r="T3300">
        <v>0</v>
      </c>
      <c r="U3300">
        <v>0</v>
      </c>
      <c r="V3300">
        <v>1</v>
      </c>
      <c r="W3300">
        <v>1</v>
      </c>
      <c r="X3300">
        <v>1</v>
      </c>
      <c r="Y3300">
        <v>0</v>
      </c>
      <c r="Z3300">
        <v>0</v>
      </c>
      <c r="AA3300" t="s">
        <v>4019</v>
      </c>
      <c r="AB3300" t="s">
        <v>6610</v>
      </c>
      <c r="AC3300" t="s">
        <v>4019</v>
      </c>
      <c r="AD3300" t="e">
        <f>VLOOKUP(AB3300,#REF!,2,FALSE)</f>
        <v>#REF!</v>
      </c>
      <c r="AE3300" t="e">
        <f>RIGHT(#REF!,(FIND("Complex",#REF!,1)-5))</f>
        <v>#REF!</v>
      </c>
    </row>
    <row r="3301" spans="1:31" x14ac:dyDescent="0.25">
      <c r="A3301">
        <v>550</v>
      </c>
      <c r="B3301" t="s">
        <v>26</v>
      </c>
      <c r="C3301">
        <v>68</v>
      </c>
      <c r="D3301">
        <v>233</v>
      </c>
      <c r="E3301">
        <v>550</v>
      </c>
      <c r="F3301">
        <v>1323001</v>
      </c>
      <c r="G3301">
        <v>1411200</v>
      </c>
      <c r="H3301">
        <f t="shared" si="102"/>
        <v>30.000022675736961</v>
      </c>
      <c r="I3301">
        <f t="shared" si="103"/>
        <v>32</v>
      </c>
      <c r="J3301" t="s">
        <v>25</v>
      </c>
      <c r="K3301">
        <v>4</v>
      </c>
      <c r="L3301" t="e">
        <f t="array" ref="L3301">VLOOKUP(J3301:$J$3871&amp;K3301:$K$3871,CHOOSE({1,2},#REF!&amp;#REF!,#REF!),2,0)</f>
        <v>#N/A</v>
      </c>
      <c r="M3301">
        <v>0</v>
      </c>
      <c r="N3301">
        <v>1</v>
      </c>
      <c r="O3301" t="s">
        <v>23</v>
      </c>
      <c r="P3301">
        <v>0</v>
      </c>
      <c r="Q3301">
        <v>0</v>
      </c>
      <c r="R3301">
        <v>0</v>
      </c>
      <c r="S3301">
        <v>1</v>
      </c>
      <c r="T3301">
        <v>0</v>
      </c>
      <c r="U3301">
        <v>0</v>
      </c>
      <c r="V3301">
        <v>1</v>
      </c>
      <c r="W3301">
        <v>1</v>
      </c>
      <c r="X3301">
        <v>1</v>
      </c>
      <c r="Y3301">
        <v>0</v>
      </c>
      <c r="Z3301">
        <v>0</v>
      </c>
      <c r="AA3301" t="s">
        <v>4063</v>
      </c>
      <c r="AB3301" t="s">
        <v>1542</v>
      </c>
      <c r="AC3301" t="s">
        <v>4063</v>
      </c>
      <c r="AD3301" t="e">
        <f>VLOOKUP(AB3301,#REF!,2,FALSE)</f>
        <v>#REF!</v>
      </c>
      <c r="AE3301" t="e">
        <f>RIGHT(#REF!,(FIND("Complex",#REF!,1)-5))</f>
        <v>#REF!</v>
      </c>
    </row>
    <row r="3302" spans="1:31" x14ac:dyDescent="0.25">
      <c r="A3302">
        <v>1821</v>
      </c>
      <c r="B3302" t="s">
        <v>26</v>
      </c>
      <c r="C3302">
        <v>68</v>
      </c>
      <c r="D3302">
        <v>792</v>
      </c>
      <c r="E3302">
        <v>1821</v>
      </c>
      <c r="F3302">
        <v>1234801</v>
      </c>
      <c r="G3302">
        <v>1323000</v>
      </c>
      <c r="H3302">
        <f t="shared" si="102"/>
        <v>28.000022675736961</v>
      </c>
      <c r="I3302">
        <f t="shared" si="103"/>
        <v>30</v>
      </c>
      <c r="J3302" t="s">
        <v>25</v>
      </c>
      <c r="K3302">
        <v>4</v>
      </c>
      <c r="L3302" t="e">
        <f t="array" ref="L3302">VLOOKUP(J3302:$J$3871&amp;K3302:$K$3871,CHOOSE({1,2},#REF!&amp;#REF!,#REF!),2,0)</f>
        <v>#N/A</v>
      </c>
      <c r="M3302">
        <v>0</v>
      </c>
      <c r="N3302">
        <v>1</v>
      </c>
      <c r="O3302" t="s">
        <v>23</v>
      </c>
      <c r="P3302">
        <v>0</v>
      </c>
      <c r="Q3302">
        <v>0</v>
      </c>
      <c r="R3302">
        <v>0</v>
      </c>
      <c r="S3302">
        <v>1</v>
      </c>
      <c r="T3302">
        <v>0</v>
      </c>
      <c r="U3302">
        <v>0</v>
      </c>
      <c r="V3302">
        <v>1</v>
      </c>
      <c r="W3302">
        <v>1</v>
      </c>
      <c r="X3302">
        <v>1</v>
      </c>
      <c r="Y3302">
        <v>0</v>
      </c>
      <c r="Z3302">
        <v>0</v>
      </c>
      <c r="AA3302" t="s">
        <v>4101</v>
      </c>
      <c r="AB3302" t="s">
        <v>6665</v>
      </c>
      <c r="AC3302" t="s">
        <v>4101</v>
      </c>
      <c r="AD3302" t="e">
        <f>VLOOKUP(AB3302,#REF!,2,FALSE)</f>
        <v>#REF!</v>
      </c>
      <c r="AE3302" t="e">
        <f>RIGHT(#REF!,(FIND("Complex",#REF!,1)-6))</f>
        <v>#REF!</v>
      </c>
    </row>
    <row r="3303" spans="1:31" x14ac:dyDescent="0.25">
      <c r="A3303">
        <v>46</v>
      </c>
      <c r="B3303" t="s">
        <v>26</v>
      </c>
      <c r="C3303">
        <v>68</v>
      </c>
      <c r="D3303">
        <v>23</v>
      </c>
      <c r="E3303">
        <v>46</v>
      </c>
      <c r="F3303">
        <v>970201</v>
      </c>
      <c r="G3303">
        <v>1058400</v>
      </c>
      <c r="H3303">
        <f t="shared" si="102"/>
        <v>22.000022675736961</v>
      </c>
      <c r="I3303">
        <f t="shared" si="103"/>
        <v>24</v>
      </c>
      <c r="J3303" t="s">
        <v>25</v>
      </c>
      <c r="K3303">
        <v>4</v>
      </c>
      <c r="L3303" t="e">
        <f t="array" ref="L3303">VLOOKUP(J3303:$J$3871&amp;K3303:$K$3871,CHOOSE({1,2},#REF!&amp;#REF!,#REF!),2,0)</f>
        <v>#N/A</v>
      </c>
      <c r="M3303">
        <v>0</v>
      </c>
      <c r="N3303">
        <v>1</v>
      </c>
      <c r="O3303" t="s">
        <v>23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1</v>
      </c>
      <c r="W3303">
        <v>1</v>
      </c>
      <c r="X3303">
        <v>1</v>
      </c>
      <c r="Y3303">
        <v>0</v>
      </c>
      <c r="Z3303">
        <v>0</v>
      </c>
      <c r="AA3303" t="s">
        <v>4242</v>
      </c>
      <c r="AB3303" t="s">
        <v>6767</v>
      </c>
      <c r="AC3303" t="s">
        <v>4242</v>
      </c>
      <c r="AD3303" t="e">
        <f>VLOOKUP(AB3303,#REF!,2,FALSE)</f>
        <v>#REF!</v>
      </c>
      <c r="AE3303" t="e">
        <f>RIGHT(#REF!,(FIND("Complex",#REF!,1)-4))</f>
        <v>#REF!</v>
      </c>
    </row>
    <row r="3304" spans="1:31" x14ac:dyDescent="0.25">
      <c r="A3304">
        <v>1555</v>
      </c>
      <c r="B3304" t="s">
        <v>26</v>
      </c>
      <c r="C3304">
        <v>68</v>
      </c>
      <c r="D3304">
        <v>678</v>
      </c>
      <c r="E3304">
        <v>1555</v>
      </c>
      <c r="F3304">
        <v>882001</v>
      </c>
      <c r="G3304">
        <v>970200</v>
      </c>
      <c r="H3304">
        <f t="shared" si="102"/>
        <v>20.000022675736961</v>
      </c>
      <c r="I3304">
        <f t="shared" si="103"/>
        <v>22</v>
      </c>
      <c r="J3304" t="s">
        <v>25</v>
      </c>
      <c r="K3304">
        <v>4</v>
      </c>
      <c r="L3304" t="e">
        <f t="array" ref="L3304">VLOOKUP(J3304:$J$3871&amp;K3304:$K$3871,CHOOSE({1,2},#REF!&amp;#REF!,#REF!),2,0)</f>
        <v>#N/A</v>
      </c>
      <c r="M3304">
        <v>0</v>
      </c>
      <c r="N3304">
        <v>1</v>
      </c>
      <c r="O3304" t="s">
        <v>23</v>
      </c>
      <c r="P3304">
        <v>0</v>
      </c>
      <c r="Q3304">
        <v>0</v>
      </c>
      <c r="R3304">
        <v>0</v>
      </c>
      <c r="S3304">
        <v>1</v>
      </c>
      <c r="T3304">
        <v>0</v>
      </c>
      <c r="U3304">
        <v>0</v>
      </c>
      <c r="V3304">
        <v>1</v>
      </c>
      <c r="W3304">
        <v>1</v>
      </c>
      <c r="X3304">
        <v>1</v>
      </c>
      <c r="Y3304">
        <v>0</v>
      </c>
      <c r="Z3304">
        <v>0</v>
      </c>
      <c r="AA3304" t="s">
        <v>4308</v>
      </c>
      <c r="AB3304" t="s">
        <v>6806</v>
      </c>
      <c r="AC3304" t="s">
        <v>4308</v>
      </c>
      <c r="AD3304" t="e">
        <f>VLOOKUP(AB3304,#REF!,2,FALSE)</f>
        <v>#REF!</v>
      </c>
      <c r="AE3304" t="e">
        <f>RIGHT(#REF!,(FIND("Complex",#REF!,1)-6))</f>
        <v>#REF!</v>
      </c>
    </row>
    <row r="3305" spans="1:31" x14ac:dyDescent="0.25">
      <c r="A3305">
        <v>1848</v>
      </c>
      <c r="B3305" t="s">
        <v>26</v>
      </c>
      <c r="C3305">
        <v>68</v>
      </c>
      <c r="D3305">
        <v>805</v>
      </c>
      <c r="E3305">
        <v>1848</v>
      </c>
      <c r="F3305">
        <v>793801</v>
      </c>
      <c r="G3305">
        <v>882000</v>
      </c>
      <c r="H3305">
        <f t="shared" si="102"/>
        <v>18.000022675736961</v>
      </c>
      <c r="I3305">
        <f t="shared" si="103"/>
        <v>20</v>
      </c>
      <c r="J3305" t="s">
        <v>25</v>
      </c>
      <c r="K3305">
        <v>4</v>
      </c>
      <c r="L3305" t="e">
        <f t="array" ref="L3305">VLOOKUP(J3305:$J$3871&amp;K3305:$K$3871,CHOOSE({1,2},#REF!&amp;#REF!,#REF!),2,0)</f>
        <v>#N/A</v>
      </c>
      <c r="M3305">
        <v>0</v>
      </c>
      <c r="N3305">
        <v>1</v>
      </c>
      <c r="O3305" t="s">
        <v>23</v>
      </c>
      <c r="P3305">
        <v>0</v>
      </c>
      <c r="Q3305">
        <v>0</v>
      </c>
      <c r="R3305">
        <v>0</v>
      </c>
      <c r="S3305">
        <v>1</v>
      </c>
      <c r="T3305">
        <v>0</v>
      </c>
      <c r="U3305">
        <v>0</v>
      </c>
      <c r="V3305">
        <v>1</v>
      </c>
      <c r="W3305">
        <v>1</v>
      </c>
      <c r="X3305">
        <v>1</v>
      </c>
      <c r="Y3305">
        <v>0</v>
      </c>
      <c r="Z3305">
        <v>0</v>
      </c>
      <c r="AA3305" t="s">
        <v>4410</v>
      </c>
      <c r="AB3305" t="s">
        <v>6865</v>
      </c>
      <c r="AC3305" t="s">
        <v>4410</v>
      </c>
      <c r="AD3305" t="e">
        <f>VLOOKUP(AB3305,#REF!,2,FALSE)</f>
        <v>#REF!</v>
      </c>
      <c r="AE3305" t="e">
        <f>RIGHT(#REF!,(FIND("Complex",#REF!,1)-6))</f>
        <v>#REF!</v>
      </c>
    </row>
    <row r="3306" spans="1:31" x14ac:dyDescent="0.25">
      <c r="A3306">
        <v>1950</v>
      </c>
      <c r="B3306" t="s">
        <v>26</v>
      </c>
      <c r="C3306">
        <v>68</v>
      </c>
      <c r="D3306">
        <v>841</v>
      </c>
      <c r="E3306">
        <v>1950</v>
      </c>
      <c r="F3306">
        <v>529201</v>
      </c>
      <c r="G3306">
        <v>617400</v>
      </c>
      <c r="H3306">
        <f t="shared" si="102"/>
        <v>12.000022675736961</v>
      </c>
      <c r="I3306">
        <f t="shared" si="103"/>
        <v>14</v>
      </c>
      <c r="J3306" t="s">
        <v>25</v>
      </c>
      <c r="K3306">
        <v>4</v>
      </c>
      <c r="L3306" t="e">
        <f t="array" ref="L3306">VLOOKUP(J3306:$J$3871&amp;K3306:$K$3871,CHOOSE({1,2},#REF!&amp;#REF!,#REF!),2,0)</f>
        <v>#N/A</v>
      </c>
      <c r="M3306">
        <v>0</v>
      </c>
      <c r="N3306">
        <v>1</v>
      </c>
      <c r="O3306" t="s">
        <v>23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1</v>
      </c>
      <c r="W3306">
        <v>1</v>
      </c>
      <c r="X3306">
        <v>1</v>
      </c>
      <c r="Y3306">
        <v>0</v>
      </c>
      <c r="Z3306">
        <v>0</v>
      </c>
      <c r="AA3306" t="s">
        <v>4732</v>
      </c>
      <c r="AB3306" t="s">
        <v>1543</v>
      </c>
      <c r="AC3306" t="s">
        <v>4732</v>
      </c>
      <c r="AD3306" t="e">
        <f>VLOOKUP(AB3306,#REF!,2,FALSE)</f>
        <v>#REF!</v>
      </c>
      <c r="AE3306" t="e">
        <f>RIGHT(#REF!,(FIND("Complex",#REF!,1)-6))</f>
        <v>#REF!</v>
      </c>
    </row>
    <row r="3307" spans="1:31" x14ac:dyDescent="0.25">
      <c r="A3307">
        <v>1111</v>
      </c>
      <c r="B3307" t="s">
        <v>26</v>
      </c>
      <c r="C3307">
        <v>68</v>
      </c>
      <c r="D3307">
        <v>495</v>
      </c>
      <c r="E3307">
        <v>1111</v>
      </c>
      <c r="F3307">
        <v>441001</v>
      </c>
      <c r="G3307">
        <v>529200</v>
      </c>
      <c r="H3307">
        <f t="shared" si="102"/>
        <v>10.000022675736961</v>
      </c>
      <c r="I3307">
        <f t="shared" si="103"/>
        <v>12</v>
      </c>
      <c r="J3307" t="s">
        <v>25</v>
      </c>
      <c r="K3307">
        <v>4</v>
      </c>
      <c r="L3307" t="e">
        <f t="array" ref="L3307">VLOOKUP(J3307:$J$3871&amp;K3307:$K$3871,CHOOSE({1,2},#REF!&amp;#REF!,#REF!),2,0)</f>
        <v>#N/A</v>
      </c>
      <c r="M3307">
        <v>0</v>
      </c>
      <c r="N3307">
        <v>1</v>
      </c>
      <c r="O3307" t="s">
        <v>23</v>
      </c>
      <c r="P3307">
        <v>0</v>
      </c>
      <c r="Q3307">
        <v>0</v>
      </c>
      <c r="R3307">
        <v>0</v>
      </c>
      <c r="S3307">
        <v>1</v>
      </c>
      <c r="T3307">
        <v>0</v>
      </c>
      <c r="U3307">
        <v>0</v>
      </c>
      <c r="V3307">
        <v>1</v>
      </c>
      <c r="W3307">
        <v>1</v>
      </c>
      <c r="X3307">
        <v>1</v>
      </c>
      <c r="Y3307">
        <v>0</v>
      </c>
      <c r="Z3307">
        <v>0</v>
      </c>
      <c r="AA3307" t="s">
        <v>4859</v>
      </c>
      <c r="AB3307" t="s">
        <v>1544</v>
      </c>
      <c r="AC3307" t="s">
        <v>4859</v>
      </c>
      <c r="AD3307" t="e">
        <f>VLOOKUP(AB3307,#REF!,2,FALSE)</f>
        <v>#REF!</v>
      </c>
      <c r="AE3307" t="e">
        <f>RIGHT(#REF!,(FIND("Complex",#REF!,1)-6))</f>
        <v>#REF!</v>
      </c>
    </row>
    <row r="3308" spans="1:31" x14ac:dyDescent="0.25">
      <c r="A3308">
        <v>697</v>
      </c>
      <c r="B3308" t="s">
        <v>261</v>
      </c>
      <c r="C3308">
        <v>69</v>
      </c>
      <c r="D3308">
        <v>303</v>
      </c>
      <c r="E3308">
        <v>697</v>
      </c>
      <c r="F3308">
        <v>4321801</v>
      </c>
      <c r="G3308">
        <v>4410000</v>
      </c>
      <c r="H3308">
        <f t="shared" si="102"/>
        <v>98.000022675736957</v>
      </c>
      <c r="I3308">
        <f t="shared" si="103"/>
        <v>100</v>
      </c>
      <c r="J3308" t="s">
        <v>25</v>
      </c>
      <c r="K3308">
        <v>4</v>
      </c>
      <c r="L3308" t="e">
        <f t="array" ref="L3308">VLOOKUP(J3308:$J$3871&amp;K3308:$K$3871,CHOOSE({1,2},#REF!&amp;#REF!,#REF!),2,0)</f>
        <v>#N/A</v>
      </c>
      <c r="M3308">
        <v>0</v>
      </c>
      <c r="N3308">
        <v>1</v>
      </c>
      <c r="O3308" t="s">
        <v>23</v>
      </c>
      <c r="P3308">
        <v>0</v>
      </c>
      <c r="Q3308">
        <v>0</v>
      </c>
      <c r="R3308">
        <v>0</v>
      </c>
      <c r="S3308">
        <v>1</v>
      </c>
      <c r="T3308">
        <v>0</v>
      </c>
      <c r="U3308">
        <v>0</v>
      </c>
      <c r="V3308">
        <v>1</v>
      </c>
      <c r="W3308">
        <v>1</v>
      </c>
      <c r="X3308">
        <v>1</v>
      </c>
      <c r="Y3308">
        <v>0</v>
      </c>
      <c r="Z3308">
        <v>0</v>
      </c>
      <c r="AA3308" t="s">
        <v>3502</v>
      </c>
      <c r="AB3308" t="s">
        <v>6317</v>
      </c>
      <c r="AC3308" t="s">
        <v>3502</v>
      </c>
      <c r="AD3308" t="e">
        <f>VLOOKUP(AB3308,#REF!,2,FALSE)</f>
        <v>#REF!</v>
      </c>
      <c r="AE3308" t="e">
        <f>RIGHT(#REF!,(FIND("Complex",#REF!,1)-5))</f>
        <v>#REF!</v>
      </c>
    </row>
    <row r="3309" spans="1:31" x14ac:dyDescent="0.25">
      <c r="A3309">
        <v>370</v>
      </c>
      <c r="B3309" t="s">
        <v>261</v>
      </c>
      <c r="C3309">
        <v>69</v>
      </c>
      <c r="D3309">
        <v>155</v>
      </c>
      <c r="E3309">
        <v>370</v>
      </c>
      <c r="F3309">
        <v>3969001</v>
      </c>
      <c r="G3309">
        <v>4057200</v>
      </c>
      <c r="H3309">
        <f t="shared" si="102"/>
        <v>90.000022675736957</v>
      </c>
      <c r="I3309">
        <f t="shared" si="103"/>
        <v>92</v>
      </c>
      <c r="J3309" t="s">
        <v>25</v>
      </c>
      <c r="K3309">
        <v>4</v>
      </c>
      <c r="L3309" t="e">
        <f t="array" ref="L3309">VLOOKUP(J3309:$J$3871&amp;K3309:$K$3871,CHOOSE({1,2},#REF!&amp;#REF!,#REF!),2,0)</f>
        <v>#N/A</v>
      </c>
      <c r="M3309">
        <v>0</v>
      </c>
      <c r="N3309">
        <v>1</v>
      </c>
      <c r="O3309" t="s">
        <v>23</v>
      </c>
      <c r="P3309">
        <v>0</v>
      </c>
      <c r="Q3309">
        <v>0</v>
      </c>
      <c r="R3309">
        <v>0</v>
      </c>
      <c r="S3309">
        <v>1</v>
      </c>
      <c r="T3309">
        <v>0</v>
      </c>
      <c r="U3309">
        <v>0</v>
      </c>
      <c r="V3309">
        <v>1</v>
      </c>
      <c r="W3309">
        <v>1</v>
      </c>
      <c r="X3309">
        <v>1</v>
      </c>
      <c r="Y3309">
        <v>0</v>
      </c>
      <c r="Z3309">
        <v>0</v>
      </c>
      <c r="AA3309" t="s">
        <v>3551</v>
      </c>
      <c r="AB3309" t="s">
        <v>6340</v>
      </c>
      <c r="AC3309" t="s">
        <v>3551</v>
      </c>
      <c r="AD3309" t="e">
        <f>VLOOKUP(AB3309,#REF!,2,FALSE)</f>
        <v>#REF!</v>
      </c>
      <c r="AE3309" t="e">
        <f>RIGHT(#REF!,(FIND("Complex",#REF!,1)-5))</f>
        <v>#REF!</v>
      </c>
    </row>
    <row r="3310" spans="1:31" x14ac:dyDescent="0.25">
      <c r="A3310">
        <v>1039</v>
      </c>
      <c r="B3310" t="s">
        <v>261</v>
      </c>
      <c r="C3310">
        <v>69</v>
      </c>
      <c r="D3310">
        <v>459</v>
      </c>
      <c r="E3310">
        <v>1039</v>
      </c>
      <c r="F3310">
        <v>3704401</v>
      </c>
      <c r="G3310">
        <v>3792600</v>
      </c>
      <c r="H3310">
        <f t="shared" si="102"/>
        <v>84.000022675736957</v>
      </c>
      <c r="I3310">
        <f t="shared" si="103"/>
        <v>86</v>
      </c>
      <c r="J3310" t="s">
        <v>25</v>
      </c>
      <c r="K3310">
        <v>4</v>
      </c>
      <c r="L3310" t="e">
        <f t="array" ref="L3310">VLOOKUP(J3310:$J$3871&amp;K3310:$K$3871,CHOOSE({1,2},#REF!&amp;#REF!,#REF!),2,0)</f>
        <v>#N/A</v>
      </c>
      <c r="M3310">
        <v>0</v>
      </c>
      <c r="N3310">
        <v>1</v>
      </c>
      <c r="O3310" t="s">
        <v>23</v>
      </c>
      <c r="P3310">
        <v>0</v>
      </c>
      <c r="Q3310">
        <v>0</v>
      </c>
      <c r="R3310">
        <v>0</v>
      </c>
      <c r="S3310">
        <v>1</v>
      </c>
      <c r="T3310">
        <v>0</v>
      </c>
      <c r="U3310">
        <v>0</v>
      </c>
      <c r="V3310">
        <v>1</v>
      </c>
      <c r="W3310">
        <v>1</v>
      </c>
      <c r="X3310">
        <v>1</v>
      </c>
      <c r="Y3310">
        <v>0</v>
      </c>
      <c r="Z3310">
        <v>0</v>
      </c>
      <c r="AA3310" t="s">
        <v>3593</v>
      </c>
      <c r="AB3310" t="s">
        <v>6363</v>
      </c>
      <c r="AC3310" t="s">
        <v>3593</v>
      </c>
      <c r="AD3310" t="e">
        <f>VLOOKUP(AB3310,#REF!,2,FALSE)</f>
        <v>#REF!</v>
      </c>
      <c r="AE3310" t="e">
        <f>RIGHT(#REF!,(FIND("Complex",#REF!,1)-6))</f>
        <v>#REF!</v>
      </c>
    </row>
    <row r="3311" spans="1:31" x14ac:dyDescent="0.25">
      <c r="A3311">
        <v>149</v>
      </c>
      <c r="B3311" t="s">
        <v>261</v>
      </c>
      <c r="C3311">
        <v>69</v>
      </c>
      <c r="D3311">
        <v>66</v>
      </c>
      <c r="E3311">
        <v>149</v>
      </c>
      <c r="F3311">
        <v>3616201</v>
      </c>
      <c r="G3311">
        <v>3704400</v>
      </c>
      <c r="H3311">
        <f t="shared" si="102"/>
        <v>82.000022675736957</v>
      </c>
      <c r="I3311">
        <f t="shared" si="103"/>
        <v>84</v>
      </c>
      <c r="J3311" t="s">
        <v>25</v>
      </c>
      <c r="K3311">
        <v>4</v>
      </c>
      <c r="L3311" t="e">
        <f t="array" ref="L3311">VLOOKUP(J3311:$J$3871&amp;K3311:$K$3871,CHOOSE({1,2},#REF!&amp;#REF!,#REF!),2,0)</f>
        <v>#N/A</v>
      </c>
      <c r="M3311">
        <v>0</v>
      </c>
      <c r="N3311">
        <v>1</v>
      </c>
      <c r="O3311" t="s">
        <v>23</v>
      </c>
      <c r="P3311">
        <v>0</v>
      </c>
      <c r="Q3311">
        <v>0</v>
      </c>
      <c r="R3311">
        <v>0</v>
      </c>
      <c r="S3311">
        <v>1</v>
      </c>
      <c r="T3311">
        <v>0</v>
      </c>
      <c r="U3311">
        <v>0</v>
      </c>
      <c r="V3311">
        <v>1</v>
      </c>
      <c r="W3311">
        <v>1</v>
      </c>
      <c r="X3311">
        <v>1</v>
      </c>
      <c r="Y3311">
        <v>0</v>
      </c>
      <c r="Z3311">
        <v>0</v>
      </c>
      <c r="AA3311" t="s">
        <v>3605</v>
      </c>
      <c r="AB3311" t="s">
        <v>1549</v>
      </c>
      <c r="AC3311" t="s">
        <v>3605</v>
      </c>
      <c r="AD3311" t="e">
        <f>VLOOKUP(AB3311,#REF!,2,FALSE)</f>
        <v>#REF!</v>
      </c>
      <c r="AE3311" t="e">
        <f>RIGHT(#REF!,(FIND("Complex",#REF!,1)-5))</f>
        <v>#REF!</v>
      </c>
    </row>
    <row r="3312" spans="1:31" x14ac:dyDescent="0.25">
      <c r="A3312">
        <v>1308</v>
      </c>
      <c r="B3312" t="s">
        <v>261</v>
      </c>
      <c r="C3312">
        <v>69</v>
      </c>
      <c r="D3312">
        <v>567</v>
      </c>
      <c r="E3312">
        <v>1308</v>
      </c>
      <c r="F3312">
        <v>3351601</v>
      </c>
      <c r="G3312">
        <v>3439800</v>
      </c>
      <c r="H3312">
        <f t="shared" si="102"/>
        <v>76.000022675736957</v>
      </c>
      <c r="I3312">
        <f t="shared" si="103"/>
        <v>78</v>
      </c>
      <c r="J3312" t="s">
        <v>25</v>
      </c>
      <c r="K3312">
        <v>4</v>
      </c>
      <c r="L3312" t="e">
        <f t="array" ref="L3312">VLOOKUP(J3312:$J$3871&amp;K3312:$K$3871,CHOOSE({1,2},#REF!&amp;#REF!,#REF!),2,0)</f>
        <v>#N/A</v>
      </c>
      <c r="M3312">
        <v>0</v>
      </c>
      <c r="N3312">
        <v>1</v>
      </c>
      <c r="O3312" t="s">
        <v>23</v>
      </c>
      <c r="P3312">
        <v>0</v>
      </c>
      <c r="Q3312">
        <v>0</v>
      </c>
      <c r="R3312">
        <v>0</v>
      </c>
      <c r="S3312">
        <v>1</v>
      </c>
      <c r="T3312">
        <v>0</v>
      </c>
      <c r="U3312">
        <v>0</v>
      </c>
      <c r="V3312">
        <v>1</v>
      </c>
      <c r="W3312">
        <v>1</v>
      </c>
      <c r="X3312">
        <v>1</v>
      </c>
      <c r="Y3312">
        <v>0</v>
      </c>
      <c r="Z3312">
        <v>0</v>
      </c>
      <c r="AA3312" t="s">
        <v>3663</v>
      </c>
      <c r="AB3312" t="s">
        <v>6402</v>
      </c>
      <c r="AC3312" t="s">
        <v>3663</v>
      </c>
      <c r="AD3312" t="e">
        <f>VLOOKUP(AB3312,#REF!,2,FALSE)</f>
        <v>#REF!</v>
      </c>
      <c r="AE3312" t="e">
        <f>RIGHT(#REF!,(FIND("Complex",#REF!,1)-6))</f>
        <v>#REF!</v>
      </c>
    </row>
    <row r="3313" spans="1:31" x14ac:dyDescent="0.25">
      <c r="A3313">
        <v>1380</v>
      </c>
      <c r="B3313" t="s">
        <v>261</v>
      </c>
      <c r="C3313">
        <v>69</v>
      </c>
      <c r="D3313">
        <v>604</v>
      </c>
      <c r="E3313">
        <v>1380</v>
      </c>
      <c r="F3313">
        <v>3175201</v>
      </c>
      <c r="G3313">
        <v>3263400</v>
      </c>
      <c r="H3313">
        <f t="shared" si="102"/>
        <v>72.000022675736957</v>
      </c>
      <c r="I3313">
        <f t="shared" si="103"/>
        <v>74</v>
      </c>
      <c r="J3313" t="s">
        <v>25</v>
      </c>
      <c r="K3313">
        <v>4</v>
      </c>
      <c r="L3313" t="e">
        <f t="array" ref="L3313">VLOOKUP(J3313:$J$3871&amp;K3313:$K$3871,CHOOSE({1,2},#REF!&amp;#REF!,#REF!),2,0)</f>
        <v>#N/A</v>
      </c>
      <c r="M3313">
        <v>0</v>
      </c>
      <c r="N3313">
        <v>1</v>
      </c>
      <c r="O3313" t="s">
        <v>23</v>
      </c>
      <c r="P3313">
        <v>0</v>
      </c>
      <c r="Q3313">
        <v>0</v>
      </c>
      <c r="R3313">
        <v>0</v>
      </c>
      <c r="S3313">
        <v>1</v>
      </c>
      <c r="T3313">
        <v>0</v>
      </c>
      <c r="U3313">
        <v>0</v>
      </c>
      <c r="V3313">
        <v>1</v>
      </c>
      <c r="W3313">
        <v>1</v>
      </c>
      <c r="X3313">
        <v>1</v>
      </c>
      <c r="Y3313">
        <v>0</v>
      </c>
      <c r="Z3313">
        <v>0</v>
      </c>
      <c r="AA3313" t="s">
        <v>3689</v>
      </c>
      <c r="AB3313" t="s">
        <v>1550</v>
      </c>
      <c r="AC3313" t="s">
        <v>3689</v>
      </c>
      <c r="AD3313" t="e">
        <f>VLOOKUP(AB3313,#REF!,2,FALSE)</f>
        <v>#REF!</v>
      </c>
      <c r="AE3313" t="e">
        <f>RIGHT(#REF!,(FIND("Complex",#REF!,1)-6))</f>
        <v>#REF!</v>
      </c>
    </row>
    <row r="3314" spans="1:31" x14ac:dyDescent="0.25">
      <c r="A3314">
        <v>1705</v>
      </c>
      <c r="B3314" t="s">
        <v>261</v>
      </c>
      <c r="C3314">
        <v>69</v>
      </c>
      <c r="D3314">
        <v>745</v>
      </c>
      <c r="E3314">
        <v>1705</v>
      </c>
      <c r="F3314">
        <v>2998801</v>
      </c>
      <c r="G3314">
        <v>3087000</v>
      </c>
      <c r="H3314">
        <f t="shared" si="102"/>
        <v>68.000022675736957</v>
      </c>
      <c r="I3314">
        <f t="shared" si="103"/>
        <v>70</v>
      </c>
      <c r="J3314" t="s">
        <v>25</v>
      </c>
      <c r="K3314">
        <v>4</v>
      </c>
      <c r="L3314" t="e">
        <f t="array" ref="L3314">VLOOKUP(J3314:$J$3871&amp;K3314:$K$3871,CHOOSE({1,2},#REF!&amp;#REF!,#REF!),2,0)</f>
        <v>#N/A</v>
      </c>
      <c r="M3314">
        <v>0</v>
      </c>
      <c r="N3314">
        <v>1</v>
      </c>
      <c r="O3314" t="s">
        <v>23</v>
      </c>
      <c r="P3314">
        <v>0</v>
      </c>
      <c r="Q3314">
        <v>0</v>
      </c>
      <c r="R3314">
        <v>0</v>
      </c>
      <c r="S3314">
        <v>1</v>
      </c>
      <c r="T3314">
        <v>0</v>
      </c>
      <c r="U3314">
        <v>0</v>
      </c>
      <c r="V3314">
        <v>1</v>
      </c>
      <c r="W3314">
        <v>1</v>
      </c>
      <c r="X3314">
        <v>1</v>
      </c>
      <c r="Y3314">
        <v>0</v>
      </c>
      <c r="Z3314">
        <v>0</v>
      </c>
      <c r="AA3314" t="s">
        <v>3721</v>
      </c>
      <c r="AB3314" t="s">
        <v>6433</v>
      </c>
      <c r="AC3314" t="s">
        <v>3721</v>
      </c>
      <c r="AD3314" t="e">
        <f>VLOOKUP(AB3314,#REF!,2,FALSE)</f>
        <v>#REF!</v>
      </c>
      <c r="AE3314" t="e">
        <f>RIGHT(#REF!,(FIND("Complex",#REF!,1)-6))</f>
        <v>#REF!</v>
      </c>
    </row>
    <row r="3315" spans="1:31" x14ac:dyDescent="0.25">
      <c r="A3315">
        <v>89</v>
      </c>
      <c r="B3315" t="s">
        <v>261</v>
      </c>
      <c r="C3315">
        <v>69</v>
      </c>
      <c r="D3315">
        <v>43</v>
      </c>
      <c r="E3315">
        <v>89</v>
      </c>
      <c r="F3315">
        <v>2822401</v>
      </c>
      <c r="G3315">
        <v>2910600</v>
      </c>
      <c r="H3315">
        <f t="shared" si="102"/>
        <v>64.000022675736957</v>
      </c>
      <c r="I3315">
        <f t="shared" si="103"/>
        <v>66</v>
      </c>
      <c r="J3315" t="s">
        <v>25</v>
      </c>
      <c r="K3315">
        <v>4</v>
      </c>
      <c r="L3315" t="e">
        <f t="array" ref="L3315">VLOOKUP(J3315:$J$3871&amp;K3315:$K$3871,CHOOSE({1,2},#REF!&amp;#REF!,#REF!),2,0)</f>
        <v>#N/A</v>
      </c>
      <c r="M3315">
        <v>0</v>
      </c>
      <c r="N3315">
        <v>1</v>
      </c>
      <c r="O3315" t="s">
        <v>23</v>
      </c>
      <c r="P3315">
        <v>0</v>
      </c>
      <c r="Q3315">
        <v>0</v>
      </c>
      <c r="R3315">
        <v>0</v>
      </c>
      <c r="S3315">
        <v>1</v>
      </c>
      <c r="T3315">
        <v>0</v>
      </c>
      <c r="U3315">
        <v>0</v>
      </c>
      <c r="V3315">
        <v>1</v>
      </c>
      <c r="W3315">
        <v>1</v>
      </c>
      <c r="X3315">
        <v>1</v>
      </c>
      <c r="Y3315">
        <v>0</v>
      </c>
      <c r="Z3315">
        <v>0</v>
      </c>
      <c r="AA3315" t="s">
        <v>3745</v>
      </c>
      <c r="AB3315" t="s">
        <v>6445</v>
      </c>
      <c r="AC3315" t="s">
        <v>3745</v>
      </c>
      <c r="AD3315" t="e">
        <f>VLOOKUP(AB3315,#REF!,2,FALSE)</f>
        <v>#REF!</v>
      </c>
      <c r="AE3315" t="e">
        <f>RIGHT(#REF!,(FIND("Complex",#REF!,1)-4))</f>
        <v>#REF!</v>
      </c>
    </row>
    <row r="3316" spans="1:31" x14ac:dyDescent="0.25">
      <c r="A3316">
        <v>916</v>
      </c>
      <c r="B3316" t="s">
        <v>261</v>
      </c>
      <c r="C3316">
        <v>69</v>
      </c>
      <c r="D3316">
        <v>403</v>
      </c>
      <c r="E3316">
        <v>916</v>
      </c>
      <c r="F3316">
        <v>1323001</v>
      </c>
      <c r="G3316">
        <v>1411200</v>
      </c>
      <c r="H3316">
        <f t="shared" si="102"/>
        <v>30.000022675736961</v>
      </c>
      <c r="I3316">
        <f t="shared" si="103"/>
        <v>32</v>
      </c>
      <c r="J3316" t="s">
        <v>25</v>
      </c>
      <c r="K3316">
        <v>4</v>
      </c>
      <c r="L3316" t="e">
        <f t="array" ref="L3316">VLOOKUP(J3316:$J$3871&amp;K3316:$K$3871,CHOOSE({1,2},#REF!&amp;#REF!,#REF!),2,0)</f>
        <v>#N/A</v>
      </c>
      <c r="M3316">
        <v>0</v>
      </c>
      <c r="N3316">
        <v>1</v>
      </c>
      <c r="O3316" t="s">
        <v>23</v>
      </c>
      <c r="P3316">
        <v>0</v>
      </c>
      <c r="Q3316">
        <v>0</v>
      </c>
      <c r="R3316">
        <v>0</v>
      </c>
      <c r="S3316">
        <v>1</v>
      </c>
      <c r="T3316">
        <v>0</v>
      </c>
      <c r="U3316">
        <v>0</v>
      </c>
      <c r="V3316">
        <v>1</v>
      </c>
      <c r="W3316">
        <v>1</v>
      </c>
      <c r="X3316">
        <v>1</v>
      </c>
      <c r="Y3316">
        <v>0</v>
      </c>
      <c r="Z3316">
        <v>0</v>
      </c>
      <c r="AA3316" t="s">
        <v>4062</v>
      </c>
      <c r="AB3316" t="s">
        <v>6637</v>
      </c>
      <c r="AC3316" t="s">
        <v>4062</v>
      </c>
      <c r="AD3316" t="e">
        <f>VLOOKUP(AB3316,#REF!,2,FALSE)</f>
        <v>#REF!</v>
      </c>
      <c r="AE3316" t="e">
        <f>RIGHT(#REF!,(FIND("Complex",#REF!,1)-5))</f>
        <v>#REF!</v>
      </c>
    </row>
    <row r="3317" spans="1:31" x14ac:dyDescent="0.25">
      <c r="A3317">
        <v>453</v>
      </c>
      <c r="B3317" t="s">
        <v>261</v>
      </c>
      <c r="C3317">
        <v>69</v>
      </c>
      <c r="D3317">
        <v>191</v>
      </c>
      <c r="E3317">
        <v>453</v>
      </c>
      <c r="F3317">
        <v>1234801</v>
      </c>
      <c r="G3317">
        <v>1323000</v>
      </c>
      <c r="H3317">
        <f t="shared" si="102"/>
        <v>28.000022675736961</v>
      </c>
      <c r="I3317">
        <f t="shared" si="103"/>
        <v>30</v>
      </c>
      <c r="J3317" t="s">
        <v>25</v>
      </c>
      <c r="K3317">
        <v>4</v>
      </c>
      <c r="L3317" t="e">
        <f t="array" ref="L3317">VLOOKUP(J3317:$J$3871&amp;K3317:$K$3871,CHOOSE({1,2},#REF!&amp;#REF!,#REF!),2,0)</f>
        <v>#N/A</v>
      </c>
      <c r="M3317">
        <v>0</v>
      </c>
      <c r="N3317">
        <v>1</v>
      </c>
      <c r="O3317" t="s">
        <v>23</v>
      </c>
      <c r="P3317">
        <v>0</v>
      </c>
      <c r="Q3317">
        <v>0</v>
      </c>
      <c r="R3317">
        <v>0</v>
      </c>
      <c r="S3317">
        <v>1</v>
      </c>
      <c r="T3317">
        <v>0</v>
      </c>
      <c r="U3317">
        <v>0</v>
      </c>
      <c r="V3317">
        <v>1</v>
      </c>
      <c r="W3317">
        <v>1</v>
      </c>
      <c r="X3317">
        <v>1</v>
      </c>
      <c r="Y3317">
        <v>0</v>
      </c>
      <c r="Z3317">
        <v>0</v>
      </c>
      <c r="AA3317" t="s">
        <v>4100</v>
      </c>
      <c r="AB3317" t="s">
        <v>6664</v>
      </c>
      <c r="AC3317" t="s">
        <v>4100</v>
      </c>
      <c r="AD3317" t="e">
        <f>VLOOKUP(AB3317,#REF!,2,FALSE)</f>
        <v>#REF!</v>
      </c>
      <c r="AE3317" t="e">
        <f>RIGHT(#REF!,(FIND("Complex",#REF!,1)-5))</f>
        <v>#REF!</v>
      </c>
    </row>
    <row r="3318" spans="1:31" x14ac:dyDescent="0.25">
      <c r="A3318">
        <v>1735</v>
      </c>
      <c r="B3318" t="s">
        <v>261</v>
      </c>
      <c r="C3318">
        <v>69</v>
      </c>
      <c r="D3318">
        <v>754</v>
      </c>
      <c r="E3318">
        <v>1735</v>
      </c>
      <c r="F3318">
        <v>1058401</v>
      </c>
      <c r="G3318">
        <v>1146600</v>
      </c>
      <c r="H3318">
        <f t="shared" si="102"/>
        <v>24.000022675736961</v>
      </c>
      <c r="I3318">
        <f t="shared" si="103"/>
        <v>26</v>
      </c>
      <c r="J3318" t="s">
        <v>25</v>
      </c>
      <c r="K3318">
        <v>4</v>
      </c>
      <c r="L3318" t="e">
        <f t="array" ref="L3318">VLOOKUP(J3318:$J$3871&amp;K3318:$K$3871,CHOOSE({1,2},#REF!&amp;#REF!,#REF!),2,0)</f>
        <v>#N/A</v>
      </c>
      <c r="M3318">
        <v>0</v>
      </c>
      <c r="N3318">
        <v>1</v>
      </c>
      <c r="O3318" t="s">
        <v>23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1</v>
      </c>
      <c r="W3318">
        <v>1</v>
      </c>
      <c r="X3318">
        <v>1</v>
      </c>
      <c r="Y3318">
        <v>0</v>
      </c>
      <c r="Z3318">
        <v>0</v>
      </c>
      <c r="AA3318" t="s">
        <v>4183</v>
      </c>
      <c r="AB3318" t="s">
        <v>6725</v>
      </c>
      <c r="AC3318" t="s">
        <v>4183</v>
      </c>
      <c r="AD3318" t="e">
        <f>VLOOKUP(AB3318,#REF!,2,FALSE)</f>
        <v>#REF!</v>
      </c>
      <c r="AE3318" t="e">
        <f>RIGHT(#REF!,(FIND("Complex",#REF!,1)-6))</f>
        <v>#REF!</v>
      </c>
    </row>
    <row r="3319" spans="1:31" x14ac:dyDescent="0.25">
      <c r="A3319">
        <v>635</v>
      </c>
      <c r="B3319" t="s">
        <v>261</v>
      </c>
      <c r="C3319">
        <v>69</v>
      </c>
      <c r="D3319">
        <v>275</v>
      </c>
      <c r="E3319">
        <v>635</v>
      </c>
      <c r="F3319">
        <v>882001</v>
      </c>
      <c r="G3319">
        <v>970200</v>
      </c>
      <c r="H3319">
        <f t="shared" si="102"/>
        <v>20.000022675736961</v>
      </c>
      <c r="I3319">
        <f t="shared" si="103"/>
        <v>22</v>
      </c>
      <c r="J3319" t="s">
        <v>25</v>
      </c>
      <c r="K3319">
        <v>4</v>
      </c>
      <c r="L3319" t="e">
        <f t="array" ref="L3319">VLOOKUP(J3319:$J$3871&amp;K3319:$K$3871,CHOOSE({1,2},#REF!&amp;#REF!,#REF!),2,0)</f>
        <v>#N/A</v>
      </c>
      <c r="M3319">
        <v>0</v>
      </c>
      <c r="N3319">
        <v>1</v>
      </c>
      <c r="O3319" t="s">
        <v>23</v>
      </c>
      <c r="P3319">
        <v>0</v>
      </c>
      <c r="Q3319">
        <v>0</v>
      </c>
      <c r="R3319">
        <v>0</v>
      </c>
      <c r="S3319">
        <v>1</v>
      </c>
      <c r="T3319">
        <v>0</v>
      </c>
      <c r="U3319">
        <v>0</v>
      </c>
      <c r="V3319">
        <v>1</v>
      </c>
      <c r="W3319">
        <v>1</v>
      </c>
      <c r="X3319">
        <v>1</v>
      </c>
      <c r="Y3319">
        <v>0</v>
      </c>
      <c r="Z3319">
        <v>0</v>
      </c>
      <c r="AA3319" t="s">
        <v>4307</v>
      </c>
      <c r="AB3319" t="s">
        <v>6805</v>
      </c>
      <c r="AC3319" t="s">
        <v>4307</v>
      </c>
      <c r="AD3319" t="e">
        <f>VLOOKUP(AB3319,#REF!,2,FALSE)</f>
        <v>#REF!</v>
      </c>
      <c r="AE3319" t="e">
        <f>RIGHT(#REF!,(FIND("Complex",#REF!,1)-5))</f>
        <v>#REF!</v>
      </c>
    </row>
    <row r="3320" spans="1:31" x14ac:dyDescent="0.25">
      <c r="A3320">
        <v>297</v>
      </c>
      <c r="B3320" t="s">
        <v>261</v>
      </c>
      <c r="C3320">
        <v>69</v>
      </c>
      <c r="D3320">
        <v>125</v>
      </c>
      <c r="E3320">
        <v>297</v>
      </c>
      <c r="F3320">
        <v>88201</v>
      </c>
      <c r="G3320">
        <v>176400</v>
      </c>
      <c r="H3320">
        <f t="shared" si="102"/>
        <v>2.0000226757369615</v>
      </c>
      <c r="I3320">
        <f t="shared" si="103"/>
        <v>4</v>
      </c>
      <c r="J3320" t="s">
        <v>25</v>
      </c>
      <c r="K3320">
        <v>4</v>
      </c>
      <c r="L3320" t="e">
        <f t="array" ref="L3320">VLOOKUP(J3320:$J$3871&amp;K3320:$K$3871,CHOOSE({1,2},#REF!&amp;#REF!,#REF!),2,0)</f>
        <v>#N/A</v>
      </c>
      <c r="M3320">
        <v>0</v>
      </c>
      <c r="N3320">
        <v>1</v>
      </c>
      <c r="O3320" t="s">
        <v>23</v>
      </c>
      <c r="P3320">
        <v>0</v>
      </c>
      <c r="Q3320">
        <v>0</v>
      </c>
      <c r="R3320">
        <v>0</v>
      </c>
      <c r="S3320">
        <v>1</v>
      </c>
      <c r="T3320">
        <v>0</v>
      </c>
      <c r="U3320">
        <v>0</v>
      </c>
      <c r="V3320">
        <v>1</v>
      </c>
      <c r="W3320">
        <v>1</v>
      </c>
      <c r="X3320">
        <v>1</v>
      </c>
      <c r="Y3320">
        <v>0</v>
      </c>
      <c r="Z3320">
        <v>0</v>
      </c>
      <c r="AA3320" t="s">
        <v>4328</v>
      </c>
      <c r="AB3320" t="s">
        <v>6814</v>
      </c>
      <c r="AC3320" t="s">
        <v>4328</v>
      </c>
      <c r="AD3320" t="e">
        <f>VLOOKUP(AB3320,#REF!,2,FALSE)</f>
        <v>#REF!</v>
      </c>
      <c r="AE3320" t="e">
        <f>RIGHT(#REF!,(FIND("Complex",#REF!,1)-6))</f>
        <v>#REF!</v>
      </c>
    </row>
    <row r="3321" spans="1:31" x14ac:dyDescent="0.25">
      <c r="A3321">
        <v>1184</v>
      </c>
      <c r="B3321" t="s">
        <v>261</v>
      </c>
      <c r="C3321">
        <v>69</v>
      </c>
      <c r="D3321">
        <v>525</v>
      </c>
      <c r="E3321">
        <v>1184</v>
      </c>
      <c r="F3321">
        <v>4586401</v>
      </c>
      <c r="G3321">
        <v>4674600</v>
      </c>
      <c r="H3321">
        <f t="shared" si="102"/>
        <v>104.00002267573696</v>
      </c>
      <c r="I3321">
        <f t="shared" si="103"/>
        <v>106</v>
      </c>
      <c r="J3321" t="s">
        <v>25</v>
      </c>
      <c r="K3321">
        <v>4</v>
      </c>
      <c r="L3321" t="e">
        <f t="array" ref="L3321">VLOOKUP(J3321:$J$3871&amp;K3321:$K$3871,CHOOSE({1,2},#REF!&amp;#REF!,#REF!),2,0)</f>
        <v>#N/A</v>
      </c>
      <c r="M3321">
        <v>0</v>
      </c>
      <c r="N3321">
        <v>1</v>
      </c>
      <c r="O3321" t="s">
        <v>23</v>
      </c>
      <c r="P3321">
        <v>0</v>
      </c>
      <c r="Q3321">
        <v>0</v>
      </c>
      <c r="R3321">
        <v>0</v>
      </c>
      <c r="S3321">
        <v>1</v>
      </c>
      <c r="T3321">
        <v>0</v>
      </c>
      <c r="U3321">
        <v>0</v>
      </c>
      <c r="V3321">
        <v>1</v>
      </c>
      <c r="W3321">
        <v>1</v>
      </c>
      <c r="X3321">
        <v>1</v>
      </c>
      <c r="Y3321">
        <v>0</v>
      </c>
      <c r="Z3321">
        <v>0</v>
      </c>
      <c r="AA3321" t="s">
        <v>4814</v>
      </c>
      <c r="AB3321" t="s">
        <v>7117</v>
      </c>
      <c r="AC3321" t="s">
        <v>4814</v>
      </c>
      <c r="AD3321" t="e">
        <f>VLOOKUP(AB3321,#REF!,2,FALSE)</f>
        <v>#REF!</v>
      </c>
      <c r="AE3321" t="e">
        <f>RIGHT(#REF!,(FIND("Complex",#REF!,1)-5))</f>
        <v>#REF!</v>
      </c>
    </row>
    <row r="3322" spans="1:31" x14ac:dyDescent="0.25">
      <c r="A3322">
        <v>70</v>
      </c>
      <c r="B3322" t="s">
        <v>78</v>
      </c>
      <c r="C3322">
        <v>70</v>
      </c>
      <c r="D3322">
        <v>37</v>
      </c>
      <c r="E3322">
        <v>70</v>
      </c>
      <c r="F3322">
        <v>3087001</v>
      </c>
      <c r="G3322">
        <v>3175200</v>
      </c>
      <c r="H3322">
        <f t="shared" si="102"/>
        <v>70.000022675736957</v>
      </c>
      <c r="I3322">
        <f t="shared" si="103"/>
        <v>72</v>
      </c>
      <c r="J3322" t="s">
        <v>25</v>
      </c>
      <c r="K3322">
        <v>4</v>
      </c>
      <c r="L3322" t="e">
        <f t="array" ref="L3322">VLOOKUP(J3322:$J$3871&amp;K3322:$K$3871,CHOOSE({1,2},#REF!&amp;#REF!,#REF!),2,0)</f>
        <v>#N/A</v>
      </c>
      <c r="M3322">
        <v>0</v>
      </c>
      <c r="N3322">
        <v>1</v>
      </c>
      <c r="O3322" t="s">
        <v>23</v>
      </c>
      <c r="P3322">
        <v>0</v>
      </c>
      <c r="Q3322">
        <v>1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1</v>
      </c>
      <c r="Y3322">
        <v>1</v>
      </c>
      <c r="Z3322">
        <v>0</v>
      </c>
      <c r="AA3322" t="s">
        <v>3703</v>
      </c>
      <c r="AB3322" t="s">
        <v>183</v>
      </c>
      <c r="AC3322" t="s">
        <v>3703</v>
      </c>
      <c r="AD3322" t="e">
        <f>VLOOKUP(AB3322,#REF!,2,FALSE)</f>
        <v>#REF!</v>
      </c>
      <c r="AE3322" t="e">
        <f>RIGHT(#REF!,(FIND("Complex",#REF!,1)-4))</f>
        <v>#REF!</v>
      </c>
    </row>
    <row r="3323" spans="1:31" x14ac:dyDescent="0.25">
      <c r="A3323">
        <v>29</v>
      </c>
      <c r="B3323" t="s">
        <v>42</v>
      </c>
      <c r="C3323">
        <v>71</v>
      </c>
      <c r="D3323">
        <v>12</v>
      </c>
      <c r="E3323">
        <v>29</v>
      </c>
      <c r="F3323">
        <v>264601</v>
      </c>
      <c r="G3323">
        <v>352800</v>
      </c>
      <c r="H3323">
        <f t="shared" si="102"/>
        <v>6.000022675736961</v>
      </c>
      <c r="I3323">
        <f t="shared" si="103"/>
        <v>8</v>
      </c>
      <c r="J3323" t="s">
        <v>25</v>
      </c>
      <c r="K3323">
        <v>4</v>
      </c>
      <c r="L3323" t="e">
        <f t="array" ref="L3323">VLOOKUP(J3323:$J$3871&amp;K3323:$K$3871,CHOOSE({1,2},#REF!&amp;#REF!,#REF!),2,0)</f>
        <v>#N/A</v>
      </c>
      <c r="M3323">
        <v>0</v>
      </c>
      <c r="N3323">
        <v>1</v>
      </c>
      <c r="O3323" t="s">
        <v>23</v>
      </c>
      <c r="P3323">
        <v>1</v>
      </c>
      <c r="Q3323">
        <v>1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1</v>
      </c>
      <c r="Y3323">
        <v>0</v>
      </c>
      <c r="Z3323">
        <v>0</v>
      </c>
      <c r="AA3323" t="s">
        <v>3804</v>
      </c>
      <c r="AB3323" t="s">
        <v>1560</v>
      </c>
      <c r="AC3323" t="s">
        <v>3804</v>
      </c>
      <c r="AD3323" t="e">
        <f>VLOOKUP(AB3323,#REF!,2,FALSE)</f>
        <v>#REF!</v>
      </c>
      <c r="AE3323" t="e">
        <f>RIGHT(#REF!,(FIND("Complex",#REF!,1)-5))</f>
        <v>#REF!</v>
      </c>
    </row>
    <row r="3324" spans="1:31" x14ac:dyDescent="0.25">
      <c r="A3324">
        <v>1202</v>
      </c>
      <c r="B3324" t="s">
        <v>42</v>
      </c>
      <c r="C3324">
        <v>71</v>
      </c>
      <c r="D3324">
        <v>532</v>
      </c>
      <c r="E3324">
        <v>1202</v>
      </c>
      <c r="F3324">
        <v>176401</v>
      </c>
      <c r="G3324">
        <v>264600</v>
      </c>
      <c r="H3324">
        <f t="shared" si="102"/>
        <v>4.000022675736961</v>
      </c>
      <c r="I3324">
        <f t="shared" si="103"/>
        <v>6</v>
      </c>
      <c r="J3324" t="s">
        <v>25</v>
      </c>
      <c r="K3324">
        <v>4</v>
      </c>
      <c r="L3324" t="e">
        <f t="array" ref="L3324">VLOOKUP(J3324:$J$3871&amp;K3324:$K$3871,CHOOSE({1,2},#REF!&amp;#REF!,#REF!),2,0)</f>
        <v>#N/A</v>
      </c>
      <c r="M3324">
        <v>0</v>
      </c>
      <c r="N3324">
        <v>1</v>
      </c>
      <c r="O3324" t="s">
        <v>23</v>
      </c>
      <c r="P3324">
        <v>1</v>
      </c>
      <c r="Q3324">
        <v>1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1</v>
      </c>
      <c r="Y3324">
        <v>0</v>
      </c>
      <c r="Z3324">
        <v>0</v>
      </c>
      <c r="AA3324" t="s">
        <v>3961</v>
      </c>
      <c r="AB3324" t="s">
        <v>1561</v>
      </c>
      <c r="AC3324" t="s">
        <v>3961</v>
      </c>
      <c r="AD3324" t="e">
        <f>VLOOKUP(AB3324,#REF!,2,FALSE)</f>
        <v>#REF!</v>
      </c>
      <c r="AE3324" t="e">
        <f>RIGHT(#REF!,(FIND("Complex",#REF!,1)-7))</f>
        <v>#REF!</v>
      </c>
    </row>
    <row r="3325" spans="1:31" x14ac:dyDescent="0.25">
      <c r="A3325">
        <v>1399</v>
      </c>
      <c r="B3325" t="s">
        <v>42</v>
      </c>
      <c r="C3325">
        <v>71</v>
      </c>
      <c r="D3325">
        <v>613</v>
      </c>
      <c r="E3325">
        <v>1399</v>
      </c>
      <c r="F3325">
        <v>1587601</v>
      </c>
      <c r="G3325">
        <v>1675800</v>
      </c>
      <c r="H3325">
        <f t="shared" si="102"/>
        <v>36.000022675736965</v>
      </c>
      <c r="I3325">
        <f t="shared" si="103"/>
        <v>38</v>
      </c>
      <c r="J3325" t="s">
        <v>25</v>
      </c>
      <c r="K3325">
        <v>4</v>
      </c>
      <c r="L3325" t="e">
        <f t="array" ref="L3325">VLOOKUP(J3325:$J$3871&amp;K3325:$K$3871,CHOOSE({1,2},#REF!&amp;#REF!,#REF!),2,0)</f>
        <v>#N/A</v>
      </c>
      <c r="M3325">
        <v>0</v>
      </c>
      <c r="N3325">
        <v>1</v>
      </c>
      <c r="O3325" t="s">
        <v>23</v>
      </c>
      <c r="P3325">
        <v>1</v>
      </c>
      <c r="Q3325">
        <v>1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1</v>
      </c>
      <c r="Y3325">
        <v>0</v>
      </c>
      <c r="Z3325">
        <v>0</v>
      </c>
      <c r="AA3325" t="s">
        <v>3999</v>
      </c>
      <c r="AB3325" t="s">
        <v>1562</v>
      </c>
      <c r="AC3325" t="s">
        <v>3999</v>
      </c>
      <c r="AD3325" t="e">
        <f>VLOOKUP(AB3325,#REF!,2,FALSE)</f>
        <v>#REF!</v>
      </c>
      <c r="AE3325" t="e">
        <f>RIGHT(#REF!,(FIND("Complex",#REF!,1)-6))</f>
        <v>#REF!</v>
      </c>
    </row>
    <row r="3326" spans="1:31" x14ac:dyDescent="0.25">
      <c r="A3326">
        <v>878</v>
      </c>
      <c r="B3326" t="s">
        <v>42</v>
      </c>
      <c r="C3326">
        <v>71</v>
      </c>
      <c r="D3326">
        <v>389</v>
      </c>
      <c r="E3326">
        <v>878</v>
      </c>
      <c r="F3326">
        <v>882001</v>
      </c>
      <c r="G3326">
        <v>970200</v>
      </c>
      <c r="H3326">
        <f t="shared" si="102"/>
        <v>20.000022675736961</v>
      </c>
      <c r="I3326">
        <f t="shared" si="103"/>
        <v>22</v>
      </c>
      <c r="J3326" t="s">
        <v>25</v>
      </c>
      <c r="K3326">
        <v>4</v>
      </c>
      <c r="L3326" t="e">
        <f t="array" ref="L3326">VLOOKUP(J3326:$J$3871&amp;K3326:$K$3871,CHOOSE({1,2},#REF!&amp;#REF!,#REF!),2,0)</f>
        <v>#N/A</v>
      </c>
      <c r="M3326">
        <v>0</v>
      </c>
      <c r="N3326">
        <v>1</v>
      </c>
      <c r="O3326" t="s">
        <v>23</v>
      </c>
      <c r="P3326">
        <v>1</v>
      </c>
      <c r="Q3326">
        <v>1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1</v>
      </c>
      <c r="Y3326">
        <v>0</v>
      </c>
      <c r="Z3326">
        <v>0</v>
      </c>
      <c r="AA3326" t="s">
        <v>4306</v>
      </c>
      <c r="AB3326" t="s">
        <v>1563</v>
      </c>
      <c r="AC3326" t="s">
        <v>4306</v>
      </c>
      <c r="AD3326" t="e">
        <f>VLOOKUP(AB3326,#REF!,2,FALSE)</f>
        <v>#REF!</v>
      </c>
      <c r="AE3326" t="e">
        <f>RIGHT(#REF!,(FIND("Complex",#REF!,1)-5))</f>
        <v>#REF!</v>
      </c>
    </row>
    <row r="3327" spans="1:31" x14ac:dyDescent="0.25">
      <c r="A3327">
        <v>703</v>
      </c>
      <c r="B3327" t="s">
        <v>42</v>
      </c>
      <c r="C3327">
        <v>71</v>
      </c>
      <c r="D3327">
        <v>307</v>
      </c>
      <c r="E3327">
        <v>703</v>
      </c>
      <c r="F3327">
        <v>529201</v>
      </c>
      <c r="G3327">
        <v>617400</v>
      </c>
      <c r="H3327">
        <f t="shared" si="102"/>
        <v>12.000022675736961</v>
      </c>
      <c r="I3327">
        <f t="shared" si="103"/>
        <v>14</v>
      </c>
      <c r="J3327" t="s">
        <v>25</v>
      </c>
      <c r="K3327">
        <v>4</v>
      </c>
      <c r="L3327" t="e">
        <f t="array" ref="L3327">VLOOKUP(J3327:$J$3871&amp;K3327:$K$3871,CHOOSE({1,2},#REF!&amp;#REF!,#REF!),2,0)</f>
        <v>#N/A</v>
      </c>
      <c r="M3327">
        <v>0</v>
      </c>
      <c r="N3327">
        <v>1</v>
      </c>
      <c r="O3327" t="s">
        <v>23</v>
      </c>
      <c r="P3327">
        <v>1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1</v>
      </c>
      <c r="Y3327">
        <v>0</v>
      </c>
      <c r="Z3327">
        <v>0</v>
      </c>
      <c r="AA3327" t="s">
        <v>4731</v>
      </c>
      <c r="AB3327" t="s">
        <v>1564</v>
      </c>
      <c r="AC3327" t="s">
        <v>4731</v>
      </c>
      <c r="AD3327" t="e">
        <f>VLOOKUP(AB3327,#REF!,2,FALSE)</f>
        <v>#REF!</v>
      </c>
      <c r="AE3327" t="e">
        <f>RIGHT(#REF!,(FIND("Complex",#REF!,1)-5))</f>
        <v>#REF!</v>
      </c>
    </row>
    <row r="3328" spans="1:31" x14ac:dyDescent="0.25">
      <c r="A3328">
        <v>1891</v>
      </c>
      <c r="B3328" t="s">
        <v>42</v>
      </c>
      <c r="C3328">
        <v>71</v>
      </c>
      <c r="D3328">
        <v>821</v>
      </c>
      <c r="E3328">
        <v>1891</v>
      </c>
      <c r="F3328">
        <v>441001</v>
      </c>
      <c r="G3328">
        <v>529200</v>
      </c>
      <c r="H3328">
        <f t="shared" si="102"/>
        <v>10.000022675736961</v>
      </c>
      <c r="I3328">
        <f t="shared" si="103"/>
        <v>12</v>
      </c>
      <c r="J3328" t="s">
        <v>25</v>
      </c>
      <c r="K3328">
        <v>4</v>
      </c>
      <c r="L3328" t="e">
        <f t="array" ref="L3328">VLOOKUP(J3328:$J$3871&amp;K3328:$K$3871,CHOOSE({1,2},#REF!&amp;#REF!,#REF!),2,0)</f>
        <v>#N/A</v>
      </c>
      <c r="M3328">
        <v>0</v>
      </c>
      <c r="N3328">
        <v>1</v>
      </c>
      <c r="O3328" t="s">
        <v>23</v>
      </c>
      <c r="P3328">
        <v>1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1</v>
      </c>
      <c r="Y3328">
        <v>0</v>
      </c>
      <c r="Z3328">
        <v>0</v>
      </c>
      <c r="AA3328" t="s">
        <v>4858</v>
      </c>
      <c r="AB3328" t="s">
        <v>7143</v>
      </c>
      <c r="AC3328" t="s">
        <v>4858</v>
      </c>
      <c r="AD3328" t="e">
        <f>VLOOKUP(AB3328,#REF!,2,FALSE)</f>
        <v>#REF!</v>
      </c>
      <c r="AE3328" t="e">
        <f>RIGHT(#REF!,(FIND("Complex",#REF!,1)-6))</f>
        <v>#REF!</v>
      </c>
    </row>
    <row r="3329" spans="1:31" x14ac:dyDescent="0.25">
      <c r="A3329">
        <v>671</v>
      </c>
      <c r="B3329" t="s">
        <v>69</v>
      </c>
      <c r="C3329">
        <v>72</v>
      </c>
      <c r="D3329">
        <v>291</v>
      </c>
      <c r="E3329">
        <v>671</v>
      </c>
      <c r="F3329">
        <v>617401</v>
      </c>
      <c r="G3329">
        <v>705600</v>
      </c>
      <c r="H3329">
        <f t="shared" si="102"/>
        <v>14.000022675736961</v>
      </c>
      <c r="I3329">
        <f t="shared" si="103"/>
        <v>16</v>
      </c>
      <c r="J3329" t="s">
        <v>25</v>
      </c>
      <c r="K3329">
        <v>4</v>
      </c>
      <c r="L3329" t="e">
        <f t="array" ref="L3329">VLOOKUP(J3329:$J$3871&amp;K3329:$K$3871,CHOOSE({1,2},#REF!&amp;#REF!,#REF!),2,0)</f>
        <v>#N/A</v>
      </c>
      <c r="M3329">
        <v>0</v>
      </c>
      <c r="N3329">
        <v>1</v>
      </c>
      <c r="O3329" t="s">
        <v>23</v>
      </c>
      <c r="P3329">
        <v>1</v>
      </c>
      <c r="Q3329">
        <v>1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1</v>
      </c>
      <c r="Y3329">
        <v>0</v>
      </c>
      <c r="Z3329">
        <v>0</v>
      </c>
      <c r="AA3329" t="s">
        <v>4613</v>
      </c>
      <c r="AB3329" t="s">
        <v>1571</v>
      </c>
      <c r="AC3329" t="s">
        <v>4613</v>
      </c>
      <c r="AD3329" t="e">
        <f>VLOOKUP(AB3329,#REF!,2,FALSE)</f>
        <v>#REF!</v>
      </c>
      <c r="AE3329" t="e">
        <f>RIGHT(#REF!,(FIND("Complex",#REF!,1)-5))</f>
        <v>#REF!</v>
      </c>
    </row>
    <row r="3330" spans="1:31" x14ac:dyDescent="0.25">
      <c r="A3330">
        <v>116</v>
      </c>
      <c r="B3330" t="s">
        <v>69</v>
      </c>
      <c r="C3330">
        <v>72</v>
      </c>
      <c r="D3330">
        <v>53</v>
      </c>
      <c r="E3330">
        <v>116</v>
      </c>
      <c r="F3330">
        <v>1</v>
      </c>
      <c r="G3330">
        <v>88200</v>
      </c>
      <c r="H3330">
        <f t="shared" ref="H3330:H3393" si="104">F3330/44100</f>
        <v>2.2675736961451248E-5</v>
      </c>
      <c r="I3330">
        <f t="shared" ref="I3330:I3393" si="105">G3330/44100</f>
        <v>2</v>
      </c>
      <c r="J3330" t="s">
        <v>25</v>
      </c>
      <c r="K3330">
        <v>4</v>
      </c>
      <c r="L3330" t="e">
        <f t="array" ref="L3330">VLOOKUP(J3330:$J$3871&amp;K3330:$K$3871,CHOOSE({1,2},#REF!&amp;#REF!,#REF!),2,0)</f>
        <v>#N/A</v>
      </c>
      <c r="M3330">
        <v>0</v>
      </c>
      <c r="N3330">
        <v>1</v>
      </c>
      <c r="O3330" t="s">
        <v>23</v>
      </c>
      <c r="P3330">
        <v>1</v>
      </c>
      <c r="Q3330">
        <v>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1</v>
      </c>
      <c r="Y3330">
        <v>0</v>
      </c>
      <c r="Z3330">
        <v>0</v>
      </c>
      <c r="AA3330" t="s">
        <v>4872</v>
      </c>
      <c r="AB3330" t="s">
        <v>1572</v>
      </c>
      <c r="AC3330" t="s">
        <v>4872</v>
      </c>
      <c r="AD3330" t="e">
        <f>VLOOKUP(AB3330,#REF!,2,FALSE)</f>
        <v>#REF!</v>
      </c>
      <c r="AE3330" t="e">
        <f>RIGHT(#REF!,(FIND("Complex",#REF!,1)-6))</f>
        <v>#REF!</v>
      </c>
    </row>
    <row r="3331" spans="1:31" x14ac:dyDescent="0.25">
      <c r="A3331">
        <v>1116</v>
      </c>
      <c r="B3331" t="s">
        <v>262</v>
      </c>
      <c r="C3331">
        <v>73</v>
      </c>
      <c r="D3331">
        <v>499</v>
      </c>
      <c r="E3331">
        <v>1116</v>
      </c>
      <c r="F3331">
        <v>352801</v>
      </c>
      <c r="G3331">
        <v>441000</v>
      </c>
      <c r="H3331">
        <f t="shared" si="104"/>
        <v>8.000022675736961</v>
      </c>
      <c r="I3331">
        <f t="shared" si="105"/>
        <v>10</v>
      </c>
      <c r="J3331" t="s">
        <v>25</v>
      </c>
      <c r="K3331">
        <v>4</v>
      </c>
      <c r="L3331" t="e">
        <f t="array" ref="L3331">VLOOKUP(J3331:$J$3871&amp;K3331:$K$3871,CHOOSE({1,2},#REF!&amp;#REF!,#REF!),2,0)</f>
        <v>#N/A</v>
      </c>
      <c r="M3331">
        <v>0</v>
      </c>
      <c r="N3331">
        <v>1</v>
      </c>
      <c r="O3331" t="s">
        <v>23</v>
      </c>
      <c r="P3331">
        <v>0</v>
      </c>
      <c r="Q3331">
        <v>0</v>
      </c>
      <c r="R3331">
        <v>0</v>
      </c>
      <c r="S3331">
        <v>1</v>
      </c>
      <c r="T3331">
        <v>0</v>
      </c>
      <c r="U3331">
        <v>0</v>
      </c>
      <c r="V3331">
        <v>1</v>
      </c>
      <c r="W3331">
        <v>1</v>
      </c>
      <c r="X3331">
        <v>1</v>
      </c>
      <c r="Y3331">
        <v>0</v>
      </c>
      <c r="Z3331">
        <v>0</v>
      </c>
      <c r="AA3331" t="s">
        <v>3637</v>
      </c>
      <c r="AB3331" t="s">
        <v>6388</v>
      </c>
      <c r="AC3331" t="s">
        <v>3637</v>
      </c>
      <c r="AD3331" t="e">
        <f>VLOOKUP(AB3331,#REF!,2,FALSE)</f>
        <v>#REF!</v>
      </c>
      <c r="AE3331" t="e">
        <f>RIGHT(#REF!,(FIND("Complex",#REF!,1)-7))</f>
        <v>#REF!</v>
      </c>
    </row>
    <row r="3332" spans="1:31" x14ac:dyDescent="0.25">
      <c r="A3332">
        <v>891</v>
      </c>
      <c r="B3332" t="s">
        <v>262</v>
      </c>
      <c r="C3332">
        <v>73</v>
      </c>
      <c r="D3332">
        <v>395</v>
      </c>
      <c r="E3332">
        <v>891</v>
      </c>
      <c r="F3332">
        <v>2646001</v>
      </c>
      <c r="G3332">
        <v>2734200</v>
      </c>
      <c r="H3332">
        <f t="shared" si="104"/>
        <v>60.000022675736965</v>
      </c>
      <c r="I3332">
        <f t="shared" si="105"/>
        <v>62</v>
      </c>
      <c r="J3332" t="s">
        <v>25</v>
      </c>
      <c r="K3332">
        <v>4</v>
      </c>
      <c r="L3332" t="e">
        <f t="array" ref="L3332">VLOOKUP(J3332:$J$3871&amp;K3332:$K$3871,CHOOSE({1,2},#REF!&amp;#REF!,#REF!),2,0)</f>
        <v>#N/A</v>
      </c>
      <c r="M3332">
        <v>0</v>
      </c>
      <c r="N3332">
        <v>1</v>
      </c>
      <c r="O3332" t="s">
        <v>23</v>
      </c>
      <c r="P3332">
        <v>0</v>
      </c>
      <c r="Q3332">
        <v>0</v>
      </c>
      <c r="R3332">
        <v>0</v>
      </c>
      <c r="S3332">
        <v>1</v>
      </c>
      <c r="T3332">
        <v>0</v>
      </c>
      <c r="U3332">
        <v>0</v>
      </c>
      <c r="V3332">
        <v>1</v>
      </c>
      <c r="W3332">
        <v>1</v>
      </c>
      <c r="X3332">
        <v>1</v>
      </c>
      <c r="Y3332">
        <v>0</v>
      </c>
      <c r="Z3332">
        <v>0</v>
      </c>
      <c r="AA3332" t="s">
        <v>3778</v>
      </c>
      <c r="AB3332" t="s">
        <v>6471</v>
      </c>
      <c r="AC3332" t="s">
        <v>3778</v>
      </c>
      <c r="AD3332" t="e">
        <f>VLOOKUP(AB3332,#REF!,2,FALSE)</f>
        <v>#REF!</v>
      </c>
      <c r="AE3332" t="e">
        <f>RIGHT(#REF!,(FIND("Complex",#REF!,1)-5))</f>
        <v>#REF!</v>
      </c>
    </row>
    <row r="3333" spans="1:31" x14ac:dyDescent="0.25">
      <c r="A3333">
        <v>1947</v>
      </c>
      <c r="B3333" t="s">
        <v>262</v>
      </c>
      <c r="C3333">
        <v>73</v>
      </c>
      <c r="D3333">
        <v>840</v>
      </c>
      <c r="E3333">
        <v>1947</v>
      </c>
      <c r="F3333">
        <v>264601</v>
      </c>
      <c r="G3333">
        <v>352800</v>
      </c>
      <c r="H3333">
        <f t="shared" si="104"/>
        <v>6.000022675736961</v>
      </c>
      <c r="I3333">
        <f t="shared" si="105"/>
        <v>8</v>
      </c>
      <c r="J3333" t="s">
        <v>25</v>
      </c>
      <c r="K3333">
        <v>4</v>
      </c>
      <c r="L3333" t="e">
        <f t="array" ref="L3333">VLOOKUP(J3333:$J$3871&amp;K3333:$K$3871,CHOOSE({1,2},#REF!&amp;#REF!,#REF!),2,0)</f>
        <v>#N/A</v>
      </c>
      <c r="M3333">
        <v>0</v>
      </c>
      <c r="N3333">
        <v>1</v>
      </c>
      <c r="O3333" t="s">
        <v>23</v>
      </c>
      <c r="P3333">
        <v>0</v>
      </c>
      <c r="Q3333">
        <v>0</v>
      </c>
      <c r="R3333">
        <v>0</v>
      </c>
      <c r="S3333">
        <v>1</v>
      </c>
      <c r="T3333">
        <v>0</v>
      </c>
      <c r="U3333">
        <v>0</v>
      </c>
      <c r="V3333">
        <v>1</v>
      </c>
      <c r="W3333">
        <v>1</v>
      </c>
      <c r="X3333">
        <v>1</v>
      </c>
      <c r="Y3333">
        <v>0</v>
      </c>
      <c r="Z3333">
        <v>0</v>
      </c>
      <c r="AA3333" t="s">
        <v>3802</v>
      </c>
      <c r="AB3333" t="s">
        <v>6484</v>
      </c>
      <c r="AC3333" t="s">
        <v>3802</v>
      </c>
      <c r="AD3333" t="e">
        <f>VLOOKUP(AB3333,#REF!,2,FALSE)</f>
        <v>#REF!</v>
      </c>
      <c r="AE3333" t="e">
        <f>RIGHT(#REF!,(FIND("Complex",#REF!,1)-7))</f>
        <v>#REF!</v>
      </c>
    </row>
    <row r="3334" spans="1:31" x14ac:dyDescent="0.25">
      <c r="A3334">
        <v>1884</v>
      </c>
      <c r="B3334" t="s">
        <v>262</v>
      </c>
      <c r="C3334">
        <v>73</v>
      </c>
      <c r="D3334">
        <v>820</v>
      </c>
      <c r="E3334">
        <v>1884</v>
      </c>
      <c r="F3334">
        <v>2557801</v>
      </c>
      <c r="G3334">
        <v>2646000</v>
      </c>
      <c r="H3334">
        <f t="shared" si="104"/>
        <v>58.000022675736965</v>
      </c>
      <c r="I3334">
        <f t="shared" si="105"/>
        <v>60</v>
      </c>
      <c r="J3334" t="s">
        <v>25</v>
      </c>
      <c r="K3334">
        <v>4</v>
      </c>
      <c r="L3334" t="e">
        <f t="array" ref="L3334">VLOOKUP(J3334:$J$3871&amp;K3334:$K$3871,CHOOSE({1,2},#REF!&amp;#REF!,#REF!),2,0)</f>
        <v>#N/A</v>
      </c>
      <c r="M3334">
        <v>0</v>
      </c>
      <c r="N3334">
        <v>1</v>
      </c>
      <c r="O3334" t="s">
        <v>23</v>
      </c>
      <c r="P3334">
        <v>0</v>
      </c>
      <c r="Q3334">
        <v>0</v>
      </c>
      <c r="R3334">
        <v>0</v>
      </c>
      <c r="S3334">
        <v>1</v>
      </c>
      <c r="T3334">
        <v>0</v>
      </c>
      <c r="U3334">
        <v>0</v>
      </c>
      <c r="V3334">
        <v>1</v>
      </c>
      <c r="W3334">
        <v>1</v>
      </c>
      <c r="X3334">
        <v>1</v>
      </c>
      <c r="Y3334">
        <v>0</v>
      </c>
      <c r="Z3334">
        <v>0</v>
      </c>
      <c r="AA3334" t="s">
        <v>3815</v>
      </c>
      <c r="AB3334" t="s">
        <v>6488</v>
      </c>
      <c r="AC3334" t="s">
        <v>3815</v>
      </c>
      <c r="AD3334" t="e">
        <f>VLOOKUP(AB3334,#REF!,2,FALSE)</f>
        <v>#REF!</v>
      </c>
      <c r="AE3334" t="e">
        <f>RIGHT(#REF!,(FIND("Complex",#REF!,1)-6))</f>
        <v>#REF!</v>
      </c>
    </row>
    <row r="3335" spans="1:31" x14ac:dyDescent="0.25">
      <c r="A3335">
        <v>674</v>
      </c>
      <c r="B3335" t="s">
        <v>262</v>
      </c>
      <c r="C3335">
        <v>73</v>
      </c>
      <c r="D3335">
        <v>292</v>
      </c>
      <c r="E3335">
        <v>674</v>
      </c>
      <c r="F3335">
        <v>2469601</v>
      </c>
      <c r="G3335">
        <v>2557800</v>
      </c>
      <c r="H3335">
        <f t="shared" si="104"/>
        <v>56.000022675736965</v>
      </c>
      <c r="I3335">
        <f t="shared" si="105"/>
        <v>58</v>
      </c>
      <c r="J3335" t="s">
        <v>25</v>
      </c>
      <c r="K3335">
        <v>4</v>
      </c>
      <c r="L3335" t="e">
        <f t="array" ref="L3335">VLOOKUP(J3335:$J$3871&amp;K3335:$K$3871,CHOOSE({1,2},#REF!&amp;#REF!,#REF!),2,0)</f>
        <v>#N/A</v>
      </c>
      <c r="M3335">
        <v>0</v>
      </c>
      <c r="N3335">
        <v>1</v>
      </c>
      <c r="O3335" t="s">
        <v>23</v>
      </c>
      <c r="P3335">
        <v>0</v>
      </c>
      <c r="Q3335">
        <v>0</v>
      </c>
      <c r="R3335">
        <v>0</v>
      </c>
      <c r="S3335">
        <v>1</v>
      </c>
      <c r="T3335">
        <v>0</v>
      </c>
      <c r="U3335">
        <v>0</v>
      </c>
      <c r="V3335">
        <v>1</v>
      </c>
      <c r="W3335">
        <v>1</v>
      </c>
      <c r="X3335">
        <v>1</v>
      </c>
      <c r="Y3335">
        <v>0</v>
      </c>
      <c r="Z3335">
        <v>0</v>
      </c>
      <c r="AA3335" t="s">
        <v>3832</v>
      </c>
      <c r="AB3335" t="s">
        <v>6499</v>
      </c>
      <c r="AC3335" t="s">
        <v>3832</v>
      </c>
      <c r="AD3335" t="e">
        <f>VLOOKUP(AB3335,#REF!,2,FALSE)</f>
        <v>#REF!</v>
      </c>
      <c r="AE3335" t="e">
        <f>RIGHT(#REF!,(FIND("Complex",#REF!,1)-5))</f>
        <v>#REF!</v>
      </c>
    </row>
    <row r="3336" spans="1:31" x14ac:dyDescent="0.25">
      <c r="A3336">
        <v>282</v>
      </c>
      <c r="B3336" t="s">
        <v>262</v>
      </c>
      <c r="C3336">
        <v>73</v>
      </c>
      <c r="D3336">
        <v>119</v>
      </c>
      <c r="E3336">
        <v>282</v>
      </c>
      <c r="F3336">
        <v>2293201</v>
      </c>
      <c r="G3336">
        <v>2381400</v>
      </c>
      <c r="H3336">
        <f t="shared" si="104"/>
        <v>52.000022675736965</v>
      </c>
      <c r="I3336">
        <f t="shared" si="105"/>
        <v>54</v>
      </c>
      <c r="J3336" t="s">
        <v>25</v>
      </c>
      <c r="K3336">
        <v>4</v>
      </c>
      <c r="L3336" t="e">
        <f t="array" ref="L3336">VLOOKUP(J3336:$J$3871&amp;K3336:$K$3871,CHOOSE({1,2},#REF!&amp;#REF!,#REF!),2,0)</f>
        <v>#N/A</v>
      </c>
      <c r="M3336">
        <v>0</v>
      </c>
      <c r="N3336">
        <v>1</v>
      </c>
      <c r="O3336" t="s">
        <v>23</v>
      </c>
      <c r="P3336">
        <v>0</v>
      </c>
      <c r="Q3336">
        <v>0</v>
      </c>
      <c r="R3336">
        <v>0</v>
      </c>
      <c r="S3336">
        <v>1</v>
      </c>
      <c r="T3336">
        <v>0</v>
      </c>
      <c r="U3336">
        <v>0</v>
      </c>
      <c r="V3336">
        <v>1</v>
      </c>
      <c r="W3336">
        <v>1</v>
      </c>
      <c r="X3336">
        <v>1</v>
      </c>
      <c r="Y3336">
        <v>0</v>
      </c>
      <c r="Z3336">
        <v>0</v>
      </c>
      <c r="AA3336" t="s">
        <v>3858</v>
      </c>
      <c r="AB3336" t="s">
        <v>263</v>
      </c>
      <c r="AC3336" t="s">
        <v>3858</v>
      </c>
      <c r="AD3336" t="e">
        <f>VLOOKUP(AB3336,#REF!,2,FALSE)</f>
        <v>#REF!</v>
      </c>
      <c r="AE3336" t="e">
        <f>RIGHT(#REF!,(FIND("Complex",#REF!,1)-5))</f>
        <v>#REF!</v>
      </c>
    </row>
    <row r="3337" spans="1:31" x14ac:dyDescent="0.25">
      <c r="A3337">
        <v>1744</v>
      </c>
      <c r="B3337" t="s">
        <v>262</v>
      </c>
      <c r="C3337">
        <v>73</v>
      </c>
      <c r="D3337">
        <v>759</v>
      </c>
      <c r="E3337">
        <v>1744</v>
      </c>
      <c r="F3337">
        <v>2116801</v>
      </c>
      <c r="G3337">
        <v>2205000</v>
      </c>
      <c r="H3337">
        <f t="shared" si="104"/>
        <v>48.000022675736965</v>
      </c>
      <c r="I3337">
        <f t="shared" si="105"/>
        <v>50</v>
      </c>
      <c r="J3337" t="s">
        <v>25</v>
      </c>
      <c r="K3337">
        <v>4</v>
      </c>
      <c r="L3337" t="e">
        <f t="array" ref="L3337">VLOOKUP(J3337:$J$3871&amp;K3337:$K$3871,CHOOSE({1,2},#REF!&amp;#REF!,#REF!),2,0)</f>
        <v>#N/A</v>
      </c>
      <c r="M3337">
        <v>0</v>
      </c>
      <c r="N3337">
        <v>1</v>
      </c>
      <c r="O3337" t="s">
        <v>23</v>
      </c>
      <c r="P3337">
        <v>0</v>
      </c>
      <c r="Q3337">
        <v>0</v>
      </c>
      <c r="R3337">
        <v>0</v>
      </c>
      <c r="S3337">
        <v>1</v>
      </c>
      <c r="T3337">
        <v>0</v>
      </c>
      <c r="U3337">
        <v>0</v>
      </c>
      <c r="V3337">
        <v>1</v>
      </c>
      <c r="W3337">
        <v>1</v>
      </c>
      <c r="X3337">
        <v>1</v>
      </c>
      <c r="Y3337">
        <v>0</v>
      </c>
      <c r="Z3337">
        <v>0</v>
      </c>
      <c r="AA3337" t="s">
        <v>3886</v>
      </c>
      <c r="AB3337" t="s">
        <v>6531</v>
      </c>
      <c r="AC3337" t="s">
        <v>3886</v>
      </c>
      <c r="AD3337" t="e">
        <f>VLOOKUP(AB3337,#REF!,2,FALSE)</f>
        <v>#REF!</v>
      </c>
      <c r="AE3337" t="e">
        <f>RIGHT(#REF!,(FIND("Complex",#REF!,1)-6))</f>
        <v>#REF!</v>
      </c>
    </row>
    <row r="3338" spans="1:31" x14ac:dyDescent="0.25">
      <c r="A3338">
        <v>1548</v>
      </c>
      <c r="B3338" t="s">
        <v>262</v>
      </c>
      <c r="C3338">
        <v>73</v>
      </c>
      <c r="D3338">
        <v>674</v>
      </c>
      <c r="E3338">
        <v>1548</v>
      </c>
      <c r="F3338">
        <v>2028601</v>
      </c>
      <c r="G3338">
        <v>2116800</v>
      </c>
      <c r="H3338">
        <f t="shared" si="104"/>
        <v>46.000022675736965</v>
      </c>
      <c r="I3338">
        <f t="shared" si="105"/>
        <v>48</v>
      </c>
      <c r="J3338" t="s">
        <v>25</v>
      </c>
      <c r="K3338">
        <v>4</v>
      </c>
      <c r="L3338" t="e">
        <f t="array" ref="L3338">VLOOKUP(J3338:$J$3871&amp;K3338:$K$3871,CHOOSE({1,2},#REF!&amp;#REF!,#REF!),2,0)</f>
        <v>#N/A</v>
      </c>
      <c r="M3338">
        <v>0</v>
      </c>
      <c r="N3338">
        <v>1</v>
      </c>
      <c r="O3338" t="s">
        <v>23</v>
      </c>
      <c r="P3338">
        <v>0</v>
      </c>
      <c r="Q3338">
        <v>0</v>
      </c>
      <c r="R3338">
        <v>0</v>
      </c>
      <c r="S3338">
        <v>1</v>
      </c>
      <c r="T3338">
        <v>0</v>
      </c>
      <c r="U3338">
        <v>0</v>
      </c>
      <c r="V3338">
        <v>1</v>
      </c>
      <c r="W3338">
        <v>1</v>
      </c>
      <c r="X3338">
        <v>1</v>
      </c>
      <c r="Y3338">
        <v>0</v>
      </c>
      <c r="Z3338">
        <v>0</v>
      </c>
      <c r="AA3338" t="s">
        <v>3899</v>
      </c>
      <c r="AB3338" t="s">
        <v>6539</v>
      </c>
      <c r="AC3338" t="s">
        <v>3899</v>
      </c>
      <c r="AD3338" t="e">
        <f>VLOOKUP(AB3338,#REF!,2,FALSE)</f>
        <v>#REF!</v>
      </c>
      <c r="AE3338" t="e">
        <f>RIGHT(#REF!,(FIND("Complex",#REF!,1)-6))</f>
        <v>#REF!</v>
      </c>
    </row>
    <row r="3339" spans="1:31" x14ac:dyDescent="0.25">
      <c r="A3339">
        <v>191</v>
      </c>
      <c r="B3339" t="s">
        <v>262</v>
      </c>
      <c r="C3339">
        <v>73</v>
      </c>
      <c r="D3339">
        <v>78</v>
      </c>
      <c r="E3339">
        <v>191</v>
      </c>
      <c r="F3339">
        <v>1764001</v>
      </c>
      <c r="G3339">
        <v>1852200</v>
      </c>
      <c r="H3339">
        <f t="shared" si="104"/>
        <v>40.000022675736965</v>
      </c>
      <c r="I3339">
        <f t="shared" si="105"/>
        <v>42</v>
      </c>
      <c r="J3339" t="s">
        <v>25</v>
      </c>
      <c r="K3339">
        <v>4</v>
      </c>
      <c r="L3339" t="e">
        <f t="array" ref="L3339">VLOOKUP(J3339:$J$3871&amp;K3339:$K$3871,CHOOSE({1,2},#REF!&amp;#REF!,#REF!),2,0)</f>
        <v>#N/A</v>
      </c>
      <c r="M3339">
        <v>0</v>
      </c>
      <c r="N3339">
        <v>1</v>
      </c>
      <c r="O3339" t="s">
        <v>23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1</v>
      </c>
      <c r="W3339">
        <v>1</v>
      </c>
      <c r="X3339">
        <v>1</v>
      </c>
      <c r="Y3339">
        <v>0</v>
      </c>
      <c r="Z3339">
        <v>0</v>
      </c>
      <c r="AA3339" t="s">
        <v>3940</v>
      </c>
      <c r="AB3339" t="s">
        <v>6564</v>
      </c>
      <c r="AC3339" t="s">
        <v>3940</v>
      </c>
      <c r="AD3339" t="e">
        <f>VLOOKUP(AB3339,#REF!,2,FALSE)</f>
        <v>#REF!</v>
      </c>
      <c r="AE3339" t="e">
        <f>RIGHT(#REF!,(FIND("Complex",#REF!,1)-5))</f>
        <v>#REF!</v>
      </c>
    </row>
    <row r="3340" spans="1:31" x14ac:dyDescent="0.25">
      <c r="A3340">
        <v>1483</v>
      </c>
      <c r="B3340" t="s">
        <v>262</v>
      </c>
      <c r="C3340">
        <v>73</v>
      </c>
      <c r="D3340">
        <v>649</v>
      </c>
      <c r="E3340">
        <v>1483</v>
      </c>
      <c r="F3340">
        <v>176401</v>
      </c>
      <c r="G3340">
        <v>264600</v>
      </c>
      <c r="H3340">
        <f t="shared" si="104"/>
        <v>4.000022675736961</v>
      </c>
      <c r="I3340">
        <f t="shared" si="105"/>
        <v>6</v>
      </c>
      <c r="J3340" t="s">
        <v>25</v>
      </c>
      <c r="K3340">
        <v>4</v>
      </c>
      <c r="L3340" t="e">
        <f t="array" ref="L3340">VLOOKUP(J3340:$J$3871&amp;K3340:$K$3871,CHOOSE({1,2},#REF!&amp;#REF!,#REF!),2,0)</f>
        <v>#N/A</v>
      </c>
      <c r="M3340">
        <v>0</v>
      </c>
      <c r="N3340">
        <v>1</v>
      </c>
      <c r="O3340" t="s">
        <v>23</v>
      </c>
      <c r="P3340">
        <v>0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1</v>
      </c>
      <c r="W3340">
        <v>1</v>
      </c>
      <c r="X3340">
        <v>1</v>
      </c>
      <c r="Y3340">
        <v>0</v>
      </c>
      <c r="Z3340">
        <v>0</v>
      </c>
      <c r="AA3340" t="s">
        <v>3959</v>
      </c>
      <c r="AB3340" t="s">
        <v>6574</v>
      </c>
      <c r="AC3340" t="s">
        <v>3959</v>
      </c>
      <c r="AD3340" t="e">
        <f>VLOOKUP(AB3340,#REF!,2,FALSE)</f>
        <v>#REF!</v>
      </c>
      <c r="AE3340" t="e">
        <f>RIGHT(#REF!,(FIND("Complex",#REF!,1)-7))</f>
        <v>#REF!</v>
      </c>
    </row>
    <row r="3341" spans="1:31" x14ac:dyDescent="0.25">
      <c r="A3341">
        <v>759</v>
      </c>
      <c r="B3341" t="s">
        <v>262</v>
      </c>
      <c r="C3341">
        <v>73</v>
      </c>
      <c r="D3341">
        <v>339</v>
      </c>
      <c r="E3341">
        <v>759</v>
      </c>
      <c r="F3341">
        <v>1411201</v>
      </c>
      <c r="G3341">
        <v>1499400</v>
      </c>
      <c r="H3341">
        <f t="shared" si="104"/>
        <v>32.000022675736965</v>
      </c>
      <c r="I3341">
        <f t="shared" si="105"/>
        <v>34</v>
      </c>
      <c r="J3341" t="s">
        <v>25</v>
      </c>
      <c r="K3341">
        <v>4</v>
      </c>
      <c r="L3341" t="e">
        <f t="array" ref="L3341">VLOOKUP(J3341:$J$3871&amp;K3341:$K$3871,CHOOSE({1,2},#REF!&amp;#REF!,#REF!),2,0)</f>
        <v>#N/A</v>
      </c>
      <c r="M3341">
        <v>0</v>
      </c>
      <c r="N3341">
        <v>1</v>
      </c>
      <c r="O3341" t="s">
        <v>23</v>
      </c>
      <c r="P3341">
        <v>0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1</v>
      </c>
      <c r="W3341">
        <v>1</v>
      </c>
      <c r="X3341">
        <v>1</v>
      </c>
      <c r="Y3341">
        <v>0</v>
      </c>
      <c r="Z3341">
        <v>0</v>
      </c>
      <c r="AA3341" t="s">
        <v>4036</v>
      </c>
      <c r="AB3341" t="s">
        <v>6620</v>
      </c>
      <c r="AC3341" t="s">
        <v>4036</v>
      </c>
      <c r="AD3341" t="e">
        <f>VLOOKUP(AB3341,#REF!,2,FALSE)</f>
        <v>#REF!</v>
      </c>
      <c r="AE3341" t="e">
        <f>RIGHT(#REF!,(FIND("Complex",#REF!,1)-5))</f>
        <v>#REF!</v>
      </c>
    </row>
    <row r="3342" spans="1:31" x14ac:dyDescent="0.25">
      <c r="A3342">
        <v>1333</v>
      </c>
      <c r="B3342" t="s">
        <v>262</v>
      </c>
      <c r="C3342">
        <v>73</v>
      </c>
      <c r="D3342">
        <v>581</v>
      </c>
      <c r="E3342">
        <v>1333</v>
      </c>
      <c r="F3342">
        <v>1323001</v>
      </c>
      <c r="G3342">
        <v>1411200</v>
      </c>
      <c r="H3342">
        <f t="shared" si="104"/>
        <v>30.000022675736961</v>
      </c>
      <c r="I3342">
        <f t="shared" si="105"/>
        <v>32</v>
      </c>
      <c r="J3342" t="s">
        <v>25</v>
      </c>
      <c r="K3342">
        <v>4</v>
      </c>
      <c r="L3342" t="e">
        <f t="array" ref="L3342">VLOOKUP(J3342:$J$3871&amp;K3342:$K$3871,CHOOSE({1,2},#REF!&amp;#REF!,#REF!),2,0)</f>
        <v>#N/A</v>
      </c>
      <c r="M3342">
        <v>0</v>
      </c>
      <c r="N3342">
        <v>1</v>
      </c>
      <c r="O3342" t="s">
        <v>23</v>
      </c>
      <c r="P3342">
        <v>0</v>
      </c>
      <c r="Q3342">
        <v>0</v>
      </c>
      <c r="R3342">
        <v>0</v>
      </c>
      <c r="S3342">
        <v>1</v>
      </c>
      <c r="T3342">
        <v>0</v>
      </c>
      <c r="U3342">
        <v>0</v>
      </c>
      <c r="V3342">
        <v>1</v>
      </c>
      <c r="W3342">
        <v>1</v>
      </c>
      <c r="X3342">
        <v>1</v>
      </c>
      <c r="Y3342">
        <v>0</v>
      </c>
      <c r="Z3342">
        <v>0</v>
      </c>
      <c r="AA3342" t="s">
        <v>4060</v>
      </c>
      <c r="AB3342" t="s">
        <v>6635</v>
      </c>
      <c r="AC3342" t="s">
        <v>4060</v>
      </c>
      <c r="AD3342" t="e">
        <f>VLOOKUP(AB3342,#REF!,2,FALSE)</f>
        <v>#REF!</v>
      </c>
      <c r="AE3342" t="e">
        <f>RIGHT(#REF!,(FIND("Complex",#REF!,1)-6))</f>
        <v>#REF!</v>
      </c>
    </row>
    <row r="3343" spans="1:31" x14ac:dyDescent="0.25">
      <c r="A3343">
        <v>1198</v>
      </c>
      <c r="B3343" t="s">
        <v>262</v>
      </c>
      <c r="C3343">
        <v>73</v>
      </c>
      <c r="D3343">
        <v>529</v>
      </c>
      <c r="E3343">
        <v>1198</v>
      </c>
      <c r="F3343">
        <v>1234801</v>
      </c>
      <c r="G3343">
        <v>1323000</v>
      </c>
      <c r="H3343">
        <f t="shared" si="104"/>
        <v>28.000022675736961</v>
      </c>
      <c r="I3343">
        <f t="shared" si="105"/>
        <v>30</v>
      </c>
      <c r="J3343" t="s">
        <v>25</v>
      </c>
      <c r="K3343">
        <v>4</v>
      </c>
      <c r="L3343" t="e">
        <f t="array" ref="L3343">VLOOKUP(J3343:$J$3871&amp;K3343:$K$3871,CHOOSE({1,2},#REF!&amp;#REF!,#REF!),2,0)</f>
        <v>#N/A</v>
      </c>
      <c r="M3343">
        <v>0</v>
      </c>
      <c r="N3343">
        <v>1</v>
      </c>
      <c r="O3343" t="s">
        <v>23</v>
      </c>
      <c r="P3343">
        <v>0</v>
      </c>
      <c r="Q3343">
        <v>0</v>
      </c>
      <c r="R3343">
        <v>0</v>
      </c>
      <c r="S3343">
        <v>1</v>
      </c>
      <c r="T3343">
        <v>0</v>
      </c>
      <c r="U3343">
        <v>0</v>
      </c>
      <c r="V3343">
        <v>1</v>
      </c>
      <c r="W3343">
        <v>1</v>
      </c>
      <c r="X3343">
        <v>1</v>
      </c>
      <c r="Y3343">
        <v>0</v>
      </c>
      <c r="Z3343">
        <v>0</v>
      </c>
      <c r="AA3343" t="s">
        <v>4098</v>
      </c>
      <c r="AB3343" t="s">
        <v>6663</v>
      </c>
      <c r="AC3343" t="s">
        <v>4098</v>
      </c>
      <c r="AD3343" t="e">
        <f>VLOOKUP(AB3343,#REF!,2,FALSE)</f>
        <v>#REF!</v>
      </c>
      <c r="AE3343" t="e">
        <f>RIGHT(#REF!,(FIND("Complex",#REF!,1)-6))</f>
        <v>#REF!</v>
      </c>
    </row>
    <row r="3344" spans="1:31" x14ac:dyDescent="0.25">
      <c r="A3344">
        <v>487</v>
      </c>
      <c r="B3344" t="s">
        <v>262</v>
      </c>
      <c r="C3344">
        <v>73</v>
      </c>
      <c r="D3344">
        <v>201</v>
      </c>
      <c r="E3344">
        <v>487</v>
      </c>
      <c r="F3344">
        <v>1146601</v>
      </c>
      <c r="G3344">
        <v>1234800</v>
      </c>
      <c r="H3344">
        <f t="shared" si="104"/>
        <v>26.000022675736961</v>
      </c>
      <c r="I3344">
        <f t="shared" si="105"/>
        <v>28</v>
      </c>
      <c r="J3344" t="s">
        <v>25</v>
      </c>
      <c r="K3344">
        <v>4</v>
      </c>
      <c r="L3344" t="e">
        <f t="array" ref="L3344">VLOOKUP(J3344:$J$3871&amp;K3344:$K$3871,CHOOSE({1,2},#REF!&amp;#REF!,#REF!),2,0)</f>
        <v>#N/A</v>
      </c>
      <c r="M3344">
        <v>0</v>
      </c>
      <c r="N3344">
        <v>1</v>
      </c>
      <c r="O3344" t="s">
        <v>23</v>
      </c>
      <c r="P3344">
        <v>0</v>
      </c>
      <c r="Q3344">
        <v>0</v>
      </c>
      <c r="R3344">
        <v>0</v>
      </c>
      <c r="S3344">
        <v>1</v>
      </c>
      <c r="T3344">
        <v>0</v>
      </c>
      <c r="U3344">
        <v>0</v>
      </c>
      <c r="V3344">
        <v>1</v>
      </c>
      <c r="W3344">
        <v>1</v>
      </c>
      <c r="X3344">
        <v>1</v>
      </c>
      <c r="Y3344">
        <v>0</v>
      </c>
      <c r="Z3344">
        <v>0</v>
      </c>
      <c r="AA3344" t="s">
        <v>4143</v>
      </c>
      <c r="AB3344" t="s">
        <v>1573</v>
      </c>
      <c r="AC3344" t="s">
        <v>4143</v>
      </c>
      <c r="AD3344" t="e">
        <f>VLOOKUP(AB3344,#REF!,2,FALSE)</f>
        <v>#REF!</v>
      </c>
      <c r="AE3344" t="e">
        <f>RIGHT(#REF!,(FIND("Complex",#REF!,1)-5))</f>
        <v>#REF!</v>
      </c>
    </row>
    <row r="3345" spans="1:31" x14ac:dyDescent="0.25">
      <c r="A3345">
        <v>385</v>
      </c>
      <c r="B3345" t="s">
        <v>262</v>
      </c>
      <c r="C3345">
        <v>73</v>
      </c>
      <c r="D3345">
        <v>161</v>
      </c>
      <c r="E3345">
        <v>385</v>
      </c>
      <c r="F3345">
        <v>1058401</v>
      </c>
      <c r="G3345">
        <v>1146600</v>
      </c>
      <c r="H3345">
        <f t="shared" si="104"/>
        <v>24.000022675736961</v>
      </c>
      <c r="I3345">
        <f t="shared" si="105"/>
        <v>26</v>
      </c>
      <c r="J3345" t="s">
        <v>25</v>
      </c>
      <c r="K3345">
        <v>4</v>
      </c>
      <c r="L3345" t="e">
        <f t="array" ref="L3345">VLOOKUP(J3345:$J$3871&amp;K3345:$K$3871,CHOOSE({1,2},#REF!&amp;#REF!,#REF!),2,0)</f>
        <v>#N/A</v>
      </c>
      <c r="M3345">
        <v>0</v>
      </c>
      <c r="N3345">
        <v>1</v>
      </c>
      <c r="O3345" t="s">
        <v>23</v>
      </c>
      <c r="P3345">
        <v>0</v>
      </c>
      <c r="Q3345">
        <v>0</v>
      </c>
      <c r="R3345">
        <v>0</v>
      </c>
      <c r="S3345">
        <v>1</v>
      </c>
      <c r="T3345">
        <v>0</v>
      </c>
      <c r="U3345">
        <v>0</v>
      </c>
      <c r="V3345">
        <v>1</v>
      </c>
      <c r="W3345">
        <v>1</v>
      </c>
      <c r="X3345">
        <v>1</v>
      </c>
      <c r="Y3345">
        <v>0</v>
      </c>
      <c r="Z3345">
        <v>0</v>
      </c>
      <c r="AA3345" t="s">
        <v>4181</v>
      </c>
      <c r="AB3345" t="s">
        <v>6724</v>
      </c>
      <c r="AC3345" t="s">
        <v>4181</v>
      </c>
      <c r="AD3345" t="e">
        <f>VLOOKUP(AB3345,#REF!,2,FALSE)</f>
        <v>#REF!</v>
      </c>
      <c r="AE3345" t="e">
        <f>RIGHT(#REF!,(FIND("Complex",#REF!,1)-5))</f>
        <v>#REF!</v>
      </c>
    </row>
    <row r="3346" spans="1:31" x14ac:dyDescent="0.25">
      <c r="A3346">
        <v>546</v>
      </c>
      <c r="B3346" t="s">
        <v>262</v>
      </c>
      <c r="C3346">
        <v>73</v>
      </c>
      <c r="D3346">
        <v>229</v>
      </c>
      <c r="E3346">
        <v>546</v>
      </c>
      <c r="F3346">
        <v>793801</v>
      </c>
      <c r="G3346">
        <v>882000</v>
      </c>
      <c r="H3346">
        <f t="shared" si="104"/>
        <v>18.000022675736961</v>
      </c>
      <c r="I3346">
        <f t="shared" si="105"/>
        <v>20</v>
      </c>
      <c r="J3346" t="s">
        <v>25</v>
      </c>
      <c r="K3346">
        <v>4</v>
      </c>
      <c r="L3346" t="e">
        <f t="array" ref="L3346">VLOOKUP(J3346:$J$3871&amp;K3346:$K$3871,CHOOSE({1,2},#REF!&amp;#REF!,#REF!),2,0)</f>
        <v>#N/A</v>
      </c>
      <c r="M3346">
        <v>0</v>
      </c>
      <c r="N3346">
        <v>1</v>
      </c>
      <c r="O3346" t="s">
        <v>23</v>
      </c>
      <c r="P3346">
        <v>0</v>
      </c>
      <c r="Q3346">
        <v>0</v>
      </c>
      <c r="R3346">
        <v>0</v>
      </c>
      <c r="S3346">
        <v>1</v>
      </c>
      <c r="T3346">
        <v>0</v>
      </c>
      <c r="U3346">
        <v>0</v>
      </c>
      <c r="V3346">
        <v>1</v>
      </c>
      <c r="W3346">
        <v>1</v>
      </c>
      <c r="X3346">
        <v>1</v>
      </c>
      <c r="Y3346">
        <v>0</v>
      </c>
      <c r="Z3346">
        <v>0</v>
      </c>
      <c r="AA3346" t="s">
        <v>4408</v>
      </c>
      <c r="AB3346" t="s">
        <v>6864</v>
      </c>
      <c r="AC3346" t="s">
        <v>4408</v>
      </c>
      <c r="AD3346" t="e">
        <f>VLOOKUP(AB3346,#REF!,2,FALSE)</f>
        <v>#REF!</v>
      </c>
      <c r="AE3346" t="e">
        <f>RIGHT(#REF!,(FIND("Complex",#REF!,1)-5))</f>
        <v>#REF!</v>
      </c>
    </row>
    <row r="3347" spans="1:31" x14ac:dyDescent="0.25">
      <c r="A3347">
        <v>44</v>
      </c>
      <c r="B3347" t="s">
        <v>262</v>
      </c>
      <c r="C3347">
        <v>73</v>
      </c>
      <c r="D3347">
        <v>21</v>
      </c>
      <c r="E3347">
        <v>44</v>
      </c>
      <c r="F3347">
        <v>705601</v>
      </c>
      <c r="G3347">
        <v>793800</v>
      </c>
      <c r="H3347">
        <f t="shared" si="104"/>
        <v>16.000022675736961</v>
      </c>
      <c r="I3347">
        <f t="shared" si="105"/>
        <v>18</v>
      </c>
      <c r="J3347" t="s">
        <v>25</v>
      </c>
      <c r="K3347">
        <v>4</v>
      </c>
      <c r="L3347" t="e">
        <f t="array" ref="L3347">VLOOKUP(J3347:$J$3871&amp;K3347:$K$3871,CHOOSE({1,2},#REF!&amp;#REF!,#REF!),2,0)</f>
        <v>#N/A</v>
      </c>
      <c r="M3347">
        <v>0</v>
      </c>
      <c r="N3347">
        <v>1</v>
      </c>
      <c r="O3347" t="s">
        <v>23</v>
      </c>
      <c r="P3347">
        <v>0</v>
      </c>
      <c r="Q3347">
        <v>0</v>
      </c>
      <c r="R3347">
        <v>0</v>
      </c>
      <c r="S3347">
        <v>1</v>
      </c>
      <c r="T3347">
        <v>0</v>
      </c>
      <c r="U3347">
        <v>0</v>
      </c>
      <c r="V3347">
        <v>1</v>
      </c>
      <c r="W3347">
        <v>1</v>
      </c>
      <c r="X3347">
        <v>1</v>
      </c>
      <c r="Y3347">
        <v>0</v>
      </c>
      <c r="Z3347">
        <v>0</v>
      </c>
      <c r="AA3347" t="s">
        <v>4495</v>
      </c>
      <c r="AB3347" t="s">
        <v>6920</v>
      </c>
      <c r="AC3347" t="s">
        <v>4495</v>
      </c>
      <c r="AD3347" t="e">
        <f>VLOOKUP(AB3347,#REF!,2,FALSE)</f>
        <v>#REF!</v>
      </c>
      <c r="AE3347" t="e">
        <f>RIGHT(#REF!,(FIND("Complex",#REF!,1)-4))</f>
        <v>#REF!</v>
      </c>
    </row>
    <row r="3348" spans="1:31" x14ac:dyDescent="0.25">
      <c r="A3348">
        <v>1696</v>
      </c>
      <c r="B3348" t="s">
        <v>262</v>
      </c>
      <c r="C3348">
        <v>73</v>
      </c>
      <c r="D3348">
        <v>742</v>
      </c>
      <c r="E3348">
        <v>1696</v>
      </c>
      <c r="F3348">
        <v>617401</v>
      </c>
      <c r="G3348">
        <v>705600</v>
      </c>
      <c r="H3348">
        <f t="shared" si="104"/>
        <v>14.000022675736961</v>
      </c>
      <c r="I3348">
        <f t="shared" si="105"/>
        <v>16</v>
      </c>
      <c r="J3348" t="s">
        <v>25</v>
      </c>
      <c r="K3348">
        <v>4</v>
      </c>
      <c r="L3348" t="e">
        <f t="array" ref="L3348">VLOOKUP(J3348:$J$3871&amp;K3348:$K$3871,CHOOSE({1,2},#REF!&amp;#REF!,#REF!),2,0)</f>
        <v>#N/A</v>
      </c>
      <c r="M3348">
        <v>0</v>
      </c>
      <c r="N3348">
        <v>1</v>
      </c>
      <c r="O3348" t="s">
        <v>23</v>
      </c>
      <c r="P3348">
        <v>0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1</v>
      </c>
      <c r="W3348">
        <v>1</v>
      </c>
      <c r="X3348">
        <v>1</v>
      </c>
      <c r="Y3348">
        <v>0</v>
      </c>
      <c r="Z3348">
        <v>0</v>
      </c>
      <c r="AA3348" t="s">
        <v>4612</v>
      </c>
      <c r="AB3348" t="s">
        <v>1574</v>
      </c>
      <c r="AC3348" t="s">
        <v>4612</v>
      </c>
      <c r="AD3348" t="e">
        <f>VLOOKUP(AB3348,#REF!,2,FALSE)</f>
        <v>#REF!</v>
      </c>
      <c r="AE3348" t="e">
        <f>RIGHT(#REF!,(FIND("Complex",#REF!,1)-6))</f>
        <v>#REF!</v>
      </c>
    </row>
    <row r="3349" spans="1:31" x14ac:dyDescent="0.25">
      <c r="A3349">
        <v>1418</v>
      </c>
      <c r="B3349" t="s">
        <v>262</v>
      </c>
      <c r="C3349">
        <v>73</v>
      </c>
      <c r="D3349">
        <v>620</v>
      </c>
      <c r="E3349">
        <v>1418</v>
      </c>
      <c r="F3349">
        <v>441001</v>
      </c>
      <c r="G3349">
        <v>529200</v>
      </c>
      <c r="H3349">
        <f t="shared" si="104"/>
        <v>10.000022675736961</v>
      </c>
      <c r="I3349">
        <f t="shared" si="105"/>
        <v>12</v>
      </c>
      <c r="J3349" t="s">
        <v>25</v>
      </c>
      <c r="K3349">
        <v>4</v>
      </c>
      <c r="L3349" t="e">
        <f t="array" ref="L3349">VLOOKUP(J3349:$J$3871&amp;K3349:$K$3871,CHOOSE({1,2},#REF!&amp;#REF!,#REF!),2,0)</f>
        <v>#N/A</v>
      </c>
      <c r="M3349">
        <v>0</v>
      </c>
      <c r="N3349">
        <v>1</v>
      </c>
      <c r="O3349" t="s">
        <v>23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1</v>
      </c>
      <c r="W3349">
        <v>1</v>
      </c>
      <c r="X3349">
        <v>1</v>
      </c>
      <c r="Y3349">
        <v>0</v>
      </c>
      <c r="Z3349">
        <v>0</v>
      </c>
      <c r="AA3349" t="s">
        <v>4856</v>
      </c>
      <c r="AB3349" t="s">
        <v>7142</v>
      </c>
      <c r="AC3349" t="s">
        <v>4856</v>
      </c>
      <c r="AD3349" t="e">
        <f>VLOOKUP(AB3349,#REF!,2,FALSE)</f>
        <v>#REF!</v>
      </c>
      <c r="AE3349" t="e">
        <f>RIGHT(#REF!,(FIND("Complex",#REF!,1)-6))</f>
        <v>#REF!</v>
      </c>
    </row>
    <row r="3350" spans="1:31" x14ac:dyDescent="0.25">
      <c r="A3350">
        <v>224</v>
      </c>
      <c r="B3350" t="s">
        <v>264</v>
      </c>
      <c r="C3350">
        <v>74</v>
      </c>
      <c r="D3350">
        <v>94</v>
      </c>
      <c r="E3350">
        <v>224</v>
      </c>
      <c r="F3350">
        <v>4233601</v>
      </c>
      <c r="G3350">
        <v>4321800</v>
      </c>
      <c r="H3350">
        <f t="shared" si="104"/>
        <v>96.000022675736957</v>
      </c>
      <c r="I3350">
        <f t="shared" si="105"/>
        <v>98</v>
      </c>
      <c r="J3350" t="s">
        <v>25</v>
      </c>
      <c r="K3350">
        <v>4</v>
      </c>
      <c r="L3350" t="e">
        <f t="array" ref="L3350">VLOOKUP(J3350:$J$3871&amp;K3350:$K$3871,CHOOSE({1,2},#REF!&amp;#REF!,#REF!),2,0)</f>
        <v>#N/A</v>
      </c>
      <c r="M3350">
        <v>0</v>
      </c>
      <c r="N3350">
        <v>1</v>
      </c>
      <c r="O3350" t="s">
        <v>23</v>
      </c>
      <c r="P3350">
        <v>0</v>
      </c>
      <c r="Q3350">
        <v>0</v>
      </c>
      <c r="R3350">
        <v>0</v>
      </c>
      <c r="S3350">
        <v>1</v>
      </c>
      <c r="T3350">
        <v>0</v>
      </c>
      <c r="U3350">
        <v>0</v>
      </c>
      <c r="V3350">
        <v>1</v>
      </c>
      <c r="W3350">
        <v>1</v>
      </c>
      <c r="X3350">
        <v>1</v>
      </c>
      <c r="Y3350">
        <v>0</v>
      </c>
      <c r="Z3350">
        <v>0</v>
      </c>
      <c r="AA3350" t="s">
        <v>3515</v>
      </c>
      <c r="AB3350" t="s">
        <v>6323</v>
      </c>
      <c r="AC3350" t="s">
        <v>3515</v>
      </c>
      <c r="AD3350" t="e">
        <f>VLOOKUP(AB3350,#REF!,2,FALSE)</f>
        <v>#REF!</v>
      </c>
      <c r="AE3350" t="e">
        <f>RIGHT(#REF!,(FIND("Complex",#REF!,1)-5))</f>
        <v>#REF!</v>
      </c>
    </row>
    <row r="3351" spans="1:31" x14ac:dyDescent="0.25">
      <c r="A3351">
        <v>1337</v>
      </c>
      <c r="B3351" t="s">
        <v>264</v>
      </c>
      <c r="C3351">
        <v>74</v>
      </c>
      <c r="D3351">
        <v>583</v>
      </c>
      <c r="E3351">
        <v>1337</v>
      </c>
      <c r="F3351">
        <v>3969001</v>
      </c>
      <c r="G3351">
        <v>4057200</v>
      </c>
      <c r="H3351">
        <f t="shared" si="104"/>
        <v>90.000022675736957</v>
      </c>
      <c r="I3351">
        <f t="shared" si="105"/>
        <v>92</v>
      </c>
      <c r="J3351" t="s">
        <v>25</v>
      </c>
      <c r="K3351">
        <v>4</v>
      </c>
      <c r="L3351" t="e">
        <f t="array" ref="L3351">VLOOKUP(J3351:$J$3871&amp;K3351:$K$3871,CHOOSE({1,2},#REF!&amp;#REF!,#REF!),2,0)</f>
        <v>#N/A</v>
      </c>
      <c r="M3351">
        <v>0</v>
      </c>
      <c r="N3351">
        <v>1</v>
      </c>
      <c r="O3351" t="s">
        <v>23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0</v>
      </c>
      <c r="V3351">
        <v>1</v>
      </c>
      <c r="W3351">
        <v>1</v>
      </c>
      <c r="X3351">
        <v>1</v>
      </c>
      <c r="Y3351">
        <v>0</v>
      </c>
      <c r="Z3351">
        <v>0</v>
      </c>
      <c r="AA3351" t="s">
        <v>3550</v>
      </c>
      <c r="AB3351" t="s">
        <v>6339</v>
      </c>
      <c r="AC3351" t="s">
        <v>3550</v>
      </c>
      <c r="AD3351" t="e">
        <f>VLOOKUP(AB3351,#REF!,2,FALSE)</f>
        <v>#REF!</v>
      </c>
      <c r="AE3351" t="e">
        <f>RIGHT(#REF!,(FIND("Complex",#REF!,1)-6))</f>
        <v>#REF!</v>
      </c>
    </row>
    <row r="3352" spans="1:31" x14ac:dyDescent="0.25">
      <c r="A3352">
        <v>967</v>
      </c>
      <c r="B3352" t="s">
        <v>264</v>
      </c>
      <c r="C3352">
        <v>74</v>
      </c>
      <c r="D3352">
        <v>427</v>
      </c>
      <c r="E3352">
        <v>967</v>
      </c>
      <c r="F3352">
        <v>3880801</v>
      </c>
      <c r="G3352">
        <v>3969000</v>
      </c>
      <c r="H3352">
        <f t="shared" si="104"/>
        <v>88.000022675736957</v>
      </c>
      <c r="I3352">
        <f t="shared" si="105"/>
        <v>90</v>
      </c>
      <c r="J3352" t="s">
        <v>25</v>
      </c>
      <c r="K3352">
        <v>4</v>
      </c>
      <c r="L3352" t="e">
        <f t="array" ref="L3352">VLOOKUP(J3352:$J$3871&amp;K3352:$K$3871,CHOOSE({1,2},#REF!&amp;#REF!,#REF!),2,0)</f>
        <v>#N/A</v>
      </c>
      <c r="M3352">
        <v>0</v>
      </c>
      <c r="N3352">
        <v>1</v>
      </c>
      <c r="O3352" t="s">
        <v>23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  <c r="V3352">
        <v>1</v>
      </c>
      <c r="W3352">
        <v>1</v>
      </c>
      <c r="X3352">
        <v>1</v>
      </c>
      <c r="Y3352">
        <v>0</v>
      </c>
      <c r="Z3352">
        <v>0</v>
      </c>
      <c r="AA3352" t="s">
        <v>3570</v>
      </c>
      <c r="AB3352" t="s">
        <v>6352</v>
      </c>
      <c r="AC3352" t="s">
        <v>3570</v>
      </c>
      <c r="AD3352" t="e">
        <f>VLOOKUP(AB3352,#REF!,2,FALSE)</f>
        <v>#REF!</v>
      </c>
      <c r="AE3352" t="e">
        <f>RIGHT(#REF!,(FIND("Complex",#REF!,1)-5))</f>
        <v>#REF!</v>
      </c>
    </row>
    <row r="3353" spans="1:31" x14ac:dyDescent="0.25">
      <c r="A3353">
        <v>1451</v>
      </c>
      <c r="B3353" t="s">
        <v>264</v>
      </c>
      <c r="C3353">
        <v>74</v>
      </c>
      <c r="D3353">
        <v>634</v>
      </c>
      <c r="E3353">
        <v>1451</v>
      </c>
      <c r="F3353">
        <v>3528001</v>
      </c>
      <c r="G3353">
        <v>3616200</v>
      </c>
      <c r="H3353">
        <f t="shared" si="104"/>
        <v>80.000022675736957</v>
      </c>
      <c r="I3353">
        <f t="shared" si="105"/>
        <v>82</v>
      </c>
      <c r="J3353" t="s">
        <v>25</v>
      </c>
      <c r="K3353">
        <v>4</v>
      </c>
      <c r="L3353" t="e">
        <f t="array" ref="L3353">VLOOKUP(J3353:$J$3871&amp;K3353:$K$3871,CHOOSE({1,2},#REF!&amp;#REF!,#REF!),2,0)</f>
        <v>#N/A</v>
      </c>
      <c r="M3353">
        <v>0</v>
      </c>
      <c r="N3353">
        <v>1</v>
      </c>
      <c r="O3353" t="s">
        <v>23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0</v>
      </c>
      <c r="V3353">
        <v>1</v>
      </c>
      <c r="W3353">
        <v>1</v>
      </c>
      <c r="X3353">
        <v>1</v>
      </c>
      <c r="Y3353">
        <v>0</v>
      </c>
      <c r="Z3353">
        <v>0</v>
      </c>
      <c r="AA3353" t="s">
        <v>3623</v>
      </c>
      <c r="AB3353" t="s">
        <v>6381</v>
      </c>
      <c r="AC3353" t="s">
        <v>3623</v>
      </c>
      <c r="AD3353" t="e">
        <f>VLOOKUP(AB3353,#REF!,2,FALSE)</f>
        <v>#REF!</v>
      </c>
      <c r="AE3353" t="e">
        <f>RIGHT(#REF!,(FIND("Complex",#REF!,1)-6))</f>
        <v>#REF!</v>
      </c>
    </row>
    <row r="3354" spans="1:31" x14ac:dyDescent="0.25">
      <c r="A3354">
        <v>1082</v>
      </c>
      <c r="B3354" t="s">
        <v>264</v>
      </c>
      <c r="C3354">
        <v>74</v>
      </c>
      <c r="D3354">
        <v>480</v>
      </c>
      <c r="E3354">
        <v>1082</v>
      </c>
      <c r="F3354">
        <v>2734201</v>
      </c>
      <c r="G3354">
        <v>2822400</v>
      </c>
      <c r="H3354">
        <f t="shared" si="104"/>
        <v>62.000022675736965</v>
      </c>
      <c r="I3354">
        <f t="shared" si="105"/>
        <v>64</v>
      </c>
      <c r="J3354" t="s">
        <v>25</v>
      </c>
      <c r="K3354">
        <v>4</v>
      </c>
      <c r="L3354" t="e">
        <f t="array" ref="L3354">VLOOKUP(J3354:$J$3871&amp;K3354:$K$3871,CHOOSE({1,2},#REF!&amp;#REF!,#REF!),2,0)</f>
        <v>#N/A</v>
      </c>
      <c r="M3354">
        <v>0</v>
      </c>
      <c r="N3354">
        <v>1</v>
      </c>
      <c r="O3354" t="s">
        <v>23</v>
      </c>
      <c r="P3354">
        <v>0</v>
      </c>
      <c r="Q3354">
        <v>0</v>
      </c>
      <c r="R3354">
        <v>0</v>
      </c>
      <c r="S3354">
        <v>1</v>
      </c>
      <c r="T3354">
        <v>0</v>
      </c>
      <c r="U3354">
        <v>0</v>
      </c>
      <c r="V3354">
        <v>1</v>
      </c>
      <c r="W3354">
        <v>1</v>
      </c>
      <c r="X3354">
        <v>1</v>
      </c>
      <c r="Y3354">
        <v>0</v>
      </c>
      <c r="Z3354">
        <v>0</v>
      </c>
      <c r="AA3354" t="s">
        <v>3759</v>
      </c>
      <c r="AB3354" t="s">
        <v>6459</v>
      </c>
      <c r="AC3354" t="s">
        <v>3759</v>
      </c>
      <c r="AD3354" t="e">
        <f>VLOOKUP(AB3354,#REF!,2,FALSE)</f>
        <v>#REF!</v>
      </c>
      <c r="AE3354" t="e">
        <f>RIGHT(#REF!,(FIND("Complex",#REF!,1)-6))</f>
        <v>#REF!</v>
      </c>
    </row>
    <row r="3355" spans="1:31" x14ac:dyDescent="0.25">
      <c r="A3355">
        <v>776</v>
      </c>
      <c r="B3355" t="s">
        <v>264</v>
      </c>
      <c r="C3355">
        <v>74</v>
      </c>
      <c r="D3355">
        <v>348</v>
      </c>
      <c r="E3355">
        <v>776</v>
      </c>
      <c r="F3355">
        <v>2646001</v>
      </c>
      <c r="G3355">
        <v>2734200</v>
      </c>
      <c r="H3355">
        <f t="shared" si="104"/>
        <v>60.000022675736965</v>
      </c>
      <c r="I3355">
        <f t="shared" si="105"/>
        <v>62</v>
      </c>
      <c r="J3355" t="s">
        <v>25</v>
      </c>
      <c r="K3355">
        <v>4</v>
      </c>
      <c r="L3355" t="e">
        <f t="array" ref="L3355">VLOOKUP(J3355:$J$3871&amp;K3355:$K$3871,CHOOSE({1,2},#REF!&amp;#REF!,#REF!),2,0)</f>
        <v>#N/A</v>
      </c>
      <c r="M3355">
        <v>0</v>
      </c>
      <c r="N3355">
        <v>1</v>
      </c>
      <c r="O3355" t="s">
        <v>23</v>
      </c>
      <c r="P3355">
        <v>0</v>
      </c>
      <c r="Q3355">
        <v>0</v>
      </c>
      <c r="R3355">
        <v>0</v>
      </c>
      <c r="S3355">
        <v>1</v>
      </c>
      <c r="T3355">
        <v>0</v>
      </c>
      <c r="U3355">
        <v>0</v>
      </c>
      <c r="V3355">
        <v>1</v>
      </c>
      <c r="W3355">
        <v>1</v>
      </c>
      <c r="X3355">
        <v>1</v>
      </c>
      <c r="Y3355">
        <v>0</v>
      </c>
      <c r="Z3355">
        <v>0</v>
      </c>
      <c r="AA3355" t="s">
        <v>3777</v>
      </c>
      <c r="AB3355" t="s">
        <v>6470</v>
      </c>
      <c r="AC3355" t="s">
        <v>3777</v>
      </c>
      <c r="AD3355" t="e">
        <f>VLOOKUP(AB3355,#REF!,2,FALSE)</f>
        <v>#REF!</v>
      </c>
      <c r="AE3355" t="e">
        <f>RIGHT(#REF!,(FIND("Complex",#REF!,1)-5))</f>
        <v>#REF!</v>
      </c>
    </row>
    <row r="3356" spans="1:31" x14ac:dyDescent="0.25">
      <c r="A3356">
        <v>497</v>
      </c>
      <c r="B3356" t="s">
        <v>264</v>
      </c>
      <c r="C3356">
        <v>74</v>
      </c>
      <c r="D3356">
        <v>204</v>
      </c>
      <c r="E3356">
        <v>497</v>
      </c>
      <c r="F3356">
        <v>2557801</v>
      </c>
      <c r="G3356">
        <v>2646000</v>
      </c>
      <c r="H3356">
        <f t="shared" si="104"/>
        <v>58.000022675736965</v>
      </c>
      <c r="I3356">
        <f t="shared" si="105"/>
        <v>60</v>
      </c>
      <c r="J3356" t="s">
        <v>25</v>
      </c>
      <c r="K3356">
        <v>4</v>
      </c>
      <c r="L3356" t="e">
        <f t="array" ref="L3356">VLOOKUP(J3356:$J$3871&amp;K3356:$K$3871,CHOOSE({1,2},#REF!&amp;#REF!,#REF!),2,0)</f>
        <v>#N/A</v>
      </c>
      <c r="M3356">
        <v>0</v>
      </c>
      <c r="N3356">
        <v>1</v>
      </c>
      <c r="O3356" t="s">
        <v>23</v>
      </c>
      <c r="P3356">
        <v>0</v>
      </c>
      <c r="Q3356">
        <v>0</v>
      </c>
      <c r="R3356">
        <v>0</v>
      </c>
      <c r="S3356">
        <v>1</v>
      </c>
      <c r="T3356">
        <v>0</v>
      </c>
      <c r="U3356">
        <v>0</v>
      </c>
      <c r="V3356">
        <v>1</v>
      </c>
      <c r="W3356">
        <v>1</v>
      </c>
      <c r="X3356">
        <v>1</v>
      </c>
      <c r="Y3356">
        <v>0</v>
      </c>
      <c r="Z3356">
        <v>0</v>
      </c>
      <c r="AA3356" t="s">
        <v>3814</v>
      </c>
      <c r="AB3356" t="s">
        <v>1576</v>
      </c>
      <c r="AC3356" t="s">
        <v>3814</v>
      </c>
      <c r="AD3356" t="e">
        <f>VLOOKUP(AB3356,#REF!,2,FALSE)</f>
        <v>#REF!</v>
      </c>
      <c r="AE3356" t="e">
        <f>RIGHT(#REF!,(FIND("Complex",#REF!,1)-5))</f>
        <v>#REF!</v>
      </c>
    </row>
    <row r="3357" spans="1:31" x14ac:dyDescent="0.25">
      <c r="A3357">
        <v>1860</v>
      </c>
      <c r="B3357" t="s">
        <v>264</v>
      </c>
      <c r="C3357">
        <v>74</v>
      </c>
      <c r="D3357">
        <v>811</v>
      </c>
      <c r="E3357">
        <v>1860</v>
      </c>
      <c r="F3357">
        <v>2381401</v>
      </c>
      <c r="G3357">
        <v>2469600</v>
      </c>
      <c r="H3357">
        <f t="shared" si="104"/>
        <v>54.000022675736965</v>
      </c>
      <c r="I3357">
        <f t="shared" si="105"/>
        <v>56</v>
      </c>
      <c r="J3357" t="s">
        <v>25</v>
      </c>
      <c r="K3357">
        <v>4</v>
      </c>
      <c r="L3357" t="e">
        <f t="array" ref="L3357">VLOOKUP(J3357:$J$3871&amp;K3357:$K$3871,CHOOSE({1,2},#REF!&amp;#REF!,#REF!),2,0)</f>
        <v>#N/A</v>
      </c>
      <c r="M3357">
        <v>0</v>
      </c>
      <c r="N3357">
        <v>1</v>
      </c>
      <c r="O3357" t="s">
        <v>23</v>
      </c>
      <c r="P3357">
        <v>0</v>
      </c>
      <c r="Q3357">
        <v>0</v>
      </c>
      <c r="R3357">
        <v>0</v>
      </c>
      <c r="S3357">
        <v>1</v>
      </c>
      <c r="T3357">
        <v>0</v>
      </c>
      <c r="U3357">
        <v>0</v>
      </c>
      <c r="V3357">
        <v>1</v>
      </c>
      <c r="W3357">
        <v>1</v>
      </c>
      <c r="X3357">
        <v>1</v>
      </c>
      <c r="Y3357">
        <v>0</v>
      </c>
      <c r="Z3357">
        <v>0</v>
      </c>
      <c r="AA3357" t="s">
        <v>3842</v>
      </c>
      <c r="AB3357" t="s">
        <v>6505</v>
      </c>
      <c r="AC3357" t="s">
        <v>3842</v>
      </c>
      <c r="AD3357" t="e">
        <f>VLOOKUP(AB3357,#REF!,2,FALSE)</f>
        <v>#REF!</v>
      </c>
      <c r="AE3357" t="e">
        <f>RIGHT(#REF!,(FIND("Complex",#REF!,1)-6))</f>
        <v>#REF!</v>
      </c>
    </row>
    <row r="3358" spans="1:31" x14ac:dyDescent="0.25">
      <c r="A3358">
        <v>1222</v>
      </c>
      <c r="B3358" t="s">
        <v>264</v>
      </c>
      <c r="C3358">
        <v>74</v>
      </c>
      <c r="D3358">
        <v>539</v>
      </c>
      <c r="E3358">
        <v>1222</v>
      </c>
      <c r="F3358">
        <v>1940401</v>
      </c>
      <c r="G3358">
        <v>2028600</v>
      </c>
      <c r="H3358">
        <f t="shared" si="104"/>
        <v>44.000022675736965</v>
      </c>
      <c r="I3358">
        <f t="shared" si="105"/>
        <v>46</v>
      </c>
      <c r="J3358" t="s">
        <v>25</v>
      </c>
      <c r="K3358">
        <v>4</v>
      </c>
      <c r="L3358" t="e">
        <f t="array" ref="L3358">VLOOKUP(J3358:$J$3871&amp;K3358:$K$3871,CHOOSE({1,2},#REF!&amp;#REF!,#REF!),2,0)</f>
        <v>#N/A</v>
      </c>
      <c r="M3358">
        <v>0</v>
      </c>
      <c r="N3358">
        <v>1</v>
      </c>
      <c r="O3358" t="s">
        <v>23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1</v>
      </c>
      <c r="W3358">
        <v>1</v>
      </c>
      <c r="X3358">
        <v>1</v>
      </c>
      <c r="Y3358">
        <v>0</v>
      </c>
      <c r="Z3358">
        <v>0</v>
      </c>
      <c r="AA3358" t="s">
        <v>3909</v>
      </c>
      <c r="AB3358" t="s">
        <v>1577</v>
      </c>
      <c r="AC3358" t="s">
        <v>3909</v>
      </c>
      <c r="AD3358" t="e">
        <f>VLOOKUP(AB3358,#REF!,2,FALSE)</f>
        <v>#REF!</v>
      </c>
      <c r="AE3358" t="e">
        <f>RIGHT(#REF!,(FIND("Complex",#REF!,1)-6))</f>
        <v>#REF!</v>
      </c>
    </row>
    <row r="3359" spans="1:31" x14ac:dyDescent="0.25">
      <c r="A3359">
        <v>549</v>
      </c>
      <c r="B3359" t="s">
        <v>264</v>
      </c>
      <c r="C3359">
        <v>74</v>
      </c>
      <c r="D3359">
        <v>232</v>
      </c>
      <c r="E3359">
        <v>549</v>
      </c>
      <c r="F3359">
        <v>1852201</v>
      </c>
      <c r="G3359">
        <v>1940400</v>
      </c>
      <c r="H3359">
        <f t="shared" si="104"/>
        <v>42.000022675736965</v>
      </c>
      <c r="I3359">
        <f t="shared" si="105"/>
        <v>44</v>
      </c>
      <c r="J3359" t="s">
        <v>25</v>
      </c>
      <c r="K3359">
        <v>4</v>
      </c>
      <c r="L3359" t="e">
        <f t="array" ref="L3359">VLOOKUP(J3359:$J$3871&amp;K3359:$K$3871,CHOOSE({1,2},#REF!&amp;#REF!,#REF!),2,0)</f>
        <v>#N/A</v>
      </c>
      <c r="M3359">
        <v>0</v>
      </c>
      <c r="N3359">
        <v>1</v>
      </c>
      <c r="O3359" t="s">
        <v>23</v>
      </c>
      <c r="P3359">
        <v>0</v>
      </c>
      <c r="Q3359">
        <v>0</v>
      </c>
      <c r="R3359">
        <v>0</v>
      </c>
      <c r="S3359">
        <v>1</v>
      </c>
      <c r="T3359">
        <v>0</v>
      </c>
      <c r="U3359">
        <v>0</v>
      </c>
      <c r="V3359">
        <v>1</v>
      </c>
      <c r="W3359">
        <v>1</v>
      </c>
      <c r="X3359">
        <v>1</v>
      </c>
      <c r="Y3359">
        <v>0</v>
      </c>
      <c r="Z3359">
        <v>0</v>
      </c>
      <c r="AA3359" t="s">
        <v>3925</v>
      </c>
      <c r="AB3359" t="s">
        <v>6555</v>
      </c>
      <c r="AC3359" t="s">
        <v>3925</v>
      </c>
      <c r="AD3359" t="e">
        <f>VLOOKUP(AB3359,#REF!,2,FALSE)</f>
        <v>#REF!</v>
      </c>
      <c r="AE3359" t="e">
        <f>RIGHT(#REF!,(FIND("Complex",#REF!,1)-5))</f>
        <v>#REF!</v>
      </c>
    </row>
    <row r="3360" spans="1:31" x14ac:dyDescent="0.25">
      <c r="A3360">
        <v>1628</v>
      </c>
      <c r="B3360" t="s">
        <v>264</v>
      </c>
      <c r="C3360">
        <v>74</v>
      </c>
      <c r="D3360">
        <v>706</v>
      </c>
      <c r="E3360">
        <v>1628</v>
      </c>
      <c r="F3360">
        <v>1146601</v>
      </c>
      <c r="G3360">
        <v>1234800</v>
      </c>
      <c r="H3360">
        <f t="shared" si="104"/>
        <v>26.000022675736961</v>
      </c>
      <c r="I3360">
        <f t="shared" si="105"/>
        <v>28</v>
      </c>
      <c r="J3360" t="s">
        <v>25</v>
      </c>
      <c r="K3360">
        <v>4</v>
      </c>
      <c r="L3360" t="e">
        <f t="array" ref="L3360">VLOOKUP(J3360:$J$3871&amp;K3360:$K$3871,CHOOSE({1,2},#REF!&amp;#REF!,#REF!),2,0)</f>
        <v>#N/A</v>
      </c>
      <c r="M3360">
        <v>0</v>
      </c>
      <c r="N3360">
        <v>1</v>
      </c>
      <c r="O3360" t="s">
        <v>23</v>
      </c>
      <c r="P3360">
        <v>0</v>
      </c>
      <c r="Q3360">
        <v>0</v>
      </c>
      <c r="R3360">
        <v>0</v>
      </c>
      <c r="S3360">
        <v>1</v>
      </c>
      <c r="T3360">
        <v>0</v>
      </c>
      <c r="U3360">
        <v>0</v>
      </c>
      <c r="V3360">
        <v>1</v>
      </c>
      <c r="W3360">
        <v>1</v>
      </c>
      <c r="X3360">
        <v>1</v>
      </c>
      <c r="Y3360">
        <v>0</v>
      </c>
      <c r="Z3360">
        <v>0</v>
      </c>
      <c r="AA3360" t="s">
        <v>4142</v>
      </c>
      <c r="AB3360" t="s">
        <v>6697</v>
      </c>
      <c r="AC3360" t="s">
        <v>4142</v>
      </c>
      <c r="AD3360" t="e">
        <f>VLOOKUP(AB3360,#REF!,2,FALSE)</f>
        <v>#REF!</v>
      </c>
      <c r="AE3360" t="e">
        <f>RIGHT(#REF!,(FIND("Complex",#REF!,1)-6))</f>
        <v>#REF!</v>
      </c>
    </row>
    <row r="3361" spans="1:31" x14ac:dyDescent="0.25">
      <c r="A3361">
        <v>729</v>
      </c>
      <c r="B3361" t="s">
        <v>264</v>
      </c>
      <c r="C3361">
        <v>74</v>
      </c>
      <c r="D3361">
        <v>317</v>
      </c>
      <c r="E3361">
        <v>729</v>
      </c>
      <c r="F3361">
        <v>88201</v>
      </c>
      <c r="G3361">
        <v>176400</v>
      </c>
      <c r="H3361">
        <f t="shared" si="104"/>
        <v>2.0000226757369615</v>
      </c>
      <c r="I3361">
        <f t="shared" si="105"/>
        <v>4</v>
      </c>
      <c r="J3361" t="s">
        <v>25</v>
      </c>
      <c r="K3361">
        <v>4</v>
      </c>
      <c r="L3361" t="e">
        <f t="array" ref="L3361">VLOOKUP(J3361:$J$3871&amp;K3361:$K$3871,CHOOSE({1,2},#REF!&amp;#REF!,#REF!),2,0)</f>
        <v>#N/A</v>
      </c>
      <c r="M3361">
        <v>0</v>
      </c>
      <c r="N3361">
        <v>1</v>
      </c>
      <c r="O3361" t="s">
        <v>23</v>
      </c>
      <c r="P3361">
        <v>0</v>
      </c>
      <c r="Q3361">
        <v>0</v>
      </c>
      <c r="R3361">
        <v>0</v>
      </c>
      <c r="S3361">
        <v>1</v>
      </c>
      <c r="T3361">
        <v>0</v>
      </c>
      <c r="U3361">
        <v>0</v>
      </c>
      <c r="V3361">
        <v>1</v>
      </c>
      <c r="W3361">
        <v>1</v>
      </c>
      <c r="X3361">
        <v>1</v>
      </c>
      <c r="Y3361">
        <v>0</v>
      </c>
      <c r="Z3361">
        <v>0</v>
      </c>
      <c r="AA3361" t="s">
        <v>4325</v>
      </c>
      <c r="AB3361" t="s">
        <v>6813</v>
      </c>
      <c r="AC3361" t="s">
        <v>4325</v>
      </c>
      <c r="AD3361" t="e">
        <f>VLOOKUP(AB3361,#REF!,2,FALSE)</f>
        <v>#REF!</v>
      </c>
      <c r="AE3361" t="e">
        <f>RIGHT(#REF!,(FIND("Complex",#REF!,1)-6))</f>
        <v>#REF!</v>
      </c>
    </row>
    <row r="3362" spans="1:31" x14ac:dyDescent="0.25">
      <c r="A3362">
        <v>1710</v>
      </c>
      <c r="B3362" t="s">
        <v>264</v>
      </c>
      <c r="C3362">
        <v>74</v>
      </c>
      <c r="D3362">
        <v>747</v>
      </c>
      <c r="E3362">
        <v>1710</v>
      </c>
      <c r="F3362">
        <v>705601</v>
      </c>
      <c r="G3362">
        <v>793800</v>
      </c>
      <c r="H3362">
        <f t="shared" si="104"/>
        <v>16.000022675736961</v>
      </c>
      <c r="I3362">
        <f t="shared" si="105"/>
        <v>18</v>
      </c>
      <c r="J3362" t="s">
        <v>25</v>
      </c>
      <c r="K3362">
        <v>4</v>
      </c>
      <c r="L3362" t="e">
        <f t="array" ref="L3362">VLOOKUP(J3362:$J$3871&amp;K3362:$K$3871,CHOOSE({1,2},#REF!&amp;#REF!,#REF!),2,0)</f>
        <v>#N/A</v>
      </c>
      <c r="M3362">
        <v>0</v>
      </c>
      <c r="N3362">
        <v>1</v>
      </c>
      <c r="O3362" t="s">
        <v>23</v>
      </c>
      <c r="P3362">
        <v>0</v>
      </c>
      <c r="Q3362">
        <v>0</v>
      </c>
      <c r="R3362">
        <v>0</v>
      </c>
      <c r="S3362">
        <v>1</v>
      </c>
      <c r="T3362">
        <v>0</v>
      </c>
      <c r="U3362">
        <v>0</v>
      </c>
      <c r="V3362">
        <v>1</v>
      </c>
      <c r="W3362">
        <v>1</v>
      </c>
      <c r="X3362">
        <v>1</v>
      </c>
      <c r="Y3362">
        <v>0</v>
      </c>
      <c r="Z3362">
        <v>0</v>
      </c>
      <c r="AA3362" t="s">
        <v>4494</v>
      </c>
      <c r="AB3362" t="s">
        <v>6919</v>
      </c>
      <c r="AC3362" t="s">
        <v>4494</v>
      </c>
      <c r="AD3362" t="e">
        <f>VLOOKUP(AB3362,#REF!,2,FALSE)</f>
        <v>#REF!</v>
      </c>
      <c r="AE3362" t="e">
        <f>RIGHT(#REF!,(FIND("Complex",#REF!,1)-6))</f>
        <v>#REF!</v>
      </c>
    </row>
    <row r="3363" spans="1:31" x14ac:dyDescent="0.25">
      <c r="A3363">
        <v>919</v>
      </c>
      <c r="B3363" t="s">
        <v>264</v>
      </c>
      <c r="C3363">
        <v>74</v>
      </c>
      <c r="D3363">
        <v>405</v>
      </c>
      <c r="E3363">
        <v>919</v>
      </c>
      <c r="F3363">
        <v>617401</v>
      </c>
      <c r="G3363">
        <v>705600</v>
      </c>
      <c r="H3363">
        <f t="shared" si="104"/>
        <v>14.000022675736961</v>
      </c>
      <c r="I3363">
        <f t="shared" si="105"/>
        <v>16</v>
      </c>
      <c r="J3363" t="s">
        <v>25</v>
      </c>
      <c r="K3363">
        <v>4</v>
      </c>
      <c r="L3363" t="e">
        <f t="array" ref="L3363">VLOOKUP(J3363:$J$3871&amp;K3363:$K$3871,CHOOSE({1,2},#REF!&amp;#REF!,#REF!),2,0)</f>
        <v>#N/A</v>
      </c>
      <c r="M3363">
        <v>0</v>
      </c>
      <c r="N3363">
        <v>1</v>
      </c>
      <c r="O3363" t="s">
        <v>23</v>
      </c>
      <c r="P3363">
        <v>0</v>
      </c>
      <c r="Q3363">
        <v>0</v>
      </c>
      <c r="R3363">
        <v>0</v>
      </c>
      <c r="S3363">
        <v>1</v>
      </c>
      <c r="T3363">
        <v>0</v>
      </c>
      <c r="U3363">
        <v>0</v>
      </c>
      <c r="V3363">
        <v>1</v>
      </c>
      <c r="W3363">
        <v>1</v>
      </c>
      <c r="X3363">
        <v>1</v>
      </c>
      <c r="Y3363">
        <v>0</v>
      </c>
      <c r="Z3363">
        <v>0</v>
      </c>
      <c r="AA3363" t="s">
        <v>4611</v>
      </c>
      <c r="AB3363" t="s">
        <v>6999</v>
      </c>
      <c r="AC3363" t="s">
        <v>4611</v>
      </c>
      <c r="AD3363" t="e">
        <f>VLOOKUP(AB3363,#REF!,2,FALSE)</f>
        <v>#REF!</v>
      </c>
      <c r="AE3363" t="e">
        <f>RIGHT(#REF!,(FIND("Complex",#REF!,1)-5))</f>
        <v>#REF!</v>
      </c>
    </row>
    <row r="3364" spans="1:31" x14ac:dyDescent="0.25">
      <c r="A3364">
        <v>189</v>
      </c>
      <c r="B3364" t="s">
        <v>264</v>
      </c>
      <c r="C3364">
        <v>74</v>
      </c>
      <c r="D3364">
        <v>77</v>
      </c>
      <c r="E3364">
        <v>189</v>
      </c>
      <c r="F3364">
        <v>529201</v>
      </c>
      <c r="G3364">
        <v>617400</v>
      </c>
      <c r="H3364">
        <f t="shared" si="104"/>
        <v>12.000022675736961</v>
      </c>
      <c r="I3364">
        <f t="shared" si="105"/>
        <v>14</v>
      </c>
      <c r="J3364" t="s">
        <v>25</v>
      </c>
      <c r="K3364">
        <v>4</v>
      </c>
      <c r="L3364" t="e">
        <f t="array" ref="L3364">VLOOKUP(J3364:$J$3871&amp;K3364:$K$3871,CHOOSE({1,2},#REF!&amp;#REF!,#REF!),2,0)</f>
        <v>#N/A</v>
      </c>
      <c r="M3364">
        <v>0</v>
      </c>
      <c r="N3364">
        <v>1</v>
      </c>
      <c r="O3364" t="s">
        <v>23</v>
      </c>
      <c r="P3364">
        <v>0</v>
      </c>
      <c r="Q3364">
        <v>0</v>
      </c>
      <c r="R3364">
        <v>0</v>
      </c>
      <c r="S3364">
        <v>1</v>
      </c>
      <c r="T3364">
        <v>0</v>
      </c>
      <c r="U3364">
        <v>0</v>
      </c>
      <c r="V3364">
        <v>1</v>
      </c>
      <c r="W3364">
        <v>1</v>
      </c>
      <c r="X3364">
        <v>1</v>
      </c>
      <c r="Y3364">
        <v>0</v>
      </c>
      <c r="Z3364">
        <v>0</v>
      </c>
      <c r="AA3364" t="s">
        <v>4729</v>
      </c>
      <c r="AB3364" t="s">
        <v>7074</v>
      </c>
      <c r="AC3364" t="s">
        <v>4729</v>
      </c>
      <c r="AD3364" t="e">
        <f>VLOOKUP(AB3364,#REF!,2,FALSE)</f>
        <v>#REF!</v>
      </c>
      <c r="AE3364" t="e">
        <f>RIGHT(#REF!,(FIND("Complex",#REF!,1)-5))</f>
        <v>#REF!</v>
      </c>
    </row>
    <row r="3365" spans="1:31" x14ac:dyDescent="0.25">
      <c r="A3365">
        <v>1392</v>
      </c>
      <c r="B3365" t="s">
        <v>264</v>
      </c>
      <c r="C3365">
        <v>74</v>
      </c>
      <c r="D3365">
        <v>607</v>
      </c>
      <c r="E3365">
        <v>1392</v>
      </c>
      <c r="F3365">
        <v>4498201</v>
      </c>
      <c r="G3365">
        <v>4586400</v>
      </c>
      <c r="H3365">
        <f t="shared" si="104"/>
        <v>102.00002267573696</v>
      </c>
      <c r="I3365">
        <f t="shared" si="105"/>
        <v>104</v>
      </c>
      <c r="J3365" t="s">
        <v>25</v>
      </c>
      <c r="K3365">
        <v>4</v>
      </c>
      <c r="L3365" t="e">
        <f t="array" ref="L3365">VLOOKUP(J3365:$J$3871&amp;K3365:$K$3871,CHOOSE({1,2},#REF!&amp;#REF!,#REF!),2,0)</f>
        <v>#N/A</v>
      </c>
      <c r="M3365">
        <v>0</v>
      </c>
      <c r="N3365">
        <v>1</v>
      </c>
      <c r="O3365" t="s">
        <v>23</v>
      </c>
      <c r="P3365">
        <v>0</v>
      </c>
      <c r="Q3365">
        <v>0</v>
      </c>
      <c r="R3365">
        <v>0</v>
      </c>
      <c r="S3365">
        <v>1</v>
      </c>
      <c r="T3365">
        <v>0</v>
      </c>
      <c r="U3365">
        <v>0</v>
      </c>
      <c r="V3365">
        <v>1</v>
      </c>
      <c r="W3365">
        <v>1</v>
      </c>
      <c r="X3365">
        <v>1</v>
      </c>
      <c r="Y3365">
        <v>0</v>
      </c>
      <c r="Z3365">
        <v>0</v>
      </c>
      <c r="AA3365" t="s">
        <v>4827</v>
      </c>
      <c r="AB3365" t="s">
        <v>1578</v>
      </c>
      <c r="AC3365" t="s">
        <v>4827</v>
      </c>
      <c r="AD3365" t="e">
        <f>VLOOKUP(AB3365,#REF!,2,FALSE)</f>
        <v>#REF!</v>
      </c>
      <c r="AE3365" t="e">
        <f>RIGHT(#REF!,(FIND("Complex",#REF!,1)-5))</f>
        <v>#REF!</v>
      </c>
    </row>
    <row r="3366" spans="1:31" x14ac:dyDescent="0.25">
      <c r="A3366">
        <v>1811</v>
      </c>
      <c r="B3366" t="s">
        <v>264</v>
      </c>
      <c r="C3366">
        <v>74</v>
      </c>
      <c r="D3366">
        <v>786</v>
      </c>
      <c r="E3366">
        <v>1811</v>
      </c>
      <c r="F3366">
        <v>1</v>
      </c>
      <c r="G3366">
        <v>88200</v>
      </c>
      <c r="H3366">
        <f t="shared" si="104"/>
        <v>2.2675736961451248E-5</v>
      </c>
      <c r="I3366">
        <f t="shared" si="105"/>
        <v>2</v>
      </c>
      <c r="J3366" t="s">
        <v>25</v>
      </c>
      <c r="K3366">
        <v>4</v>
      </c>
      <c r="L3366" t="e">
        <f t="array" ref="L3366">VLOOKUP(J3366:$J$3871&amp;K3366:$K$3871,CHOOSE({1,2},#REF!&amp;#REF!,#REF!),2,0)</f>
        <v>#N/A</v>
      </c>
      <c r="M3366">
        <v>0</v>
      </c>
      <c r="N3366">
        <v>1</v>
      </c>
      <c r="O3366" t="s">
        <v>23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1</v>
      </c>
      <c r="W3366">
        <v>1</v>
      </c>
      <c r="X3366">
        <v>1</v>
      </c>
      <c r="Y3366">
        <v>0</v>
      </c>
      <c r="Z3366">
        <v>0</v>
      </c>
      <c r="AA3366" t="s">
        <v>4871</v>
      </c>
      <c r="AB3366" t="s">
        <v>7146</v>
      </c>
      <c r="AC3366" t="s">
        <v>4871</v>
      </c>
      <c r="AD3366" t="e">
        <f>VLOOKUP(AB3366,#REF!,2,FALSE)</f>
        <v>#REF!</v>
      </c>
      <c r="AE3366" t="e">
        <f>RIGHT(#REF!,(FIND("Complex",#REF!,1)-7))</f>
        <v>#REF!</v>
      </c>
    </row>
    <row r="3367" spans="1:31" x14ac:dyDescent="0.25">
      <c r="A3367">
        <v>69</v>
      </c>
      <c r="B3367" t="s">
        <v>59</v>
      </c>
      <c r="C3367">
        <v>75</v>
      </c>
      <c r="D3367">
        <v>36</v>
      </c>
      <c r="E3367">
        <v>69</v>
      </c>
      <c r="F3367">
        <v>352801</v>
      </c>
      <c r="G3367">
        <v>441000</v>
      </c>
      <c r="H3367">
        <f t="shared" si="104"/>
        <v>8.000022675736961</v>
      </c>
      <c r="I3367">
        <f t="shared" si="105"/>
        <v>10</v>
      </c>
      <c r="J3367" t="s">
        <v>25</v>
      </c>
      <c r="K3367">
        <v>4</v>
      </c>
      <c r="L3367" t="e">
        <f t="array" ref="L3367">VLOOKUP(J3367:$J$3871&amp;K3367:$K$3871,CHOOSE({1,2},#REF!&amp;#REF!,#REF!),2,0)</f>
        <v>#N/A</v>
      </c>
      <c r="M3367">
        <v>0</v>
      </c>
      <c r="N3367">
        <v>1</v>
      </c>
      <c r="O3367" t="s">
        <v>23</v>
      </c>
      <c r="P3367">
        <v>1</v>
      </c>
      <c r="Q3367">
        <v>1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1</v>
      </c>
      <c r="Y3367">
        <v>0</v>
      </c>
      <c r="Z3367">
        <v>0</v>
      </c>
      <c r="AA3367" t="s">
        <v>3636</v>
      </c>
      <c r="AB3367" t="s">
        <v>6387</v>
      </c>
      <c r="AC3367" t="s">
        <v>3636</v>
      </c>
      <c r="AD3367" t="e">
        <f>VLOOKUP(AB3367,#REF!,2,FALSE)</f>
        <v>#REF!</v>
      </c>
      <c r="AE3367" t="e">
        <f>RIGHT(#REF!,(FIND("Complex",#REF!,1)-5))</f>
        <v>#REF!</v>
      </c>
    </row>
    <row r="3368" spans="1:31" x14ac:dyDescent="0.25">
      <c r="A3368">
        <v>1286</v>
      </c>
      <c r="B3368" t="s">
        <v>59</v>
      </c>
      <c r="C3368">
        <v>75</v>
      </c>
      <c r="D3368">
        <v>559</v>
      </c>
      <c r="E3368">
        <v>1286</v>
      </c>
      <c r="F3368">
        <v>1146601</v>
      </c>
      <c r="G3368">
        <v>1234800</v>
      </c>
      <c r="H3368">
        <f t="shared" si="104"/>
        <v>26.000022675736961</v>
      </c>
      <c r="I3368">
        <f t="shared" si="105"/>
        <v>28</v>
      </c>
      <c r="J3368" t="s">
        <v>25</v>
      </c>
      <c r="K3368">
        <v>4</v>
      </c>
      <c r="L3368" t="e">
        <f t="array" ref="L3368">VLOOKUP(J3368:$J$3871&amp;K3368:$K$3871,CHOOSE({1,2},#REF!&amp;#REF!,#REF!),2,0)</f>
        <v>#N/A</v>
      </c>
      <c r="M3368">
        <v>0</v>
      </c>
      <c r="N3368">
        <v>1</v>
      </c>
      <c r="O3368" t="s">
        <v>23</v>
      </c>
      <c r="P3368">
        <v>1</v>
      </c>
      <c r="Q3368">
        <v>1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1</v>
      </c>
      <c r="Y3368">
        <v>0</v>
      </c>
      <c r="Z3368">
        <v>0</v>
      </c>
      <c r="AA3368" t="s">
        <v>4141</v>
      </c>
      <c r="AB3368" t="s">
        <v>6696</v>
      </c>
      <c r="AC3368" t="s">
        <v>4141</v>
      </c>
      <c r="AD3368" t="e">
        <f>VLOOKUP(AB3368,#REF!,2,FALSE)</f>
        <v>#REF!</v>
      </c>
      <c r="AE3368" t="e">
        <f>RIGHT(#REF!,(FIND("Complex",#REF!,1)-6))</f>
        <v>#REF!</v>
      </c>
    </row>
    <row r="3369" spans="1:31" x14ac:dyDescent="0.25">
      <c r="A3369">
        <v>450</v>
      </c>
      <c r="B3369" t="s">
        <v>59</v>
      </c>
      <c r="C3369">
        <v>75</v>
      </c>
      <c r="D3369">
        <v>189</v>
      </c>
      <c r="E3369">
        <v>450</v>
      </c>
      <c r="F3369">
        <v>970201</v>
      </c>
      <c r="G3369">
        <v>1058400</v>
      </c>
      <c r="H3369">
        <f t="shared" si="104"/>
        <v>22.000022675736961</v>
      </c>
      <c r="I3369">
        <f t="shared" si="105"/>
        <v>24</v>
      </c>
      <c r="J3369" t="s">
        <v>25</v>
      </c>
      <c r="K3369">
        <v>4</v>
      </c>
      <c r="L3369" t="e">
        <f t="array" ref="L3369">VLOOKUP(J3369:$J$3871&amp;K3369:$K$3871,CHOOSE({1,2},#REF!&amp;#REF!,#REF!),2,0)</f>
        <v>#N/A</v>
      </c>
      <c r="M3369">
        <v>0</v>
      </c>
      <c r="N3369">
        <v>1</v>
      </c>
      <c r="O3369" t="s">
        <v>23</v>
      </c>
      <c r="P3369">
        <v>1</v>
      </c>
      <c r="Q3369">
        <v>1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1</v>
      </c>
      <c r="Y3369">
        <v>0</v>
      </c>
      <c r="Z3369">
        <v>0</v>
      </c>
      <c r="AA3369" t="s">
        <v>4240</v>
      </c>
      <c r="AB3369" t="s">
        <v>1584</v>
      </c>
      <c r="AC3369" t="s">
        <v>4240</v>
      </c>
      <c r="AD3369" t="e">
        <f>VLOOKUP(AB3369,#REF!,2,FALSE)</f>
        <v>#REF!</v>
      </c>
      <c r="AE3369" t="e">
        <f>RIGHT(#REF!,(FIND("Complex",#REF!,1)-5))</f>
        <v>#REF!</v>
      </c>
    </row>
    <row r="3370" spans="1:31" x14ac:dyDescent="0.25">
      <c r="A3370">
        <v>1035</v>
      </c>
      <c r="B3370" t="s">
        <v>59</v>
      </c>
      <c r="C3370">
        <v>75</v>
      </c>
      <c r="D3370">
        <v>456</v>
      </c>
      <c r="E3370">
        <v>1035</v>
      </c>
      <c r="F3370">
        <v>882001</v>
      </c>
      <c r="G3370">
        <v>970200</v>
      </c>
      <c r="H3370">
        <f t="shared" si="104"/>
        <v>20.000022675736961</v>
      </c>
      <c r="I3370">
        <f t="shared" si="105"/>
        <v>22</v>
      </c>
      <c r="J3370" t="s">
        <v>25</v>
      </c>
      <c r="K3370">
        <v>4</v>
      </c>
      <c r="L3370" t="e">
        <f t="array" ref="L3370">VLOOKUP(J3370:$J$3871&amp;K3370:$K$3871,CHOOSE({1,2},#REF!&amp;#REF!,#REF!),2,0)</f>
        <v>#N/A</v>
      </c>
      <c r="M3370">
        <v>0</v>
      </c>
      <c r="N3370">
        <v>1</v>
      </c>
      <c r="O3370" t="s">
        <v>23</v>
      </c>
      <c r="P3370">
        <v>1</v>
      </c>
      <c r="Q3370">
        <v>1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1</v>
      </c>
      <c r="Y3370">
        <v>0</v>
      </c>
      <c r="Z3370">
        <v>0</v>
      </c>
      <c r="AA3370" t="s">
        <v>4305</v>
      </c>
      <c r="AB3370" t="s">
        <v>6804</v>
      </c>
      <c r="AC3370" t="s">
        <v>4305</v>
      </c>
      <c r="AD3370" t="e">
        <f>VLOOKUP(AB3370,#REF!,2,FALSE)</f>
        <v>#REF!</v>
      </c>
      <c r="AE3370" t="e">
        <f>RIGHT(#REF!,(FIND("Complex",#REF!,1)-6))</f>
        <v>#REF!</v>
      </c>
    </row>
    <row r="3371" spans="1:31" x14ac:dyDescent="0.25">
      <c r="A3371">
        <v>1495</v>
      </c>
      <c r="B3371" t="s">
        <v>59</v>
      </c>
      <c r="C3371">
        <v>75</v>
      </c>
      <c r="D3371">
        <v>656</v>
      </c>
      <c r="E3371">
        <v>1495</v>
      </c>
      <c r="F3371">
        <v>88201</v>
      </c>
      <c r="G3371">
        <v>176400</v>
      </c>
      <c r="H3371">
        <f t="shared" si="104"/>
        <v>2.0000226757369615</v>
      </c>
      <c r="I3371">
        <f t="shared" si="105"/>
        <v>4</v>
      </c>
      <c r="J3371" t="s">
        <v>25</v>
      </c>
      <c r="K3371">
        <v>4</v>
      </c>
      <c r="L3371" t="e">
        <f t="array" ref="L3371">VLOOKUP(J3371:$J$3871&amp;K3371:$K$3871,CHOOSE({1,2},#REF!&amp;#REF!,#REF!),2,0)</f>
        <v>#N/A</v>
      </c>
      <c r="M3371">
        <v>0</v>
      </c>
      <c r="N3371">
        <v>1</v>
      </c>
      <c r="O3371" t="s">
        <v>23</v>
      </c>
      <c r="P3371">
        <v>1</v>
      </c>
      <c r="Q3371">
        <v>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1</v>
      </c>
      <c r="Y3371">
        <v>0</v>
      </c>
      <c r="Z3371">
        <v>0</v>
      </c>
      <c r="AA3371" t="s">
        <v>4324</v>
      </c>
      <c r="AB3371" t="s">
        <v>1585</v>
      </c>
      <c r="AC3371" t="s">
        <v>4324</v>
      </c>
      <c r="AD3371" t="e">
        <f>VLOOKUP(AB3371,#REF!,2,FALSE)</f>
        <v>#REF!</v>
      </c>
      <c r="AE3371" t="e">
        <f>RIGHT(#REF!,(FIND("Complex",#REF!,1)-7))</f>
        <v>#REF!</v>
      </c>
    </row>
    <row r="3372" spans="1:31" x14ac:dyDescent="0.25">
      <c r="A3372">
        <v>573</v>
      </c>
      <c r="B3372" t="s">
        <v>59</v>
      </c>
      <c r="C3372">
        <v>75</v>
      </c>
      <c r="D3372">
        <v>243</v>
      </c>
      <c r="E3372">
        <v>573</v>
      </c>
      <c r="F3372">
        <v>617401</v>
      </c>
      <c r="G3372">
        <v>705600</v>
      </c>
      <c r="H3372">
        <f t="shared" si="104"/>
        <v>14.000022675736961</v>
      </c>
      <c r="I3372">
        <f t="shared" si="105"/>
        <v>16</v>
      </c>
      <c r="J3372" t="s">
        <v>25</v>
      </c>
      <c r="K3372">
        <v>4</v>
      </c>
      <c r="L3372" t="e">
        <f t="array" ref="L3372">VLOOKUP(J3372:$J$3871&amp;K3372:$K$3871,CHOOSE({1,2},#REF!&amp;#REF!,#REF!),2,0)</f>
        <v>#N/A</v>
      </c>
      <c r="M3372">
        <v>0</v>
      </c>
      <c r="N3372">
        <v>1</v>
      </c>
      <c r="O3372" t="s">
        <v>23</v>
      </c>
      <c r="P3372">
        <v>1</v>
      </c>
      <c r="Q3372">
        <v>1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1</v>
      </c>
      <c r="Y3372">
        <v>0</v>
      </c>
      <c r="Z3372">
        <v>0</v>
      </c>
      <c r="AA3372" t="s">
        <v>4610</v>
      </c>
      <c r="AB3372" t="s">
        <v>1586</v>
      </c>
      <c r="AC3372" t="s">
        <v>4610</v>
      </c>
      <c r="AD3372" t="e">
        <f>VLOOKUP(AB3372,#REF!,2,FALSE)</f>
        <v>#REF!</v>
      </c>
      <c r="AE3372" t="e">
        <f>RIGHT(#REF!,(FIND("Complex",#REF!,1)-5))</f>
        <v>#REF!</v>
      </c>
    </row>
    <row r="3373" spans="1:31" x14ac:dyDescent="0.25">
      <c r="A3373">
        <v>942</v>
      </c>
      <c r="B3373" t="s">
        <v>59</v>
      </c>
      <c r="C3373">
        <v>75</v>
      </c>
      <c r="D3373">
        <v>411</v>
      </c>
      <c r="E3373">
        <v>942</v>
      </c>
      <c r="F3373">
        <v>529201</v>
      </c>
      <c r="G3373">
        <v>617400</v>
      </c>
      <c r="H3373">
        <f t="shared" si="104"/>
        <v>12.000022675736961</v>
      </c>
      <c r="I3373">
        <f t="shared" si="105"/>
        <v>14</v>
      </c>
      <c r="J3373" t="s">
        <v>25</v>
      </c>
      <c r="K3373">
        <v>4</v>
      </c>
      <c r="L3373" t="e">
        <f t="array" ref="L3373">VLOOKUP(J3373:$J$3871&amp;K3373:$K$3871,CHOOSE({1,2},#REF!&amp;#REF!,#REF!),2,0)</f>
        <v>#N/A</v>
      </c>
      <c r="M3373">
        <v>0</v>
      </c>
      <c r="N3373">
        <v>1</v>
      </c>
      <c r="O3373" t="s">
        <v>23</v>
      </c>
      <c r="P3373">
        <v>1</v>
      </c>
      <c r="Q3373">
        <v>1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1</v>
      </c>
      <c r="Y3373">
        <v>0</v>
      </c>
      <c r="Z3373">
        <v>0</v>
      </c>
      <c r="AA3373" t="s">
        <v>4728</v>
      </c>
      <c r="AB3373" t="s">
        <v>7073</v>
      </c>
      <c r="AC3373" t="s">
        <v>4728</v>
      </c>
      <c r="AD3373" t="e">
        <f>VLOOKUP(AB3373,#REF!,2,FALSE)</f>
        <v>#REF!</v>
      </c>
      <c r="AE3373" t="e">
        <f>RIGHT(#REF!,(FIND("Complex",#REF!,1)-5))</f>
        <v>#REF!</v>
      </c>
    </row>
    <row r="3374" spans="1:31" x14ac:dyDescent="0.25">
      <c r="A3374">
        <v>1155</v>
      </c>
      <c r="B3374" t="s">
        <v>59</v>
      </c>
      <c r="C3374">
        <v>75</v>
      </c>
      <c r="D3374">
        <v>515</v>
      </c>
      <c r="E3374">
        <v>1155</v>
      </c>
      <c r="F3374">
        <v>441001</v>
      </c>
      <c r="G3374">
        <v>529200</v>
      </c>
      <c r="H3374">
        <f t="shared" si="104"/>
        <v>10.000022675736961</v>
      </c>
      <c r="I3374">
        <f t="shared" si="105"/>
        <v>12</v>
      </c>
      <c r="J3374" t="s">
        <v>25</v>
      </c>
      <c r="K3374">
        <v>4</v>
      </c>
      <c r="L3374" t="e">
        <f t="array" ref="L3374">VLOOKUP(J3374:$J$3871&amp;K3374:$K$3871,CHOOSE({1,2},#REF!&amp;#REF!,#REF!),2,0)</f>
        <v>#N/A</v>
      </c>
      <c r="M3374">
        <v>0</v>
      </c>
      <c r="N3374">
        <v>1</v>
      </c>
      <c r="O3374" t="s">
        <v>23</v>
      </c>
      <c r="P3374">
        <v>1</v>
      </c>
      <c r="Q3374">
        <v>1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1</v>
      </c>
      <c r="Y3374">
        <v>0</v>
      </c>
      <c r="Z3374">
        <v>0</v>
      </c>
      <c r="AA3374" t="s">
        <v>4855</v>
      </c>
      <c r="AB3374" t="s">
        <v>7141</v>
      </c>
      <c r="AC3374" t="s">
        <v>4855</v>
      </c>
      <c r="AD3374" t="e">
        <f>VLOOKUP(AB3374,#REF!,2,FALSE)</f>
        <v>#REF!</v>
      </c>
      <c r="AE3374" t="e">
        <f>RIGHT(#REF!,(FIND("Complex",#REF!,1)-6))</f>
        <v>#REF!</v>
      </c>
    </row>
    <row r="3375" spans="1:31" x14ac:dyDescent="0.25">
      <c r="A3375">
        <v>499</v>
      </c>
      <c r="B3375" t="s">
        <v>80</v>
      </c>
      <c r="C3375">
        <v>76</v>
      </c>
      <c r="D3375">
        <v>205</v>
      </c>
      <c r="E3375">
        <v>499</v>
      </c>
      <c r="F3375">
        <v>705601</v>
      </c>
      <c r="G3375">
        <v>793800</v>
      </c>
      <c r="H3375">
        <f t="shared" si="104"/>
        <v>16.000022675736961</v>
      </c>
      <c r="I3375">
        <f t="shared" si="105"/>
        <v>18</v>
      </c>
      <c r="J3375" t="s">
        <v>25</v>
      </c>
      <c r="K3375">
        <v>4</v>
      </c>
      <c r="L3375" t="e">
        <f t="array" ref="L3375">VLOOKUP(J3375:$J$3871&amp;K3375:$K$3871,CHOOSE({1,2},#REF!&amp;#REF!,#REF!),2,0)</f>
        <v>#N/A</v>
      </c>
      <c r="M3375">
        <v>0</v>
      </c>
      <c r="N3375">
        <v>1</v>
      </c>
      <c r="O3375" t="s">
        <v>23</v>
      </c>
      <c r="P3375">
        <v>1</v>
      </c>
      <c r="Q3375">
        <v>1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1</v>
      </c>
      <c r="Y3375">
        <v>0</v>
      </c>
      <c r="Z3375">
        <v>0</v>
      </c>
      <c r="AA3375" t="s">
        <v>4492</v>
      </c>
      <c r="AB3375" t="s">
        <v>1595</v>
      </c>
      <c r="AC3375" t="s">
        <v>4492</v>
      </c>
      <c r="AD3375" t="e">
        <f>VLOOKUP(AB3375,#REF!,2,FALSE)</f>
        <v>#REF!</v>
      </c>
      <c r="AE3375" t="e">
        <f>RIGHT(#REF!,(FIND("Complex",#REF!,1)-5))</f>
        <v>#REF!</v>
      </c>
    </row>
    <row r="3376" spans="1:31" x14ac:dyDescent="0.25">
      <c r="A3376">
        <v>835</v>
      </c>
      <c r="B3376" t="s">
        <v>80</v>
      </c>
      <c r="C3376">
        <v>76</v>
      </c>
      <c r="D3376">
        <v>376</v>
      </c>
      <c r="E3376">
        <v>835</v>
      </c>
      <c r="F3376">
        <v>441001</v>
      </c>
      <c r="G3376">
        <v>529200</v>
      </c>
      <c r="H3376">
        <f t="shared" si="104"/>
        <v>10.000022675736961</v>
      </c>
      <c r="I3376">
        <f t="shared" si="105"/>
        <v>12</v>
      </c>
      <c r="J3376" t="s">
        <v>25</v>
      </c>
      <c r="K3376">
        <v>4</v>
      </c>
      <c r="L3376" t="e">
        <f t="array" ref="L3376">VLOOKUP(J3376:$J$3871&amp;K3376:$K$3871,CHOOSE({1,2},#REF!&amp;#REF!,#REF!),2,0)</f>
        <v>#N/A</v>
      </c>
      <c r="M3376">
        <v>0</v>
      </c>
      <c r="N3376">
        <v>1</v>
      </c>
      <c r="O3376" t="s">
        <v>23</v>
      </c>
      <c r="P3376">
        <v>1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1</v>
      </c>
      <c r="Y3376">
        <v>0</v>
      </c>
      <c r="Z3376">
        <v>0</v>
      </c>
      <c r="AA3376" t="s">
        <v>4854</v>
      </c>
      <c r="AB3376" t="s">
        <v>1596</v>
      </c>
      <c r="AC3376" t="s">
        <v>4854</v>
      </c>
      <c r="AD3376" t="e">
        <f>VLOOKUP(AB3376,#REF!,2,FALSE)</f>
        <v>#REF!</v>
      </c>
      <c r="AE3376" t="e">
        <f>RIGHT(#REF!,(FIND("Complex",#REF!,1)-5))</f>
        <v>#REF!</v>
      </c>
    </row>
    <row r="3377" spans="1:31" x14ac:dyDescent="0.25">
      <c r="A3377">
        <v>107</v>
      </c>
      <c r="B3377" t="s">
        <v>71</v>
      </c>
      <c r="C3377">
        <v>77</v>
      </c>
      <c r="D3377">
        <v>50</v>
      </c>
      <c r="E3377">
        <v>107</v>
      </c>
      <c r="F3377">
        <v>352801</v>
      </c>
      <c r="G3377">
        <v>441000</v>
      </c>
      <c r="H3377">
        <f t="shared" si="104"/>
        <v>8.000022675736961</v>
      </c>
      <c r="I3377">
        <f t="shared" si="105"/>
        <v>10</v>
      </c>
      <c r="J3377" t="s">
        <v>25</v>
      </c>
      <c r="K3377">
        <v>4</v>
      </c>
      <c r="L3377" t="e">
        <f t="array" ref="L3377">VLOOKUP(J3377:$J$3871&amp;K3377:$K$3871,CHOOSE({1,2},#REF!&amp;#REF!,#REF!),2,0)</f>
        <v>#N/A</v>
      </c>
      <c r="M3377">
        <v>0</v>
      </c>
      <c r="N3377">
        <v>1</v>
      </c>
      <c r="O3377" t="s">
        <v>23</v>
      </c>
      <c r="P3377">
        <v>1</v>
      </c>
      <c r="Q3377">
        <v>1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1</v>
      </c>
      <c r="Y3377">
        <v>0</v>
      </c>
      <c r="Z3377">
        <v>0</v>
      </c>
      <c r="AA3377" t="s">
        <v>3634</v>
      </c>
      <c r="AB3377" t="s">
        <v>1600</v>
      </c>
      <c r="AC3377" t="s">
        <v>3634</v>
      </c>
      <c r="AD3377" t="e">
        <f>VLOOKUP(AB3377,#REF!,2,FALSE)</f>
        <v>#REF!</v>
      </c>
      <c r="AE3377" t="e">
        <f>RIGHT(#REF!,(FIND("Complex",#REF!,1)-6))</f>
        <v>#REF!</v>
      </c>
    </row>
    <row r="3378" spans="1:31" x14ac:dyDescent="0.25">
      <c r="A3378">
        <v>444</v>
      </c>
      <c r="B3378" t="s">
        <v>71</v>
      </c>
      <c r="C3378">
        <v>77</v>
      </c>
      <c r="D3378">
        <v>187</v>
      </c>
      <c r="E3378">
        <v>444</v>
      </c>
      <c r="F3378">
        <v>88201</v>
      </c>
      <c r="G3378">
        <v>176400</v>
      </c>
      <c r="H3378">
        <f t="shared" si="104"/>
        <v>2.0000226757369615</v>
      </c>
      <c r="I3378">
        <f t="shared" si="105"/>
        <v>4</v>
      </c>
      <c r="J3378" t="s">
        <v>25</v>
      </c>
      <c r="K3378">
        <v>4</v>
      </c>
      <c r="L3378" t="e">
        <f t="array" ref="L3378">VLOOKUP(J3378:$J$3871&amp;K3378:$K$3871,CHOOSE({1,2},#REF!&amp;#REF!,#REF!),2,0)</f>
        <v>#N/A</v>
      </c>
      <c r="M3378">
        <v>0</v>
      </c>
      <c r="N3378">
        <v>1</v>
      </c>
      <c r="O3378" t="s">
        <v>23</v>
      </c>
      <c r="P3378">
        <v>1</v>
      </c>
      <c r="Q3378">
        <v>1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</v>
      </c>
      <c r="X3378">
        <v>1</v>
      </c>
      <c r="Y3378">
        <v>0</v>
      </c>
      <c r="Z3378">
        <v>0</v>
      </c>
      <c r="AA3378" t="s">
        <v>4323</v>
      </c>
      <c r="AB3378" t="s">
        <v>1601</v>
      </c>
      <c r="AC3378" t="s">
        <v>4323</v>
      </c>
      <c r="AD3378" t="e">
        <f>VLOOKUP(AB3378,#REF!,2,FALSE)</f>
        <v>#REF!</v>
      </c>
      <c r="AE3378" t="e">
        <f>RIGHT(#REF!,(FIND("Complex",#REF!,1)-6))</f>
        <v>#REF!</v>
      </c>
    </row>
    <row r="3379" spans="1:31" x14ac:dyDescent="0.25">
      <c r="A3379">
        <v>818</v>
      </c>
      <c r="B3379" t="s">
        <v>56</v>
      </c>
      <c r="C3379">
        <v>78</v>
      </c>
      <c r="D3379">
        <v>368</v>
      </c>
      <c r="E3379">
        <v>818</v>
      </c>
      <c r="F3379">
        <v>970201</v>
      </c>
      <c r="G3379">
        <v>1058400</v>
      </c>
      <c r="H3379">
        <f t="shared" si="104"/>
        <v>22.000022675736961</v>
      </c>
      <c r="I3379">
        <f t="shared" si="105"/>
        <v>24</v>
      </c>
      <c r="J3379" t="s">
        <v>25</v>
      </c>
      <c r="K3379">
        <v>4</v>
      </c>
      <c r="L3379" t="e">
        <f t="array" ref="L3379">VLOOKUP(J3379:$J$3871&amp;K3379:$K$3871,CHOOSE({1,2},#REF!&amp;#REF!,#REF!),2,0)</f>
        <v>#N/A</v>
      </c>
      <c r="M3379">
        <v>0</v>
      </c>
      <c r="N3379">
        <v>1</v>
      </c>
      <c r="O3379" t="s">
        <v>23</v>
      </c>
      <c r="P3379">
        <v>1</v>
      </c>
      <c r="Q3379">
        <v>1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1</v>
      </c>
      <c r="X3379">
        <v>1</v>
      </c>
      <c r="Y3379">
        <v>0</v>
      </c>
      <c r="Z3379">
        <v>0</v>
      </c>
      <c r="AA3379" t="s">
        <v>4239</v>
      </c>
      <c r="AB3379" t="s">
        <v>1611</v>
      </c>
      <c r="AC3379" t="s">
        <v>4239</v>
      </c>
      <c r="AD3379" t="e">
        <f>VLOOKUP(AB3379,#REF!,2,FALSE)</f>
        <v>#REF!</v>
      </c>
      <c r="AE3379" t="e">
        <f>RIGHT(#REF!,(FIND("Complex",#REF!,1)-5))</f>
        <v>#REF!</v>
      </c>
    </row>
    <row r="3380" spans="1:31" x14ac:dyDescent="0.25">
      <c r="A3380">
        <v>548</v>
      </c>
      <c r="B3380" t="s">
        <v>56</v>
      </c>
      <c r="C3380">
        <v>78</v>
      </c>
      <c r="D3380">
        <v>231</v>
      </c>
      <c r="E3380">
        <v>548</v>
      </c>
      <c r="F3380">
        <v>705601</v>
      </c>
      <c r="G3380">
        <v>793800</v>
      </c>
      <c r="H3380">
        <f t="shared" si="104"/>
        <v>16.000022675736961</v>
      </c>
      <c r="I3380">
        <f t="shared" si="105"/>
        <v>18</v>
      </c>
      <c r="J3380" t="s">
        <v>25</v>
      </c>
      <c r="K3380">
        <v>4</v>
      </c>
      <c r="L3380" t="e">
        <f t="array" ref="L3380">VLOOKUP(J3380:$J$3871&amp;K3380:$K$3871,CHOOSE({1,2},#REF!&amp;#REF!,#REF!),2,0)</f>
        <v>#N/A</v>
      </c>
      <c r="M3380">
        <v>0</v>
      </c>
      <c r="N3380">
        <v>1</v>
      </c>
      <c r="O3380" t="s">
        <v>23</v>
      </c>
      <c r="P3380">
        <v>1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1</v>
      </c>
      <c r="Y3380">
        <v>0</v>
      </c>
      <c r="Z3380">
        <v>0</v>
      </c>
      <c r="AA3380" t="s">
        <v>4491</v>
      </c>
      <c r="AB3380" t="s">
        <v>1612</v>
      </c>
      <c r="AC3380" t="s">
        <v>4491</v>
      </c>
      <c r="AD3380" t="e">
        <f>VLOOKUP(AB3380,#REF!,2,FALSE)</f>
        <v>#REF!</v>
      </c>
      <c r="AE3380" t="e">
        <f>RIGHT(#REF!,(FIND("Complex",#REF!,1)-5))</f>
        <v>#REF!</v>
      </c>
    </row>
    <row r="3381" spans="1:31" x14ac:dyDescent="0.25">
      <c r="A3381">
        <v>205</v>
      </c>
      <c r="B3381" t="s">
        <v>56</v>
      </c>
      <c r="C3381">
        <v>78</v>
      </c>
      <c r="D3381">
        <v>83</v>
      </c>
      <c r="E3381">
        <v>205</v>
      </c>
      <c r="F3381">
        <v>617401</v>
      </c>
      <c r="G3381">
        <v>705600</v>
      </c>
      <c r="H3381">
        <f t="shared" si="104"/>
        <v>14.000022675736961</v>
      </c>
      <c r="I3381">
        <f t="shared" si="105"/>
        <v>16</v>
      </c>
      <c r="J3381" t="s">
        <v>25</v>
      </c>
      <c r="K3381">
        <v>4</v>
      </c>
      <c r="L3381" t="e">
        <f t="array" ref="L3381">VLOOKUP(J3381:$J$3871&amp;K3381:$K$3871,CHOOSE({1,2},#REF!&amp;#REF!,#REF!),2,0)</f>
        <v>#N/A</v>
      </c>
      <c r="M3381">
        <v>0</v>
      </c>
      <c r="N3381">
        <v>1</v>
      </c>
      <c r="O3381" t="s">
        <v>23</v>
      </c>
      <c r="P3381">
        <v>1</v>
      </c>
      <c r="Q3381">
        <v>1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1</v>
      </c>
      <c r="X3381">
        <v>1</v>
      </c>
      <c r="Y3381">
        <v>0</v>
      </c>
      <c r="Z3381">
        <v>0</v>
      </c>
      <c r="AA3381" t="s">
        <v>4608</v>
      </c>
      <c r="AB3381" t="s">
        <v>1613</v>
      </c>
      <c r="AC3381" t="s">
        <v>4608</v>
      </c>
      <c r="AD3381" t="e">
        <f>VLOOKUP(AB3381,#REF!,2,FALSE)</f>
        <v>#REF!</v>
      </c>
      <c r="AE3381" t="e">
        <f>RIGHT(#REF!,(FIND("Complex",#REF!,1)-5))</f>
        <v>#REF!</v>
      </c>
    </row>
    <row r="3382" spans="1:31" x14ac:dyDescent="0.25">
      <c r="A3382">
        <v>304</v>
      </c>
      <c r="B3382" t="s">
        <v>91</v>
      </c>
      <c r="C3382">
        <v>81</v>
      </c>
      <c r="D3382">
        <v>129</v>
      </c>
      <c r="E3382">
        <v>304</v>
      </c>
      <c r="F3382">
        <v>3792601</v>
      </c>
      <c r="G3382">
        <v>3880800</v>
      </c>
      <c r="H3382">
        <f t="shared" si="104"/>
        <v>86.000022675736957</v>
      </c>
      <c r="I3382">
        <f t="shared" si="105"/>
        <v>88</v>
      </c>
      <c r="J3382" t="s">
        <v>25</v>
      </c>
      <c r="K3382">
        <v>4</v>
      </c>
      <c r="L3382" t="e">
        <f t="array" ref="L3382">VLOOKUP(J3382:$J$3871&amp;K3382:$K$3871,CHOOSE({1,2},#REF!&amp;#REF!,#REF!),2,0)</f>
        <v>#N/A</v>
      </c>
      <c r="M3382">
        <v>0</v>
      </c>
      <c r="N3382">
        <v>1</v>
      </c>
      <c r="O3382" t="s">
        <v>23</v>
      </c>
      <c r="P3382">
        <v>0</v>
      </c>
      <c r="Q3382">
        <v>0</v>
      </c>
      <c r="R3382">
        <v>1</v>
      </c>
      <c r="S3382">
        <v>0</v>
      </c>
      <c r="T3382">
        <v>0</v>
      </c>
      <c r="U3382">
        <v>0</v>
      </c>
      <c r="V3382">
        <v>1</v>
      </c>
      <c r="W3382">
        <v>1</v>
      </c>
      <c r="X3382">
        <v>1</v>
      </c>
      <c r="Y3382">
        <v>0</v>
      </c>
      <c r="Z3382">
        <v>0</v>
      </c>
      <c r="AA3382" t="s">
        <v>3582</v>
      </c>
      <c r="AB3382" t="s">
        <v>6358</v>
      </c>
      <c r="AC3382" t="s">
        <v>3582</v>
      </c>
      <c r="AD3382" t="e">
        <f>VLOOKUP(AB3382,#REF!,2,FALSE)</f>
        <v>#REF!</v>
      </c>
      <c r="AE3382" t="e">
        <f>RIGHT(#REF!,(FIND("Complex",#REF!,1)-5))</f>
        <v>#REF!</v>
      </c>
    </row>
    <row r="3383" spans="1:31" x14ac:dyDescent="0.25">
      <c r="A3383">
        <v>962</v>
      </c>
      <c r="B3383" t="s">
        <v>91</v>
      </c>
      <c r="C3383">
        <v>81</v>
      </c>
      <c r="D3383">
        <v>425</v>
      </c>
      <c r="E3383">
        <v>962</v>
      </c>
      <c r="F3383">
        <v>3704401</v>
      </c>
      <c r="G3383">
        <v>3792600</v>
      </c>
      <c r="H3383">
        <f t="shared" si="104"/>
        <v>84.000022675736957</v>
      </c>
      <c r="I3383">
        <f t="shared" si="105"/>
        <v>86</v>
      </c>
      <c r="J3383" t="s">
        <v>25</v>
      </c>
      <c r="K3383">
        <v>4</v>
      </c>
      <c r="L3383" t="e">
        <f t="array" ref="L3383">VLOOKUP(J3383:$J$3871&amp;K3383:$K$3871,CHOOSE({1,2},#REF!&amp;#REF!,#REF!),2,0)</f>
        <v>#N/A</v>
      </c>
      <c r="M3383">
        <v>0</v>
      </c>
      <c r="N3383">
        <v>1</v>
      </c>
      <c r="O3383" t="s">
        <v>23</v>
      </c>
      <c r="P3383">
        <v>0</v>
      </c>
      <c r="Q3383">
        <v>0</v>
      </c>
      <c r="R3383">
        <v>1</v>
      </c>
      <c r="S3383">
        <v>0</v>
      </c>
      <c r="T3383">
        <v>0</v>
      </c>
      <c r="U3383">
        <v>0</v>
      </c>
      <c r="V3383">
        <v>1</v>
      </c>
      <c r="W3383">
        <v>1</v>
      </c>
      <c r="X3383">
        <v>1</v>
      </c>
      <c r="Y3383">
        <v>0</v>
      </c>
      <c r="Z3383">
        <v>0</v>
      </c>
      <c r="AA3383" t="s">
        <v>3592</v>
      </c>
      <c r="AB3383" t="s">
        <v>1658</v>
      </c>
      <c r="AC3383" t="s">
        <v>3592</v>
      </c>
      <c r="AD3383" t="e">
        <f>VLOOKUP(AB3383,#REF!,2,FALSE)</f>
        <v>#REF!</v>
      </c>
      <c r="AE3383" t="e">
        <f>RIGHT(#REF!,(FIND("Complex",#REF!,1)-5))</f>
        <v>#REF!</v>
      </c>
    </row>
    <row r="3384" spans="1:31" x14ac:dyDescent="0.25">
      <c r="A3384">
        <v>1809</v>
      </c>
      <c r="B3384" t="s">
        <v>91</v>
      </c>
      <c r="C3384">
        <v>81</v>
      </c>
      <c r="D3384">
        <v>785</v>
      </c>
      <c r="E3384">
        <v>1809</v>
      </c>
      <c r="F3384">
        <v>3263401</v>
      </c>
      <c r="G3384">
        <v>3351600</v>
      </c>
      <c r="H3384">
        <f t="shared" si="104"/>
        <v>74.000022675736957</v>
      </c>
      <c r="I3384">
        <f t="shared" si="105"/>
        <v>76</v>
      </c>
      <c r="J3384" t="s">
        <v>25</v>
      </c>
      <c r="K3384">
        <v>4</v>
      </c>
      <c r="L3384" t="e">
        <f t="array" ref="L3384">VLOOKUP(J3384:$J$3871&amp;K3384:$K$3871,CHOOSE({1,2},#REF!&amp;#REF!,#REF!),2,0)</f>
        <v>#N/A</v>
      </c>
      <c r="M3384">
        <v>0</v>
      </c>
      <c r="N3384">
        <v>1</v>
      </c>
      <c r="O3384" t="s">
        <v>23</v>
      </c>
      <c r="P3384">
        <v>0</v>
      </c>
      <c r="Q3384">
        <v>0</v>
      </c>
      <c r="R3384">
        <v>1</v>
      </c>
      <c r="S3384">
        <v>0</v>
      </c>
      <c r="T3384">
        <v>0</v>
      </c>
      <c r="U3384">
        <v>0</v>
      </c>
      <c r="V3384">
        <v>1</v>
      </c>
      <c r="W3384">
        <v>1</v>
      </c>
      <c r="X3384">
        <v>1</v>
      </c>
      <c r="Y3384">
        <v>0</v>
      </c>
      <c r="Z3384">
        <v>0</v>
      </c>
      <c r="AA3384" t="s">
        <v>3678</v>
      </c>
      <c r="AB3384" t="s">
        <v>1659</v>
      </c>
      <c r="AC3384" t="s">
        <v>3678</v>
      </c>
      <c r="AD3384" t="e">
        <f>VLOOKUP(AB3384,#REF!,2,FALSE)</f>
        <v>#REF!</v>
      </c>
      <c r="AE3384" t="e">
        <f>RIGHT(#REF!,(FIND("Complex",#REF!,1)-6))</f>
        <v>#REF!</v>
      </c>
    </row>
    <row r="3385" spans="1:31" x14ac:dyDescent="0.25">
      <c r="A3385">
        <v>1185</v>
      </c>
      <c r="B3385" t="s">
        <v>91</v>
      </c>
      <c r="C3385">
        <v>81</v>
      </c>
      <c r="D3385">
        <v>526</v>
      </c>
      <c r="E3385">
        <v>1185</v>
      </c>
      <c r="F3385">
        <v>2998801</v>
      </c>
      <c r="G3385">
        <v>3087000</v>
      </c>
      <c r="H3385">
        <f t="shared" si="104"/>
        <v>68.000022675736957</v>
      </c>
      <c r="I3385">
        <f t="shared" si="105"/>
        <v>70</v>
      </c>
      <c r="J3385" t="s">
        <v>25</v>
      </c>
      <c r="K3385">
        <v>4</v>
      </c>
      <c r="L3385" t="e">
        <f t="array" ref="L3385">VLOOKUP(J3385:$J$3871&amp;K3385:$K$3871,CHOOSE({1,2},#REF!&amp;#REF!,#REF!),2,0)</f>
        <v>#N/A</v>
      </c>
      <c r="M3385">
        <v>0</v>
      </c>
      <c r="N3385">
        <v>1</v>
      </c>
      <c r="O3385" t="s">
        <v>23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0</v>
      </c>
      <c r="V3385">
        <v>1</v>
      </c>
      <c r="W3385">
        <v>1</v>
      </c>
      <c r="X3385">
        <v>1</v>
      </c>
      <c r="Y3385">
        <v>0</v>
      </c>
      <c r="Z3385">
        <v>0</v>
      </c>
      <c r="AA3385" t="s">
        <v>3720</v>
      </c>
      <c r="AB3385" t="s">
        <v>1660</v>
      </c>
      <c r="AC3385" t="s">
        <v>3720</v>
      </c>
      <c r="AD3385" t="e">
        <f>VLOOKUP(AB3385,#REF!,2,FALSE)</f>
        <v>#REF!</v>
      </c>
      <c r="AE3385" t="e">
        <f>RIGHT(#REF!,(FIND("Complex",#REF!,1)-6))</f>
        <v>#REF!</v>
      </c>
    </row>
    <row r="3386" spans="1:31" x14ac:dyDescent="0.25">
      <c r="A3386">
        <v>400</v>
      </c>
      <c r="B3386" t="s">
        <v>91</v>
      </c>
      <c r="C3386">
        <v>81</v>
      </c>
      <c r="D3386">
        <v>170</v>
      </c>
      <c r="E3386">
        <v>400</v>
      </c>
      <c r="F3386">
        <v>2734201</v>
      </c>
      <c r="G3386">
        <v>2822400</v>
      </c>
      <c r="H3386">
        <f t="shared" si="104"/>
        <v>62.000022675736965</v>
      </c>
      <c r="I3386">
        <f t="shared" si="105"/>
        <v>64</v>
      </c>
      <c r="J3386" t="s">
        <v>25</v>
      </c>
      <c r="K3386">
        <v>4</v>
      </c>
      <c r="L3386" t="e">
        <f t="array" ref="L3386">VLOOKUP(J3386:$J$3871&amp;K3386:$K$3871,CHOOSE({1,2},#REF!&amp;#REF!,#REF!),2,0)</f>
        <v>#N/A</v>
      </c>
      <c r="M3386">
        <v>0</v>
      </c>
      <c r="N3386">
        <v>1</v>
      </c>
      <c r="O3386" t="s">
        <v>23</v>
      </c>
      <c r="P3386">
        <v>0</v>
      </c>
      <c r="Q3386">
        <v>0</v>
      </c>
      <c r="R3386">
        <v>1</v>
      </c>
      <c r="S3386">
        <v>0</v>
      </c>
      <c r="T3386">
        <v>0</v>
      </c>
      <c r="U3386">
        <v>0</v>
      </c>
      <c r="V3386">
        <v>1</v>
      </c>
      <c r="W3386">
        <v>1</v>
      </c>
      <c r="X3386">
        <v>1</v>
      </c>
      <c r="Y3386">
        <v>0</v>
      </c>
      <c r="Z3386">
        <v>0</v>
      </c>
      <c r="AA3386" t="s">
        <v>3758</v>
      </c>
      <c r="AB3386" t="s">
        <v>6458</v>
      </c>
      <c r="AC3386" t="s">
        <v>3758</v>
      </c>
      <c r="AD3386" t="e">
        <f>VLOOKUP(AB3386,#REF!,2,FALSE)</f>
        <v>#REF!</v>
      </c>
      <c r="AE3386" t="e">
        <f>RIGHT(#REF!,(FIND("Complex",#REF!,1)-5))</f>
        <v>#REF!</v>
      </c>
    </row>
    <row r="3387" spans="1:31" x14ac:dyDescent="0.25">
      <c r="A3387">
        <v>1342</v>
      </c>
      <c r="B3387" t="s">
        <v>91</v>
      </c>
      <c r="C3387">
        <v>81</v>
      </c>
      <c r="D3387">
        <v>586</v>
      </c>
      <c r="E3387">
        <v>1342</v>
      </c>
      <c r="F3387">
        <v>1587601</v>
      </c>
      <c r="G3387">
        <v>1675800</v>
      </c>
      <c r="H3387">
        <f t="shared" si="104"/>
        <v>36.000022675736965</v>
      </c>
      <c r="I3387">
        <f t="shared" si="105"/>
        <v>38</v>
      </c>
      <c r="J3387" t="s">
        <v>25</v>
      </c>
      <c r="K3387">
        <v>4</v>
      </c>
      <c r="L3387" t="e">
        <f t="array" ref="L3387">VLOOKUP(J3387:$J$3871&amp;K3387:$K$3871,CHOOSE({1,2},#REF!&amp;#REF!,#REF!),2,0)</f>
        <v>#N/A</v>
      </c>
      <c r="M3387">
        <v>0</v>
      </c>
      <c r="N3387">
        <v>1</v>
      </c>
      <c r="O3387" t="s">
        <v>23</v>
      </c>
      <c r="P3387">
        <v>0</v>
      </c>
      <c r="Q3387">
        <v>0</v>
      </c>
      <c r="R3387">
        <v>1</v>
      </c>
      <c r="S3387">
        <v>0</v>
      </c>
      <c r="T3387">
        <v>0</v>
      </c>
      <c r="U3387">
        <v>0</v>
      </c>
      <c r="V3387">
        <v>1</v>
      </c>
      <c r="W3387">
        <v>1</v>
      </c>
      <c r="X3387">
        <v>1</v>
      </c>
      <c r="Y3387">
        <v>0</v>
      </c>
      <c r="Z3387">
        <v>0</v>
      </c>
      <c r="AA3387" t="s">
        <v>3998</v>
      </c>
      <c r="AB3387" t="s">
        <v>6595</v>
      </c>
      <c r="AC3387" t="s">
        <v>3998</v>
      </c>
      <c r="AD3387" t="e">
        <f>VLOOKUP(AB3387,#REF!,2,FALSE)</f>
        <v>#REF!</v>
      </c>
      <c r="AE3387" t="e">
        <f>RIGHT(#REF!,(FIND("Complex",#REF!,1)-6))</f>
        <v>#REF!</v>
      </c>
    </row>
    <row r="3388" spans="1:31" x14ac:dyDescent="0.25">
      <c r="A3388">
        <v>1835</v>
      </c>
      <c r="B3388" t="s">
        <v>91</v>
      </c>
      <c r="C3388">
        <v>81</v>
      </c>
      <c r="D3388">
        <v>797</v>
      </c>
      <c r="E3388">
        <v>1835</v>
      </c>
      <c r="F3388">
        <v>1499401</v>
      </c>
      <c r="G3388">
        <v>1587600</v>
      </c>
      <c r="H3388">
        <f t="shared" si="104"/>
        <v>34.000022675736965</v>
      </c>
      <c r="I3388">
        <f t="shared" si="105"/>
        <v>36</v>
      </c>
      <c r="J3388" t="s">
        <v>25</v>
      </c>
      <c r="K3388">
        <v>4</v>
      </c>
      <c r="L3388" t="e">
        <f t="array" ref="L3388">VLOOKUP(J3388:$J$3871&amp;K3388:$K$3871,CHOOSE({1,2},#REF!&amp;#REF!,#REF!),2,0)</f>
        <v>#N/A</v>
      </c>
      <c r="M3388">
        <v>0</v>
      </c>
      <c r="N3388">
        <v>1</v>
      </c>
      <c r="O3388" t="s">
        <v>23</v>
      </c>
      <c r="P3388">
        <v>0</v>
      </c>
      <c r="Q3388">
        <v>0</v>
      </c>
      <c r="R3388">
        <v>1</v>
      </c>
      <c r="S3388">
        <v>0</v>
      </c>
      <c r="T3388">
        <v>0</v>
      </c>
      <c r="U3388">
        <v>0</v>
      </c>
      <c r="V3388">
        <v>1</v>
      </c>
      <c r="W3388">
        <v>1</v>
      </c>
      <c r="X3388">
        <v>1</v>
      </c>
      <c r="Y3388">
        <v>0</v>
      </c>
      <c r="Z3388">
        <v>0</v>
      </c>
      <c r="AA3388" t="s">
        <v>4017</v>
      </c>
      <c r="AB3388" t="s">
        <v>6608</v>
      </c>
      <c r="AC3388" t="s">
        <v>4017</v>
      </c>
      <c r="AD3388" t="e">
        <f>VLOOKUP(AB3388,#REF!,2,FALSE)</f>
        <v>#REF!</v>
      </c>
      <c r="AE3388" t="e">
        <f>RIGHT(#REF!,(FIND("Complex",#REF!,1)-6))</f>
        <v>#REF!</v>
      </c>
    </row>
    <row r="3389" spans="1:31" x14ac:dyDescent="0.25">
      <c r="A3389">
        <v>859</v>
      </c>
      <c r="B3389" t="s">
        <v>57</v>
      </c>
      <c r="C3389">
        <v>84</v>
      </c>
      <c r="D3389">
        <v>384</v>
      </c>
      <c r="E3389">
        <v>859</v>
      </c>
      <c r="F3389">
        <v>2646001</v>
      </c>
      <c r="G3389">
        <v>2734200</v>
      </c>
      <c r="H3389">
        <f t="shared" si="104"/>
        <v>60.000022675736965</v>
      </c>
      <c r="I3389">
        <f t="shared" si="105"/>
        <v>62</v>
      </c>
      <c r="J3389" t="s">
        <v>25</v>
      </c>
      <c r="K3389">
        <v>4</v>
      </c>
      <c r="L3389" t="e">
        <f t="array" ref="L3389">VLOOKUP(J3389:$J$3871&amp;K3389:$K$3871,CHOOSE({1,2},#REF!&amp;#REF!,#REF!),2,0)</f>
        <v>#N/A</v>
      </c>
      <c r="M3389">
        <v>0</v>
      </c>
      <c r="N3389">
        <v>1</v>
      </c>
      <c r="O3389" t="s">
        <v>23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1</v>
      </c>
      <c r="X3389">
        <v>1</v>
      </c>
      <c r="Y3389">
        <v>1</v>
      </c>
      <c r="Z3389">
        <v>0</v>
      </c>
      <c r="AA3389" t="s">
        <v>3775</v>
      </c>
      <c r="AB3389" t="s">
        <v>6469</v>
      </c>
      <c r="AC3389" t="s">
        <v>3775</v>
      </c>
      <c r="AD3389" t="e">
        <f>VLOOKUP(AB3389,#REF!,2,FALSE)</f>
        <v>#REF!</v>
      </c>
      <c r="AE3389" t="e">
        <f>RIGHT(#REF!,(FIND("Complex",#REF!,1)-5))</f>
        <v>#REF!</v>
      </c>
    </row>
    <row r="3390" spans="1:31" x14ac:dyDescent="0.25">
      <c r="A3390">
        <v>321</v>
      </c>
      <c r="B3390" t="s">
        <v>57</v>
      </c>
      <c r="C3390">
        <v>84</v>
      </c>
      <c r="D3390">
        <v>135</v>
      </c>
      <c r="E3390">
        <v>321</v>
      </c>
      <c r="F3390">
        <v>2293201</v>
      </c>
      <c r="G3390">
        <v>2381400</v>
      </c>
      <c r="H3390">
        <f t="shared" si="104"/>
        <v>52.000022675736965</v>
      </c>
      <c r="I3390">
        <f t="shared" si="105"/>
        <v>54</v>
      </c>
      <c r="J3390" t="s">
        <v>25</v>
      </c>
      <c r="K3390">
        <v>4</v>
      </c>
      <c r="L3390" t="e">
        <f t="array" ref="L3390">VLOOKUP(J3390:$J$3871&amp;K3390:$K$3871,CHOOSE({1,2},#REF!&amp;#REF!,#REF!),2,0)</f>
        <v>#N/A</v>
      </c>
      <c r="M3390">
        <v>0</v>
      </c>
      <c r="N3390">
        <v>1</v>
      </c>
      <c r="O3390" t="s">
        <v>23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1</v>
      </c>
      <c r="X3390">
        <v>1</v>
      </c>
      <c r="Y3390">
        <v>1</v>
      </c>
      <c r="Z3390">
        <v>0</v>
      </c>
      <c r="AA3390" t="s">
        <v>3856</v>
      </c>
      <c r="AB3390" t="s">
        <v>6512</v>
      </c>
      <c r="AC3390" t="s">
        <v>3856</v>
      </c>
      <c r="AD3390" t="e">
        <f>VLOOKUP(AB3390,#REF!,2,FALSE)</f>
        <v>#REF!</v>
      </c>
      <c r="AE3390" t="e">
        <f>RIGHT(#REF!,(FIND("Complex",#REF!,1)-5))</f>
        <v>#REF!</v>
      </c>
    </row>
    <row r="3391" spans="1:31" x14ac:dyDescent="0.25">
      <c r="A3391">
        <v>1030</v>
      </c>
      <c r="B3391" t="s">
        <v>57</v>
      </c>
      <c r="C3391">
        <v>84</v>
      </c>
      <c r="D3391">
        <v>455</v>
      </c>
      <c r="E3391">
        <v>1030</v>
      </c>
      <c r="F3391">
        <v>7408801</v>
      </c>
      <c r="G3391">
        <v>7497000</v>
      </c>
      <c r="H3391">
        <f t="shared" si="104"/>
        <v>168.00002267573697</v>
      </c>
      <c r="I3391">
        <f t="shared" si="105"/>
        <v>170</v>
      </c>
      <c r="J3391" t="s">
        <v>25</v>
      </c>
      <c r="K3391">
        <v>4</v>
      </c>
      <c r="L3391" t="e">
        <f t="array" ref="L3391">VLOOKUP(J3391:$J$3871&amp;K3391:$K$3871,CHOOSE({1,2},#REF!&amp;#REF!,#REF!),2,0)</f>
        <v>#N/A</v>
      </c>
      <c r="M3391">
        <v>0</v>
      </c>
      <c r="N3391">
        <v>1</v>
      </c>
      <c r="O3391" t="s">
        <v>23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1</v>
      </c>
      <c r="W3391">
        <v>1</v>
      </c>
      <c r="X3391">
        <v>0</v>
      </c>
      <c r="Y3391">
        <v>1</v>
      </c>
      <c r="Z3391">
        <v>0</v>
      </c>
      <c r="AA3391" t="s">
        <v>4443</v>
      </c>
      <c r="AB3391" t="s">
        <v>6884</v>
      </c>
      <c r="AC3391" t="s">
        <v>4443</v>
      </c>
      <c r="AD3391" t="e">
        <f>VLOOKUP(AB3391,#REF!,2,FALSE)</f>
        <v>#REF!</v>
      </c>
      <c r="AE3391" t="e">
        <f>RIGHT(#REF!,(FIND("Complex",#REF!,1)-5))</f>
        <v>#REF!</v>
      </c>
    </row>
    <row r="3392" spans="1:31" x14ac:dyDescent="0.25">
      <c r="A3392">
        <v>1845</v>
      </c>
      <c r="B3392" t="s">
        <v>57</v>
      </c>
      <c r="C3392">
        <v>84</v>
      </c>
      <c r="D3392">
        <v>803</v>
      </c>
      <c r="E3392">
        <v>1845</v>
      </c>
      <c r="F3392">
        <v>4586401</v>
      </c>
      <c r="G3392">
        <v>4674600</v>
      </c>
      <c r="H3392">
        <f t="shared" si="104"/>
        <v>104.00002267573696</v>
      </c>
      <c r="I3392">
        <f t="shared" si="105"/>
        <v>106</v>
      </c>
      <c r="J3392" t="s">
        <v>25</v>
      </c>
      <c r="K3392">
        <v>4</v>
      </c>
      <c r="L3392" t="e">
        <f t="array" ref="L3392">VLOOKUP(J3392:$J$3871&amp;K3392:$K$3871,CHOOSE({1,2},#REF!&amp;#REF!,#REF!),2,0)</f>
        <v>#N/A</v>
      </c>
      <c r="M3392">
        <v>0</v>
      </c>
      <c r="N3392">
        <v>1</v>
      </c>
      <c r="O3392" t="s">
        <v>23</v>
      </c>
      <c r="P3392">
        <v>0</v>
      </c>
      <c r="Q3392">
        <v>0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1</v>
      </c>
      <c r="X3392">
        <v>1</v>
      </c>
      <c r="Y3392">
        <v>1</v>
      </c>
      <c r="Z3392">
        <v>0</v>
      </c>
      <c r="AA3392" t="s">
        <v>4813</v>
      </c>
      <c r="AB3392" t="s">
        <v>7116</v>
      </c>
      <c r="AC3392" t="s">
        <v>4813</v>
      </c>
      <c r="AD3392" t="e">
        <f>VLOOKUP(AB3392,#REF!,2,FALSE)</f>
        <v>#REF!</v>
      </c>
      <c r="AE3392" t="e">
        <f>RIGHT(#REF!,(FIND("Complex",#REF!,1)-5))</f>
        <v>#REF!</v>
      </c>
    </row>
    <row r="3393" spans="1:31" x14ac:dyDescent="0.25">
      <c r="A3393">
        <v>1117</v>
      </c>
      <c r="B3393" t="s">
        <v>265</v>
      </c>
      <c r="C3393">
        <v>85</v>
      </c>
      <c r="D3393">
        <v>500</v>
      </c>
      <c r="E3393">
        <v>1117</v>
      </c>
      <c r="F3393">
        <v>3616201</v>
      </c>
      <c r="G3393">
        <v>3704400</v>
      </c>
      <c r="H3393">
        <f t="shared" si="104"/>
        <v>82.000022675736957</v>
      </c>
      <c r="I3393">
        <f t="shared" si="105"/>
        <v>84</v>
      </c>
      <c r="J3393" t="s">
        <v>25</v>
      </c>
      <c r="K3393">
        <v>4</v>
      </c>
      <c r="L3393" t="e">
        <f t="array" ref="L3393">VLOOKUP(J3393:$J$3871&amp;K3393:$K$3871,CHOOSE({1,2},#REF!&amp;#REF!,#REF!),2,0)</f>
        <v>#N/A</v>
      </c>
      <c r="M3393">
        <v>0</v>
      </c>
      <c r="N3393">
        <v>1</v>
      </c>
      <c r="O3393" t="s">
        <v>23</v>
      </c>
      <c r="P3393">
        <v>1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1</v>
      </c>
      <c r="X3393">
        <v>1</v>
      </c>
      <c r="Y3393">
        <v>0</v>
      </c>
      <c r="Z3393">
        <v>0</v>
      </c>
      <c r="AA3393" t="s">
        <v>3604</v>
      </c>
      <c r="AB3393" t="s">
        <v>6369</v>
      </c>
      <c r="AC3393" t="s">
        <v>3604</v>
      </c>
      <c r="AD3393" t="e">
        <f>VLOOKUP(AB3393,#REF!,2,FALSE)</f>
        <v>#REF!</v>
      </c>
      <c r="AE3393" t="e">
        <f>RIGHT(#REF!,(FIND("Complex",#REF!,1)-6))</f>
        <v>#REF!</v>
      </c>
    </row>
    <row r="3394" spans="1:31" x14ac:dyDescent="0.25">
      <c r="A3394">
        <v>447</v>
      </c>
      <c r="B3394" t="s">
        <v>265</v>
      </c>
      <c r="C3394">
        <v>85</v>
      </c>
      <c r="D3394">
        <v>188</v>
      </c>
      <c r="E3394">
        <v>447</v>
      </c>
      <c r="F3394">
        <v>2910601</v>
      </c>
      <c r="G3394">
        <v>2998800</v>
      </c>
      <c r="H3394">
        <f t="shared" ref="H3394:H3457" si="106">F3394/44100</f>
        <v>66.000022675736957</v>
      </c>
      <c r="I3394">
        <f t="shared" ref="I3394:I3457" si="107">G3394/44100</f>
        <v>68</v>
      </c>
      <c r="J3394" t="s">
        <v>25</v>
      </c>
      <c r="K3394">
        <v>4</v>
      </c>
      <c r="L3394" t="e">
        <f t="array" ref="L3394">VLOOKUP(J3394:$J$3871&amp;K3394:$K$3871,CHOOSE({1,2},#REF!&amp;#REF!,#REF!),2,0)</f>
        <v>#N/A</v>
      </c>
      <c r="M3394">
        <v>0</v>
      </c>
      <c r="N3394">
        <v>1</v>
      </c>
      <c r="O3394" t="s">
        <v>23</v>
      </c>
      <c r="P3394">
        <v>1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1</v>
      </c>
      <c r="X3394">
        <v>1</v>
      </c>
      <c r="Y3394">
        <v>0</v>
      </c>
      <c r="Z3394">
        <v>0</v>
      </c>
      <c r="AA3394" t="s">
        <v>3734</v>
      </c>
      <c r="AB3394" t="s">
        <v>1740</v>
      </c>
      <c r="AC3394" t="s">
        <v>3734</v>
      </c>
      <c r="AD3394" t="e">
        <f>VLOOKUP(AB3394,#REF!,2,FALSE)</f>
        <v>#REF!</v>
      </c>
      <c r="AE3394" t="e">
        <f>RIGHT(#REF!,(FIND("Complex",#REF!,1)-5))</f>
        <v>#REF!</v>
      </c>
    </row>
    <row r="3395" spans="1:31" x14ac:dyDescent="0.25">
      <c r="A3395">
        <v>1839</v>
      </c>
      <c r="B3395" t="s">
        <v>265</v>
      </c>
      <c r="C3395">
        <v>85</v>
      </c>
      <c r="D3395">
        <v>800</v>
      </c>
      <c r="E3395">
        <v>1839</v>
      </c>
      <c r="F3395">
        <v>2116801</v>
      </c>
      <c r="G3395">
        <v>2205000</v>
      </c>
      <c r="H3395">
        <f t="shared" si="106"/>
        <v>48.000022675736965</v>
      </c>
      <c r="I3395">
        <f t="shared" si="107"/>
        <v>50</v>
      </c>
      <c r="J3395" t="s">
        <v>25</v>
      </c>
      <c r="K3395">
        <v>4</v>
      </c>
      <c r="L3395" t="e">
        <f t="array" ref="L3395">VLOOKUP(J3395:$J$3871&amp;K3395:$K$3871,CHOOSE({1,2},#REF!&amp;#REF!,#REF!),2,0)</f>
        <v>#N/A</v>
      </c>
      <c r="M3395">
        <v>0</v>
      </c>
      <c r="N3395">
        <v>1</v>
      </c>
      <c r="O3395" t="s">
        <v>23</v>
      </c>
      <c r="P3395">
        <v>0</v>
      </c>
      <c r="Q3395">
        <v>1</v>
      </c>
      <c r="R3395">
        <v>0</v>
      </c>
      <c r="S3395">
        <v>1</v>
      </c>
      <c r="T3395">
        <v>0</v>
      </c>
      <c r="U3395">
        <v>0</v>
      </c>
      <c r="V3395">
        <v>0</v>
      </c>
      <c r="W3395">
        <v>1</v>
      </c>
      <c r="X3395">
        <v>1</v>
      </c>
      <c r="Y3395">
        <v>0</v>
      </c>
      <c r="Z3395">
        <v>0</v>
      </c>
      <c r="AA3395" t="s">
        <v>3884</v>
      </c>
      <c r="AB3395" t="s">
        <v>6530</v>
      </c>
      <c r="AC3395" t="s">
        <v>3884</v>
      </c>
      <c r="AD3395" t="e">
        <f>VLOOKUP(AB3395,#REF!,2,FALSE)</f>
        <v>#REF!</v>
      </c>
      <c r="AE3395" t="e">
        <f>RIGHT(#REF!,(FIND("Complex",#REF!,1)-6))</f>
        <v>#REF!</v>
      </c>
    </row>
    <row r="3396" spans="1:31" x14ac:dyDescent="0.25">
      <c r="A3396">
        <v>1692</v>
      </c>
      <c r="B3396" t="s">
        <v>265</v>
      </c>
      <c r="C3396">
        <v>85</v>
      </c>
      <c r="D3396">
        <v>740</v>
      </c>
      <c r="E3396">
        <v>1692</v>
      </c>
      <c r="F3396">
        <v>1234801</v>
      </c>
      <c r="G3396">
        <v>1323000</v>
      </c>
      <c r="H3396">
        <f t="shared" si="106"/>
        <v>28.000022675736961</v>
      </c>
      <c r="I3396">
        <f t="shared" si="107"/>
        <v>30</v>
      </c>
      <c r="J3396" t="s">
        <v>25</v>
      </c>
      <c r="K3396">
        <v>4</v>
      </c>
      <c r="L3396" t="e">
        <f t="array" ref="L3396">VLOOKUP(J3396:$J$3871&amp;K3396:$K$3871,CHOOSE({1,2},#REF!&amp;#REF!,#REF!),2,0)</f>
        <v>#N/A</v>
      </c>
      <c r="M3396">
        <v>0</v>
      </c>
      <c r="N3396">
        <v>1</v>
      </c>
      <c r="O3396" t="s">
        <v>23</v>
      </c>
      <c r="P3396">
        <v>0</v>
      </c>
      <c r="Q3396">
        <v>1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1</v>
      </c>
      <c r="X3396">
        <v>1</v>
      </c>
      <c r="Y3396">
        <v>0</v>
      </c>
      <c r="Z3396">
        <v>0</v>
      </c>
      <c r="AA3396" t="s">
        <v>4095</v>
      </c>
      <c r="AB3396" t="s">
        <v>6661</v>
      </c>
      <c r="AC3396" t="s">
        <v>4095</v>
      </c>
      <c r="AD3396" t="e">
        <f>VLOOKUP(AB3396,#REF!,2,FALSE)</f>
        <v>#REF!</v>
      </c>
      <c r="AE3396" t="e">
        <f>RIGHT(#REF!,(FIND("Complex",#REF!,1)-6))</f>
        <v>#REF!</v>
      </c>
    </row>
    <row r="3397" spans="1:31" x14ac:dyDescent="0.25">
      <c r="A3397">
        <v>1532</v>
      </c>
      <c r="B3397" t="s">
        <v>265</v>
      </c>
      <c r="C3397">
        <v>85</v>
      </c>
      <c r="D3397">
        <v>670</v>
      </c>
      <c r="E3397">
        <v>1532</v>
      </c>
      <c r="F3397">
        <v>705601</v>
      </c>
      <c r="G3397">
        <v>793800</v>
      </c>
      <c r="H3397">
        <f t="shared" si="106"/>
        <v>16.000022675736961</v>
      </c>
      <c r="I3397">
        <f t="shared" si="107"/>
        <v>18</v>
      </c>
      <c r="J3397" t="s">
        <v>25</v>
      </c>
      <c r="K3397">
        <v>4</v>
      </c>
      <c r="L3397" t="e">
        <f t="array" ref="L3397">VLOOKUP(J3397:$J$3871&amp;K3397:$K$3871,CHOOSE({1,2},#REF!&amp;#REF!,#REF!),2,0)</f>
        <v>#N/A</v>
      </c>
      <c r="M3397">
        <v>0</v>
      </c>
      <c r="N3397">
        <v>1</v>
      </c>
      <c r="O3397" t="s">
        <v>23</v>
      </c>
      <c r="P3397">
        <v>0</v>
      </c>
      <c r="Q3397">
        <v>1</v>
      </c>
      <c r="R3397">
        <v>0</v>
      </c>
      <c r="S3397">
        <v>1</v>
      </c>
      <c r="T3397">
        <v>0</v>
      </c>
      <c r="U3397">
        <v>0</v>
      </c>
      <c r="V3397">
        <v>0</v>
      </c>
      <c r="W3397">
        <v>1</v>
      </c>
      <c r="X3397">
        <v>1</v>
      </c>
      <c r="Y3397">
        <v>0</v>
      </c>
      <c r="Z3397">
        <v>0</v>
      </c>
      <c r="AA3397" t="s">
        <v>4488</v>
      </c>
      <c r="AB3397" t="s">
        <v>6917</v>
      </c>
      <c r="AC3397" t="s">
        <v>4488</v>
      </c>
      <c r="AD3397" t="e">
        <f>VLOOKUP(AB3397,#REF!,2,FALSE)</f>
        <v>#REF!</v>
      </c>
      <c r="AE3397" t="e">
        <f>RIGHT(#REF!,(FIND("Complex",#REF!,1)-6))</f>
        <v>#REF!</v>
      </c>
    </row>
    <row r="3398" spans="1:31" x14ac:dyDescent="0.25">
      <c r="A3398">
        <v>429</v>
      </c>
      <c r="B3398" t="s">
        <v>265</v>
      </c>
      <c r="C3398">
        <v>85</v>
      </c>
      <c r="D3398">
        <v>182</v>
      </c>
      <c r="E3398">
        <v>429</v>
      </c>
      <c r="F3398">
        <v>6174001</v>
      </c>
      <c r="G3398">
        <v>6262200</v>
      </c>
      <c r="H3398">
        <f t="shared" si="106"/>
        <v>140.00002267573697</v>
      </c>
      <c r="I3398">
        <f t="shared" si="107"/>
        <v>142</v>
      </c>
      <c r="J3398" t="s">
        <v>25</v>
      </c>
      <c r="K3398">
        <v>4</v>
      </c>
      <c r="L3398" t="e">
        <f t="array" ref="L3398">VLOOKUP(J3398:$J$3871&amp;K3398:$K$3871,CHOOSE({1,2},#REF!&amp;#REF!,#REF!),2,0)</f>
        <v>#N/A</v>
      </c>
      <c r="M3398">
        <v>0</v>
      </c>
      <c r="N3398">
        <v>1</v>
      </c>
      <c r="O3398" t="s">
        <v>23</v>
      </c>
      <c r="P3398">
        <v>0</v>
      </c>
      <c r="Q3398">
        <v>1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1</v>
      </c>
      <c r="X3398">
        <v>1</v>
      </c>
      <c r="Y3398">
        <v>0</v>
      </c>
      <c r="Z3398">
        <v>0</v>
      </c>
      <c r="AA3398" t="s">
        <v>4596</v>
      </c>
      <c r="AB3398" t="s">
        <v>1741</v>
      </c>
      <c r="AC3398" t="s">
        <v>4596</v>
      </c>
      <c r="AD3398" t="e">
        <f>VLOOKUP(AB3398,#REF!,2,FALSE)</f>
        <v>#REF!</v>
      </c>
      <c r="AE3398" t="e">
        <f>RIGHT(#REF!,(FIND("Complex",#REF!,1)-4))</f>
        <v>#REF!</v>
      </c>
    </row>
    <row r="3399" spans="1:31" x14ac:dyDescent="0.25">
      <c r="A3399">
        <v>828</v>
      </c>
      <c r="B3399" t="s">
        <v>77</v>
      </c>
      <c r="C3399">
        <v>87</v>
      </c>
      <c r="D3399">
        <v>372</v>
      </c>
      <c r="E3399">
        <v>828</v>
      </c>
      <c r="F3399">
        <v>10407601</v>
      </c>
      <c r="G3399">
        <v>10495800</v>
      </c>
      <c r="H3399">
        <f t="shared" si="106"/>
        <v>236.00002267573697</v>
      </c>
      <c r="I3399">
        <f t="shared" si="107"/>
        <v>238</v>
      </c>
      <c r="J3399" t="s">
        <v>25</v>
      </c>
      <c r="K3399">
        <v>4</v>
      </c>
      <c r="L3399" t="e">
        <f t="array" ref="L3399">VLOOKUP(J3399:$J$3871&amp;K3399:$K$3871,CHOOSE({1,2},#REF!&amp;#REF!,#REF!),2,0)</f>
        <v>#N/A</v>
      </c>
      <c r="M3399">
        <v>0</v>
      </c>
      <c r="N3399">
        <v>1</v>
      </c>
      <c r="O3399" t="s">
        <v>23</v>
      </c>
      <c r="P3399">
        <v>0</v>
      </c>
      <c r="Q3399">
        <v>1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1</v>
      </c>
      <c r="X3399">
        <v>0</v>
      </c>
      <c r="Y3399">
        <v>1</v>
      </c>
      <c r="Z3399">
        <v>0</v>
      </c>
      <c r="AA3399" t="s">
        <v>4205</v>
      </c>
      <c r="AB3399" t="s">
        <v>6743</v>
      </c>
      <c r="AC3399" t="s">
        <v>4205</v>
      </c>
      <c r="AD3399" t="e">
        <f>VLOOKUP(AB3399,#REF!,2,FALSE)</f>
        <v>#REF!</v>
      </c>
      <c r="AE3399" t="e">
        <f>RIGHT(#REF!,(FIND("Complex",#REF!,1)-4))</f>
        <v>#REF!</v>
      </c>
    </row>
    <row r="3400" spans="1:31" x14ac:dyDescent="0.25">
      <c r="A3400">
        <v>1024</v>
      </c>
      <c r="B3400" t="s">
        <v>77</v>
      </c>
      <c r="C3400">
        <v>87</v>
      </c>
      <c r="D3400">
        <v>454</v>
      </c>
      <c r="E3400">
        <v>1024</v>
      </c>
      <c r="F3400">
        <v>7938001</v>
      </c>
      <c r="G3400">
        <v>8026200</v>
      </c>
      <c r="H3400">
        <f t="shared" si="106"/>
        <v>180.00002267573697</v>
      </c>
      <c r="I3400">
        <f t="shared" si="107"/>
        <v>182</v>
      </c>
      <c r="J3400" t="s">
        <v>25</v>
      </c>
      <c r="K3400">
        <v>4</v>
      </c>
      <c r="L3400" t="e">
        <f t="array" ref="L3400">VLOOKUP(J3400:$J$3871&amp;K3400:$K$3871,CHOOSE({1,2},#REF!&amp;#REF!,#REF!),2,0)</f>
        <v>#N/A</v>
      </c>
      <c r="M3400">
        <v>0</v>
      </c>
      <c r="N3400">
        <v>1</v>
      </c>
      <c r="O3400" t="s">
        <v>23</v>
      </c>
      <c r="P3400">
        <v>0</v>
      </c>
      <c r="Q3400">
        <v>1</v>
      </c>
      <c r="R3400">
        <v>0</v>
      </c>
      <c r="S3400">
        <v>1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0</v>
      </c>
      <c r="Z3400">
        <v>0</v>
      </c>
      <c r="AA3400" t="s">
        <v>4397</v>
      </c>
      <c r="AB3400" t="s">
        <v>6858</v>
      </c>
      <c r="AC3400" t="s">
        <v>4397</v>
      </c>
      <c r="AD3400" t="e">
        <f>VLOOKUP(AB3400,#REF!,2,FALSE)</f>
        <v>#REF!</v>
      </c>
      <c r="AE3400" t="e">
        <f>RIGHT(#REF!,(FIND("Complex",#REF!,1)-5))</f>
        <v>#REF!</v>
      </c>
    </row>
    <row r="3401" spans="1:31" x14ac:dyDescent="0.25">
      <c r="A3401">
        <v>1560</v>
      </c>
      <c r="B3401" t="s">
        <v>267</v>
      </c>
      <c r="C3401">
        <v>89</v>
      </c>
      <c r="D3401">
        <v>680</v>
      </c>
      <c r="E3401">
        <v>1560</v>
      </c>
      <c r="F3401">
        <v>3439801</v>
      </c>
      <c r="G3401">
        <v>3528000</v>
      </c>
      <c r="H3401">
        <f t="shared" si="106"/>
        <v>78.000022675736957</v>
      </c>
      <c r="I3401">
        <f t="shared" si="107"/>
        <v>80</v>
      </c>
      <c r="J3401" t="s">
        <v>25</v>
      </c>
      <c r="K3401">
        <v>4</v>
      </c>
      <c r="L3401" t="e">
        <f t="array" ref="L3401">VLOOKUP(J3401:$J$3871&amp;K3401:$K$3871,CHOOSE({1,2},#REF!&amp;#REF!,#REF!),2,0)</f>
        <v>#N/A</v>
      </c>
      <c r="M3401">
        <v>0</v>
      </c>
      <c r="N3401">
        <v>1</v>
      </c>
      <c r="O3401" t="s">
        <v>23</v>
      </c>
      <c r="P3401">
        <v>0</v>
      </c>
      <c r="Q3401">
        <v>1</v>
      </c>
      <c r="R3401">
        <v>0</v>
      </c>
      <c r="S3401">
        <v>0</v>
      </c>
      <c r="T3401">
        <v>0</v>
      </c>
      <c r="U3401">
        <v>1</v>
      </c>
      <c r="V3401">
        <v>1</v>
      </c>
      <c r="W3401">
        <v>1</v>
      </c>
      <c r="X3401">
        <v>0</v>
      </c>
      <c r="Y3401">
        <v>0</v>
      </c>
      <c r="Z3401">
        <v>0</v>
      </c>
      <c r="AA3401" t="s">
        <v>3650</v>
      </c>
      <c r="AB3401" t="s">
        <v>6395</v>
      </c>
      <c r="AC3401" t="s">
        <v>3650</v>
      </c>
      <c r="AD3401" t="e">
        <f>VLOOKUP(AB3401,#REF!,2,FALSE)</f>
        <v>#REF!</v>
      </c>
      <c r="AE3401" t="e">
        <f>RIGHT(#REF!,(FIND("Complex",#REF!,1)-6))</f>
        <v>#REF!</v>
      </c>
    </row>
    <row r="3402" spans="1:31" x14ac:dyDescent="0.25">
      <c r="A3402">
        <v>1665</v>
      </c>
      <c r="B3402" t="s">
        <v>267</v>
      </c>
      <c r="C3402">
        <v>89</v>
      </c>
      <c r="D3402">
        <v>727</v>
      </c>
      <c r="E3402">
        <v>1665</v>
      </c>
      <c r="F3402">
        <v>3351601</v>
      </c>
      <c r="G3402">
        <v>3439800</v>
      </c>
      <c r="H3402">
        <f t="shared" si="106"/>
        <v>76.000022675736957</v>
      </c>
      <c r="I3402">
        <f t="shared" si="107"/>
        <v>78</v>
      </c>
      <c r="J3402" t="s">
        <v>25</v>
      </c>
      <c r="K3402">
        <v>4</v>
      </c>
      <c r="L3402" t="e">
        <f t="array" ref="L3402">VLOOKUP(J3402:$J$3871&amp;K3402:$K$3871,CHOOSE({1,2},#REF!&amp;#REF!,#REF!),2,0)</f>
        <v>#N/A</v>
      </c>
      <c r="M3402">
        <v>0</v>
      </c>
      <c r="N3402">
        <v>1</v>
      </c>
      <c r="O3402" t="s">
        <v>23</v>
      </c>
      <c r="P3402">
        <v>0</v>
      </c>
      <c r="Q3402">
        <v>1</v>
      </c>
      <c r="R3402">
        <v>0</v>
      </c>
      <c r="S3402">
        <v>0</v>
      </c>
      <c r="T3402">
        <v>0</v>
      </c>
      <c r="U3402">
        <v>1</v>
      </c>
      <c r="V3402">
        <v>1</v>
      </c>
      <c r="W3402">
        <v>1</v>
      </c>
      <c r="X3402">
        <v>0</v>
      </c>
      <c r="Y3402">
        <v>0</v>
      </c>
      <c r="Z3402">
        <v>0</v>
      </c>
      <c r="AA3402" t="s">
        <v>3661</v>
      </c>
      <c r="AB3402" t="s">
        <v>6401</v>
      </c>
      <c r="AC3402" t="s">
        <v>3661</v>
      </c>
      <c r="AD3402" t="e">
        <f>VLOOKUP(AB3402,#REF!,2,FALSE)</f>
        <v>#REF!</v>
      </c>
      <c r="AE3402" t="e">
        <f>RIGHT(#REF!,(FIND("Complex",#REF!,1)-6))</f>
        <v>#REF!</v>
      </c>
    </row>
    <row r="3403" spans="1:31" x14ac:dyDescent="0.25">
      <c r="A3403">
        <v>639</v>
      </c>
      <c r="B3403" t="s">
        <v>267</v>
      </c>
      <c r="C3403">
        <v>89</v>
      </c>
      <c r="D3403">
        <v>278</v>
      </c>
      <c r="E3403">
        <v>639</v>
      </c>
      <c r="F3403">
        <v>2910601</v>
      </c>
      <c r="G3403">
        <v>2998800</v>
      </c>
      <c r="H3403">
        <f t="shared" si="106"/>
        <v>66.000022675736957</v>
      </c>
      <c r="I3403">
        <f t="shared" si="107"/>
        <v>68</v>
      </c>
      <c r="J3403" t="s">
        <v>25</v>
      </c>
      <c r="K3403">
        <v>4</v>
      </c>
      <c r="L3403" t="e">
        <f t="array" ref="L3403">VLOOKUP(J3403:$J$3871&amp;K3403:$K$3871,CHOOSE({1,2},#REF!&amp;#REF!,#REF!),2,0)</f>
        <v>#N/A</v>
      </c>
      <c r="M3403">
        <v>0</v>
      </c>
      <c r="N3403">
        <v>1</v>
      </c>
      <c r="O3403" t="s">
        <v>23</v>
      </c>
      <c r="P3403">
        <v>0</v>
      </c>
      <c r="Q3403">
        <v>1</v>
      </c>
      <c r="R3403">
        <v>0</v>
      </c>
      <c r="S3403">
        <v>0</v>
      </c>
      <c r="T3403">
        <v>0</v>
      </c>
      <c r="U3403">
        <v>1</v>
      </c>
      <c r="V3403">
        <v>1</v>
      </c>
      <c r="W3403">
        <v>1</v>
      </c>
      <c r="X3403">
        <v>0</v>
      </c>
      <c r="Y3403">
        <v>0</v>
      </c>
      <c r="Z3403">
        <v>0</v>
      </c>
      <c r="AA3403" t="s">
        <v>3733</v>
      </c>
      <c r="AB3403" t="s">
        <v>6440</v>
      </c>
      <c r="AC3403" t="s">
        <v>3733</v>
      </c>
      <c r="AD3403" t="e">
        <f>VLOOKUP(AB3403,#REF!,2,FALSE)</f>
        <v>#REF!</v>
      </c>
      <c r="AE3403" t="e">
        <f>RIGHT(#REF!,(FIND("Complex",#REF!,1)-5))</f>
        <v>#REF!</v>
      </c>
    </row>
    <row r="3404" spans="1:31" x14ac:dyDescent="0.25">
      <c r="A3404">
        <v>1162</v>
      </c>
      <c r="B3404" t="s">
        <v>267</v>
      </c>
      <c r="C3404">
        <v>89</v>
      </c>
      <c r="D3404">
        <v>517</v>
      </c>
      <c r="E3404">
        <v>1162</v>
      </c>
      <c r="F3404">
        <v>2734201</v>
      </c>
      <c r="G3404">
        <v>2822400</v>
      </c>
      <c r="H3404">
        <f t="shared" si="106"/>
        <v>62.000022675736965</v>
      </c>
      <c r="I3404">
        <f t="shared" si="107"/>
        <v>64</v>
      </c>
      <c r="J3404" t="s">
        <v>25</v>
      </c>
      <c r="K3404">
        <v>4</v>
      </c>
      <c r="L3404" t="e">
        <f t="array" ref="L3404">VLOOKUP(J3404:$J$3871&amp;K3404:$K$3871,CHOOSE({1,2},#REF!&amp;#REF!,#REF!),2,0)</f>
        <v>#N/A</v>
      </c>
      <c r="M3404">
        <v>0</v>
      </c>
      <c r="N3404">
        <v>1</v>
      </c>
      <c r="O3404" t="s">
        <v>23</v>
      </c>
      <c r="P3404">
        <v>0</v>
      </c>
      <c r="Q3404">
        <v>1</v>
      </c>
      <c r="R3404">
        <v>0</v>
      </c>
      <c r="S3404">
        <v>0</v>
      </c>
      <c r="T3404">
        <v>0</v>
      </c>
      <c r="U3404">
        <v>1</v>
      </c>
      <c r="V3404">
        <v>1</v>
      </c>
      <c r="W3404">
        <v>1</v>
      </c>
      <c r="X3404">
        <v>0</v>
      </c>
      <c r="Y3404">
        <v>0</v>
      </c>
      <c r="Z3404">
        <v>0</v>
      </c>
      <c r="AA3404" t="s">
        <v>3756</v>
      </c>
      <c r="AB3404" t="s">
        <v>6456</v>
      </c>
      <c r="AC3404" t="s">
        <v>3756</v>
      </c>
      <c r="AD3404" t="e">
        <f>VLOOKUP(AB3404,#REF!,2,FALSE)</f>
        <v>#REF!</v>
      </c>
      <c r="AE3404" t="e">
        <f>RIGHT(#REF!,(FIND("Complex",#REF!,1)-6))</f>
        <v>#REF!</v>
      </c>
    </row>
    <row r="3405" spans="1:31" x14ac:dyDescent="0.25">
      <c r="A3405">
        <v>936</v>
      </c>
      <c r="B3405" t="s">
        <v>267</v>
      </c>
      <c r="C3405">
        <v>89</v>
      </c>
      <c r="D3405">
        <v>408</v>
      </c>
      <c r="E3405">
        <v>936</v>
      </c>
      <c r="F3405">
        <v>2469601</v>
      </c>
      <c r="G3405">
        <v>2557800</v>
      </c>
      <c r="H3405">
        <f t="shared" si="106"/>
        <v>56.000022675736965</v>
      </c>
      <c r="I3405">
        <f t="shared" si="107"/>
        <v>58</v>
      </c>
      <c r="J3405" t="s">
        <v>25</v>
      </c>
      <c r="K3405">
        <v>4</v>
      </c>
      <c r="L3405" t="e">
        <f t="array" ref="L3405">VLOOKUP(J3405:$J$3871&amp;K3405:$K$3871,CHOOSE({1,2},#REF!&amp;#REF!,#REF!),2,0)</f>
        <v>#N/A</v>
      </c>
      <c r="M3405">
        <v>0</v>
      </c>
      <c r="N3405">
        <v>1</v>
      </c>
      <c r="O3405" t="s">
        <v>23</v>
      </c>
      <c r="P3405">
        <v>0</v>
      </c>
      <c r="Q3405">
        <v>1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1</v>
      </c>
      <c r="X3405">
        <v>0</v>
      </c>
      <c r="Y3405">
        <v>0</v>
      </c>
      <c r="Z3405">
        <v>0</v>
      </c>
      <c r="AA3405" t="s">
        <v>3829</v>
      </c>
      <c r="AB3405" t="s">
        <v>1799</v>
      </c>
      <c r="AC3405" t="s">
        <v>3829</v>
      </c>
      <c r="AD3405" t="e">
        <f>VLOOKUP(AB3405,#REF!,2,FALSE)</f>
        <v>#REF!</v>
      </c>
      <c r="AE3405" t="e">
        <f>RIGHT(#REF!,(FIND("Complex",#REF!,1)-5))</f>
        <v>#REF!</v>
      </c>
    </row>
    <row r="3406" spans="1:31" x14ac:dyDescent="0.25">
      <c r="A3406">
        <v>777</v>
      </c>
      <c r="B3406" t="s">
        <v>267</v>
      </c>
      <c r="C3406">
        <v>89</v>
      </c>
      <c r="D3406">
        <v>349</v>
      </c>
      <c r="E3406">
        <v>777</v>
      </c>
      <c r="F3406">
        <v>1234801</v>
      </c>
      <c r="G3406">
        <v>1323000</v>
      </c>
      <c r="H3406">
        <f t="shared" si="106"/>
        <v>28.000022675736961</v>
      </c>
      <c r="I3406">
        <f t="shared" si="107"/>
        <v>30</v>
      </c>
      <c r="J3406" t="s">
        <v>25</v>
      </c>
      <c r="K3406">
        <v>4</v>
      </c>
      <c r="L3406" t="e">
        <f t="array" ref="L3406">VLOOKUP(J3406:$J$3871&amp;K3406:$K$3871,CHOOSE({1,2},#REF!&amp;#REF!,#REF!),2,0)</f>
        <v>#N/A</v>
      </c>
      <c r="M3406">
        <v>0</v>
      </c>
      <c r="N3406">
        <v>1</v>
      </c>
      <c r="O3406" t="s">
        <v>23</v>
      </c>
      <c r="P3406">
        <v>0</v>
      </c>
      <c r="Q3406">
        <v>1</v>
      </c>
      <c r="R3406">
        <v>0</v>
      </c>
      <c r="S3406">
        <v>0</v>
      </c>
      <c r="T3406">
        <v>0</v>
      </c>
      <c r="U3406">
        <v>1</v>
      </c>
      <c r="V3406">
        <v>1</v>
      </c>
      <c r="W3406">
        <v>1</v>
      </c>
      <c r="X3406">
        <v>0</v>
      </c>
      <c r="Y3406">
        <v>0</v>
      </c>
      <c r="Z3406">
        <v>0</v>
      </c>
      <c r="AA3406" t="s">
        <v>4094</v>
      </c>
      <c r="AB3406" t="s">
        <v>6660</v>
      </c>
      <c r="AC3406" t="s">
        <v>4094</v>
      </c>
      <c r="AD3406" t="e">
        <f>VLOOKUP(AB3406,#REF!,2,FALSE)</f>
        <v>#REF!</v>
      </c>
      <c r="AE3406" t="e">
        <f>RIGHT(#REF!,(FIND("Complex",#REF!,1)-5))</f>
        <v>#REF!</v>
      </c>
    </row>
    <row r="3407" spans="1:31" x14ac:dyDescent="0.25">
      <c r="A3407">
        <v>306</v>
      </c>
      <c r="B3407" t="s">
        <v>267</v>
      </c>
      <c r="C3407">
        <v>89</v>
      </c>
      <c r="D3407">
        <v>130</v>
      </c>
      <c r="E3407">
        <v>306</v>
      </c>
      <c r="F3407">
        <v>7320601</v>
      </c>
      <c r="G3407">
        <v>7408800</v>
      </c>
      <c r="H3407">
        <f t="shared" si="106"/>
        <v>166.00002267573697</v>
      </c>
      <c r="I3407">
        <f t="shared" si="107"/>
        <v>168</v>
      </c>
      <c r="J3407" t="s">
        <v>25</v>
      </c>
      <c r="K3407">
        <v>4</v>
      </c>
      <c r="L3407" t="e">
        <f t="array" ref="L3407">VLOOKUP(J3407:$J$3871&amp;K3407:$K$3871,CHOOSE({1,2},#REF!&amp;#REF!,#REF!),2,0)</f>
        <v>#N/A</v>
      </c>
      <c r="M3407">
        <v>0</v>
      </c>
      <c r="N3407">
        <v>1</v>
      </c>
      <c r="O3407" t="s">
        <v>23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1</v>
      </c>
      <c r="V3407">
        <v>1</v>
      </c>
      <c r="W3407">
        <v>1</v>
      </c>
      <c r="X3407">
        <v>0</v>
      </c>
      <c r="Y3407">
        <v>0</v>
      </c>
      <c r="Z3407">
        <v>0</v>
      </c>
      <c r="AA3407" t="s">
        <v>4454</v>
      </c>
      <c r="AB3407" t="s">
        <v>6893</v>
      </c>
      <c r="AC3407" t="s">
        <v>4454</v>
      </c>
      <c r="AD3407" t="e">
        <f>VLOOKUP(AB3407,#REF!,2,FALSE)</f>
        <v>#REF!</v>
      </c>
      <c r="AE3407" t="e">
        <f>RIGHT(#REF!,(FIND("Complex",#REF!,1)-4))</f>
        <v>#REF!</v>
      </c>
    </row>
    <row r="3408" spans="1:31" x14ac:dyDescent="0.25">
      <c r="A3408">
        <v>1499</v>
      </c>
      <c r="B3408" t="s">
        <v>267</v>
      </c>
      <c r="C3408">
        <v>89</v>
      </c>
      <c r="D3408">
        <v>658</v>
      </c>
      <c r="E3408">
        <v>1499</v>
      </c>
      <c r="F3408">
        <v>7232401</v>
      </c>
      <c r="G3408">
        <v>7320600</v>
      </c>
      <c r="H3408">
        <f t="shared" si="106"/>
        <v>164.00002267573697</v>
      </c>
      <c r="I3408">
        <f t="shared" si="107"/>
        <v>166</v>
      </c>
      <c r="J3408" t="s">
        <v>25</v>
      </c>
      <c r="K3408">
        <v>4</v>
      </c>
      <c r="L3408" t="e">
        <f t="array" ref="L3408">VLOOKUP(J3408:$J$3871&amp;K3408:$K$3871,CHOOSE({1,2},#REF!&amp;#REF!,#REF!),2,0)</f>
        <v>#N/A</v>
      </c>
      <c r="M3408">
        <v>0</v>
      </c>
      <c r="N3408">
        <v>1</v>
      </c>
      <c r="O3408" t="s">
        <v>23</v>
      </c>
      <c r="P3408">
        <v>0</v>
      </c>
      <c r="Q3408">
        <v>1</v>
      </c>
      <c r="R3408">
        <v>0</v>
      </c>
      <c r="S3408">
        <v>0</v>
      </c>
      <c r="T3408">
        <v>0</v>
      </c>
      <c r="U3408">
        <v>1</v>
      </c>
      <c r="V3408">
        <v>1</v>
      </c>
      <c r="W3408">
        <v>1</v>
      </c>
      <c r="X3408">
        <v>0</v>
      </c>
      <c r="Y3408">
        <v>0</v>
      </c>
      <c r="Z3408">
        <v>0</v>
      </c>
      <c r="AA3408" t="s">
        <v>4461</v>
      </c>
      <c r="AB3408" t="s">
        <v>6897</v>
      </c>
      <c r="AC3408" t="s">
        <v>4461</v>
      </c>
      <c r="AD3408" t="e">
        <f>VLOOKUP(AB3408,#REF!,2,FALSE)</f>
        <v>#REF!</v>
      </c>
      <c r="AE3408" t="e">
        <f>RIGHT(#REF!,(FIND("Complex",#REF!,1)-5))</f>
        <v>#REF!</v>
      </c>
    </row>
    <row r="3409" spans="1:31" x14ac:dyDescent="0.25">
      <c r="A3409">
        <v>1036</v>
      </c>
      <c r="B3409" t="s">
        <v>267</v>
      </c>
      <c r="C3409">
        <v>89</v>
      </c>
      <c r="D3409">
        <v>457</v>
      </c>
      <c r="E3409">
        <v>1036</v>
      </c>
      <c r="F3409">
        <v>7056001</v>
      </c>
      <c r="G3409">
        <v>7144200</v>
      </c>
      <c r="H3409">
        <f t="shared" si="106"/>
        <v>160.00002267573697</v>
      </c>
      <c r="I3409">
        <f t="shared" si="107"/>
        <v>162</v>
      </c>
      <c r="J3409" t="s">
        <v>25</v>
      </c>
      <c r="K3409">
        <v>4</v>
      </c>
      <c r="L3409" t="e">
        <f t="array" ref="L3409">VLOOKUP(J3409:$J$3871&amp;K3409:$K$3871,CHOOSE({1,2},#REF!&amp;#REF!,#REF!),2,0)</f>
        <v>#N/A</v>
      </c>
      <c r="M3409">
        <v>0</v>
      </c>
      <c r="N3409">
        <v>1</v>
      </c>
      <c r="O3409" t="s">
        <v>23</v>
      </c>
      <c r="P3409">
        <v>0</v>
      </c>
      <c r="Q3409">
        <v>1</v>
      </c>
      <c r="R3409">
        <v>0</v>
      </c>
      <c r="S3409">
        <v>0</v>
      </c>
      <c r="T3409">
        <v>0</v>
      </c>
      <c r="U3409">
        <v>1</v>
      </c>
      <c r="V3409">
        <v>1</v>
      </c>
      <c r="W3409">
        <v>1</v>
      </c>
      <c r="X3409">
        <v>0</v>
      </c>
      <c r="Y3409">
        <v>0</v>
      </c>
      <c r="Z3409">
        <v>0</v>
      </c>
      <c r="AA3409" t="s">
        <v>4475</v>
      </c>
      <c r="AB3409" t="s">
        <v>6906</v>
      </c>
      <c r="AC3409" t="s">
        <v>4475</v>
      </c>
      <c r="AD3409" t="e">
        <f>VLOOKUP(AB3409,#REF!,2,FALSE)</f>
        <v>#REF!</v>
      </c>
      <c r="AE3409" t="e">
        <f>RIGHT(#REF!,(FIND("Complex",#REF!,1)-5))</f>
        <v>#REF!</v>
      </c>
    </row>
    <row r="3410" spans="1:31" x14ac:dyDescent="0.25">
      <c r="A3410">
        <v>655</v>
      </c>
      <c r="B3410" t="s">
        <v>267</v>
      </c>
      <c r="C3410">
        <v>89</v>
      </c>
      <c r="D3410">
        <v>284</v>
      </c>
      <c r="E3410">
        <v>655</v>
      </c>
      <c r="F3410">
        <v>6350401</v>
      </c>
      <c r="G3410">
        <v>6438600</v>
      </c>
      <c r="H3410">
        <f t="shared" si="106"/>
        <v>144.00002267573697</v>
      </c>
      <c r="I3410">
        <f t="shared" si="107"/>
        <v>146</v>
      </c>
      <c r="J3410" t="s">
        <v>25</v>
      </c>
      <c r="K3410">
        <v>4</v>
      </c>
      <c r="L3410" t="e">
        <f t="array" ref="L3410">VLOOKUP(J3410:$J$3871&amp;K3410:$K$3871,CHOOSE({1,2},#REF!&amp;#REF!,#REF!),2,0)</f>
        <v>#N/A</v>
      </c>
      <c r="M3410">
        <v>0</v>
      </c>
      <c r="N3410">
        <v>1</v>
      </c>
      <c r="O3410" t="s">
        <v>23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1</v>
      </c>
      <c r="V3410">
        <v>1</v>
      </c>
      <c r="W3410">
        <v>1</v>
      </c>
      <c r="X3410">
        <v>0</v>
      </c>
      <c r="Y3410">
        <v>0</v>
      </c>
      <c r="Z3410">
        <v>0</v>
      </c>
      <c r="AA3410" t="s">
        <v>4575</v>
      </c>
      <c r="AB3410" t="s">
        <v>6977</v>
      </c>
      <c r="AC3410" t="s">
        <v>4575</v>
      </c>
      <c r="AD3410" t="e">
        <f>VLOOKUP(AB3410,#REF!,2,FALSE)</f>
        <v>#REF!</v>
      </c>
      <c r="AE3410" t="e">
        <f>RIGHT(#REF!,(FIND("Complex",#REF!,1)-4))</f>
        <v>#REF!</v>
      </c>
    </row>
    <row r="3411" spans="1:31" x14ac:dyDescent="0.25">
      <c r="A3411">
        <v>166</v>
      </c>
      <c r="B3411" t="s">
        <v>267</v>
      </c>
      <c r="C3411">
        <v>89</v>
      </c>
      <c r="D3411">
        <v>71</v>
      </c>
      <c r="E3411">
        <v>166</v>
      </c>
      <c r="F3411">
        <v>6085801</v>
      </c>
      <c r="G3411">
        <v>6174000</v>
      </c>
      <c r="H3411">
        <f t="shared" si="106"/>
        <v>138.00002267573697</v>
      </c>
      <c r="I3411">
        <f t="shared" si="107"/>
        <v>140</v>
      </c>
      <c r="J3411" t="s">
        <v>25</v>
      </c>
      <c r="K3411">
        <v>4</v>
      </c>
      <c r="L3411" t="e">
        <f t="array" ref="L3411">VLOOKUP(J3411:$J$3871&amp;K3411:$K$3871,CHOOSE({1,2},#REF!&amp;#REF!,#REF!),2,0)</f>
        <v>#N/A</v>
      </c>
      <c r="M3411">
        <v>0</v>
      </c>
      <c r="N3411">
        <v>1</v>
      </c>
      <c r="O3411" t="s">
        <v>23</v>
      </c>
      <c r="P3411">
        <v>0</v>
      </c>
      <c r="Q3411">
        <v>1</v>
      </c>
      <c r="R3411">
        <v>0</v>
      </c>
      <c r="S3411">
        <v>0</v>
      </c>
      <c r="T3411">
        <v>0</v>
      </c>
      <c r="U3411">
        <v>1</v>
      </c>
      <c r="V3411">
        <v>1</v>
      </c>
      <c r="W3411">
        <v>1</v>
      </c>
      <c r="X3411">
        <v>0</v>
      </c>
      <c r="Y3411">
        <v>0</v>
      </c>
      <c r="Z3411">
        <v>0</v>
      </c>
      <c r="AA3411" t="s">
        <v>4628</v>
      </c>
      <c r="AB3411" t="s">
        <v>7005</v>
      </c>
      <c r="AC3411" t="s">
        <v>4628</v>
      </c>
      <c r="AD3411" t="e">
        <f>VLOOKUP(AB3411,#REF!,2,FALSE)</f>
        <v>#REF!</v>
      </c>
      <c r="AE3411" t="e">
        <f>RIGHT(#REF!,(FIND("Complex",#REF!,1)-4))</f>
        <v>#REF!</v>
      </c>
    </row>
    <row r="3412" spans="1:31" x14ac:dyDescent="0.25">
      <c r="A3412">
        <v>1899</v>
      </c>
      <c r="B3412" t="s">
        <v>267</v>
      </c>
      <c r="C3412">
        <v>89</v>
      </c>
      <c r="D3412">
        <v>824</v>
      </c>
      <c r="E3412">
        <v>1899</v>
      </c>
      <c r="F3412">
        <v>5997601</v>
      </c>
      <c r="G3412">
        <v>6085800</v>
      </c>
      <c r="H3412">
        <f t="shared" si="106"/>
        <v>136.00002267573697</v>
      </c>
      <c r="I3412">
        <f t="shared" si="107"/>
        <v>138</v>
      </c>
      <c r="J3412" t="s">
        <v>25</v>
      </c>
      <c r="K3412">
        <v>4</v>
      </c>
      <c r="L3412" t="e">
        <f t="array" ref="L3412">VLOOKUP(J3412:$J$3871&amp;K3412:$K$3871,CHOOSE({1,2},#REF!&amp;#REF!,#REF!),2,0)</f>
        <v>#N/A</v>
      </c>
      <c r="M3412">
        <v>0</v>
      </c>
      <c r="N3412">
        <v>1</v>
      </c>
      <c r="O3412" t="s">
        <v>23</v>
      </c>
      <c r="P3412">
        <v>0</v>
      </c>
      <c r="Q3412">
        <v>1</v>
      </c>
      <c r="R3412">
        <v>0</v>
      </c>
      <c r="S3412">
        <v>0</v>
      </c>
      <c r="T3412">
        <v>0</v>
      </c>
      <c r="U3412">
        <v>1</v>
      </c>
      <c r="V3412">
        <v>1</v>
      </c>
      <c r="W3412">
        <v>1</v>
      </c>
      <c r="X3412">
        <v>0</v>
      </c>
      <c r="Y3412">
        <v>0</v>
      </c>
      <c r="Z3412">
        <v>0</v>
      </c>
      <c r="AA3412" t="s">
        <v>4640</v>
      </c>
      <c r="AB3412" t="s">
        <v>7016</v>
      </c>
      <c r="AC3412" t="s">
        <v>4640</v>
      </c>
      <c r="AD3412" t="e">
        <f>VLOOKUP(AB3412,#REF!,2,FALSE)</f>
        <v>#REF!</v>
      </c>
      <c r="AE3412" t="e">
        <f>RIGHT(#REF!,(FIND("Complex",#REF!,1)-5))</f>
        <v>#REF!</v>
      </c>
    </row>
    <row r="3413" spans="1:31" x14ac:dyDescent="0.25">
      <c r="A3413">
        <v>1151</v>
      </c>
      <c r="B3413" t="s">
        <v>267</v>
      </c>
      <c r="C3413">
        <v>89</v>
      </c>
      <c r="D3413">
        <v>513</v>
      </c>
      <c r="E3413">
        <v>1151</v>
      </c>
      <c r="F3413">
        <v>5380201</v>
      </c>
      <c r="G3413">
        <v>5468400</v>
      </c>
      <c r="H3413">
        <f t="shared" si="106"/>
        <v>122.00002267573696</v>
      </c>
      <c r="I3413">
        <f t="shared" si="107"/>
        <v>124</v>
      </c>
      <c r="J3413" t="s">
        <v>25</v>
      </c>
      <c r="K3413">
        <v>4</v>
      </c>
      <c r="L3413" t="e">
        <f t="array" ref="L3413">VLOOKUP(J3413:$J$3871&amp;K3413:$K$3871,CHOOSE({1,2},#REF!&amp;#REF!,#REF!),2,0)</f>
        <v>#N/A</v>
      </c>
      <c r="M3413">
        <v>0</v>
      </c>
      <c r="N3413">
        <v>1</v>
      </c>
      <c r="O3413" t="s">
        <v>23</v>
      </c>
      <c r="P3413">
        <v>0</v>
      </c>
      <c r="Q3413">
        <v>1</v>
      </c>
      <c r="R3413">
        <v>0</v>
      </c>
      <c r="S3413">
        <v>0</v>
      </c>
      <c r="T3413">
        <v>0</v>
      </c>
      <c r="U3413">
        <v>1</v>
      </c>
      <c r="V3413">
        <v>1</v>
      </c>
      <c r="W3413">
        <v>1</v>
      </c>
      <c r="X3413">
        <v>0</v>
      </c>
      <c r="Y3413">
        <v>0</v>
      </c>
      <c r="Z3413">
        <v>0</v>
      </c>
      <c r="AA3413" t="s">
        <v>4703</v>
      </c>
      <c r="AB3413" t="s">
        <v>7056</v>
      </c>
      <c r="AC3413" t="s">
        <v>4703</v>
      </c>
      <c r="AD3413" t="e">
        <f>VLOOKUP(AB3413,#REF!,2,FALSE)</f>
        <v>#REF!</v>
      </c>
      <c r="AE3413" t="e">
        <f>RIGHT(#REF!,(FIND("Complex",#REF!,1)-5))</f>
        <v>#REF!</v>
      </c>
    </row>
    <row r="3414" spans="1:31" x14ac:dyDescent="0.25">
      <c r="A3414">
        <v>1454</v>
      </c>
      <c r="B3414" t="s">
        <v>58</v>
      </c>
      <c r="C3414">
        <v>94</v>
      </c>
      <c r="D3414">
        <v>635</v>
      </c>
      <c r="E3414">
        <v>1454</v>
      </c>
      <c r="F3414">
        <v>2293201</v>
      </c>
      <c r="G3414">
        <v>2381400</v>
      </c>
      <c r="H3414">
        <f t="shared" si="106"/>
        <v>52.000022675736965</v>
      </c>
      <c r="I3414">
        <f t="shared" si="107"/>
        <v>54</v>
      </c>
      <c r="J3414" t="s">
        <v>25</v>
      </c>
      <c r="K3414">
        <v>4</v>
      </c>
      <c r="L3414" t="e">
        <f t="array" ref="L3414">VLOOKUP(J3414:$J$3871&amp;K3414:$K$3871,CHOOSE({1,2},#REF!&amp;#REF!,#REF!),2,0)</f>
        <v>#N/A</v>
      </c>
      <c r="M3414">
        <v>0</v>
      </c>
      <c r="N3414">
        <v>1</v>
      </c>
      <c r="O3414" t="s">
        <v>23</v>
      </c>
      <c r="P3414">
        <v>1</v>
      </c>
      <c r="Q3414">
        <v>1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1</v>
      </c>
      <c r="X3414">
        <v>1</v>
      </c>
      <c r="Y3414">
        <v>0</v>
      </c>
      <c r="Z3414">
        <v>0</v>
      </c>
      <c r="AA3414" t="s">
        <v>3854</v>
      </c>
      <c r="AB3414" t="s">
        <v>6510</v>
      </c>
      <c r="AC3414" t="s">
        <v>3854</v>
      </c>
      <c r="AD3414" t="e">
        <f>VLOOKUP(AB3414,#REF!,2,FALSE)</f>
        <v>#REF!</v>
      </c>
      <c r="AE3414" t="e">
        <f>RIGHT(#REF!,(FIND("Complex",#REF!,1)-6))</f>
        <v>#REF!</v>
      </c>
    </row>
    <row r="3415" spans="1:31" x14ac:dyDescent="0.25">
      <c r="A3415">
        <v>394</v>
      </c>
      <c r="B3415" t="s">
        <v>58</v>
      </c>
      <c r="C3415">
        <v>94</v>
      </c>
      <c r="D3415">
        <v>165</v>
      </c>
      <c r="E3415">
        <v>394</v>
      </c>
      <c r="F3415">
        <v>9525601</v>
      </c>
      <c r="G3415">
        <v>9613800</v>
      </c>
      <c r="H3415">
        <f t="shared" si="106"/>
        <v>216.00002267573697</v>
      </c>
      <c r="I3415">
        <f t="shared" si="107"/>
        <v>218</v>
      </c>
      <c r="J3415" t="s">
        <v>25</v>
      </c>
      <c r="K3415">
        <v>4</v>
      </c>
      <c r="L3415" t="e">
        <f t="array" ref="L3415">VLOOKUP(J3415:$J$3871&amp;K3415:$K$3871,CHOOSE({1,2},#REF!&amp;#REF!,#REF!),2,0)</f>
        <v>#N/A</v>
      </c>
      <c r="M3415">
        <v>0</v>
      </c>
      <c r="N3415">
        <v>1</v>
      </c>
      <c r="O3415" t="s">
        <v>23</v>
      </c>
      <c r="P3415">
        <v>1</v>
      </c>
      <c r="Q3415">
        <v>1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1</v>
      </c>
      <c r="X3415">
        <v>1</v>
      </c>
      <c r="Y3415">
        <v>0</v>
      </c>
      <c r="Z3415">
        <v>0</v>
      </c>
      <c r="AA3415" t="s">
        <v>4258</v>
      </c>
      <c r="AB3415" t="s">
        <v>6774</v>
      </c>
      <c r="AC3415" t="s">
        <v>4258</v>
      </c>
      <c r="AD3415" t="e">
        <f>VLOOKUP(AB3415,#REF!,2,FALSE)</f>
        <v>#REF!</v>
      </c>
      <c r="AE3415" t="e">
        <f>RIGHT(#REF!,(FIND("Complex",#REF!,1)-4))</f>
        <v>#REF!</v>
      </c>
    </row>
    <row r="3416" spans="1:31" x14ac:dyDescent="0.25">
      <c r="A3416">
        <v>1708</v>
      </c>
      <c r="B3416" t="s">
        <v>58</v>
      </c>
      <c r="C3416">
        <v>94</v>
      </c>
      <c r="D3416">
        <v>746</v>
      </c>
      <c r="E3416">
        <v>1708</v>
      </c>
      <c r="F3416">
        <v>6262201</v>
      </c>
      <c r="G3416">
        <v>6350400</v>
      </c>
      <c r="H3416">
        <f t="shared" si="106"/>
        <v>142.00002267573697</v>
      </c>
      <c r="I3416">
        <f t="shared" si="107"/>
        <v>144</v>
      </c>
      <c r="J3416" t="s">
        <v>25</v>
      </c>
      <c r="K3416">
        <v>4</v>
      </c>
      <c r="L3416" t="e">
        <f t="array" ref="L3416">VLOOKUP(J3416:$J$3871&amp;K3416:$K$3871,CHOOSE({1,2},#REF!&amp;#REF!,#REF!),2,0)</f>
        <v>#N/A</v>
      </c>
      <c r="M3416">
        <v>0</v>
      </c>
      <c r="N3416">
        <v>1</v>
      </c>
      <c r="O3416" t="s">
        <v>23</v>
      </c>
      <c r="P3416">
        <v>1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</v>
      </c>
      <c r="X3416">
        <v>1</v>
      </c>
      <c r="Y3416">
        <v>0</v>
      </c>
      <c r="Z3416">
        <v>0</v>
      </c>
      <c r="AA3416" t="s">
        <v>4586</v>
      </c>
      <c r="AB3416" t="s">
        <v>6986</v>
      </c>
      <c r="AC3416" t="s">
        <v>4586</v>
      </c>
      <c r="AD3416" t="e">
        <f>VLOOKUP(AB3416,#REF!,2,FALSE)</f>
        <v>#REF!</v>
      </c>
      <c r="AE3416" t="e">
        <f>RIGHT(#REF!,(FIND("Complex",#REF!,1)-5))</f>
        <v>#REF!</v>
      </c>
    </row>
    <row r="3417" spans="1:31" x14ac:dyDescent="0.25">
      <c r="A3417">
        <v>732</v>
      </c>
      <c r="B3417" t="s">
        <v>58</v>
      </c>
      <c r="C3417">
        <v>94</v>
      </c>
      <c r="D3417">
        <v>320</v>
      </c>
      <c r="E3417">
        <v>732</v>
      </c>
      <c r="F3417">
        <v>5380201</v>
      </c>
      <c r="G3417">
        <v>5468400</v>
      </c>
      <c r="H3417">
        <f t="shared" si="106"/>
        <v>122.00002267573696</v>
      </c>
      <c r="I3417">
        <f t="shared" si="107"/>
        <v>124</v>
      </c>
      <c r="J3417" t="s">
        <v>25</v>
      </c>
      <c r="K3417">
        <v>4</v>
      </c>
      <c r="L3417" t="e">
        <f t="array" ref="L3417">VLOOKUP(J3417:$J$3871&amp;K3417:$K$3871,CHOOSE({1,2},#REF!&amp;#REF!,#REF!),2,0)</f>
        <v>#N/A</v>
      </c>
      <c r="M3417">
        <v>0</v>
      </c>
      <c r="N3417">
        <v>1</v>
      </c>
      <c r="O3417" t="s">
        <v>23</v>
      </c>
      <c r="P3417">
        <v>1</v>
      </c>
      <c r="Q3417">
        <v>1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1</v>
      </c>
      <c r="X3417">
        <v>1</v>
      </c>
      <c r="Y3417">
        <v>0</v>
      </c>
      <c r="Z3417">
        <v>0</v>
      </c>
      <c r="AA3417" t="s">
        <v>4702</v>
      </c>
      <c r="AB3417" t="s">
        <v>7055</v>
      </c>
      <c r="AC3417" t="s">
        <v>4702</v>
      </c>
      <c r="AD3417" t="e">
        <f>VLOOKUP(AB3417,#REF!,2,FALSE)</f>
        <v>#REF!</v>
      </c>
      <c r="AE3417" t="e">
        <f>RIGHT(#REF!,(FIND("Complex",#REF!,1)-4))</f>
        <v>#REF!</v>
      </c>
    </row>
    <row r="3418" spans="1:31" x14ac:dyDescent="0.25">
      <c r="A3418">
        <v>1081</v>
      </c>
      <c r="B3418" t="s">
        <v>270</v>
      </c>
      <c r="C3418">
        <v>95</v>
      </c>
      <c r="D3418">
        <v>479</v>
      </c>
      <c r="E3418">
        <v>1081</v>
      </c>
      <c r="F3418">
        <v>10407601</v>
      </c>
      <c r="G3418">
        <v>10495800</v>
      </c>
      <c r="H3418">
        <f t="shared" si="106"/>
        <v>236.00002267573697</v>
      </c>
      <c r="I3418">
        <f t="shared" si="107"/>
        <v>238</v>
      </c>
      <c r="J3418" t="s">
        <v>25</v>
      </c>
      <c r="K3418">
        <v>4</v>
      </c>
      <c r="L3418" t="e">
        <f t="array" ref="L3418">VLOOKUP(J3418:$J$3871&amp;K3418:$K$3871,CHOOSE({1,2},#REF!&amp;#REF!,#REF!),2,0)</f>
        <v>#N/A</v>
      </c>
      <c r="M3418">
        <v>0</v>
      </c>
      <c r="N3418">
        <v>1</v>
      </c>
      <c r="O3418" t="s">
        <v>23</v>
      </c>
      <c r="P3418">
        <v>0</v>
      </c>
      <c r="Q3418">
        <v>1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1</v>
      </c>
      <c r="X3418">
        <v>1</v>
      </c>
      <c r="Y3418">
        <v>0</v>
      </c>
      <c r="Z3418">
        <v>0</v>
      </c>
      <c r="AA3418" t="s">
        <v>4204</v>
      </c>
      <c r="AB3418" t="s">
        <v>6742</v>
      </c>
      <c r="AC3418" t="s">
        <v>4204</v>
      </c>
      <c r="AD3418" t="e">
        <f>VLOOKUP(AB3418,#REF!,2,FALSE)</f>
        <v>#REF!</v>
      </c>
      <c r="AE3418" t="e">
        <f>RIGHT(#REF!,(FIND("Complex",#REF!,1)-5))</f>
        <v>#REF!</v>
      </c>
    </row>
    <row r="3419" spans="1:31" x14ac:dyDescent="0.25">
      <c r="A3419">
        <v>589</v>
      </c>
      <c r="B3419" t="s">
        <v>270</v>
      </c>
      <c r="C3419">
        <v>95</v>
      </c>
      <c r="D3419">
        <v>253</v>
      </c>
      <c r="E3419">
        <v>589</v>
      </c>
      <c r="F3419">
        <v>617401</v>
      </c>
      <c r="G3419">
        <v>705600</v>
      </c>
      <c r="H3419">
        <f t="shared" si="106"/>
        <v>14.000022675736961</v>
      </c>
      <c r="I3419">
        <f t="shared" si="107"/>
        <v>16</v>
      </c>
      <c r="J3419" t="s">
        <v>25</v>
      </c>
      <c r="K3419">
        <v>4</v>
      </c>
      <c r="L3419" t="e">
        <f t="array" ref="L3419">VLOOKUP(J3419:$J$3871&amp;K3419:$K$3871,CHOOSE({1,2},#REF!&amp;#REF!,#REF!),2,0)</f>
        <v>#N/A</v>
      </c>
      <c r="M3419">
        <v>0</v>
      </c>
      <c r="N3419">
        <v>1</v>
      </c>
      <c r="O3419" t="s">
        <v>23</v>
      </c>
      <c r="P3419">
        <v>0</v>
      </c>
      <c r="Q3419">
        <v>1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1</v>
      </c>
      <c r="Y3419">
        <v>0</v>
      </c>
      <c r="Z3419">
        <v>0</v>
      </c>
      <c r="AA3419" t="s">
        <v>4605</v>
      </c>
      <c r="AB3419" t="s">
        <v>6997</v>
      </c>
      <c r="AC3419" t="s">
        <v>4605</v>
      </c>
      <c r="AD3419" t="e">
        <f>VLOOKUP(AB3419,#REF!,2,FALSE)</f>
        <v>#REF!</v>
      </c>
      <c r="AE3419" t="e">
        <f>RIGHT(#REF!,(FIND("Complex",#REF!,1)-5))</f>
        <v>#REF!</v>
      </c>
    </row>
    <row r="3420" spans="1:31" x14ac:dyDescent="0.25">
      <c r="A3420">
        <v>1397</v>
      </c>
      <c r="B3420" t="s">
        <v>270</v>
      </c>
      <c r="C3420">
        <v>95</v>
      </c>
      <c r="D3420">
        <v>611</v>
      </c>
      <c r="E3420">
        <v>1397</v>
      </c>
      <c r="F3420">
        <v>5997601</v>
      </c>
      <c r="G3420">
        <v>6085800</v>
      </c>
      <c r="H3420">
        <f t="shared" si="106"/>
        <v>136.00002267573697</v>
      </c>
      <c r="I3420">
        <f t="shared" si="107"/>
        <v>138</v>
      </c>
      <c r="J3420" t="s">
        <v>25</v>
      </c>
      <c r="K3420">
        <v>4</v>
      </c>
      <c r="L3420" t="e">
        <f t="array" ref="L3420">VLOOKUP(J3420:$J$3871&amp;K3420:$K$3871,CHOOSE({1,2},#REF!&amp;#REF!,#REF!),2,0)</f>
        <v>#N/A</v>
      </c>
      <c r="M3420">
        <v>0</v>
      </c>
      <c r="N3420">
        <v>1</v>
      </c>
      <c r="O3420" t="s">
        <v>23</v>
      </c>
      <c r="P3420">
        <v>1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1</v>
      </c>
      <c r="X3420">
        <v>1</v>
      </c>
      <c r="Y3420">
        <v>0</v>
      </c>
      <c r="Z3420">
        <v>0</v>
      </c>
      <c r="AA3420" t="s">
        <v>4638</v>
      </c>
      <c r="AB3420" t="s">
        <v>7014</v>
      </c>
      <c r="AC3420" t="s">
        <v>4638</v>
      </c>
      <c r="AD3420" t="e">
        <f>VLOOKUP(AB3420,#REF!,2,FALSE)</f>
        <v>#REF!</v>
      </c>
      <c r="AE3420" t="e">
        <f>RIGHT(#REF!,(FIND("Complex",#REF!,1)-5))</f>
        <v>#REF!</v>
      </c>
    </row>
    <row r="3421" spans="1:31" x14ac:dyDescent="0.25">
      <c r="A3421">
        <v>1762</v>
      </c>
      <c r="B3421" t="s">
        <v>270</v>
      </c>
      <c r="C3421">
        <v>95</v>
      </c>
      <c r="D3421">
        <v>768</v>
      </c>
      <c r="E3421">
        <v>1762</v>
      </c>
      <c r="F3421">
        <v>529201</v>
      </c>
      <c r="G3421">
        <v>617400</v>
      </c>
      <c r="H3421">
        <f t="shared" si="106"/>
        <v>12.000022675736961</v>
      </c>
      <c r="I3421">
        <f t="shared" si="107"/>
        <v>14</v>
      </c>
      <c r="J3421" t="s">
        <v>25</v>
      </c>
      <c r="K3421">
        <v>4</v>
      </c>
      <c r="L3421" t="e">
        <f t="array" ref="L3421">VLOOKUP(J3421:$J$3871&amp;K3421:$K$3871,CHOOSE({1,2},#REF!&amp;#REF!,#REF!),2,0)</f>
        <v>#N/A</v>
      </c>
      <c r="M3421">
        <v>0</v>
      </c>
      <c r="N3421">
        <v>1</v>
      </c>
      <c r="O3421" t="s">
        <v>23</v>
      </c>
      <c r="P3421">
        <v>0</v>
      </c>
      <c r="Q3421">
        <v>1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1</v>
      </c>
      <c r="X3421">
        <v>1</v>
      </c>
      <c r="Y3421">
        <v>0</v>
      </c>
      <c r="Z3421">
        <v>0</v>
      </c>
      <c r="AA3421" t="s">
        <v>4724</v>
      </c>
      <c r="AB3421" t="s">
        <v>7070</v>
      </c>
      <c r="AC3421" t="s">
        <v>4724</v>
      </c>
      <c r="AD3421" t="e">
        <f>VLOOKUP(AB3421,#REF!,2,FALSE)</f>
        <v>#REF!</v>
      </c>
      <c r="AE3421" t="e">
        <f>RIGHT(#REF!,(FIND("Complex",#REF!,1)-6))</f>
        <v>#REF!</v>
      </c>
    </row>
    <row r="3422" spans="1:31" x14ac:dyDescent="0.25">
      <c r="A3422">
        <v>675</v>
      </c>
      <c r="B3422" t="s">
        <v>83</v>
      </c>
      <c r="C3422">
        <v>97</v>
      </c>
      <c r="D3422">
        <v>293</v>
      </c>
      <c r="E3422">
        <v>675</v>
      </c>
      <c r="F3422">
        <v>3087001</v>
      </c>
      <c r="G3422">
        <v>3175200</v>
      </c>
      <c r="H3422">
        <f t="shared" si="106"/>
        <v>70.000022675736957</v>
      </c>
      <c r="I3422">
        <f t="shared" si="107"/>
        <v>72</v>
      </c>
      <c r="J3422" t="s">
        <v>25</v>
      </c>
      <c r="K3422">
        <v>4</v>
      </c>
      <c r="L3422" t="e">
        <f t="array" ref="L3422">VLOOKUP(J3422:$J$3871&amp;K3422:$K$3871,CHOOSE({1,2},#REF!&amp;#REF!,#REF!),2,0)</f>
        <v>#N/A</v>
      </c>
      <c r="M3422">
        <v>0</v>
      </c>
      <c r="N3422">
        <v>1</v>
      </c>
      <c r="O3422" t="s">
        <v>23</v>
      </c>
      <c r="P3422">
        <v>1</v>
      </c>
      <c r="Q3422">
        <v>0</v>
      </c>
      <c r="R3422">
        <v>1</v>
      </c>
      <c r="S3422">
        <v>0</v>
      </c>
      <c r="T3422">
        <v>0</v>
      </c>
      <c r="U3422">
        <v>0</v>
      </c>
      <c r="V3422">
        <v>0</v>
      </c>
      <c r="W3422">
        <v>1</v>
      </c>
      <c r="X3422">
        <v>1</v>
      </c>
      <c r="Y3422">
        <v>0</v>
      </c>
      <c r="Z3422">
        <v>0</v>
      </c>
      <c r="AA3422" t="s">
        <v>3699</v>
      </c>
      <c r="AB3422" t="s">
        <v>6422</v>
      </c>
      <c r="AC3422" t="s">
        <v>3699</v>
      </c>
      <c r="AD3422" t="e">
        <f>VLOOKUP(AB3422,#REF!,2,FALSE)</f>
        <v>#REF!</v>
      </c>
      <c r="AE3422" t="e">
        <f>RIGHT(#REF!,(FIND("Complex",#REF!,1)-5))</f>
        <v>#REF!</v>
      </c>
    </row>
    <row r="3423" spans="1:31" x14ac:dyDescent="0.25">
      <c r="A3423">
        <v>1428</v>
      </c>
      <c r="B3423" t="s">
        <v>74</v>
      </c>
      <c r="C3423">
        <v>101</v>
      </c>
      <c r="D3423">
        <v>625</v>
      </c>
      <c r="E3423">
        <v>1428</v>
      </c>
      <c r="F3423">
        <v>617401</v>
      </c>
      <c r="G3423">
        <v>705600</v>
      </c>
      <c r="H3423">
        <f t="shared" si="106"/>
        <v>14.000022675736961</v>
      </c>
      <c r="I3423">
        <f t="shared" si="107"/>
        <v>16</v>
      </c>
      <c r="J3423" t="s">
        <v>25</v>
      </c>
      <c r="K3423">
        <v>4</v>
      </c>
      <c r="L3423" t="e">
        <f t="array" ref="L3423">VLOOKUP(J3423:$J$3871&amp;K3423:$K$3871,CHOOSE({1,2},#REF!&amp;#REF!,#REF!),2,0)</f>
        <v>#N/A</v>
      </c>
      <c r="M3423">
        <v>0</v>
      </c>
      <c r="N3423">
        <v>1</v>
      </c>
      <c r="O3423" t="s">
        <v>23</v>
      </c>
      <c r="P3423">
        <v>0</v>
      </c>
      <c r="Q3423">
        <v>1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1</v>
      </c>
      <c r="X3423">
        <v>0</v>
      </c>
      <c r="Y3423">
        <v>1</v>
      </c>
      <c r="Z3423">
        <v>0</v>
      </c>
      <c r="AA3423" t="s">
        <v>4625</v>
      </c>
      <c r="AB3423" t="s">
        <v>7003</v>
      </c>
      <c r="AC3423" t="s">
        <v>4625</v>
      </c>
      <c r="AD3423" t="e">
        <f>VLOOKUP(AB3423,#REF!,2,FALSE)</f>
        <v>#REF!</v>
      </c>
      <c r="AE3423" t="e">
        <f>RIGHT(#REF!,(FIND("Complex",#REF!,1)-5))</f>
        <v>#REF!</v>
      </c>
    </row>
    <row r="3424" spans="1:31" x14ac:dyDescent="0.25">
      <c r="A3424">
        <v>687</v>
      </c>
      <c r="B3424" t="s">
        <v>95</v>
      </c>
      <c r="C3424">
        <v>103</v>
      </c>
      <c r="D3424">
        <v>300</v>
      </c>
      <c r="E3424">
        <v>687</v>
      </c>
      <c r="F3424">
        <v>4233601</v>
      </c>
      <c r="G3424">
        <v>4321800</v>
      </c>
      <c r="H3424">
        <f t="shared" si="106"/>
        <v>96.000022675736957</v>
      </c>
      <c r="I3424">
        <f t="shared" si="107"/>
        <v>98</v>
      </c>
      <c r="J3424" t="s">
        <v>25</v>
      </c>
      <c r="K3424">
        <v>4</v>
      </c>
      <c r="L3424" t="e">
        <f t="array" ref="L3424">VLOOKUP(J3424:$J$3871&amp;K3424:$K$3871,CHOOSE({1,2},#REF!&amp;#REF!,#REF!),2,0)</f>
        <v>#N/A</v>
      </c>
      <c r="M3424">
        <v>0</v>
      </c>
      <c r="N3424">
        <v>1</v>
      </c>
      <c r="O3424" t="s">
        <v>23</v>
      </c>
      <c r="P3424">
        <v>0</v>
      </c>
      <c r="Q3424">
        <v>0</v>
      </c>
      <c r="R3424">
        <v>1</v>
      </c>
      <c r="S3424">
        <v>1</v>
      </c>
      <c r="T3424">
        <v>0</v>
      </c>
      <c r="U3424">
        <v>0</v>
      </c>
      <c r="V3424">
        <v>0</v>
      </c>
      <c r="W3424">
        <v>1</v>
      </c>
      <c r="X3424">
        <v>1</v>
      </c>
      <c r="Y3424">
        <v>0</v>
      </c>
      <c r="Z3424">
        <v>0</v>
      </c>
      <c r="AA3424" t="s">
        <v>3525</v>
      </c>
      <c r="AB3424" t="s">
        <v>6327</v>
      </c>
      <c r="AC3424" t="s">
        <v>3525</v>
      </c>
      <c r="AD3424" t="e">
        <f>VLOOKUP(AB3424,#REF!,2,FALSE)</f>
        <v>#REF!</v>
      </c>
      <c r="AE3424" t="e">
        <f>RIGHT(#REF!,(FIND("Complex",#REF!,1)-4))</f>
        <v>#REF!</v>
      </c>
    </row>
    <row r="3425" spans="1:31" x14ac:dyDescent="0.25">
      <c r="A3425">
        <v>948</v>
      </c>
      <c r="B3425" t="s">
        <v>95</v>
      </c>
      <c r="C3425">
        <v>103</v>
      </c>
      <c r="D3425">
        <v>416</v>
      </c>
      <c r="E3425">
        <v>948</v>
      </c>
      <c r="F3425">
        <v>10584001</v>
      </c>
      <c r="G3425">
        <v>10672200</v>
      </c>
      <c r="H3425">
        <f t="shared" si="106"/>
        <v>240.00002267573697</v>
      </c>
      <c r="I3425">
        <f t="shared" si="107"/>
        <v>242</v>
      </c>
      <c r="J3425" t="s">
        <v>25</v>
      </c>
      <c r="K3425">
        <v>4</v>
      </c>
      <c r="L3425" t="e">
        <f t="array" ref="L3425">VLOOKUP(J3425:$J$3871&amp;K3425:$K$3871,CHOOSE({1,2},#REF!&amp;#REF!,#REF!),2,0)</f>
        <v>#N/A</v>
      </c>
      <c r="M3425">
        <v>0</v>
      </c>
      <c r="N3425">
        <v>1</v>
      </c>
      <c r="O3425" t="s">
        <v>23</v>
      </c>
      <c r="P3425">
        <v>0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1</v>
      </c>
      <c r="X3425">
        <v>1</v>
      </c>
      <c r="Y3425">
        <v>1</v>
      </c>
      <c r="Z3425">
        <v>0</v>
      </c>
      <c r="AA3425" t="s">
        <v>4177</v>
      </c>
      <c r="AB3425" t="s">
        <v>2065</v>
      </c>
      <c r="AC3425" t="s">
        <v>4177</v>
      </c>
      <c r="AD3425" t="e">
        <f>VLOOKUP(AB3425,#REF!,2,FALSE)</f>
        <v>#REF!</v>
      </c>
      <c r="AE3425" t="e">
        <f>RIGHT(#REF!,(FIND("Complex",#REF!,1)-3))</f>
        <v>#REF!</v>
      </c>
    </row>
    <row r="3426" spans="1:31" x14ac:dyDescent="0.25">
      <c r="A3426">
        <v>1038</v>
      </c>
      <c r="B3426" t="s">
        <v>95</v>
      </c>
      <c r="C3426">
        <v>103</v>
      </c>
      <c r="D3426">
        <v>458</v>
      </c>
      <c r="E3426">
        <v>1038</v>
      </c>
      <c r="F3426">
        <v>7585201</v>
      </c>
      <c r="G3426">
        <v>7673400</v>
      </c>
      <c r="H3426">
        <f t="shared" si="106"/>
        <v>172.00002267573697</v>
      </c>
      <c r="I3426">
        <f t="shared" si="107"/>
        <v>174</v>
      </c>
      <c r="J3426" t="s">
        <v>25</v>
      </c>
      <c r="K3426">
        <v>4</v>
      </c>
      <c r="L3426" t="e">
        <f t="array" ref="L3426">VLOOKUP(J3426:$J$3871&amp;K3426:$K$3871,CHOOSE({1,2},#REF!&amp;#REF!,#REF!),2,0)</f>
        <v>#N/A</v>
      </c>
      <c r="M3426">
        <v>0</v>
      </c>
      <c r="N3426">
        <v>1</v>
      </c>
      <c r="O3426" t="s">
        <v>23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1</v>
      </c>
      <c r="X3426">
        <v>1</v>
      </c>
      <c r="Y3426">
        <v>1</v>
      </c>
      <c r="Z3426">
        <v>0</v>
      </c>
      <c r="AA3426" t="s">
        <v>4436</v>
      </c>
      <c r="AB3426" t="s">
        <v>2066</v>
      </c>
      <c r="AC3426" t="s">
        <v>4436</v>
      </c>
      <c r="AD3426" t="e">
        <f>VLOOKUP(AB3426,#REF!,2,FALSE)</f>
        <v>#REF!</v>
      </c>
      <c r="AE3426" t="e">
        <f>RIGHT(#REF!,(FIND("Complex",#REF!,1)-4))</f>
        <v>#REF!</v>
      </c>
    </row>
    <row r="3427" spans="1:31" x14ac:dyDescent="0.25">
      <c r="A3427">
        <v>1642</v>
      </c>
      <c r="B3427" t="s">
        <v>95</v>
      </c>
      <c r="C3427">
        <v>103</v>
      </c>
      <c r="D3427">
        <v>717</v>
      </c>
      <c r="E3427">
        <v>1642</v>
      </c>
      <c r="F3427">
        <v>7056001</v>
      </c>
      <c r="G3427">
        <v>7144200</v>
      </c>
      <c r="H3427">
        <f t="shared" si="106"/>
        <v>160.00002267573697</v>
      </c>
      <c r="I3427">
        <f t="shared" si="107"/>
        <v>162</v>
      </c>
      <c r="J3427" t="s">
        <v>25</v>
      </c>
      <c r="K3427">
        <v>4</v>
      </c>
      <c r="L3427" t="e">
        <f t="array" ref="L3427">VLOOKUP(J3427:$J$3871&amp;K3427:$K$3871,CHOOSE({1,2},#REF!&amp;#REF!,#REF!),2,0)</f>
        <v>#N/A</v>
      </c>
      <c r="M3427">
        <v>0</v>
      </c>
      <c r="N3427">
        <v>1</v>
      </c>
      <c r="O3427" t="s">
        <v>23</v>
      </c>
      <c r="P3427">
        <v>0</v>
      </c>
      <c r="Q3427">
        <v>0</v>
      </c>
      <c r="R3427">
        <v>0</v>
      </c>
      <c r="S3427">
        <v>1</v>
      </c>
      <c r="T3427">
        <v>0</v>
      </c>
      <c r="U3427">
        <v>0</v>
      </c>
      <c r="V3427">
        <v>0</v>
      </c>
      <c r="W3427">
        <v>1</v>
      </c>
      <c r="X3427">
        <v>1</v>
      </c>
      <c r="Y3427">
        <v>1</v>
      </c>
      <c r="Z3427">
        <v>0</v>
      </c>
      <c r="AA3427" t="s">
        <v>4486</v>
      </c>
      <c r="AB3427" t="s">
        <v>6915</v>
      </c>
      <c r="AC3427" t="s">
        <v>4486</v>
      </c>
      <c r="AD3427" t="e">
        <f>VLOOKUP(AB3427,#REF!,2,FALSE)</f>
        <v>#REF!</v>
      </c>
      <c r="AE3427" t="e">
        <f>RIGHT(#REF!,(FIND("Complex",#REF!,1)-4))</f>
        <v>#REF!</v>
      </c>
    </row>
    <row r="3428" spans="1:31" x14ac:dyDescent="0.25">
      <c r="A3428">
        <v>144</v>
      </c>
      <c r="B3428" t="s">
        <v>72</v>
      </c>
      <c r="C3428">
        <v>104</v>
      </c>
      <c r="D3428">
        <v>62</v>
      </c>
      <c r="E3428">
        <v>144</v>
      </c>
      <c r="F3428">
        <v>6703201</v>
      </c>
      <c r="G3428">
        <v>6791400</v>
      </c>
      <c r="H3428">
        <f t="shared" si="106"/>
        <v>152.00002267573697</v>
      </c>
      <c r="I3428">
        <f t="shared" si="107"/>
        <v>154</v>
      </c>
      <c r="J3428" t="s">
        <v>25</v>
      </c>
      <c r="K3428">
        <v>4</v>
      </c>
      <c r="L3428" t="e">
        <f t="array" ref="L3428">VLOOKUP(J3428:$J$3871&amp;K3428:$K$3871,CHOOSE({1,2},#REF!&amp;#REF!,#REF!),2,0)</f>
        <v>#N/A</v>
      </c>
      <c r="M3428">
        <v>0</v>
      </c>
      <c r="N3428">
        <v>1</v>
      </c>
      <c r="O3428" t="s">
        <v>23</v>
      </c>
      <c r="P3428">
        <v>0</v>
      </c>
      <c r="Q3428">
        <v>1</v>
      </c>
      <c r="R3428">
        <v>1</v>
      </c>
      <c r="S3428">
        <v>0</v>
      </c>
      <c r="T3428">
        <v>0</v>
      </c>
      <c r="U3428">
        <v>0</v>
      </c>
      <c r="V3428">
        <v>0</v>
      </c>
      <c r="W3428">
        <v>1</v>
      </c>
      <c r="X3428">
        <v>1</v>
      </c>
      <c r="Y3428">
        <v>0</v>
      </c>
      <c r="Z3428">
        <v>0</v>
      </c>
      <c r="AA3428" t="s">
        <v>4545</v>
      </c>
      <c r="AB3428" t="s">
        <v>6957</v>
      </c>
      <c r="AC3428" t="s">
        <v>4545</v>
      </c>
      <c r="AD3428" t="e">
        <f>VLOOKUP(AB3428,#REF!,2,FALSE)</f>
        <v>#REF!</v>
      </c>
      <c r="AE3428" t="e">
        <f>RIGHT(#REF!,(FIND("Complex",#REF!,1)-3))</f>
        <v>#REF!</v>
      </c>
    </row>
    <row r="3429" spans="1:31" x14ac:dyDescent="0.25">
      <c r="A3429">
        <v>599</v>
      </c>
      <c r="B3429" t="s">
        <v>72</v>
      </c>
      <c r="C3429">
        <v>104</v>
      </c>
      <c r="D3429">
        <v>256</v>
      </c>
      <c r="E3429">
        <v>599</v>
      </c>
      <c r="F3429">
        <v>5292001</v>
      </c>
      <c r="G3429">
        <v>5380200</v>
      </c>
      <c r="H3429">
        <f t="shared" si="106"/>
        <v>120.00002267573696</v>
      </c>
      <c r="I3429">
        <f t="shared" si="107"/>
        <v>122</v>
      </c>
      <c r="J3429" t="s">
        <v>25</v>
      </c>
      <c r="K3429">
        <v>4</v>
      </c>
      <c r="L3429" t="e">
        <f t="array" ref="L3429">VLOOKUP(J3429:$J$3871&amp;K3429:$K$3871,CHOOSE({1,2},#REF!&amp;#REF!,#REF!),2,0)</f>
        <v>#N/A</v>
      </c>
      <c r="M3429">
        <v>0</v>
      </c>
      <c r="N3429">
        <v>1</v>
      </c>
      <c r="O3429" t="s">
        <v>23</v>
      </c>
      <c r="P3429">
        <v>0</v>
      </c>
      <c r="Q3429">
        <v>0</v>
      </c>
      <c r="R3429">
        <v>1</v>
      </c>
      <c r="S3429">
        <v>1</v>
      </c>
      <c r="T3429">
        <v>0</v>
      </c>
      <c r="U3429">
        <v>0</v>
      </c>
      <c r="V3429">
        <v>0</v>
      </c>
      <c r="W3429">
        <v>1</v>
      </c>
      <c r="X3429">
        <v>1</v>
      </c>
      <c r="Y3429">
        <v>0</v>
      </c>
      <c r="Z3429">
        <v>0</v>
      </c>
      <c r="AA3429" t="s">
        <v>4720</v>
      </c>
      <c r="AB3429" t="s">
        <v>7068</v>
      </c>
      <c r="AC3429" t="s">
        <v>4720</v>
      </c>
      <c r="AD3429" t="e">
        <f>VLOOKUP(AB3429,#REF!,2,FALSE)</f>
        <v>#REF!</v>
      </c>
      <c r="AE3429" t="e">
        <f>RIGHT(#REF!,(FIND("Complex",#REF!,1)-3))</f>
        <v>#REF!</v>
      </c>
    </row>
    <row r="3430" spans="1:31" x14ac:dyDescent="0.25">
      <c r="A3430">
        <v>1634</v>
      </c>
      <c r="B3430" t="s">
        <v>279</v>
      </c>
      <c r="C3430">
        <v>109</v>
      </c>
      <c r="D3430">
        <v>710</v>
      </c>
      <c r="E3430">
        <v>1634</v>
      </c>
      <c r="F3430">
        <v>1675801</v>
      </c>
      <c r="G3430">
        <v>1764000</v>
      </c>
      <c r="H3430">
        <f t="shared" si="106"/>
        <v>38.000022675736965</v>
      </c>
      <c r="I3430">
        <f t="shared" si="107"/>
        <v>40</v>
      </c>
      <c r="J3430" t="s">
        <v>25</v>
      </c>
      <c r="K3430">
        <v>4</v>
      </c>
      <c r="L3430" t="e">
        <f t="array" ref="L3430">VLOOKUP(J3430:$J$3871&amp;K3430:$K$3871,CHOOSE({1,2},#REF!&amp;#REF!,#REF!),2,0)</f>
        <v>#N/A</v>
      </c>
      <c r="M3430">
        <v>0</v>
      </c>
      <c r="N3430">
        <v>1</v>
      </c>
      <c r="O3430" t="s">
        <v>23</v>
      </c>
      <c r="P3430">
        <v>0</v>
      </c>
      <c r="Q3430">
        <v>1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1</v>
      </c>
      <c r="X3430">
        <v>1</v>
      </c>
      <c r="Y3430">
        <v>1</v>
      </c>
      <c r="Z3430">
        <v>0</v>
      </c>
      <c r="AA3430" t="s">
        <v>3989</v>
      </c>
      <c r="AB3430" t="s">
        <v>6587</v>
      </c>
      <c r="AC3430" t="s">
        <v>3989</v>
      </c>
      <c r="AD3430" t="e">
        <f>VLOOKUP(AB3430,#REF!,2,FALSE)</f>
        <v>#REF!</v>
      </c>
      <c r="AE3430" t="e">
        <f>RIGHT(#REF!,(FIND("Complex",#REF!,1)-5))</f>
        <v>#REF!</v>
      </c>
    </row>
    <row r="3431" spans="1:31" x14ac:dyDescent="0.25">
      <c r="A3431">
        <v>1405</v>
      </c>
      <c r="B3431" t="s">
        <v>279</v>
      </c>
      <c r="C3431">
        <v>109</v>
      </c>
      <c r="D3431">
        <v>616</v>
      </c>
      <c r="E3431">
        <v>1405</v>
      </c>
      <c r="F3431">
        <v>15082201</v>
      </c>
      <c r="G3431">
        <v>15170400</v>
      </c>
      <c r="H3431">
        <f t="shared" si="106"/>
        <v>342.00002267573694</v>
      </c>
      <c r="I3431">
        <f t="shared" si="107"/>
        <v>344</v>
      </c>
      <c r="J3431" t="s">
        <v>25</v>
      </c>
      <c r="K3431">
        <v>4</v>
      </c>
      <c r="L3431" t="e">
        <f t="array" ref="L3431">VLOOKUP(J3431:$J$3871&amp;K3431:$K$3871,CHOOSE({1,2},#REF!&amp;#REF!,#REF!),2,0)</f>
        <v>#N/A</v>
      </c>
      <c r="M3431">
        <v>0</v>
      </c>
      <c r="N3431">
        <v>1</v>
      </c>
      <c r="O3431" t="s">
        <v>23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1</v>
      </c>
      <c r="X3431">
        <v>1</v>
      </c>
      <c r="Y3431">
        <v>1</v>
      </c>
      <c r="Z3431">
        <v>1</v>
      </c>
      <c r="AA3431" t="s">
        <v>4015</v>
      </c>
      <c r="AB3431" t="s">
        <v>2167</v>
      </c>
      <c r="AC3431" t="s">
        <v>4015</v>
      </c>
      <c r="AD3431" t="e">
        <f>VLOOKUP(AB3431,#REF!,2,FALSE)</f>
        <v>#REF!</v>
      </c>
      <c r="AE3431" t="e">
        <f>RIGHT(#REF!,(FIND("Complex",#REF!,1)-4))</f>
        <v>#REF!</v>
      </c>
    </row>
    <row r="3432" spans="1:31" x14ac:dyDescent="0.25">
      <c r="A3432">
        <v>1911</v>
      </c>
      <c r="B3432" t="s">
        <v>279</v>
      </c>
      <c r="C3432">
        <v>109</v>
      </c>
      <c r="D3432">
        <v>827</v>
      </c>
      <c r="E3432">
        <v>1911</v>
      </c>
      <c r="F3432">
        <v>13935601</v>
      </c>
      <c r="G3432">
        <v>14023800</v>
      </c>
      <c r="H3432">
        <f t="shared" si="106"/>
        <v>316.00002267573694</v>
      </c>
      <c r="I3432">
        <f t="shared" si="107"/>
        <v>318</v>
      </c>
      <c r="J3432" t="s">
        <v>25</v>
      </c>
      <c r="K3432">
        <v>4</v>
      </c>
      <c r="L3432" t="e">
        <f t="array" ref="L3432">VLOOKUP(J3432:$J$3871&amp;K3432:$K$3871,CHOOSE({1,2},#REF!&amp;#REF!,#REF!),2,0)</f>
        <v>#N/A</v>
      </c>
      <c r="M3432">
        <v>0</v>
      </c>
      <c r="N3432">
        <v>1</v>
      </c>
      <c r="O3432" t="s">
        <v>23</v>
      </c>
      <c r="P3432">
        <v>0</v>
      </c>
      <c r="Q3432">
        <v>1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</v>
      </c>
      <c r="X3432">
        <v>1</v>
      </c>
      <c r="Y3432">
        <v>1</v>
      </c>
      <c r="Z3432">
        <v>0</v>
      </c>
      <c r="AA3432" t="s">
        <v>4051</v>
      </c>
      <c r="AB3432" t="s">
        <v>6627</v>
      </c>
      <c r="AC3432" t="s">
        <v>4051</v>
      </c>
      <c r="AD3432" t="e">
        <f>VLOOKUP(AB3432,#REF!,2,FALSE)</f>
        <v>#REF!</v>
      </c>
      <c r="AE3432" t="e">
        <f>RIGHT(#REF!,(FIND("Complex",#REF!,1)-4))</f>
        <v>#REF!</v>
      </c>
    </row>
    <row r="3433" spans="1:31" x14ac:dyDescent="0.25">
      <c r="A3433">
        <v>311</v>
      </c>
      <c r="B3433" t="s">
        <v>279</v>
      </c>
      <c r="C3433">
        <v>109</v>
      </c>
      <c r="D3433">
        <v>131</v>
      </c>
      <c r="E3433">
        <v>311</v>
      </c>
      <c r="F3433">
        <v>12436201</v>
      </c>
      <c r="G3433">
        <v>12524400</v>
      </c>
      <c r="H3433">
        <f t="shared" si="106"/>
        <v>282.00002267573694</v>
      </c>
      <c r="I3433">
        <f t="shared" si="107"/>
        <v>284</v>
      </c>
      <c r="J3433" t="s">
        <v>25</v>
      </c>
      <c r="K3433">
        <v>4</v>
      </c>
      <c r="L3433" t="e">
        <f t="array" ref="L3433">VLOOKUP(J3433:$J$3871&amp;K3433:$K$3871,CHOOSE({1,2},#REF!&amp;#REF!,#REF!),2,0)</f>
        <v>#N/A</v>
      </c>
      <c r="M3433">
        <v>0</v>
      </c>
      <c r="N3433">
        <v>1</v>
      </c>
      <c r="O3433" t="s">
        <v>23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</v>
      </c>
      <c r="X3433">
        <v>1</v>
      </c>
      <c r="Y3433">
        <v>1</v>
      </c>
      <c r="Z3433">
        <v>1</v>
      </c>
      <c r="AA3433" t="s">
        <v>4089</v>
      </c>
      <c r="AB3433" t="s">
        <v>6656</v>
      </c>
      <c r="AC3433" t="s">
        <v>4089</v>
      </c>
      <c r="AD3433" t="e">
        <f>VLOOKUP(AB3433,#REF!,2,FALSE)</f>
        <v>#REF!</v>
      </c>
      <c r="AE3433" t="e">
        <f>RIGHT(#REF!,(FIND("Complex",#REF!,1)-3))</f>
        <v>#REF!</v>
      </c>
    </row>
    <row r="3434" spans="1:31" x14ac:dyDescent="0.25">
      <c r="A3434">
        <v>1639</v>
      </c>
      <c r="B3434" t="s">
        <v>279</v>
      </c>
      <c r="C3434">
        <v>109</v>
      </c>
      <c r="D3434">
        <v>714</v>
      </c>
      <c r="E3434">
        <v>1639</v>
      </c>
      <c r="F3434">
        <v>9878401</v>
      </c>
      <c r="G3434">
        <v>9966600</v>
      </c>
      <c r="H3434">
        <f t="shared" si="106"/>
        <v>224.00002267573697</v>
      </c>
      <c r="I3434">
        <f t="shared" si="107"/>
        <v>226</v>
      </c>
      <c r="J3434" t="s">
        <v>25</v>
      </c>
      <c r="K3434">
        <v>4</v>
      </c>
      <c r="L3434" t="e">
        <f t="array" ref="L3434">VLOOKUP(J3434:$J$3871&amp;K3434:$K$3871,CHOOSE({1,2},#REF!&amp;#REF!,#REF!),2,0)</f>
        <v>#N/A</v>
      </c>
      <c r="M3434">
        <v>0</v>
      </c>
      <c r="N3434">
        <v>1</v>
      </c>
      <c r="O3434" t="s">
        <v>23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1</v>
      </c>
      <c r="X3434">
        <v>1</v>
      </c>
      <c r="Y3434">
        <v>1</v>
      </c>
      <c r="Z3434">
        <v>1</v>
      </c>
      <c r="AA3434" t="s">
        <v>4227</v>
      </c>
      <c r="AB3434" t="s">
        <v>6761</v>
      </c>
      <c r="AC3434" t="s">
        <v>4227</v>
      </c>
      <c r="AD3434" t="e">
        <f>VLOOKUP(AB3434,#REF!,2,FALSE)</f>
        <v>#REF!</v>
      </c>
      <c r="AE3434" t="e">
        <f>RIGHT(#REF!,(FIND("Complex",#REF!,1)-4))</f>
        <v>#REF!</v>
      </c>
    </row>
    <row r="3435" spans="1:31" x14ac:dyDescent="0.25">
      <c r="A3435">
        <v>553</v>
      </c>
      <c r="B3435" t="s">
        <v>67</v>
      </c>
      <c r="C3435">
        <v>110</v>
      </c>
      <c r="D3435">
        <v>235</v>
      </c>
      <c r="E3435">
        <v>553</v>
      </c>
      <c r="F3435">
        <v>2734201</v>
      </c>
      <c r="G3435">
        <v>2822400</v>
      </c>
      <c r="H3435">
        <f t="shared" si="106"/>
        <v>62.000022675736965</v>
      </c>
      <c r="I3435">
        <f t="shared" si="107"/>
        <v>64</v>
      </c>
      <c r="J3435" t="s">
        <v>25</v>
      </c>
      <c r="K3435">
        <v>4</v>
      </c>
      <c r="L3435" t="e">
        <f t="array" ref="L3435">VLOOKUP(J3435:$J$3871&amp;K3435:$K$3871,CHOOSE({1,2},#REF!&amp;#REF!,#REF!),2,0)</f>
        <v>#N/A</v>
      </c>
      <c r="M3435">
        <v>0</v>
      </c>
      <c r="N3435">
        <v>1</v>
      </c>
      <c r="O3435" t="s">
        <v>23</v>
      </c>
      <c r="P3435">
        <v>1</v>
      </c>
      <c r="Q3435">
        <v>1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</v>
      </c>
      <c r="X3435">
        <v>1</v>
      </c>
      <c r="Y3435">
        <v>0</v>
      </c>
      <c r="Z3435">
        <v>0</v>
      </c>
      <c r="AA3435" t="s">
        <v>3772</v>
      </c>
      <c r="AB3435" t="s">
        <v>6466</v>
      </c>
      <c r="AC3435" t="s">
        <v>3772</v>
      </c>
      <c r="AD3435" t="e">
        <f>VLOOKUP(AB3435,#REF!,2,FALSE)</f>
        <v>#REF!</v>
      </c>
      <c r="AE3435" t="e">
        <f>RIGHT(#REF!,(FIND("Complex",#REF!,1)-4))</f>
        <v>#REF!</v>
      </c>
    </row>
    <row r="3436" spans="1:31" x14ac:dyDescent="0.25">
      <c r="A3436">
        <v>653</v>
      </c>
      <c r="B3436" t="s">
        <v>67</v>
      </c>
      <c r="C3436">
        <v>110</v>
      </c>
      <c r="D3436">
        <v>282</v>
      </c>
      <c r="E3436">
        <v>653</v>
      </c>
      <c r="F3436">
        <v>5909401</v>
      </c>
      <c r="G3436">
        <v>5997600</v>
      </c>
      <c r="H3436">
        <f t="shared" si="106"/>
        <v>134.00002267573697</v>
      </c>
      <c r="I3436">
        <f t="shared" si="107"/>
        <v>136</v>
      </c>
      <c r="J3436" t="s">
        <v>25</v>
      </c>
      <c r="K3436">
        <v>4</v>
      </c>
      <c r="L3436" t="e">
        <f t="array" ref="L3436">VLOOKUP(J3436:$J$3871&amp;K3436:$K$3871,CHOOSE({1,2},#REF!&amp;#REF!,#REF!),2,0)</f>
        <v>#N/A</v>
      </c>
      <c r="M3436">
        <v>0</v>
      </c>
      <c r="N3436">
        <v>1</v>
      </c>
      <c r="O3436" t="s">
        <v>23</v>
      </c>
      <c r="P3436">
        <v>1</v>
      </c>
      <c r="Q3436">
        <v>1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</v>
      </c>
      <c r="X3436">
        <v>1</v>
      </c>
      <c r="Y3436">
        <v>0</v>
      </c>
      <c r="Z3436">
        <v>0</v>
      </c>
      <c r="AA3436" t="s">
        <v>4658</v>
      </c>
      <c r="AB3436" t="s">
        <v>7029</v>
      </c>
      <c r="AC3436" t="s">
        <v>4658</v>
      </c>
      <c r="AD3436" t="e">
        <f>VLOOKUP(AB3436,#REF!,2,FALSE)</f>
        <v>#REF!</v>
      </c>
      <c r="AE3436" t="e">
        <f>RIGHT(#REF!,(FIND("Complex",#REF!,1)-3))</f>
        <v>#REF!</v>
      </c>
    </row>
    <row r="3437" spans="1:31" x14ac:dyDescent="0.25">
      <c r="A3437">
        <v>250</v>
      </c>
      <c r="B3437" t="s">
        <v>67</v>
      </c>
      <c r="C3437">
        <v>110</v>
      </c>
      <c r="D3437">
        <v>108</v>
      </c>
      <c r="E3437">
        <v>250</v>
      </c>
      <c r="F3437">
        <v>4674601</v>
      </c>
      <c r="G3437">
        <v>4762800</v>
      </c>
      <c r="H3437">
        <f t="shared" si="106"/>
        <v>106.00002267573696</v>
      </c>
      <c r="I3437">
        <f t="shared" si="107"/>
        <v>108</v>
      </c>
      <c r="J3437" t="s">
        <v>25</v>
      </c>
      <c r="K3437">
        <v>4</v>
      </c>
      <c r="L3437" t="e">
        <f t="array" ref="L3437">VLOOKUP(J3437:$J$3871&amp;K3437:$K$3871,CHOOSE({1,2},#REF!&amp;#REF!,#REF!),2,0)</f>
        <v>#N/A</v>
      </c>
      <c r="M3437">
        <v>0</v>
      </c>
      <c r="N3437">
        <v>1</v>
      </c>
      <c r="O3437" t="s">
        <v>23</v>
      </c>
      <c r="P3437">
        <v>1</v>
      </c>
      <c r="Q3437">
        <v>1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</v>
      </c>
      <c r="X3437">
        <v>1</v>
      </c>
      <c r="Y3437">
        <v>0</v>
      </c>
      <c r="Z3437">
        <v>0</v>
      </c>
      <c r="AA3437" t="s">
        <v>4812</v>
      </c>
      <c r="AB3437" t="s">
        <v>2179</v>
      </c>
      <c r="AC3437" t="s">
        <v>4812</v>
      </c>
      <c r="AD3437" t="e">
        <f>VLOOKUP(AB3437,#REF!,2,FALSE)</f>
        <v>#REF!</v>
      </c>
      <c r="AE3437" t="e">
        <f>RIGHT(#REF!,(FIND("Complex",#REF!,1)-3))</f>
        <v>#REF!</v>
      </c>
    </row>
    <row r="3438" spans="1:31" x14ac:dyDescent="0.25">
      <c r="A3438">
        <v>1729</v>
      </c>
      <c r="B3438" t="s">
        <v>67</v>
      </c>
      <c r="C3438">
        <v>110</v>
      </c>
      <c r="D3438">
        <v>751</v>
      </c>
      <c r="E3438">
        <v>1729</v>
      </c>
      <c r="F3438">
        <v>4498201</v>
      </c>
      <c r="G3438">
        <v>4586400</v>
      </c>
      <c r="H3438">
        <f t="shared" si="106"/>
        <v>102.00002267573696</v>
      </c>
      <c r="I3438">
        <f t="shared" si="107"/>
        <v>104</v>
      </c>
      <c r="J3438" t="s">
        <v>25</v>
      </c>
      <c r="K3438">
        <v>4</v>
      </c>
      <c r="L3438" t="e">
        <f t="array" ref="L3438">VLOOKUP(J3438:$J$3871&amp;K3438:$K$3871,CHOOSE({1,2},#REF!&amp;#REF!,#REF!),2,0)</f>
        <v>#N/A</v>
      </c>
      <c r="M3438">
        <v>0</v>
      </c>
      <c r="N3438">
        <v>1</v>
      </c>
      <c r="O3438" t="s">
        <v>23</v>
      </c>
      <c r="P3438">
        <v>1</v>
      </c>
      <c r="Q3438">
        <v>1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1</v>
      </c>
      <c r="X3438">
        <v>1</v>
      </c>
      <c r="Y3438">
        <v>0</v>
      </c>
      <c r="Z3438">
        <v>0</v>
      </c>
      <c r="AA3438" t="s">
        <v>4832</v>
      </c>
      <c r="AB3438" t="s">
        <v>7128</v>
      </c>
      <c r="AC3438" t="s">
        <v>4832</v>
      </c>
      <c r="AD3438" t="e">
        <f>VLOOKUP(AB3438,#REF!,2,FALSE)</f>
        <v>#REF!</v>
      </c>
      <c r="AE3438" t="e">
        <f>RIGHT(#REF!,(FIND("Complex",#REF!,1)-4))</f>
        <v>#REF!</v>
      </c>
    </row>
    <row r="3439" spans="1:31" x14ac:dyDescent="0.25">
      <c r="A3439">
        <v>1746</v>
      </c>
      <c r="B3439" t="s">
        <v>90</v>
      </c>
      <c r="C3439">
        <v>111</v>
      </c>
      <c r="D3439">
        <v>761</v>
      </c>
      <c r="E3439">
        <v>1746</v>
      </c>
      <c r="F3439">
        <v>1675801</v>
      </c>
      <c r="G3439">
        <v>1764000</v>
      </c>
      <c r="H3439">
        <f t="shared" si="106"/>
        <v>38.000022675736965</v>
      </c>
      <c r="I3439">
        <f t="shared" si="107"/>
        <v>40</v>
      </c>
      <c r="J3439" t="s">
        <v>25</v>
      </c>
      <c r="K3439">
        <v>4</v>
      </c>
      <c r="L3439" t="e">
        <f t="array" ref="L3439">VLOOKUP(J3439:$J$3871&amp;K3439:$K$3871,CHOOSE({1,2},#REF!&amp;#REF!,#REF!),2,0)</f>
        <v>#N/A</v>
      </c>
      <c r="M3439">
        <v>0</v>
      </c>
      <c r="N3439">
        <v>1</v>
      </c>
      <c r="O3439" t="s">
        <v>23</v>
      </c>
      <c r="P3439">
        <v>0</v>
      </c>
      <c r="Q3439">
        <v>0</v>
      </c>
      <c r="R3439">
        <v>1</v>
      </c>
      <c r="S3439">
        <v>0</v>
      </c>
      <c r="T3439">
        <v>0</v>
      </c>
      <c r="U3439">
        <v>1</v>
      </c>
      <c r="V3439">
        <v>0</v>
      </c>
      <c r="W3439">
        <v>1</v>
      </c>
      <c r="X3439">
        <v>1</v>
      </c>
      <c r="Y3439">
        <v>0</v>
      </c>
      <c r="Z3439">
        <v>0</v>
      </c>
      <c r="AA3439" t="s">
        <v>3988</v>
      </c>
      <c r="AB3439" t="s">
        <v>6586</v>
      </c>
      <c r="AC3439" t="s">
        <v>3988</v>
      </c>
      <c r="AD3439" t="e">
        <f>VLOOKUP(AB3439,#REF!,2,FALSE)</f>
        <v>#REF!</v>
      </c>
      <c r="AE3439" t="e">
        <f>RIGHT(#REF!,(FIND("Complex",#REF!,1)-5))</f>
        <v>#REF!</v>
      </c>
    </row>
    <row r="3440" spans="1:31" x14ac:dyDescent="0.25">
      <c r="A3440">
        <v>1063</v>
      </c>
      <c r="B3440" t="s">
        <v>90</v>
      </c>
      <c r="C3440">
        <v>111</v>
      </c>
      <c r="D3440">
        <v>471</v>
      </c>
      <c r="E3440">
        <v>1063</v>
      </c>
      <c r="F3440">
        <v>5292001</v>
      </c>
      <c r="G3440">
        <v>5380200</v>
      </c>
      <c r="H3440">
        <f t="shared" si="106"/>
        <v>120.00002267573696</v>
      </c>
      <c r="I3440">
        <f t="shared" si="107"/>
        <v>122</v>
      </c>
      <c r="J3440" t="s">
        <v>25</v>
      </c>
      <c r="K3440">
        <v>4</v>
      </c>
      <c r="L3440" t="e">
        <f t="array" ref="L3440">VLOOKUP(J3440:$J$3871&amp;K3440:$K$3871,CHOOSE({1,2},#REF!&amp;#REF!,#REF!),2,0)</f>
        <v>#N/A</v>
      </c>
      <c r="M3440">
        <v>0</v>
      </c>
      <c r="N3440">
        <v>1</v>
      </c>
      <c r="O3440" t="s">
        <v>23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1</v>
      </c>
      <c r="X3440">
        <v>1</v>
      </c>
      <c r="Y3440">
        <v>0</v>
      </c>
      <c r="Z3440">
        <v>0</v>
      </c>
      <c r="AA3440" t="s">
        <v>4719</v>
      </c>
      <c r="AB3440" t="s">
        <v>7067</v>
      </c>
      <c r="AC3440" t="s">
        <v>4719</v>
      </c>
      <c r="AD3440" t="e">
        <f>VLOOKUP(AB3440,#REF!,2,FALSE)</f>
        <v>#REF!</v>
      </c>
      <c r="AE3440" t="e">
        <f>RIGHT(#REF!,(FIND("Complex",#REF!,1)-4))</f>
        <v>#REF!</v>
      </c>
    </row>
    <row r="3441" spans="1:31" x14ac:dyDescent="0.25">
      <c r="A3441">
        <v>668</v>
      </c>
      <c r="B3441" t="s">
        <v>281</v>
      </c>
      <c r="C3441">
        <v>112</v>
      </c>
      <c r="D3441">
        <v>289</v>
      </c>
      <c r="E3441">
        <v>668</v>
      </c>
      <c r="F3441">
        <v>11730601</v>
      </c>
      <c r="G3441">
        <v>11818800</v>
      </c>
      <c r="H3441">
        <f t="shared" si="106"/>
        <v>266.00002267573694</v>
      </c>
      <c r="I3441">
        <f t="shared" si="107"/>
        <v>268</v>
      </c>
      <c r="J3441" t="s">
        <v>25</v>
      </c>
      <c r="K3441">
        <v>4</v>
      </c>
      <c r="L3441" t="e">
        <f t="array" ref="L3441">VLOOKUP(J3441:$J$3871&amp;K3441:$K$3871,CHOOSE({1,2},#REF!&amp;#REF!,#REF!),2,0)</f>
        <v>#N/A</v>
      </c>
      <c r="M3441">
        <v>0</v>
      </c>
      <c r="N3441">
        <v>1</v>
      </c>
      <c r="O3441" t="s">
        <v>23</v>
      </c>
      <c r="P3441">
        <v>1</v>
      </c>
      <c r="Q3441">
        <v>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1</v>
      </c>
      <c r="Y3441">
        <v>0</v>
      </c>
      <c r="Z3441">
        <v>0</v>
      </c>
      <c r="AA3441" t="s">
        <v>4132</v>
      </c>
      <c r="AB3441" t="s">
        <v>6690</v>
      </c>
      <c r="AC3441" t="s">
        <v>4132</v>
      </c>
      <c r="AD3441" t="e">
        <f>VLOOKUP(AB3441,#REF!,2,FALSE)</f>
        <v>#REF!</v>
      </c>
      <c r="AE3441" t="e">
        <f>RIGHT(#REF!,(FIND("Complex",#REF!,1)-3))</f>
        <v>#REF!</v>
      </c>
    </row>
    <row r="3442" spans="1:31" x14ac:dyDescent="0.25">
      <c r="A3442">
        <v>607</v>
      </c>
      <c r="B3442" t="s">
        <v>281</v>
      </c>
      <c r="C3442">
        <v>112</v>
      </c>
      <c r="D3442">
        <v>260</v>
      </c>
      <c r="E3442">
        <v>607</v>
      </c>
      <c r="F3442">
        <v>11025001</v>
      </c>
      <c r="G3442">
        <v>11113200</v>
      </c>
      <c r="H3442">
        <f t="shared" si="106"/>
        <v>250.00002267573697</v>
      </c>
      <c r="I3442">
        <f t="shared" si="107"/>
        <v>252</v>
      </c>
      <c r="J3442" t="s">
        <v>25</v>
      </c>
      <c r="K3442">
        <v>4</v>
      </c>
      <c r="L3442" t="e">
        <f t="array" ref="L3442">VLOOKUP(J3442:$J$3871&amp;K3442:$K$3871,CHOOSE({1,2},#REF!&amp;#REF!,#REF!),2,0)</f>
        <v>#N/A</v>
      </c>
      <c r="M3442">
        <v>0</v>
      </c>
      <c r="N3442">
        <v>1</v>
      </c>
      <c r="O3442" t="s">
        <v>23</v>
      </c>
      <c r="P3442">
        <v>1</v>
      </c>
      <c r="Q3442">
        <v>1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1</v>
      </c>
      <c r="Y3442">
        <v>0</v>
      </c>
      <c r="Z3442">
        <v>0</v>
      </c>
      <c r="AA3442" t="s">
        <v>4167</v>
      </c>
      <c r="AB3442" t="s">
        <v>6716</v>
      </c>
      <c r="AC3442" t="s">
        <v>4167</v>
      </c>
      <c r="AD3442" t="e">
        <f>VLOOKUP(AB3442,#REF!,2,FALSE)</f>
        <v>#REF!</v>
      </c>
      <c r="AE3442" t="e">
        <f>RIGHT(#REF!,(FIND("Complex",#REF!,1)-3))</f>
        <v>#REF!</v>
      </c>
    </row>
    <row r="3443" spans="1:31" x14ac:dyDescent="0.25">
      <c r="A3443">
        <v>947</v>
      </c>
      <c r="B3443" t="s">
        <v>281</v>
      </c>
      <c r="C3443">
        <v>112</v>
      </c>
      <c r="D3443">
        <v>415</v>
      </c>
      <c r="E3443">
        <v>947</v>
      </c>
      <c r="F3443">
        <v>5821201</v>
      </c>
      <c r="G3443">
        <v>5909400</v>
      </c>
      <c r="H3443">
        <f t="shared" si="106"/>
        <v>132.00002267573697</v>
      </c>
      <c r="I3443">
        <f t="shared" si="107"/>
        <v>134</v>
      </c>
      <c r="J3443" t="s">
        <v>25</v>
      </c>
      <c r="K3443">
        <v>4</v>
      </c>
      <c r="L3443" t="e">
        <f t="array" ref="L3443">VLOOKUP(J3443:$J$3871&amp;K3443:$K$3871,CHOOSE({1,2},#REF!&amp;#REF!,#REF!),2,0)</f>
        <v>#N/A</v>
      </c>
      <c r="M3443">
        <v>0</v>
      </c>
      <c r="N3443">
        <v>1</v>
      </c>
      <c r="O3443" t="s">
        <v>23</v>
      </c>
      <c r="P3443">
        <v>1</v>
      </c>
      <c r="Q3443">
        <v>1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1</v>
      </c>
      <c r="Y3443">
        <v>0</v>
      </c>
      <c r="Z3443">
        <v>0</v>
      </c>
      <c r="AA3443" t="s">
        <v>4668</v>
      </c>
      <c r="AB3443" t="s">
        <v>2223</v>
      </c>
      <c r="AC3443" t="s">
        <v>4668</v>
      </c>
      <c r="AD3443" t="e">
        <f>VLOOKUP(AB3443,#REF!,2,FALSE)</f>
        <v>#REF!</v>
      </c>
      <c r="AE3443" t="e">
        <f>RIGHT(#REF!,(FIND("Complex",#REF!,1)-3))</f>
        <v>#REF!</v>
      </c>
    </row>
    <row r="3444" spans="1:31" x14ac:dyDescent="0.25">
      <c r="A3444">
        <v>773</v>
      </c>
      <c r="B3444" t="s">
        <v>282</v>
      </c>
      <c r="C3444">
        <v>113</v>
      </c>
      <c r="D3444">
        <v>346</v>
      </c>
      <c r="E3444">
        <v>773</v>
      </c>
      <c r="F3444">
        <v>3263401</v>
      </c>
      <c r="G3444">
        <v>3351600</v>
      </c>
      <c r="H3444">
        <f t="shared" si="106"/>
        <v>74.000022675736957</v>
      </c>
      <c r="I3444">
        <f t="shared" si="107"/>
        <v>76</v>
      </c>
      <c r="J3444" t="s">
        <v>25</v>
      </c>
      <c r="K3444">
        <v>4</v>
      </c>
      <c r="L3444" t="e">
        <f t="array" ref="L3444">VLOOKUP(J3444:$J$3871&amp;K3444:$K$3871,CHOOSE({1,2},#REF!&amp;#REF!,#REF!),2,0)</f>
        <v>#N/A</v>
      </c>
      <c r="M3444">
        <v>0</v>
      </c>
      <c r="N3444">
        <v>1</v>
      </c>
      <c r="O3444" t="s">
        <v>23</v>
      </c>
      <c r="P3444">
        <v>1</v>
      </c>
      <c r="Q3444">
        <v>1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1</v>
      </c>
      <c r="Y3444">
        <v>0</v>
      </c>
      <c r="Z3444">
        <v>0</v>
      </c>
      <c r="AA3444" t="s">
        <v>3687</v>
      </c>
      <c r="AB3444" t="s">
        <v>6415</v>
      </c>
      <c r="AC3444" t="s">
        <v>3687</v>
      </c>
      <c r="AD3444" t="e">
        <f>VLOOKUP(AB3444,#REF!,2,FALSE)</f>
        <v>#REF!</v>
      </c>
      <c r="AE3444" t="e">
        <f>RIGHT(#REF!,(FIND("Complex",#REF!,1)-4))</f>
        <v>#REF!</v>
      </c>
    </row>
    <row r="3445" spans="1:31" x14ac:dyDescent="0.25">
      <c r="A3445">
        <v>1679</v>
      </c>
      <c r="B3445" t="s">
        <v>282</v>
      </c>
      <c r="C3445">
        <v>113</v>
      </c>
      <c r="D3445">
        <v>735</v>
      </c>
      <c r="E3445">
        <v>1679</v>
      </c>
      <c r="F3445">
        <v>1764001</v>
      </c>
      <c r="G3445">
        <v>1852200</v>
      </c>
      <c r="H3445">
        <f t="shared" si="106"/>
        <v>40.000022675736965</v>
      </c>
      <c r="I3445">
        <f t="shared" si="107"/>
        <v>42</v>
      </c>
      <c r="J3445" t="s">
        <v>25</v>
      </c>
      <c r="K3445">
        <v>4</v>
      </c>
      <c r="L3445" t="e">
        <f t="array" ref="L3445">VLOOKUP(J3445:$J$3871&amp;K3445:$K$3871,CHOOSE({1,2},#REF!&amp;#REF!,#REF!),2,0)</f>
        <v>#N/A</v>
      </c>
      <c r="M3445">
        <v>0</v>
      </c>
      <c r="N3445">
        <v>1</v>
      </c>
      <c r="O3445" t="s">
        <v>23</v>
      </c>
      <c r="P3445">
        <v>1</v>
      </c>
      <c r="Q3445">
        <v>1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1</v>
      </c>
      <c r="Y3445">
        <v>0</v>
      </c>
      <c r="Z3445">
        <v>0</v>
      </c>
      <c r="AA3445" t="s">
        <v>3952</v>
      </c>
      <c r="AB3445" t="s">
        <v>6571</v>
      </c>
      <c r="AC3445" t="s">
        <v>3952</v>
      </c>
      <c r="AD3445" t="e">
        <f>VLOOKUP(AB3445,#REF!,2,FALSE)</f>
        <v>#REF!</v>
      </c>
      <c r="AE3445" t="e">
        <f>RIGHT(#REF!,(FIND("Complex",#REF!,1)-5))</f>
        <v>#REF!</v>
      </c>
    </row>
    <row r="3446" spans="1:31" x14ac:dyDescent="0.25">
      <c r="A3446">
        <v>543</v>
      </c>
      <c r="B3446" t="s">
        <v>282</v>
      </c>
      <c r="C3446">
        <v>113</v>
      </c>
      <c r="D3446">
        <v>227</v>
      </c>
      <c r="E3446">
        <v>543</v>
      </c>
      <c r="F3446">
        <v>8908201</v>
      </c>
      <c r="G3446">
        <v>8996400</v>
      </c>
      <c r="H3446">
        <f t="shared" si="106"/>
        <v>202.00002267573697</v>
      </c>
      <c r="I3446">
        <f t="shared" si="107"/>
        <v>204</v>
      </c>
      <c r="J3446" t="s">
        <v>25</v>
      </c>
      <c r="K3446">
        <v>4</v>
      </c>
      <c r="L3446" t="e">
        <f t="array" ref="L3446">VLOOKUP(J3446:$J$3871&amp;K3446:$K$3871,CHOOSE({1,2},#REF!&amp;#REF!,#REF!),2,0)</f>
        <v>#N/A</v>
      </c>
      <c r="M3446">
        <v>0</v>
      </c>
      <c r="N3446">
        <v>1</v>
      </c>
      <c r="O3446" t="s">
        <v>23</v>
      </c>
      <c r="P3446">
        <v>1</v>
      </c>
      <c r="Q3446">
        <v>1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1</v>
      </c>
      <c r="Y3446">
        <v>0</v>
      </c>
      <c r="Z3446">
        <v>0</v>
      </c>
      <c r="AA3446" t="s">
        <v>4290</v>
      </c>
      <c r="AB3446" t="s">
        <v>2231</v>
      </c>
      <c r="AC3446" t="s">
        <v>4290</v>
      </c>
      <c r="AD3446" t="e">
        <f>VLOOKUP(AB3446,#REF!,2,FALSE)</f>
        <v>#REF!</v>
      </c>
      <c r="AE3446" t="e">
        <f>RIGHT(#REF!,(FIND("Complex",#REF!,1)-3))</f>
        <v>#REF!</v>
      </c>
    </row>
    <row r="3447" spans="1:31" x14ac:dyDescent="0.25">
      <c r="A3447">
        <v>998</v>
      </c>
      <c r="B3447" t="s">
        <v>282</v>
      </c>
      <c r="C3447">
        <v>113</v>
      </c>
      <c r="D3447">
        <v>442</v>
      </c>
      <c r="E3447">
        <v>998</v>
      </c>
      <c r="F3447">
        <v>8379001</v>
      </c>
      <c r="G3447">
        <v>8467200</v>
      </c>
      <c r="H3447">
        <f t="shared" si="106"/>
        <v>190.00002267573697</v>
      </c>
      <c r="I3447">
        <f t="shared" si="107"/>
        <v>192</v>
      </c>
      <c r="J3447" t="s">
        <v>25</v>
      </c>
      <c r="K3447">
        <v>4</v>
      </c>
      <c r="L3447" t="e">
        <f t="array" ref="L3447">VLOOKUP(J3447:$J$3871&amp;K3447:$K$3871,CHOOSE({1,2},#REF!&amp;#REF!,#REF!),2,0)</f>
        <v>#N/A</v>
      </c>
      <c r="M3447">
        <v>0</v>
      </c>
      <c r="N3447">
        <v>1</v>
      </c>
      <c r="O3447" t="s">
        <v>23</v>
      </c>
      <c r="P3447">
        <v>1</v>
      </c>
      <c r="Q3447">
        <v>1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1</v>
      </c>
      <c r="Y3447">
        <v>0</v>
      </c>
      <c r="Z3447">
        <v>0</v>
      </c>
      <c r="AA3447" t="s">
        <v>4371</v>
      </c>
      <c r="AB3447" t="s">
        <v>6842</v>
      </c>
      <c r="AC3447" t="s">
        <v>4371</v>
      </c>
      <c r="AD3447" t="e">
        <f>VLOOKUP(AB3447,#REF!,2,FALSE)</f>
        <v>#REF!</v>
      </c>
      <c r="AE3447" t="e">
        <f>RIGHT(#REF!,(FIND("Complex",#REF!,1)-3))</f>
        <v>#REF!</v>
      </c>
    </row>
    <row r="3448" spans="1:31" x14ac:dyDescent="0.25">
      <c r="A3448">
        <v>1513</v>
      </c>
      <c r="B3448" t="s">
        <v>282</v>
      </c>
      <c r="C3448">
        <v>113</v>
      </c>
      <c r="D3448">
        <v>663</v>
      </c>
      <c r="E3448">
        <v>1513</v>
      </c>
      <c r="F3448">
        <v>8114401</v>
      </c>
      <c r="G3448">
        <v>8202600</v>
      </c>
      <c r="H3448">
        <f t="shared" si="106"/>
        <v>184.00002267573697</v>
      </c>
      <c r="I3448">
        <f t="shared" si="107"/>
        <v>186</v>
      </c>
      <c r="J3448" t="s">
        <v>25</v>
      </c>
      <c r="K3448">
        <v>4</v>
      </c>
      <c r="L3448" t="e">
        <f t="array" ref="L3448">VLOOKUP(J3448:$J$3871&amp;K3448:$K$3871,CHOOSE({1,2},#REF!&amp;#REF!,#REF!),2,0)</f>
        <v>#N/A</v>
      </c>
      <c r="M3448">
        <v>0</v>
      </c>
      <c r="N3448">
        <v>1</v>
      </c>
      <c r="O3448" t="s">
        <v>23</v>
      </c>
      <c r="P3448">
        <v>1</v>
      </c>
      <c r="Q3448">
        <v>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1</v>
      </c>
      <c r="Y3448">
        <v>0</v>
      </c>
      <c r="Z3448">
        <v>0</v>
      </c>
      <c r="AA3448" t="s">
        <v>4388</v>
      </c>
      <c r="AB3448" t="s">
        <v>6853</v>
      </c>
      <c r="AC3448" t="s">
        <v>4388</v>
      </c>
      <c r="AD3448" t="e">
        <f>VLOOKUP(AB3448,#REF!,2,FALSE)</f>
        <v>#REF!</v>
      </c>
      <c r="AE3448" t="e">
        <f>RIGHT(#REF!,(FIND("Complex",#REF!,1)-4))</f>
        <v>#REF!</v>
      </c>
    </row>
    <row r="3449" spans="1:31" x14ac:dyDescent="0.25">
      <c r="A3449">
        <v>14</v>
      </c>
      <c r="B3449" t="s">
        <v>284</v>
      </c>
      <c r="C3449">
        <v>114</v>
      </c>
      <c r="D3449">
        <v>4</v>
      </c>
      <c r="E3449">
        <v>14</v>
      </c>
      <c r="F3449">
        <v>4233601</v>
      </c>
      <c r="G3449">
        <v>4321800</v>
      </c>
      <c r="H3449">
        <f t="shared" si="106"/>
        <v>96.000022675736957</v>
      </c>
      <c r="I3449">
        <f t="shared" si="107"/>
        <v>98</v>
      </c>
      <c r="J3449" t="s">
        <v>25</v>
      </c>
      <c r="K3449">
        <v>4</v>
      </c>
      <c r="L3449" t="e">
        <f t="array" ref="L3449">VLOOKUP(J3449:$J$3871&amp;K3449:$K$3871,CHOOSE({1,2},#REF!&amp;#REF!,#REF!),2,0)</f>
        <v>#N/A</v>
      </c>
      <c r="M3449">
        <v>0</v>
      </c>
      <c r="N3449">
        <v>1</v>
      </c>
      <c r="O3449" t="s">
        <v>23</v>
      </c>
      <c r="P3449">
        <v>0</v>
      </c>
      <c r="Q3449">
        <v>1</v>
      </c>
      <c r="R3449">
        <v>0</v>
      </c>
      <c r="S3449">
        <v>0</v>
      </c>
      <c r="T3449">
        <v>1</v>
      </c>
      <c r="U3449">
        <v>0</v>
      </c>
      <c r="V3449">
        <v>0</v>
      </c>
      <c r="W3449">
        <v>1</v>
      </c>
      <c r="X3449">
        <v>1</v>
      </c>
      <c r="Y3449">
        <v>0</v>
      </c>
      <c r="Z3449">
        <v>0</v>
      </c>
      <c r="AA3449" t="s">
        <v>3524</v>
      </c>
      <c r="AB3449" t="s">
        <v>2235</v>
      </c>
      <c r="AC3449" t="s">
        <v>3524</v>
      </c>
      <c r="AD3449" t="e">
        <f>VLOOKUP(AB3449,#REF!,2,FALSE)</f>
        <v>#REF!</v>
      </c>
      <c r="AE3449" t="e">
        <f>RIGHT(#REF!,(FIND("Complex",#REF!,1)-3))</f>
        <v>#REF!</v>
      </c>
    </row>
    <row r="3450" spans="1:31" x14ac:dyDescent="0.25">
      <c r="A3450">
        <v>856</v>
      </c>
      <c r="B3450" t="s">
        <v>284</v>
      </c>
      <c r="C3450">
        <v>114</v>
      </c>
      <c r="D3450">
        <v>382</v>
      </c>
      <c r="E3450">
        <v>856</v>
      </c>
      <c r="F3450">
        <v>12524401</v>
      </c>
      <c r="G3450">
        <v>12612600</v>
      </c>
      <c r="H3450">
        <f t="shared" si="106"/>
        <v>284.00002267573694</v>
      </c>
      <c r="I3450">
        <f t="shared" si="107"/>
        <v>286</v>
      </c>
      <c r="J3450" t="s">
        <v>25</v>
      </c>
      <c r="K3450">
        <v>4</v>
      </c>
      <c r="L3450" t="e">
        <f t="array" ref="L3450">VLOOKUP(J3450:$J$3871&amp;K3450:$K$3871,CHOOSE({1,2},#REF!&amp;#REF!,#REF!),2,0)</f>
        <v>#N/A</v>
      </c>
      <c r="M3450">
        <v>0</v>
      </c>
      <c r="N3450">
        <v>1</v>
      </c>
      <c r="O3450" t="s">
        <v>23</v>
      </c>
      <c r="P3450">
        <v>0</v>
      </c>
      <c r="Q3450">
        <v>1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1</v>
      </c>
      <c r="X3450">
        <v>1</v>
      </c>
      <c r="Y3450">
        <v>0</v>
      </c>
      <c r="Z3450">
        <v>0</v>
      </c>
      <c r="AA3450" t="s">
        <v>4085</v>
      </c>
      <c r="AB3450" t="s">
        <v>6652</v>
      </c>
      <c r="AC3450" t="s">
        <v>4085</v>
      </c>
      <c r="AD3450" t="e">
        <f>VLOOKUP(AB3450,#REF!,2,FALSE)</f>
        <v>#REF!</v>
      </c>
      <c r="AE3450" t="e">
        <f>RIGHT(#REF!,(FIND("Complex",#REF!,1)-3))</f>
        <v>#REF!</v>
      </c>
    </row>
    <row r="3451" spans="1:31" x14ac:dyDescent="0.25">
      <c r="A3451">
        <v>1619</v>
      </c>
      <c r="B3451" t="s">
        <v>284</v>
      </c>
      <c r="C3451">
        <v>114</v>
      </c>
      <c r="D3451">
        <v>702</v>
      </c>
      <c r="E3451">
        <v>1619</v>
      </c>
      <c r="F3451">
        <v>12171601</v>
      </c>
      <c r="G3451">
        <v>12259800</v>
      </c>
      <c r="H3451">
        <f t="shared" si="106"/>
        <v>276.00002267573694</v>
      </c>
      <c r="I3451">
        <f t="shared" si="107"/>
        <v>278</v>
      </c>
      <c r="J3451" t="s">
        <v>25</v>
      </c>
      <c r="K3451">
        <v>4</v>
      </c>
      <c r="L3451" t="e">
        <f t="array" ref="L3451">VLOOKUP(J3451:$J$3871&amp;K3451:$K$3871,CHOOSE({1,2},#REF!&amp;#REF!,#REF!),2,0)</f>
        <v>#N/A</v>
      </c>
      <c r="M3451">
        <v>0</v>
      </c>
      <c r="N3451">
        <v>1</v>
      </c>
      <c r="O3451" t="s">
        <v>23</v>
      </c>
      <c r="P3451">
        <v>0</v>
      </c>
      <c r="Q3451">
        <v>1</v>
      </c>
      <c r="R3451">
        <v>0</v>
      </c>
      <c r="S3451">
        <v>0</v>
      </c>
      <c r="T3451">
        <v>1</v>
      </c>
      <c r="U3451">
        <v>0</v>
      </c>
      <c r="V3451">
        <v>0</v>
      </c>
      <c r="W3451">
        <v>1</v>
      </c>
      <c r="X3451">
        <v>1</v>
      </c>
      <c r="Y3451">
        <v>0</v>
      </c>
      <c r="Z3451">
        <v>0</v>
      </c>
      <c r="AA3451" t="s">
        <v>4119</v>
      </c>
      <c r="AB3451" t="s">
        <v>6680</v>
      </c>
      <c r="AC3451" t="s">
        <v>4119</v>
      </c>
      <c r="AD3451" t="e">
        <f>VLOOKUP(AB3451,#REF!,2,FALSE)</f>
        <v>#REF!</v>
      </c>
      <c r="AE3451" t="e">
        <f>RIGHT(#REF!,(FIND("Complex",#REF!,1)-4))</f>
        <v>#REF!</v>
      </c>
    </row>
    <row r="3452" spans="1:31" x14ac:dyDescent="0.25">
      <c r="A3452">
        <v>1791</v>
      </c>
      <c r="B3452" t="s">
        <v>284</v>
      </c>
      <c r="C3452">
        <v>114</v>
      </c>
      <c r="D3452">
        <v>777</v>
      </c>
      <c r="E3452">
        <v>1791</v>
      </c>
      <c r="F3452">
        <v>12083401</v>
      </c>
      <c r="G3452">
        <v>12171600</v>
      </c>
      <c r="H3452">
        <f t="shared" si="106"/>
        <v>274.00002267573694</v>
      </c>
      <c r="I3452">
        <f t="shared" si="107"/>
        <v>276</v>
      </c>
      <c r="J3452" t="s">
        <v>25</v>
      </c>
      <c r="K3452">
        <v>4</v>
      </c>
      <c r="L3452" t="e">
        <f t="array" ref="L3452">VLOOKUP(J3452:$J$3871&amp;K3452:$K$3871,CHOOSE({1,2},#REF!&amp;#REF!,#REF!),2,0)</f>
        <v>#N/A</v>
      </c>
      <c r="M3452">
        <v>0</v>
      </c>
      <c r="N3452">
        <v>1</v>
      </c>
      <c r="O3452" t="s">
        <v>23</v>
      </c>
      <c r="P3452">
        <v>0</v>
      </c>
      <c r="Q3452">
        <v>1</v>
      </c>
      <c r="R3452">
        <v>0</v>
      </c>
      <c r="S3452">
        <v>0</v>
      </c>
      <c r="T3452">
        <v>1</v>
      </c>
      <c r="U3452">
        <v>0</v>
      </c>
      <c r="V3452">
        <v>0</v>
      </c>
      <c r="W3452">
        <v>1</v>
      </c>
      <c r="X3452">
        <v>1</v>
      </c>
      <c r="Y3452">
        <v>0</v>
      </c>
      <c r="Z3452">
        <v>0</v>
      </c>
      <c r="AA3452" t="s">
        <v>4124</v>
      </c>
      <c r="AB3452" t="s">
        <v>6684</v>
      </c>
      <c r="AC3452" t="s">
        <v>4124</v>
      </c>
      <c r="AD3452" t="e">
        <f>VLOOKUP(AB3452,#REF!,2,FALSE)</f>
        <v>#REF!</v>
      </c>
      <c r="AE3452" t="e">
        <f>RIGHT(#REF!,(FIND("Complex",#REF!,1)-4))</f>
        <v>#REF!</v>
      </c>
    </row>
    <row r="3453" spans="1:31" x14ac:dyDescent="0.25">
      <c r="A3453">
        <v>798</v>
      </c>
      <c r="B3453" t="s">
        <v>284</v>
      </c>
      <c r="C3453">
        <v>114</v>
      </c>
      <c r="D3453">
        <v>359</v>
      </c>
      <c r="E3453">
        <v>798</v>
      </c>
      <c r="F3453">
        <v>7056001</v>
      </c>
      <c r="G3453">
        <v>7144200</v>
      </c>
      <c r="H3453">
        <f t="shared" si="106"/>
        <v>160.00002267573697</v>
      </c>
      <c r="I3453">
        <f t="shared" si="107"/>
        <v>162</v>
      </c>
      <c r="J3453" t="s">
        <v>25</v>
      </c>
      <c r="K3453">
        <v>4</v>
      </c>
      <c r="L3453" t="e">
        <f t="array" ref="L3453">VLOOKUP(J3453:$J$3871&amp;K3453:$K$3871,CHOOSE({1,2},#REF!&amp;#REF!,#REF!),2,0)</f>
        <v>#N/A</v>
      </c>
      <c r="M3453">
        <v>0</v>
      </c>
      <c r="N3453">
        <v>1</v>
      </c>
      <c r="O3453" t="s">
        <v>23</v>
      </c>
      <c r="P3453">
        <v>0</v>
      </c>
      <c r="Q3453">
        <v>1</v>
      </c>
      <c r="R3453">
        <v>0</v>
      </c>
      <c r="S3453">
        <v>0</v>
      </c>
      <c r="T3453">
        <v>1</v>
      </c>
      <c r="U3453">
        <v>0</v>
      </c>
      <c r="V3453">
        <v>0</v>
      </c>
      <c r="W3453">
        <v>1</v>
      </c>
      <c r="X3453">
        <v>1</v>
      </c>
      <c r="Y3453">
        <v>0</v>
      </c>
      <c r="Z3453">
        <v>0</v>
      </c>
      <c r="AA3453" t="s">
        <v>4485</v>
      </c>
      <c r="AB3453" t="s">
        <v>6914</v>
      </c>
      <c r="AC3453" t="s">
        <v>4485</v>
      </c>
      <c r="AD3453" t="e">
        <f>VLOOKUP(AB3453,#REF!,2,FALSE)</f>
        <v>#REF!</v>
      </c>
      <c r="AE3453" t="e">
        <f>RIGHT(#REF!,(FIND("Complex",#REF!,1)-3))</f>
        <v>#REF!</v>
      </c>
    </row>
    <row r="3454" spans="1:31" x14ac:dyDescent="0.25">
      <c r="A3454">
        <v>1368</v>
      </c>
      <c r="B3454" t="s">
        <v>284</v>
      </c>
      <c r="C3454">
        <v>114</v>
      </c>
      <c r="D3454">
        <v>598</v>
      </c>
      <c r="E3454">
        <v>1368</v>
      </c>
      <c r="F3454">
        <v>5644801</v>
      </c>
      <c r="G3454">
        <v>5733000</v>
      </c>
      <c r="H3454">
        <f t="shared" si="106"/>
        <v>128.00002267573697</v>
      </c>
      <c r="I3454">
        <f t="shared" si="107"/>
        <v>130</v>
      </c>
      <c r="J3454" t="s">
        <v>25</v>
      </c>
      <c r="K3454">
        <v>4</v>
      </c>
      <c r="L3454" t="e">
        <f t="array" ref="L3454">VLOOKUP(J3454:$J$3871&amp;K3454:$K$3871,CHOOSE({1,2},#REF!&amp;#REF!,#REF!),2,0)</f>
        <v>#N/A</v>
      </c>
      <c r="M3454">
        <v>0</v>
      </c>
      <c r="N3454">
        <v>1</v>
      </c>
      <c r="O3454" t="s">
        <v>23</v>
      </c>
      <c r="P3454">
        <v>0</v>
      </c>
      <c r="Q3454">
        <v>1</v>
      </c>
      <c r="R3454">
        <v>0</v>
      </c>
      <c r="S3454">
        <v>0</v>
      </c>
      <c r="T3454">
        <v>1</v>
      </c>
      <c r="U3454">
        <v>0</v>
      </c>
      <c r="V3454">
        <v>0</v>
      </c>
      <c r="W3454">
        <v>1</v>
      </c>
      <c r="X3454">
        <v>1</v>
      </c>
      <c r="Y3454">
        <v>0</v>
      </c>
      <c r="Z3454">
        <v>0</v>
      </c>
      <c r="AA3454" t="s">
        <v>4686</v>
      </c>
      <c r="AB3454" t="s">
        <v>7045</v>
      </c>
      <c r="AC3454" t="s">
        <v>4686</v>
      </c>
      <c r="AD3454" t="e">
        <f>VLOOKUP(AB3454,#REF!,2,FALSE)</f>
        <v>#REF!</v>
      </c>
      <c r="AE3454" t="e">
        <f>RIGHT(#REF!,(FIND("Complex",#REF!,1)-4))</f>
        <v>#REF!</v>
      </c>
    </row>
    <row r="3455" spans="1:31" x14ac:dyDescent="0.25">
      <c r="A3455">
        <v>614</v>
      </c>
      <c r="B3455" t="s">
        <v>284</v>
      </c>
      <c r="C3455">
        <v>114</v>
      </c>
      <c r="D3455">
        <v>263</v>
      </c>
      <c r="E3455">
        <v>614</v>
      </c>
      <c r="F3455">
        <v>4674601</v>
      </c>
      <c r="G3455">
        <v>4762800</v>
      </c>
      <c r="H3455">
        <f t="shared" si="106"/>
        <v>106.00002267573696</v>
      </c>
      <c r="I3455">
        <f t="shared" si="107"/>
        <v>108</v>
      </c>
      <c r="J3455" t="s">
        <v>25</v>
      </c>
      <c r="K3455">
        <v>4</v>
      </c>
      <c r="L3455" t="e">
        <f t="array" ref="L3455">VLOOKUP(J3455:$J$3871&amp;K3455:$K$3871,CHOOSE({1,2},#REF!&amp;#REF!,#REF!),2,0)</f>
        <v>#N/A</v>
      </c>
      <c r="M3455">
        <v>0</v>
      </c>
      <c r="N3455">
        <v>1</v>
      </c>
      <c r="O3455" t="s">
        <v>23</v>
      </c>
      <c r="P3455">
        <v>0</v>
      </c>
      <c r="Q3455">
        <v>1</v>
      </c>
      <c r="R3455">
        <v>0</v>
      </c>
      <c r="S3455">
        <v>0</v>
      </c>
      <c r="T3455">
        <v>1</v>
      </c>
      <c r="U3455">
        <v>0</v>
      </c>
      <c r="V3455">
        <v>0</v>
      </c>
      <c r="W3455">
        <v>1</v>
      </c>
      <c r="X3455">
        <v>1</v>
      </c>
      <c r="Y3455">
        <v>0</v>
      </c>
      <c r="Z3455">
        <v>0</v>
      </c>
      <c r="AA3455" t="s">
        <v>4810</v>
      </c>
      <c r="AB3455" t="s">
        <v>7115</v>
      </c>
      <c r="AC3455" t="s">
        <v>4810</v>
      </c>
      <c r="AD3455" t="e">
        <f>VLOOKUP(AB3455,#REF!,2,FALSE)</f>
        <v>#REF!</v>
      </c>
      <c r="AE3455" t="e">
        <f>RIGHT(#REF!,(FIND("Complex",#REF!,1)-3))</f>
        <v>#REF!</v>
      </c>
    </row>
    <row r="3456" spans="1:31" x14ac:dyDescent="0.25">
      <c r="A3456">
        <v>1750</v>
      </c>
      <c r="B3456" t="s">
        <v>82</v>
      </c>
      <c r="C3456">
        <v>115</v>
      </c>
      <c r="D3456">
        <v>763</v>
      </c>
      <c r="E3456">
        <v>1750</v>
      </c>
      <c r="F3456">
        <v>3616201</v>
      </c>
      <c r="G3456">
        <v>3704400</v>
      </c>
      <c r="H3456">
        <f t="shared" si="106"/>
        <v>82.000022675736957</v>
      </c>
      <c r="I3456">
        <f t="shared" si="107"/>
        <v>84</v>
      </c>
      <c r="J3456" t="s">
        <v>25</v>
      </c>
      <c r="K3456">
        <v>4</v>
      </c>
      <c r="L3456" t="e">
        <f t="array" ref="L3456">VLOOKUP(J3456:$J$3871&amp;K3456:$K$3871,CHOOSE({1,2},#REF!&amp;#REF!,#REF!),2,0)</f>
        <v>#N/A</v>
      </c>
      <c r="M3456">
        <v>0</v>
      </c>
      <c r="N3456">
        <v>1</v>
      </c>
      <c r="O3456" t="s">
        <v>23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1</v>
      </c>
      <c r="Y3456">
        <v>1</v>
      </c>
      <c r="Z3456">
        <v>0</v>
      </c>
      <c r="AA3456" t="s">
        <v>3618</v>
      </c>
      <c r="AB3456" t="s">
        <v>6377</v>
      </c>
      <c r="AC3456" t="s">
        <v>3618</v>
      </c>
      <c r="AD3456" t="e">
        <f>VLOOKUP(AB3456,#REF!,2,FALSE)</f>
        <v>#REF!</v>
      </c>
      <c r="AE3456" t="e">
        <f>RIGHT(#REF!,(FIND("Complex",#REF!,1)-5))</f>
        <v>#REF!</v>
      </c>
    </row>
    <row r="3457" spans="1:31" x14ac:dyDescent="0.25">
      <c r="A3457">
        <v>1618</v>
      </c>
      <c r="B3457" t="s">
        <v>82</v>
      </c>
      <c r="C3457">
        <v>115</v>
      </c>
      <c r="D3457">
        <v>701</v>
      </c>
      <c r="E3457">
        <v>1618</v>
      </c>
      <c r="F3457">
        <v>2822401</v>
      </c>
      <c r="G3457">
        <v>2910600</v>
      </c>
      <c r="H3457">
        <f t="shared" si="106"/>
        <v>64.000022675736957</v>
      </c>
      <c r="I3457">
        <f t="shared" si="107"/>
        <v>66</v>
      </c>
      <c r="J3457" t="s">
        <v>25</v>
      </c>
      <c r="K3457">
        <v>4</v>
      </c>
      <c r="L3457" t="e">
        <f t="array" ref="L3457">VLOOKUP(J3457:$J$3871&amp;K3457:$K$3871,CHOOSE({1,2},#REF!&amp;#REF!,#REF!),2,0)</f>
        <v>#N/A</v>
      </c>
      <c r="M3457">
        <v>0</v>
      </c>
      <c r="N3457">
        <v>1</v>
      </c>
      <c r="O3457" t="s">
        <v>23</v>
      </c>
      <c r="P3457">
        <v>1</v>
      </c>
      <c r="Q3457">
        <v>0</v>
      </c>
      <c r="R3457">
        <v>1</v>
      </c>
      <c r="S3457">
        <v>0</v>
      </c>
      <c r="T3457">
        <v>0</v>
      </c>
      <c r="U3457">
        <v>1</v>
      </c>
      <c r="V3457">
        <v>0</v>
      </c>
      <c r="W3457">
        <v>1</v>
      </c>
      <c r="X3457">
        <v>0</v>
      </c>
      <c r="Y3457">
        <v>0</v>
      </c>
      <c r="Z3457">
        <v>0</v>
      </c>
      <c r="AA3457" t="s">
        <v>3752</v>
      </c>
      <c r="AB3457" t="s">
        <v>6452</v>
      </c>
      <c r="AC3457" t="s">
        <v>3752</v>
      </c>
      <c r="AD3457" t="e">
        <f>VLOOKUP(AB3457,#REF!,2,FALSE)</f>
        <v>#REF!</v>
      </c>
      <c r="AE3457" t="e">
        <f>RIGHT(#REF!,(FIND("Complex",#REF!,1)-5))</f>
        <v>#REF!</v>
      </c>
    </row>
    <row r="3458" spans="1:31" x14ac:dyDescent="0.25">
      <c r="A3458">
        <v>1065</v>
      </c>
      <c r="B3458" t="s">
        <v>82</v>
      </c>
      <c r="C3458">
        <v>115</v>
      </c>
      <c r="D3458">
        <v>472</v>
      </c>
      <c r="E3458">
        <v>1065</v>
      </c>
      <c r="F3458">
        <v>11377801</v>
      </c>
      <c r="G3458">
        <v>11466000</v>
      </c>
      <c r="H3458">
        <f t="shared" ref="H3458:H3521" si="108">F3458/44100</f>
        <v>258.00002267573694</v>
      </c>
      <c r="I3458">
        <f t="shared" ref="I3458:I3521" si="109">G3458/44100</f>
        <v>260</v>
      </c>
      <c r="J3458" t="s">
        <v>25</v>
      </c>
      <c r="K3458">
        <v>4</v>
      </c>
      <c r="L3458" t="e">
        <f t="array" ref="L3458">VLOOKUP(J3458:$J$3871&amp;K3458:$K$3871,CHOOSE({1,2},#REF!&amp;#REF!,#REF!),2,0)</f>
        <v>#N/A</v>
      </c>
      <c r="M3458">
        <v>0</v>
      </c>
      <c r="N3458">
        <v>1</v>
      </c>
      <c r="O3458" t="s">
        <v>23</v>
      </c>
      <c r="P3458">
        <v>0</v>
      </c>
      <c r="Q3458">
        <v>0</v>
      </c>
      <c r="R3458">
        <v>0</v>
      </c>
      <c r="S3458">
        <v>1</v>
      </c>
      <c r="T3458">
        <v>0</v>
      </c>
      <c r="U3458">
        <v>1</v>
      </c>
      <c r="V3458">
        <v>0</v>
      </c>
      <c r="W3458">
        <v>1</v>
      </c>
      <c r="X3458">
        <v>1</v>
      </c>
      <c r="Y3458">
        <v>0</v>
      </c>
      <c r="Z3458">
        <v>0</v>
      </c>
      <c r="AA3458" t="s">
        <v>4159</v>
      </c>
      <c r="AB3458" t="s">
        <v>6709</v>
      </c>
      <c r="AC3458" t="s">
        <v>4159</v>
      </c>
      <c r="AD3458" t="e">
        <f>VLOOKUP(AB3458,#REF!,2,FALSE)</f>
        <v>#REF!</v>
      </c>
      <c r="AE3458" t="e">
        <f>RIGHT(#REF!,(FIND("Complex",#REF!,1)-4))</f>
        <v>#REF!</v>
      </c>
    </row>
    <row r="3459" spans="1:31" x14ac:dyDescent="0.25">
      <c r="A3459">
        <v>977</v>
      </c>
      <c r="B3459" t="s">
        <v>82</v>
      </c>
      <c r="C3459">
        <v>115</v>
      </c>
      <c r="D3459">
        <v>432</v>
      </c>
      <c r="E3459">
        <v>977</v>
      </c>
      <c r="F3459">
        <v>11201401</v>
      </c>
      <c r="G3459">
        <v>11289600</v>
      </c>
      <c r="H3459">
        <f t="shared" si="108"/>
        <v>254.00002267573697</v>
      </c>
      <c r="I3459">
        <f t="shared" si="109"/>
        <v>256</v>
      </c>
      <c r="J3459" t="s">
        <v>25</v>
      </c>
      <c r="K3459">
        <v>4</v>
      </c>
      <c r="L3459" t="e">
        <f t="array" ref="L3459">VLOOKUP(J3459:$J$3871&amp;K3459:$K$3871,CHOOSE({1,2},#REF!&amp;#REF!,#REF!),2,0)</f>
        <v>#N/A</v>
      </c>
      <c r="M3459">
        <v>0</v>
      </c>
      <c r="N3459">
        <v>1</v>
      </c>
      <c r="O3459" t="s">
        <v>23</v>
      </c>
      <c r="P3459">
        <v>0</v>
      </c>
      <c r="Q3459">
        <v>0</v>
      </c>
      <c r="R3459">
        <v>0</v>
      </c>
      <c r="S3459">
        <v>1</v>
      </c>
      <c r="T3459">
        <v>0</v>
      </c>
      <c r="U3459">
        <v>1</v>
      </c>
      <c r="V3459">
        <v>0</v>
      </c>
      <c r="W3459">
        <v>1</v>
      </c>
      <c r="X3459">
        <v>1</v>
      </c>
      <c r="Y3459">
        <v>0</v>
      </c>
      <c r="Z3459">
        <v>0</v>
      </c>
      <c r="AA3459" t="s">
        <v>4162</v>
      </c>
      <c r="AB3459" t="s">
        <v>6712</v>
      </c>
      <c r="AC3459" t="s">
        <v>4162</v>
      </c>
      <c r="AD3459" t="e">
        <f>VLOOKUP(AB3459,#REF!,2,FALSE)</f>
        <v>#REF!</v>
      </c>
      <c r="AE3459" t="e">
        <f>RIGHT(#REF!,(FIND("Complex",#REF!,1)-3))</f>
        <v>#REF!</v>
      </c>
    </row>
    <row r="3460" spans="1:31" x14ac:dyDescent="0.25">
      <c r="A3460">
        <v>175</v>
      </c>
      <c r="B3460" t="s">
        <v>82</v>
      </c>
      <c r="C3460">
        <v>115</v>
      </c>
      <c r="D3460">
        <v>74</v>
      </c>
      <c r="E3460">
        <v>175</v>
      </c>
      <c r="F3460">
        <v>4674601</v>
      </c>
      <c r="G3460">
        <v>4762800</v>
      </c>
      <c r="H3460">
        <f t="shared" si="108"/>
        <v>106.00002267573696</v>
      </c>
      <c r="I3460">
        <f t="shared" si="109"/>
        <v>108</v>
      </c>
      <c r="J3460" t="s">
        <v>25</v>
      </c>
      <c r="K3460">
        <v>4</v>
      </c>
      <c r="L3460" t="e">
        <f t="array" ref="L3460">VLOOKUP(J3460:$J$3871&amp;K3460:$K$3871,CHOOSE({1,2},#REF!&amp;#REF!,#REF!),2,0)</f>
        <v>#N/A</v>
      </c>
      <c r="M3460">
        <v>0</v>
      </c>
      <c r="N3460">
        <v>1</v>
      </c>
      <c r="O3460" t="s">
        <v>23</v>
      </c>
      <c r="P3460">
        <v>0</v>
      </c>
      <c r="Q3460">
        <v>0</v>
      </c>
      <c r="R3460">
        <v>1</v>
      </c>
      <c r="S3460">
        <v>1</v>
      </c>
      <c r="T3460">
        <v>0</v>
      </c>
      <c r="U3460">
        <v>0</v>
      </c>
      <c r="V3460">
        <v>0</v>
      </c>
      <c r="W3460">
        <v>1</v>
      </c>
      <c r="X3460">
        <v>1</v>
      </c>
      <c r="Y3460">
        <v>0</v>
      </c>
      <c r="Z3460">
        <v>0</v>
      </c>
      <c r="AA3460" t="s">
        <v>4809</v>
      </c>
      <c r="AB3460" t="s">
        <v>7114</v>
      </c>
      <c r="AC3460" t="s">
        <v>4809</v>
      </c>
      <c r="AD3460" t="e">
        <f>VLOOKUP(AB3460,#REF!,2,FALSE)</f>
        <v>#REF!</v>
      </c>
      <c r="AE3460" t="e">
        <f>RIGHT(#REF!,(FIND("Complex",#REF!,1)-3))</f>
        <v>#REF!</v>
      </c>
    </row>
    <row r="3461" spans="1:31" x14ac:dyDescent="0.25">
      <c r="A3461">
        <v>127</v>
      </c>
      <c r="B3461" t="s">
        <v>285</v>
      </c>
      <c r="C3461">
        <v>116</v>
      </c>
      <c r="D3461">
        <v>57</v>
      </c>
      <c r="E3461">
        <v>127</v>
      </c>
      <c r="F3461">
        <v>2205001</v>
      </c>
      <c r="G3461">
        <v>2293200</v>
      </c>
      <c r="H3461">
        <f t="shared" si="108"/>
        <v>50.000022675736965</v>
      </c>
      <c r="I3461">
        <f t="shared" si="109"/>
        <v>52</v>
      </c>
      <c r="J3461" t="s">
        <v>25</v>
      </c>
      <c r="K3461">
        <v>4</v>
      </c>
      <c r="L3461" t="e">
        <f t="array" ref="L3461">VLOOKUP(J3461:$J$3871&amp;K3461:$K$3871,CHOOSE({1,2},#REF!&amp;#REF!,#REF!),2,0)</f>
        <v>#N/A</v>
      </c>
      <c r="M3461">
        <v>0</v>
      </c>
      <c r="N3461">
        <v>1</v>
      </c>
      <c r="O3461" t="s">
        <v>23</v>
      </c>
      <c r="P3461">
        <v>1</v>
      </c>
      <c r="Q3461">
        <v>1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1</v>
      </c>
      <c r="Y3461">
        <v>0</v>
      </c>
      <c r="Z3461">
        <v>0</v>
      </c>
      <c r="AA3461" t="s">
        <v>3880</v>
      </c>
      <c r="AB3461" t="s">
        <v>2271</v>
      </c>
      <c r="AC3461" t="s">
        <v>3880</v>
      </c>
      <c r="AD3461" t="e">
        <f>VLOOKUP(AB3461,#REF!,2,FALSE)</f>
        <v>#REF!</v>
      </c>
      <c r="AE3461" t="e">
        <f>RIGHT(#REF!,(FIND("Complex",#REF!,1)-4))</f>
        <v>#REF!</v>
      </c>
    </row>
    <row r="3462" spans="1:31" x14ac:dyDescent="0.25">
      <c r="A3462">
        <v>1475</v>
      </c>
      <c r="B3462" t="s">
        <v>285</v>
      </c>
      <c r="C3462">
        <v>116</v>
      </c>
      <c r="D3462">
        <v>646</v>
      </c>
      <c r="E3462">
        <v>1475</v>
      </c>
      <c r="F3462">
        <v>6703201</v>
      </c>
      <c r="G3462">
        <v>6791400</v>
      </c>
      <c r="H3462">
        <f t="shared" si="108"/>
        <v>152.00002267573697</v>
      </c>
      <c r="I3462">
        <f t="shared" si="109"/>
        <v>154</v>
      </c>
      <c r="J3462" t="s">
        <v>25</v>
      </c>
      <c r="K3462">
        <v>4</v>
      </c>
      <c r="L3462" t="e">
        <f t="array" ref="L3462">VLOOKUP(J3462:$J$3871&amp;K3462:$K$3871,CHOOSE({1,2},#REF!&amp;#REF!,#REF!),2,0)</f>
        <v>#N/A</v>
      </c>
      <c r="M3462">
        <v>0</v>
      </c>
      <c r="N3462">
        <v>1</v>
      </c>
      <c r="O3462" t="s">
        <v>23</v>
      </c>
      <c r="P3462">
        <v>1</v>
      </c>
      <c r="Q3462">
        <v>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1</v>
      </c>
      <c r="Y3462">
        <v>0</v>
      </c>
      <c r="Z3462">
        <v>0</v>
      </c>
      <c r="AA3462" t="s">
        <v>4543</v>
      </c>
      <c r="AB3462" t="s">
        <v>6955</v>
      </c>
      <c r="AC3462" t="s">
        <v>4543</v>
      </c>
      <c r="AD3462" t="e">
        <f>VLOOKUP(AB3462,#REF!,2,FALSE)</f>
        <v>#REF!</v>
      </c>
      <c r="AE3462" t="e">
        <f>RIGHT(#REF!,(FIND("Complex",#REF!,1)-4))</f>
        <v>#REF!</v>
      </c>
    </row>
    <row r="3463" spans="1:31" x14ac:dyDescent="0.25">
      <c r="A3463">
        <v>944</v>
      </c>
      <c r="B3463" t="s">
        <v>285</v>
      </c>
      <c r="C3463">
        <v>116</v>
      </c>
      <c r="D3463">
        <v>413</v>
      </c>
      <c r="E3463">
        <v>944</v>
      </c>
      <c r="F3463">
        <v>6350401</v>
      </c>
      <c r="G3463">
        <v>6438600</v>
      </c>
      <c r="H3463">
        <f t="shared" si="108"/>
        <v>144.00002267573697</v>
      </c>
      <c r="I3463">
        <f t="shared" si="109"/>
        <v>146</v>
      </c>
      <c r="J3463" t="s">
        <v>25</v>
      </c>
      <c r="K3463">
        <v>4</v>
      </c>
      <c r="L3463" t="e">
        <f t="array" ref="L3463">VLOOKUP(J3463:$J$3871&amp;K3463:$K$3871,CHOOSE({1,2},#REF!&amp;#REF!,#REF!),2,0)</f>
        <v>#N/A</v>
      </c>
      <c r="M3463">
        <v>0</v>
      </c>
      <c r="N3463">
        <v>1</v>
      </c>
      <c r="O3463" t="s">
        <v>23</v>
      </c>
      <c r="P3463">
        <v>1</v>
      </c>
      <c r="Q3463">
        <v>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1</v>
      </c>
      <c r="Y3463">
        <v>0</v>
      </c>
      <c r="Z3463">
        <v>0</v>
      </c>
      <c r="AA3463" t="s">
        <v>4585</v>
      </c>
      <c r="AB3463" t="s">
        <v>6985</v>
      </c>
      <c r="AC3463" t="s">
        <v>4585</v>
      </c>
      <c r="AD3463" t="e">
        <f>VLOOKUP(AB3463,#REF!,2,FALSE)</f>
        <v>#REF!</v>
      </c>
      <c r="AE3463" t="e">
        <f>RIGHT(#REF!,(FIND("Complex",#REF!,1)-3))</f>
        <v>#REF!</v>
      </c>
    </row>
    <row r="3464" spans="1:31" x14ac:dyDescent="0.25">
      <c r="A3464">
        <v>1147</v>
      </c>
      <c r="B3464" t="s">
        <v>285</v>
      </c>
      <c r="C3464">
        <v>116</v>
      </c>
      <c r="D3464">
        <v>510</v>
      </c>
      <c r="E3464">
        <v>1147</v>
      </c>
      <c r="F3464">
        <v>6085801</v>
      </c>
      <c r="G3464">
        <v>6174000</v>
      </c>
      <c r="H3464">
        <f t="shared" si="108"/>
        <v>138.00002267573697</v>
      </c>
      <c r="I3464">
        <f t="shared" si="109"/>
        <v>140</v>
      </c>
      <c r="J3464" t="s">
        <v>25</v>
      </c>
      <c r="K3464">
        <v>4</v>
      </c>
      <c r="L3464" t="e">
        <f t="array" ref="L3464">VLOOKUP(J3464:$J$3871&amp;K3464:$K$3871,CHOOSE({1,2},#REF!&amp;#REF!,#REF!),2,0)</f>
        <v>#N/A</v>
      </c>
      <c r="M3464">
        <v>0</v>
      </c>
      <c r="N3464">
        <v>1</v>
      </c>
      <c r="O3464" t="s">
        <v>23</v>
      </c>
      <c r="P3464">
        <v>1</v>
      </c>
      <c r="Q3464">
        <v>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1</v>
      </c>
      <c r="Y3464">
        <v>0</v>
      </c>
      <c r="Z3464">
        <v>0</v>
      </c>
      <c r="AA3464" t="s">
        <v>4634</v>
      </c>
      <c r="AB3464" t="s">
        <v>7010</v>
      </c>
      <c r="AC3464" t="s">
        <v>4634</v>
      </c>
      <c r="AD3464" t="e">
        <f>VLOOKUP(AB3464,#REF!,2,FALSE)</f>
        <v>#REF!</v>
      </c>
      <c r="AE3464" t="e">
        <f>RIGHT(#REF!,(FIND("Complex",#REF!,1)-4))</f>
        <v>#REF!</v>
      </c>
    </row>
    <row r="3465" spans="1:31" x14ac:dyDescent="0.25">
      <c r="A3465">
        <v>733</v>
      </c>
      <c r="B3465" t="s">
        <v>285</v>
      </c>
      <c r="C3465">
        <v>116</v>
      </c>
      <c r="D3465">
        <v>321</v>
      </c>
      <c r="E3465">
        <v>733</v>
      </c>
      <c r="F3465">
        <v>4939201</v>
      </c>
      <c r="G3465">
        <v>5027400</v>
      </c>
      <c r="H3465">
        <f t="shared" si="108"/>
        <v>112.00002267573696</v>
      </c>
      <c r="I3465">
        <f t="shared" si="109"/>
        <v>114</v>
      </c>
      <c r="J3465" t="s">
        <v>25</v>
      </c>
      <c r="K3465">
        <v>4</v>
      </c>
      <c r="L3465" t="e">
        <f t="array" ref="L3465">VLOOKUP(J3465:$J$3871&amp;K3465:$K$3871,CHOOSE({1,2},#REF!&amp;#REF!,#REF!),2,0)</f>
        <v>#N/A</v>
      </c>
      <c r="M3465">
        <v>0</v>
      </c>
      <c r="N3465">
        <v>1</v>
      </c>
      <c r="O3465" t="s">
        <v>23</v>
      </c>
      <c r="P3465">
        <v>1</v>
      </c>
      <c r="Q3465">
        <v>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1</v>
      </c>
      <c r="Y3465">
        <v>0</v>
      </c>
      <c r="Z3465">
        <v>0</v>
      </c>
      <c r="AA3465" t="s">
        <v>4776</v>
      </c>
      <c r="AB3465" t="s">
        <v>7097</v>
      </c>
      <c r="AC3465" t="s">
        <v>4776</v>
      </c>
      <c r="AD3465" t="e">
        <f>VLOOKUP(AB3465,#REF!,2,FALSE)</f>
        <v>#REF!</v>
      </c>
      <c r="AE3465" t="e">
        <f>RIGHT(#REF!,(FIND("Complex",#REF!,1)-3))</f>
        <v>#REF!</v>
      </c>
    </row>
    <row r="3466" spans="1:31" x14ac:dyDescent="0.25">
      <c r="A3466">
        <v>1872</v>
      </c>
      <c r="B3466" t="s">
        <v>285</v>
      </c>
      <c r="C3466">
        <v>116</v>
      </c>
      <c r="D3466">
        <v>817</v>
      </c>
      <c r="E3466">
        <v>1872</v>
      </c>
      <c r="F3466">
        <v>4762801</v>
      </c>
      <c r="G3466">
        <v>4851000</v>
      </c>
      <c r="H3466">
        <f t="shared" si="108"/>
        <v>108.00002267573696</v>
      </c>
      <c r="I3466">
        <f t="shared" si="109"/>
        <v>110</v>
      </c>
      <c r="J3466" t="s">
        <v>25</v>
      </c>
      <c r="K3466">
        <v>4</v>
      </c>
      <c r="L3466" t="e">
        <f t="array" ref="L3466">VLOOKUP(J3466:$J$3871&amp;K3466:$K$3871,CHOOSE({1,2},#REF!&amp;#REF!,#REF!),2,0)</f>
        <v>#N/A</v>
      </c>
      <c r="M3466">
        <v>0</v>
      </c>
      <c r="N3466">
        <v>1</v>
      </c>
      <c r="O3466" t="s">
        <v>23</v>
      </c>
      <c r="P3466">
        <v>1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1</v>
      </c>
      <c r="Y3466">
        <v>0</v>
      </c>
      <c r="Z3466">
        <v>0</v>
      </c>
      <c r="AA3466" t="s">
        <v>4798</v>
      </c>
      <c r="AB3466" t="s">
        <v>2272</v>
      </c>
      <c r="AC3466" t="s">
        <v>4798</v>
      </c>
      <c r="AD3466" t="e">
        <f>VLOOKUP(AB3466,#REF!,2,FALSE)</f>
        <v>#REF!</v>
      </c>
      <c r="AE3466" t="e">
        <f>RIGHT(#REF!,(FIND("Complex",#REF!,1)-4))</f>
        <v>#REF!</v>
      </c>
    </row>
    <row r="3467" spans="1:31" x14ac:dyDescent="0.25">
      <c r="A3467">
        <v>427</v>
      </c>
      <c r="B3467" t="s">
        <v>44</v>
      </c>
      <c r="C3467">
        <v>117</v>
      </c>
      <c r="D3467">
        <v>181</v>
      </c>
      <c r="E3467">
        <v>427</v>
      </c>
      <c r="F3467">
        <v>264601</v>
      </c>
      <c r="G3467">
        <v>352800</v>
      </c>
      <c r="H3467">
        <f t="shared" si="108"/>
        <v>6.000022675736961</v>
      </c>
      <c r="I3467">
        <f t="shared" si="109"/>
        <v>8</v>
      </c>
      <c r="J3467" t="s">
        <v>25</v>
      </c>
      <c r="K3467">
        <v>4</v>
      </c>
      <c r="L3467" t="e">
        <f t="array" ref="L3467">VLOOKUP(J3467:$J$3871&amp;K3467:$K$3871,CHOOSE({1,2},#REF!&amp;#REF!,#REF!),2,0)</f>
        <v>#N/A</v>
      </c>
      <c r="M3467">
        <v>0</v>
      </c>
      <c r="N3467">
        <v>1</v>
      </c>
      <c r="O3467" t="s">
        <v>23</v>
      </c>
      <c r="P3467">
        <v>1</v>
      </c>
      <c r="Q3467">
        <v>1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1</v>
      </c>
      <c r="Y3467">
        <v>0</v>
      </c>
      <c r="Z3467">
        <v>0</v>
      </c>
      <c r="AA3467" t="s">
        <v>3813</v>
      </c>
      <c r="AB3467" t="s">
        <v>6487</v>
      </c>
      <c r="AC3467" t="s">
        <v>3813</v>
      </c>
      <c r="AD3467" t="e">
        <f>VLOOKUP(AB3467,#REF!,2,FALSE)</f>
        <v>#REF!</v>
      </c>
      <c r="AE3467" t="e">
        <f>RIGHT(#REF!,(FIND("Complex",#REF!,1)-5))</f>
        <v>#REF!</v>
      </c>
    </row>
    <row r="3468" spans="1:31" x14ac:dyDescent="0.25">
      <c r="A3468">
        <v>680</v>
      </c>
      <c r="B3468" t="s">
        <v>44</v>
      </c>
      <c r="C3468">
        <v>117</v>
      </c>
      <c r="D3468">
        <v>297</v>
      </c>
      <c r="E3468">
        <v>680</v>
      </c>
      <c r="F3468">
        <v>705601</v>
      </c>
      <c r="G3468">
        <v>793800</v>
      </c>
      <c r="H3468">
        <f t="shared" si="108"/>
        <v>16.000022675736961</v>
      </c>
      <c r="I3468">
        <f t="shared" si="109"/>
        <v>18</v>
      </c>
      <c r="J3468" t="s">
        <v>25</v>
      </c>
      <c r="K3468">
        <v>4</v>
      </c>
      <c r="L3468" t="e">
        <f t="array" ref="L3468">VLOOKUP(J3468:$J$3871&amp;K3468:$K$3871,CHOOSE({1,2},#REF!&amp;#REF!,#REF!),2,0)</f>
        <v>#N/A</v>
      </c>
      <c r="M3468">
        <v>0</v>
      </c>
      <c r="N3468">
        <v>1</v>
      </c>
      <c r="O3468" t="s">
        <v>23</v>
      </c>
      <c r="P3468">
        <v>1</v>
      </c>
      <c r="Q3468">
        <v>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1</v>
      </c>
      <c r="Y3468">
        <v>0</v>
      </c>
      <c r="Z3468">
        <v>0</v>
      </c>
      <c r="AA3468" t="s">
        <v>4503</v>
      </c>
      <c r="AB3468" t="s">
        <v>2277</v>
      </c>
      <c r="AC3468" t="s">
        <v>4503</v>
      </c>
      <c r="AD3468" t="e">
        <f>VLOOKUP(AB3468,#REF!,2,FALSE)</f>
        <v>#REF!</v>
      </c>
      <c r="AE3468" t="e">
        <f>RIGHT(#REF!,(FIND("Complex",#REF!,1)-4))</f>
        <v>#REF!</v>
      </c>
    </row>
    <row r="3469" spans="1:31" x14ac:dyDescent="0.25">
      <c r="A3469">
        <v>557</v>
      </c>
      <c r="B3469" t="s">
        <v>44</v>
      </c>
      <c r="C3469">
        <v>117</v>
      </c>
      <c r="D3469">
        <v>237</v>
      </c>
      <c r="E3469">
        <v>557</v>
      </c>
      <c r="F3469">
        <v>529201</v>
      </c>
      <c r="G3469">
        <v>617400</v>
      </c>
      <c r="H3469">
        <f t="shared" si="108"/>
        <v>12.000022675736961</v>
      </c>
      <c r="I3469">
        <f t="shared" si="109"/>
        <v>14</v>
      </c>
      <c r="J3469" t="s">
        <v>25</v>
      </c>
      <c r="K3469">
        <v>4</v>
      </c>
      <c r="L3469" t="e">
        <f t="array" ref="L3469">VLOOKUP(J3469:$J$3871&amp;K3469:$K$3871,CHOOSE({1,2},#REF!&amp;#REF!,#REF!),2,0)</f>
        <v>#N/A</v>
      </c>
      <c r="M3469">
        <v>0</v>
      </c>
      <c r="N3469">
        <v>1</v>
      </c>
      <c r="O3469" t="s">
        <v>23</v>
      </c>
      <c r="P3469">
        <v>1</v>
      </c>
      <c r="Q3469">
        <v>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1</v>
      </c>
      <c r="Y3469">
        <v>0</v>
      </c>
      <c r="Z3469">
        <v>0</v>
      </c>
      <c r="AA3469" t="s">
        <v>4742</v>
      </c>
      <c r="AB3469" t="s">
        <v>2278</v>
      </c>
      <c r="AC3469" t="s">
        <v>4742</v>
      </c>
      <c r="AD3469" t="e">
        <f>VLOOKUP(AB3469,#REF!,2,FALSE)</f>
        <v>#REF!</v>
      </c>
      <c r="AE3469" t="e">
        <f>RIGHT(#REF!,(FIND("Complex",#REF!,1)-4))</f>
        <v>#REF!</v>
      </c>
    </row>
    <row r="3470" spans="1:31" x14ac:dyDescent="0.25">
      <c r="A3470">
        <v>151</v>
      </c>
      <c r="B3470" t="s">
        <v>44</v>
      </c>
      <c r="C3470">
        <v>117</v>
      </c>
      <c r="D3470">
        <v>67</v>
      </c>
      <c r="E3470">
        <v>151</v>
      </c>
      <c r="F3470">
        <v>441001</v>
      </c>
      <c r="G3470">
        <v>529200</v>
      </c>
      <c r="H3470">
        <f t="shared" si="108"/>
        <v>10.000022675736961</v>
      </c>
      <c r="I3470">
        <f t="shared" si="109"/>
        <v>12</v>
      </c>
      <c r="J3470" t="s">
        <v>25</v>
      </c>
      <c r="K3470">
        <v>4</v>
      </c>
      <c r="L3470" t="e">
        <f t="array" ref="L3470">VLOOKUP(J3470:$J$3871&amp;K3470:$K$3871,CHOOSE({1,2},#REF!&amp;#REF!,#REF!),2,0)</f>
        <v>#N/A</v>
      </c>
      <c r="M3470">
        <v>0</v>
      </c>
      <c r="N3470">
        <v>1</v>
      </c>
      <c r="O3470" t="s">
        <v>23</v>
      </c>
      <c r="P3470">
        <v>1</v>
      </c>
      <c r="Q3470">
        <v>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1</v>
      </c>
      <c r="Y3470">
        <v>0</v>
      </c>
      <c r="Z3470">
        <v>0</v>
      </c>
      <c r="AA3470" t="s">
        <v>4866</v>
      </c>
      <c r="AB3470" t="s">
        <v>2279</v>
      </c>
      <c r="AC3470" t="s">
        <v>4866</v>
      </c>
      <c r="AD3470" t="e">
        <f>VLOOKUP(AB3470,#REF!,2,FALSE)</f>
        <v>#REF!</v>
      </c>
      <c r="AE3470" t="e">
        <f>RIGHT(#REF!,(FIND("Complex",#REF!,1)-4))</f>
        <v>#REF!</v>
      </c>
    </row>
    <row r="3471" spans="1:31" x14ac:dyDescent="0.25">
      <c r="A3471">
        <v>440</v>
      </c>
      <c r="B3471" t="s">
        <v>44</v>
      </c>
      <c r="C3471">
        <v>117</v>
      </c>
      <c r="D3471">
        <v>184</v>
      </c>
      <c r="E3471">
        <v>440</v>
      </c>
      <c r="F3471">
        <v>1</v>
      </c>
      <c r="G3471">
        <v>88200</v>
      </c>
      <c r="H3471">
        <f t="shared" si="108"/>
        <v>2.2675736961451248E-5</v>
      </c>
      <c r="I3471">
        <f t="shared" si="109"/>
        <v>2</v>
      </c>
      <c r="J3471" t="s">
        <v>25</v>
      </c>
      <c r="K3471">
        <v>4</v>
      </c>
      <c r="L3471" t="e">
        <f t="array" ref="L3471">VLOOKUP(J3471:$J$3871&amp;K3471:$K$3871,CHOOSE({1,2},#REF!&amp;#REF!,#REF!),2,0)</f>
        <v>#N/A</v>
      </c>
      <c r="M3471">
        <v>0</v>
      </c>
      <c r="N3471">
        <v>1</v>
      </c>
      <c r="O3471" t="s">
        <v>23</v>
      </c>
      <c r="P3471">
        <v>1</v>
      </c>
      <c r="Q3471">
        <v>1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1</v>
      </c>
      <c r="Y3471">
        <v>0</v>
      </c>
      <c r="Z3471">
        <v>0</v>
      </c>
      <c r="AA3471" t="s">
        <v>4880</v>
      </c>
      <c r="AB3471" t="s">
        <v>2280</v>
      </c>
      <c r="AC3471" t="s">
        <v>4880</v>
      </c>
      <c r="AD3471" t="e">
        <f>VLOOKUP(AB3471,#REF!,2,FALSE)</f>
        <v>#REF!</v>
      </c>
      <c r="AE3471" t="e">
        <f>RIGHT(#REF!,(FIND("Complex",#REF!,1)-5))</f>
        <v>#REF!</v>
      </c>
    </row>
    <row r="3472" spans="1:31" x14ac:dyDescent="0.25">
      <c r="A3472">
        <v>1045</v>
      </c>
      <c r="B3472" t="s">
        <v>48</v>
      </c>
      <c r="C3472">
        <v>2</v>
      </c>
      <c r="D3472">
        <v>462</v>
      </c>
      <c r="E3472">
        <v>1045</v>
      </c>
      <c r="F3472">
        <v>617401</v>
      </c>
      <c r="G3472">
        <v>705600</v>
      </c>
      <c r="H3472">
        <f t="shared" si="108"/>
        <v>14.000022675736961</v>
      </c>
      <c r="I3472">
        <f t="shared" si="109"/>
        <v>16</v>
      </c>
      <c r="J3472" t="s">
        <v>25</v>
      </c>
      <c r="K3472">
        <v>3</v>
      </c>
      <c r="L3472" t="e">
        <f t="array" ref="L3472">VLOOKUP(J3472:$J$3871&amp;K3472:$K$3871,CHOOSE({1,2},#REF!&amp;#REF!,#REF!),2,0)</f>
        <v>#N/A</v>
      </c>
      <c r="M3472">
        <v>-15</v>
      </c>
      <c r="N3472">
        <v>0</v>
      </c>
      <c r="O3472" t="s">
        <v>7</v>
      </c>
      <c r="P3472">
        <v>0</v>
      </c>
      <c r="Q3472">
        <v>1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1</v>
      </c>
      <c r="Y3472">
        <v>0</v>
      </c>
      <c r="Z3472">
        <v>0</v>
      </c>
      <c r="AA3472" t="s">
        <v>5948</v>
      </c>
      <c r="AB3472" t="s">
        <v>7767</v>
      </c>
      <c r="AC3472" t="s">
        <v>5948</v>
      </c>
      <c r="AD3472" t="e">
        <f>VLOOKUP(AB3472,#REF!,2,FALSE)</f>
        <v>#REF!</v>
      </c>
      <c r="AE3472" t="e">
        <f>RIGHT(#REF!,(FIND("Complex",#REF!,1)-9))</f>
        <v>#REF!</v>
      </c>
    </row>
    <row r="3473" spans="1:31" x14ac:dyDescent="0.25">
      <c r="A3473">
        <v>985</v>
      </c>
      <c r="B3473" t="s">
        <v>96</v>
      </c>
      <c r="C3473">
        <v>3</v>
      </c>
      <c r="D3473">
        <v>437</v>
      </c>
      <c r="E3473">
        <v>985</v>
      </c>
      <c r="F3473">
        <v>2293201</v>
      </c>
      <c r="G3473">
        <v>2381400</v>
      </c>
      <c r="H3473">
        <f t="shared" si="108"/>
        <v>52.000022675736965</v>
      </c>
      <c r="I3473">
        <f t="shared" si="109"/>
        <v>54</v>
      </c>
      <c r="J3473" t="s">
        <v>25</v>
      </c>
      <c r="K3473">
        <v>3</v>
      </c>
      <c r="L3473" t="e">
        <f t="array" ref="L3473">VLOOKUP(J3473:$J$3871&amp;K3473:$K$3871,CHOOSE({1,2},#REF!&amp;#REF!,#REF!),2,0)</f>
        <v>#N/A</v>
      </c>
      <c r="M3473">
        <v>-15</v>
      </c>
      <c r="N3473">
        <v>0</v>
      </c>
      <c r="O3473" t="s">
        <v>7</v>
      </c>
      <c r="P3473">
        <v>0</v>
      </c>
      <c r="Q3473">
        <v>1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1</v>
      </c>
      <c r="Y3473">
        <v>0</v>
      </c>
      <c r="Z3473">
        <v>0</v>
      </c>
      <c r="AA3473" t="s">
        <v>5183</v>
      </c>
      <c r="AB3473" t="s">
        <v>7308</v>
      </c>
      <c r="AC3473" t="s">
        <v>5183</v>
      </c>
      <c r="AD3473" t="e">
        <f>VLOOKUP(AB3473,#REF!,2,FALSE)</f>
        <v>#REF!</v>
      </c>
      <c r="AE3473" t="e">
        <f>RIGHT(#REF!,(FIND("Complex",#REF!,1)-8))</f>
        <v>#REF!</v>
      </c>
    </row>
    <row r="3474" spans="1:31" x14ac:dyDescent="0.25">
      <c r="A3474">
        <v>584</v>
      </c>
      <c r="B3474" t="s">
        <v>96</v>
      </c>
      <c r="C3474">
        <v>3</v>
      </c>
      <c r="D3474">
        <v>250</v>
      </c>
      <c r="E3474">
        <v>584</v>
      </c>
      <c r="F3474">
        <v>1764001</v>
      </c>
      <c r="G3474">
        <v>1852200</v>
      </c>
      <c r="H3474">
        <f t="shared" si="108"/>
        <v>40.000022675736965</v>
      </c>
      <c r="I3474">
        <f t="shared" si="109"/>
        <v>42</v>
      </c>
      <c r="J3474" t="s">
        <v>25</v>
      </c>
      <c r="K3474">
        <v>3</v>
      </c>
      <c r="L3474" t="e">
        <f t="array" ref="L3474">VLOOKUP(J3474:$J$3871&amp;K3474:$K$3871,CHOOSE({1,2},#REF!&amp;#REF!,#REF!),2,0)</f>
        <v>#N/A</v>
      </c>
      <c r="M3474">
        <v>-15</v>
      </c>
      <c r="N3474">
        <v>0</v>
      </c>
      <c r="O3474" t="s">
        <v>7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1</v>
      </c>
      <c r="Y3474">
        <v>0</v>
      </c>
      <c r="Z3474">
        <v>0</v>
      </c>
      <c r="AA3474" t="s">
        <v>5262</v>
      </c>
      <c r="AB3474" t="s">
        <v>7344</v>
      </c>
      <c r="AC3474" t="s">
        <v>5262</v>
      </c>
      <c r="AD3474" t="e">
        <f>VLOOKUP(AB3474,#REF!,2,FALSE)</f>
        <v>#REF!</v>
      </c>
      <c r="AE3474" t="e">
        <f>RIGHT(#REF!,(FIND("Complex",#REF!,1)-8))</f>
        <v>#REF!</v>
      </c>
    </row>
    <row r="3475" spans="1:31" x14ac:dyDescent="0.25">
      <c r="A3475">
        <v>1976</v>
      </c>
      <c r="B3475" t="s">
        <v>96</v>
      </c>
      <c r="C3475">
        <v>3</v>
      </c>
      <c r="D3475">
        <v>855</v>
      </c>
      <c r="E3475">
        <v>1976</v>
      </c>
      <c r="F3475">
        <v>1411201</v>
      </c>
      <c r="G3475">
        <v>1499400</v>
      </c>
      <c r="H3475">
        <f t="shared" si="108"/>
        <v>32.000022675736965</v>
      </c>
      <c r="I3475">
        <f t="shared" si="109"/>
        <v>34</v>
      </c>
      <c r="J3475" t="s">
        <v>25</v>
      </c>
      <c r="K3475">
        <v>3</v>
      </c>
      <c r="L3475" t="e">
        <f t="array" ref="L3475">VLOOKUP(J3475:$J$3871&amp;K3475:$K$3871,CHOOSE({1,2},#REF!&amp;#REF!,#REF!),2,0)</f>
        <v>#N/A</v>
      </c>
      <c r="M3475">
        <v>-15</v>
      </c>
      <c r="N3475">
        <v>0</v>
      </c>
      <c r="O3475" t="s">
        <v>7</v>
      </c>
      <c r="P3475">
        <v>0</v>
      </c>
      <c r="Q3475">
        <v>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1</v>
      </c>
      <c r="Y3475">
        <v>0</v>
      </c>
      <c r="Z3475">
        <v>0</v>
      </c>
      <c r="AA3475" t="s">
        <v>5364</v>
      </c>
      <c r="AB3475" t="s">
        <v>7399</v>
      </c>
      <c r="AC3475" t="s">
        <v>5364</v>
      </c>
      <c r="AD3475" t="e">
        <f>VLOOKUP(AB3475,#REF!,2,FALSE)</f>
        <v>#REF!</v>
      </c>
      <c r="AE3475" t="e">
        <f>RIGHT(#REF!,(FIND("Complex",#REF!,1)-9))</f>
        <v>#REF!</v>
      </c>
    </row>
    <row r="3476" spans="1:31" x14ac:dyDescent="0.25">
      <c r="A3476">
        <v>520</v>
      </c>
      <c r="B3476" t="s">
        <v>96</v>
      </c>
      <c r="C3476">
        <v>3</v>
      </c>
      <c r="D3476">
        <v>219</v>
      </c>
      <c r="E3476">
        <v>520</v>
      </c>
      <c r="F3476">
        <v>1323001</v>
      </c>
      <c r="G3476">
        <v>1411200</v>
      </c>
      <c r="H3476">
        <f t="shared" si="108"/>
        <v>30.000022675736961</v>
      </c>
      <c r="I3476">
        <f t="shared" si="109"/>
        <v>32</v>
      </c>
      <c r="J3476" t="s">
        <v>25</v>
      </c>
      <c r="K3476">
        <v>3</v>
      </c>
      <c r="L3476" t="e">
        <f t="array" ref="L3476">VLOOKUP(J3476:$J$3871&amp;K3476:$K$3871,CHOOSE({1,2},#REF!&amp;#REF!,#REF!),2,0)</f>
        <v>#N/A</v>
      </c>
      <c r="M3476">
        <v>-15</v>
      </c>
      <c r="N3476">
        <v>0</v>
      </c>
      <c r="O3476" t="s">
        <v>7</v>
      </c>
      <c r="P3476">
        <v>0</v>
      </c>
      <c r="Q3476">
        <v>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1</v>
      </c>
      <c r="Y3476">
        <v>0</v>
      </c>
      <c r="Z3476">
        <v>0</v>
      </c>
      <c r="AA3476" t="s">
        <v>5385</v>
      </c>
      <c r="AB3476" t="s">
        <v>387</v>
      </c>
      <c r="AC3476" t="s">
        <v>5385</v>
      </c>
      <c r="AD3476" t="e">
        <f>VLOOKUP(AB3476,#REF!,2,FALSE)</f>
        <v>#REF!</v>
      </c>
      <c r="AE3476" t="e">
        <f>RIGHT(#REF!,(FIND("Complex",#REF!,1)-8))</f>
        <v>#REF!</v>
      </c>
    </row>
    <row r="3477" spans="1:31" x14ac:dyDescent="0.25">
      <c r="A3477">
        <v>2190</v>
      </c>
      <c r="B3477" t="s">
        <v>96</v>
      </c>
      <c r="C3477">
        <v>3</v>
      </c>
      <c r="D3477">
        <v>910</v>
      </c>
      <c r="E3477">
        <v>2190</v>
      </c>
      <c r="F3477">
        <v>1234801</v>
      </c>
      <c r="G3477">
        <v>1323000</v>
      </c>
      <c r="H3477">
        <f t="shared" si="108"/>
        <v>28.000022675736961</v>
      </c>
      <c r="I3477">
        <f t="shared" si="109"/>
        <v>30</v>
      </c>
      <c r="J3477" t="s">
        <v>25</v>
      </c>
      <c r="K3477">
        <v>3</v>
      </c>
      <c r="L3477" t="e">
        <f t="array" ref="L3477">VLOOKUP(J3477:$J$3871&amp;K3477:$K$3871,CHOOSE({1,2},#REF!&amp;#REF!,#REF!),2,0)</f>
        <v>#N/A</v>
      </c>
      <c r="M3477">
        <v>-15</v>
      </c>
      <c r="N3477">
        <v>0</v>
      </c>
      <c r="O3477" t="s">
        <v>7</v>
      </c>
      <c r="P3477">
        <v>0</v>
      </c>
      <c r="Q3477">
        <v>1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1</v>
      </c>
      <c r="Y3477">
        <v>0</v>
      </c>
      <c r="Z3477">
        <v>0</v>
      </c>
      <c r="AA3477" t="s">
        <v>5417</v>
      </c>
      <c r="AB3477" t="s">
        <v>7431</v>
      </c>
      <c r="AC3477" t="s">
        <v>5417</v>
      </c>
      <c r="AD3477" t="e">
        <f>VLOOKUP(AB3477,#REF!,2,FALSE)</f>
        <v>#REF!</v>
      </c>
      <c r="AE3477" t="e">
        <f>RIGHT(#REF!,(FIND("Complex",#REF!,1)-9))</f>
        <v>#REF!</v>
      </c>
    </row>
    <row r="3478" spans="1:31" x14ac:dyDescent="0.25">
      <c r="A3478">
        <v>1062</v>
      </c>
      <c r="B3478" t="s">
        <v>96</v>
      </c>
      <c r="C3478">
        <v>3</v>
      </c>
      <c r="D3478">
        <v>470</v>
      </c>
      <c r="E3478">
        <v>1062</v>
      </c>
      <c r="F3478">
        <v>1146601</v>
      </c>
      <c r="G3478">
        <v>1234800</v>
      </c>
      <c r="H3478">
        <f t="shared" si="108"/>
        <v>26.000022675736961</v>
      </c>
      <c r="I3478">
        <f t="shared" si="109"/>
        <v>28</v>
      </c>
      <c r="J3478" t="s">
        <v>25</v>
      </c>
      <c r="K3478">
        <v>3</v>
      </c>
      <c r="L3478" t="e">
        <f t="array" ref="L3478">VLOOKUP(J3478:$J$3871&amp;K3478:$K$3871,CHOOSE({1,2},#REF!&amp;#REF!,#REF!),2,0)</f>
        <v>#N/A</v>
      </c>
      <c r="M3478">
        <v>-15</v>
      </c>
      <c r="N3478">
        <v>0</v>
      </c>
      <c r="O3478" t="s">
        <v>7</v>
      </c>
      <c r="P3478">
        <v>0</v>
      </c>
      <c r="Q3478">
        <v>1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1</v>
      </c>
      <c r="Y3478">
        <v>0</v>
      </c>
      <c r="Z3478">
        <v>0</v>
      </c>
      <c r="AA3478" t="s">
        <v>5468</v>
      </c>
      <c r="AB3478" t="s">
        <v>7465</v>
      </c>
      <c r="AC3478" t="s">
        <v>5468</v>
      </c>
      <c r="AD3478" t="e">
        <f>VLOOKUP(AB3478,#REF!,2,FALSE)</f>
        <v>#REF!</v>
      </c>
      <c r="AE3478" t="e">
        <f>RIGHT(#REF!,(FIND("Complex",#REF!,1)-9))</f>
        <v>#REF!</v>
      </c>
    </row>
    <row r="3479" spans="1:31" x14ac:dyDescent="0.25">
      <c r="A3479">
        <v>2287</v>
      </c>
      <c r="B3479" t="s">
        <v>96</v>
      </c>
      <c r="C3479">
        <v>3</v>
      </c>
      <c r="D3479">
        <v>936</v>
      </c>
      <c r="E3479">
        <v>2287</v>
      </c>
      <c r="F3479">
        <v>8114401</v>
      </c>
      <c r="G3479">
        <v>8202600</v>
      </c>
      <c r="H3479">
        <f t="shared" si="108"/>
        <v>184.00002267573697</v>
      </c>
      <c r="I3479">
        <f t="shared" si="109"/>
        <v>186</v>
      </c>
      <c r="J3479" t="s">
        <v>25</v>
      </c>
      <c r="K3479">
        <v>3</v>
      </c>
      <c r="L3479" t="e">
        <f t="array" ref="L3479">VLOOKUP(J3479:$J$3871&amp;K3479:$K$3871,CHOOSE({1,2},#REF!&amp;#REF!,#REF!),2,0)</f>
        <v>#N/A</v>
      </c>
      <c r="M3479">
        <v>-15</v>
      </c>
      <c r="N3479">
        <v>0</v>
      </c>
      <c r="O3479" t="s">
        <v>7</v>
      </c>
      <c r="P3479">
        <v>0</v>
      </c>
      <c r="Q3479">
        <v>1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1</v>
      </c>
      <c r="X3479">
        <v>0</v>
      </c>
      <c r="Y3479">
        <v>0</v>
      </c>
      <c r="Z3479">
        <v>0</v>
      </c>
      <c r="AA3479" t="s">
        <v>5690</v>
      </c>
      <c r="AB3479" t="s">
        <v>388</v>
      </c>
      <c r="AC3479" t="s">
        <v>5690</v>
      </c>
      <c r="AD3479" t="e">
        <f>VLOOKUP(AB3479,#REF!,2,FALSE)</f>
        <v>#REF!</v>
      </c>
      <c r="AE3479" t="e">
        <f>RIGHT(#REF!,(FIND("Complex",#REF!,1)-8))</f>
        <v>#REF!</v>
      </c>
    </row>
    <row r="3480" spans="1:31" x14ac:dyDescent="0.25">
      <c r="A3480">
        <v>836</v>
      </c>
      <c r="B3480" t="s">
        <v>96</v>
      </c>
      <c r="C3480">
        <v>3</v>
      </c>
      <c r="D3480">
        <v>377</v>
      </c>
      <c r="E3480">
        <v>836</v>
      </c>
      <c r="F3480">
        <v>7144201</v>
      </c>
      <c r="G3480">
        <v>7232400</v>
      </c>
      <c r="H3480">
        <f t="shared" si="108"/>
        <v>162.00002267573697</v>
      </c>
      <c r="I3480">
        <f t="shared" si="109"/>
        <v>164</v>
      </c>
      <c r="J3480" t="s">
        <v>25</v>
      </c>
      <c r="K3480">
        <v>3</v>
      </c>
      <c r="L3480" t="e">
        <f t="array" ref="L3480">VLOOKUP(J3480:$J$3871&amp;K3480:$K$3871,CHOOSE({1,2},#REF!&amp;#REF!,#REF!),2,0)</f>
        <v>#N/A</v>
      </c>
      <c r="M3480">
        <v>-15</v>
      </c>
      <c r="N3480">
        <v>0</v>
      </c>
      <c r="O3480" t="s">
        <v>7</v>
      </c>
      <c r="P3480">
        <v>0</v>
      </c>
      <c r="Q3480">
        <v>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1</v>
      </c>
      <c r="Y3480">
        <v>0</v>
      </c>
      <c r="Z3480">
        <v>0</v>
      </c>
      <c r="AA3480" t="s">
        <v>5792</v>
      </c>
      <c r="AB3480" t="s">
        <v>389</v>
      </c>
      <c r="AC3480" t="s">
        <v>5792</v>
      </c>
      <c r="AD3480" t="e">
        <f>VLOOKUP(AB3480,#REF!,2,FALSE)</f>
        <v>#REF!</v>
      </c>
      <c r="AE3480" t="e">
        <f>RIGHT(#REF!,(FIND("Complex",#REF!,1)-7))</f>
        <v>#REF!</v>
      </c>
    </row>
    <row r="3481" spans="1:31" x14ac:dyDescent="0.25">
      <c r="A3481">
        <v>2107</v>
      </c>
      <c r="B3481" t="s">
        <v>68</v>
      </c>
      <c r="C3481">
        <v>4</v>
      </c>
      <c r="D3481">
        <v>890</v>
      </c>
      <c r="E3481">
        <v>2107</v>
      </c>
      <c r="F3481">
        <v>2469601</v>
      </c>
      <c r="G3481">
        <v>2557800</v>
      </c>
      <c r="H3481">
        <f t="shared" si="108"/>
        <v>56.000022675736965</v>
      </c>
      <c r="I3481">
        <f t="shared" si="109"/>
        <v>58</v>
      </c>
      <c r="J3481" t="s">
        <v>25</v>
      </c>
      <c r="K3481">
        <v>3</v>
      </c>
      <c r="L3481" t="e">
        <f t="array" ref="L3481">VLOOKUP(J3481:$J$3871&amp;K3481:$K$3871,CHOOSE({1,2},#REF!&amp;#REF!,#REF!),2,0)</f>
        <v>#N/A</v>
      </c>
      <c r="M3481">
        <v>-15</v>
      </c>
      <c r="N3481">
        <v>0</v>
      </c>
      <c r="O3481" t="s">
        <v>7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1</v>
      </c>
      <c r="Y3481">
        <v>0</v>
      </c>
      <c r="Z3481">
        <v>0</v>
      </c>
      <c r="AA3481" t="s">
        <v>5155</v>
      </c>
      <c r="AB3481" t="s">
        <v>7295</v>
      </c>
      <c r="AC3481" t="s">
        <v>5155</v>
      </c>
      <c r="AD3481" t="e">
        <f>VLOOKUP(AB3481,#REF!,2,FALSE)</f>
        <v>#REF!</v>
      </c>
      <c r="AE3481" t="e">
        <f>RIGHT(#REF!,(FIND("Complex",#REF!,1)-9))</f>
        <v>#REF!</v>
      </c>
    </row>
    <row r="3482" spans="1:31" x14ac:dyDescent="0.25">
      <c r="A3482">
        <v>1922</v>
      </c>
      <c r="B3482" t="s">
        <v>68</v>
      </c>
      <c r="C3482">
        <v>4</v>
      </c>
      <c r="D3482">
        <v>831</v>
      </c>
      <c r="E3482">
        <v>1922</v>
      </c>
      <c r="F3482">
        <v>970201</v>
      </c>
      <c r="G3482">
        <v>1058400</v>
      </c>
      <c r="H3482">
        <f t="shared" si="108"/>
        <v>22.000022675736961</v>
      </c>
      <c r="I3482">
        <f t="shared" si="109"/>
        <v>24</v>
      </c>
      <c r="J3482" t="s">
        <v>25</v>
      </c>
      <c r="K3482">
        <v>3</v>
      </c>
      <c r="L3482" t="e">
        <f t="array" ref="L3482">VLOOKUP(J3482:$J$3871&amp;K3482:$K$3871,CHOOSE({1,2},#REF!&amp;#REF!,#REF!),2,0)</f>
        <v>#N/A</v>
      </c>
      <c r="M3482">
        <v>-15</v>
      </c>
      <c r="N3482">
        <v>0</v>
      </c>
      <c r="O3482" t="s">
        <v>7</v>
      </c>
      <c r="P3482">
        <v>0</v>
      </c>
      <c r="Q3482">
        <v>1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1</v>
      </c>
      <c r="Y3482">
        <v>0</v>
      </c>
      <c r="Z3482">
        <v>0</v>
      </c>
      <c r="AA3482" t="s">
        <v>5581</v>
      </c>
      <c r="AB3482" t="s">
        <v>7541</v>
      </c>
      <c r="AC3482" t="s">
        <v>5581</v>
      </c>
      <c r="AD3482" t="e">
        <f>VLOOKUP(AB3482,#REF!,2,FALSE)</f>
        <v>#REF!</v>
      </c>
      <c r="AE3482" t="e">
        <f>RIGHT(#REF!,(FIND("Complex",#REF!,1)-9))</f>
        <v>#REF!</v>
      </c>
    </row>
    <row r="3483" spans="1:31" x14ac:dyDescent="0.25">
      <c r="A3483">
        <v>2093</v>
      </c>
      <c r="B3483" t="s">
        <v>89</v>
      </c>
      <c r="C3483">
        <v>8</v>
      </c>
      <c r="D3483">
        <v>885</v>
      </c>
      <c r="E3483">
        <v>2093</v>
      </c>
      <c r="F3483">
        <v>8996401</v>
      </c>
      <c r="G3483">
        <v>9084600</v>
      </c>
      <c r="H3483">
        <f t="shared" si="108"/>
        <v>204.00002267573697</v>
      </c>
      <c r="I3483">
        <f t="shared" si="109"/>
        <v>206</v>
      </c>
      <c r="J3483" t="s">
        <v>25</v>
      </c>
      <c r="K3483">
        <v>3</v>
      </c>
      <c r="L3483" t="e">
        <f t="array" ref="L3483">VLOOKUP(J3483:$J$3871&amp;K3483:$K$3871,CHOOSE({1,2},#REF!&amp;#REF!,#REF!),2,0)</f>
        <v>#N/A</v>
      </c>
      <c r="M3483">
        <v>-15</v>
      </c>
      <c r="N3483">
        <v>0</v>
      </c>
      <c r="O3483" t="s">
        <v>7</v>
      </c>
      <c r="P3483">
        <v>0</v>
      </c>
      <c r="Q3483">
        <v>0</v>
      </c>
      <c r="R3483">
        <v>0</v>
      </c>
      <c r="S3483">
        <v>0</v>
      </c>
      <c r="T3483">
        <v>1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1</v>
      </c>
      <c r="AA3483" t="s">
        <v>5622</v>
      </c>
      <c r="AB3483" t="s">
        <v>7569</v>
      </c>
      <c r="AC3483" t="s">
        <v>5622</v>
      </c>
      <c r="AD3483" t="e">
        <f>VLOOKUP(AB3483,#REF!,2,FALSE)</f>
        <v>#REF!</v>
      </c>
      <c r="AE3483" t="e">
        <f>RIGHT(#REF!,(FIND("Complex",#REF!,1)-8))</f>
        <v>#REF!</v>
      </c>
    </row>
    <row r="3484" spans="1:31" x14ac:dyDescent="0.25">
      <c r="A3484">
        <v>1460</v>
      </c>
      <c r="B3484" t="s">
        <v>89</v>
      </c>
      <c r="C3484">
        <v>8</v>
      </c>
      <c r="D3484">
        <v>638</v>
      </c>
      <c r="E3484">
        <v>1460</v>
      </c>
      <c r="F3484">
        <v>7144201</v>
      </c>
      <c r="G3484">
        <v>7232400</v>
      </c>
      <c r="H3484">
        <f t="shared" si="108"/>
        <v>162.00002267573697</v>
      </c>
      <c r="I3484">
        <f t="shared" si="109"/>
        <v>164</v>
      </c>
      <c r="J3484" t="s">
        <v>25</v>
      </c>
      <c r="K3484">
        <v>3</v>
      </c>
      <c r="L3484" t="e">
        <f t="array" ref="L3484">VLOOKUP(J3484:$J$3871&amp;K3484:$K$3871,CHOOSE({1,2},#REF!&amp;#REF!,#REF!),2,0)</f>
        <v>#N/A</v>
      </c>
      <c r="M3484">
        <v>-15</v>
      </c>
      <c r="N3484">
        <v>0</v>
      </c>
      <c r="O3484" t="s">
        <v>7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1</v>
      </c>
      <c r="Y3484">
        <v>0</v>
      </c>
      <c r="Z3484">
        <v>1</v>
      </c>
      <c r="AA3484" t="s">
        <v>5787</v>
      </c>
      <c r="AB3484" t="s">
        <v>7673</v>
      </c>
      <c r="AC3484" t="s">
        <v>5787</v>
      </c>
      <c r="AD3484" t="e">
        <f>VLOOKUP(AB3484,#REF!,2,FALSE)</f>
        <v>#REF!</v>
      </c>
      <c r="AE3484" t="e">
        <f>RIGHT(#REF!,(FIND("Complex",#REF!,1)-8))</f>
        <v>#REF!</v>
      </c>
    </row>
    <row r="3485" spans="1:31" x14ac:dyDescent="0.25">
      <c r="A3485">
        <v>748</v>
      </c>
      <c r="B3485" t="s">
        <v>234</v>
      </c>
      <c r="C3485">
        <v>10</v>
      </c>
      <c r="D3485">
        <v>332</v>
      </c>
      <c r="E3485">
        <v>748</v>
      </c>
      <c r="F3485">
        <v>4321801</v>
      </c>
      <c r="G3485">
        <v>4410000</v>
      </c>
      <c r="H3485">
        <f t="shared" si="108"/>
        <v>98.000022675736957</v>
      </c>
      <c r="I3485">
        <f t="shared" si="109"/>
        <v>100</v>
      </c>
      <c r="J3485" t="s">
        <v>25</v>
      </c>
      <c r="K3485">
        <v>3</v>
      </c>
      <c r="L3485" t="e">
        <f t="array" ref="L3485">VLOOKUP(J3485:$J$3871&amp;K3485:$K$3871,CHOOSE({1,2},#REF!&amp;#REF!,#REF!),2,0)</f>
        <v>#N/A</v>
      </c>
      <c r="M3485">
        <v>-15</v>
      </c>
      <c r="N3485">
        <v>0</v>
      </c>
      <c r="O3485" t="s">
        <v>7</v>
      </c>
      <c r="P3485">
        <v>0</v>
      </c>
      <c r="Q3485">
        <v>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1</v>
      </c>
      <c r="Y3485">
        <v>0</v>
      </c>
      <c r="Z3485">
        <v>0</v>
      </c>
      <c r="AA3485" t="s">
        <v>4890</v>
      </c>
      <c r="AB3485" t="s">
        <v>235</v>
      </c>
      <c r="AC3485" t="s">
        <v>4890</v>
      </c>
      <c r="AD3485" t="e">
        <f>VLOOKUP(AB3485,#REF!,2,FALSE)</f>
        <v>#REF!</v>
      </c>
      <c r="AE3485" t="e">
        <f>RIGHT(#REF!,(FIND("Complex",#REF!,1)-7))</f>
        <v>#REF!</v>
      </c>
    </row>
    <row r="3486" spans="1:31" x14ac:dyDescent="0.25">
      <c r="A3486">
        <v>2092</v>
      </c>
      <c r="B3486" t="s">
        <v>234</v>
      </c>
      <c r="C3486">
        <v>10</v>
      </c>
      <c r="D3486">
        <v>884</v>
      </c>
      <c r="E3486">
        <v>2092</v>
      </c>
      <c r="F3486">
        <v>352801</v>
      </c>
      <c r="G3486">
        <v>441000</v>
      </c>
      <c r="H3486">
        <f t="shared" si="108"/>
        <v>8.000022675736961</v>
      </c>
      <c r="I3486">
        <f t="shared" si="109"/>
        <v>10</v>
      </c>
      <c r="J3486" t="s">
        <v>25</v>
      </c>
      <c r="K3486">
        <v>3</v>
      </c>
      <c r="L3486" t="e">
        <f t="array" ref="L3486">VLOOKUP(J3486:$J$3871&amp;K3486:$K$3871,CHOOSE({1,2},#REF!&amp;#REF!,#REF!),2,0)</f>
        <v>#N/A</v>
      </c>
      <c r="M3486">
        <v>-15</v>
      </c>
      <c r="N3486">
        <v>0</v>
      </c>
      <c r="O3486" t="s">
        <v>7</v>
      </c>
      <c r="P3486">
        <v>0</v>
      </c>
      <c r="Q3486">
        <v>1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1</v>
      </c>
      <c r="Y3486">
        <v>0</v>
      </c>
      <c r="Z3486">
        <v>0</v>
      </c>
      <c r="AA3486" t="s">
        <v>4999</v>
      </c>
      <c r="AB3486" t="s">
        <v>7216</v>
      </c>
      <c r="AC3486" t="s">
        <v>4999</v>
      </c>
      <c r="AD3486" t="e">
        <f>VLOOKUP(AB3486,#REF!,2,FALSE)</f>
        <v>#REF!</v>
      </c>
      <c r="AE3486" t="e">
        <f>RIGHT(#REF!,(FIND("Complex",#REF!,1)-9))</f>
        <v>#REF!</v>
      </c>
    </row>
    <row r="3487" spans="1:31" x14ac:dyDescent="0.25">
      <c r="A3487">
        <v>1470</v>
      </c>
      <c r="B3487" t="s">
        <v>234</v>
      </c>
      <c r="C3487">
        <v>10</v>
      </c>
      <c r="D3487">
        <v>643</v>
      </c>
      <c r="E3487">
        <v>1470</v>
      </c>
      <c r="F3487">
        <v>2646001</v>
      </c>
      <c r="G3487">
        <v>2734200</v>
      </c>
      <c r="H3487">
        <f t="shared" si="108"/>
        <v>60.000022675736965</v>
      </c>
      <c r="I3487">
        <f t="shared" si="109"/>
        <v>62</v>
      </c>
      <c r="J3487" t="s">
        <v>25</v>
      </c>
      <c r="K3487">
        <v>3</v>
      </c>
      <c r="L3487" t="e">
        <f t="array" ref="L3487">VLOOKUP(J3487:$J$3871&amp;K3487:$K$3871,CHOOSE({1,2},#REF!&amp;#REF!,#REF!),2,0)</f>
        <v>#N/A</v>
      </c>
      <c r="M3487">
        <v>-15</v>
      </c>
      <c r="N3487">
        <v>0</v>
      </c>
      <c r="O3487" t="s">
        <v>7</v>
      </c>
      <c r="P3487">
        <v>0</v>
      </c>
      <c r="Q3487">
        <v>1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1</v>
      </c>
      <c r="Y3487">
        <v>0</v>
      </c>
      <c r="Z3487">
        <v>0</v>
      </c>
      <c r="AA3487" t="s">
        <v>5119</v>
      </c>
      <c r="AB3487" t="s">
        <v>7275</v>
      </c>
      <c r="AC3487" t="s">
        <v>5119</v>
      </c>
      <c r="AD3487" t="e">
        <f>VLOOKUP(AB3487,#REF!,2,FALSE)</f>
        <v>#REF!</v>
      </c>
      <c r="AE3487" t="e">
        <f>RIGHT(#REF!,(FIND("Complex",#REF!,1)-8))</f>
        <v>#REF!</v>
      </c>
    </row>
    <row r="3488" spans="1:31" x14ac:dyDescent="0.25">
      <c r="A3488">
        <v>97</v>
      </c>
      <c r="B3488" t="s">
        <v>234</v>
      </c>
      <c r="C3488">
        <v>10</v>
      </c>
      <c r="D3488">
        <v>46</v>
      </c>
      <c r="E3488">
        <v>97</v>
      </c>
      <c r="F3488">
        <v>176401</v>
      </c>
      <c r="G3488">
        <v>264600</v>
      </c>
      <c r="H3488">
        <f t="shared" si="108"/>
        <v>4.000022675736961</v>
      </c>
      <c r="I3488">
        <f t="shared" si="109"/>
        <v>6</v>
      </c>
      <c r="J3488" t="s">
        <v>25</v>
      </c>
      <c r="K3488">
        <v>3</v>
      </c>
      <c r="L3488" t="e">
        <f t="array" ref="L3488">VLOOKUP(J3488:$J$3871&amp;K3488:$K$3871,CHOOSE({1,2},#REF!&amp;#REF!,#REF!),2,0)</f>
        <v>#N/A</v>
      </c>
      <c r="M3488">
        <v>-15</v>
      </c>
      <c r="N3488">
        <v>0</v>
      </c>
      <c r="O3488" t="s">
        <v>7</v>
      </c>
      <c r="P3488">
        <v>0</v>
      </c>
      <c r="Q3488">
        <v>1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1</v>
      </c>
      <c r="Y3488">
        <v>0</v>
      </c>
      <c r="Z3488">
        <v>0</v>
      </c>
      <c r="AA3488" t="s">
        <v>5282</v>
      </c>
      <c r="AB3488" t="s">
        <v>7355</v>
      </c>
      <c r="AC3488" t="s">
        <v>5282</v>
      </c>
      <c r="AD3488" t="e">
        <f>VLOOKUP(AB3488,#REF!,2,FALSE)</f>
        <v>#REF!</v>
      </c>
      <c r="AE3488" t="e">
        <f>RIGHT(#REF!,(FIND("Complex",#REF!,1)-7))</f>
        <v>#REF!</v>
      </c>
    </row>
    <row r="3489" spans="1:31" x14ac:dyDescent="0.25">
      <c r="A3489">
        <v>1443</v>
      </c>
      <c r="B3489" t="s">
        <v>234</v>
      </c>
      <c r="C3489">
        <v>10</v>
      </c>
      <c r="D3489">
        <v>630</v>
      </c>
      <c r="E3489">
        <v>1443</v>
      </c>
      <c r="F3489">
        <v>4851001</v>
      </c>
      <c r="G3489">
        <v>4939200</v>
      </c>
      <c r="H3489">
        <f t="shared" si="108"/>
        <v>110.00002267573696</v>
      </c>
      <c r="I3489">
        <f t="shared" si="109"/>
        <v>112</v>
      </c>
      <c r="J3489" t="s">
        <v>25</v>
      </c>
      <c r="K3489">
        <v>3</v>
      </c>
      <c r="L3489" t="e">
        <f t="array" ref="L3489">VLOOKUP(J3489:$J$3871&amp;K3489:$K$3871,CHOOSE({1,2},#REF!&amp;#REF!,#REF!),2,0)</f>
        <v>#N/A</v>
      </c>
      <c r="M3489">
        <v>-15</v>
      </c>
      <c r="N3489">
        <v>0</v>
      </c>
      <c r="O3489" t="s">
        <v>7</v>
      </c>
      <c r="P3489">
        <v>0</v>
      </c>
      <c r="Q3489">
        <v>1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1</v>
      </c>
      <c r="Y3489">
        <v>0</v>
      </c>
      <c r="Z3489">
        <v>0</v>
      </c>
      <c r="AA3489" t="s">
        <v>6082</v>
      </c>
      <c r="AB3489" t="s">
        <v>520</v>
      </c>
      <c r="AC3489" t="s">
        <v>6082</v>
      </c>
      <c r="AD3489" t="e">
        <f>VLOOKUP(AB3489,#REF!,2,FALSE)</f>
        <v>#REF!</v>
      </c>
      <c r="AE3489" t="e">
        <f>RIGHT(#REF!,(FIND("Complex",#REF!,1)-7))</f>
        <v>#REF!</v>
      </c>
    </row>
    <row r="3490" spans="1:31" x14ac:dyDescent="0.25">
      <c r="A3490">
        <v>754</v>
      </c>
      <c r="B3490" t="s">
        <v>79</v>
      </c>
      <c r="C3490">
        <v>13</v>
      </c>
      <c r="D3490">
        <v>336</v>
      </c>
      <c r="E3490">
        <v>754</v>
      </c>
      <c r="F3490">
        <v>2646001</v>
      </c>
      <c r="G3490">
        <v>2734200</v>
      </c>
      <c r="H3490">
        <f t="shared" si="108"/>
        <v>60.000022675736965</v>
      </c>
      <c r="I3490">
        <f t="shared" si="109"/>
        <v>62</v>
      </c>
      <c r="J3490" t="s">
        <v>25</v>
      </c>
      <c r="K3490">
        <v>3</v>
      </c>
      <c r="L3490" t="e">
        <f t="array" ref="L3490">VLOOKUP(J3490:$J$3871&amp;K3490:$K$3871,CHOOSE({1,2},#REF!&amp;#REF!,#REF!),2,0)</f>
        <v>#N/A</v>
      </c>
      <c r="M3490">
        <v>-15</v>
      </c>
      <c r="N3490">
        <v>0</v>
      </c>
      <c r="O3490" t="s">
        <v>7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1</v>
      </c>
      <c r="Z3490">
        <v>0</v>
      </c>
      <c r="AA3490" t="s">
        <v>5117</v>
      </c>
      <c r="AB3490" t="s">
        <v>7273</v>
      </c>
      <c r="AC3490" t="s">
        <v>5117</v>
      </c>
      <c r="AD3490" t="e">
        <f>VLOOKUP(AB3490,#REF!,2,FALSE)</f>
        <v>#REF!</v>
      </c>
      <c r="AE3490" t="e">
        <f>RIGHT(#REF!,(FIND("Complex",#REF!,1)-7))</f>
        <v>#REF!</v>
      </c>
    </row>
    <row r="3491" spans="1:31" x14ac:dyDescent="0.25">
      <c r="A3491">
        <v>312</v>
      </c>
      <c r="B3491" t="s">
        <v>79</v>
      </c>
      <c r="C3491">
        <v>13</v>
      </c>
      <c r="D3491">
        <v>132</v>
      </c>
      <c r="E3491">
        <v>312</v>
      </c>
      <c r="F3491">
        <v>2293201</v>
      </c>
      <c r="G3491">
        <v>2381400</v>
      </c>
      <c r="H3491">
        <f t="shared" si="108"/>
        <v>52.000022675736965</v>
      </c>
      <c r="I3491">
        <f t="shared" si="109"/>
        <v>54</v>
      </c>
      <c r="J3491" t="s">
        <v>25</v>
      </c>
      <c r="K3491">
        <v>3</v>
      </c>
      <c r="L3491" t="e">
        <f t="array" ref="L3491">VLOOKUP(J3491:$J$3871&amp;K3491:$K$3871,CHOOSE({1,2},#REF!&amp;#REF!,#REF!),2,0)</f>
        <v>#N/A</v>
      </c>
      <c r="M3491">
        <v>-15</v>
      </c>
      <c r="N3491">
        <v>0</v>
      </c>
      <c r="O3491" t="s">
        <v>7</v>
      </c>
      <c r="P3491">
        <v>0</v>
      </c>
      <c r="Q3491">
        <v>1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1</v>
      </c>
      <c r="Z3491">
        <v>0</v>
      </c>
      <c r="AA3491" t="s">
        <v>5187</v>
      </c>
      <c r="AB3491" t="s">
        <v>570</v>
      </c>
      <c r="AC3491" t="s">
        <v>5187</v>
      </c>
      <c r="AD3491" t="e">
        <f>VLOOKUP(AB3491,#REF!,2,FALSE)</f>
        <v>#REF!</v>
      </c>
      <c r="AE3491" t="e">
        <f>RIGHT(#REF!,(FIND("Complex",#REF!,1)-7))</f>
        <v>#REF!</v>
      </c>
    </row>
    <row r="3492" spans="1:31" x14ac:dyDescent="0.25">
      <c r="A3492">
        <v>1780</v>
      </c>
      <c r="B3492" t="s">
        <v>28</v>
      </c>
      <c r="C3492">
        <v>14</v>
      </c>
      <c r="D3492">
        <v>773</v>
      </c>
      <c r="E3492">
        <v>1780</v>
      </c>
      <c r="F3492">
        <v>441001</v>
      </c>
      <c r="G3492">
        <v>529200</v>
      </c>
      <c r="H3492">
        <f t="shared" si="108"/>
        <v>10.000022675736961</v>
      </c>
      <c r="I3492">
        <f t="shared" si="109"/>
        <v>12</v>
      </c>
      <c r="J3492" t="s">
        <v>25</v>
      </c>
      <c r="K3492">
        <v>3</v>
      </c>
      <c r="L3492" t="e">
        <f t="array" ref="L3492">VLOOKUP(J3492:$J$3871&amp;K3492:$K$3871,CHOOSE({1,2},#REF!&amp;#REF!,#REF!),2,0)</f>
        <v>#N/A</v>
      </c>
      <c r="M3492">
        <v>-15</v>
      </c>
      <c r="N3492">
        <v>0</v>
      </c>
      <c r="O3492" t="s">
        <v>7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1</v>
      </c>
      <c r="Y3492">
        <v>0</v>
      </c>
      <c r="Z3492">
        <v>0</v>
      </c>
      <c r="AA3492" t="s">
        <v>6139</v>
      </c>
      <c r="AB3492" t="s">
        <v>7872</v>
      </c>
      <c r="AC3492" t="s">
        <v>6139</v>
      </c>
      <c r="AD3492" t="e">
        <f>VLOOKUP(AB3492,#REF!,2,FALSE)</f>
        <v>#REF!</v>
      </c>
      <c r="AE3492" t="e">
        <f>RIGHT(#REF!,(FIND("Complex",#REF!,1)-8))</f>
        <v>#REF!</v>
      </c>
    </row>
    <row r="3493" spans="1:31" x14ac:dyDescent="0.25">
      <c r="A3493">
        <v>2038</v>
      </c>
      <c r="B3493" t="s">
        <v>236</v>
      </c>
      <c r="C3493">
        <v>15</v>
      </c>
      <c r="D3493">
        <v>869</v>
      </c>
      <c r="E3493">
        <v>2038</v>
      </c>
      <c r="F3493">
        <v>4145401</v>
      </c>
      <c r="G3493">
        <v>4233600</v>
      </c>
      <c r="H3493">
        <f t="shared" si="108"/>
        <v>94.000022675736957</v>
      </c>
      <c r="I3493">
        <f t="shared" si="109"/>
        <v>96</v>
      </c>
      <c r="J3493" t="s">
        <v>25</v>
      </c>
      <c r="K3493">
        <v>3</v>
      </c>
      <c r="L3493" t="e">
        <f t="array" ref="L3493">VLOOKUP(J3493:$J$3871&amp;K3493:$K$3871,CHOOSE({1,2},#REF!&amp;#REF!,#REF!),2,0)</f>
        <v>#N/A</v>
      </c>
      <c r="M3493">
        <v>-15</v>
      </c>
      <c r="N3493">
        <v>0</v>
      </c>
      <c r="O3493" t="s">
        <v>7</v>
      </c>
      <c r="P3493">
        <v>0</v>
      </c>
      <c r="Q3493">
        <v>1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1</v>
      </c>
      <c r="Y3493">
        <v>0</v>
      </c>
      <c r="Z3493">
        <v>0</v>
      </c>
      <c r="AA3493" t="s">
        <v>4908</v>
      </c>
      <c r="AB3493" t="s">
        <v>7164</v>
      </c>
      <c r="AC3493" t="s">
        <v>4908</v>
      </c>
      <c r="AD3493" t="e">
        <f>VLOOKUP(AB3493,#REF!,2,FALSE)</f>
        <v>#REF!</v>
      </c>
      <c r="AE3493" t="e">
        <f>RIGHT(#REF!,(FIND("Complex",#REF!,1)-8))</f>
        <v>#REF!</v>
      </c>
    </row>
    <row r="3494" spans="1:31" x14ac:dyDescent="0.25">
      <c r="A3494">
        <v>756</v>
      </c>
      <c r="B3494" t="s">
        <v>236</v>
      </c>
      <c r="C3494">
        <v>15</v>
      </c>
      <c r="D3494">
        <v>337</v>
      </c>
      <c r="E3494">
        <v>756</v>
      </c>
      <c r="F3494">
        <v>2822401</v>
      </c>
      <c r="G3494">
        <v>2910600</v>
      </c>
      <c r="H3494">
        <f t="shared" si="108"/>
        <v>64.000022675736957</v>
      </c>
      <c r="I3494">
        <f t="shared" si="109"/>
        <v>66</v>
      </c>
      <c r="J3494" t="s">
        <v>25</v>
      </c>
      <c r="K3494">
        <v>3</v>
      </c>
      <c r="L3494" t="e">
        <f t="array" ref="L3494">VLOOKUP(J3494:$J$3871&amp;K3494:$K$3871,CHOOSE({1,2},#REF!&amp;#REF!,#REF!),2,0)</f>
        <v>#N/A</v>
      </c>
      <c r="M3494">
        <v>-15</v>
      </c>
      <c r="N3494">
        <v>0</v>
      </c>
      <c r="O3494" t="s">
        <v>7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1</v>
      </c>
      <c r="Y3494">
        <v>0</v>
      </c>
      <c r="Z3494">
        <v>0</v>
      </c>
      <c r="AA3494" t="s">
        <v>5091</v>
      </c>
      <c r="AB3494" t="s">
        <v>638</v>
      </c>
      <c r="AC3494" t="s">
        <v>5091</v>
      </c>
      <c r="AD3494" t="e">
        <f>VLOOKUP(AB3494,#REF!,2,FALSE)</f>
        <v>#REF!</v>
      </c>
      <c r="AE3494" t="e">
        <f>RIGHT(#REF!,(FIND("Complex",#REF!,1)-7))</f>
        <v>#REF!</v>
      </c>
    </row>
    <row r="3495" spans="1:31" x14ac:dyDescent="0.25">
      <c r="A3495">
        <v>1180</v>
      </c>
      <c r="B3495" t="s">
        <v>236</v>
      </c>
      <c r="C3495">
        <v>15</v>
      </c>
      <c r="D3495">
        <v>524</v>
      </c>
      <c r="E3495">
        <v>1180</v>
      </c>
      <c r="F3495">
        <v>2469601</v>
      </c>
      <c r="G3495">
        <v>2557800</v>
      </c>
      <c r="H3495">
        <f t="shared" si="108"/>
        <v>56.000022675736965</v>
      </c>
      <c r="I3495">
        <f t="shared" si="109"/>
        <v>58</v>
      </c>
      <c r="J3495" t="s">
        <v>25</v>
      </c>
      <c r="K3495">
        <v>3</v>
      </c>
      <c r="L3495" t="e">
        <f t="array" ref="L3495">VLOOKUP(J3495:$J$3871&amp;K3495:$K$3871,CHOOSE({1,2},#REF!&amp;#REF!,#REF!),2,0)</f>
        <v>#N/A</v>
      </c>
      <c r="M3495">
        <v>-15</v>
      </c>
      <c r="N3495">
        <v>0</v>
      </c>
      <c r="O3495" t="s">
        <v>7</v>
      </c>
      <c r="P3495">
        <v>0</v>
      </c>
      <c r="Q3495">
        <v>1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1</v>
      </c>
      <c r="Y3495">
        <v>0</v>
      </c>
      <c r="Z3495">
        <v>0</v>
      </c>
      <c r="AA3495" t="s">
        <v>5160</v>
      </c>
      <c r="AB3495" t="s">
        <v>7298</v>
      </c>
      <c r="AC3495" t="s">
        <v>5160</v>
      </c>
      <c r="AD3495" t="e">
        <f>VLOOKUP(AB3495,#REF!,2,FALSE)</f>
        <v>#REF!</v>
      </c>
      <c r="AE3495" t="e">
        <f>RIGHT(#REF!,(FIND("Complex",#REF!,1)-8))</f>
        <v>#REF!</v>
      </c>
    </row>
    <row r="3496" spans="1:31" x14ac:dyDescent="0.25">
      <c r="A3496">
        <v>2253</v>
      </c>
      <c r="B3496" t="s">
        <v>236</v>
      </c>
      <c r="C3496">
        <v>15</v>
      </c>
      <c r="D3496">
        <v>927</v>
      </c>
      <c r="E3496">
        <v>2253</v>
      </c>
      <c r="F3496">
        <v>9878401</v>
      </c>
      <c r="G3496">
        <v>9966600</v>
      </c>
      <c r="H3496">
        <f t="shared" si="108"/>
        <v>224.00002267573697</v>
      </c>
      <c r="I3496">
        <f t="shared" si="109"/>
        <v>226</v>
      </c>
      <c r="J3496" t="s">
        <v>25</v>
      </c>
      <c r="K3496">
        <v>3</v>
      </c>
      <c r="L3496" t="e">
        <f t="array" ref="L3496">VLOOKUP(J3496:$J$3871&amp;K3496:$K$3871,CHOOSE({1,2},#REF!&amp;#REF!,#REF!),2,0)</f>
        <v>#N/A</v>
      </c>
      <c r="M3496">
        <v>-15</v>
      </c>
      <c r="N3496">
        <v>0</v>
      </c>
      <c r="O3496" t="s">
        <v>7</v>
      </c>
      <c r="P3496">
        <v>0</v>
      </c>
      <c r="Q3496">
        <v>1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1</v>
      </c>
      <c r="Y3496">
        <v>0</v>
      </c>
      <c r="Z3496">
        <v>0</v>
      </c>
      <c r="AA3496" t="s">
        <v>5563</v>
      </c>
      <c r="AB3496" t="s">
        <v>7531</v>
      </c>
      <c r="AC3496" t="s">
        <v>5563</v>
      </c>
      <c r="AD3496" t="e">
        <f>VLOOKUP(AB3496,#REF!,2,FALSE)</f>
        <v>#REF!</v>
      </c>
      <c r="AE3496" t="e">
        <f>RIGHT(#REF!,(FIND("Complex",#REF!,1)-7))</f>
        <v>#REF!</v>
      </c>
    </row>
    <row r="3497" spans="1:31" x14ac:dyDescent="0.25">
      <c r="A3497">
        <v>1552</v>
      </c>
      <c r="B3497" t="s">
        <v>236</v>
      </c>
      <c r="C3497">
        <v>15</v>
      </c>
      <c r="D3497">
        <v>677</v>
      </c>
      <c r="E3497">
        <v>1552</v>
      </c>
      <c r="F3497">
        <v>6438601</v>
      </c>
      <c r="G3497">
        <v>6526800</v>
      </c>
      <c r="H3497">
        <f t="shared" si="108"/>
        <v>146.00002267573697</v>
      </c>
      <c r="I3497">
        <f t="shared" si="109"/>
        <v>148</v>
      </c>
      <c r="J3497" t="s">
        <v>25</v>
      </c>
      <c r="K3497">
        <v>3</v>
      </c>
      <c r="L3497" t="e">
        <f t="array" ref="L3497">VLOOKUP(J3497:$J$3871&amp;K3497:$K$3871,CHOOSE({1,2},#REF!&amp;#REF!,#REF!),2,0)</f>
        <v>#N/A</v>
      </c>
      <c r="M3497">
        <v>-15</v>
      </c>
      <c r="N3497">
        <v>0</v>
      </c>
      <c r="O3497" t="s">
        <v>7</v>
      </c>
      <c r="P3497">
        <v>0</v>
      </c>
      <c r="Q3497">
        <v>1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1</v>
      </c>
      <c r="Y3497">
        <v>0</v>
      </c>
      <c r="Z3497">
        <v>0</v>
      </c>
      <c r="AA3497" t="s">
        <v>5900</v>
      </c>
      <c r="AB3497" t="s">
        <v>7741</v>
      </c>
      <c r="AC3497" t="s">
        <v>5900</v>
      </c>
      <c r="AD3497" t="e">
        <f>VLOOKUP(AB3497,#REF!,2,FALSE)</f>
        <v>#REF!</v>
      </c>
      <c r="AE3497" t="e">
        <f>RIGHT(#REF!,(FIND("Complex",#REF!,1)-7))</f>
        <v>#REF!</v>
      </c>
    </row>
    <row r="3498" spans="1:31" x14ac:dyDescent="0.25">
      <c r="A3498">
        <v>1837</v>
      </c>
      <c r="B3498" t="s">
        <v>237</v>
      </c>
      <c r="C3498">
        <v>16</v>
      </c>
      <c r="D3498">
        <v>798</v>
      </c>
      <c r="E3498">
        <v>1837</v>
      </c>
      <c r="F3498">
        <v>11642401</v>
      </c>
      <c r="G3498">
        <v>11730600</v>
      </c>
      <c r="H3498">
        <f t="shared" si="108"/>
        <v>264.00002267573694</v>
      </c>
      <c r="I3498">
        <f t="shared" si="109"/>
        <v>266</v>
      </c>
      <c r="J3498" t="s">
        <v>25</v>
      </c>
      <c r="K3498">
        <v>3</v>
      </c>
      <c r="L3498" t="e">
        <f t="array" ref="L3498">VLOOKUP(J3498:$J$3871&amp;K3498:$K$3871,CHOOSE({1,2},#REF!&amp;#REF!,#REF!),2,0)</f>
        <v>#N/A</v>
      </c>
      <c r="M3498">
        <v>-15</v>
      </c>
      <c r="N3498">
        <v>0</v>
      </c>
      <c r="O3498" t="s">
        <v>7</v>
      </c>
      <c r="P3498">
        <v>0</v>
      </c>
      <c r="Q3498">
        <v>1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1</v>
      </c>
      <c r="Y3498">
        <v>0</v>
      </c>
      <c r="Z3498">
        <v>0</v>
      </c>
      <c r="AA3498" t="s">
        <v>5448</v>
      </c>
      <c r="AB3498" t="s">
        <v>7452</v>
      </c>
      <c r="AC3498" t="s">
        <v>5448</v>
      </c>
      <c r="AD3498" t="e">
        <f>VLOOKUP(AB3498,#REF!,2,FALSE)</f>
        <v>#REF!</v>
      </c>
      <c r="AE3498" t="e">
        <f>RIGHT(#REF!,(FIND("Complex",#REF!,1)-7))</f>
        <v>#REF!</v>
      </c>
    </row>
    <row r="3499" spans="1:31" x14ac:dyDescent="0.25">
      <c r="A3499">
        <v>649</v>
      </c>
      <c r="B3499" t="s">
        <v>237</v>
      </c>
      <c r="C3499">
        <v>16</v>
      </c>
      <c r="D3499">
        <v>281</v>
      </c>
      <c r="E3499">
        <v>649</v>
      </c>
      <c r="F3499">
        <v>11289601</v>
      </c>
      <c r="G3499">
        <v>11377800</v>
      </c>
      <c r="H3499">
        <f t="shared" si="108"/>
        <v>256.00002267573694</v>
      </c>
      <c r="I3499">
        <f t="shared" si="109"/>
        <v>258</v>
      </c>
      <c r="J3499" t="s">
        <v>25</v>
      </c>
      <c r="K3499">
        <v>3</v>
      </c>
      <c r="L3499" t="e">
        <f t="array" ref="L3499">VLOOKUP(J3499:$J$3871&amp;K3499:$K$3871,CHOOSE({1,2},#REF!&amp;#REF!,#REF!),2,0)</f>
        <v>#N/A</v>
      </c>
      <c r="M3499">
        <v>-15</v>
      </c>
      <c r="N3499">
        <v>0</v>
      </c>
      <c r="O3499" t="s">
        <v>7</v>
      </c>
      <c r="P3499">
        <v>0</v>
      </c>
      <c r="Q3499">
        <v>1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1</v>
      </c>
      <c r="Y3499">
        <v>0</v>
      </c>
      <c r="Z3499">
        <v>0</v>
      </c>
      <c r="AA3499" t="s">
        <v>5479</v>
      </c>
      <c r="AB3499" t="s">
        <v>7472</v>
      </c>
      <c r="AC3499" t="s">
        <v>5479</v>
      </c>
      <c r="AD3499" t="e">
        <f>VLOOKUP(AB3499,#REF!,2,FALSE)</f>
        <v>#REF!</v>
      </c>
      <c r="AE3499" t="e">
        <f>RIGHT(#REF!,(FIND("Complex",#REF!,1)-6))</f>
        <v>#REF!</v>
      </c>
    </row>
    <row r="3500" spans="1:31" x14ac:dyDescent="0.25">
      <c r="A3500">
        <v>1141</v>
      </c>
      <c r="B3500" t="s">
        <v>237</v>
      </c>
      <c r="C3500">
        <v>16</v>
      </c>
      <c r="D3500">
        <v>506</v>
      </c>
      <c r="E3500">
        <v>1141</v>
      </c>
      <c r="F3500">
        <v>9525601</v>
      </c>
      <c r="G3500">
        <v>9613800</v>
      </c>
      <c r="H3500">
        <f t="shared" si="108"/>
        <v>216.00002267573697</v>
      </c>
      <c r="I3500">
        <f t="shared" si="109"/>
        <v>218</v>
      </c>
      <c r="J3500" t="s">
        <v>25</v>
      </c>
      <c r="K3500">
        <v>3</v>
      </c>
      <c r="L3500" t="e">
        <f t="array" ref="L3500">VLOOKUP(J3500:$J$3871&amp;K3500:$K$3871,CHOOSE({1,2},#REF!&amp;#REF!,#REF!),2,0)</f>
        <v>#N/A</v>
      </c>
      <c r="M3500">
        <v>-15</v>
      </c>
      <c r="N3500">
        <v>0</v>
      </c>
      <c r="O3500" t="s">
        <v>7</v>
      </c>
      <c r="P3500">
        <v>0</v>
      </c>
      <c r="Q3500">
        <v>1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1</v>
      </c>
      <c r="Y3500">
        <v>0</v>
      </c>
      <c r="Z3500">
        <v>0</v>
      </c>
      <c r="AA3500" t="s">
        <v>5594</v>
      </c>
      <c r="AB3500" t="s">
        <v>7548</v>
      </c>
      <c r="AC3500" t="s">
        <v>5594</v>
      </c>
      <c r="AD3500" t="e">
        <f>VLOOKUP(AB3500,#REF!,2,FALSE)</f>
        <v>#REF!</v>
      </c>
      <c r="AE3500" t="e">
        <f>RIGHT(#REF!,(FIND("Complex",#REF!,1)-7))</f>
        <v>#REF!</v>
      </c>
    </row>
    <row r="3501" spans="1:31" x14ac:dyDescent="0.25">
      <c r="A3501">
        <v>2119</v>
      </c>
      <c r="B3501" t="s">
        <v>237</v>
      </c>
      <c r="C3501">
        <v>16</v>
      </c>
      <c r="D3501">
        <v>892</v>
      </c>
      <c r="E3501">
        <v>2119</v>
      </c>
      <c r="F3501">
        <v>8996401</v>
      </c>
      <c r="G3501">
        <v>9084600</v>
      </c>
      <c r="H3501">
        <f t="shared" si="108"/>
        <v>204.00002267573697</v>
      </c>
      <c r="I3501">
        <f t="shared" si="109"/>
        <v>206</v>
      </c>
      <c r="J3501" t="s">
        <v>25</v>
      </c>
      <c r="K3501">
        <v>3</v>
      </c>
      <c r="L3501" t="e">
        <f t="array" ref="L3501">VLOOKUP(J3501:$J$3871&amp;K3501:$K$3871,CHOOSE({1,2},#REF!&amp;#REF!,#REF!),2,0)</f>
        <v>#N/A</v>
      </c>
      <c r="M3501">
        <v>-15</v>
      </c>
      <c r="N3501">
        <v>0</v>
      </c>
      <c r="O3501" t="s">
        <v>7</v>
      </c>
      <c r="P3501">
        <v>0</v>
      </c>
      <c r="Q3501">
        <v>1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1</v>
      </c>
      <c r="Y3501">
        <v>0</v>
      </c>
      <c r="Z3501">
        <v>0</v>
      </c>
      <c r="AA3501" t="s">
        <v>5624</v>
      </c>
      <c r="AB3501" t="s">
        <v>7571</v>
      </c>
      <c r="AC3501" t="s">
        <v>5624</v>
      </c>
      <c r="AD3501" t="e">
        <f>VLOOKUP(AB3501,#REF!,2,FALSE)</f>
        <v>#REF!</v>
      </c>
      <c r="AE3501" t="e">
        <f>RIGHT(#REF!,(FIND("Complex",#REF!,1)-7))</f>
        <v>#REF!</v>
      </c>
    </row>
    <row r="3502" spans="1:31" x14ac:dyDescent="0.25">
      <c r="A3502">
        <v>1575</v>
      </c>
      <c r="B3502" t="s">
        <v>237</v>
      </c>
      <c r="C3502">
        <v>16</v>
      </c>
      <c r="D3502">
        <v>684</v>
      </c>
      <c r="E3502">
        <v>1575</v>
      </c>
      <c r="F3502">
        <v>8467201</v>
      </c>
      <c r="G3502">
        <v>8555400</v>
      </c>
      <c r="H3502">
        <f t="shared" si="108"/>
        <v>192.00002267573697</v>
      </c>
      <c r="I3502">
        <f t="shared" si="109"/>
        <v>194</v>
      </c>
      <c r="J3502" t="s">
        <v>25</v>
      </c>
      <c r="K3502">
        <v>3</v>
      </c>
      <c r="L3502" t="e">
        <f t="array" ref="L3502">VLOOKUP(J3502:$J$3871&amp;K3502:$K$3871,CHOOSE({1,2},#REF!&amp;#REF!,#REF!),2,0)</f>
        <v>#N/A</v>
      </c>
      <c r="M3502">
        <v>-15</v>
      </c>
      <c r="N3502">
        <v>0</v>
      </c>
      <c r="O3502" t="s">
        <v>7</v>
      </c>
      <c r="P3502">
        <v>0</v>
      </c>
      <c r="Q3502">
        <v>1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1</v>
      </c>
      <c r="Y3502">
        <v>0</v>
      </c>
      <c r="Z3502">
        <v>0</v>
      </c>
      <c r="AA3502" t="s">
        <v>5675</v>
      </c>
      <c r="AB3502" t="s">
        <v>7604</v>
      </c>
      <c r="AC3502" t="s">
        <v>5675</v>
      </c>
      <c r="AD3502" t="e">
        <f>VLOOKUP(AB3502,#REF!,2,FALSE)</f>
        <v>#REF!</v>
      </c>
      <c r="AE3502" t="e">
        <f>RIGHT(#REF!,(FIND("Complex",#REF!,1)-7))</f>
        <v>#REF!</v>
      </c>
    </row>
    <row r="3503" spans="1:31" x14ac:dyDescent="0.25">
      <c r="A3503">
        <v>834</v>
      </c>
      <c r="B3503" t="s">
        <v>237</v>
      </c>
      <c r="C3503">
        <v>16</v>
      </c>
      <c r="D3503">
        <v>375</v>
      </c>
      <c r="E3503">
        <v>834</v>
      </c>
      <c r="F3503">
        <v>8379001</v>
      </c>
      <c r="G3503">
        <v>8467200</v>
      </c>
      <c r="H3503">
        <f t="shared" si="108"/>
        <v>190.00002267573697</v>
      </c>
      <c r="I3503">
        <f t="shared" si="109"/>
        <v>192</v>
      </c>
      <c r="J3503" t="s">
        <v>25</v>
      </c>
      <c r="K3503">
        <v>3</v>
      </c>
      <c r="L3503" t="e">
        <f t="array" ref="L3503">VLOOKUP(J3503:$J$3871&amp;K3503:$K$3871,CHOOSE({1,2},#REF!&amp;#REF!,#REF!),2,0)</f>
        <v>#N/A</v>
      </c>
      <c r="M3503">
        <v>-15</v>
      </c>
      <c r="N3503">
        <v>0</v>
      </c>
      <c r="O3503" t="s">
        <v>7</v>
      </c>
      <c r="P3503">
        <v>0</v>
      </c>
      <c r="Q3503">
        <v>1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1</v>
      </c>
      <c r="Y3503">
        <v>0</v>
      </c>
      <c r="Z3503">
        <v>0</v>
      </c>
      <c r="AA3503" t="s">
        <v>5678</v>
      </c>
      <c r="AB3503" t="s">
        <v>7607</v>
      </c>
      <c r="AC3503" t="s">
        <v>5678</v>
      </c>
      <c r="AD3503" t="e">
        <f>VLOOKUP(AB3503,#REF!,2,FALSE)</f>
        <v>#REF!</v>
      </c>
      <c r="AE3503" t="e">
        <f>RIGHT(#REF!,(FIND("Complex",#REF!,1)-6))</f>
        <v>#REF!</v>
      </c>
    </row>
    <row r="3504" spans="1:31" x14ac:dyDescent="0.25">
      <c r="A3504">
        <v>1494</v>
      </c>
      <c r="B3504" t="s">
        <v>237</v>
      </c>
      <c r="C3504">
        <v>16</v>
      </c>
      <c r="D3504">
        <v>655</v>
      </c>
      <c r="E3504">
        <v>1494</v>
      </c>
      <c r="F3504">
        <v>8290801</v>
      </c>
      <c r="G3504">
        <v>8379000</v>
      </c>
      <c r="H3504">
        <f t="shared" si="108"/>
        <v>188.00002267573697</v>
      </c>
      <c r="I3504">
        <f t="shared" si="109"/>
        <v>190</v>
      </c>
      <c r="J3504" t="s">
        <v>25</v>
      </c>
      <c r="K3504">
        <v>3</v>
      </c>
      <c r="L3504" t="e">
        <f t="array" ref="L3504">VLOOKUP(J3504:$J$3871&amp;K3504:$K$3871,CHOOSE({1,2},#REF!&amp;#REF!,#REF!),2,0)</f>
        <v>#N/A</v>
      </c>
      <c r="M3504">
        <v>-15</v>
      </c>
      <c r="N3504">
        <v>0</v>
      </c>
      <c r="O3504" t="s">
        <v>7</v>
      </c>
      <c r="P3504">
        <v>0</v>
      </c>
      <c r="Q3504">
        <v>1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1</v>
      </c>
      <c r="Y3504">
        <v>0</v>
      </c>
      <c r="Z3504">
        <v>0</v>
      </c>
      <c r="AA3504" t="s">
        <v>5680</v>
      </c>
      <c r="AB3504" t="s">
        <v>7608</v>
      </c>
      <c r="AC3504" t="s">
        <v>5680</v>
      </c>
      <c r="AD3504" t="e">
        <f>VLOOKUP(AB3504,#REF!,2,FALSE)</f>
        <v>#REF!</v>
      </c>
      <c r="AE3504" t="e">
        <f>RIGHT(#REF!,(FIND("Complex",#REF!,1)-7))</f>
        <v>#REF!</v>
      </c>
    </row>
    <row r="3505" spans="1:31" x14ac:dyDescent="0.25">
      <c r="A3505">
        <v>1260</v>
      </c>
      <c r="B3505" t="s">
        <v>237</v>
      </c>
      <c r="C3505">
        <v>16</v>
      </c>
      <c r="D3505">
        <v>551</v>
      </c>
      <c r="E3505">
        <v>1260</v>
      </c>
      <c r="F3505">
        <v>8114401</v>
      </c>
      <c r="G3505">
        <v>8202600</v>
      </c>
      <c r="H3505">
        <f t="shared" si="108"/>
        <v>184.00002267573697</v>
      </c>
      <c r="I3505">
        <f t="shared" si="109"/>
        <v>186</v>
      </c>
      <c r="J3505" t="s">
        <v>25</v>
      </c>
      <c r="K3505">
        <v>3</v>
      </c>
      <c r="L3505" t="e">
        <f t="array" ref="L3505">VLOOKUP(J3505:$J$3871&amp;K3505:$K$3871,CHOOSE({1,2},#REF!&amp;#REF!,#REF!),2,0)</f>
        <v>#N/A</v>
      </c>
      <c r="M3505">
        <v>-15</v>
      </c>
      <c r="N3505">
        <v>0</v>
      </c>
      <c r="O3505" t="s">
        <v>7</v>
      </c>
      <c r="P3505">
        <v>0</v>
      </c>
      <c r="Q3505">
        <v>1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1</v>
      </c>
      <c r="Y3505">
        <v>0</v>
      </c>
      <c r="Z3505">
        <v>0</v>
      </c>
      <c r="AA3505" t="s">
        <v>5691</v>
      </c>
      <c r="AB3505" t="s">
        <v>7615</v>
      </c>
      <c r="AC3505" t="s">
        <v>5691</v>
      </c>
      <c r="AD3505" t="e">
        <f>VLOOKUP(AB3505,#REF!,2,FALSE)</f>
        <v>#REF!</v>
      </c>
      <c r="AE3505" t="e">
        <f>RIGHT(#REF!,(FIND("Complex",#REF!,1)-7))</f>
        <v>#REF!</v>
      </c>
    </row>
    <row r="3506" spans="1:31" x14ac:dyDescent="0.25">
      <c r="A3506">
        <v>161</v>
      </c>
      <c r="B3506" t="s">
        <v>237</v>
      </c>
      <c r="C3506">
        <v>16</v>
      </c>
      <c r="D3506">
        <v>68</v>
      </c>
      <c r="E3506">
        <v>161</v>
      </c>
      <c r="F3506">
        <v>7849801</v>
      </c>
      <c r="G3506">
        <v>7938000</v>
      </c>
      <c r="H3506">
        <f t="shared" si="108"/>
        <v>178.00002267573697</v>
      </c>
      <c r="I3506">
        <f t="shared" si="109"/>
        <v>180</v>
      </c>
      <c r="J3506" t="s">
        <v>25</v>
      </c>
      <c r="K3506">
        <v>3</v>
      </c>
      <c r="L3506" t="e">
        <f t="array" ref="L3506">VLOOKUP(J3506:$J$3871&amp;K3506:$K$3871,CHOOSE({1,2},#REF!&amp;#REF!,#REF!),2,0)</f>
        <v>#N/A</v>
      </c>
      <c r="M3506">
        <v>-15</v>
      </c>
      <c r="N3506">
        <v>0</v>
      </c>
      <c r="O3506" t="s">
        <v>7</v>
      </c>
      <c r="P3506">
        <v>0</v>
      </c>
      <c r="Q3506">
        <v>1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1</v>
      </c>
      <c r="Y3506">
        <v>0</v>
      </c>
      <c r="Z3506">
        <v>0</v>
      </c>
      <c r="AA3506" t="s">
        <v>5725</v>
      </c>
      <c r="AB3506" t="s">
        <v>7633</v>
      </c>
      <c r="AC3506" t="s">
        <v>5725</v>
      </c>
      <c r="AD3506" t="e">
        <f>VLOOKUP(AB3506,#REF!,2,FALSE)</f>
        <v>#REF!</v>
      </c>
      <c r="AE3506" t="e">
        <f>RIGHT(#REF!,(FIND("Complex",#REF!,1)-6))</f>
        <v>#REF!</v>
      </c>
    </row>
    <row r="3507" spans="1:31" x14ac:dyDescent="0.25">
      <c r="A3507">
        <v>45</v>
      </c>
      <c r="B3507" t="s">
        <v>237</v>
      </c>
      <c r="C3507">
        <v>16</v>
      </c>
      <c r="D3507">
        <v>22</v>
      </c>
      <c r="E3507">
        <v>45</v>
      </c>
      <c r="F3507">
        <v>7585201</v>
      </c>
      <c r="G3507">
        <v>7673400</v>
      </c>
      <c r="H3507">
        <f t="shared" si="108"/>
        <v>172.00002267573697</v>
      </c>
      <c r="I3507">
        <f t="shared" si="109"/>
        <v>174</v>
      </c>
      <c r="J3507" t="s">
        <v>25</v>
      </c>
      <c r="K3507">
        <v>3</v>
      </c>
      <c r="L3507" t="e">
        <f t="array" ref="L3507">VLOOKUP(J3507:$J$3871&amp;K3507:$K$3871,CHOOSE({1,2},#REF!&amp;#REF!,#REF!),2,0)</f>
        <v>#N/A</v>
      </c>
      <c r="M3507">
        <v>-15</v>
      </c>
      <c r="N3507">
        <v>0</v>
      </c>
      <c r="O3507" t="s">
        <v>7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1</v>
      </c>
      <c r="Y3507">
        <v>0</v>
      </c>
      <c r="Z3507">
        <v>0</v>
      </c>
      <c r="AA3507" t="s">
        <v>5749</v>
      </c>
      <c r="AB3507" t="s">
        <v>7649</v>
      </c>
      <c r="AC3507" t="s">
        <v>5749</v>
      </c>
      <c r="AD3507" t="e">
        <f>VLOOKUP(AB3507,#REF!,2,FALSE)</f>
        <v>#REF!</v>
      </c>
      <c r="AE3507" t="e">
        <f>RIGHT(#REF!,(FIND("Complex",#REF!,1)-5))</f>
        <v>#REF!</v>
      </c>
    </row>
    <row r="3508" spans="1:31" x14ac:dyDescent="0.25">
      <c r="A3508">
        <v>228</v>
      </c>
      <c r="B3508" t="s">
        <v>237</v>
      </c>
      <c r="C3508">
        <v>16</v>
      </c>
      <c r="D3508">
        <v>95</v>
      </c>
      <c r="E3508">
        <v>228</v>
      </c>
      <c r="F3508">
        <v>6350401</v>
      </c>
      <c r="G3508">
        <v>6438600</v>
      </c>
      <c r="H3508">
        <f t="shared" si="108"/>
        <v>144.00002267573697</v>
      </c>
      <c r="I3508">
        <f t="shared" si="109"/>
        <v>146</v>
      </c>
      <c r="J3508" t="s">
        <v>25</v>
      </c>
      <c r="K3508">
        <v>3</v>
      </c>
      <c r="L3508" t="e">
        <f t="array" ref="L3508">VLOOKUP(J3508:$J$3871&amp;K3508:$K$3871,CHOOSE({1,2},#REF!&amp;#REF!,#REF!),2,0)</f>
        <v>#N/A</v>
      </c>
      <c r="M3508">
        <v>-15</v>
      </c>
      <c r="N3508">
        <v>0</v>
      </c>
      <c r="O3508" t="s">
        <v>7</v>
      </c>
      <c r="P3508">
        <v>0</v>
      </c>
      <c r="Q3508">
        <v>1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1</v>
      </c>
      <c r="Y3508">
        <v>0</v>
      </c>
      <c r="Z3508">
        <v>0</v>
      </c>
      <c r="AA3508" t="s">
        <v>5909</v>
      </c>
      <c r="AB3508" t="s">
        <v>7746</v>
      </c>
      <c r="AC3508" t="s">
        <v>5909</v>
      </c>
      <c r="AD3508" t="e">
        <f>VLOOKUP(AB3508,#REF!,2,FALSE)</f>
        <v>#REF!</v>
      </c>
      <c r="AE3508" t="e">
        <f>RIGHT(#REF!,(FIND("Complex",#REF!,1)-6))</f>
        <v>#REF!</v>
      </c>
    </row>
    <row r="3509" spans="1:31" x14ac:dyDescent="0.25">
      <c r="A3509">
        <v>376</v>
      </c>
      <c r="B3509" t="s">
        <v>237</v>
      </c>
      <c r="C3509">
        <v>16</v>
      </c>
      <c r="D3509">
        <v>159</v>
      </c>
      <c r="E3509">
        <v>376</v>
      </c>
      <c r="F3509">
        <v>5027401</v>
      </c>
      <c r="G3509">
        <v>5115600</v>
      </c>
      <c r="H3509">
        <f t="shared" si="108"/>
        <v>114.00002267573696</v>
      </c>
      <c r="I3509">
        <f t="shared" si="109"/>
        <v>116</v>
      </c>
      <c r="J3509" t="s">
        <v>25</v>
      </c>
      <c r="K3509">
        <v>3</v>
      </c>
      <c r="L3509" t="e">
        <f t="array" ref="L3509">VLOOKUP(J3509:$J$3871&amp;K3509:$K$3871,CHOOSE({1,2},#REF!&amp;#REF!,#REF!),2,0)</f>
        <v>#N/A</v>
      </c>
      <c r="M3509">
        <v>-15</v>
      </c>
      <c r="N3509">
        <v>0</v>
      </c>
      <c r="O3509" t="s">
        <v>7</v>
      </c>
      <c r="P3509">
        <v>0</v>
      </c>
      <c r="Q3509">
        <v>1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1</v>
      </c>
      <c r="Y3509">
        <v>0</v>
      </c>
      <c r="Z3509">
        <v>0</v>
      </c>
      <c r="AA3509" t="s">
        <v>6061</v>
      </c>
      <c r="AB3509" t="s">
        <v>7828</v>
      </c>
      <c r="AC3509" t="s">
        <v>6061</v>
      </c>
      <c r="AD3509" t="e">
        <f>VLOOKUP(AB3509,#REF!,2,FALSE)</f>
        <v>#REF!</v>
      </c>
      <c r="AE3509" t="e">
        <f>RIGHT(#REF!,(FIND("Complex",#REF!,1)-6))</f>
        <v>#REF!</v>
      </c>
    </row>
    <row r="3510" spans="1:31" x14ac:dyDescent="0.25">
      <c r="A3510">
        <v>1883</v>
      </c>
      <c r="B3510" t="s">
        <v>238</v>
      </c>
      <c r="C3510">
        <v>17</v>
      </c>
      <c r="D3510">
        <v>819</v>
      </c>
      <c r="E3510">
        <v>1883</v>
      </c>
      <c r="F3510">
        <v>1146601</v>
      </c>
      <c r="G3510">
        <v>1234800</v>
      </c>
      <c r="H3510">
        <f t="shared" si="108"/>
        <v>26.000022675736961</v>
      </c>
      <c r="I3510">
        <f t="shared" si="109"/>
        <v>28</v>
      </c>
      <c r="J3510" t="s">
        <v>25</v>
      </c>
      <c r="K3510">
        <v>3</v>
      </c>
      <c r="L3510" t="e">
        <f t="array" ref="L3510">VLOOKUP(J3510:$J$3871&amp;K3510:$K$3871,CHOOSE({1,2},#REF!&amp;#REF!,#REF!),2,0)</f>
        <v>#N/A</v>
      </c>
      <c r="M3510">
        <v>-15</v>
      </c>
      <c r="N3510">
        <v>0</v>
      </c>
      <c r="O3510" t="s">
        <v>7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1</v>
      </c>
      <c r="Y3510">
        <v>0</v>
      </c>
      <c r="Z3510">
        <v>1</v>
      </c>
      <c r="AA3510" t="s">
        <v>5470</v>
      </c>
      <c r="AB3510" t="s">
        <v>7467</v>
      </c>
      <c r="AC3510" t="s">
        <v>5470</v>
      </c>
      <c r="AD3510" t="e">
        <f>VLOOKUP(AB3510,#REF!,2,FALSE)</f>
        <v>#REF!</v>
      </c>
      <c r="AE3510" t="e">
        <f>RIGHT(#REF!,(FIND("Complex",#REF!,1)-8))</f>
        <v>#REF!</v>
      </c>
    </row>
    <row r="3511" spans="1:31" x14ac:dyDescent="0.25">
      <c r="A3511">
        <v>412</v>
      </c>
      <c r="B3511" t="s">
        <v>238</v>
      </c>
      <c r="C3511">
        <v>17</v>
      </c>
      <c r="D3511">
        <v>175</v>
      </c>
      <c r="E3511">
        <v>412</v>
      </c>
      <c r="F3511">
        <v>6703201</v>
      </c>
      <c r="G3511">
        <v>6791400</v>
      </c>
      <c r="H3511">
        <f t="shared" si="108"/>
        <v>152.00002267573697</v>
      </c>
      <c r="I3511">
        <f t="shared" si="109"/>
        <v>154</v>
      </c>
      <c r="J3511" t="s">
        <v>25</v>
      </c>
      <c r="K3511">
        <v>3</v>
      </c>
      <c r="L3511" t="e">
        <f t="array" ref="L3511">VLOOKUP(J3511:$J$3871&amp;K3511:$K$3871,CHOOSE({1,2},#REF!&amp;#REF!,#REF!),2,0)</f>
        <v>#N/A</v>
      </c>
      <c r="M3511">
        <v>-15</v>
      </c>
      <c r="N3511">
        <v>0</v>
      </c>
      <c r="O3511" t="s">
        <v>7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1</v>
      </c>
      <c r="Y3511">
        <v>1</v>
      </c>
      <c r="Z3511">
        <v>0</v>
      </c>
      <c r="AA3511" t="s">
        <v>5870</v>
      </c>
      <c r="AB3511" t="s">
        <v>7721</v>
      </c>
      <c r="AC3511" t="s">
        <v>5870</v>
      </c>
      <c r="AD3511" t="e">
        <f>VLOOKUP(AB3511,#REF!,2,FALSE)</f>
        <v>#REF!</v>
      </c>
      <c r="AE3511" t="e">
        <f>RIGHT(#REF!,(FIND("Complex",#REF!,1)-6))</f>
        <v>#REF!</v>
      </c>
    </row>
    <row r="3512" spans="1:31" x14ac:dyDescent="0.25">
      <c r="A3512">
        <v>1362</v>
      </c>
      <c r="B3512" t="s">
        <v>239</v>
      </c>
      <c r="C3512">
        <v>18</v>
      </c>
      <c r="D3512">
        <v>595</v>
      </c>
      <c r="E3512">
        <v>1362</v>
      </c>
      <c r="F3512">
        <v>14112001</v>
      </c>
      <c r="G3512">
        <v>14200200</v>
      </c>
      <c r="H3512">
        <f t="shared" si="108"/>
        <v>320.00002267573694</v>
      </c>
      <c r="I3512">
        <f t="shared" si="109"/>
        <v>322</v>
      </c>
      <c r="J3512" t="s">
        <v>25</v>
      </c>
      <c r="K3512">
        <v>3</v>
      </c>
      <c r="L3512" t="e">
        <f t="array" ref="L3512">VLOOKUP(J3512:$J$3871&amp;K3512:$K$3871,CHOOSE({1,2},#REF!&amp;#REF!,#REF!),2,0)</f>
        <v>#N/A</v>
      </c>
      <c r="M3512">
        <v>-15</v>
      </c>
      <c r="N3512">
        <v>0</v>
      </c>
      <c r="O3512" t="s">
        <v>7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1</v>
      </c>
      <c r="Y3512">
        <v>1</v>
      </c>
      <c r="Z3512">
        <v>0</v>
      </c>
      <c r="AA3512" t="s">
        <v>5357</v>
      </c>
      <c r="AB3512" t="s">
        <v>7396</v>
      </c>
      <c r="AC3512" t="s">
        <v>5357</v>
      </c>
      <c r="AD3512" t="e">
        <f>VLOOKUP(AB3512,#REF!,2,FALSE)</f>
        <v>#REF!</v>
      </c>
      <c r="AE3512" t="e">
        <f>RIGHT(#REF!,(FIND("Complex",#REF!,1)-7))</f>
        <v>#REF!</v>
      </c>
    </row>
    <row r="3513" spans="1:31" x14ac:dyDescent="0.25">
      <c r="A3513">
        <v>501</v>
      </c>
      <c r="B3513" t="s">
        <v>239</v>
      </c>
      <c r="C3513">
        <v>18</v>
      </c>
      <c r="D3513">
        <v>206</v>
      </c>
      <c r="E3513">
        <v>501</v>
      </c>
      <c r="F3513">
        <v>13671001</v>
      </c>
      <c r="G3513">
        <v>13759200</v>
      </c>
      <c r="H3513">
        <f t="shared" si="108"/>
        <v>310.00002267573694</v>
      </c>
      <c r="I3513">
        <f t="shared" si="109"/>
        <v>312</v>
      </c>
      <c r="J3513" t="s">
        <v>25</v>
      </c>
      <c r="K3513">
        <v>3</v>
      </c>
      <c r="L3513" t="e">
        <f t="array" ref="L3513">VLOOKUP(J3513:$J$3871&amp;K3513:$K$3871,CHOOSE({1,2},#REF!&amp;#REF!,#REF!),2,0)</f>
        <v>#N/A</v>
      </c>
      <c r="M3513">
        <v>-15</v>
      </c>
      <c r="N3513">
        <v>0</v>
      </c>
      <c r="O3513" t="s">
        <v>7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1</v>
      </c>
      <c r="Y3513">
        <v>0</v>
      </c>
      <c r="Z3513">
        <v>1</v>
      </c>
      <c r="AA3513" t="s">
        <v>5369</v>
      </c>
      <c r="AB3513" t="s">
        <v>7402</v>
      </c>
      <c r="AC3513" t="s">
        <v>5369</v>
      </c>
      <c r="AD3513" t="e">
        <f>VLOOKUP(AB3513,#REF!,2,FALSE)</f>
        <v>#REF!</v>
      </c>
      <c r="AE3513" t="e">
        <f>RIGHT(#REF!,(FIND("Complex",#REF!,1)-6))</f>
        <v>#REF!</v>
      </c>
    </row>
    <row r="3514" spans="1:31" x14ac:dyDescent="0.25">
      <c r="A3514">
        <v>983</v>
      </c>
      <c r="B3514" t="s">
        <v>239</v>
      </c>
      <c r="C3514">
        <v>18</v>
      </c>
      <c r="D3514">
        <v>436</v>
      </c>
      <c r="E3514">
        <v>983</v>
      </c>
      <c r="F3514">
        <v>12965401</v>
      </c>
      <c r="G3514">
        <v>13053600</v>
      </c>
      <c r="H3514">
        <f t="shared" si="108"/>
        <v>294.00002267573694</v>
      </c>
      <c r="I3514">
        <f t="shared" si="109"/>
        <v>296</v>
      </c>
      <c r="J3514" t="s">
        <v>25</v>
      </c>
      <c r="K3514">
        <v>3</v>
      </c>
      <c r="L3514" t="e">
        <f t="array" ref="L3514">VLOOKUP(J3514:$J$3871&amp;K3514:$K$3871,CHOOSE({1,2},#REF!&amp;#REF!,#REF!),2,0)</f>
        <v>#N/A</v>
      </c>
      <c r="M3514">
        <v>-15</v>
      </c>
      <c r="N3514">
        <v>0</v>
      </c>
      <c r="O3514" t="s">
        <v>7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1</v>
      </c>
      <c r="Y3514">
        <v>0</v>
      </c>
      <c r="Z3514">
        <v>1</v>
      </c>
      <c r="AA3514" t="s">
        <v>5393</v>
      </c>
      <c r="AB3514" t="s">
        <v>7416</v>
      </c>
      <c r="AC3514" t="s">
        <v>5393</v>
      </c>
      <c r="AD3514" t="e">
        <f>VLOOKUP(AB3514,#REF!,2,FALSE)</f>
        <v>#REF!</v>
      </c>
      <c r="AE3514" t="e">
        <f>RIGHT(#REF!,(FIND("Complex",#REF!,1)-6))</f>
        <v>#REF!</v>
      </c>
    </row>
    <row r="3515" spans="1:31" x14ac:dyDescent="0.25">
      <c r="A3515">
        <v>391</v>
      </c>
      <c r="B3515" t="s">
        <v>239</v>
      </c>
      <c r="C3515">
        <v>18</v>
      </c>
      <c r="D3515">
        <v>164</v>
      </c>
      <c r="E3515">
        <v>391</v>
      </c>
      <c r="F3515">
        <v>12348001</v>
      </c>
      <c r="G3515">
        <v>12436200</v>
      </c>
      <c r="H3515">
        <f t="shared" si="108"/>
        <v>280.00002267573694</v>
      </c>
      <c r="I3515">
        <f t="shared" si="109"/>
        <v>282</v>
      </c>
      <c r="J3515" t="s">
        <v>25</v>
      </c>
      <c r="K3515">
        <v>3</v>
      </c>
      <c r="L3515" t="e">
        <f t="array" ref="L3515">VLOOKUP(J3515:$J$3871&amp;K3515:$K$3871,CHOOSE({1,2},#REF!&amp;#REF!,#REF!),2,0)</f>
        <v>#N/A</v>
      </c>
      <c r="M3515">
        <v>-15</v>
      </c>
      <c r="N3515">
        <v>0</v>
      </c>
      <c r="O3515" t="s">
        <v>7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1</v>
      </c>
      <c r="Y3515">
        <v>0</v>
      </c>
      <c r="Z3515">
        <v>1</v>
      </c>
      <c r="AA3515" t="s">
        <v>5402</v>
      </c>
      <c r="AB3515" t="s">
        <v>647</v>
      </c>
      <c r="AC3515" t="s">
        <v>5402</v>
      </c>
      <c r="AD3515" t="e">
        <f>VLOOKUP(AB3515,#REF!,2,FALSE)</f>
        <v>#REF!</v>
      </c>
      <c r="AE3515" t="e">
        <f>RIGHT(#REF!,(FIND("Complex",#REF!,1)-6))</f>
        <v>#REF!</v>
      </c>
    </row>
    <row r="3516" spans="1:31" x14ac:dyDescent="0.25">
      <c r="A3516">
        <v>579</v>
      </c>
      <c r="B3516" t="s">
        <v>239</v>
      </c>
      <c r="C3516">
        <v>18</v>
      </c>
      <c r="D3516">
        <v>246</v>
      </c>
      <c r="E3516">
        <v>579</v>
      </c>
      <c r="F3516">
        <v>12259801</v>
      </c>
      <c r="G3516">
        <v>12348000</v>
      </c>
      <c r="H3516">
        <f t="shared" si="108"/>
        <v>278.00002267573694</v>
      </c>
      <c r="I3516">
        <f t="shared" si="109"/>
        <v>280</v>
      </c>
      <c r="J3516" t="s">
        <v>25</v>
      </c>
      <c r="K3516">
        <v>3</v>
      </c>
      <c r="L3516" t="e">
        <f t="array" ref="L3516">VLOOKUP(J3516:$J$3871&amp;K3516:$K$3871,CHOOSE({1,2},#REF!&amp;#REF!,#REF!),2,0)</f>
        <v>#N/A</v>
      </c>
      <c r="M3516">
        <v>-15</v>
      </c>
      <c r="N3516">
        <v>0</v>
      </c>
      <c r="O3516" t="s">
        <v>7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1</v>
      </c>
      <c r="Y3516">
        <v>0</v>
      </c>
      <c r="Z3516">
        <v>1</v>
      </c>
      <c r="AA3516" t="s">
        <v>5423</v>
      </c>
      <c r="AB3516" t="s">
        <v>7434</v>
      </c>
      <c r="AC3516" t="s">
        <v>5423</v>
      </c>
      <c r="AD3516" t="e">
        <f>VLOOKUP(AB3516,#REF!,2,FALSE)</f>
        <v>#REF!</v>
      </c>
      <c r="AE3516" t="e">
        <f>RIGHT(#REF!,(FIND("Complex",#REF!,1)-6))</f>
        <v>#REF!</v>
      </c>
    </row>
    <row r="3517" spans="1:31" x14ac:dyDescent="0.25">
      <c r="A3517">
        <v>1597</v>
      </c>
      <c r="B3517" t="s">
        <v>239</v>
      </c>
      <c r="C3517">
        <v>18</v>
      </c>
      <c r="D3517">
        <v>691</v>
      </c>
      <c r="E3517">
        <v>1597</v>
      </c>
      <c r="F3517">
        <v>9702001</v>
      </c>
      <c r="G3517">
        <v>9790200</v>
      </c>
      <c r="H3517">
        <f t="shared" si="108"/>
        <v>220.00002267573697</v>
      </c>
      <c r="I3517">
        <f t="shared" si="109"/>
        <v>222</v>
      </c>
      <c r="J3517" t="s">
        <v>25</v>
      </c>
      <c r="K3517">
        <v>3</v>
      </c>
      <c r="L3517" t="e">
        <f t="array" ref="L3517">VLOOKUP(J3517:$J$3871&amp;K3517:$K$3871,CHOOSE({1,2},#REF!&amp;#REF!,#REF!),2,0)</f>
        <v>#N/A</v>
      </c>
      <c r="M3517">
        <v>-15</v>
      </c>
      <c r="N3517">
        <v>0</v>
      </c>
      <c r="O3517" t="s">
        <v>7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1</v>
      </c>
      <c r="Y3517">
        <v>0</v>
      </c>
      <c r="Z3517">
        <v>1</v>
      </c>
      <c r="AA3517" t="s">
        <v>5572</v>
      </c>
      <c r="AB3517" t="s">
        <v>7536</v>
      </c>
      <c r="AC3517" t="s">
        <v>5572</v>
      </c>
      <c r="AD3517" t="e">
        <f>VLOOKUP(AB3517,#REF!,2,FALSE)</f>
        <v>#REF!</v>
      </c>
      <c r="AE3517" t="e">
        <f>RIGHT(#REF!,(FIND("Complex",#REF!,1)-7))</f>
        <v>#REF!</v>
      </c>
    </row>
    <row r="3518" spans="1:31" x14ac:dyDescent="0.25">
      <c r="A3518">
        <v>946</v>
      </c>
      <c r="B3518" t="s">
        <v>239</v>
      </c>
      <c r="C3518">
        <v>18</v>
      </c>
      <c r="D3518">
        <v>414</v>
      </c>
      <c r="E3518">
        <v>946</v>
      </c>
      <c r="F3518">
        <v>6967801</v>
      </c>
      <c r="G3518">
        <v>7056000</v>
      </c>
      <c r="H3518">
        <f t="shared" si="108"/>
        <v>158.00002267573697</v>
      </c>
      <c r="I3518">
        <f t="shared" si="109"/>
        <v>160</v>
      </c>
      <c r="J3518" t="s">
        <v>25</v>
      </c>
      <c r="K3518">
        <v>3</v>
      </c>
      <c r="L3518" t="e">
        <f t="array" ref="L3518">VLOOKUP(J3518:$J$3871&amp;K3518:$K$3871,CHOOSE({1,2},#REF!&amp;#REF!,#REF!),2,0)</f>
        <v>#N/A</v>
      </c>
      <c r="M3518">
        <v>-15</v>
      </c>
      <c r="N3518">
        <v>0</v>
      </c>
      <c r="O3518" t="s">
        <v>7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1</v>
      </c>
      <c r="Y3518">
        <v>0</v>
      </c>
      <c r="Z3518">
        <v>1</v>
      </c>
      <c r="AA3518" t="s">
        <v>5836</v>
      </c>
      <c r="AB3518" t="s">
        <v>7699</v>
      </c>
      <c r="AC3518" t="s">
        <v>5836</v>
      </c>
      <c r="AD3518" t="e">
        <f>VLOOKUP(AB3518,#REF!,2,FALSE)</f>
        <v>#REF!</v>
      </c>
      <c r="AE3518" t="e">
        <f>RIGHT(#REF!,(FIND("Complex",#REF!,1)-6))</f>
        <v>#REF!</v>
      </c>
    </row>
    <row r="3519" spans="1:31" x14ac:dyDescent="0.25">
      <c r="A3519">
        <v>1910</v>
      </c>
      <c r="B3519" t="s">
        <v>239</v>
      </c>
      <c r="C3519">
        <v>18</v>
      </c>
      <c r="D3519">
        <v>826</v>
      </c>
      <c r="E3519">
        <v>1910</v>
      </c>
      <c r="F3519">
        <v>6879601</v>
      </c>
      <c r="G3519">
        <v>6967800</v>
      </c>
      <c r="H3519">
        <f t="shared" si="108"/>
        <v>156.00002267573697</v>
      </c>
      <c r="I3519">
        <f t="shared" si="109"/>
        <v>158</v>
      </c>
      <c r="J3519" t="s">
        <v>25</v>
      </c>
      <c r="K3519">
        <v>3</v>
      </c>
      <c r="L3519" t="e">
        <f t="array" ref="L3519">VLOOKUP(J3519:$J$3871&amp;K3519:$K$3871,CHOOSE({1,2},#REF!&amp;#REF!,#REF!),2,0)</f>
        <v>#N/A</v>
      </c>
      <c r="M3519">
        <v>-15</v>
      </c>
      <c r="N3519">
        <v>0</v>
      </c>
      <c r="O3519" t="s">
        <v>7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1</v>
      </c>
      <c r="Y3519">
        <v>1</v>
      </c>
      <c r="Z3519">
        <v>0</v>
      </c>
      <c r="AA3519" t="s">
        <v>5848</v>
      </c>
      <c r="AB3519" t="s">
        <v>7708</v>
      </c>
      <c r="AC3519" t="s">
        <v>5848</v>
      </c>
      <c r="AD3519" t="e">
        <f>VLOOKUP(AB3519,#REF!,2,FALSE)</f>
        <v>#REF!</v>
      </c>
      <c r="AE3519" t="e">
        <f>RIGHT(#REF!,(FIND("Complex",#REF!,1)-7))</f>
        <v>#REF!</v>
      </c>
    </row>
    <row r="3520" spans="1:31" x14ac:dyDescent="0.25">
      <c r="A3520">
        <v>1794</v>
      </c>
      <c r="B3520" t="s">
        <v>239</v>
      </c>
      <c r="C3520">
        <v>18</v>
      </c>
      <c r="D3520">
        <v>779</v>
      </c>
      <c r="E3520">
        <v>1794</v>
      </c>
      <c r="F3520">
        <v>6791401</v>
      </c>
      <c r="G3520">
        <v>6879600</v>
      </c>
      <c r="H3520">
        <f t="shared" si="108"/>
        <v>154.00002267573697</v>
      </c>
      <c r="I3520">
        <f t="shared" si="109"/>
        <v>156</v>
      </c>
      <c r="J3520" t="s">
        <v>25</v>
      </c>
      <c r="K3520">
        <v>3</v>
      </c>
      <c r="L3520" t="e">
        <f t="array" ref="L3520">VLOOKUP(J3520:$J$3871&amp;K3520:$K$3871,CHOOSE({1,2},#REF!&amp;#REF!,#REF!),2,0)</f>
        <v>#N/A</v>
      </c>
      <c r="M3520">
        <v>-15</v>
      </c>
      <c r="N3520">
        <v>0</v>
      </c>
      <c r="O3520" t="s">
        <v>7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1</v>
      </c>
      <c r="Y3520">
        <v>1</v>
      </c>
      <c r="Z3520">
        <v>0</v>
      </c>
      <c r="AA3520" t="s">
        <v>5862</v>
      </c>
      <c r="AB3520" t="s">
        <v>7717</v>
      </c>
      <c r="AC3520" t="s">
        <v>5862</v>
      </c>
      <c r="AD3520" t="e">
        <f>VLOOKUP(AB3520,#REF!,2,FALSE)</f>
        <v>#REF!</v>
      </c>
      <c r="AE3520" t="e">
        <f>RIGHT(#REF!,(FIND("Complex",#REF!,1)-7))</f>
        <v>#REF!</v>
      </c>
    </row>
    <row r="3521" spans="1:31" x14ac:dyDescent="0.25">
      <c r="A3521">
        <v>799</v>
      </c>
      <c r="B3521" t="s">
        <v>239</v>
      </c>
      <c r="C3521">
        <v>18</v>
      </c>
      <c r="D3521">
        <v>360</v>
      </c>
      <c r="E3521">
        <v>799</v>
      </c>
      <c r="F3521">
        <v>5733001</v>
      </c>
      <c r="G3521">
        <v>5821200</v>
      </c>
      <c r="H3521">
        <f t="shared" si="108"/>
        <v>130.00002267573697</v>
      </c>
      <c r="I3521">
        <f t="shared" si="109"/>
        <v>132</v>
      </c>
      <c r="J3521" t="s">
        <v>25</v>
      </c>
      <c r="K3521">
        <v>3</v>
      </c>
      <c r="L3521" t="e">
        <f t="array" ref="L3521">VLOOKUP(J3521:$J$3871&amp;K3521:$K$3871,CHOOSE({1,2},#REF!&amp;#REF!,#REF!),2,0)</f>
        <v>#N/A</v>
      </c>
      <c r="M3521">
        <v>-15</v>
      </c>
      <c r="N3521">
        <v>0</v>
      </c>
      <c r="O3521" t="s">
        <v>7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1</v>
      </c>
      <c r="Y3521">
        <v>1</v>
      </c>
      <c r="Z3521">
        <v>0</v>
      </c>
      <c r="AA3521" t="s">
        <v>5976</v>
      </c>
      <c r="AB3521" t="s">
        <v>7783</v>
      </c>
      <c r="AC3521" t="s">
        <v>5976</v>
      </c>
      <c r="AD3521" t="e">
        <f>VLOOKUP(AB3521,#REF!,2,FALSE)</f>
        <v>#REF!</v>
      </c>
      <c r="AE3521" t="e">
        <f>RIGHT(#REF!,(FIND("Complex",#REF!,1)-6))</f>
        <v>#REF!</v>
      </c>
    </row>
    <row r="3522" spans="1:31" x14ac:dyDescent="0.25">
      <c r="A3522">
        <v>7</v>
      </c>
      <c r="B3522" t="s">
        <v>43</v>
      </c>
      <c r="C3522">
        <v>19</v>
      </c>
      <c r="D3522">
        <v>3</v>
      </c>
      <c r="E3522">
        <v>7</v>
      </c>
      <c r="F3522">
        <v>2205001</v>
      </c>
      <c r="G3522">
        <v>2293200</v>
      </c>
      <c r="H3522">
        <f t="shared" ref="H3522:H3585" si="110">F3522/44100</f>
        <v>50.000022675736965</v>
      </c>
      <c r="I3522">
        <f t="shared" ref="I3522:I3585" si="111">G3522/44100</f>
        <v>52</v>
      </c>
      <c r="J3522" t="s">
        <v>25</v>
      </c>
      <c r="K3522">
        <v>3</v>
      </c>
      <c r="L3522" t="e">
        <f t="array" ref="L3522">VLOOKUP(J3522:$J$3871&amp;K3522:$K$3871,CHOOSE({1,2},#REF!&amp;#REF!,#REF!),2,0)</f>
        <v>#N/A</v>
      </c>
      <c r="M3522">
        <v>-15</v>
      </c>
      <c r="N3522">
        <v>0</v>
      </c>
      <c r="O3522" t="s">
        <v>7</v>
      </c>
      <c r="P3522">
        <v>0</v>
      </c>
      <c r="Q3522">
        <v>0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1</v>
      </c>
      <c r="Z3522">
        <v>0</v>
      </c>
      <c r="AA3522" t="s">
        <v>5198</v>
      </c>
      <c r="AB3522" t="s">
        <v>7313</v>
      </c>
      <c r="AC3522" t="s">
        <v>5198</v>
      </c>
      <c r="AD3522" t="e">
        <f>VLOOKUP(AB3522,#REF!,2,FALSE)</f>
        <v>#REF!</v>
      </c>
      <c r="AE3522" t="e">
        <f>RIGHT(#REF!,(FIND("Complex",#REF!,1)-5))</f>
        <v>#REF!</v>
      </c>
    </row>
    <row r="3523" spans="1:31" x14ac:dyDescent="0.25">
      <c r="A3523">
        <v>2297</v>
      </c>
      <c r="B3523" t="s">
        <v>61</v>
      </c>
      <c r="C3523">
        <v>21</v>
      </c>
      <c r="D3523">
        <v>940</v>
      </c>
      <c r="E3523">
        <v>2297</v>
      </c>
      <c r="F3523">
        <v>6526801</v>
      </c>
      <c r="G3523">
        <v>6615000</v>
      </c>
      <c r="H3523">
        <f t="shared" si="110"/>
        <v>148.00002267573697</v>
      </c>
      <c r="I3523">
        <f t="shared" si="111"/>
        <v>150</v>
      </c>
      <c r="J3523" t="s">
        <v>25</v>
      </c>
      <c r="K3523">
        <v>3</v>
      </c>
      <c r="L3523" t="e">
        <f t="array" ref="L3523">VLOOKUP(J3523:$J$3871&amp;K3523:$K$3871,CHOOSE({1,2},#REF!&amp;#REF!,#REF!),2,0)</f>
        <v>#N/A</v>
      </c>
      <c r="M3523">
        <v>-15</v>
      </c>
      <c r="N3523">
        <v>0</v>
      </c>
      <c r="O3523" t="s">
        <v>7</v>
      </c>
      <c r="P3523">
        <v>0</v>
      </c>
      <c r="Q3523">
        <v>0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1</v>
      </c>
      <c r="Y3523">
        <v>0</v>
      </c>
      <c r="Z3523">
        <v>0</v>
      </c>
      <c r="AA3523" t="s">
        <v>5891</v>
      </c>
      <c r="AB3523" t="s">
        <v>7734</v>
      </c>
      <c r="AC3523" t="s">
        <v>5891</v>
      </c>
      <c r="AD3523" t="e">
        <f>VLOOKUP(AB3523,#REF!,2,FALSE)</f>
        <v>#REF!</v>
      </c>
      <c r="AE3523" t="e">
        <f>RIGHT(#REF!,(FIND("Complex",#REF!,1)-7))</f>
        <v>#REF!</v>
      </c>
    </row>
    <row r="3524" spans="1:31" x14ac:dyDescent="0.25">
      <c r="A3524">
        <v>373</v>
      </c>
      <c r="B3524" t="s">
        <v>35</v>
      </c>
      <c r="C3524">
        <v>23</v>
      </c>
      <c r="D3524">
        <v>157</v>
      </c>
      <c r="E3524">
        <v>373</v>
      </c>
      <c r="F3524">
        <v>2734201</v>
      </c>
      <c r="G3524">
        <v>2822400</v>
      </c>
      <c r="H3524">
        <f t="shared" si="110"/>
        <v>62.000022675736965</v>
      </c>
      <c r="I3524">
        <f t="shared" si="111"/>
        <v>64</v>
      </c>
      <c r="J3524" t="s">
        <v>25</v>
      </c>
      <c r="K3524">
        <v>3</v>
      </c>
      <c r="L3524" t="e">
        <f t="array" ref="L3524">VLOOKUP(J3524:$J$3871&amp;K3524:$K$3871,CHOOSE({1,2},#REF!&amp;#REF!,#REF!),2,0)</f>
        <v>#N/A</v>
      </c>
      <c r="M3524">
        <v>-15</v>
      </c>
      <c r="N3524">
        <v>0</v>
      </c>
      <c r="O3524" t="s">
        <v>7</v>
      </c>
      <c r="P3524">
        <v>0</v>
      </c>
      <c r="Q3524">
        <v>0</v>
      </c>
      <c r="R3524">
        <v>1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1</v>
      </c>
      <c r="Y3524">
        <v>0</v>
      </c>
      <c r="Z3524">
        <v>0</v>
      </c>
      <c r="AA3524" t="s">
        <v>5102</v>
      </c>
      <c r="AB3524" t="s">
        <v>769</v>
      </c>
      <c r="AC3524" t="s">
        <v>5102</v>
      </c>
      <c r="AD3524" t="e">
        <f>VLOOKUP(AB3524,#REF!,2,FALSE)</f>
        <v>#REF!</v>
      </c>
      <c r="AE3524" t="e">
        <f>RIGHT(#REF!,(FIND("Complex",#REF!,1)-7))</f>
        <v>#REF!</v>
      </c>
    </row>
    <row r="3525" spans="1:31" x14ac:dyDescent="0.25">
      <c r="A3525">
        <v>211</v>
      </c>
      <c r="B3525" t="s">
        <v>35</v>
      </c>
      <c r="C3525">
        <v>23</v>
      </c>
      <c r="D3525">
        <v>86</v>
      </c>
      <c r="E3525">
        <v>211</v>
      </c>
      <c r="F3525">
        <v>2116801</v>
      </c>
      <c r="G3525">
        <v>2205000</v>
      </c>
      <c r="H3525">
        <f t="shared" si="110"/>
        <v>48.000022675736965</v>
      </c>
      <c r="I3525">
        <f t="shared" si="111"/>
        <v>50</v>
      </c>
      <c r="J3525" t="s">
        <v>25</v>
      </c>
      <c r="K3525">
        <v>3</v>
      </c>
      <c r="L3525" t="e">
        <f t="array" ref="L3525">VLOOKUP(J3525:$J$3871&amp;K3525:$K$3871,CHOOSE({1,2},#REF!&amp;#REF!,#REF!),2,0)</f>
        <v>#N/A</v>
      </c>
      <c r="M3525">
        <v>-15</v>
      </c>
      <c r="N3525">
        <v>0</v>
      </c>
      <c r="O3525" t="s">
        <v>7</v>
      </c>
      <c r="P3525">
        <v>0</v>
      </c>
      <c r="Q3525">
        <v>0</v>
      </c>
      <c r="R3525">
        <v>1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1</v>
      </c>
      <c r="Y3525">
        <v>0</v>
      </c>
      <c r="Z3525">
        <v>0</v>
      </c>
      <c r="AA3525" t="s">
        <v>5211</v>
      </c>
      <c r="AB3525" t="s">
        <v>7319</v>
      </c>
      <c r="AC3525" t="s">
        <v>5211</v>
      </c>
      <c r="AD3525" t="e">
        <f>VLOOKUP(AB3525,#REF!,2,FALSE)</f>
        <v>#REF!</v>
      </c>
      <c r="AE3525" t="e">
        <f>RIGHT(#REF!,(FIND("Complex",#REF!,1)-7))</f>
        <v>#REF!</v>
      </c>
    </row>
    <row r="3526" spans="1:31" x14ac:dyDescent="0.25">
      <c r="A3526">
        <v>1700</v>
      </c>
      <c r="B3526" t="s">
        <v>35</v>
      </c>
      <c r="C3526">
        <v>23</v>
      </c>
      <c r="D3526">
        <v>743</v>
      </c>
      <c r="E3526">
        <v>1700</v>
      </c>
      <c r="F3526">
        <v>1323001</v>
      </c>
      <c r="G3526">
        <v>1411200</v>
      </c>
      <c r="H3526">
        <f t="shared" si="110"/>
        <v>30.000022675736961</v>
      </c>
      <c r="I3526">
        <f t="shared" si="111"/>
        <v>32</v>
      </c>
      <c r="J3526" t="s">
        <v>25</v>
      </c>
      <c r="K3526">
        <v>3</v>
      </c>
      <c r="L3526" t="e">
        <f t="array" ref="L3526">VLOOKUP(J3526:$J$3871&amp;K3526:$K$3871,CHOOSE({1,2},#REF!&amp;#REF!,#REF!),2,0)</f>
        <v>#N/A</v>
      </c>
      <c r="M3526">
        <v>-15</v>
      </c>
      <c r="N3526">
        <v>0</v>
      </c>
      <c r="O3526" t="s">
        <v>7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1</v>
      </c>
      <c r="Y3526">
        <v>0</v>
      </c>
      <c r="Z3526">
        <v>0</v>
      </c>
      <c r="AA3526" t="s">
        <v>5388</v>
      </c>
      <c r="AB3526" t="s">
        <v>7413</v>
      </c>
      <c r="AC3526" t="s">
        <v>5388</v>
      </c>
      <c r="AD3526" t="e">
        <f>VLOOKUP(AB3526,#REF!,2,FALSE)</f>
        <v>#REF!</v>
      </c>
      <c r="AE3526" t="e">
        <f>RIGHT(#REF!,(FIND("Complex",#REF!,1)-8))</f>
        <v>#REF!</v>
      </c>
    </row>
    <row r="3527" spans="1:31" x14ac:dyDescent="0.25">
      <c r="A3527">
        <v>1107</v>
      </c>
      <c r="B3527" t="s">
        <v>35</v>
      </c>
      <c r="C3527">
        <v>23</v>
      </c>
      <c r="D3527">
        <v>492</v>
      </c>
      <c r="E3527">
        <v>1107</v>
      </c>
      <c r="F3527">
        <v>6615001</v>
      </c>
      <c r="G3527">
        <v>6703200</v>
      </c>
      <c r="H3527">
        <f t="shared" si="110"/>
        <v>150.00002267573697</v>
      </c>
      <c r="I3527">
        <f t="shared" si="111"/>
        <v>152</v>
      </c>
      <c r="J3527" t="s">
        <v>25</v>
      </c>
      <c r="K3527">
        <v>3</v>
      </c>
      <c r="L3527" t="e">
        <f t="array" ref="L3527">VLOOKUP(J3527:$J$3871&amp;K3527:$K$3871,CHOOSE({1,2},#REF!&amp;#REF!,#REF!),2,0)</f>
        <v>#N/A</v>
      </c>
      <c r="M3527">
        <v>-15</v>
      </c>
      <c r="N3527">
        <v>0</v>
      </c>
      <c r="O3527" t="s">
        <v>7</v>
      </c>
      <c r="P3527">
        <v>0</v>
      </c>
      <c r="Q3527">
        <v>0</v>
      </c>
      <c r="R3527">
        <v>1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1</v>
      </c>
      <c r="Y3527">
        <v>0</v>
      </c>
      <c r="Z3527">
        <v>0</v>
      </c>
      <c r="AA3527" t="s">
        <v>5881</v>
      </c>
      <c r="AB3527" t="s">
        <v>7728</v>
      </c>
      <c r="AC3527" t="s">
        <v>5881</v>
      </c>
      <c r="AD3527" t="e">
        <f>VLOOKUP(AB3527,#REF!,2,FALSE)</f>
        <v>#REF!</v>
      </c>
      <c r="AE3527" t="e">
        <f>RIGHT(#REF!,(FIND("Complex",#REF!,1)-7))</f>
        <v>#REF!</v>
      </c>
    </row>
    <row r="3528" spans="1:31" x14ac:dyDescent="0.25">
      <c r="A3528">
        <v>452</v>
      </c>
      <c r="B3528" t="s">
        <v>35</v>
      </c>
      <c r="C3528">
        <v>23</v>
      </c>
      <c r="D3528">
        <v>190</v>
      </c>
      <c r="E3528">
        <v>452</v>
      </c>
      <c r="F3528">
        <v>5997601</v>
      </c>
      <c r="G3528">
        <v>6085800</v>
      </c>
      <c r="H3528">
        <f t="shared" si="110"/>
        <v>136.00002267573697</v>
      </c>
      <c r="I3528">
        <f t="shared" si="111"/>
        <v>138</v>
      </c>
      <c r="J3528" t="s">
        <v>25</v>
      </c>
      <c r="K3528">
        <v>3</v>
      </c>
      <c r="L3528" t="e">
        <f t="array" ref="L3528">VLOOKUP(J3528:$J$3871&amp;K3528:$K$3871,CHOOSE({1,2},#REF!&amp;#REF!,#REF!),2,0)</f>
        <v>#N/A</v>
      </c>
      <c r="M3528">
        <v>-15</v>
      </c>
      <c r="N3528">
        <v>0</v>
      </c>
      <c r="O3528" t="s">
        <v>7</v>
      </c>
      <c r="P3528">
        <v>0</v>
      </c>
      <c r="Q3528">
        <v>0</v>
      </c>
      <c r="R3528">
        <v>1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1</v>
      </c>
      <c r="Y3528">
        <v>0</v>
      </c>
      <c r="Z3528">
        <v>0</v>
      </c>
      <c r="AA3528" t="s">
        <v>5962</v>
      </c>
      <c r="AB3528" t="s">
        <v>7776</v>
      </c>
      <c r="AC3528" t="s">
        <v>5962</v>
      </c>
      <c r="AD3528" t="e">
        <f>VLOOKUP(AB3528,#REF!,2,FALSE)</f>
        <v>#REF!</v>
      </c>
      <c r="AE3528" t="e">
        <f>RIGHT(#REF!,(FIND("Complex",#REF!,1)-6))</f>
        <v>#REF!</v>
      </c>
    </row>
    <row r="3529" spans="1:31" x14ac:dyDescent="0.25">
      <c r="A3529">
        <v>1758</v>
      </c>
      <c r="B3529" t="s">
        <v>35</v>
      </c>
      <c r="C3529">
        <v>23</v>
      </c>
      <c r="D3529">
        <v>767</v>
      </c>
      <c r="E3529">
        <v>1758</v>
      </c>
      <c r="F3529">
        <v>5909401</v>
      </c>
      <c r="G3529">
        <v>5997600</v>
      </c>
      <c r="H3529">
        <f t="shared" si="110"/>
        <v>134.00002267573697</v>
      </c>
      <c r="I3529">
        <f t="shared" si="111"/>
        <v>136</v>
      </c>
      <c r="J3529" t="s">
        <v>25</v>
      </c>
      <c r="K3529">
        <v>3</v>
      </c>
      <c r="L3529" t="e">
        <f t="array" ref="L3529">VLOOKUP(J3529:$J$3871&amp;K3529:$K$3871,CHOOSE({1,2},#REF!&amp;#REF!,#REF!),2,0)</f>
        <v>#N/A</v>
      </c>
      <c r="M3529">
        <v>-15</v>
      </c>
      <c r="N3529">
        <v>0</v>
      </c>
      <c r="O3529" t="s">
        <v>7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1</v>
      </c>
      <c r="Y3529">
        <v>0</v>
      </c>
      <c r="Z3529">
        <v>0</v>
      </c>
      <c r="AA3529" t="s">
        <v>5964</v>
      </c>
      <c r="AB3529" t="s">
        <v>770</v>
      </c>
      <c r="AC3529" t="s">
        <v>5964</v>
      </c>
      <c r="AD3529" t="e">
        <f>VLOOKUP(AB3529,#REF!,2,FALSE)</f>
        <v>#REF!</v>
      </c>
      <c r="AE3529" t="e">
        <f>RIGHT(#REF!,(FIND("Complex",#REF!,1)-7))</f>
        <v>#REF!</v>
      </c>
    </row>
    <row r="3530" spans="1:31" x14ac:dyDescent="0.25">
      <c r="A3530">
        <v>1545</v>
      </c>
      <c r="B3530" t="s">
        <v>35</v>
      </c>
      <c r="C3530">
        <v>23</v>
      </c>
      <c r="D3530">
        <v>673</v>
      </c>
      <c r="E3530">
        <v>1545</v>
      </c>
      <c r="F3530">
        <v>529201</v>
      </c>
      <c r="G3530">
        <v>617400</v>
      </c>
      <c r="H3530">
        <f t="shared" si="110"/>
        <v>12.000022675736961</v>
      </c>
      <c r="I3530">
        <f t="shared" si="111"/>
        <v>14</v>
      </c>
      <c r="J3530" t="s">
        <v>25</v>
      </c>
      <c r="K3530">
        <v>3</v>
      </c>
      <c r="L3530" t="e">
        <f t="array" ref="L3530">VLOOKUP(J3530:$J$3871&amp;K3530:$K$3871,CHOOSE({1,2},#REF!&amp;#REF!,#REF!),2,0)</f>
        <v>#N/A</v>
      </c>
      <c r="M3530">
        <v>-15</v>
      </c>
      <c r="N3530">
        <v>0</v>
      </c>
      <c r="O3530" t="s">
        <v>7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1</v>
      </c>
      <c r="Y3530">
        <v>0</v>
      </c>
      <c r="Z3530">
        <v>0</v>
      </c>
      <c r="AA3530" t="s">
        <v>6036</v>
      </c>
      <c r="AB3530" t="s">
        <v>771</v>
      </c>
      <c r="AC3530" t="s">
        <v>6036</v>
      </c>
      <c r="AD3530" t="e">
        <f>VLOOKUP(AB3530,#REF!,2,FALSE)</f>
        <v>#REF!</v>
      </c>
      <c r="AE3530" t="e">
        <f>RIGHT(#REF!,(FIND("Complex",#REF!,1)-8))</f>
        <v>#REF!</v>
      </c>
    </row>
    <row r="3531" spans="1:31" x14ac:dyDescent="0.25">
      <c r="A3531">
        <v>1294</v>
      </c>
      <c r="B3531" t="s">
        <v>62</v>
      </c>
      <c r="C3531">
        <v>26</v>
      </c>
      <c r="D3531">
        <v>561</v>
      </c>
      <c r="E3531">
        <v>1294</v>
      </c>
      <c r="F3531">
        <v>1587601</v>
      </c>
      <c r="G3531">
        <v>1675800</v>
      </c>
      <c r="H3531">
        <f t="shared" si="110"/>
        <v>36.000022675736965</v>
      </c>
      <c r="I3531">
        <f t="shared" si="111"/>
        <v>38</v>
      </c>
      <c r="J3531" t="s">
        <v>25</v>
      </c>
      <c r="K3531">
        <v>3</v>
      </c>
      <c r="L3531" t="e">
        <f t="array" ref="L3531">VLOOKUP(J3531:$J$3871&amp;K3531:$K$3871,CHOOSE({1,2},#REF!&amp;#REF!,#REF!),2,0)</f>
        <v>#N/A</v>
      </c>
      <c r="M3531">
        <v>-15</v>
      </c>
      <c r="N3531">
        <v>0</v>
      </c>
      <c r="O3531" t="s">
        <v>7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1</v>
      </c>
      <c r="X3531">
        <v>1</v>
      </c>
      <c r="Y3531">
        <v>0</v>
      </c>
      <c r="Z3531">
        <v>0</v>
      </c>
      <c r="AA3531" t="s">
        <v>5318</v>
      </c>
      <c r="AB3531" t="s">
        <v>7375</v>
      </c>
      <c r="AC3531" t="s">
        <v>5318</v>
      </c>
      <c r="AD3531" t="e">
        <f>VLOOKUP(AB3531,#REF!,2,FALSE)</f>
        <v>#REF!</v>
      </c>
      <c r="AE3531" t="e">
        <f>RIGHT(#REF!,(FIND("Complex",#REF!,1)-8))</f>
        <v>#REF!</v>
      </c>
    </row>
    <row r="3532" spans="1:31" x14ac:dyDescent="0.25">
      <c r="A3532">
        <v>1159</v>
      </c>
      <c r="B3532" t="s">
        <v>62</v>
      </c>
      <c r="C3532">
        <v>26</v>
      </c>
      <c r="D3532">
        <v>516</v>
      </c>
      <c r="E3532">
        <v>1159</v>
      </c>
      <c r="F3532">
        <v>1499401</v>
      </c>
      <c r="G3532">
        <v>1587600</v>
      </c>
      <c r="H3532">
        <f t="shared" si="110"/>
        <v>34.000022675736965</v>
      </c>
      <c r="I3532">
        <f t="shared" si="111"/>
        <v>36</v>
      </c>
      <c r="J3532" t="s">
        <v>25</v>
      </c>
      <c r="K3532">
        <v>3</v>
      </c>
      <c r="L3532" t="e">
        <f t="array" ref="L3532">VLOOKUP(J3532:$J$3871&amp;K3532:$K$3871,CHOOSE({1,2},#REF!&amp;#REF!,#REF!),2,0)</f>
        <v>#N/A</v>
      </c>
      <c r="M3532">
        <v>-15</v>
      </c>
      <c r="N3532">
        <v>0</v>
      </c>
      <c r="O3532" t="s">
        <v>7</v>
      </c>
      <c r="P3532">
        <v>0</v>
      </c>
      <c r="Q3532">
        <v>0</v>
      </c>
      <c r="R3532">
        <v>0</v>
      </c>
      <c r="S3532">
        <v>1</v>
      </c>
      <c r="T3532">
        <v>0</v>
      </c>
      <c r="U3532">
        <v>0</v>
      </c>
      <c r="V3532">
        <v>0</v>
      </c>
      <c r="W3532">
        <v>1</v>
      </c>
      <c r="X3532">
        <v>1</v>
      </c>
      <c r="Y3532">
        <v>0</v>
      </c>
      <c r="Z3532">
        <v>0</v>
      </c>
      <c r="AA3532" t="s">
        <v>5340</v>
      </c>
      <c r="AB3532" t="s">
        <v>806</v>
      </c>
      <c r="AC3532" t="s">
        <v>5340</v>
      </c>
      <c r="AD3532" t="e">
        <f>VLOOKUP(AB3532,#REF!,2,FALSE)</f>
        <v>#REF!</v>
      </c>
      <c r="AE3532" t="e">
        <f>RIGHT(#REF!,(FIND("Complex",#REF!,1)-8))</f>
        <v>#REF!</v>
      </c>
    </row>
    <row r="3533" spans="1:31" x14ac:dyDescent="0.25">
      <c r="A3533">
        <v>632</v>
      </c>
      <c r="B3533" t="s">
        <v>62</v>
      </c>
      <c r="C3533">
        <v>26</v>
      </c>
      <c r="D3533">
        <v>272</v>
      </c>
      <c r="E3533">
        <v>632</v>
      </c>
      <c r="F3533">
        <v>1411201</v>
      </c>
      <c r="G3533">
        <v>1499400</v>
      </c>
      <c r="H3533">
        <f t="shared" si="110"/>
        <v>32.000022675736965</v>
      </c>
      <c r="I3533">
        <f t="shared" si="111"/>
        <v>34</v>
      </c>
      <c r="J3533" t="s">
        <v>25</v>
      </c>
      <c r="K3533">
        <v>3</v>
      </c>
      <c r="L3533" t="e">
        <f t="array" ref="L3533">VLOOKUP(J3533:$J$3871&amp;K3533:$K$3871,CHOOSE({1,2},#REF!&amp;#REF!,#REF!),2,0)</f>
        <v>#N/A</v>
      </c>
      <c r="M3533">
        <v>-15</v>
      </c>
      <c r="N3533">
        <v>0</v>
      </c>
      <c r="O3533" t="s">
        <v>7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1</v>
      </c>
      <c r="X3533">
        <v>1</v>
      </c>
      <c r="Y3533">
        <v>0</v>
      </c>
      <c r="Z3533">
        <v>0</v>
      </c>
      <c r="AA3533" t="s">
        <v>5366</v>
      </c>
      <c r="AB3533" t="s">
        <v>7400</v>
      </c>
      <c r="AC3533" t="s">
        <v>5366</v>
      </c>
      <c r="AD3533" t="e">
        <f>VLOOKUP(AB3533,#REF!,2,FALSE)</f>
        <v>#REF!</v>
      </c>
      <c r="AE3533" t="e">
        <f>RIGHT(#REF!,(FIND("Complex",#REF!,1)-7))</f>
        <v>#REF!</v>
      </c>
    </row>
    <row r="3534" spans="1:31" x14ac:dyDescent="0.25">
      <c r="A3534">
        <v>1384</v>
      </c>
      <c r="B3534" t="s">
        <v>243</v>
      </c>
      <c r="C3534">
        <v>30</v>
      </c>
      <c r="D3534">
        <v>605</v>
      </c>
      <c r="E3534">
        <v>1384</v>
      </c>
      <c r="F3534">
        <v>2910601</v>
      </c>
      <c r="G3534">
        <v>2998800</v>
      </c>
      <c r="H3534">
        <f t="shared" si="110"/>
        <v>66.000022675736957</v>
      </c>
      <c r="I3534">
        <f t="shared" si="111"/>
        <v>68</v>
      </c>
      <c r="J3534" t="s">
        <v>25</v>
      </c>
      <c r="K3534">
        <v>3</v>
      </c>
      <c r="L3534" t="e">
        <f t="array" ref="L3534">VLOOKUP(J3534:$J$3871&amp;K3534:$K$3871,CHOOSE({1,2},#REF!&amp;#REF!,#REF!),2,0)</f>
        <v>#N/A</v>
      </c>
      <c r="M3534">
        <v>-15</v>
      </c>
      <c r="N3534">
        <v>0</v>
      </c>
      <c r="O3534" t="s">
        <v>7</v>
      </c>
      <c r="P3534">
        <v>0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1</v>
      </c>
      <c r="X3534">
        <v>1</v>
      </c>
      <c r="Y3534">
        <v>0</v>
      </c>
      <c r="Z3534">
        <v>0</v>
      </c>
      <c r="AA3534" t="s">
        <v>5082</v>
      </c>
      <c r="AB3534" t="s">
        <v>7258</v>
      </c>
      <c r="AC3534" t="s">
        <v>5082</v>
      </c>
      <c r="AD3534" t="e">
        <f>VLOOKUP(AB3534,#REF!,2,FALSE)</f>
        <v>#REF!</v>
      </c>
      <c r="AE3534" t="e">
        <f>RIGHT(#REF!,(FIND("Complex",#REF!,1)-8))</f>
        <v>#REF!</v>
      </c>
    </row>
    <row r="3535" spans="1:31" x14ac:dyDescent="0.25">
      <c r="A3535">
        <v>2041</v>
      </c>
      <c r="B3535" t="s">
        <v>243</v>
      </c>
      <c r="C3535">
        <v>30</v>
      </c>
      <c r="D3535">
        <v>870</v>
      </c>
      <c r="E3535">
        <v>2041</v>
      </c>
      <c r="F3535">
        <v>1499401</v>
      </c>
      <c r="G3535">
        <v>1587600</v>
      </c>
      <c r="H3535">
        <f t="shared" si="110"/>
        <v>34.000022675736965</v>
      </c>
      <c r="I3535">
        <f t="shared" si="111"/>
        <v>36</v>
      </c>
      <c r="J3535" t="s">
        <v>25</v>
      </c>
      <c r="K3535">
        <v>3</v>
      </c>
      <c r="L3535" t="e">
        <f t="array" ref="L3535">VLOOKUP(J3535:$J$3871&amp;K3535:$K$3871,CHOOSE({1,2},#REF!&amp;#REF!,#REF!),2,0)</f>
        <v>#N/A</v>
      </c>
      <c r="M3535">
        <v>-15</v>
      </c>
      <c r="N3535">
        <v>0</v>
      </c>
      <c r="O3535" t="s">
        <v>7</v>
      </c>
      <c r="P3535">
        <v>0</v>
      </c>
      <c r="Q3535">
        <v>0</v>
      </c>
      <c r="R3535">
        <v>0</v>
      </c>
      <c r="S3535">
        <v>1</v>
      </c>
      <c r="T3535">
        <v>0</v>
      </c>
      <c r="U3535">
        <v>0</v>
      </c>
      <c r="V3535">
        <v>0</v>
      </c>
      <c r="W3535">
        <v>1</v>
      </c>
      <c r="X3535">
        <v>1</v>
      </c>
      <c r="Y3535">
        <v>0</v>
      </c>
      <c r="Z3535">
        <v>0</v>
      </c>
      <c r="AA3535" t="s">
        <v>5339</v>
      </c>
      <c r="AB3535" t="s">
        <v>916</v>
      </c>
      <c r="AC3535" t="s">
        <v>5339</v>
      </c>
      <c r="AD3535" t="e">
        <f>VLOOKUP(AB3535,#REF!,2,FALSE)</f>
        <v>#REF!</v>
      </c>
      <c r="AE3535" t="e">
        <f>RIGHT(#REF!,(FIND("Complex",#REF!,1)-8))</f>
        <v>#REF!</v>
      </c>
    </row>
    <row r="3536" spans="1:31" x14ac:dyDescent="0.25">
      <c r="A3536">
        <v>53</v>
      </c>
      <c r="B3536" t="s">
        <v>243</v>
      </c>
      <c r="C3536">
        <v>30</v>
      </c>
      <c r="D3536">
        <v>28</v>
      </c>
      <c r="E3536">
        <v>53</v>
      </c>
      <c r="F3536">
        <v>11025001</v>
      </c>
      <c r="G3536">
        <v>11113200</v>
      </c>
      <c r="H3536">
        <f t="shared" si="110"/>
        <v>250.00002267573697</v>
      </c>
      <c r="I3536">
        <f t="shared" si="111"/>
        <v>252</v>
      </c>
      <c r="J3536" t="s">
        <v>25</v>
      </c>
      <c r="K3536">
        <v>3</v>
      </c>
      <c r="L3536" t="e">
        <f t="array" ref="L3536">VLOOKUP(J3536:$J$3871&amp;K3536:$K$3871,CHOOSE({1,2},#REF!&amp;#REF!,#REF!),2,0)</f>
        <v>#N/A</v>
      </c>
      <c r="M3536">
        <v>-15</v>
      </c>
      <c r="N3536">
        <v>0</v>
      </c>
      <c r="O3536" t="s">
        <v>7</v>
      </c>
      <c r="P3536">
        <v>0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1</v>
      </c>
      <c r="AA3536" t="s">
        <v>5489</v>
      </c>
      <c r="AB3536" t="s">
        <v>7480</v>
      </c>
      <c r="AC3536" t="s">
        <v>5489</v>
      </c>
      <c r="AD3536" t="e">
        <f>VLOOKUP(AB3536,#REF!,2,FALSE)</f>
        <v>#REF!</v>
      </c>
      <c r="AE3536" t="e">
        <f>RIGHT(#REF!,(FIND("Complex",#REF!,1)-5))</f>
        <v>#REF!</v>
      </c>
    </row>
    <row r="3537" spans="1:31" x14ac:dyDescent="0.25">
      <c r="A3537">
        <v>1310</v>
      </c>
      <c r="B3537" t="s">
        <v>243</v>
      </c>
      <c r="C3537">
        <v>30</v>
      </c>
      <c r="D3537">
        <v>568</v>
      </c>
      <c r="E3537">
        <v>1310</v>
      </c>
      <c r="F3537">
        <v>10848601</v>
      </c>
      <c r="G3537">
        <v>10936800</v>
      </c>
      <c r="H3537">
        <f t="shared" si="110"/>
        <v>246.00002267573697</v>
      </c>
      <c r="I3537">
        <f t="shared" si="111"/>
        <v>248</v>
      </c>
      <c r="J3537" t="s">
        <v>25</v>
      </c>
      <c r="K3537">
        <v>3</v>
      </c>
      <c r="L3537" t="e">
        <f t="array" ref="L3537">VLOOKUP(J3537:$J$3871&amp;K3537:$K$3871,CHOOSE({1,2},#REF!&amp;#REF!,#REF!),2,0)</f>
        <v>#N/A</v>
      </c>
      <c r="M3537">
        <v>-15</v>
      </c>
      <c r="N3537">
        <v>0</v>
      </c>
      <c r="O3537" t="s">
        <v>7</v>
      </c>
      <c r="P3537">
        <v>0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1</v>
      </c>
      <c r="AA3537" t="s">
        <v>5499</v>
      </c>
      <c r="AB3537" t="s">
        <v>7489</v>
      </c>
      <c r="AC3537" t="s">
        <v>5499</v>
      </c>
      <c r="AD3537" t="e">
        <f>VLOOKUP(AB3537,#REF!,2,FALSE)</f>
        <v>#REF!</v>
      </c>
      <c r="AE3537" t="e">
        <f>RIGHT(#REF!,(FIND("Complex",#REF!,1)-7))</f>
        <v>#REF!</v>
      </c>
    </row>
    <row r="3538" spans="1:31" x14ac:dyDescent="0.25">
      <c r="A3538">
        <v>596</v>
      </c>
      <c r="B3538" t="s">
        <v>243</v>
      </c>
      <c r="C3538">
        <v>30</v>
      </c>
      <c r="D3538">
        <v>254</v>
      </c>
      <c r="E3538">
        <v>596</v>
      </c>
      <c r="F3538">
        <v>10584001</v>
      </c>
      <c r="G3538">
        <v>10672200</v>
      </c>
      <c r="H3538">
        <f t="shared" si="110"/>
        <v>240.00002267573697</v>
      </c>
      <c r="I3538">
        <f t="shared" si="111"/>
        <v>242</v>
      </c>
      <c r="J3538" t="s">
        <v>25</v>
      </c>
      <c r="K3538">
        <v>3</v>
      </c>
      <c r="L3538" t="e">
        <f t="array" ref="L3538">VLOOKUP(J3538:$J$3871&amp;K3538:$K$3871,CHOOSE({1,2},#REF!&amp;#REF!,#REF!),2,0)</f>
        <v>#N/A</v>
      </c>
      <c r="M3538">
        <v>-15</v>
      </c>
      <c r="N3538">
        <v>0</v>
      </c>
      <c r="O3538" t="s">
        <v>7</v>
      </c>
      <c r="P3538">
        <v>0</v>
      </c>
      <c r="Q3538">
        <v>0</v>
      </c>
      <c r="R3538">
        <v>0</v>
      </c>
      <c r="S3538">
        <v>1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1</v>
      </c>
      <c r="AA3538" t="s">
        <v>5512</v>
      </c>
      <c r="AB3538" t="s">
        <v>7499</v>
      </c>
      <c r="AC3538" t="s">
        <v>5512</v>
      </c>
      <c r="AD3538" t="e">
        <f>VLOOKUP(AB3538,#REF!,2,FALSE)</f>
        <v>#REF!</v>
      </c>
      <c r="AE3538" t="e">
        <f>RIGHT(#REF!,(FIND("Complex",#REF!,1)-6))</f>
        <v>#REF!</v>
      </c>
    </row>
    <row r="3539" spans="1:31" x14ac:dyDescent="0.25">
      <c r="A3539">
        <v>268</v>
      </c>
      <c r="B3539" t="s">
        <v>243</v>
      </c>
      <c r="C3539">
        <v>30</v>
      </c>
      <c r="D3539">
        <v>115</v>
      </c>
      <c r="E3539">
        <v>268</v>
      </c>
      <c r="F3539">
        <v>10495801</v>
      </c>
      <c r="G3539">
        <v>10584000</v>
      </c>
      <c r="H3539">
        <f t="shared" si="110"/>
        <v>238.00002267573697</v>
      </c>
      <c r="I3539">
        <f t="shared" si="111"/>
        <v>240</v>
      </c>
      <c r="J3539" t="s">
        <v>25</v>
      </c>
      <c r="K3539">
        <v>3</v>
      </c>
      <c r="L3539" t="e">
        <f t="array" ref="L3539">VLOOKUP(J3539:$J$3871&amp;K3539:$K$3871,CHOOSE({1,2},#REF!&amp;#REF!,#REF!),2,0)</f>
        <v>#N/A</v>
      </c>
      <c r="M3539">
        <v>-15</v>
      </c>
      <c r="N3539">
        <v>0</v>
      </c>
      <c r="O3539" t="s">
        <v>7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1</v>
      </c>
      <c r="AA3539" t="s">
        <v>5533</v>
      </c>
      <c r="AB3539" t="s">
        <v>7512</v>
      </c>
      <c r="AC3539" t="s">
        <v>5533</v>
      </c>
      <c r="AD3539" t="e">
        <f>VLOOKUP(AB3539,#REF!,2,FALSE)</f>
        <v>#REF!</v>
      </c>
      <c r="AE3539" t="e">
        <f>RIGHT(#REF!,(FIND("Complex",#REF!,1)-6))</f>
        <v>#REF!</v>
      </c>
    </row>
    <row r="3540" spans="1:31" x14ac:dyDescent="0.25">
      <c r="A3540">
        <v>1986</v>
      </c>
      <c r="B3540" t="s">
        <v>243</v>
      </c>
      <c r="C3540">
        <v>30</v>
      </c>
      <c r="D3540">
        <v>858</v>
      </c>
      <c r="E3540">
        <v>1986</v>
      </c>
      <c r="F3540">
        <v>617401</v>
      </c>
      <c r="G3540">
        <v>705600</v>
      </c>
      <c r="H3540">
        <f t="shared" si="110"/>
        <v>14.000022675736961</v>
      </c>
      <c r="I3540">
        <f t="shared" si="111"/>
        <v>16</v>
      </c>
      <c r="J3540" t="s">
        <v>25</v>
      </c>
      <c r="K3540">
        <v>3</v>
      </c>
      <c r="L3540" t="e">
        <f t="array" ref="L3540">VLOOKUP(J3540:$J$3871&amp;K3540:$K$3871,CHOOSE({1,2},#REF!&amp;#REF!,#REF!),2,0)</f>
        <v>#N/A</v>
      </c>
      <c r="M3540">
        <v>-15</v>
      </c>
      <c r="N3540">
        <v>0</v>
      </c>
      <c r="O3540" t="s">
        <v>7</v>
      </c>
      <c r="P3540">
        <v>0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1</v>
      </c>
      <c r="X3540">
        <v>1</v>
      </c>
      <c r="Y3540">
        <v>0</v>
      </c>
      <c r="Z3540">
        <v>0</v>
      </c>
      <c r="AA3540" t="s">
        <v>5946</v>
      </c>
      <c r="AB3540" t="s">
        <v>7766</v>
      </c>
      <c r="AC3540" t="s">
        <v>5946</v>
      </c>
      <c r="AD3540" t="e">
        <f>VLOOKUP(AB3540,#REF!,2,FALSE)</f>
        <v>#REF!</v>
      </c>
      <c r="AE3540" t="e">
        <f>RIGHT(#REF!,(FIND("Complex",#REF!,1)-8))</f>
        <v>#REF!</v>
      </c>
    </row>
    <row r="3541" spans="1:31" x14ac:dyDescent="0.25">
      <c r="A3541">
        <v>1102</v>
      </c>
      <c r="B3541" t="s">
        <v>243</v>
      </c>
      <c r="C3541">
        <v>30</v>
      </c>
      <c r="D3541">
        <v>490</v>
      </c>
      <c r="E3541">
        <v>1102</v>
      </c>
      <c r="F3541">
        <v>529201</v>
      </c>
      <c r="G3541">
        <v>617400</v>
      </c>
      <c r="H3541">
        <f t="shared" si="110"/>
        <v>12.000022675736961</v>
      </c>
      <c r="I3541">
        <f t="shared" si="111"/>
        <v>14</v>
      </c>
      <c r="J3541" t="s">
        <v>25</v>
      </c>
      <c r="K3541">
        <v>3</v>
      </c>
      <c r="L3541" t="e">
        <f t="array" ref="L3541">VLOOKUP(J3541:$J$3871&amp;K3541:$K$3871,CHOOSE({1,2},#REF!&amp;#REF!,#REF!),2,0)</f>
        <v>#N/A</v>
      </c>
      <c r="M3541">
        <v>-15</v>
      </c>
      <c r="N3541">
        <v>0</v>
      </c>
      <c r="O3541" t="s">
        <v>7</v>
      </c>
      <c r="P3541">
        <v>0</v>
      </c>
      <c r="Q3541">
        <v>0</v>
      </c>
      <c r="R3541">
        <v>0</v>
      </c>
      <c r="S3541">
        <v>1</v>
      </c>
      <c r="T3541">
        <v>0</v>
      </c>
      <c r="U3541">
        <v>0</v>
      </c>
      <c r="V3541">
        <v>0</v>
      </c>
      <c r="W3541">
        <v>1</v>
      </c>
      <c r="X3541">
        <v>1</v>
      </c>
      <c r="Y3541">
        <v>0</v>
      </c>
      <c r="Z3541">
        <v>0</v>
      </c>
      <c r="AA3541" t="s">
        <v>6035</v>
      </c>
      <c r="AB3541" t="s">
        <v>7814</v>
      </c>
      <c r="AC3541" t="s">
        <v>6035</v>
      </c>
      <c r="AD3541" t="e">
        <f>VLOOKUP(AB3541,#REF!,2,FALSE)</f>
        <v>#REF!</v>
      </c>
      <c r="AE3541" t="e">
        <f>RIGHT(#REF!,(FIND("Complex",#REF!,1)-8))</f>
        <v>#REF!</v>
      </c>
    </row>
    <row r="3542" spans="1:31" x14ac:dyDescent="0.25">
      <c r="A3542">
        <v>374</v>
      </c>
      <c r="B3542" t="s">
        <v>63</v>
      </c>
      <c r="C3542">
        <v>32</v>
      </c>
      <c r="D3542">
        <v>158</v>
      </c>
      <c r="E3542">
        <v>374</v>
      </c>
      <c r="F3542">
        <v>2646001</v>
      </c>
      <c r="G3542">
        <v>2734200</v>
      </c>
      <c r="H3542">
        <f t="shared" si="110"/>
        <v>60.000022675736965</v>
      </c>
      <c r="I3542">
        <f t="shared" si="111"/>
        <v>62</v>
      </c>
      <c r="J3542" t="s">
        <v>25</v>
      </c>
      <c r="K3542">
        <v>3</v>
      </c>
      <c r="L3542" t="e">
        <f t="array" ref="L3542">VLOOKUP(J3542:$J$3871&amp;K3542:$K$3871,CHOOSE({1,2},#REF!&amp;#REF!,#REF!),2,0)</f>
        <v>#N/A</v>
      </c>
      <c r="M3542">
        <v>-15</v>
      </c>
      <c r="N3542">
        <v>0</v>
      </c>
      <c r="O3542" t="s">
        <v>7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1</v>
      </c>
      <c r="X3542">
        <v>1</v>
      </c>
      <c r="Y3542">
        <v>0</v>
      </c>
      <c r="Z3542">
        <v>0</v>
      </c>
      <c r="AA3542" t="s">
        <v>5115</v>
      </c>
      <c r="AB3542" t="s">
        <v>7272</v>
      </c>
      <c r="AC3542" t="s">
        <v>5115</v>
      </c>
      <c r="AD3542" t="e">
        <f>VLOOKUP(AB3542,#REF!,2,FALSE)</f>
        <v>#REF!</v>
      </c>
      <c r="AE3542" t="e">
        <f>RIGHT(#REF!,(FIND("Complex",#REF!,1)-7))</f>
        <v>#REF!</v>
      </c>
    </row>
    <row r="3543" spans="1:31" x14ac:dyDescent="0.25">
      <c r="A3543">
        <v>1319</v>
      </c>
      <c r="B3543" t="s">
        <v>63</v>
      </c>
      <c r="C3543">
        <v>32</v>
      </c>
      <c r="D3543">
        <v>572</v>
      </c>
      <c r="E3543">
        <v>1319</v>
      </c>
      <c r="F3543">
        <v>88201</v>
      </c>
      <c r="G3543">
        <v>176400</v>
      </c>
      <c r="H3543">
        <f t="shared" si="110"/>
        <v>2.0000226757369615</v>
      </c>
      <c r="I3543">
        <f t="shared" si="111"/>
        <v>4</v>
      </c>
      <c r="J3543" t="s">
        <v>25</v>
      </c>
      <c r="K3543">
        <v>3</v>
      </c>
      <c r="L3543" t="e">
        <f t="array" ref="L3543">VLOOKUP(J3543:$J$3871&amp;K3543:$K$3871,CHOOSE({1,2},#REF!&amp;#REF!,#REF!),2,0)</f>
        <v>#N/A</v>
      </c>
      <c r="M3543">
        <v>-15</v>
      </c>
      <c r="N3543">
        <v>0</v>
      </c>
      <c r="O3543" t="s">
        <v>7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1</v>
      </c>
      <c r="Y3543">
        <v>0</v>
      </c>
      <c r="Z3543">
        <v>0</v>
      </c>
      <c r="AA3543" t="s">
        <v>5657</v>
      </c>
      <c r="AB3543" t="s">
        <v>7588</v>
      </c>
      <c r="AC3543" t="s">
        <v>5657</v>
      </c>
      <c r="AD3543" t="e">
        <f>VLOOKUP(AB3543,#REF!,2,FALSE)</f>
        <v>#REF!</v>
      </c>
      <c r="AE3543" t="e">
        <f>RIGHT(#REF!,(FIND("Complex",#REF!,1)-9))</f>
        <v>#REF!</v>
      </c>
    </row>
    <row r="3544" spans="1:31" x14ac:dyDescent="0.25">
      <c r="A3544">
        <v>1551</v>
      </c>
      <c r="B3544" t="s">
        <v>64</v>
      </c>
      <c r="C3544">
        <v>33</v>
      </c>
      <c r="D3544">
        <v>676</v>
      </c>
      <c r="E3544">
        <v>1551</v>
      </c>
      <c r="F3544">
        <v>6615001</v>
      </c>
      <c r="G3544">
        <v>6703200</v>
      </c>
      <c r="H3544">
        <f t="shared" si="110"/>
        <v>150.00002267573697</v>
      </c>
      <c r="I3544">
        <f t="shared" si="111"/>
        <v>152</v>
      </c>
      <c r="J3544" t="s">
        <v>25</v>
      </c>
      <c r="K3544">
        <v>3</v>
      </c>
      <c r="L3544" t="e">
        <f t="array" ref="L3544">VLOOKUP(J3544:$J$3871&amp;K3544:$K$3871,CHOOSE({1,2},#REF!&amp;#REF!,#REF!),2,0)</f>
        <v>#N/A</v>
      </c>
      <c r="M3544">
        <v>-15</v>
      </c>
      <c r="N3544">
        <v>0</v>
      </c>
      <c r="O3544" t="s">
        <v>7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1</v>
      </c>
      <c r="Y3544">
        <v>0</v>
      </c>
      <c r="Z3544">
        <v>0</v>
      </c>
      <c r="AA3544" t="s">
        <v>5879</v>
      </c>
      <c r="AB3544" t="s">
        <v>7726</v>
      </c>
      <c r="AC3544" t="s">
        <v>5879</v>
      </c>
      <c r="AD3544" t="e">
        <f>VLOOKUP(AB3544,#REF!,2,FALSE)</f>
        <v>#REF!</v>
      </c>
      <c r="AE3544" t="e">
        <f>RIGHT(#REF!,(FIND("Complex",#REF!,1)-7))</f>
        <v>#REF!</v>
      </c>
    </row>
    <row r="3545" spans="1:31" x14ac:dyDescent="0.25">
      <c r="A3545">
        <v>2305</v>
      </c>
      <c r="B3545" t="s">
        <v>92</v>
      </c>
      <c r="C3545">
        <v>34</v>
      </c>
      <c r="D3545">
        <v>944</v>
      </c>
      <c r="E3545">
        <v>2305</v>
      </c>
      <c r="F3545">
        <v>9084601</v>
      </c>
      <c r="G3545">
        <v>9172800</v>
      </c>
      <c r="H3545">
        <f t="shared" si="110"/>
        <v>206.00002267573697</v>
      </c>
      <c r="I3545">
        <f t="shared" si="111"/>
        <v>208</v>
      </c>
      <c r="J3545" t="s">
        <v>25</v>
      </c>
      <c r="K3545">
        <v>3</v>
      </c>
      <c r="L3545" t="e">
        <f t="array" ref="L3545">VLOOKUP(J3545:$J$3871&amp;K3545:$K$3871,CHOOSE({1,2},#REF!&amp;#REF!,#REF!),2,0)</f>
        <v>#N/A</v>
      </c>
      <c r="M3545">
        <v>-15</v>
      </c>
      <c r="N3545">
        <v>0</v>
      </c>
      <c r="O3545" t="s">
        <v>7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1</v>
      </c>
      <c r="Y3545">
        <v>0</v>
      </c>
      <c r="Z3545">
        <v>0</v>
      </c>
      <c r="AA3545" t="s">
        <v>5618</v>
      </c>
      <c r="AB3545" t="s">
        <v>7566</v>
      </c>
      <c r="AC3545" t="s">
        <v>5618</v>
      </c>
      <c r="AD3545" t="e">
        <f>VLOOKUP(AB3545,#REF!,2,FALSE)</f>
        <v>#REF!</v>
      </c>
      <c r="AE3545" t="e">
        <f>RIGHT(#REF!,(FIND("Complex",#REF!,1)-7))</f>
        <v>#REF!</v>
      </c>
    </row>
    <row r="3546" spans="1:31" x14ac:dyDescent="0.25">
      <c r="A3546">
        <v>63</v>
      </c>
      <c r="B3546" t="s">
        <v>92</v>
      </c>
      <c r="C3546">
        <v>34</v>
      </c>
      <c r="D3546">
        <v>31</v>
      </c>
      <c r="E3546">
        <v>63</v>
      </c>
      <c r="F3546">
        <v>8643601</v>
      </c>
      <c r="G3546">
        <v>8731800</v>
      </c>
      <c r="H3546">
        <f t="shared" si="110"/>
        <v>196.00002267573697</v>
      </c>
      <c r="I3546">
        <f t="shared" si="111"/>
        <v>198</v>
      </c>
      <c r="J3546" t="s">
        <v>25</v>
      </c>
      <c r="K3546">
        <v>3</v>
      </c>
      <c r="L3546" t="e">
        <f t="array" ref="L3546">VLOOKUP(J3546:$J$3871&amp;K3546:$K$3871,CHOOSE({1,2},#REF!&amp;#REF!,#REF!),2,0)</f>
        <v>#N/A</v>
      </c>
      <c r="M3546">
        <v>-15</v>
      </c>
      <c r="N3546">
        <v>0</v>
      </c>
      <c r="O3546" t="s">
        <v>7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1</v>
      </c>
      <c r="Y3546">
        <v>0</v>
      </c>
      <c r="Z3546">
        <v>0</v>
      </c>
      <c r="AA3546" t="s">
        <v>5664</v>
      </c>
      <c r="AB3546" t="s">
        <v>7594</v>
      </c>
      <c r="AC3546" t="s">
        <v>5664</v>
      </c>
      <c r="AD3546" t="e">
        <f>VLOOKUP(AB3546,#REF!,2,FALSE)</f>
        <v>#REF!</v>
      </c>
      <c r="AE3546" t="e">
        <f>RIGHT(#REF!,(FIND("Complex",#REF!,1)-5))</f>
        <v>#REF!</v>
      </c>
    </row>
    <row r="3547" spans="1:31" x14ac:dyDescent="0.25">
      <c r="A3547">
        <v>348</v>
      </c>
      <c r="B3547" t="s">
        <v>92</v>
      </c>
      <c r="C3547">
        <v>34</v>
      </c>
      <c r="D3547">
        <v>147</v>
      </c>
      <c r="E3547">
        <v>348</v>
      </c>
      <c r="F3547">
        <v>8555401</v>
      </c>
      <c r="G3547">
        <v>8643600</v>
      </c>
      <c r="H3547">
        <f t="shared" si="110"/>
        <v>194.00002267573697</v>
      </c>
      <c r="I3547">
        <f t="shared" si="111"/>
        <v>196</v>
      </c>
      <c r="J3547" t="s">
        <v>25</v>
      </c>
      <c r="K3547">
        <v>3</v>
      </c>
      <c r="L3547" t="e">
        <f t="array" ref="L3547">VLOOKUP(J3547:$J$3871&amp;K3547:$K$3871,CHOOSE({1,2},#REF!&amp;#REF!,#REF!),2,0)</f>
        <v>#N/A</v>
      </c>
      <c r="M3547">
        <v>-15</v>
      </c>
      <c r="N3547">
        <v>0</v>
      </c>
      <c r="O3547" t="s">
        <v>7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1</v>
      </c>
      <c r="Y3547">
        <v>0</v>
      </c>
      <c r="Z3547">
        <v>0</v>
      </c>
      <c r="AA3547" t="s">
        <v>5671</v>
      </c>
      <c r="AB3547" t="s">
        <v>7601</v>
      </c>
      <c r="AC3547" t="s">
        <v>5671</v>
      </c>
      <c r="AD3547" t="e">
        <f>VLOOKUP(AB3547,#REF!,2,FALSE)</f>
        <v>#REF!</v>
      </c>
      <c r="AE3547" t="e">
        <f>RIGHT(#REF!,(FIND("Complex",#REF!,1)-6))</f>
        <v>#REF!</v>
      </c>
    </row>
    <row r="3548" spans="1:31" x14ac:dyDescent="0.25">
      <c r="A3548">
        <v>700</v>
      </c>
      <c r="B3548" t="s">
        <v>60</v>
      </c>
      <c r="C3548">
        <v>35</v>
      </c>
      <c r="D3548">
        <v>305</v>
      </c>
      <c r="E3548">
        <v>700</v>
      </c>
      <c r="F3548">
        <v>1852201</v>
      </c>
      <c r="G3548">
        <v>1940400</v>
      </c>
      <c r="H3548">
        <f t="shared" si="110"/>
        <v>42.000022675736965</v>
      </c>
      <c r="I3548">
        <f t="shared" si="111"/>
        <v>44</v>
      </c>
      <c r="J3548" t="s">
        <v>25</v>
      </c>
      <c r="K3548">
        <v>3</v>
      </c>
      <c r="L3548" t="e">
        <f t="array" ref="L3548">VLOOKUP(J3548:$J$3871&amp;K3548:$K$3871,CHOOSE({1,2},#REF!&amp;#REF!,#REF!),2,0)</f>
        <v>#N/A</v>
      </c>
      <c r="M3548">
        <v>-15</v>
      </c>
      <c r="N3548">
        <v>0</v>
      </c>
      <c r="O3548" t="s">
        <v>7</v>
      </c>
      <c r="P3548">
        <v>0</v>
      </c>
      <c r="Q3548">
        <v>0</v>
      </c>
      <c r="R3548">
        <v>0</v>
      </c>
      <c r="S3548">
        <v>0</v>
      </c>
      <c r="T3548">
        <v>1</v>
      </c>
      <c r="U3548">
        <v>0</v>
      </c>
      <c r="V3548">
        <v>0</v>
      </c>
      <c r="W3548">
        <v>1</v>
      </c>
      <c r="X3548">
        <v>1</v>
      </c>
      <c r="Y3548">
        <v>0</v>
      </c>
      <c r="Z3548">
        <v>0</v>
      </c>
      <c r="AA3548" t="s">
        <v>5247</v>
      </c>
      <c r="AB3548" t="s">
        <v>7334</v>
      </c>
      <c r="AC3548" t="s">
        <v>5247</v>
      </c>
      <c r="AD3548" t="e">
        <f>VLOOKUP(AB3548,#REF!,2,FALSE)</f>
        <v>#REF!</v>
      </c>
      <c r="AE3548" t="e">
        <f>RIGHT(#REF!,(FIND("Complex",#REF!,1)-7))</f>
        <v>#REF!</v>
      </c>
    </row>
    <row r="3549" spans="1:31" x14ac:dyDescent="0.25">
      <c r="A3549">
        <v>1246</v>
      </c>
      <c r="B3549" t="s">
        <v>60</v>
      </c>
      <c r="C3549">
        <v>35</v>
      </c>
      <c r="D3549">
        <v>545</v>
      </c>
      <c r="E3549">
        <v>1246</v>
      </c>
      <c r="F3549">
        <v>1764001</v>
      </c>
      <c r="G3549">
        <v>1852200</v>
      </c>
      <c r="H3549">
        <f t="shared" si="110"/>
        <v>40.000022675736965</v>
      </c>
      <c r="I3549">
        <f t="shared" si="111"/>
        <v>42</v>
      </c>
      <c r="J3549" t="s">
        <v>25</v>
      </c>
      <c r="K3549">
        <v>3</v>
      </c>
      <c r="L3549" t="e">
        <f t="array" ref="L3549">VLOOKUP(J3549:$J$3871&amp;K3549:$K$3871,CHOOSE({1,2},#REF!&amp;#REF!,#REF!),2,0)</f>
        <v>#N/A</v>
      </c>
      <c r="M3549">
        <v>-15</v>
      </c>
      <c r="N3549">
        <v>0</v>
      </c>
      <c r="O3549" t="s">
        <v>7</v>
      </c>
      <c r="P3549">
        <v>0</v>
      </c>
      <c r="Q3549">
        <v>0</v>
      </c>
      <c r="R3549">
        <v>0</v>
      </c>
      <c r="S3549">
        <v>0</v>
      </c>
      <c r="T3549">
        <v>1</v>
      </c>
      <c r="U3549">
        <v>0</v>
      </c>
      <c r="V3549">
        <v>0</v>
      </c>
      <c r="W3549">
        <v>1</v>
      </c>
      <c r="X3549">
        <v>1</v>
      </c>
      <c r="Y3549">
        <v>0</v>
      </c>
      <c r="Z3549">
        <v>0</v>
      </c>
      <c r="AA3549" t="s">
        <v>5261</v>
      </c>
      <c r="AB3549" t="s">
        <v>1080</v>
      </c>
      <c r="AC3549" t="s">
        <v>5261</v>
      </c>
      <c r="AD3549" t="e">
        <f>VLOOKUP(AB3549,#REF!,2,FALSE)</f>
        <v>#REF!</v>
      </c>
      <c r="AE3549" t="e">
        <f>RIGHT(#REF!,(FIND("Complex",#REF!,1)-8))</f>
        <v>#REF!</v>
      </c>
    </row>
    <row r="3550" spans="1:31" x14ac:dyDescent="0.25">
      <c r="A3550">
        <v>628</v>
      </c>
      <c r="B3550" t="s">
        <v>60</v>
      </c>
      <c r="C3550">
        <v>35</v>
      </c>
      <c r="D3550">
        <v>269</v>
      </c>
      <c r="E3550">
        <v>628</v>
      </c>
      <c r="F3550">
        <v>6262201</v>
      </c>
      <c r="G3550">
        <v>6350400</v>
      </c>
      <c r="H3550">
        <f t="shared" si="110"/>
        <v>142.00002267573697</v>
      </c>
      <c r="I3550">
        <f t="shared" si="111"/>
        <v>144</v>
      </c>
      <c r="J3550" t="s">
        <v>25</v>
      </c>
      <c r="K3550">
        <v>3</v>
      </c>
      <c r="L3550" t="e">
        <f t="array" ref="L3550">VLOOKUP(J3550:$J$3871&amp;K3550:$K$3871,CHOOSE({1,2},#REF!&amp;#REF!,#REF!),2,0)</f>
        <v>#N/A</v>
      </c>
      <c r="M3550">
        <v>-15</v>
      </c>
      <c r="N3550">
        <v>0</v>
      </c>
      <c r="O3550" t="s">
        <v>7</v>
      </c>
      <c r="P3550">
        <v>0</v>
      </c>
      <c r="Q3550">
        <v>0</v>
      </c>
      <c r="R3550">
        <v>0</v>
      </c>
      <c r="S3550">
        <v>0</v>
      </c>
      <c r="T3550">
        <v>1</v>
      </c>
      <c r="U3550">
        <v>0</v>
      </c>
      <c r="V3550">
        <v>0</v>
      </c>
      <c r="W3550">
        <v>1</v>
      </c>
      <c r="X3550">
        <v>1</v>
      </c>
      <c r="Y3550">
        <v>0</v>
      </c>
      <c r="Z3550">
        <v>0</v>
      </c>
      <c r="AA3550" t="s">
        <v>5919</v>
      </c>
      <c r="AB3550" t="s">
        <v>7752</v>
      </c>
      <c r="AC3550" t="s">
        <v>5919</v>
      </c>
      <c r="AD3550" t="e">
        <f>VLOOKUP(AB3550,#REF!,2,FALSE)</f>
        <v>#REF!</v>
      </c>
      <c r="AE3550" t="e">
        <f>RIGHT(#REF!,(FIND("Complex",#REF!,1)-6))</f>
        <v>#REF!</v>
      </c>
    </row>
    <row r="3551" spans="1:31" x14ac:dyDescent="0.25">
      <c r="A3551">
        <v>1870</v>
      </c>
      <c r="B3551" t="s">
        <v>60</v>
      </c>
      <c r="C3551">
        <v>35</v>
      </c>
      <c r="D3551">
        <v>815</v>
      </c>
      <c r="E3551">
        <v>1870</v>
      </c>
      <c r="F3551">
        <v>5821201</v>
      </c>
      <c r="G3551">
        <v>5909400</v>
      </c>
      <c r="H3551">
        <f t="shared" si="110"/>
        <v>132.00002267573697</v>
      </c>
      <c r="I3551">
        <f t="shared" si="111"/>
        <v>134</v>
      </c>
      <c r="J3551" t="s">
        <v>25</v>
      </c>
      <c r="K3551">
        <v>3</v>
      </c>
      <c r="L3551" t="e">
        <f t="array" ref="L3551">VLOOKUP(J3551:$J$3871&amp;K3551:$K$3871,CHOOSE({1,2},#REF!&amp;#REF!,#REF!),2,0)</f>
        <v>#N/A</v>
      </c>
      <c r="M3551">
        <v>-15</v>
      </c>
      <c r="N3551">
        <v>0</v>
      </c>
      <c r="O3551" t="s">
        <v>7</v>
      </c>
      <c r="P3551">
        <v>0</v>
      </c>
      <c r="Q3551">
        <v>0</v>
      </c>
      <c r="R3551">
        <v>0</v>
      </c>
      <c r="S3551">
        <v>0</v>
      </c>
      <c r="T3551">
        <v>1</v>
      </c>
      <c r="U3551">
        <v>0</v>
      </c>
      <c r="V3551">
        <v>0</v>
      </c>
      <c r="W3551">
        <v>1</v>
      </c>
      <c r="X3551">
        <v>1</v>
      </c>
      <c r="Y3551">
        <v>0</v>
      </c>
      <c r="Z3551">
        <v>0</v>
      </c>
      <c r="AA3551" t="s">
        <v>5972</v>
      </c>
      <c r="AB3551" t="s">
        <v>7779</v>
      </c>
      <c r="AC3551" t="s">
        <v>5972</v>
      </c>
      <c r="AD3551" t="e">
        <f>VLOOKUP(AB3551,#REF!,2,FALSE)</f>
        <v>#REF!</v>
      </c>
      <c r="AE3551" t="e">
        <f>RIGHT(#REF!,(FIND("Complex",#REF!,1)-7))</f>
        <v>#REF!</v>
      </c>
    </row>
    <row r="3552" spans="1:31" x14ac:dyDescent="0.25">
      <c r="A3552">
        <v>2083</v>
      </c>
      <c r="B3552" t="s">
        <v>60</v>
      </c>
      <c r="C3552">
        <v>35</v>
      </c>
      <c r="D3552">
        <v>881</v>
      </c>
      <c r="E3552">
        <v>2083</v>
      </c>
      <c r="F3552">
        <v>5203801</v>
      </c>
      <c r="G3552">
        <v>5292000</v>
      </c>
      <c r="H3552">
        <f t="shared" si="110"/>
        <v>118.00002267573696</v>
      </c>
      <c r="I3552">
        <f t="shared" si="111"/>
        <v>120</v>
      </c>
      <c r="J3552" t="s">
        <v>25</v>
      </c>
      <c r="K3552">
        <v>3</v>
      </c>
      <c r="L3552" t="e">
        <f t="array" ref="L3552">VLOOKUP(J3552:$J$3871&amp;K3552:$K$3871,CHOOSE({1,2},#REF!&amp;#REF!,#REF!),2,0)</f>
        <v>#N/A</v>
      </c>
      <c r="M3552">
        <v>-15</v>
      </c>
      <c r="N3552">
        <v>0</v>
      </c>
      <c r="O3552" t="s">
        <v>7</v>
      </c>
      <c r="P3552">
        <v>0</v>
      </c>
      <c r="Q3552">
        <v>0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1</v>
      </c>
      <c r="X3552">
        <v>1</v>
      </c>
      <c r="Y3552">
        <v>0</v>
      </c>
      <c r="Z3552">
        <v>0</v>
      </c>
      <c r="AA3552" t="s">
        <v>6050</v>
      </c>
      <c r="AB3552" t="s">
        <v>7822</v>
      </c>
      <c r="AC3552" t="s">
        <v>6050</v>
      </c>
      <c r="AD3552" t="e">
        <f>VLOOKUP(AB3552,#REF!,2,FALSE)</f>
        <v>#REF!</v>
      </c>
      <c r="AE3552" t="e">
        <f>RIGHT(#REF!,(FIND("Complex",#REF!,1)-7))</f>
        <v>#REF!</v>
      </c>
    </row>
    <row r="3553" spans="1:31" x14ac:dyDescent="0.25">
      <c r="A3553">
        <v>470</v>
      </c>
      <c r="B3553" t="s">
        <v>50</v>
      </c>
      <c r="C3553">
        <v>38</v>
      </c>
      <c r="D3553">
        <v>196</v>
      </c>
      <c r="E3553">
        <v>470</v>
      </c>
      <c r="F3553">
        <v>176401</v>
      </c>
      <c r="G3553">
        <v>264600</v>
      </c>
      <c r="H3553">
        <f t="shared" si="110"/>
        <v>4.000022675736961</v>
      </c>
      <c r="I3553">
        <f t="shared" si="111"/>
        <v>6</v>
      </c>
      <c r="J3553" t="s">
        <v>25</v>
      </c>
      <c r="K3553">
        <v>3</v>
      </c>
      <c r="L3553" t="e">
        <f t="array" ref="L3553">VLOOKUP(J3553:$J$3871&amp;K3553:$K$3871,CHOOSE({1,2},#REF!&amp;#REF!,#REF!),2,0)</f>
        <v>#N/A</v>
      </c>
      <c r="M3553">
        <v>-15</v>
      </c>
      <c r="N3553">
        <v>0</v>
      </c>
      <c r="O3553" t="s">
        <v>7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1</v>
      </c>
      <c r="Y3553">
        <v>0</v>
      </c>
      <c r="Z3553">
        <v>0</v>
      </c>
      <c r="AA3553" t="s">
        <v>5277</v>
      </c>
      <c r="AB3553" t="s">
        <v>7351</v>
      </c>
      <c r="AC3553" t="s">
        <v>5277</v>
      </c>
      <c r="AD3553" t="e">
        <f>VLOOKUP(AB3553,#REF!,2,FALSE)</f>
        <v>#REF!</v>
      </c>
      <c r="AE3553" t="e">
        <f>RIGHT(#REF!,(FIND("Complex",#REF!,1)-8))</f>
        <v>#REF!</v>
      </c>
    </row>
    <row r="3554" spans="1:31" x14ac:dyDescent="0.25">
      <c r="A3554">
        <v>335</v>
      </c>
      <c r="B3554" t="s">
        <v>50</v>
      </c>
      <c r="C3554">
        <v>38</v>
      </c>
      <c r="D3554">
        <v>138</v>
      </c>
      <c r="E3554">
        <v>335</v>
      </c>
      <c r="F3554">
        <v>8820001</v>
      </c>
      <c r="G3554">
        <v>8908200</v>
      </c>
      <c r="H3554">
        <f t="shared" si="110"/>
        <v>200.00002267573697</v>
      </c>
      <c r="I3554">
        <f t="shared" si="111"/>
        <v>202</v>
      </c>
      <c r="J3554" t="s">
        <v>25</v>
      </c>
      <c r="K3554">
        <v>3</v>
      </c>
      <c r="L3554" t="e">
        <f t="array" ref="L3554">VLOOKUP(J3554:$J$3871&amp;K3554:$K$3871,CHOOSE({1,2},#REF!&amp;#REF!,#REF!),2,0)</f>
        <v>#N/A</v>
      </c>
      <c r="M3554">
        <v>-15</v>
      </c>
      <c r="N3554">
        <v>0</v>
      </c>
      <c r="O3554" t="s">
        <v>7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1</v>
      </c>
      <c r="Y3554">
        <v>0</v>
      </c>
      <c r="Z3554">
        <v>0</v>
      </c>
      <c r="AA3554" t="s">
        <v>5634</v>
      </c>
      <c r="AB3554" t="s">
        <v>7578</v>
      </c>
      <c r="AC3554" t="s">
        <v>5634</v>
      </c>
      <c r="AD3554" t="e">
        <f>VLOOKUP(AB3554,#REF!,2,FALSE)</f>
        <v>#REF!</v>
      </c>
      <c r="AE3554" t="e">
        <f>RIGHT(#REF!,(FIND("Complex",#REF!,1)-6))</f>
        <v>#REF!</v>
      </c>
    </row>
    <row r="3555" spans="1:31" x14ac:dyDescent="0.25">
      <c r="A3555">
        <v>2208</v>
      </c>
      <c r="B3555" t="s">
        <v>88</v>
      </c>
      <c r="C3555">
        <v>39</v>
      </c>
      <c r="D3555">
        <v>915</v>
      </c>
      <c r="E3555">
        <v>2208</v>
      </c>
      <c r="F3555">
        <v>705601</v>
      </c>
      <c r="G3555">
        <v>793800</v>
      </c>
      <c r="H3555">
        <f t="shared" si="110"/>
        <v>16.000022675736961</v>
      </c>
      <c r="I3555">
        <f t="shared" si="111"/>
        <v>18</v>
      </c>
      <c r="J3555" t="s">
        <v>25</v>
      </c>
      <c r="K3555">
        <v>3</v>
      </c>
      <c r="L3555" t="e">
        <f t="array" ref="L3555">VLOOKUP(J3555:$J$3871&amp;K3555:$K$3871,CHOOSE({1,2},#REF!&amp;#REF!,#REF!),2,0)</f>
        <v>#N/A</v>
      </c>
      <c r="M3555">
        <v>-15</v>
      </c>
      <c r="N3555">
        <v>0</v>
      </c>
      <c r="O3555" t="s">
        <v>7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1</v>
      </c>
      <c r="Y3555">
        <v>0</v>
      </c>
      <c r="Z3555">
        <v>0</v>
      </c>
      <c r="AA3555" t="s">
        <v>5821</v>
      </c>
      <c r="AB3555" t="s">
        <v>7689</v>
      </c>
      <c r="AC3555" t="s">
        <v>5821</v>
      </c>
      <c r="AD3555" t="e">
        <f>VLOOKUP(AB3555,#REF!,2,FALSE)</f>
        <v>#REF!</v>
      </c>
      <c r="AE3555" t="e">
        <f>RIGHT(#REF!,(FIND("Complex",#REF!,1)-8))</f>
        <v>#REF!</v>
      </c>
    </row>
    <row r="3556" spans="1:31" x14ac:dyDescent="0.25">
      <c r="A3556">
        <v>1209</v>
      </c>
      <c r="B3556" t="s">
        <v>246</v>
      </c>
      <c r="C3556">
        <v>41</v>
      </c>
      <c r="D3556">
        <v>534</v>
      </c>
      <c r="E3556">
        <v>1209</v>
      </c>
      <c r="F3556">
        <v>8114401</v>
      </c>
      <c r="G3556">
        <v>8202600</v>
      </c>
      <c r="H3556">
        <f t="shared" si="110"/>
        <v>184.00002267573697</v>
      </c>
      <c r="I3556">
        <f t="shared" si="111"/>
        <v>186</v>
      </c>
      <c r="J3556" t="s">
        <v>25</v>
      </c>
      <c r="K3556">
        <v>3</v>
      </c>
      <c r="L3556" t="e">
        <f t="array" ref="L3556">VLOOKUP(J3556:$J$3871&amp;K3556:$K$3871,CHOOSE({1,2},#REF!&amp;#REF!,#REF!),2,0)</f>
        <v>#N/A</v>
      </c>
      <c r="M3556">
        <v>-15</v>
      </c>
      <c r="N3556">
        <v>0</v>
      </c>
      <c r="O3556" t="s">
        <v>7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1</v>
      </c>
      <c r="Y3556">
        <v>0</v>
      </c>
      <c r="Z3556">
        <v>0</v>
      </c>
      <c r="AA3556" t="s">
        <v>5689</v>
      </c>
      <c r="AB3556" t="s">
        <v>1226</v>
      </c>
      <c r="AC3556" t="s">
        <v>5689</v>
      </c>
      <c r="AD3556" t="e">
        <f>VLOOKUP(AB3556,#REF!,2,FALSE)</f>
        <v>#REF!</v>
      </c>
      <c r="AE3556" t="e">
        <f>RIGHT(#REF!,(FIND("Complex",#REF!,1)-7))</f>
        <v>#REF!</v>
      </c>
    </row>
    <row r="3557" spans="1:31" x14ac:dyDescent="0.25">
      <c r="A3557">
        <v>289</v>
      </c>
      <c r="B3557" t="s">
        <v>246</v>
      </c>
      <c r="C3557">
        <v>41</v>
      </c>
      <c r="D3557">
        <v>123</v>
      </c>
      <c r="E3557">
        <v>289</v>
      </c>
      <c r="F3557">
        <v>7585201</v>
      </c>
      <c r="G3557">
        <v>7673400</v>
      </c>
      <c r="H3557">
        <f t="shared" si="110"/>
        <v>172.00002267573697</v>
      </c>
      <c r="I3557">
        <f t="shared" si="111"/>
        <v>174</v>
      </c>
      <c r="J3557" t="s">
        <v>25</v>
      </c>
      <c r="K3557">
        <v>3</v>
      </c>
      <c r="L3557" t="e">
        <f t="array" ref="L3557">VLOOKUP(J3557:$J$3871&amp;K3557:$K$3871,CHOOSE({1,2},#REF!&amp;#REF!,#REF!),2,0)</f>
        <v>#N/A</v>
      </c>
      <c r="M3557">
        <v>-15</v>
      </c>
      <c r="N3557">
        <v>0</v>
      </c>
      <c r="O3557" t="s">
        <v>7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1</v>
      </c>
      <c r="Y3557">
        <v>0</v>
      </c>
      <c r="Z3557">
        <v>0</v>
      </c>
      <c r="AA3557" t="s">
        <v>5747</v>
      </c>
      <c r="AB3557" t="s">
        <v>7647</v>
      </c>
      <c r="AC3557" t="s">
        <v>5747</v>
      </c>
      <c r="AD3557" t="e">
        <f>VLOOKUP(AB3557,#REF!,2,FALSE)</f>
        <v>#REF!</v>
      </c>
      <c r="AE3557" t="e">
        <f>RIGHT(#REF!,(FIND("Complex",#REF!,1)-6))</f>
        <v>#REF!</v>
      </c>
    </row>
    <row r="3558" spans="1:31" x14ac:dyDescent="0.25">
      <c r="A3558">
        <v>1473</v>
      </c>
      <c r="B3558" t="s">
        <v>246</v>
      </c>
      <c r="C3558">
        <v>41</v>
      </c>
      <c r="D3558">
        <v>645</v>
      </c>
      <c r="E3558">
        <v>1473</v>
      </c>
      <c r="F3558">
        <v>7497001</v>
      </c>
      <c r="G3558">
        <v>7585200</v>
      </c>
      <c r="H3558">
        <f t="shared" si="110"/>
        <v>170.00002267573697</v>
      </c>
      <c r="I3558">
        <f t="shared" si="111"/>
        <v>172</v>
      </c>
      <c r="J3558" t="s">
        <v>25</v>
      </c>
      <c r="K3558">
        <v>3</v>
      </c>
      <c r="L3558" t="e">
        <f t="array" ref="L3558">VLOOKUP(J3558:$J$3871&amp;K3558:$K$3871,CHOOSE({1,2},#REF!&amp;#REF!,#REF!),2,0)</f>
        <v>#N/A</v>
      </c>
      <c r="M3558">
        <v>-15</v>
      </c>
      <c r="N3558">
        <v>0</v>
      </c>
      <c r="O3558" t="s">
        <v>7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1</v>
      </c>
      <c r="Y3558">
        <v>0</v>
      </c>
      <c r="Z3558">
        <v>0</v>
      </c>
      <c r="AA3558" t="s">
        <v>5756</v>
      </c>
      <c r="AB3558" t="s">
        <v>7654</v>
      </c>
      <c r="AC3558" t="s">
        <v>5756</v>
      </c>
      <c r="AD3558" t="e">
        <f>VLOOKUP(AB3558,#REF!,2,FALSE)</f>
        <v>#REF!</v>
      </c>
      <c r="AE3558" t="e">
        <f>RIGHT(#REF!,(FIND("Complex",#REF!,1)-7))</f>
        <v>#REF!</v>
      </c>
    </row>
    <row r="3559" spans="1:31" x14ac:dyDescent="0.25">
      <c r="A3559">
        <v>480</v>
      </c>
      <c r="B3559" t="s">
        <v>37</v>
      </c>
      <c r="C3559">
        <v>43</v>
      </c>
      <c r="D3559">
        <v>199</v>
      </c>
      <c r="E3559">
        <v>480</v>
      </c>
      <c r="F3559">
        <v>3792601</v>
      </c>
      <c r="G3559">
        <v>3880800</v>
      </c>
      <c r="H3559">
        <f t="shared" si="110"/>
        <v>86.000022675736957</v>
      </c>
      <c r="I3559">
        <f t="shared" si="111"/>
        <v>88</v>
      </c>
      <c r="J3559" t="s">
        <v>25</v>
      </c>
      <c r="K3559">
        <v>3</v>
      </c>
      <c r="L3559" t="e">
        <f t="array" ref="L3559">VLOOKUP(J3559:$J$3871&amp;K3559:$K$3871,CHOOSE({1,2},#REF!&amp;#REF!,#REF!),2,0)</f>
        <v>#N/A</v>
      </c>
      <c r="M3559">
        <v>-15</v>
      </c>
      <c r="N3559">
        <v>0</v>
      </c>
      <c r="O3559" t="s">
        <v>7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1</v>
      </c>
      <c r="Y3559">
        <v>0</v>
      </c>
      <c r="Z3559">
        <v>0</v>
      </c>
      <c r="AA3559" t="s">
        <v>4947</v>
      </c>
      <c r="AB3559" t="s">
        <v>1255</v>
      </c>
      <c r="AC3559" t="s">
        <v>4947</v>
      </c>
      <c r="AD3559" t="e">
        <f>VLOOKUP(AB3559,#REF!,2,FALSE)</f>
        <v>#REF!</v>
      </c>
      <c r="AE3559" t="e">
        <f>RIGHT(#REF!,(FIND("Complex",#REF!,1)-7))</f>
        <v>#REF!</v>
      </c>
    </row>
    <row r="3560" spans="1:31" x14ac:dyDescent="0.25">
      <c r="A3560">
        <v>897</v>
      </c>
      <c r="B3560" t="s">
        <v>37</v>
      </c>
      <c r="C3560">
        <v>43</v>
      </c>
      <c r="D3560">
        <v>399</v>
      </c>
      <c r="E3560">
        <v>897</v>
      </c>
      <c r="F3560">
        <v>1323001</v>
      </c>
      <c r="G3560">
        <v>1411200</v>
      </c>
      <c r="H3560">
        <f t="shared" si="110"/>
        <v>30.000022675736961</v>
      </c>
      <c r="I3560">
        <f t="shared" si="111"/>
        <v>32</v>
      </c>
      <c r="J3560" t="s">
        <v>25</v>
      </c>
      <c r="K3560">
        <v>3</v>
      </c>
      <c r="L3560" t="e">
        <f t="array" ref="L3560">VLOOKUP(J3560:$J$3871&amp;K3560:$K$3871,CHOOSE({1,2},#REF!&amp;#REF!,#REF!),2,0)</f>
        <v>#N/A</v>
      </c>
      <c r="M3560">
        <v>-15</v>
      </c>
      <c r="N3560">
        <v>0</v>
      </c>
      <c r="O3560" t="s">
        <v>7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</v>
      </c>
      <c r="W3560">
        <v>1</v>
      </c>
      <c r="X3560">
        <v>1</v>
      </c>
      <c r="Y3560">
        <v>0</v>
      </c>
      <c r="Z3560">
        <v>0</v>
      </c>
      <c r="AA3560" t="s">
        <v>5382</v>
      </c>
      <c r="AB3560" t="s">
        <v>7411</v>
      </c>
      <c r="AC3560" t="s">
        <v>5382</v>
      </c>
      <c r="AD3560" t="e">
        <f>VLOOKUP(AB3560,#REF!,2,FALSE)</f>
        <v>#REF!</v>
      </c>
      <c r="AE3560" t="e">
        <f>RIGHT(#REF!,(FIND("Complex",#REF!,1)-7))</f>
        <v>#REF!</v>
      </c>
    </row>
    <row r="3561" spans="1:31" x14ac:dyDescent="0.25">
      <c r="A3561">
        <v>1393</v>
      </c>
      <c r="B3561" t="s">
        <v>37</v>
      </c>
      <c r="C3561">
        <v>43</v>
      </c>
      <c r="D3561">
        <v>608</v>
      </c>
      <c r="E3561">
        <v>1393</v>
      </c>
      <c r="F3561">
        <v>1234801</v>
      </c>
      <c r="G3561">
        <v>1323000</v>
      </c>
      <c r="H3561">
        <f t="shared" si="110"/>
        <v>28.000022675736961</v>
      </c>
      <c r="I3561">
        <f t="shared" si="111"/>
        <v>30</v>
      </c>
      <c r="J3561" t="s">
        <v>25</v>
      </c>
      <c r="K3561">
        <v>3</v>
      </c>
      <c r="L3561" t="e">
        <f t="array" ref="L3561">VLOOKUP(J3561:$J$3871&amp;K3561:$K$3871,CHOOSE({1,2},#REF!&amp;#REF!,#REF!),2,0)</f>
        <v>#N/A</v>
      </c>
      <c r="M3561">
        <v>-15</v>
      </c>
      <c r="N3561">
        <v>0</v>
      </c>
      <c r="O3561" t="s">
        <v>7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1</v>
      </c>
      <c r="X3561">
        <v>1</v>
      </c>
      <c r="Y3561">
        <v>0</v>
      </c>
      <c r="Z3561">
        <v>0</v>
      </c>
      <c r="AA3561" t="s">
        <v>5412</v>
      </c>
      <c r="AB3561" t="s">
        <v>7430</v>
      </c>
      <c r="AC3561" t="s">
        <v>5412</v>
      </c>
      <c r="AD3561" t="e">
        <f>VLOOKUP(AB3561,#REF!,2,FALSE)</f>
        <v>#REF!</v>
      </c>
      <c r="AE3561" t="e">
        <f>RIGHT(#REF!,(FIND("Complex",#REF!,1)-8))</f>
        <v>#REF!</v>
      </c>
    </row>
    <row r="3562" spans="1:31" x14ac:dyDescent="0.25">
      <c r="A3562">
        <v>1630</v>
      </c>
      <c r="B3562" t="s">
        <v>37</v>
      </c>
      <c r="C3562">
        <v>43</v>
      </c>
      <c r="D3562">
        <v>708</v>
      </c>
      <c r="E3562">
        <v>1630</v>
      </c>
      <c r="F3562">
        <v>970201</v>
      </c>
      <c r="G3562">
        <v>1058400</v>
      </c>
      <c r="H3562">
        <f t="shared" si="110"/>
        <v>22.000022675736961</v>
      </c>
      <c r="I3562">
        <f t="shared" si="111"/>
        <v>24</v>
      </c>
      <c r="J3562" t="s">
        <v>25</v>
      </c>
      <c r="K3562">
        <v>3</v>
      </c>
      <c r="L3562" t="e">
        <f t="array" ref="L3562">VLOOKUP(J3562:$J$3871&amp;K3562:$K$3871,CHOOSE({1,2},#REF!&amp;#REF!,#REF!),2,0)</f>
        <v>#N/A</v>
      </c>
      <c r="M3562">
        <v>-15</v>
      </c>
      <c r="N3562">
        <v>0</v>
      </c>
      <c r="O3562" t="s">
        <v>7</v>
      </c>
      <c r="P3562">
        <v>0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1</v>
      </c>
      <c r="X3562">
        <v>1</v>
      </c>
      <c r="Y3562">
        <v>0</v>
      </c>
      <c r="Z3562">
        <v>0</v>
      </c>
      <c r="AA3562" t="s">
        <v>5580</v>
      </c>
      <c r="AB3562" t="s">
        <v>7540</v>
      </c>
      <c r="AC3562" t="s">
        <v>5580</v>
      </c>
      <c r="AD3562" t="e">
        <f>VLOOKUP(AB3562,#REF!,2,FALSE)</f>
        <v>#REF!</v>
      </c>
      <c r="AE3562" t="e">
        <f>RIGHT(#REF!,(FIND("Complex",#REF!,1)-8))</f>
        <v>#REF!</v>
      </c>
    </row>
    <row r="3563" spans="1:31" x14ac:dyDescent="0.25">
      <c r="A3563">
        <v>1061</v>
      </c>
      <c r="B3563" t="s">
        <v>248</v>
      </c>
      <c r="C3563">
        <v>45</v>
      </c>
      <c r="D3563">
        <v>469</v>
      </c>
      <c r="E3563">
        <v>1061</v>
      </c>
      <c r="F3563">
        <v>3704401</v>
      </c>
      <c r="G3563">
        <v>3792600</v>
      </c>
      <c r="H3563">
        <f t="shared" si="110"/>
        <v>84.000022675736957</v>
      </c>
      <c r="I3563">
        <f t="shared" si="111"/>
        <v>86</v>
      </c>
      <c r="J3563" t="s">
        <v>25</v>
      </c>
      <c r="K3563">
        <v>3</v>
      </c>
      <c r="L3563" t="e">
        <f t="array" ref="L3563">VLOOKUP(J3563:$J$3871&amp;K3563:$K$3871,CHOOSE({1,2},#REF!&amp;#REF!,#REF!),2,0)</f>
        <v>#N/A</v>
      </c>
      <c r="M3563">
        <v>-15</v>
      </c>
      <c r="N3563">
        <v>0</v>
      </c>
      <c r="O3563" t="s">
        <v>7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1</v>
      </c>
      <c r="AA3563" t="s">
        <v>4958</v>
      </c>
      <c r="AB3563" t="s">
        <v>1259</v>
      </c>
      <c r="AC3563" t="s">
        <v>4958</v>
      </c>
      <c r="AD3563" t="e">
        <f>VLOOKUP(AB3563,#REF!,2,FALSE)</f>
        <v>#REF!</v>
      </c>
      <c r="AE3563" t="e">
        <f>RIGHT(#REF!,(FIND("Complex",#REF!,1)-8))</f>
        <v>#REF!</v>
      </c>
    </row>
    <row r="3564" spans="1:31" x14ac:dyDescent="0.25">
      <c r="A3564">
        <v>616</v>
      </c>
      <c r="B3564" t="s">
        <v>248</v>
      </c>
      <c r="C3564">
        <v>45</v>
      </c>
      <c r="D3564">
        <v>265</v>
      </c>
      <c r="E3564">
        <v>616</v>
      </c>
      <c r="F3564">
        <v>3439801</v>
      </c>
      <c r="G3564">
        <v>3528000</v>
      </c>
      <c r="H3564">
        <f t="shared" si="110"/>
        <v>78.000022675736957</v>
      </c>
      <c r="I3564">
        <f t="shared" si="111"/>
        <v>80</v>
      </c>
      <c r="J3564" t="s">
        <v>25</v>
      </c>
      <c r="K3564">
        <v>3</v>
      </c>
      <c r="L3564" t="e">
        <f t="array" ref="L3564">VLOOKUP(J3564:$J$3871&amp;K3564:$K$3871,CHOOSE({1,2},#REF!&amp;#REF!,#REF!),2,0)</f>
        <v>#N/A</v>
      </c>
      <c r="M3564">
        <v>-15</v>
      </c>
      <c r="N3564">
        <v>0</v>
      </c>
      <c r="O3564" t="s">
        <v>7</v>
      </c>
      <c r="P3564">
        <v>0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1</v>
      </c>
      <c r="AA3564" t="s">
        <v>5007</v>
      </c>
      <c r="AB3564" t="s">
        <v>7221</v>
      </c>
      <c r="AC3564" t="s">
        <v>5007</v>
      </c>
      <c r="AD3564" t="e">
        <f>VLOOKUP(AB3564,#REF!,2,FALSE)</f>
        <v>#REF!</v>
      </c>
      <c r="AE3564" t="e">
        <f>RIGHT(#REF!,(FIND("Complex",#REF!,1)-7))</f>
        <v>#REF!</v>
      </c>
    </row>
    <row r="3565" spans="1:31" x14ac:dyDescent="0.25">
      <c r="A3565">
        <v>30</v>
      </c>
      <c r="B3565" t="s">
        <v>248</v>
      </c>
      <c r="C3565">
        <v>45</v>
      </c>
      <c r="D3565">
        <v>13</v>
      </c>
      <c r="E3565">
        <v>30</v>
      </c>
      <c r="F3565">
        <v>3175201</v>
      </c>
      <c r="G3565">
        <v>3263400</v>
      </c>
      <c r="H3565">
        <f t="shared" si="110"/>
        <v>72.000022675736957</v>
      </c>
      <c r="I3565">
        <f t="shared" si="111"/>
        <v>74</v>
      </c>
      <c r="J3565" t="s">
        <v>25</v>
      </c>
      <c r="K3565">
        <v>3</v>
      </c>
      <c r="L3565" t="e">
        <f t="array" ref="L3565">VLOOKUP(J3565:$J$3871&amp;K3565:$K$3871,CHOOSE({1,2},#REF!&amp;#REF!,#REF!),2,0)</f>
        <v>#N/A</v>
      </c>
      <c r="M3565">
        <v>-15</v>
      </c>
      <c r="N3565">
        <v>0</v>
      </c>
      <c r="O3565" t="s">
        <v>7</v>
      </c>
      <c r="P3565">
        <v>0</v>
      </c>
      <c r="Q3565">
        <v>1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 t="s">
        <v>5044</v>
      </c>
      <c r="AB3565" t="s">
        <v>1260</v>
      </c>
      <c r="AC3565" t="s">
        <v>5044</v>
      </c>
      <c r="AD3565" t="e">
        <f>VLOOKUP(AB3565,#REF!,2,FALSE)</f>
        <v>#REF!</v>
      </c>
      <c r="AE3565" t="e">
        <f>RIGHT(#REF!,(FIND("Complex",#REF!,1)-6))</f>
        <v>#REF!</v>
      </c>
    </row>
    <row r="3566" spans="1:31" x14ac:dyDescent="0.25">
      <c r="A3566">
        <v>880</v>
      </c>
      <c r="B3566" t="s">
        <v>248</v>
      </c>
      <c r="C3566">
        <v>45</v>
      </c>
      <c r="D3566">
        <v>390</v>
      </c>
      <c r="E3566">
        <v>880</v>
      </c>
      <c r="F3566">
        <v>2998801</v>
      </c>
      <c r="G3566">
        <v>3087000</v>
      </c>
      <c r="H3566">
        <f t="shared" si="110"/>
        <v>68.000022675736957</v>
      </c>
      <c r="I3566">
        <f t="shared" si="111"/>
        <v>70</v>
      </c>
      <c r="J3566" t="s">
        <v>25</v>
      </c>
      <c r="K3566">
        <v>3</v>
      </c>
      <c r="L3566" t="e">
        <f t="array" ref="L3566">VLOOKUP(J3566:$J$3871&amp;K3566:$K$3871,CHOOSE({1,2},#REF!&amp;#REF!,#REF!),2,0)</f>
        <v>#N/A</v>
      </c>
      <c r="M3566">
        <v>-15</v>
      </c>
      <c r="N3566">
        <v>0</v>
      </c>
      <c r="O3566" t="s">
        <v>7</v>
      </c>
      <c r="P3566">
        <v>0</v>
      </c>
      <c r="Q3566">
        <v>1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 t="s">
        <v>5070</v>
      </c>
      <c r="AB3566" t="s">
        <v>7251</v>
      </c>
      <c r="AC3566" t="s">
        <v>5070</v>
      </c>
      <c r="AD3566" t="e">
        <f>VLOOKUP(AB3566,#REF!,2,FALSE)</f>
        <v>#REF!</v>
      </c>
      <c r="AE3566" t="e">
        <f>RIGHT(#REF!,(FIND("Complex",#REF!,1)-7))</f>
        <v>#REF!</v>
      </c>
    </row>
    <row r="3567" spans="1:31" x14ac:dyDescent="0.25">
      <c r="A3567">
        <v>1956</v>
      </c>
      <c r="B3567" t="s">
        <v>248</v>
      </c>
      <c r="C3567">
        <v>45</v>
      </c>
      <c r="D3567">
        <v>846</v>
      </c>
      <c r="E3567">
        <v>1956</v>
      </c>
      <c r="F3567">
        <v>8467201</v>
      </c>
      <c r="G3567">
        <v>8555400</v>
      </c>
      <c r="H3567">
        <f t="shared" si="110"/>
        <v>192.00002267573697</v>
      </c>
      <c r="I3567">
        <f t="shared" si="111"/>
        <v>194</v>
      </c>
      <c r="J3567" t="s">
        <v>25</v>
      </c>
      <c r="K3567">
        <v>3</v>
      </c>
      <c r="L3567" t="e">
        <f t="array" ref="L3567">VLOOKUP(J3567:$J$3871&amp;K3567:$K$3871,CHOOSE({1,2},#REF!&amp;#REF!,#REF!),2,0)</f>
        <v>#N/A</v>
      </c>
      <c r="M3567">
        <v>-15</v>
      </c>
      <c r="N3567">
        <v>0</v>
      </c>
      <c r="O3567" t="s">
        <v>7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1</v>
      </c>
      <c r="Z3567">
        <v>1</v>
      </c>
      <c r="AA3567" t="s">
        <v>5674</v>
      </c>
      <c r="AB3567" t="s">
        <v>7603</v>
      </c>
      <c r="AC3567" t="s">
        <v>5674</v>
      </c>
      <c r="AD3567" t="e">
        <f>VLOOKUP(AB3567,#REF!,2,FALSE)</f>
        <v>#REF!</v>
      </c>
      <c r="AE3567" t="e">
        <f>RIGHT(#REF!,(FIND("Complex",#REF!,1)-7))</f>
        <v>#REF!</v>
      </c>
    </row>
    <row r="3568" spans="1:31" x14ac:dyDescent="0.25">
      <c r="A3568">
        <v>1673</v>
      </c>
      <c r="B3568" t="s">
        <v>248</v>
      </c>
      <c r="C3568">
        <v>45</v>
      </c>
      <c r="D3568">
        <v>731</v>
      </c>
      <c r="E3568">
        <v>1673</v>
      </c>
      <c r="F3568">
        <v>7144201</v>
      </c>
      <c r="G3568">
        <v>7232400</v>
      </c>
      <c r="H3568">
        <f t="shared" si="110"/>
        <v>162.00002267573697</v>
      </c>
      <c r="I3568">
        <f t="shared" si="111"/>
        <v>164</v>
      </c>
      <c r="J3568" t="s">
        <v>25</v>
      </c>
      <c r="K3568">
        <v>3</v>
      </c>
      <c r="L3568" t="e">
        <f t="array" ref="L3568">VLOOKUP(J3568:$J$3871&amp;K3568:$K$3871,CHOOSE({1,2},#REF!&amp;#REF!,#REF!),2,0)</f>
        <v>#N/A</v>
      </c>
      <c r="M3568">
        <v>-15</v>
      </c>
      <c r="N3568">
        <v>0</v>
      </c>
      <c r="O3568" t="s">
        <v>7</v>
      </c>
      <c r="P3568">
        <v>0</v>
      </c>
      <c r="Q3568">
        <v>1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 t="s">
        <v>5789</v>
      </c>
      <c r="AB3568" t="s">
        <v>7675</v>
      </c>
      <c r="AC3568" t="s">
        <v>5789</v>
      </c>
      <c r="AD3568" t="e">
        <f>VLOOKUP(AB3568,#REF!,2,FALSE)</f>
        <v>#REF!</v>
      </c>
      <c r="AE3568" t="e">
        <f>RIGHT(#REF!,(FIND("Complex",#REF!,1)-7))</f>
        <v>#REF!</v>
      </c>
    </row>
    <row r="3569" spans="1:31" x14ac:dyDescent="0.25">
      <c r="A3569">
        <v>1584</v>
      </c>
      <c r="B3569" t="s">
        <v>249</v>
      </c>
      <c r="C3569">
        <v>46</v>
      </c>
      <c r="D3569">
        <v>686</v>
      </c>
      <c r="E3569">
        <v>1584</v>
      </c>
      <c r="F3569">
        <v>352801</v>
      </c>
      <c r="G3569">
        <v>441000</v>
      </c>
      <c r="H3569">
        <f t="shared" si="110"/>
        <v>8.000022675736961</v>
      </c>
      <c r="I3569">
        <f t="shared" si="111"/>
        <v>10</v>
      </c>
      <c r="J3569" t="s">
        <v>25</v>
      </c>
      <c r="K3569">
        <v>3</v>
      </c>
      <c r="L3569" t="e">
        <f t="array" ref="L3569">VLOOKUP(J3569:$J$3871&amp;K3569:$K$3871,CHOOSE({1,2},#REF!&amp;#REF!,#REF!),2,0)</f>
        <v>#N/A</v>
      </c>
      <c r="M3569">
        <v>-15</v>
      </c>
      <c r="N3569">
        <v>0</v>
      </c>
      <c r="O3569" t="s">
        <v>7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1</v>
      </c>
      <c r="AA3569" t="s">
        <v>4993</v>
      </c>
      <c r="AB3569" t="s">
        <v>7211</v>
      </c>
      <c r="AC3569" t="s">
        <v>4993</v>
      </c>
      <c r="AD3569" t="e">
        <f>VLOOKUP(AB3569,#REF!,2,FALSE)</f>
        <v>#REF!</v>
      </c>
      <c r="AE3569" t="e">
        <f>RIGHT(#REF!,(FIND("Complex",#REF!,1)-9))</f>
        <v>#REF!</v>
      </c>
    </row>
    <row r="3570" spans="1:31" x14ac:dyDescent="0.25">
      <c r="A3570">
        <v>955</v>
      </c>
      <c r="B3570" t="s">
        <v>249</v>
      </c>
      <c r="C3570">
        <v>46</v>
      </c>
      <c r="D3570">
        <v>421</v>
      </c>
      <c r="E3570">
        <v>955</v>
      </c>
      <c r="F3570">
        <v>1852201</v>
      </c>
      <c r="G3570">
        <v>1940400</v>
      </c>
      <c r="H3570">
        <f t="shared" si="110"/>
        <v>42.000022675736965</v>
      </c>
      <c r="I3570">
        <f t="shared" si="111"/>
        <v>44</v>
      </c>
      <c r="J3570" t="s">
        <v>25</v>
      </c>
      <c r="K3570">
        <v>3</v>
      </c>
      <c r="L3570" t="e">
        <f t="array" ref="L3570">VLOOKUP(J3570:$J$3871&amp;K3570:$K$3871,CHOOSE({1,2},#REF!&amp;#REF!,#REF!),2,0)</f>
        <v>#N/A</v>
      </c>
      <c r="M3570">
        <v>-15</v>
      </c>
      <c r="N3570">
        <v>0</v>
      </c>
      <c r="O3570" t="s">
        <v>7</v>
      </c>
      <c r="P3570">
        <v>0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1</v>
      </c>
      <c r="AA3570" t="s">
        <v>5245</v>
      </c>
      <c r="AB3570" t="s">
        <v>7332</v>
      </c>
      <c r="AC3570" t="s">
        <v>5245</v>
      </c>
      <c r="AD3570" t="e">
        <f>VLOOKUP(AB3570,#REF!,2,FALSE)</f>
        <v>#REF!</v>
      </c>
      <c r="AE3570" t="e">
        <f>RIGHT(#REF!,(FIND("Complex",#REF!,1)-7))</f>
        <v>#REF!</v>
      </c>
    </row>
    <row r="3571" spans="1:31" x14ac:dyDescent="0.25">
      <c r="A3571">
        <v>684</v>
      </c>
      <c r="B3571" t="s">
        <v>249</v>
      </c>
      <c r="C3571">
        <v>46</v>
      </c>
      <c r="D3571">
        <v>298</v>
      </c>
      <c r="E3571">
        <v>684</v>
      </c>
      <c r="F3571">
        <v>970201</v>
      </c>
      <c r="G3571">
        <v>1058400</v>
      </c>
      <c r="H3571">
        <f t="shared" si="110"/>
        <v>22.000022675736961</v>
      </c>
      <c r="I3571">
        <f t="shared" si="111"/>
        <v>24</v>
      </c>
      <c r="J3571" t="s">
        <v>25</v>
      </c>
      <c r="K3571">
        <v>3</v>
      </c>
      <c r="L3571" t="e">
        <f t="array" ref="L3571">VLOOKUP(J3571:$J$3871&amp;K3571:$K$3871,CHOOSE({1,2},#REF!&amp;#REF!,#REF!),2,0)</f>
        <v>#N/A</v>
      </c>
      <c r="M3571">
        <v>-15</v>
      </c>
      <c r="N3571">
        <v>0</v>
      </c>
      <c r="O3571" t="s">
        <v>7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1</v>
      </c>
      <c r="AA3571" t="s">
        <v>5579</v>
      </c>
      <c r="AB3571" t="s">
        <v>7539</v>
      </c>
      <c r="AC3571" t="s">
        <v>5579</v>
      </c>
      <c r="AD3571" t="e">
        <f>VLOOKUP(AB3571,#REF!,2,FALSE)</f>
        <v>#REF!</v>
      </c>
      <c r="AE3571" t="e">
        <f>RIGHT(#REF!,(FIND("Complex",#REF!,1)-7))</f>
        <v>#REF!</v>
      </c>
    </row>
    <row r="3572" spans="1:31" x14ac:dyDescent="0.25">
      <c r="A3572">
        <v>1833</v>
      </c>
      <c r="B3572" t="s">
        <v>249</v>
      </c>
      <c r="C3572">
        <v>46</v>
      </c>
      <c r="D3572">
        <v>796</v>
      </c>
      <c r="E3572">
        <v>1833</v>
      </c>
      <c r="F3572">
        <v>6262201</v>
      </c>
      <c r="G3572">
        <v>6350400</v>
      </c>
      <c r="H3572">
        <f t="shared" si="110"/>
        <v>142.00002267573697</v>
      </c>
      <c r="I3572">
        <f t="shared" si="111"/>
        <v>144</v>
      </c>
      <c r="J3572" t="s">
        <v>25</v>
      </c>
      <c r="K3572">
        <v>3</v>
      </c>
      <c r="L3572" t="e">
        <f t="array" ref="L3572">VLOOKUP(J3572:$J$3871&amp;K3572:$K$3871,CHOOSE({1,2},#REF!&amp;#REF!,#REF!),2,0)</f>
        <v>#N/A</v>
      </c>
      <c r="M3572">
        <v>-15</v>
      </c>
      <c r="N3572">
        <v>0</v>
      </c>
      <c r="O3572" t="s">
        <v>7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1</v>
      </c>
      <c r="Z3572">
        <v>0</v>
      </c>
      <c r="AA3572" t="s">
        <v>5916</v>
      </c>
      <c r="AB3572" t="s">
        <v>7751</v>
      </c>
      <c r="AC3572" t="s">
        <v>5916</v>
      </c>
      <c r="AD3572" t="e">
        <f>VLOOKUP(AB3572,#REF!,2,FALSE)</f>
        <v>#REF!</v>
      </c>
      <c r="AE3572" t="e">
        <f>RIGHT(#REF!,(FIND("Complex",#REF!,1)-7))</f>
        <v>#REF!</v>
      </c>
    </row>
    <row r="3573" spans="1:31" x14ac:dyDescent="0.25">
      <c r="A3573">
        <v>236</v>
      </c>
      <c r="B3573" t="s">
        <v>249</v>
      </c>
      <c r="C3573">
        <v>46</v>
      </c>
      <c r="D3573">
        <v>101</v>
      </c>
      <c r="E3573">
        <v>236</v>
      </c>
      <c r="F3573">
        <v>6085801</v>
      </c>
      <c r="G3573">
        <v>6174000</v>
      </c>
      <c r="H3573">
        <f t="shared" si="110"/>
        <v>138.00002267573697</v>
      </c>
      <c r="I3573">
        <f t="shared" si="111"/>
        <v>140</v>
      </c>
      <c r="J3573" t="s">
        <v>25</v>
      </c>
      <c r="K3573">
        <v>3</v>
      </c>
      <c r="L3573" t="e">
        <f t="array" ref="L3573">VLOOKUP(J3573:$J$3871&amp;K3573:$K$3871,CHOOSE({1,2},#REF!&amp;#REF!,#REF!),2,0)</f>
        <v>#N/A</v>
      </c>
      <c r="M3573">
        <v>-15</v>
      </c>
      <c r="N3573">
        <v>0</v>
      </c>
      <c r="O3573" t="s">
        <v>7</v>
      </c>
      <c r="P3573">
        <v>0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1</v>
      </c>
      <c r="Z3573">
        <v>0</v>
      </c>
      <c r="AA3573" t="s">
        <v>5952</v>
      </c>
      <c r="AB3573" t="s">
        <v>7770</v>
      </c>
      <c r="AC3573" t="s">
        <v>5952</v>
      </c>
      <c r="AD3573" t="e">
        <f>VLOOKUP(AB3573,#REF!,2,FALSE)</f>
        <v>#REF!</v>
      </c>
      <c r="AE3573" t="e">
        <f>RIGHT(#REF!,(FIND("Complex",#REF!,1)-6))</f>
        <v>#REF!</v>
      </c>
    </row>
    <row r="3574" spans="1:31" x14ac:dyDescent="0.25">
      <c r="A3574">
        <v>1935</v>
      </c>
      <c r="B3574" t="s">
        <v>249</v>
      </c>
      <c r="C3574">
        <v>46</v>
      </c>
      <c r="D3574">
        <v>836</v>
      </c>
      <c r="E3574">
        <v>1935</v>
      </c>
      <c r="F3574">
        <v>529201</v>
      </c>
      <c r="G3574">
        <v>617400</v>
      </c>
      <c r="H3574">
        <f t="shared" si="110"/>
        <v>12.000022675736961</v>
      </c>
      <c r="I3574">
        <f t="shared" si="111"/>
        <v>14</v>
      </c>
      <c r="J3574" t="s">
        <v>25</v>
      </c>
      <c r="K3574">
        <v>3</v>
      </c>
      <c r="L3574" t="e">
        <f t="array" ref="L3574">VLOOKUP(J3574:$J$3871&amp;K3574:$K$3871,CHOOSE({1,2},#REF!&amp;#REF!,#REF!),2,0)</f>
        <v>#N/A</v>
      </c>
      <c r="M3574">
        <v>-15</v>
      </c>
      <c r="N3574">
        <v>0</v>
      </c>
      <c r="O3574" t="s">
        <v>7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1</v>
      </c>
      <c r="AA3574" t="s">
        <v>6033</v>
      </c>
      <c r="AB3574" t="s">
        <v>7813</v>
      </c>
      <c r="AC3574" t="s">
        <v>6033</v>
      </c>
      <c r="AD3574" t="e">
        <f>VLOOKUP(AB3574,#REF!,2,FALSE)</f>
        <v>#REF!</v>
      </c>
      <c r="AE3574" t="e">
        <f>RIGHT(#REF!,(FIND("Complex",#REF!,1)-8))</f>
        <v>#REF!</v>
      </c>
    </row>
    <row r="3575" spans="1:31" x14ac:dyDescent="0.25">
      <c r="A3575">
        <v>1377</v>
      </c>
      <c r="B3575" t="s">
        <v>249</v>
      </c>
      <c r="C3575">
        <v>46</v>
      </c>
      <c r="D3575">
        <v>603</v>
      </c>
      <c r="E3575">
        <v>1377</v>
      </c>
      <c r="F3575">
        <v>5115601</v>
      </c>
      <c r="G3575">
        <v>5203800</v>
      </c>
      <c r="H3575">
        <f t="shared" si="110"/>
        <v>116.00002267573696</v>
      </c>
      <c r="I3575">
        <f t="shared" si="111"/>
        <v>118</v>
      </c>
      <c r="J3575" t="s">
        <v>25</v>
      </c>
      <c r="K3575">
        <v>3</v>
      </c>
      <c r="L3575" t="e">
        <f t="array" ref="L3575">VLOOKUP(J3575:$J$3871&amp;K3575:$K$3871,CHOOSE({1,2},#REF!&amp;#REF!,#REF!),2,0)</f>
        <v>#N/A</v>
      </c>
      <c r="M3575">
        <v>-15</v>
      </c>
      <c r="N3575">
        <v>0</v>
      </c>
      <c r="O3575" t="s">
        <v>7</v>
      </c>
      <c r="P3575">
        <v>0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1</v>
      </c>
      <c r="Z3575">
        <v>0</v>
      </c>
      <c r="AA3575" t="s">
        <v>6054</v>
      </c>
      <c r="AB3575" t="s">
        <v>7825</v>
      </c>
      <c r="AC3575" t="s">
        <v>6054</v>
      </c>
      <c r="AD3575" t="e">
        <f>VLOOKUP(AB3575,#REF!,2,FALSE)</f>
        <v>#REF!</v>
      </c>
      <c r="AE3575" t="e">
        <f>RIGHT(#REF!,(FIND("Complex",#REF!,1)-7))</f>
        <v>#REF!</v>
      </c>
    </row>
    <row r="3576" spans="1:31" x14ac:dyDescent="0.25">
      <c r="A3576">
        <v>476</v>
      </c>
      <c r="B3576" t="s">
        <v>87</v>
      </c>
      <c r="C3576">
        <v>47</v>
      </c>
      <c r="D3576">
        <v>197</v>
      </c>
      <c r="E3576">
        <v>476</v>
      </c>
      <c r="F3576">
        <v>264601</v>
      </c>
      <c r="G3576">
        <v>352800</v>
      </c>
      <c r="H3576">
        <f t="shared" si="110"/>
        <v>6.000022675736961</v>
      </c>
      <c r="I3576">
        <f t="shared" si="111"/>
        <v>8</v>
      </c>
      <c r="J3576" t="s">
        <v>25</v>
      </c>
      <c r="K3576">
        <v>3</v>
      </c>
      <c r="L3576" t="e">
        <f t="array" ref="L3576">VLOOKUP(J3576:$J$3871&amp;K3576:$K$3871,CHOOSE({1,2},#REF!&amp;#REF!,#REF!),2,0)</f>
        <v>#N/A</v>
      </c>
      <c r="M3576">
        <v>-15</v>
      </c>
      <c r="N3576">
        <v>0</v>
      </c>
      <c r="O3576" t="s">
        <v>7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1</v>
      </c>
      <c r="Y3576">
        <v>0</v>
      </c>
      <c r="Z3576">
        <v>0</v>
      </c>
      <c r="AA3576" t="s">
        <v>5133</v>
      </c>
      <c r="AB3576" t="s">
        <v>1270</v>
      </c>
      <c r="AC3576" t="s">
        <v>5133</v>
      </c>
      <c r="AD3576" t="e">
        <f>VLOOKUP(AB3576,#REF!,2,FALSE)</f>
        <v>#REF!</v>
      </c>
      <c r="AE3576" t="e">
        <f>RIGHT(#REF!,(FIND("Complex",#REF!,1)-8))</f>
        <v>#REF!</v>
      </c>
    </row>
    <row r="3577" spans="1:31" x14ac:dyDescent="0.25">
      <c r="A3577">
        <v>1241</v>
      </c>
      <c r="B3577" t="s">
        <v>27</v>
      </c>
      <c r="C3577">
        <v>52</v>
      </c>
      <c r="D3577">
        <v>543</v>
      </c>
      <c r="E3577">
        <v>1241</v>
      </c>
      <c r="F3577">
        <v>15876001</v>
      </c>
      <c r="G3577">
        <v>15964200</v>
      </c>
      <c r="H3577">
        <f t="shared" si="110"/>
        <v>360.00002267573694</v>
      </c>
      <c r="I3577">
        <f t="shared" si="111"/>
        <v>362</v>
      </c>
      <c r="J3577" t="s">
        <v>25</v>
      </c>
      <c r="K3577">
        <v>3</v>
      </c>
      <c r="L3577" t="e">
        <f t="array" ref="L3577">VLOOKUP(J3577:$J$3871&amp;K3577:$K$3871,CHOOSE({1,2},#REF!&amp;#REF!,#REF!),2,0)</f>
        <v>#N/A</v>
      </c>
      <c r="M3577">
        <v>-15</v>
      </c>
      <c r="N3577">
        <v>0</v>
      </c>
      <c r="O3577" t="s">
        <v>7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1</v>
      </c>
      <c r="Y3577">
        <v>1</v>
      </c>
      <c r="Z3577">
        <v>0</v>
      </c>
      <c r="AA3577" t="s">
        <v>5309</v>
      </c>
      <c r="AB3577" t="s">
        <v>7369</v>
      </c>
      <c r="AC3577" t="s">
        <v>5309</v>
      </c>
      <c r="AD3577" t="e">
        <f>VLOOKUP(AB3577,#REF!,2,FALSE)</f>
        <v>#REF!</v>
      </c>
      <c r="AE3577" t="e">
        <f>RIGHT(#REF!,(FIND("Complex",#REF!,1)-7))</f>
        <v>#REF!</v>
      </c>
    </row>
    <row r="3578" spans="1:31" x14ac:dyDescent="0.25">
      <c r="A3578">
        <v>1484</v>
      </c>
      <c r="B3578" t="s">
        <v>34</v>
      </c>
      <c r="C3578">
        <v>53</v>
      </c>
      <c r="D3578">
        <v>650</v>
      </c>
      <c r="E3578">
        <v>1484</v>
      </c>
      <c r="F3578">
        <v>4762801</v>
      </c>
      <c r="G3578">
        <v>4851000</v>
      </c>
      <c r="H3578">
        <f t="shared" si="110"/>
        <v>108.00002267573696</v>
      </c>
      <c r="I3578">
        <f t="shared" si="111"/>
        <v>110</v>
      </c>
      <c r="J3578" t="s">
        <v>25</v>
      </c>
      <c r="K3578">
        <v>3</v>
      </c>
      <c r="L3578" t="e">
        <f t="array" ref="L3578">VLOOKUP(J3578:$J$3871&amp;K3578:$K$3871,CHOOSE({1,2},#REF!&amp;#REF!,#REF!),2,0)</f>
        <v>#N/A</v>
      </c>
      <c r="M3578">
        <v>-15</v>
      </c>
      <c r="N3578">
        <v>0</v>
      </c>
      <c r="O3578" t="s">
        <v>7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1</v>
      </c>
      <c r="Y3578">
        <v>0</v>
      </c>
      <c r="Z3578">
        <v>0</v>
      </c>
      <c r="AA3578" t="s">
        <v>6088</v>
      </c>
      <c r="AB3578" t="s">
        <v>1387</v>
      </c>
      <c r="AC3578" t="s">
        <v>6088</v>
      </c>
      <c r="AD3578" t="e">
        <f>VLOOKUP(AB3578,#REF!,2,FALSE)</f>
        <v>#REF!</v>
      </c>
      <c r="AE3578" t="e">
        <f>RIGHT(#REF!,(FIND("Complex",#REF!,1)-7))</f>
        <v>#REF!</v>
      </c>
    </row>
    <row r="3579" spans="1:31" x14ac:dyDescent="0.25">
      <c r="A3579">
        <v>302</v>
      </c>
      <c r="B3579" t="s">
        <v>66</v>
      </c>
      <c r="C3579">
        <v>54</v>
      </c>
      <c r="D3579">
        <v>128</v>
      </c>
      <c r="E3579">
        <v>302</v>
      </c>
      <c r="F3579">
        <v>33516001</v>
      </c>
      <c r="G3579">
        <v>33604200</v>
      </c>
      <c r="H3579">
        <f t="shared" si="110"/>
        <v>760.000022675737</v>
      </c>
      <c r="I3579">
        <f t="shared" si="111"/>
        <v>762</v>
      </c>
      <c r="J3579" t="s">
        <v>25</v>
      </c>
      <c r="K3579">
        <v>3</v>
      </c>
      <c r="L3579" t="e">
        <f t="array" ref="L3579">VLOOKUP(J3579:$J$3871&amp;K3579:$K$3871,CHOOSE({1,2},#REF!&amp;#REF!,#REF!),2,0)</f>
        <v>#N/A</v>
      </c>
      <c r="M3579">
        <v>-15</v>
      </c>
      <c r="N3579">
        <v>0</v>
      </c>
      <c r="O3579" t="s">
        <v>7</v>
      </c>
      <c r="P3579">
        <v>0</v>
      </c>
      <c r="Q3579">
        <v>0</v>
      </c>
      <c r="R3579">
        <v>0</v>
      </c>
      <c r="S3579">
        <v>1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1</v>
      </c>
      <c r="Z3579">
        <v>0</v>
      </c>
      <c r="AA3579" t="s">
        <v>5012</v>
      </c>
      <c r="AB3579" t="s">
        <v>7223</v>
      </c>
      <c r="AC3579" t="s">
        <v>5012</v>
      </c>
      <c r="AD3579" t="e">
        <f>VLOOKUP(AB3579,#REF!,2,FALSE)</f>
        <v>#REF!</v>
      </c>
      <c r="AE3579" t="e">
        <f>RIGHT(#REF!,(FIND("Complex",#REF!,1)-6))</f>
        <v>#REF!</v>
      </c>
    </row>
    <row r="3580" spans="1:31" x14ac:dyDescent="0.25">
      <c r="A3580">
        <v>459</v>
      </c>
      <c r="B3580" t="s">
        <v>66</v>
      </c>
      <c r="C3580">
        <v>54</v>
      </c>
      <c r="D3580">
        <v>193</v>
      </c>
      <c r="E3580">
        <v>459</v>
      </c>
      <c r="F3580">
        <v>33251401</v>
      </c>
      <c r="G3580">
        <v>33339600</v>
      </c>
      <c r="H3580">
        <f t="shared" si="110"/>
        <v>754.000022675737</v>
      </c>
      <c r="I3580">
        <f t="shared" si="111"/>
        <v>756</v>
      </c>
      <c r="J3580" t="s">
        <v>25</v>
      </c>
      <c r="K3580">
        <v>3</v>
      </c>
      <c r="L3580" t="e">
        <f t="array" ref="L3580">VLOOKUP(J3580:$J$3871&amp;K3580:$K$3871,CHOOSE({1,2},#REF!&amp;#REF!,#REF!),2,0)</f>
        <v>#N/A</v>
      </c>
      <c r="M3580">
        <v>-15</v>
      </c>
      <c r="N3580">
        <v>0</v>
      </c>
      <c r="O3580" t="s">
        <v>7</v>
      </c>
      <c r="P3580">
        <v>0</v>
      </c>
      <c r="Q3580">
        <v>0</v>
      </c>
      <c r="R3580">
        <v>0</v>
      </c>
      <c r="S3580">
        <v>1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1</v>
      </c>
      <c r="Z3580">
        <v>0</v>
      </c>
      <c r="AA3580" t="s">
        <v>5026</v>
      </c>
      <c r="AB3580" t="s">
        <v>1388</v>
      </c>
      <c r="AC3580" t="s">
        <v>5026</v>
      </c>
      <c r="AD3580" t="e">
        <f>VLOOKUP(AB3580,#REF!,2,FALSE)</f>
        <v>#REF!</v>
      </c>
      <c r="AE3580" t="e">
        <f>RIGHT(#REF!,(FIND("Complex",#REF!,1)-6))</f>
        <v>#REF!</v>
      </c>
    </row>
    <row r="3581" spans="1:31" x14ac:dyDescent="0.25">
      <c r="A3581">
        <v>405</v>
      </c>
      <c r="B3581" t="s">
        <v>66</v>
      </c>
      <c r="C3581">
        <v>54</v>
      </c>
      <c r="D3581">
        <v>173</v>
      </c>
      <c r="E3581">
        <v>405</v>
      </c>
      <c r="F3581">
        <v>31840201</v>
      </c>
      <c r="G3581">
        <v>31928400</v>
      </c>
      <c r="H3581">
        <f t="shared" si="110"/>
        <v>722.000022675737</v>
      </c>
      <c r="I3581">
        <f t="shared" si="111"/>
        <v>724</v>
      </c>
      <c r="J3581" t="s">
        <v>25</v>
      </c>
      <c r="K3581">
        <v>3</v>
      </c>
      <c r="L3581" t="e">
        <f t="array" ref="L3581">VLOOKUP(J3581:$J$3871&amp;K3581:$K$3871,CHOOSE({1,2},#REF!&amp;#REF!,#REF!),2,0)</f>
        <v>#N/A</v>
      </c>
      <c r="M3581">
        <v>-15</v>
      </c>
      <c r="N3581">
        <v>0</v>
      </c>
      <c r="O3581" t="s">
        <v>7</v>
      </c>
      <c r="P3581">
        <v>0</v>
      </c>
      <c r="Q3581">
        <v>0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1</v>
      </c>
      <c r="Z3581">
        <v>0</v>
      </c>
      <c r="AA3581" t="s">
        <v>5038</v>
      </c>
      <c r="AB3581" t="s">
        <v>7236</v>
      </c>
      <c r="AC3581" t="s">
        <v>5038</v>
      </c>
      <c r="AD3581" t="e">
        <f>VLOOKUP(AB3581,#REF!,2,FALSE)</f>
        <v>#REF!</v>
      </c>
      <c r="AE3581" t="e">
        <f>RIGHT(#REF!,(FIND("Complex",#REF!,1)-6))</f>
        <v>#REF!</v>
      </c>
    </row>
    <row r="3582" spans="1:31" x14ac:dyDescent="0.25">
      <c r="A3582">
        <v>2290</v>
      </c>
      <c r="B3582" t="s">
        <v>66</v>
      </c>
      <c r="C3582">
        <v>54</v>
      </c>
      <c r="D3582">
        <v>938</v>
      </c>
      <c r="E3582">
        <v>2290</v>
      </c>
      <c r="F3582">
        <v>31663801</v>
      </c>
      <c r="G3582">
        <v>31752000</v>
      </c>
      <c r="H3582">
        <f t="shared" si="110"/>
        <v>718.000022675737</v>
      </c>
      <c r="I3582">
        <f t="shared" si="111"/>
        <v>720</v>
      </c>
      <c r="J3582" t="s">
        <v>25</v>
      </c>
      <c r="K3582">
        <v>3</v>
      </c>
      <c r="L3582" t="e">
        <f t="array" ref="L3582">VLOOKUP(J3582:$J$3871&amp;K3582:$K$3871,CHOOSE({1,2},#REF!&amp;#REF!,#REF!),2,0)</f>
        <v>#N/A</v>
      </c>
      <c r="M3582">
        <v>-15</v>
      </c>
      <c r="N3582">
        <v>0</v>
      </c>
      <c r="O3582" t="s">
        <v>7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1</v>
      </c>
      <c r="Z3582">
        <v>1</v>
      </c>
      <c r="AA3582" t="s">
        <v>5051</v>
      </c>
      <c r="AB3582" t="s">
        <v>7244</v>
      </c>
      <c r="AC3582" t="s">
        <v>5051</v>
      </c>
      <c r="AD3582" t="e">
        <f>VLOOKUP(AB3582,#REF!,2,FALSE)</f>
        <v>#REF!</v>
      </c>
      <c r="AE3582" t="e">
        <f>RIGHT(#REF!,(FIND("Complex",#REF!,1)-7))</f>
        <v>#REF!</v>
      </c>
    </row>
    <row r="3583" spans="1:31" x14ac:dyDescent="0.25">
      <c r="A3583">
        <v>979</v>
      </c>
      <c r="B3583" t="s">
        <v>66</v>
      </c>
      <c r="C3583">
        <v>54</v>
      </c>
      <c r="D3583">
        <v>434</v>
      </c>
      <c r="E3583">
        <v>979</v>
      </c>
      <c r="F3583">
        <v>30429001</v>
      </c>
      <c r="G3583">
        <v>30517200</v>
      </c>
      <c r="H3583">
        <f t="shared" si="110"/>
        <v>690.000022675737</v>
      </c>
      <c r="I3583">
        <f t="shared" si="111"/>
        <v>692</v>
      </c>
      <c r="J3583" t="s">
        <v>25</v>
      </c>
      <c r="K3583">
        <v>3</v>
      </c>
      <c r="L3583" t="e">
        <f t="array" ref="L3583">VLOOKUP(J3583:$J$3871&amp;K3583:$K$3871,CHOOSE({1,2},#REF!&amp;#REF!,#REF!),2,0)</f>
        <v>#N/A</v>
      </c>
      <c r="M3583">
        <v>-15</v>
      </c>
      <c r="N3583">
        <v>0</v>
      </c>
      <c r="O3583" t="s">
        <v>7</v>
      </c>
      <c r="P3583">
        <v>0</v>
      </c>
      <c r="Q3583">
        <v>0</v>
      </c>
      <c r="R3583">
        <v>0</v>
      </c>
      <c r="S3583">
        <v>1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1</v>
      </c>
      <c r="Z3583">
        <v>0</v>
      </c>
      <c r="AA3583" t="s">
        <v>5065</v>
      </c>
      <c r="AB3583" t="s">
        <v>211</v>
      </c>
      <c r="AC3583" t="s">
        <v>5065</v>
      </c>
      <c r="AD3583" t="e">
        <f>VLOOKUP(AB3583,#REF!,2,FALSE)</f>
        <v>#REF!</v>
      </c>
      <c r="AE3583" t="e">
        <f>RIGHT(#REF!,(FIND("Complex",#REF!,1)-6))</f>
        <v>#REF!</v>
      </c>
    </row>
    <row r="3584" spans="1:31" x14ac:dyDescent="0.25">
      <c r="A3584">
        <v>1792</v>
      </c>
      <c r="B3584" t="s">
        <v>66</v>
      </c>
      <c r="C3584">
        <v>54</v>
      </c>
      <c r="D3584">
        <v>778</v>
      </c>
      <c r="E3584">
        <v>1792</v>
      </c>
      <c r="F3584">
        <v>26724601</v>
      </c>
      <c r="G3584">
        <v>26812800</v>
      </c>
      <c r="H3584">
        <f t="shared" si="110"/>
        <v>606.000022675737</v>
      </c>
      <c r="I3584">
        <f t="shared" si="111"/>
        <v>608</v>
      </c>
      <c r="J3584" t="s">
        <v>25</v>
      </c>
      <c r="K3584">
        <v>3</v>
      </c>
      <c r="L3584" t="e">
        <f t="array" ref="L3584">VLOOKUP(J3584:$J$3871&amp;K3584:$K$3871,CHOOSE({1,2},#REF!&amp;#REF!,#REF!),2,0)</f>
        <v>#N/A</v>
      </c>
      <c r="M3584">
        <v>-15</v>
      </c>
      <c r="N3584">
        <v>0</v>
      </c>
      <c r="O3584" t="s">
        <v>7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1</v>
      </c>
      <c r="V3584">
        <v>0</v>
      </c>
      <c r="W3584">
        <v>1</v>
      </c>
      <c r="X3584">
        <v>0</v>
      </c>
      <c r="Y3584">
        <v>0</v>
      </c>
      <c r="Z3584">
        <v>1</v>
      </c>
      <c r="AA3584" t="s">
        <v>5105</v>
      </c>
      <c r="AB3584" t="s">
        <v>7266</v>
      </c>
      <c r="AC3584" t="s">
        <v>5105</v>
      </c>
      <c r="AD3584" t="e">
        <f>VLOOKUP(AB3584,#REF!,2,FALSE)</f>
        <v>#REF!</v>
      </c>
      <c r="AE3584" t="e">
        <f>RIGHT(#REF!,(FIND("Complex",#REF!,1)-7))</f>
        <v>#REF!</v>
      </c>
    </row>
    <row r="3585" spans="1:31" x14ac:dyDescent="0.25">
      <c r="A3585">
        <v>1242</v>
      </c>
      <c r="B3585" t="s">
        <v>66</v>
      </c>
      <c r="C3585">
        <v>54</v>
      </c>
      <c r="D3585">
        <v>544</v>
      </c>
      <c r="E3585">
        <v>1242</v>
      </c>
      <c r="F3585">
        <v>16228801</v>
      </c>
      <c r="G3585">
        <v>16317000</v>
      </c>
      <c r="H3585">
        <f t="shared" si="110"/>
        <v>368.00002267573694</v>
      </c>
      <c r="I3585">
        <f t="shared" si="111"/>
        <v>370</v>
      </c>
      <c r="J3585" t="s">
        <v>25</v>
      </c>
      <c r="K3585">
        <v>3</v>
      </c>
      <c r="L3585" t="e">
        <f t="array" ref="L3585">VLOOKUP(J3585:$J$3871&amp;K3585:$K$3871,CHOOSE({1,2},#REF!&amp;#REF!,#REF!),2,0)</f>
        <v>#N/A</v>
      </c>
      <c r="M3585">
        <v>-15</v>
      </c>
      <c r="N3585">
        <v>0</v>
      </c>
      <c r="O3585" t="s">
        <v>7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1</v>
      </c>
      <c r="AA3585" t="s">
        <v>5306</v>
      </c>
      <c r="AB3585" t="s">
        <v>7367</v>
      </c>
      <c r="AC3585" t="s">
        <v>5306</v>
      </c>
      <c r="AD3585" t="e">
        <f>VLOOKUP(AB3585,#REF!,2,FALSE)</f>
        <v>#REF!</v>
      </c>
      <c r="AE3585" t="e">
        <f>RIGHT(#REF!,(FIND("Complex",#REF!,1)-7))</f>
        <v>#REF!</v>
      </c>
    </row>
    <row r="3586" spans="1:31" x14ac:dyDescent="0.25">
      <c r="A3586">
        <v>52</v>
      </c>
      <c r="B3586" t="s">
        <v>66</v>
      </c>
      <c r="C3586">
        <v>54</v>
      </c>
      <c r="D3586">
        <v>27</v>
      </c>
      <c r="E3586">
        <v>52</v>
      </c>
      <c r="F3586">
        <v>15787801</v>
      </c>
      <c r="G3586">
        <v>15876000</v>
      </c>
      <c r="H3586">
        <f t="shared" ref="H3586:H3649" si="112">F3586/44100</f>
        <v>358.00002267573694</v>
      </c>
      <c r="I3586">
        <f t="shared" ref="I3586:I3649" si="113">G3586/44100</f>
        <v>360</v>
      </c>
      <c r="J3586" t="s">
        <v>25</v>
      </c>
      <c r="K3586">
        <v>3</v>
      </c>
      <c r="L3586" t="e">
        <f t="array" ref="L3586">VLOOKUP(J3586:$J$3871&amp;K3586:$K$3871,CHOOSE({1,2},#REF!&amp;#REF!,#REF!),2,0)</f>
        <v>#N/A</v>
      </c>
      <c r="M3586">
        <v>-15</v>
      </c>
      <c r="N3586">
        <v>0</v>
      </c>
      <c r="O3586" t="s">
        <v>7</v>
      </c>
      <c r="P3586">
        <v>0</v>
      </c>
      <c r="Q3586">
        <v>0</v>
      </c>
      <c r="R3586">
        <v>0</v>
      </c>
      <c r="S3586">
        <v>1</v>
      </c>
      <c r="T3586">
        <v>0</v>
      </c>
      <c r="U3586">
        <v>1</v>
      </c>
      <c r="V3586">
        <v>0</v>
      </c>
      <c r="W3586">
        <v>1</v>
      </c>
      <c r="X3586">
        <v>0</v>
      </c>
      <c r="Y3586">
        <v>0</v>
      </c>
      <c r="Z3586">
        <v>0</v>
      </c>
      <c r="AA3586" t="s">
        <v>5320</v>
      </c>
      <c r="AB3586" t="s">
        <v>7377</v>
      </c>
      <c r="AC3586" t="s">
        <v>5320</v>
      </c>
      <c r="AD3586" t="e">
        <f>VLOOKUP(AB3586,#REF!,2,FALSE)</f>
        <v>#REF!</v>
      </c>
      <c r="AE3586" t="e">
        <f>RIGHT(#REF!,(FIND("Complex",#REF!,1)-5))</f>
        <v>#REF!</v>
      </c>
    </row>
    <row r="3587" spans="1:31" x14ac:dyDescent="0.25">
      <c r="A3587">
        <v>2302</v>
      </c>
      <c r="B3587" t="s">
        <v>66</v>
      </c>
      <c r="C3587">
        <v>54</v>
      </c>
      <c r="D3587">
        <v>942</v>
      </c>
      <c r="E3587">
        <v>2302</v>
      </c>
      <c r="F3587">
        <v>15699601</v>
      </c>
      <c r="G3587">
        <v>15787800</v>
      </c>
      <c r="H3587">
        <f t="shared" si="112"/>
        <v>356.00002267573694</v>
      </c>
      <c r="I3587">
        <f t="shared" si="113"/>
        <v>358</v>
      </c>
      <c r="J3587" t="s">
        <v>25</v>
      </c>
      <c r="K3587">
        <v>3</v>
      </c>
      <c r="L3587" t="e">
        <f t="array" ref="L3587">VLOOKUP(J3587:$J$3871&amp;K3587:$K$3871,CHOOSE({1,2},#REF!&amp;#REF!,#REF!),2,0)</f>
        <v>#N/A</v>
      </c>
      <c r="M3587">
        <v>-15</v>
      </c>
      <c r="N3587">
        <v>0</v>
      </c>
      <c r="O3587" t="s">
        <v>7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0</v>
      </c>
      <c r="V3587">
        <v>1</v>
      </c>
      <c r="W3587">
        <v>1</v>
      </c>
      <c r="X3587">
        <v>0</v>
      </c>
      <c r="Y3587">
        <v>0</v>
      </c>
      <c r="Z3587">
        <v>0</v>
      </c>
      <c r="AA3587" t="s">
        <v>5321</v>
      </c>
      <c r="AB3587" t="s">
        <v>7378</v>
      </c>
      <c r="AC3587" t="s">
        <v>5321</v>
      </c>
      <c r="AD3587" t="e">
        <f>VLOOKUP(AB3587,#REF!,2,FALSE)</f>
        <v>#REF!</v>
      </c>
      <c r="AE3587" t="e">
        <f>RIGHT(#REF!,(FIND("Complex",#REF!,1)-7))</f>
        <v>#REF!</v>
      </c>
    </row>
    <row r="3588" spans="1:31" x14ac:dyDescent="0.25">
      <c r="A3588">
        <v>716</v>
      </c>
      <c r="B3588" t="s">
        <v>66</v>
      </c>
      <c r="C3588">
        <v>54</v>
      </c>
      <c r="D3588">
        <v>314</v>
      </c>
      <c r="E3588">
        <v>716</v>
      </c>
      <c r="F3588">
        <v>15611401</v>
      </c>
      <c r="G3588">
        <v>15699600</v>
      </c>
      <c r="H3588">
        <f t="shared" si="112"/>
        <v>354.00002267573694</v>
      </c>
      <c r="I3588">
        <f t="shared" si="113"/>
        <v>356</v>
      </c>
      <c r="J3588" t="s">
        <v>25</v>
      </c>
      <c r="K3588">
        <v>3</v>
      </c>
      <c r="L3588" t="e">
        <f t="array" ref="L3588">VLOOKUP(J3588:$J$3871&amp;K3588:$K$3871,CHOOSE({1,2},#REF!&amp;#REF!,#REF!),2,0)</f>
        <v>#N/A</v>
      </c>
      <c r="M3588">
        <v>-15</v>
      </c>
      <c r="N3588">
        <v>0</v>
      </c>
      <c r="O3588" t="s">
        <v>7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  <c r="V3588">
        <v>1</v>
      </c>
      <c r="W3588">
        <v>1</v>
      </c>
      <c r="X3588">
        <v>0</v>
      </c>
      <c r="Y3588">
        <v>0</v>
      </c>
      <c r="Z3588">
        <v>0</v>
      </c>
      <c r="AA3588" t="s">
        <v>5322</v>
      </c>
      <c r="AB3588" t="s">
        <v>7379</v>
      </c>
      <c r="AC3588" t="s">
        <v>5322</v>
      </c>
      <c r="AD3588" t="e">
        <f>VLOOKUP(AB3588,#REF!,2,FALSE)</f>
        <v>#REF!</v>
      </c>
      <c r="AE3588" t="e">
        <f>RIGHT(#REF!,(FIND("Complex",#REF!,1)-6))</f>
        <v>#REF!</v>
      </c>
    </row>
    <row r="3589" spans="1:31" x14ac:dyDescent="0.25">
      <c r="A3589">
        <v>1962</v>
      </c>
      <c r="B3589" t="s">
        <v>66</v>
      </c>
      <c r="C3589">
        <v>54</v>
      </c>
      <c r="D3589">
        <v>848</v>
      </c>
      <c r="E3589">
        <v>1962</v>
      </c>
      <c r="F3589">
        <v>14994001</v>
      </c>
      <c r="G3589">
        <v>15082200</v>
      </c>
      <c r="H3589">
        <f t="shared" si="112"/>
        <v>340.00002267573694</v>
      </c>
      <c r="I3589">
        <f t="shared" si="113"/>
        <v>342</v>
      </c>
      <c r="J3589" t="s">
        <v>25</v>
      </c>
      <c r="K3589">
        <v>3</v>
      </c>
      <c r="L3589" t="e">
        <f t="array" ref="L3589">VLOOKUP(J3589:$J$3871&amp;K3589:$K$3871,CHOOSE({1,2},#REF!&amp;#REF!,#REF!),2,0)</f>
        <v>#N/A</v>
      </c>
      <c r="M3589">
        <v>-15</v>
      </c>
      <c r="N3589">
        <v>0</v>
      </c>
      <c r="O3589" t="s">
        <v>7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1</v>
      </c>
      <c r="X3589">
        <v>0</v>
      </c>
      <c r="Y3589">
        <v>0</v>
      </c>
      <c r="Z3589">
        <v>1</v>
      </c>
      <c r="AA3589" t="s">
        <v>5330</v>
      </c>
      <c r="AB3589" t="s">
        <v>7385</v>
      </c>
      <c r="AC3589" t="s">
        <v>5330</v>
      </c>
      <c r="AD3589" t="e">
        <f>VLOOKUP(AB3589,#REF!,2,FALSE)</f>
        <v>#REF!</v>
      </c>
      <c r="AE3589" t="e">
        <f>RIGHT(#REF!,(FIND("Complex",#REF!,1)-7))</f>
        <v>#REF!</v>
      </c>
    </row>
    <row r="3590" spans="1:31" x14ac:dyDescent="0.25">
      <c r="A3590">
        <v>562</v>
      </c>
      <c r="B3590" t="s">
        <v>66</v>
      </c>
      <c r="C3590">
        <v>54</v>
      </c>
      <c r="D3590">
        <v>241</v>
      </c>
      <c r="E3590">
        <v>562</v>
      </c>
      <c r="F3590">
        <v>5644801</v>
      </c>
      <c r="G3590">
        <v>5733000</v>
      </c>
      <c r="H3590">
        <f t="shared" si="112"/>
        <v>128.00002267573697</v>
      </c>
      <c r="I3590">
        <f t="shared" si="113"/>
        <v>130</v>
      </c>
      <c r="J3590" t="s">
        <v>25</v>
      </c>
      <c r="K3590">
        <v>3</v>
      </c>
      <c r="L3590" t="e">
        <f t="array" ref="L3590">VLOOKUP(J3590:$J$3871&amp;K3590:$K$3871,CHOOSE({1,2},#REF!&amp;#REF!,#REF!),2,0)</f>
        <v>#N/A</v>
      </c>
      <c r="M3590">
        <v>-15</v>
      </c>
      <c r="N3590">
        <v>0</v>
      </c>
      <c r="O3590" t="s">
        <v>7</v>
      </c>
      <c r="P3590">
        <v>0</v>
      </c>
      <c r="Q3590">
        <v>0</v>
      </c>
      <c r="R3590">
        <v>0</v>
      </c>
      <c r="S3590">
        <v>1</v>
      </c>
      <c r="T3590">
        <v>0</v>
      </c>
      <c r="U3590">
        <v>1</v>
      </c>
      <c r="V3590">
        <v>0</v>
      </c>
      <c r="W3590">
        <v>1</v>
      </c>
      <c r="X3590">
        <v>0</v>
      </c>
      <c r="Y3590">
        <v>0</v>
      </c>
      <c r="Z3590">
        <v>0</v>
      </c>
      <c r="AA3590" t="s">
        <v>5981</v>
      </c>
      <c r="AB3590" t="s">
        <v>7787</v>
      </c>
      <c r="AC3590" t="s">
        <v>5981</v>
      </c>
      <c r="AD3590" t="e">
        <f>VLOOKUP(AB3590,#REF!,2,FALSE)</f>
        <v>#REF!</v>
      </c>
      <c r="AE3590" t="e">
        <f>RIGHT(#REF!,(FIND("Complex",#REF!,1)-6))</f>
        <v>#REF!</v>
      </c>
    </row>
    <row r="3591" spans="1:31" x14ac:dyDescent="0.25">
      <c r="A3591">
        <v>1685</v>
      </c>
      <c r="B3591" t="s">
        <v>66</v>
      </c>
      <c r="C3591">
        <v>54</v>
      </c>
      <c r="D3591">
        <v>737</v>
      </c>
      <c r="E3591">
        <v>1685</v>
      </c>
      <c r="F3591">
        <v>4762801</v>
      </c>
      <c r="G3591">
        <v>4851000</v>
      </c>
      <c r="H3591">
        <f t="shared" si="112"/>
        <v>108.00002267573696</v>
      </c>
      <c r="I3591">
        <f t="shared" si="113"/>
        <v>110</v>
      </c>
      <c r="J3591" t="s">
        <v>25</v>
      </c>
      <c r="K3591">
        <v>3</v>
      </c>
      <c r="L3591" t="e">
        <f t="array" ref="L3591">VLOOKUP(J3591:$J$3871&amp;K3591:$K$3871,CHOOSE({1,2},#REF!&amp;#REF!,#REF!),2,0)</f>
        <v>#N/A</v>
      </c>
      <c r="M3591">
        <v>-15</v>
      </c>
      <c r="N3591">
        <v>0</v>
      </c>
      <c r="O3591" t="s">
        <v>7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1</v>
      </c>
      <c r="X3591">
        <v>0</v>
      </c>
      <c r="Y3591">
        <v>0</v>
      </c>
      <c r="Z3591">
        <v>0</v>
      </c>
      <c r="AA3591" t="s">
        <v>6087</v>
      </c>
      <c r="AB3591" t="s">
        <v>7845</v>
      </c>
      <c r="AC3591" t="s">
        <v>6087</v>
      </c>
      <c r="AD3591" t="e">
        <f>VLOOKUP(AB3591,#REF!,2,FALSE)</f>
        <v>#REF!</v>
      </c>
      <c r="AE3591" t="e">
        <f>RIGHT(#REF!,(FIND("Complex",#REF!,1)-7))</f>
        <v>#REF!</v>
      </c>
    </row>
    <row r="3592" spans="1:31" x14ac:dyDescent="0.25">
      <c r="A3592">
        <v>2122</v>
      </c>
      <c r="B3592" t="s">
        <v>66</v>
      </c>
      <c r="C3592">
        <v>54</v>
      </c>
      <c r="D3592">
        <v>893</v>
      </c>
      <c r="E3592">
        <v>2122</v>
      </c>
      <c r="F3592">
        <v>45775801</v>
      </c>
      <c r="G3592">
        <v>45864000</v>
      </c>
      <c r="H3592">
        <f t="shared" si="112"/>
        <v>1038.000022675737</v>
      </c>
      <c r="I3592">
        <f t="shared" si="113"/>
        <v>1040</v>
      </c>
      <c r="J3592" t="s">
        <v>25</v>
      </c>
      <c r="K3592">
        <v>3</v>
      </c>
      <c r="L3592" t="e">
        <f t="array" ref="L3592">VLOOKUP(J3592:$J$3871&amp;K3592:$K$3871,CHOOSE({1,2},#REF!&amp;#REF!,#REF!),2,0)</f>
        <v>#N/A</v>
      </c>
      <c r="M3592">
        <v>-15</v>
      </c>
      <c r="N3592">
        <v>0</v>
      </c>
      <c r="O3592" t="s">
        <v>7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1</v>
      </c>
      <c r="W3592">
        <v>1</v>
      </c>
      <c r="X3592">
        <v>0</v>
      </c>
      <c r="Y3592">
        <v>1</v>
      </c>
      <c r="Z3592">
        <v>0</v>
      </c>
      <c r="AA3592" t="s">
        <v>6107</v>
      </c>
      <c r="AB3592" t="s">
        <v>1389</v>
      </c>
      <c r="AC3592" t="s">
        <v>6107</v>
      </c>
      <c r="AD3592" t="e">
        <f>VLOOKUP(AB3592,#REF!,2,FALSE)</f>
        <v>#REF!</v>
      </c>
      <c r="AE3592" t="e">
        <f>RIGHT(#REF!,(FIND("Complex",#REF!,1)-6))</f>
        <v>#REF!</v>
      </c>
    </row>
    <row r="3593" spans="1:31" x14ac:dyDescent="0.25">
      <c r="A3593">
        <v>1145</v>
      </c>
      <c r="B3593" t="s">
        <v>66</v>
      </c>
      <c r="C3593">
        <v>54</v>
      </c>
      <c r="D3593">
        <v>509</v>
      </c>
      <c r="E3593">
        <v>1145</v>
      </c>
      <c r="F3593">
        <v>44982001</v>
      </c>
      <c r="G3593">
        <v>45070200</v>
      </c>
      <c r="H3593">
        <f t="shared" si="112"/>
        <v>1020.000022675737</v>
      </c>
      <c r="I3593">
        <f t="shared" si="113"/>
        <v>1022</v>
      </c>
      <c r="J3593" t="s">
        <v>25</v>
      </c>
      <c r="K3593">
        <v>3</v>
      </c>
      <c r="L3593" t="e">
        <f t="array" ref="L3593">VLOOKUP(J3593:$J$3871&amp;K3593:$K$3871,CHOOSE({1,2},#REF!&amp;#REF!,#REF!),2,0)</f>
        <v>#N/A</v>
      </c>
      <c r="M3593">
        <v>-15</v>
      </c>
      <c r="N3593">
        <v>0</v>
      </c>
      <c r="O3593" t="s">
        <v>7</v>
      </c>
      <c r="P3593">
        <v>0</v>
      </c>
      <c r="Q3593">
        <v>0</v>
      </c>
      <c r="R3593">
        <v>0</v>
      </c>
      <c r="S3593">
        <v>1</v>
      </c>
      <c r="T3593">
        <v>0</v>
      </c>
      <c r="U3593">
        <v>1</v>
      </c>
      <c r="V3593">
        <v>0</v>
      </c>
      <c r="W3593">
        <v>1</v>
      </c>
      <c r="X3593">
        <v>0</v>
      </c>
      <c r="Y3593">
        <v>0</v>
      </c>
      <c r="Z3593">
        <v>0</v>
      </c>
      <c r="AA3593" t="s">
        <v>6108</v>
      </c>
      <c r="AB3593" t="s">
        <v>7855</v>
      </c>
      <c r="AC3593" t="s">
        <v>6108</v>
      </c>
      <c r="AD3593" t="e">
        <f>VLOOKUP(AB3593,#REF!,2,FALSE)</f>
        <v>#REF!</v>
      </c>
      <c r="AE3593" t="e">
        <f>RIGHT(#REF!,(FIND("Complex",#REF!,1)-6))</f>
        <v>#REF!</v>
      </c>
    </row>
    <row r="3594" spans="1:31" x14ac:dyDescent="0.25">
      <c r="A3594">
        <v>1505</v>
      </c>
      <c r="B3594" t="s">
        <v>66</v>
      </c>
      <c r="C3594">
        <v>54</v>
      </c>
      <c r="D3594">
        <v>660</v>
      </c>
      <c r="E3594">
        <v>1505</v>
      </c>
      <c r="F3594">
        <v>44629201</v>
      </c>
      <c r="G3594">
        <v>44717400</v>
      </c>
      <c r="H3594">
        <f t="shared" si="112"/>
        <v>1012.000022675737</v>
      </c>
      <c r="I3594">
        <f t="shared" si="113"/>
        <v>1014</v>
      </c>
      <c r="J3594" t="s">
        <v>25</v>
      </c>
      <c r="K3594">
        <v>3</v>
      </c>
      <c r="L3594" t="e">
        <f t="array" ref="L3594">VLOOKUP(J3594:$J$3871&amp;K3594:$K$3871,CHOOSE({1,2},#REF!&amp;#REF!,#REF!),2,0)</f>
        <v>#N/A</v>
      </c>
      <c r="M3594">
        <v>-15</v>
      </c>
      <c r="N3594">
        <v>0</v>
      </c>
      <c r="O3594" t="s">
        <v>7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1</v>
      </c>
      <c r="V3594">
        <v>0</v>
      </c>
      <c r="W3594">
        <v>1</v>
      </c>
      <c r="X3594">
        <v>0</v>
      </c>
      <c r="Y3594">
        <v>0</v>
      </c>
      <c r="Z3594">
        <v>1</v>
      </c>
      <c r="AA3594" t="s">
        <v>6119</v>
      </c>
      <c r="AB3594" t="s">
        <v>1390</v>
      </c>
      <c r="AC3594" t="s">
        <v>6119</v>
      </c>
      <c r="AD3594" t="e">
        <f>VLOOKUP(AB3594,#REF!,2,FALSE)</f>
        <v>#REF!</v>
      </c>
      <c r="AE3594" t="e">
        <f>RIGHT(#REF!,(FIND("Complex",#REF!,1)-6))</f>
        <v>#REF!</v>
      </c>
    </row>
    <row r="3595" spans="1:31" x14ac:dyDescent="0.25">
      <c r="A3595">
        <v>2164</v>
      </c>
      <c r="B3595" t="s">
        <v>253</v>
      </c>
      <c r="C3595">
        <v>55</v>
      </c>
      <c r="D3595">
        <v>903</v>
      </c>
      <c r="E3595">
        <v>2164</v>
      </c>
      <c r="F3595">
        <v>10848601</v>
      </c>
      <c r="G3595">
        <v>10936800</v>
      </c>
      <c r="H3595">
        <f t="shared" si="112"/>
        <v>246.00002267573697</v>
      </c>
      <c r="I3595">
        <f t="shared" si="113"/>
        <v>248</v>
      </c>
      <c r="J3595" t="s">
        <v>25</v>
      </c>
      <c r="K3595">
        <v>3</v>
      </c>
      <c r="L3595" t="e">
        <f t="array" ref="L3595">VLOOKUP(J3595:$J$3871&amp;K3595:$K$3871,CHOOSE({1,2},#REF!&amp;#REF!,#REF!),2,0)</f>
        <v>#N/A</v>
      </c>
      <c r="M3595">
        <v>-15</v>
      </c>
      <c r="N3595">
        <v>0</v>
      </c>
      <c r="O3595" t="s">
        <v>7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1</v>
      </c>
      <c r="Y3595">
        <v>0</v>
      </c>
      <c r="Z3595">
        <v>0</v>
      </c>
      <c r="AA3595" t="s">
        <v>5497</v>
      </c>
      <c r="AB3595" t="s">
        <v>7487</v>
      </c>
      <c r="AC3595" t="s">
        <v>5497</v>
      </c>
      <c r="AD3595" t="e">
        <f>VLOOKUP(AB3595,#REF!,2,FALSE)</f>
        <v>#REF!</v>
      </c>
      <c r="AE3595" t="e">
        <f>RIGHT(#REF!,(FIND("Complex",#REF!,1)-7))</f>
        <v>#REF!</v>
      </c>
    </row>
    <row r="3596" spans="1:31" x14ac:dyDescent="0.25">
      <c r="A3596">
        <v>1838</v>
      </c>
      <c r="B3596" t="s">
        <v>253</v>
      </c>
      <c r="C3596">
        <v>55</v>
      </c>
      <c r="D3596">
        <v>799</v>
      </c>
      <c r="E3596">
        <v>1838</v>
      </c>
      <c r="F3596">
        <v>8555401</v>
      </c>
      <c r="G3596">
        <v>8643600</v>
      </c>
      <c r="H3596">
        <f t="shared" si="112"/>
        <v>194.00002267573697</v>
      </c>
      <c r="I3596">
        <f t="shared" si="113"/>
        <v>196</v>
      </c>
      <c r="J3596" t="s">
        <v>25</v>
      </c>
      <c r="K3596">
        <v>3</v>
      </c>
      <c r="L3596" t="e">
        <f t="array" ref="L3596">VLOOKUP(J3596:$J$3871&amp;K3596:$K$3871,CHOOSE({1,2},#REF!&amp;#REF!,#REF!),2,0)</f>
        <v>#N/A</v>
      </c>
      <c r="M3596">
        <v>-15</v>
      </c>
      <c r="N3596">
        <v>0</v>
      </c>
      <c r="O3596" t="s">
        <v>7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1</v>
      </c>
      <c r="Y3596">
        <v>0</v>
      </c>
      <c r="Z3596">
        <v>0</v>
      </c>
      <c r="AA3596" t="s">
        <v>5669</v>
      </c>
      <c r="AB3596" t="s">
        <v>7599</v>
      </c>
      <c r="AC3596" t="s">
        <v>5669</v>
      </c>
      <c r="AD3596" t="e">
        <f>VLOOKUP(AB3596,#REF!,2,FALSE)</f>
        <v>#REF!</v>
      </c>
      <c r="AE3596" t="e">
        <f>RIGHT(#REF!,(FIND("Complex",#REF!,1)-7))</f>
        <v>#REF!</v>
      </c>
    </row>
    <row r="3597" spans="1:31" x14ac:dyDescent="0.25">
      <c r="A3597">
        <v>1112</v>
      </c>
      <c r="B3597" t="s">
        <v>253</v>
      </c>
      <c r="C3597">
        <v>55</v>
      </c>
      <c r="D3597">
        <v>496</v>
      </c>
      <c r="E3597">
        <v>1112</v>
      </c>
      <c r="F3597">
        <v>8379001</v>
      </c>
      <c r="G3597">
        <v>8467200</v>
      </c>
      <c r="H3597">
        <f t="shared" si="112"/>
        <v>190.00002267573697</v>
      </c>
      <c r="I3597">
        <f t="shared" si="113"/>
        <v>192</v>
      </c>
      <c r="J3597" t="s">
        <v>25</v>
      </c>
      <c r="K3597">
        <v>3</v>
      </c>
      <c r="L3597" t="e">
        <f t="array" ref="L3597">VLOOKUP(J3597:$J$3871&amp;K3597:$K$3871,CHOOSE({1,2},#REF!&amp;#REF!,#REF!),2,0)</f>
        <v>#N/A</v>
      </c>
      <c r="M3597">
        <v>-15</v>
      </c>
      <c r="N3597">
        <v>0</v>
      </c>
      <c r="O3597" t="s">
        <v>7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1</v>
      </c>
      <c r="Y3597">
        <v>0</v>
      </c>
      <c r="Z3597">
        <v>0</v>
      </c>
      <c r="AA3597" t="s">
        <v>5677</v>
      </c>
      <c r="AB3597" t="s">
        <v>7606</v>
      </c>
      <c r="AC3597" t="s">
        <v>5677</v>
      </c>
      <c r="AD3597" t="e">
        <f>VLOOKUP(AB3597,#REF!,2,FALSE)</f>
        <v>#REF!</v>
      </c>
      <c r="AE3597" t="e">
        <f>RIGHT(#REF!,(FIND("Complex",#REF!,1)-7))</f>
        <v>#REF!</v>
      </c>
    </row>
    <row r="3598" spans="1:31" x14ac:dyDescent="0.25">
      <c r="A3598">
        <v>416</v>
      </c>
      <c r="B3598" t="s">
        <v>253</v>
      </c>
      <c r="C3598">
        <v>55</v>
      </c>
      <c r="D3598">
        <v>177</v>
      </c>
      <c r="E3598">
        <v>416</v>
      </c>
      <c r="F3598">
        <v>7849801</v>
      </c>
      <c r="G3598">
        <v>7938000</v>
      </c>
      <c r="H3598">
        <f t="shared" si="112"/>
        <v>178.00002267573697</v>
      </c>
      <c r="I3598">
        <f t="shared" si="113"/>
        <v>180</v>
      </c>
      <c r="J3598" t="s">
        <v>25</v>
      </c>
      <c r="K3598">
        <v>3</v>
      </c>
      <c r="L3598" t="e">
        <f t="array" ref="L3598">VLOOKUP(J3598:$J$3871&amp;K3598:$K$3871,CHOOSE({1,2},#REF!&amp;#REF!,#REF!),2,0)</f>
        <v>#N/A</v>
      </c>
      <c r="M3598">
        <v>-15</v>
      </c>
      <c r="N3598">
        <v>0</v>
      </c>
      <c r="O3598" t="s">
        <v>7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1</v>
      </c>
      <c r="Y3598">
        <v>0</v>
      </c>
      <c r="Z3598">
        <v>0</v>
      </c>
      <c r="AA3598" t="s">
        <v>5721</v>
      </c>
      <c r="AB3598" t="s">
        <v>7631</v>
      </c>
      <c r="AC3598" t="s">
        <v>5721</v>
      </c>
      <c r="AD3598" t="e">
        <f>VLOOKUP(AB3598,#REF!,2,FALSE)</f>
        <v>#REF!</v>
      </c>
      <c r="AE3598" t="e">
        <f>RIGHT(#REF!,(FIND("Complex",#REF!,1)-6))</f>
        <v>#REF!</v>
      </c>
    </row>
    <row r="3599" spans="1:31" x14ac:dyDescent="0.25">
      <c r="A3599">
        <v>2148</v>
      </c>
      <c r="B3599" t="s">
        <v>253</v>
      </c>
      <c r="C3599">
        <v>55</v>
      </c>
      <c r="D3599">
        <v>900</v>
      </c>
      <c r="E3599">
        <v>2148</v>
      </c>
      <c r="F3599">
        <v>705601</v>
      </c>
      <c r="G3599">
        <v>793800</v>
      </c>
      <c r="H3599">
        <f t="shared" si="112"/>
        <v>16.000022675736961</v>
      </c>
      <c r="I3599">
        <f t="shared" si="113"/>
        <v>18</v>
      </c>
      <c r="J3599" t="s">
        <v>25</v>
      </c>
      <c r="K3599">
        <v>3</v>
      </c>
      <c r="L3599" t="e">
        <f t="array" ref="L3599">VLOOKUP(J3599:$J$3871&amp;K3599:$K$3871,CHOOSE({1,2},#REF!&amp;#REF!,#REF!),2,0)</f>
        <v>#N/A</v>
      </c>
      <c r="M3599">
        <v>-15</v>
      </c>
      <c r="N3599">
        <v>0</v>
      </c>
      <c r="O3599" t="s">
        <v>7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1</v>
      </c>
      <c r="Y3599">
        <v>0</v>
      </c>
      <c r="Z3599">
        <v>0</v>
      </c>
      <c r="AA3599" t="s">
        <v>5818</v>
      </c>
      <c r="AB3599" t="s">
        <v>1394</v>
      </c>
      <c r="AC3599" t="s">
        <v>5818</v>
      </c>
      <c r="AD3599" t="e">
        <f>VLOOKUP(AB3599,#REF!,2,FALSE)</f>
        <v>#REF!</v>
      </c>
      <c r="AE3599" t="e">
        <f>RIGHT(#REF!,(FIND("Complex",#REF!,1)-8))</f>
        <v>#REF!</v>
      </c>
    </row>
    <row r="3600" spans="1:31" x14ac:dyDescent="0.25">
      <c r="A3600">
        <v>214</v>
      </c>
      <c r="B3600" t="s">
        <v>255</v>
      </c>
      <c r="C3600">
        <v>56</v>
      </c>
      <c r="D3600">
        <v>88</v>
      </c>
      <c r="E3600">
        <v>214</v>
      </c>
      <c r="F3600">
        <v>3351601</v>
      </c>
      <c r="G3600">
        <v>3439800</v>
      </c>
      <c r="H3600">
        <f t="shared" si="112"/>
        <v>76.000022675736957</v>
      </c>
      <c r="I3600">
        <f t="shared" si="113"/>
        <v>78</v>
      </c>
      <c r="J3600" t="s">
        <v>25</v>
      </c>
      <c r="K3600">
        <v>3</v>
      </c>
      <c r="L3600" t="e">
        <f t="array" ref="L3600">VLOOKUP(J3600:$J$3871&amp;K3600:$K$3871,CHOOSE({1,2},#REF!&amp;#REF!,#REF!),2,0)</f>
        <v>#N/A</v>
      </c>
      <c r="M3600">
        <v>-15</v>
      </c>
      <c r="N3600">
        <v>0</v>
      </c>
      <c r="O3600" t="s">
        <v>7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1</v>
      </c>
      <c r="Y3600">
        <v>0</v>
      </c>
      <c r="Z3600">
        <v>0</v>
      </c>
      <c r="AA3600" t="s">
        <v>5016</v>
      </c>
      <c r="AB3600" t="s">
        <v>7225</v>
      </c>
      <c r="AC3600" t="s">
        <v>5016</v>
      </c>
      <c r="AD3600" t="e">
        <f>VLOOKUP(AB3600,#REF!,2,FALSE)</f>
        <v>#REF!</v>
      </c>
      <c r="AE3600" t="e">
        <f>RIGHT(#REF!,(FIND("Complex",#REF!,1)-7))</f>
        <v>#REF!</v>
      </c>
    </row>
    <row r="3601" spans="1:31" x14ac:dyDescent="0.25">
      <c r="A3601">
        <v>1968</v>
      </c>
      <c r="B3601" t="s">
        <v>255</v>
      </c>
      <c r="C3601">
        <v>56</v>
      </c>
      <c r="D3601">
        <v>850</v>
      </c>
      <c r="E3601">
        <v>1968</v>
      </c>
      <c r="F3601">
        <v>17551801</v>
      </c>
      <c r="G3601">
        <v>17640000</v>
      </c>
      <c r="H3601">
        <f t="shared" si="112"/>
        <v>398.00002267573694</v>
      </c>
      <c r="I3601">
        <f t="shared" si="113"/>
        <v>400</v>
      </c>
      <c r="J3601" t="s">
        <v>25</v>
      </c>
      <c r="K3601">
        <v>3</v>
      </c>
      <c r="L3601" t="e">
        <f t="array" ref="L3601">VLOOKUP(J3601:$J$3871&amp;K3601:$K$3871,CHOOSE({1,2},#REF!&amp;#REF!,#REF!),2,0)</f>
        <v>#N/A</v>
      </c>
      <c r="M3601">
        <v>-15</v>
      </c>
      <c r="N3601">
        <v>0</v>
      </c>
      <c r="O3601" t="s">
        <v>7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1</v>
      </c>
      <c r="Y3601">
        <v>0</v>
      </c>
      <c r="Z3601">
        <v>0</v>
      </c>
      <c r="AA3601" t="s">
        <v>5283</v>
      </c>
      <c r="AB3601" t="s">
        <v>7356</v>
      </c>
      <c r="AC3601" t="s">
        <v>5283</v>
      </c>
      <c r="AD3601" t="e">
        <f>VLOOKUP(AB3601,#REF!,2,FALSE)</f>
        <v>#REF!</v>
      </c>
      <c r="AE3601" t="e">
        <f>RIGHT(#REF!,(FIND("Complex",#REF!,1)-7))</f>
        <v>#REF!</v>
      </c>
    </row>
    <row r="3602" spans="1:31" x14ac:dyDescent="0.25">
      <c r="A3602">
        <v>1620</v>
      </c>
      <c r="B3602" t="s">
        <v>255</v>
      </c>
      <c r="C3602">
        <v>56</v>
      </c>
      <c r="D3602">
        <v>703</v>
      </c>
      <c r="E3602">
        <v>1620</v>
      </c>
      <c r="F3602">
        <v>15964201</v>
      </c>
      <c r="G3602">
        <v>16052400</v>
      </c>
      <c r="H3602">
        <f t="shared" si="112"/>
        <v>362.00002267573694</v>
      </c>
      <c r="I3602">
        <f t="shared" si="113"/>
        <v>364</v>
      </c>
      <c r="J3602" t="s">
        <v>25</v>
      </c>
      <c r="K3602">
        <v>3</v>
      </c>
      <c r="L3602" t="e">
        <f t="array" ref="L3602">VLOOKUP(J3602:$J$3871&amp;K3602:$K$3871,CHOOSE({1,2},#REF!&amp;#REF!,#REF!),2,0)</f>
        <v>#N/A</v>
      </c>
      <c r="M3602">
        <v>-15</v>
      </c>
      <c r="N3602">
        <v>0</v>
      </c>
      <c r="O3602" t="s">
        <v>7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1</v>
      </c>
      <c r="Y3602">
        <v>0</v>
      </c>
      <c r="Z3602">
        <v>0</v>
      </c>
      <c r="AA3602" t="s">
        <v>5307</v>
      </c>
      <c r="AB3602" t="s">
        <v>7368</v>
      </c>
      <c r="AC3602" t="s">
        <v>5307</v>
      </c>
      <c r="AD3602" t="e">
        <f>VLOOKUP(AB3602,#REF!,2,FALSE)</f>
        <v>#REF!</v>
      </c>
      <c r="AE3602" t="e">
        <f>RIGHT(#REF!,(FIND("Complex",#REF!,1)-7))</f>
        <v>#REF!</v>
      </c>
    </row>
    <row r="3603" spans="1:31" x14ac:dyDescent="0.25">
      <c r="A3603">
        <v>1738</v>
      </c>
      <c r="B3603" t="s">
        <v>255</v>
      </c>
      <c r="C3603">
        <v>56</v>
      </c>
      <c r="D3603">
        <v>756</v>
      </c>
      <c r="E3603">
        <v>1738</v>
      </c>
      <c r="F3603">
        <v>15082201</v>
      </c>
      <c r="G3603">
        <v>15170400</v>
      </c>
      <c r="H3603">
        <f t="shared" si="112"/>
        <v>342.00002267573694</v>
      </c>
      <c r="I3603">
        <f t="shared" si="113"/>
        <v>344</v>
      </c>
      <c r="J3603" t="s">
        <v>25</v>
      </c>
      <c r="K3603">
        <v>3</v>
      </c>
      <c r="L3603" t="e">
        <f t="array" ref="L3603">VLOOKUP(J3603:$J$3871&amp;K3603:$K$3871,CHOOSE({1,2},#REF!&amp;#REF!,#REF!),2,0)</f>
        <v>#N/A</v>
      </c>
      <c r="M3603">
        <v>-15</v>
      </c>
      <c r="N3603">
        <v>0</v>
      </c>
      <c r="O3603" t="s">
        <v>7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1</v>
      </c>
      <c r="Y3603">
        <v>0</v>
      </c>
      <c r="Z3603">
        <v>0</v>
      </c>
      <c r="AA3603" t="s">
        <v>5328</v>
      </c>
      <c r="AB3603" t="s">
        <v>7383</v>
      </c>
      <c r="AC3603" t="s">
        <v>5328</v>
      </c>
      <c r="AD3603" t="e">
        <f>VLOOKUP(AB3603,#REF!,2,FALSE)</f>
        <v>#REF!</v>
      </c>
      <c r="AE3603" t="e">
        <f>RIGHT(#REF!,(FIND("Complex",#REF!,1)-7))</f>
        <v>#REF!</v>
      </c>
    </row>
    <row r="3604" spans="1:31" x14ac:dyDescent="0.25">
      <c r="A3604">
        <v>2130</v>
      </c>
      <c r="B3604" t="s">
        <v>255</v>
      </c>
      <c r="C3604">
        <v>56</v>
      </c>
      <c r="D3604">
        <v>896</v>
      </c>
      <c r="E3604">
        <v>2130</v>
      </c>
      <c r="F3604">
        <v>14905801</v>
      </c>
      <c r="G3604">
        <v>14994000</v>
      </c>
      <c r="H3604">
        <f t="shared" si="112"/>
        <v>338.00002267573694</v>
      </c>
      <c r="I3604">
        <f t="shared" si="113"/>
        <v>340</v>
      </c>
      <c r="J3604" t="s">
        <v>25</v>
      </c>
      <c r="K3604">
        <v>3</v>
      </c>
      <c r="L3604" t="e">
        <f t="array" ref="L3604">VLOOKUP(J3604:$J$3871&amp;K3604:$K$3871,CHOOSE({1,2},#REF!&amp;#REF!,#REF!),2,0)</f>
        <v>#N/A</v>
      </c>
      <c r="M3604">
        <v>-15</v>
      </c>
      <c r="N3604">
        <v>0</v>
      </c>
      <c r="O3604" t="s">
        <v>7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1</v>
      </c>
      <c r="Y3604">
        <v>0</v>
      </c>
      <c r="Z3604">
        <v>0</v>
      </c>
      <c r="AA3604" t="s">
        <v>5344</v>
      </c>
      <c r="AB3604" t="s">
        <v>7391</v>
      </c>
      <c r="AC3604" t="s">
        <v>5344</v>
      </c>
      <c r="AD3604" t="e">
        <f>VLOOKUP(AB3604,#REF!,2,FALSE)</f>
        <v>#REF!</v>
      </c>
      <c r="AE3604" t="e">
        <f>RIGHT(#REF!,(FIND("Complex",#REF!,1)-7))</f>
        <v>#REF!</v>
      </c>
    </row>
    <row r="3605" spans="1:31" x14ac:dyDescent="0.25">
      <c r="A3605">
        <v>54</v>
      </c>
      <c r="B3605" t="s">
        <v>255</v>
      </c>
      <c r="C3605">
        <v>56</v>
      </c>
      <c r="D3605">
        <v>29</v>
      </c>
      <c r="E3605">
        <v>54</v>
      </c>
      <c r="F3605">
        <v>12877201</v>
      </c>
      <c r="G3605">
        <v>12965400</v>
      </c>
      <c r="H3605">
        <f t="shared" si="112"/>
        <v>292.00002267573694</v>
      </c>
      <c r="I3605">
        <f t="shared" si="113"/>
        <v>294</v>
      </c>
      <c r="J3605" t="s">
        <v>25</v>
      </c>
      <c r="K3605">
        <v>3</v>
      </c>
      <c r="L3605" t="e">
        <f t="array" ref="L3605">VLOOKUP(J3605:$J$3871&amp;K3605:$K$3871,CHOOSE({1,2},#REF!&amp;#REF!,#REF!),2,0)</f>
        <v>#N/A</v>
      </c>
      <c r="M3605">
        <v>-15</v>
      </c>
      <c r="N3605">
        <v>0</v>
      </c>
      <c r="O3605" t="s">
        <v>7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1</v>
      </c>
      <c r="Y3605">
        <v>0</v>
      </c>
      <c r="Z3605">
        <v>0</v>
      </c>
      <c r="AA3605" t="s">
        <v>5394</v>
      </c>
      <c r="AB3605" t="s">
        <v>7417</v>
      </c>
      <c r="AC3605" t="s">
        <v>5394</v>
      </c>
      <c r="AD3605" t="e">
        <f>VLOOKUP(AB3605,#REF!,2,FALSE)</f>
        <v>#REF!</v>
      </c>
      <c r="AE3605" t="e">
        <f>RIGHT(#REF!,(FIND("Complex",#REF!,1)-5))</f>
        <v>#REF!</v>
      </c>
    </row>
    <row r="3606" spans="1:31" x14ac:dyDescent="0.25">
      <c r="A3606">
        <v>1281</v>
      </c>
      <c r="B3606" t="s">
        <v>255</v>
      </c>
      <c r="C3606">
        <v>56</v>
      </c>
      <c r="D3606">
        <v>556</v>
      </c>
      <c r="E3606">
        <v>1281</v>
      </c>
      <c r="F3606">
        <v>12789001</v>
      </c>
      <c r="G3606">
        <v>12877200</v>
      </c>
      <c r="H3606">
        <f t="shared" si="112"/>
        <v>290.00002267573694</v>
      </c>
      <c r="I3606">
        <f t="shared" si="113"/>
        <v>292</v>
      </c>
      <c r="J3606" t="s">
        <v>25</v>
      </c>
      <c r="K3606">
        <v>3</v>
      </c>
      <c r="L3606" t="e">
        <f t="array" ref="L3606">VLOOKUP(J3606:$J$3871&amp;K3606:$K$3871,CHOOSE({1,2},#REF!&amp;#REF!,#REF!),2,0)</f>
        <v>#N/A</v>
      </c>
      <c r="M3606">
        <v>-15</v>
      </c>
      <c r="N3606">
        <v>0</v>
      </c>
      <c r="O3606" t="s">
        <v>7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1</v>
      </c>
      <c r="Y3606">
        <v>0</v>
      </c>
      <c r="Z3606">
        <v>0</v>
      </c>
      <c r="AA3606" t="s">
        <v>5397</v>
      </c>
      <c r="AB3606" t="s">
        <v>7420</v>
      </c>
      <c r="AC3606" t="s">
        <v>5397</v>
      </c>
      <c r="AD3606" t="e">
        <f>VLOOKUP(AB3606,#REF!,2,FALSE)</f>
        <v>#REF!</v>
      </c>
      <c r="AE3606" t="e">
        <f>RIGHT(#REF!,(FIND("Complex",#REF!,1)-7))</f>
        <v>#REF!</v>
      </c>
    </row>
    <row r="3607" spans="1:31" x14ac:dyDescent="0.25">
      <c r="A3607">
        <v>1861</v>
      </c>
      <c r="B3607" t="s">
        <v>255</v>
      </c>
      <c r="C3607">
        <v>56</v>
      </c>
      <c r="D3607">
        <v>812</v>
      </c>
      <c r="E3607">
        <v>1861</v>
      </c>
      <c r="F3607">
        <v>12083401</v>
      </c>
      <c r="G3607">
        <v>12171600</v>
      </c>
      <c r="H3607">
        <f t="shared" si="112"/>
        <v>274.00002267573694</v>
      </c>
      <c r="I3607">
        <f t="shared" si="113"/>
        <v>276</v>
      </c>
      <c r="J3607" t="s">
        <v>25</v>
      </c>
      <c r="K3607">
        <v>3</v>
      </c>
      <c r="L3607" t="e">
        <f t="array" ref="L3607">VLOOKUP(J3607:$J$3871&amp;K3607:$K$3871,CHOOSE({1,2},#REF!&amp;#REF!,#REF!),2,0)</f>
        <v>#N/A</v>
      </c>
      <c r="M3607">
        <v>-15</v>
      </c>
      <c r="N3607">
        <v>0</v>
      </c>
      <c r="O3607" t="s">
        <v>7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1</v>
      </c>
      <c r="Y3607">
        <v>0</v>
      </c>
      <c r="Z3607">
        <v>0</v>
      </c>
      <c r="AA3607" t="s">
        <v>5429</v>
      </c>
      <c r="AB3607" t="s">
        <v>7439</v>
      </c>
      <c r="AC3607" t="s">
        <v>5429</v>
      </c>
      <c r="AD3607" t="e">
        <f>VLOOKUP(AB3607,#REF!,2,FALSE)</f>
        <v>#REF!</v>
      </c>
      <c r="AE3607" t="e">
        <f>RIGHT(#REF!,(FIND("Complex",#REF!,1)-7))</f>
        <v>#REF!</v>
      </c>
    </row>
    <row r="3608" spans="1:31" x14ac:dyDescent="0.25">
      <c r="A3608">
        <v>2210</v>
      </c>
      <c r="B3608" t="s">
        <v>255</v>
      </c>
      <c r="C3608">
        <v>56</v>
      </c>
      <c r="D3608">
        <v>916</v>
      </c>
      <c r="E3608">
        <v>2210</v>
      </c>
      <c r="F3608">
        <v>11907001</v>
      </c>
      <c r="G3608">
        <v>11995200</v>
      </c>
      <c r="H3608">
        <f t="shared" si="112"/>
        <v>270.00002267573694</v>
      </c>
      <c r="I3608">
        <f t="shared" si="113"/>
        <v>272</v>
      </c>
      <c r="J3608" t="s">
        <v>25</v>
      </c>
      <c r="K3608">
        <v>3</v>
      </c>
      <c r="L3608" t="e">
        <f t="array" ref="L3608">VLOOKUP(J3608:$J$3871&amp;K3608:$K$3871,CHOOSE({1,2},#REF!&amp;#REF!,#REF!),2,0)</f>
        <v>#N/A</v>
      </c>
      <c r="M3608">
        <v>-15</v>
      </c>
      <c r="N3608">
        <v>0</v>
      </c>
      <c r="O3608" t="s">
        <v>7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1</v>
      </c>
      <c r="Y3608">
        <v>0</v>
      </c>
      <c r="Z3608">
        <v>0</v>
      </c>
      <c r="AA3608" t="s">
        <v>5436</v>
      </c>
      <c r="AB3608" t="s">
        <v>7443</v>
      </c>
      <c r="AC3608" t="s">
        <v>5436</v>
      </c>
      <c r="AD3608" t="e">
        <f>VLOOKUP(AB3608,#REF!,2,FALSE)</f>
        <v>#REF!</v>
      </c>
      <c r="AE3608" t="e">
        <f>RIGHT(#REF!,(FIND("Complex",#REF!,1)-7))</f>
        <v>#REF!</v>
      </c>
    </row>
    <row r="3609" spans="1:31" x14ac:dyDescent="0.25">
      <c r="A3609">
        <v>638</v>
      </c>
      <c r="B3609" t="s">
        <v>255</v>
      </c>
      <c r="C3609">
        <v>56</v>
      </c>
      <c r="D3609">
        <v>277</v>
      </c>
      <c r="E3609">
        <v>638</v>
      </c>
      <c r="F3609">
        <v>11466001</v>
      </c>
      <c r="G3609">
        <v>11554200</v>
      </c>
      <c r="H3609">
        <f t="shared" si="112"/>
        <v>260.00002267573694</v>
      </c>
      <c r="I3609">
        <f t="shared" si="113"/>
        <v>262</v>
      </c>
      <c r="J3609" t="s">
        <v>25</v>
      </c>
      <c r="K3609">
        <v>3</v>
      </c>
      <c r="L3609" t="e">
        <f t="array" ref="L3609">VLOOKUP(J3609:$J$3871&amp;K3609:$K$3871,CHOOSE({1,2},#REF!&amp;#REF!,#REF!),2,0)</f>
        <v>#N/A</v>
      </c>
      <c r="M3609">
        <v>-15</v>
      </c>
      <c r="N3609">
        <v>0</v>
      </c>
      <c r="O3609" t="s">
        <v>7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1</v>
      </c>
      <c r="Y3609">
        <v>0</v>
      </c>
      <c r="Z3609">
        <v>0</v>
      </c>
      <c r="AA3609" t="s">
        <v>5451</v>
      </c>
      <c r="AB3609" t="s">
        <v>7455</v>
      </c>
      <c r="AC3609" t="s">
        <v>5451</v>
      </c>
      <c r="AD3609" t="e">
        <f>VLOOKUP(AB3609,#REF!,2,FALSE)</f>
        <v>#REF!</v>
      </c>
      <c r="AE3609" t="e">
        <f>RIGHT(#REF!,(FIND("Complex",#REF!,1)-6))</f>
        <v>#REF!</v>
      </c>
    </row>
    <row r="3610" spans="1:31" x14ac:dyDescent="0.25">
      <c r="A3610">
        <v>255</v>
      </c>
      <c r="B3610" t="s">
        <v>255</v>
      </c>
      <c r="C3610">
        <v>56</v>
      </c>
      <c r="D3610">
        <v>109</v>
      </c>
      <c r="E3610">
        <v>255</v>
      </c>
      <c r="F3610">
        <v>11377801</v>
      </c>
      <c r="G3610">
        <v>11466000</v>
      </c>
      <c r="H3610">
        <f t="shared" si="112"/>
        <v>258.00002267573694</v>
      </c>
      <c r="I3610">
        <f t="shared" si="113"/>
        <v>260</v>
      </c>
      <c r="J3610" t="s">
        <v>25</v>
      </c>
      <c r="K3610">
        <v>3</v>
      </c>
      <c r="L3610" t="e">
        <f t="array" ref="L3610">VLOOKUP(J3610:$J$3871&amp;K3610:$K$3871,CHOOSE({1,2},#REF!&amp;#REF!,#REF!),2,0)</f>
        <v>#N/A</v>
      </c>
      <c r="M3610">
        <v>-15</v>
      </c>
      <c r="N3610">
        <v>0</v>
      </c>
      <c r="O3610" t="s">
        <v>7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1</v>
      </c>
      <c r="Y3610">
        <v>0</v>
      </c>
      <c r="Z3610">
        <v>0</v>
      </c>
      <c r="AA3610" t="s">
        <v>5473</v>
      </c>
      <c r="AB3610" t="s">
        <v>7469</v>
      </c>
      <c r="AC3610" t="s">
        <v>5473</v>
      </c>
      <c r="AD3610" t="e">
        <f>VLOOKUP(AB3610,#REF!,2,FALSE)</f>
        <v>#REF!</v>
      </c>
      <c r="AE3610" t="e">
        <f>RIGHT(#REF!,(FIND("Complex",#REF!,1)-6))</f>
        <v>#REF!</v>
      </c>
    </row>
    <row r="3611" spans="1:31" x14ac:dyDescent="0.25">
      <c r="A3611">
        <v>1691</v>
      </c>
      <c r="B3611" t="s">
        <v>30</v>
      </c>
      <c r="C3611">
        <v>57</v>
      </c>
      <c r="D3611">
        <v>739</v>
      </c>
      <c r="E3611">
        <v>1691</v>
      </c>
      <c r="F3611">
        <v>264601</v>
      </c>
      <c r="G3611">
        <v>352800</v>
      </c>
      <c r="H3611">
        <f t="shared" si="112"/>
        <v>6.000022675736961</v>
      </c>
      <c r="I3611">
        <f t="shared" si="113"/>
        <v>8</v>
      </c>
      <c r="J3611" t="s">
        <v>25</v>
      </c>
      <c r="K3611">
        <v>3</v>
      </c>
      <c r="L3611" t="e">
        <f t="array" ref="L3611">VLOOKUP(J3611:$J$3871&amp;K3611:$K$3871,CHOOSE({1,2},#REF!&amp;#REF!,#REF!),2,0)</f>
        <v>#N/A</v>
      </c>
      <c r="M3611">
        <v>-15</v>
      </c>
      <c r="N3611">
        <v>0</v>
      </c>
      <c r="O3611" t="s">
        <v>7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1</v>
      </c>
      <c r="Y3611">
        <v>0</v>
      </c>
      <c r="Z3611">
        <v>0</v>
      </c>
      <c r="AA3611" t="s">
        <v>5132</v>
      </c>
      <c r="AB3611" t="s">
        <v>1415</v>
      </c>
      <c r="AC3611" t="s">
        <v>5132</v>
      </c>
      <c r="AD3611" t="e">
        <f>VLOOKUP(AB3611,#REF!,2,FALSE)</f>
        <v>#REF!</v>
      </c>
      <c r="AE3611" t="e">
        <f>RIGHT(#REF!,(FIND("Complex",#REF!,1)-9))</f>
        <v>#REF!</v>
      </c>
    </row>
    <row r="3612" spans="1:31" x14ac:dyDescent="0.25">
      <c r="A3612">
        <v>1314</v>
      </c>
      <c r="B3612" t="s">
        <v>30</v>
      </c>
      <c r="C3612">
        <v>57</v>
      </c>
      <c r="D3612">
        <v>570</v>
      </c>
      <c r="E3612">
        <v>1314</v>
      </c>
      <c r="F3612">
        <v>8202601</v>
      </c>
      <c r="G3612">
        <v>8290800</v>
      </c>
      <c r="H3612">
        <f t="shared" si="112"/>
        <v>186.00002267573697</v>
      </c>
      <c r="I3612">
        <f t="shared" si="113"/>
        <v>188</v>
      </c>
      <c r="J3612" t="s">
        <v>25</v>
      </c>
      <c r="K3612">
        <v>3</v>
      </c>
      <c r="L3612" t="e">
        <f t="array" ref="L3612">VLOOKUP(J3612:$J$3871&amp;K3612:$K$3871,CHOOSE({1,2},#REF!&amp;#REF!,#REF!),2,0)</f>
        <v>#N/A</v>
      </c>
      <c r="M3612">
        <v>-15</v>
      </c>
      <c r="N3612">
        <v>0</v>
      </c>
      <c r="O3612" t="s">
        <v>7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1</v>
      </c>
      <c r="Y3612">
        <v>0</v>
      </c>
      <c r="Z3612">
        <v>0</v>
      </c>
      <c r="AA3612" t="s">
        <v>5684</v>
      </c>
      <c r="AB3612" t="s">
        <v>7612</v>
      </c>
      <c r="AC3612" t="s">
        <v>5684</v>
      </c>
      <c r="AD3612" t="e">
        <f>VLOOKUP(AB3612,#REF!,2,FALSE)</f>
        <v>#REF!</v>
      </c>
      <c r="AE3612" t="e">
        <f>RIGHT(#REF!,(FIND("Complex",#REF!,1)-7))</f>
        <v>#REF!</v>
      </c>
    </row>
    <row r="3613" spans="1:31" x14ac:dyDescent="0.25">
      <c r="A3613">
        <v>2205</v>
      </c>
      <c r="B3613" t="s">
        <v>30</v>
      </c>
      <c r="C3613">
        <v>57</v>
      </c>
      <c r="D3613">
        <v>914</v>
      </c>
      <c r="E3613">
        <v>2205</v>
      </c>
      <c r="F3613">
        <v>7849801</v>
      </c>
      <c r="G3613">
        <v>7938000</v>
      </c>
      <c r="H3613">
        <f t="shared" si="112"/>
        <v>178.00002267573697</v>
      </c>
      <c r="I3613">
        <f t="shared" si="113"/>
        <v>180</v>
      </c>
      <c r="J3613" t="s">
        <v>25</v>
      </c>
      <c r="K3613">
        <v>3</v>
      </c>
      <c r="L3613" t="e">
        <f t="array" ref="L3613">VLOOKUP(J3613:$J$3871&amp;K3613:$K$3871,CHOOSE({1,2},#REF!&amp;#REF!,#REF!),2,0)</f>
        <v>#N/A</v>
      </c>
      <c r="M3613">
        <v>-15</v>
      </c>
      <c r="N3613">
        <v>0</v>
      </c>
      <c r="O3613" t="s">
        <v>7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1</v>
      </c>
      <c r="Y3613">
        <v>0</v>
      </c>
      <c r="Z3613">
        <v>0</v>
      </c>
      <c r="AA3613" t="s">
        <v>5720</v>
      </c>
      <c r="AB3613" t="s">
        <v>1416</v>
      </c>
      <c r="AC3613" t="s">
        <v>5720</v>
      </c>
      <c r="AD3613" t="e">
        <f>VLOOKUP(AB3613,#REF!,2,FALSE)</f>
        <v>#REF!</v>
      </c>
      <c r="AE3613" t="e">
        <f>RIGHT(#REF!,(FIND("Complex",#REF!,1)-7))</f>
        <v>#REF!</v>
      </c>
    </row>
    <row r="3614" spans="1:31" x14ac:dyDescent="0.25">
      <c r="A3614">
        <v>1973</v>
      </c>
      <c r="B3614" t="s">
        <v>30</v>
      </c>
      <c r="C3614">
        <v>57</v>
      </c>
      <c r="D3614">
        <v>854</v>
      </c>
      <c r="E3614">
        <v>1973</v>
      </c>
      <c r="F3614">
        <v>529201</v>
      </c>
      <c r="G3614">
        <v>617400</v>
      </c>
      <c r="H3614">
        <f t="shared" si="112"/>
        <v>12.000022675736961</v>
      </c>
      <c r="I3614">
        <f t="shared" si="113"/>
        <v>14</v>
      </c>
      <c r="J3614" t="s">
        <v>25</v>
      </c>
      <c r="K3614">
        <v>3</v>
      </c>
      <c r="L3614" t="e">
        <f t="array" ref="L3614">VLOOKUP(J3614:$J$3871&amp;K3614:$K$3871,CHOOSE({1,2},#REF!&amp;#REF!,#REF!),2,0)</f>
        <v>#N/A</v>
      </c>
      <c r="M3614">
        <v>-15</v>
      </c>
      <c r="N3614">
        <v>0</v>
      </c>
      <c r="O3614" t="s">
        <v>7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1</v>
      </c>
      <c r="Y3614">
        <v>0</v>
      </c>
      <c r="Z3614">
        <v>0</v>
      </c>
      <c r="AA3614" t="s">
        <v>6031</v>
      </c>
      <c r="AB3614" t="s">
        <v>7812</v>
      </c>
      <c r="AC3614" t="s">
        <v>6031</v>
      </c>
      <c r="AD3614" t="e">
        <f>VLOOKUP(AB3614,#REF!,2,FALSE)</f>
        <v>#REF!</v>
      </c>
      <c r="AE3614" t="e">
        <f>RIGHT(#REF!,(FIND("Complex",#REF!,1)-8))</f>
        <v>#REF!</v>
      </c>
    </row>
    <row r="3615" spans="1:31" x14ac:dyDescent="0.25">
      <c r="A3615">
        <v>1983</v>
      </c>
      <c r="B3615" t="s">
        <v>257</v>
      </c>
      <c r="C3615">
        <v>58</v>
      </c>
      <c r="D3615">
        <v>857</v>
      </c>
      <c r="E3615">
        <v>1983</v>
      </c>
      <c r="F3615">
        <v>10054801</v>
      </c>
      <c r="G3615">
        <v>10143000</v>
      </c>
      <c r="H3615">
        <f t="shared" si="112"/>
        <v>228.00002267573697</v>
      </c>
      <c r="I3615">
        <f t="shared" si="113"/>
        <v>230</v>
      </c>
      <c r="J3615" t="s">
        <v>25</v>
      </c>
      <c r="K3615">
        <v>3</v>
      </c>
      <c r="L3615" t="e">
        <f t="array" ref="L3615">VLOOKUP(J3615:$J$3871&amp;K3615:$K$3871,CHOOSE({1,2},#REF!&amp;#REF!,#REF!),2,0)</f>
        <v>#N/A</v>
      </c>
      <c r="M3615">
        <v>-15</v>
      </c>
      <c r="N3615">
        <v>0</v>
      </c>
      <c r="O3615" t="s">
        <v>7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1</v>
      </c>
      <c r="Y3615">
        <v>0</v>
      </c>
      <c r="Z3615">
        <v>0</v>
      </c>
      <c r="AA3615" t="s">
        <v>5549</v>
      </c>
      <c r="AB3615" t="s">
        <v>7524</v>
      </c>
      <c r="AC3615" t="s">
        <v>5549</v>
      </c>
      <c r="AD3615" t="e">
        <f>VLOOKUP(AB3615,#REF!,2,FALSE)</f>
        <v>#REF!</v>
      </c>
      <c r="AE3615" t="e">
        <f>RIGHT(#REF!,(FIND("Complex",#REF!,1)-7))</f>
        <v>#REF!</v>
      </c>
    </row>
    <row r="3616" spans="1:31" x14ac:dyDescent="0.25">
      <c r="A3616">
        <v>291</v>
      </c>
      <c r="B3616" t="s">
        <v>257</v>
      </c>
      <c r="C3616">
        <v>58</v>
      </c>
      <c r="D3616">
        <v>124</v>
      </c>
      <c r="E3616">
        <v>291</v>
      </c>
      <c r="F3616">
        <v>9084601</v>
      </c>
      <c r="G3616">
        <v>9172800</v>
      </c>
      <c r="H3616">
        <f t="shared" si="112"/>
        <v>206.00002267573697</v>
      </c>
      <c r="I3616">
        <f t="shared" si="113"/>
        <v>208</v>
      </c>
      <c r="J3616" t="s">
        <v>25</v>
      </c>
      <c r="K3616">
        <v>3</v>
      </c>
      <c r="L3616" t="e">
        <f t="array" ref="L3616">VLOOKUP(J3616:$J$3871&amp;K3616:$K$3871,CHOOSE({1,2},#REF!&amp;#REF!,#REF!),2,0)</f>
        <v>#N/A</v>
      </c>
      <c r="M3616">
        <v>-15</v>
      </c>
      <c r="N3616">
        <v>0</v>
      </c>
      <c r="O3616" t="s">
        <v>7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1</v>
      </c>
      <c r="Y3616">
        <v>0</v>
      </c>
      <c r="Z3616">
        <v>0</v>
      </c>
      <c r="AA3616" t="s">
        <v>5617</v>
      </c>
      <c r="AB3616" t="s">
        <v>7565</v>
      </c>
      <c r="AC3616" t="s">
        <v>5617</v>
      </c>
      <c r="AD3616" t="e">
        <f>VLOOKUP(AB3616,#REF!,2,FALSE)</f>
        <v>#REF!</v>
      </c>
      <c r="AE3616" t="e">
        <f>RIGHT(#REF!,(FIND("Complex",#REF!,1)-6))</f>
        <v>#REF!</v>
      </c>
    </row>
    <row r="3617" spans="1:31" x14ac:dyDescent="0.25">
      <c r="A3617">
        <v>1599</v>
      </c>
      <c r="B3617" t="s">
        <v>257</v>
      </c>
      <c r="C3617">
        <v>58</v>
      </c>
      <c r="D3617">
        <v>693</v>
      </c>
      <c r="E3617">
        <v>1599</v>
      </c>
      <c r="F3617">
        <v>8731801</v>
      </c>
      <c r="G3617">
        <v>8820000</v>
      </c>
      <c r="H3617">
        <f t="shared" si="112"/>
        <v>198.00002267573697</v>
      </c>
      <c r="I3617">
        <f t="shared" si="113"/>
        <v>200</v>
      </c>
      <c r="J3617" t="s">
        <v>25</v>
      </c>
      <c r="K3617">
        <v>3</v>
      </c>
      <c r="L3617" t="e">
        <f t="array" ref="L3617">VLOOKUP(J3617:$J$3871&amp;K3617:$K$3871,CHOOSE({1,2},#REF!&amp;#REF!,#REF!),2,0)</f>
        <v>#N/A</v>
      </c>
      <c r="M3617">
        <v>-15</v>
      </c>
      <c r="N3617">
        <v>0</v>
      </c>
      <c r="O3617" t="s">
        <v>7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1</v>
      </c>
      <c r="Y3617">
        <v>0</v>
      </c>
      <c r="Z3617">
        <v>0</v>
      </c>
      <c r="AA3617" t="s">
        <v>5659</v>
      </c>
      <c r="AB3617" t="s">
        <v>7590</v>
      </c>
      <c r="AC3617" t="s">
        <v>5659</v>
      </c>
      <c r="AD3617" t="e">
        <f>VLOOKUP(AB3617,#REF!,2,FALSE)</f>
        <v>#REF!</v>
      </c>
      <c r="AE3617" t="e">
        <f>RIGHT(#REF!,(FIND("Complex",#REF!,1)-7))</f>
        <v>#REF!</v>
      </c>
    </row>
    <row r="3618" spans="1:31" x14ac:dyDescent="0.25">
      <c r="A3618">
        <v>1680</v>
      </c>
      <c r="B3618" t="s">
        <v>257</v>
      </c>
      <c r="C3618">
        <v>58</v>
      </c>
      <c r="D3618">
        <v>736</v>
      </c>
      <c r="E3618">
        <v>1680</v>
      </c>
      <c r="F3618">
        <v>8555401</v>
      </c>
      <c r="G3618">
        <v>8643600</v>
      </c>
      <c r="H3618">
        <f t="shared" si="112"/>
        <v>194.00002267573697</v>
      </c>
      <c r="I3618">
        <f t="shared" si="113"/>
        <v>196</v>
      </c>
      <c r="J3618" t="s">
        <v>25</v>
      </c>
      <c r="K3618">
        <v>3</v>
      </c>
      <c r="L3618" t="e">
        <f t="array" ref="L3618">VLOOKUP(J3618:$J$3871&amp;K3618:$K$3871,CHOOSE({1,2},#REF!&amp;#REF!,#REF!),2,0)</f>
        <v>#N/A</v>
      </c>
      <c r="M3618">
        <v>-15</v>
      </c>
      <c r="N3618">
        <v>0</v>
      </c>
      <c r="O3618" t="s">
        <v>7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1</v>
      </c>
      <c r="Y3618">
        <v>0</v>
      </c>
      <c r="Z3618">
        <v>0</v>
      </c>
      <c r="AA3618" t="s">
        <v>5668</v>
      </c>
      <c r="AB3618" t="s">
        <v>7598</v>
      </c>
      <c r="AC3618" t="s">
        <v>5668</v>
      </c>
      <c r="AD3618" t="e">
        <f>VLOOKUP(AB3618,#REF!,2,FALSE)</f>
        <v>#REF!</v>
      </c>
      <c r="AE3618" t="e">
        <f>RIGHT(#REF!,(FIND("Complex",#REF!,1)-7))</f>
        <v>#REF!</v>
      </c>
    </row>
    <row r="3619" spans="1:31" x14ac:dyDescent="0.25">
      <c r="A3619">
        <v>788</v>
      </c>
      <c r="B3619" t="s">
        <v>257</v>
      </c>
      <c r="C3619">
        <v>58</v>
      </c>
      <c r="D3619">
        <v>352</v>
      </c>
      <c r="E3619">
        <v>788</v>
      </c>
      <c r="F3619">
        <v>7673401</v>
      </c>
      <c r="G3619">
        <v>7761600</v>
      </c>
      <c r="H3619">
        <f t="shared" si="112"/>
        <v>174.00002267573697</v>
      </c>
      <c r="I3619">
        <f t="shared" si="113"/>
        <v>176</v>
      </c>
      <c r="J3619" t="s">
        <v>25</v>
      </c>
      <c r="K3619">
        <v>3</v>
      </c>
      <c r="L3619" t="e">
        <f t="array" ref="L3619">VLOOKUP(J3619:$J$3871&amp;K3619:$K$3871,CHOOSE({1,2},#REF!&amp;#REF!,#REF!),2,0)</f>
        <v>#N/A</v>
      </c>
      <c r="M3619">
        <v>-15</v>
      </c>
      <c r="N3619">
        <v>0</v>
      </c>
      <c r="O3619" t="s">
        <v>7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1</v>
      </c>
      <c r="Y3619">
        <v>0</v>
      </c>
      <c r="Z3619">
        <v>0</v>
      </c>
      <c r="AA3619" t="s">
        <v>5736</v>
      </c>
      <c r="AB3619" t="s">
        <v>7640</v>
      </c>
      <c r="AC3619" t="s">
        <v>5736</v>
      </c>
      <c r="AD3619" t="e">
        <f>VLOOKUP(AB3619,#REF!,2,FALSE)</f>
        <v>#REF!</v>
      </c>
      <c r="AE3619" t="e">
        <f>RIGHT(#REF!,(FIND("Complex",#REF!,1)-6))</f>
        <v>#REF!</v>
      </c>
    </row>
    <row r="3620" spans="1:31" x14ac:dyDescent="0.25">
      <c r="A3620">
        <v>2254</v>
      </c>
      <c r="B3620" t="s">
        <v>257</v>
      </c>
      <c r="C3620">
        <v>58</v>
      </c>
      <c r="D3620">
        <v>928</v>
      </c>
      <c r="E3620">
        <v>2254</v>
      </c>
      <c r="F3620">
        <v>617401</v>
      </c>
      <c r="G3620">
        <v>705600</v>
      </c>
      <c r="H3620">
        <f t="shared" si="112"/>
        <v>14.000022675736961</v>
      </c>
      <c r="I3620">
        <f t="shared" si="113"/>
        <v>16</v>
      </c>
      <c r="J3620" t="s">
        <v>25</v>
      </c>
      <c r="K3620">
        <v>3</v>
      </c>
      <c r="L3620" t="e">
        <f t="array" ref="L3620">VLOOKUP(J3620:$J$3871&amp;K3620:$K$3871,CHOOSE({1,2},#REF!&amp;#REF!,#REF!),2,0)</f>
        <v>#N/A</v>
      </c>
      <c r="M3620">
        <v>-15</v>
      </c>
      <c r="N3620">
        <v>0</v>
      </c>
      <c r="O3620" t="s">
        <v>7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1</v>
      </c>
      <c r="Y3620">
        <v>0</v>
      </c>
      <c r="Z3620">
        <v>0</v>
      </c>
      <c r="AA3620" t="s">
        <v>5940</v>
      </c>
      <c r="AB3620" t="s">
        <v>7762</v>
      </c>
      <c r="AC3620" t="s">
        <v>5940</v>
      </c>
      <c r="AD3620" t="e">
        <f>VLOOKUP(AB3620,#REF!,2,FALSE)</f>
        <v>#REF!</v>
      </c>
      <c r="AE3620" t="e">
        <f>RIGHT(#REF!,(FIND("Complex",#REF!,1)-8))</f>
        <v>#REF!</v>
      </c>
    </row>
    <row r="3621" spans="1:31" x14ac:dyDescent="0.25">
      <c r="A3621">
        <v>458</v>
      </c>
      <c r="B3621" t="s">
        <v>257</v>
      </c>
      <c r="C3621">
        <v>58</v>
      </c>
      <c r="D3621">
        <v>192</v>
      </c>
      <c r="E3621">
        <v>458</v>
      </c>
      <c r="F3621">
        <v>4410001</v>
      </c>
      <c r="G3621">
        <v>4498200</v>
      </c>
      <c r="H3621">
        <f t="shared" si="112"/>
        <v>100.00002267573696</v>
      </c>
      <c r="I3621">
        <f t="shared" si="113"/>
        <v>102</v>
      </c>
      <c r="J3621" t="s">
        <v>25</v>
      </c>
      <c r="K3621">
        <v>3</v>
      </c>
      <c r="L3621" t="e">
        <f t="array" ref="L3621">VLOOKUP(J3621:$J$3871&amp;K3621:$K$3871,CHOOSE({1,2},#REF!&amp;#REF!,#REF!),2,0)</f>
        <v>#N/A</v>
      </c>
      <c r="M3621">
        <v>-15</v>
      </c>
      <c r="N3621">
        <v>0</v>
      </c>
      <c r="O3621" t="s">
        <v>7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1</v>
      </c>
      <c r="Y3621">
        <v>0</v>
      </c>
      <c r="Z3621">
        <v>0</v>
      </c>
      <c r="AA3621" t="s">
        <v>6122</v>
      </c>
      <c r="AB3621" t="s">
        <v>7864</v>
      </c>
      <c r="AC3621" t="s">
        <v>6122</v>
      </c>
      <c r="AD3621" t="e">
        <f>VLOOKUP(AB3621,#REF!,2,FALSE)</f>
        <v>#REF!</v>
      </c>
      <c r="AE3621" t="e">
        <f>RIGHT(#REF!,(FIND("Complex",#REF!,1)-6))</f>
        <v>#REF!</v>
      </c>
    </row>
    <row r="3622" spans="1:31" x14ac:dyDescent="0.25">
      <c r="A3622">
        <v>1403</v>
      </c>
      <c r="B3622" t="s">
        <v>257</v>
      </c>
      <c r="C3622">
        <v>58</v>
      </c>
      <c r="D3622">
        <v>614</v>
      </c>
      <c r="E3622">
        <v>1403</v>
      </c>
      <c r="F3622">
        <v>441001</v>
      </c>
      <c r="G3622">
        <v>529200</v>
      </c>
      <c r="H3622">
        <f t="shared" si="112"/>
        <v>10.000022675736961</v>
      </c>
      <c r="I3622">
        <f t="shared" si="113"/>
        <v>12</v>
      </c>
      <c r="J3622" t="s">
        <v>25</v>
      </c>
      <c r="K3622">
        <v>3</v>
      </c>
      <c r="L3622" t="e">
        <f t="array" ref="L3622">VLOOKUP(J3622:$J$3871&amp;K3622:$K$3871,CHOOSE({1,2},#REF!&amp;#REF!,#REF!),2,0)</f>
        <v>#N/A</v>
      </c>
      <c r="M3622">
        <v>-15</v>
      </c>
      <c r="N3622">
        <v>0</v>
      </c>
      <c r="O3622" t="s">
        <v>7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1</v>
      </c>
      <c r="Y3622">
        <v>0</v>
      </c>
      <c r="Z3622">
        <v>0</v>
      </c>
      <c r="AA3622" t="s">
        <v>6136</v>
      </c>
      <c r="AB3622" t="s">
        <v>7870</v>
      </c>
      <c r="AC3622" t="s">
        <v>6136</v>
      </c>
      <c r="AD3622" t="e">
        <f>VLOOKUP(AB3622,#REF!,2,FALSE)</f>
        <v>#REF!</v>
      </c>
      <c r="AE3622" t="e">
        <f>RIGHT(#REF!,(FIND("Complex",#REF!,1)-8))</f>
        <v>#REF!</v>
      </c>
    </row>
    <row r="3623" spans="1:31" x14ac:dyDescent="0.25">
      <c r="A3623">
        <v>2272</v>
      </c>
      <c r="B3623" t="s">
        <v>73</v>
      </c>
      <c r="C3623">
        <v>61</v>
      </c>
      <c r="D3623">
        <v>932</v>
      </c>
      <c r="E3623">
        <v>2272</v>
      </c>
      <c r="F3623">
        <v>3087001</v>
      </c>
      <c r="G3623">
        <v>3175200</v>
      </c>
      <c r="H3623">
        <f t="shared" si="112"/>
        <v>70.000022675736957</v>
      </c>
      <c r="I3623">
        <f t="shared" si="113"/>
        <v>72</v>
      </c>
      <c r="J3623" t="s">
        <v>25</v>
      </c>
      <c r="K3623">
        <v>3</v>
      </c>
      <c r="L3623" t="e">
        <f t="array" ref="L3623">VLOOKUP(J3623:$J$3871&amp;K3623:$K$3871,CHOOSE({1,2},#REF!&amp;#REF!,#REF!),2,0)</f>
        <v>#N/A</v>
      </c>
      <c r="M3623">
        <v>-15</v>
      </c>
      <c r="N3623">
        <v>0</v>
      </c>
      <c r="O3623" t="s">
        <v>7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0</v>
      </c>
      <c r="V3623">
        <v>1</v>
      </c>
      <c r="W3623">
        <v>1</v>
      </c>
      <c r="X3623">
        <v>0</v>
      </c>
      <c r="Y3623">
        <v>0</v>
      </c>
      <c r="Z3623">
        <v>0</v>
      </c>
      <c r="AA3623" t="s">
        <v>5056</v>
      </c>
      <c r="AB3623" t="s">
        <v>1474</v>
      </c>
      <c r="AC3623" t="s">
        <v>5056</v>
      </c>
      <c r="AD3623" t="e">
        <f>VLOOKUP(AB3623,#REF!,2,FALSE)</f>
        <v>#REF!</v>
      </c>
      <c r="AE3623" t="e">
        <f>RIGHT(#REF!,(FIND("Complex",#REF!,1)-8))</f>
        <v>#REF!</v>
      </c>
    </row>
    <row r="3624" spans="1:31" x14ac:dyDescent="0.25">
      <c r="A3624">
        <v>1404</v>
      </c>
      <c r="B3624" t="s">
        <v>259</v>
      </c>
      <c r="C3624">
        <v>66</v>
      </c>
      <c r="D3624">
        <v>615</v>
      </c>
      <c r="E3624">
        <v>1404</v>
      </c>
      <c r="F3624">
        <v>88201</v>
      </c>
      <c r="G3624">
        <v>176400</v>
      </c>
      <c r="H3624">
        <f t="shared" si="112"/>
        <v>2.0000226757369615</v>
      </c>
      <c r="I3624">
        <f t="shared" si="113"/>
        <v>4</v>
      </c>
      <c r="J3624" t="s">
        <v>25</v>
      </c>
      <c r="K3624">
        <v>3</v>
      </c>
      <c r="L3624" t="e">
        <f t="array" ref="L3624">VLOOKUP(J3624:$J$3871&amp;K3624:$K$3871,CHOOSE({1,2},#REF!&amp;#REF!,#REF!),2,0)</f>
        <v>#N/A</v>
      </c>
      <c r="M3624">
        <v>-15</v>
      </c>
      <c r="N3624">
        <v>0</v>
      </c>
      <c r="O3624" t="s">
        <v>7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1</v>
      </c>
      <c r="Y3624">
        <v>0</v>
      </c>
      <c r="Z3624">
        <v>0</v>
      </c>
      <c r="AA3624" t="s">
        <v>5656</v>
      </c>
      <c r="AB3624" t="s">
        <v>1534</v>
      </c>
      <c r="AC3624" t="s">
        <v>5656</v>
      </c>
      <c r="AD3624" t="e">
        <f>VLOOKUP(AB3624,#REF!,2,FALSE)</f>
        <v>#REF!</v>
      </c>
      <c r="AE3624" t="e">
        <f>RIGHT(#REF!,(FIND("Complex",#REF!,1)-9))</f>
        <v>#REF!</v>
      </c>
    </row>
    <row r="3625" spans="1:31" x14ac:dyDescent="0.25">
      <c r="A3625">
        <v>1979</v>
      </c>
      <c r="B3625" t="s">
        <v>259</v>
      </c>
      <c r="C3625">
        <v>66</v>
      </c>
      <c r="D3625">
        <v>856</v>
      </c>
      <c r="E3625">
        <v>1979</v>
      </c>
      <c r="F3625">
        <v>5203801</v>
      </c>
      <c r="G3625">
        <v>5292000</v>
      </c>
      <c r="H3625">
        <f t="shared" si="112"/>
        <v>118.00002267573696</v>
      </c>
      <c r="I3625">
        <f t="shared" si="113"/>
        <v>120</v>
      </c>
      <c r="J3625" t="s">
        <v>25</v>
      </c>
      <c r="K3625">
        <v>3</v>
      </c>
      <c r="L3625" t="e">
        <f t="array" ref="L3625">VLOOKUP(J3625:$J$3871&amp;K3625:$K$3871,CHOOSE({1,2},#REF!&amp;#REF!,#REF!),2,0)</f>
        <v>#N/A</v>
      </c>
      <c r="M3625">
        <v>-15</v>
      </c>
      <c r="N3625">
        <v>0</v>
      </c>
      <c r="O3625" t="s">
        <v>7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1</v>
      </c>
      <c r="Y3625">
        <v>0</v>
      </c>
      <c r="Z3625">
        <v>0</v>
      </c>
      <c r="AA3625" t="s">
        <v>6044</v>
      </c>
      <c r="AB3625" t="s">
        <v>7819</v>
      </c>
      <c r="AC3625" t="s">
        <v>6044</v>
      </c>
      <c r="AD3625" t="e">
        <f>VLOOKUP(AB3625,#REF!,2,FALSE)</f>
        <v>#REF!</v>
      </c>
      <c r="AE3625" t="e">
        <f>RIGHT(#REF!,(FIND("Complex",#REF!,1)-7))</f>
        <v>#REF!</v>
      </c>
    </row>
    <row r="3626" spans="1:31" x14ac:dyDescent="0.25">
      <c r="A3626">
        <v>1142</v>
      </c>
      <c r="B3626" t="s">
        <v>260</v>
      </c>
      <c r="C3626">
        <v>67</v>
      </c>
      <c r="D3626">
        <v>507</v>
      </c>
      <c r="E3626">
        <v>1142</v>
      </c>
      <c r="F3626">
        <v>4321801</v>
      </c>
      <c r="G3626">
        <v>4410000</v>
      </c>
      <c r="H3626">
        <f t="shared" si="112"/>
        <v>98.000022675736957</v>
      </c>
      <c r="I3626">
        <f t="shared" si="113"/>
        <v>100</v>
      </c>
      <c r="J3626" t="s">
        <v>25</v>
      </c>
      <c r="K3626">
        <v>3</v>
      </c>
      <c r="L3626" t="e">
        <f t="array" ref="L3626">VLOOKUP(J3626:$J$3871&amp;K3626:$K$3871,CHOOSE({1,2},#REF!&amp;#REF!,#REF!),2,0)</f>
        <v>#N/A</v>
      </c>
      <c r="M3626">
        <v>-15</v>
      </c>
      <c r="N3626">
        <v>0</v>
      </c>
      <c r="O3626" t="s">
        <v>7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1</v>
      </c>
      <c r="W3626">
        <v>1</v>
      </c>
      <c r="X3626">
        <v>1</v>
      </c>
      <c r="Y3626">
        <v>0</v>
      </c>
      <c r="Z3626">
        <v>0</v>
      </c>
      <c r="AA3626" t="s">
        <v>4884</v>
      </c>
      <c r="AB3626" t="s">
        <v>7151</v>
      </c>
      <c r="AC3626" t="s">
        <v>4884</v>
      </c>
      <c r="AD3626" t="e">
        <f>VLOOKUP(AB3626,#REF!,2,FALSE)</f>
        <v>#REF!</v>
      </c>
      <c r="AE3626" t="e">
        <f>RIGHT(#REF!,(FIND("Complex",#REF!,1)-8))</f>
        <v>#REF!</v>
      </c>
    </row>
    <row r="3627" spans="1:31" x14ac:dyDescent="0.25">
      <c r="A3627">
        <v>1376</v>
      </c>
      <c r="B3627" t="s">
        <v>260</v>
      </c>
      <c r="C3627">
        <v>67</v>
      </c>
      <c r="D3627">
        <v>602</v>
      </c>
      <c r="E3627">
        <v>1376</v>
      </c>
      <c r="F3627">
        <v>3969001</v>
      </c>
      <c r="G3627">
        <v>4057200</v>
      </c>
      <c r="H3627">
        <f t="shared" si="112"/>
        <v>90.000022675736957</v>
      </c>
      <c r="I3627">
        <f t="shared" si="113"/>
        <v>92</v>
      </c>
      <c r="J3627" t="s">
        <v>25</v>
      </c>
      <c r="K3627">
        <v>3</v>
      </c>
      <c r="L3627" t="e">
        <f t="array" ref="L3627">VLOOKUP(J3627:$J$3871&amp;K3627:$K$3871,CHOOSE({1,2},#REF!&amp;#REF!,#REF!),2,0)</f>
        <v>#N/A</v>
      </c>
      <c r="M3627">
        <v>-15</v>
      </c>
      <c r="N3627">
        <v>0</v>
      </c>
      <c r="O3627" t="s">
        <v>7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1</v>
      </c>
      <c r="W3627">
        <v>1</v>
      </c>
      <c r="X3627">
        <v>1</v>
      </c>
      <c r="Y3627">
        <v>0</v>
      </c>
      <c r="Z3627">
        <v>0</v>
      </c>
      <c r="AA3627" t="s">
        <v>4927</v>
      </c>
      <c r="AB3627" t="s">
        <v>7178</v>
      </c>
      <c r="AC3627" t="s">
        <v>4927</v>
      </c>
      <c r="AD3627" t="e">
        <f>VLOOKUP(AB3627,#REF!,2,FALSE)</f>
        <v>#REF!</v>
      </c>
      <c r="AE3627" t="e">
        <f>RIGHT(#REF!,(FIND("Complex",#REF!,1)-8))</f>
        <v>#REF!</v>
      </c>
    </row>
    <row r="3628" spans="1:31" x14ac:dyDescent="0.25">
      <c r="A3628">
        <v>1482</v>
      </c>
      <c r="B3628" t="s">
        <v>260</v>
      </c>
      <c r="C3628">
        <v>67</v>
      </c>
      <c r="D3628">
        <v>648</v>
      </c>
      <c r="E3628">
        <v>1482</v>
      </c>
      <c r="F3628">
        <v>3528001</v>
      </c>
      <c r="G3628">
        <v>3616200</v>
      </c>
      <c r="H3628">
        <f t="shared" si="112"/>
        <v>80.000022675736957</v>
      </c>
      <c r="I3628">
        <f t="shared" si="113"/>
        <v>82</v>
      </c>
      <c r="J3628" t="s">
        <v>25</v>
      </c>
      <c r="K3628">
        <v>3</v>
      </c>
      <c r="L3628" t="e">
        <f t="array" ref="L3628">VLOOKUP(J3628:$J$3871&amp;K3628:$K$3871,CHOOSE({1,2},#REF!&amp;#REF!,#REF!),2,0)</f>
        <v>#N/A</v>
      </c>
      <c r="M3628">
        <v>-15</v>
      </c>
      <c r="N3628">
        <v>0</v>
      </c>
      <c r="O3628" t="s">
        <v>7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1</v>
      </c>
      <c r="W3628">
        <v>1</v>
      </c>
      <c r="X3628">
        <v>1</v>
      </c>
      <c r="Y3628">
        <v>0</v>
      </c>
      <c r="Z3628">
        <v>0</v>
      </c>
      <c r="AA3628" t="s">
        <v>4976</v>
      </c>
      <c r="AB3628" t="s">
        <v>7204</v>
      </c>
      <c r="AC3628" t="s">
        <v>4976</v>
      </c>
      <c r="AD3628" t="e">
        <f>VLOOKUP(AB3628,#REF!,2,FALSE)</f>
        <v>#REF!</v>
      </c>
      <c r="AE3628" t="e">
        <f>RIGHT(#REF!,(FIND("Complex",#REF!,1)-8))</f>
        <v>#REF!</v>
      </c>
    </row>
    <row r="3629" spans="1:31" x14ac:dyDescent="0.25">
      <c r="A3629">
        <v>390</v>
      </c>
      <c r="B3629" t="s">
        <v>260</v>
      </c>
      <c r="C3629">
        <v>67</v>
      </c>
      <c r="D3629">
        <v>163</v>
      </c>
      <c r="E3629">
        <v>390</v>
      </c>
      <c r="F3629">
        <v>352801</v>
      </c>
      <c r="G3629">
        <v>441000</v>
      </c>
      <c r="H3629">
        <f t="shared" si="112"/>
        <v>8.000022675736961</v>
      </c>
      <c r="I3629">
        <f t="shared" si="113"/>
        <v>10</v>
      </c>
      <c r="J3629" t="s">
        <v>25</v>
      </c>
      <c r="K3629">
        <v>3</v>
      </c>
      <c r="L3629" t="e">
        <f t="array" ref="L3629">VLOOKUP(J3629:$J$3871&amp;K3629:$K$3871,CHOOSE({1,2},#REF!&amp;#REF!,#REF!),2,0)</f>
        <v>#N/A</v>
      </c>
      <c r="M3629">
        <v>-15</v>
      </c>
      <c r="N3629">
        <v>0</v>
      </c>
      <c r="O3629" t="s">
        <v>7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1</v>
      </c>
      <c r="W3629">
        <v>1</v>
      </c>
      <c r="X3629">
        <v>1</v>
      </c>
      <c r="Y3629">
        <v>0</v>
      </c>
      <c r="Z3629">
        <v>0</v>
      </c>
      <c r="AA3629" t="s">
        <v>4992</v>
      </c>
      <c r="AB3629" t="s">
        <v>1535</v>
      </c>
      <c r="AC3629" t="s">
        <v>4992</v>
      </c>
      <c r="AD3629" t="e">
        <f>VLOOKUP(AB3629,#REF!,2,FALSE)</f>
        <v>#REF!</v>
      </c>
      <c r="AE3629" t="e">
        <f>RIGHT(#REF!,(FIND("Complex",#REF!,1)-8))</f>
        <v>#REF!</v>
      </c>
    </row>
    <row r="3630" spans="1:31" x14ac:dyDescent="0.25">
      <c r="A3630">
        <v>2180</v>
      </c>
      <c r="B3630" t="s">
        <v>260</v>
      </c>
      <c r="C3630">
        <v>67</v>
      </c>
      <c r="D3630">
        <v>906</v>
      </c>
      <c r="E3630">
        <v>2180</v>
      </c>
      <c r="F3630">
        <v>3263401</v>
      </c>
      <c r="G3630">
        <v>3351600</v>
      </c>
      <c r="H3630">
        <f t="shared" si="112"/>
        <v>74.000022675736957</v>
      </c>
      <c r="I3630">
        <f t="shared" si="113"/>
        <v>76</v>
      </c>
      <c r="J3630" t="s">
        <v>25</v>
      </c>
      <c r="K3630">
        <v>3</v>
      </c>
      <c r="L3630" t="e">
        <f t="array" ref="L3630">VLOOKUP(J3630:$J$3871&amp;K3630:$K$3871,CHOOSE({1,2},#REF!&amp;#REF!,#REF!),2,0)</f>
        <v>#N/A</v>
      </c>
      <c r="M3630">
        <v>-15</v>
      </c>
      <c r="N3630">
        <v>0</v>
      </c>
      <c r="O3630" t="s">
        <v>7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1</v>
      </c>
      <c r="W3630">
        <v>1</v>
      </c>
      <c r="X3630">
        <v>1</v>
      </c>
      <c r="Y3630">
        <v>0</v>
      </c>
      <c r="Z3630">
        <v>0</v>
      </c>
      <c r="AA3630" t="s">
        <v>5030</v>
      </c>
      <c r="AB3630" t="s">
        <v>7232</v>
      </c>
      <c r="AC3630" t="s">
        <v>5030</v>
      </c>
      <c r="AD3630" t="e">
        <f>VLOOKUP(AB3630,#REF!,2,FALSE)</f>
        <v>#REF!</v>
      </c>
      <c r="AE3630" t="e">
        <f>RIGHT(#REF!,(FIND("Complex",#REF!,1)-8))</f>
        <v>#REF!</v>
      </c>
    </row>
    <row r="3631" spans="1:31" x14ac:dyDescent="0.25">
      <c r="A3631">
        <v>2032</v>
      </c>
      <c r="B3631" t="s">
        <v>260</v>
      </c>
      <c r="C3631">
        <v>67</v>
      </c>
      <c r="D3631">
        <v>867</v>
      </c>
      <c r="E3631">
        <v>2032</v>
      </c>
      <c r="F3631">
        <v>3175201</v>
      </c>
      <c r="G3631">
        <v>3263400</v>
      </c>
      <c r="H3631">
        <f t="shared" si="112"/>
        <v>72.000022675736957</v>
      </c>
      <c r="I3631">
        <f t="shared" si="113"/>
        <v>74</v>
      </c>
      <c r="J3631" t="s">
        <v>25</v>
      </c>
      <c r="K3631">
        <v>3</v>
      </c>
      <c r="L3631" t="e">
        <f t="array" ref="L3631">VLOOKUP(J3631:$J$3871&amp;K3631:$K$3871,CHOOSE({1,2},#REF!&amp;#REF!,#REF!),2,0)</f>
        <v>#N/A</v>
      </c>
      <c r="M3631">
        <v>-15</v>
      </c>
      <c r="N3631">
        <v>0</v>
      </c>
      <c r="O3631" t="s">
        <v>7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1</v>
      </c>
      <c r="W3631">
        <v>1</v>
      </c>
      <c r="X3631">
        <v>1</v>
      </c>
      <c r="Y3631">
        <v>0</v>
      </c>
      <c r="Z3631">
        <v>0</v>
      </c>
      <c r="AA3631" t="s">
        <v>5042</v>
      </c>
      <c r="AB3631" t="s">
        <v>7239</v>
      </c>
      <c r="AC3631" t="s">
        <v>5042</v>
      </c>
      <c r="AD3631" t="e">
        <f>VLOOKUP(AB3631,#REF!,2,FALSE)</f>
        <v>#REF!</v>
      </c>
      <c r="AE3631" t="e">
        <f>RIGHT(#REF!,(FIND("Complex",#REF!,1)-8))</f>
        <v>#REF!</v>
      </c>
    </row>
    <row r="3632" spans="1:31" x14ac:dyDescent="0.25">
      <c r="A3632">
        <v>1262</v>
      </c>
      <c r="B3632" t="s">
        <v>260</v>
      </c>
      <c r="C3632">
        <v>67</v>
      </c>
      <c r="D3632">
        <v>552</v>
      </c>
      <c r="E3632">
        <v>1262</v>
      </c>
      <c r="F3632">
        <v>3087001</v>
      </c>
      <c r="G3632">
        <v>3175200</v>
      </c>
      <c r="H3632">
        <f t="shared" si="112"/>
        <v>70.000022675736957</v>
      </c>
      <c r="I3632">
        <f t="shared" si="113"/>
        <v>72</v>
      </c>
      <c r="J3632" t="s">
        <v>25</v>
      </c>
      <c r="K3632">
        <v>3</v>
      </c>
      <c r="L3632" t="e">
        <f t="array" ref="L3632">VLOOKUP(J3632:$J$3871&amp;K3632:$K$3871,CHOOSE({1,2},#REF!&amp;#REF!,#REF!),2,0)</f>
        <v>#N/A</v>
      </c>
      <c r="M3632">
        <v>-15</v>
      </c>
      <c r="N3632">
        <v>0</v>
      </c>
      <c r="O3632" t="s">
        <v>7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1</v>
      </c>
      <c r="W3632">
        <v>1</v>
      </c>
      <c r="X3632">
        <v>1</v>
      </c>
      <c r="Y3632">
        <v>0</v>
      </c>
      <c r="Z3632">
        <v>0</v>
      </c>
      <c r="AA3632" t="s">
        <v>5055</v>
      </c>
      <c r="AB3632" t="s">
        <v>7247</v>
      </c>
      <c r="AC3632" t="s">
        <v>5055</v>
      </c>
      <c r="AD3632" t="e">
        <f>VLOOKUP(AB3632,#REF!,2,FALSE)</f>
        <v>#REF!</v>
      </c>
      <c r="AE3632" t="e">
        <f>RIGHT(#REF!,(FIND("Complex",#REF!,1)-8))</f>
        <v>#REF!</v>
      </c>
    </row>
    <row r="3633" spans="1:31" x14ac:dyDescent="0.25">
      <c r="A3633">
        <v>2256</v>
      </c>
      <c r="B3633" t="s">
        <v>260</v>
      </c>
      <c r="C3633">
        <v>67</v>
      </c>
      <c r="D3633">
        <v>929</v>
      </c>
      <c r="E3633">
        <v>2256</v>
      </c>
      <c r="F3633">
        <v>2998801</v>
      </c>
      <c r="G3633">
        <v>3087000</v>
      </c>
      <c r="H3633">
        <f t="shared" si="112"/>
        <v>68.000022675736957</v>
      </c>
      <c r="I3633">
        <f t="shared" si="113"/>
        <v>70</v>
      </c>
      <c r="J3633" t="s">
        <v>25</v>
      </c>
      <c r="K3633">
        <v>3</v>
      </c>
      <c r="L3633" t="e">
        <f t="array" ref="L3633">VLOOKUP(J3633:$J$3871&amp;K3633:$K$3871,CHOOSE({1,2},#REF!&amp;#REF!,#REF!),2,0)</f>
        <v>#N/A</v>
      </c>
      <c r="M3633">
        <v>-15</v>
      </c>
      <c r="N3633">
        <v>0</v>
      </c>
      <c r="O3633" t="s">
        <v>7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1</v>
      </c>
      <c r="W3633">
        <v>1</v>
      </c>
      <c r="X3633">
        <v>1</v>
      </c>
      <c r="Y3633">
        <v>0</v>
      </c>
      <c r="Z3633">
        <v>0</v>
      </c>
      <c r="AA3633" t="s">
        <v>5068</v>
      </c>
      <c r="AB3633" t="s">
        <v>7250</v>
      </c>
      <c r="AC3633" t="s">
        <v>5068</v>
      </c>
      <c r="AD3633" t="e">
        <f>VLOOKUP(AB3633,#REF!,2,FALSE)</f>
        <v>#REF!</v>
      </c>
      <c r="AE3633" t="e">
        <f>RIGHT(#REF!,(FIND("Complex",#REF!,1)-8))</f>
        <v>#REF!</v>
      </c>
    </row>
    <row r="3634" spans="1:31" x14ac:dyDescent="0.25">
      <c r="A3634">
        <v>1871</v>
      </c>
      <c r="B3634" t="s">
        <v>260</v>
      </c>
      <c r="C3634">
        <v>67</v>
      </c>
      <c r="D3634">
        <v>816</v>
      </c>
      <c r="E3634">
        <v>1871</v>
      </c>
      <c r="F3634">
        <v>2910601</v>
      </c>
      <c r="G3634">
        <v>2998800</v>
      </c>
      <c r="H3634">
        <f t="shared" si="112"/>
        <v>66.000022675736957</v>
      </c>
      <c r="I3634">
        <f t="shared" si="113"/>
        <v>68</v>
      </c>
      <c r="J3634" t="s">
        <v>25</v>
      </c>
      <c r="K3634">
        <v>3</v>
      </c>
      <c r="L3634" t="e">
        <f t="array" ref="L3634">VLOOKUP(J3634:$J$3871&amp;K3634:$K$3871,CHOOSE({1,2},#REF!&amp;#REF!,#REF!),2,0)</f>
        <v>#N/A</v>
      </c>
      <c r="M3634">
        <v>-15</v>
      </c>
      <c r="N3634">
        <v>0</v>
      </c>
      <c r="O3634" t="s">
        <v>7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1</v>
      </c>
      <c r="W3634">
        <v>1</v>
      </c>
      <c r="X3634">
        <v>1</v>
      </c>
      <c r="Y3634">
        <v>0</v>
      </c>
      <c r="Z3634">
        <v>0</v>
      </c>
      <c r="AA3634" t="s">
        <v>5080</v>
      </c>
      <c r="AB3634" t="s">
        <v>7256</v>
      </c>
      <c r="AC3634" t="s">
        <v>5080</v>
      </c>
      <c r="AD3634" t="e">
        <f>VLOOKUP(AB3634,#REF!,2,FALSE)</f>
        <v>#REF!</v>
      </c>
      <c r="AE3634" t="e">
        <f>RIGHT(#REF!,(FIND("Complex",#REF!,1)-8))</f>
        <v>#REF!</v>
      </c>
    </row>
    <row r="3635" spans="1:31" x14ac:dyDescent="0.25">
      <c r="A3635">
        <v>5</v>
      </c>
      <c r="B3635" t="s">
        <v>260</v>
      </c>
      <c r="C3635">
        <v>67</v>
      </c>
      <c r="D3635">
        <v>2</v>
      </c>
      <c r="E3635">
        <v>5</v>
      </c>
      <c r="F3635">
        <v>2822401</v>
      </c>
      <c r="G3635">
        <v>2910600</v>
      </c>
      <c r="H3635">
        <f t="shared" si="112"/>
        <v>64.000022675736957</v>
      </c>
      <c r="I3635">
        <f t="shared" si="113"/>
        <v>66</v>
      </c>
      <c r="J3635" t="s">
        <v>25</v>
      </c>
      <c r="K3635">
        <v>3</v>
      </c>
      <c r="L3635" t="e">
        <f t="array" ref="L3635">VLOOKUP(J3635:$J$3871&amp;K3635:$K$3871,CHOOSE({1,2},#REF!&amp;#REF!,#REF!),2,0)</f>
        <v>#N/A</v>
      </c>
      <c r="M3635">
        <v>-15</v>
      </c>
      <c r="N3635">
        <v>0</v>
      </c>
      <c r="O3635" t="s">
        <v>7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1</v>
      </c>
      <c r="W3635">
        <v>1</v>
      </c>
      <c r="X3635">
        <v>1</v>
      </c>
      <c r="Y3635">
        <v>0</v>
      </c>
      <c r="Z3635">
        <v>0</v>
      </c>
      <c r="AA3635" t="s">
        <v>5086</v>
      </c>
      <c r="AB3635" t="s">
        <v>1536</v>
      </c>
      <c r="AC3635" t="s">
        <v>5086</v>
      </c>
      <c r="AD3635" t="e">
        <f>VLOOKUP(AB3635,#REF!,2,FALSE)</f>
        <v>#REF!</v>
      </c>
      <c r="AE3635" t="e">
        <f>RIGHT(#REF!,(FIND("Complex",#REF!,1)-5))</f>
        <v>#REF!</v>
      </c>
    </row>
    <row r="3636" spans="1:31" x14ac:dyDescent="0.25">
      <c r="A3636">
        <v>1610</v>
      </c>
      <c r="B3636" t="s">
        <v>260</v>
      </c>
      <c r="C3636">
        <v>67</v>
      </c>
      <c r="D3636">
        <v>697</v>
      </c>
      <c r="E3636">
        <v>1610</v>
      </c>
      <c r="F3636">
        <v>264601</v>
      </c>
      <c r="G3636">
        <v>352800</v>
      </c>
      <c r="H3636">
        <f t="shared" si="112"/>
        <v>6.000022675736961</v>
      </c>
      <c r="I3636">
        <f t="shared" si="113"/>
        <v>8</v>
      </c>
      <c r="J3636" t="s">
        <v>25</v>
      </c>
      <c r="K3636">
        <v>3</v>
      </c>
      <c r="L3636" t="e">
        <f t="array" ref="L3636">VLOOKUP(J3636:$J$3871&amp;K3636:$K$3871,CHOOSE({1,2},#REF!&amp;#REF!,#REF!),2,0)</f>
        <v>#N/A</v>
      </c>
      <c r="M3636">
        <v>-15</v>
      </c>
      <c r="N3636">
        <v>0</v>
      </c>
      <c r="O3636" t="s">
        <v>7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1</v>
      </c>
      <c r="W3636">
        <v>1</v>
      </c>
      <c r="X3636">
        <v>1</v>
      </c>
      <c r="Y3636">
        <v>0</v>
      </c>
      <c r="Z3636">
        <v>0</v>
      </c>
      <c r="AA3636" t="s">
        <v>5131</v>
      </c>
      <c r="AB3636" t="s">
        <v>7282</v>
      </c>
      <c r="AC3636" t="s">
        <v>5131</v>
      </c>
      <c r="AD3636" t="e">
        <f>VLOOKUP(AB3636,#REF!,2,FALSE)</f>
        <v>#REF!</v>
      </c>
      <c r="AE3636" t="e">
        <f>RIGHT(#REF!,(FIND("Complex",#REF!,1)-9))</f>
        <v>#REF!</v>
      </c>
    </row>
    <row r="3637" spans="1:31" x14ac:dyDescent="0.25">
      <c r="A3637">
        <v>1227</v>
      </c>
      <c r="B3637" t="s">
        <v>260</v>
      </c>
      <c r="C3637">
        <v>67</v>
      </c>
      <c r="D3637">
        <v>541</v>
      </c>
      <c r="E3637">
        <v>1227</v>
      </c>
      <c r="F3637">
        <v>2469601</v>
      </c>
      <c r="G3637">
        <v>2557800</v>
      </c>
      <c r="H3637">
        <f t="shared" si="112"/>
        <v>56.000022675736965</v>
      </c>
      <c r="I3637">
        <f t="shared" si="113"/>
        <v>58</v>
      </c>
      <c r="J3637" t="s">
        <v>25</v>
      </c>
      <c r="K3637">
        <v>3</v>
      </c>
      <c r="L3637" t="e">
        <f t="array" ref="L3637">VLOOKUP(J3637:$J$3871&amp;K3637:$K$3871,CHOOSE({1,2},#REF!&amp;#REF!,#REF!),2,0)</f>
        <v>#N/A</v>
      </c>
      <c r="M3637">
        <v>-15</v>
      </c>
      <c r="N3637">
        <v>0</v>
      </c>
      <c r="O3637" t="s">
        <v>7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1</v>
      </c>
      <c r="X3637">
        <v>1</v>
      </c>
      <c r="Y3637">
        <v>0</v>
      </c>
      <c r="Z3637">
        <v>0</v>
      </c>
      <c r="AA3637" t="s">
        <v>5153</v>
      </c>
      <c r="AB3637" t="s">
        <v>7293</v>
      </c>
      <c r="AC3637" t="s">
        <v>5153</v>
      </c>
      <c r="AD3637" t="e">
        <f>VLOOKUP(AB3637,#REF!,2,FALSE)</f>
        <v>#REF!</v>
      </c>
      <c r="AE3637" t="e">
        <f>RIGHT(#REF!,(FIND("Complex",#REF!,1)-8))</f>
        <v>#REF!</v>
      </c>
    </row>
    <row r="3638" spans="1:31" x14ac:dyDescent="0.25">
      <c r="A3638">
        <v>516</v>
      </c>
      <c r="B3638" t="s">
        <v>260</v>
      </c>
      <c r="C3638">
        <v>67</v>
      </c>
      <c r="D3638">
        <v>217</v>
      </c>
      <c r="E3638">
        <v>516</v>
      </c>
      <c r="F3638">
        <v>2293201</v>
      </c>
      <c r="G3638">
        <v>2381400</v>
      </c>
      <c r="H3638">
        <f t="shared" si="112"/>
        <v>52.000022675736965</v>
      </c>
      <c r="I3638">
        <f t="shared" si="113"/>
        <v>54</v>
      </c>
      <c r="J3638" t="s">
        <v>25</v>
      </c>
      <c r="K3638">
        <v>3</v>
      </c>
      <c r="L3638" t="e">
        <f t="array" ref="L3638">VLOOKUP(J3638:$J$3871&amp;K3638:$K$3871,CHOOSE({1,2},#REF!&amp;#REF!,#REF!),2,0)</f>
        <v>#N/A</v>
      </c>
      <c r="M3638">
        <v>-15</v>
      </c>
      <c r="N3638">
        <v>0</v>
      </c>
      <c r="O3638" t="s">
        <v>7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1</v>
      </c>
      <c r="W3638">
        <v>1</v>
      </c>
      <c r="X3638">
        <v>1</v>
      </c>
      <c r="Y3638">
        <v>0</v>
      </c>
      <c r="Z3638">
        <v>0</v>
      </c>
      <c r="AA3638" t="s">
        <v>5178</v>
      </c>
      <c r="AB3638" t="s">
        <v>7306</v>
      </c>
      <c r="AC3638" t="s">
        <v>5178</v>
      </c>
      <c r="AD3638" t="e">
        <f>VLOOKUP(AB3638,#REF!,2,FALSE)</f>
        <v>#REF!</v>
      </c>
      <c r="AE3638" t="e">
        <f>RIGHT(#REF!,(FIND("Complex",#REF!,1)-7))</f>
        <v>#REF!</v>
      </c>
    </row>
    <row r="3639" spans="1:31" x14ac:dyDescent="0.25">
      <c r="A3639">
        <v>234</v>
      </c>
      <c r="B3639" t="s">
        <v>260</v>
      </c>
      <c r="C3639">
        <v>67</v>
      </c>
      <c r="D3639">
        <v>99</v>
      </c>
      <c r="E3639">
        <v>234</v>
      </c>
      <c r="F3639">
        <v>2116801</v>
      </c>
      <c r="G3639">
        <v>2205000</v>
      </c>
      <c r="H3639">
        <f t="shared" si="112"/>
        <v>48.000022675736965</v>
      </c>
      <c r="I3639">
        <f t="shared" si="113"/>
        <v>50</v>
      </c>
      <c r="J3639" t="s">
        <v>25</v>
      </c>
      <c r="K3639">
        <v>3</v>
      </c>
      <c r="L3639" t="e">
        <f t="array" ref="L3639">VLOOKUP(J3639:$J$3871&amp;K3639:$K$3871,CHOOSE({1,2},#REF!&amp;#REF!,#REF!),2,0)</f>
        <v>#N/A</v>
      </c>
      <c r="M3639">
        <v>-15</v>
      </c>
      <c r="N3639">
        <v>0</v>
      </c>
      <c r="O3639" t="s">
        <v>7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</v>
      </c>
      <c r="W3639">
        <v>1</v>
      </c>
      <c r="X3639">
        <v>1</v>
      </c>
      <c r="Y3639">
        <v>0</v>
      </c>
      <c r="Z3639">
        <v>0</v>
      </c>
      <c r="AA3639" t="s">
        <v>5204</v>
      </c>
      <c r="AB3639" t="s">
        <v>7315</v>
      </c>
      <c r="AC3639" t="s">
        <v>5204</v>
      </c>
      <c r="AD3639" t="e">
        <f>VLOOKUP(AB3639,#REF!,2,FALSE)</f>
        <v>#REF!</v>
      </c>
      <c r="AE3639" t="e">
        <f>RIGHT(#REF!,(FIND("Complex",#REF!,1)-7))</f>
        <v>#REF!</v>
      </c>
    </row>
    <row r="3640" spans="1:31" x14ac:dyDescent="0.25">
      <c r="A3640">
        <v>757</v>
      </c>
      <c r="B3640" t="s">
        <v>260</v>
      </c>
      <c r="C3640">
        <v>67</v>
      </c>
      <c r="D3640">
        <v>338</v>
      </c>
      <c r="E3640">
        <v>757</v>
      </c>
      <c r="F3640">
        <v>2028601</v>
      </c>
      <c r="G3640">
        <v>2116800</v>
      </c>
      <c r="H3640">
        <f t="shared" si="112"/>
        <v>46.000022675736965</v>
      </c>
      <c r="I3640">
        <f t="shared" si="113"/>
        <v>48</v>
      </c>
      <c r="J3640" t="s">
        <v>25</v>
      </c>
      <c r="K3640">
        <v>3</v>
      </c>
      <c r="L3640" t="e">
        <f t="array" ref="L3640">VLOOKUP(J3640:$J$3871&amp;K3640:$K$3871,CHOOSE({1,2},#REF!&amp;#REF!,#REF!),2,0)</f>
        <v>#N/A</v>
      </c>
      <c r="M3640">
        <v>-15</v>
      </c>
      <c r="N3640">
        <v>0</v>
      </c>
      <c r="O3640" t="s">
        <v>7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1</v>
      </c>
      <c r="W3640">
        <v>1</v>
      </c>
      <c r="X3640">
        <v>1</v>
      </c>
      <c r="Y3640">
        <v>0</v>
      </c>
      <c r="Z3640">
        <v>0</v>
      </c>
      <c r="AA3640" t="s">
        <v>5217</v>
      </c>
      <c r="AB3640" t="s">
        <v>7322</v>
      </c>
      <c r="AC3640" t="s">
        <v>5217</v>
      </c>
      <c r="AD3640" t="e">
        <f>VLOOKUP(AB3640,#REF!,2,FALSE)</f>
        <v>#REF!</v>
      </c>
      <c r="AE3640" t="e">
        <f>RIGHT(#REF!,(FIND("Complex",#REF!,1)-7))</f>
        <v>#REF!</v>
      </c>
    </row>
    <row r="3641" spans="1:31" x14ac:dyDescent="0.25">
      <c r="A3641">
        <v>1658</v>
      </c>
      <c r="B3641" t="s">
        <v>260</v>
      </c>
      <c r="C3641">
        <v>67</v>
      </c>
      <c r="D3641">
        <v>724</v>
      </c>
      <c r="E3641">
        <v>1658</v>
      </c>
      <c r="F3641">
        <v>1940401</v>
      </c>
      <c r="G3641">
        <v>2028600</v>
      </c>
      <c r="H3641">
        <f t="shared" si="112"/>
        <v>44.000022675736965</v>
      </c>
      <c r="I3641">
        <f t="shared" si="113"/>
        <v>46</v>
      </c>
      <c r="J3641" t="s">
        <v>25</v>
      </c>
      <c r="K3641">
        <v>3</v>
      </c>
      <c r="L3641" t="e">
        <f t="array" ref="L3641">VLOOKUP(J3641:$J$3871&amp;K3641:$K$3871,CHOOSE({1,2},#REF!&amp;#REF!,#REF!),2,0)</f>
        <v>#N/A</v>
      </c>
      <c r="M3641">
        <v>-15</v>
      </c>
      <c r="N3641">
        <v>0</v>
      </c>
      <c r="O3641" t="s">
        <v>7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1</v>
      </c>
      <c r="W3641">
        <v>1</v>
      </c>
      <c r="X3641">
        <v>1</v>
      </c>
      <c r="Y3641">
        <v>0</v>
      </c>
      <c r="Z3641">
        <v>0</v>
      </c>
      <c r="AA3641" t="s">
        <v>5230</v>
      </c>
      <c r="AB3641" t="s">
        <v>1537</v>
      </c>
      <c r="AC3641" t="s">
        <v>5230</v>
      </c>
      <c r="AD3641" t="e">
        <f>VLOOKUP(AB3641,#REF!,2,FALSE)</f>
        <v>#REF!</v>
      </c>
      <c r="AE3641" t="e">
        <f>RIGHT(#REF!,(FIND("Complex",#REF!,1)-8))</f>
        <v>#REF!</v>
      </c>
    </row>
    <row r="3642" spans="1:31" x14ac:dyDescent="0.25">
      <c r="A3642">
        <v>1765</v>
      </c>
      <c r="B3642" t="s">
        <v>260</v>
      </c>
      <c r="C3642">
        <v>67</v>
      </c>
      <c r="D3642">
        <v>769</v>
      </c>
      <c r="E3642">
        <v>1765</v>
      </c>
      <c r="F3642">
        <v>1852201</v>
      </c>
      <c r="G3642">
        <v>1940400</v>
      </c>
      <c r="H3642">
        <f t="shared" si="112"/>
        <v>42.000022675736965</v>
      </c>
      <c r="I3642">
        <f t="shared" si="113"/>
        <v>44</v>
      </c>
      <c r="J3642" t="s">
        <v>25</v>
      </c>
      <c r="K3642">
        <v>3</v>
      </c>
      <c r="L3642" t="e">
        <f t="array" ref="L3642">VLOOKUP(J3642:$J$3871&amp;K3642:$K$3871,CHOOSE({1,2},#REF!&amp;#REF!,#REF!),2,0)</f>
        <v>#N/A</v>
      </c>
      <c r="M3642">
        <v>-15</v>
      </c>
      <c r="N3642">
        <v>0</v>
      </c>
      <c r="O3642" t="s">
        <v>7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1</v>
      </c>
      <c r="W3642">
        <v>1</v>
      </c>
      <c r="X3642">
        <v>1</v>
      </c>
      <c r="Y3642">
        <v>0</v>
      </c>
      <c r="Z3642">
        <v>0</v>
      </c>
      <c r="AA3642" t="s">
        <v>5241</v>
      </c>
      <c r="AB3642" t="s">
        <v>1538</v>
      </c>
      <c r="AC3642" t="s">
        <v>5241</v>
      </c>
      <c r="AD3642" t="e">
        <f>VLOOKUP(AB3642,#REF!,2,FALSE)</f>
        <v>#REF!</v>
      </c>
      <c r="AE3642" t="e">
        <f>RIGHT(#REF!,(FIND("Complex",#REF!,1)-8))</f>
        <v>#REF!</v>
      </c>
    </row>
    <row r="3643" spans="1:31" x14ac:dyDescent="0.25">
      <c r="A3643">
        <v>1049</v>
      </c>
      <c r="B3643" t="s">
        <v>260</v>
      </c>
      <c r="C3643">
        <v>67</v>
      </c>
      <c r="D3643">
        <v>465</v>
      </c>
      <c r="E3643">
        <v>1049</v>
      </c>
      <c r="F3643">
        <v>1764001</v>
      </c>
      <c r="G3643">
        <v>1852200</v>
      </c>
      <c r="H3643">
        <f t="shared" si="112"/>
        <v>40.000022675736965</v>
      </c>
      <c r="I3643">
        <f t="shared" si="113"/>
        <v>42</v>
      </c>
      <c r="J3643" t="s">
        <v>25</v>
      </c>
      <c r="K3643">
        <v>3</v>
      </c>
      <c r="L3643" t="e">
        <f t="array" ref="L3643">VLOOKUP(J3643:$J$3871&amp;K3643:$K$3871,CHOOSE({1,2},#REF!&amp;#REF!,#REF!),2,0)</f>
        <v>#N/A</v>
      </c>
      <c r="M3643">
        <v>-15</v>
      </c>
      <c r="N3643">
        <v>0</v>
      </c>
      <c r="O3643" t="s">
        <v>7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1</v>
      </c>
      <c r="W3643">
        <v>1</v>
      </c>
      <c r="X3643">
        <v>1</v>
      </c>
      <c r="Y3643">
        <v>0</v>
      </c>
      <c r="Z3643">
        <v>0</v>
      </c>
      <c r="AA3643" t="s">
        <v>5255</v>
      </c>
      <c r="AB3643" t="s">
        <v>7340</v>
      </c>
      <c r="AC3643" t="s">
        <v>5255</v>
      </c>
      <c r="AD3643" t="e">
        <f>VLOOKUP(AB3643,#REF!,2,FALSE)</f>
        <v>#REF!</v>
      </c>
      <c r="AE3643" t="e">
        <f>RIGHT(#REF!,(FIND("Complex",#REF!,1)-8))</f>
        <v>#REF!</v>
      </c>
    </row>
    <row r="3644" spans="1:31" x14ac:dyDescent="0.25">
      <c r="A3644">
        <v>2101</v>
      </c>
      <c r="B3644" t="s">
        <v>260</v>
      </c>
      <c r="C3644">
        <v>67</v>
      </c>
      <c r="D3644">
        <v>887</v>
      </c>
      <c r="E3644">
        <v>2101</v>
      </c>
      <c r="F3644">
        <v>176401</v>
      </c>
      <c r="G3644">
        <v>264600</v>
      </c>
      <c r="H3644">
        <f t="shared" si="112"/>
        <v>4.000022675736961</v>
      </c>
      <c r="I3644">
        <f t="shared" si="113"/>
        <v>6</v>
      </c>
      <c r="J3644" t="s">
        <v>25</v>
      </c>
      <c r="K3644">
        <v>3</v>
      </c>
      <c r="L3644" t="e">
        <f t="array" ref="L3644">VLOOKUP(J3644:$J$3871&amp;K3644:$K$3871,CHOOSE({1,2},#REF!&amp;#REF!,#REF!),2,0)</f>
        <v>#N/A</v>
      </c>
      <c r="M3644">
        <v>-15</v>
      </c>
      <c r="N3644">
        <v>0</v>
      </c>
      <c r="O3644" t="s">
        <v>7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1</v>
      </c>
      <c r="W3644">
        <v>1</v>
      </c>
      <c r="X3644">
        <v>1</v>
      </c>
      <c r="Y3644">
        <v>0</v>
      </c>
      <c r="Z3644">
        <v>0</v>
      </c>
      <c r="AA3644" t="s">
        <v>5275</v>
      </c>
      <c r="AB3644" t="s">
        <v>7350</v>
      </c>
      <c r="AC3644" t="s">
        <v>5275</v>
      </c>
      <c r="AD3644" t="e">
        <f>VLOOKUP(AB3644,#REF!,2,FALSE)</f>
        <v>#REF!</v>
      </c>
      <c r="AE3644" t="e">
        <f>RIGHT(#REF!,(FIND("Complex",#REF!,1)-9))</f>
        <v>#REF!</v>
      </c>
    </row>
    <row r="3645" spans="1:31" x14ac:dyDescent="0.25">
      <c r="A3645">
        <v>1952</v>
      </c>
      <c r="B3645" t="s">
        <v>260</v>
      </c>
      <c r="C3645">
        <v>67</v>
      </c>
      <c r="D3645">
        <v>843</v>
      </c>
      <c r="E3645">
        <v>1952</v>
      </c>
      <c r="F3645">
        <v>1499401</v>
      </c>
      <c r="G3645">
        <v>1587600</v>
      </c>
      <c r="H3645">
        <f t="shared" si="112"/>
        <v>34.000022675736965</v>
      </c>
      <c r="I3645">
        <f t="shared" si="113"/>
        <v>36</v>
      </c>
      <c r="J3645" t="s">
        <v>25</v>
      </c>
      <c r="K3645">
        <v>3</v>
      </c>
      <c r="L3645" t="e">
        <f t="array" ref="L3645">VLOOKUP(J3645:$J$3871&amp;K3645:$K$3871,CHOOSE({1,2},#REF!&amp;#REF!,#REF!),2,0)</f>
        <v>#N/A</v>
      </c>
      <c r="M3645">
        <v>-15</v>
      </c>
      <c r="N3645">
        <v>0</v>
      </c>
      <c r="O3645" t="s">
        <v>7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1</v>
      </c>
      <c r="W3645">
        <v>1</v>
      </c>
      <c r="X3645">
        <v>1</v>
      </c>
      <c r="Y3645">
        <v>0</v>
      </c>
      <c r="Z3645">
        <v>0</v>
      </c>
      <c r="AA3645" t="s">
        <v>5335</v>
      </c>
      <c r="AB3645" t="s">
        <v>7390</v>
      </c>
      <c r="AC3645" t="s">
        <v>5335</v>
      </c>
      <c r="AD3645" t="e">
        <f>VLOOKUP(AB3645,#REF!,2,FALSE)</f>
        <v>#REF!</v>
      </c>
      <c r="AE3645" t="e">
        <f>RIGHT(#REF!,(FIND("Complex",#REF!,1)-8))</f>
        <v>#REF!</v>
      </c>
    </row>
    <row r="3646" spans="1:31" x14ac:dyDescent="0.25">
      <c r="A3646">
        <v>710</v>
      </c>
      <c r="B3646" t="s">
        <v>260</v>
      </c>
      <c r="C3646">
        <v>67</v>
      </c>
      <c r="D3646">
        <v>311</v>
      </c>
      <c r="E3646">
        <v>710</v>
      </c>
      <c r="F3646">
        <v>1234801</v>
      </c>
      <c r="G3646">
        <v>1323000</v>
      </c>
      <c r="H3646">
        <f t="shared" si="112"/>
        <v>28.000022675736961</v>
      </c>
      <c r="I3646">
        <f t="shared" si="113"/>
        <v>30</v>
      </c>
      <c r="J3646" t="s">
        <v>25</v>
      </c>
      <c r="K3646">
        <v>3</v>
      </c>
      <c r="L3646" t="e">
        <f t="array" ref="L3646">VLOOKUP(J3646:$J$3871&amp;K3646:$K$3871,CHOOSE({1,2},#REF!&amp;#REF!,#REF!),2,0)</f>
        <v>#N/A</v>
      </c>
      <c r="M3646">
        <v>-15</v>
      </c>
      <c r="N3646">
        <v>0</v>
      </c>
      <c r="O3646" t="s">
        <v>7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1</v>
      </c>
      <c r="W3646">
        <v>1</v>
      </c>
      <c r="X3646">
        <v>1</v>
      </c>
      <c r="Y3646">
        <v>0</v>
      </c>
      <c r="Z3646">
        <v>0</v>
      </c>
      <c r="AA3646" t="s">
        <v>5411</v>
      </c>
      <c r="AB3646" t="s">
        <v>7429</v>
      </c>
      <c r="AC3646" t="s">
        <v>5411</v>
      </c>
      <c r="AD3646" t="e">
        <f>VLOOKUP(AB3646,#REF!,2,FALSE)</f>
        <v>#REF!</v>
      </c>
      <c r="AE3646" t="e">
        <f>RIGHT(#REF!,(FIND("Complex",#REF!,1)-7))</f>
        <v>#REF!</v>
      </c>
    </row>
    <row r="3647" spans="1:31" x14ac:dyDescent="0.25">
      <c r="A3647">
        <v>566</v>
      </c>
      <c r="B3647" t="s">
        <v>260</v>
      </c>
      <c r="C3647">
        <v>67</v>
      </c>
      <c r="D3647">
        <v>242</v>
      </c>
      <c r="E3647">
        <v>566</v>
      </c>
      <c r="F3647">
        <v>970201</v>
      </c>
      <c r="G3647">
        <v>1058400</v>
      </c>
      <c r="H3647">
        <f t="shared" si="112"/>
        <v>22.000022675736961</v>
      </c>
      <c r="I3647">
        <f t="shared" si="113"/>
        <v>24</v>
      </c>
      <c r="J3647" t="s">
        <v>25</v>
      </c>
      <c r="K3647">
        <v>3</v>
      </c>
      <c r="L3647" t="e">
        <f t="array" ref="L3647">VLOOKUP(J3647:$J$3871&amp;K3647:$K$3871,CHOOSE({1,2},#REF!&amp;#REF!,#REF!),2,0)</f>
        <v>#N/A</v>
      </c>
      <c r="M3647">
        <v>-15</v>
      </c>
      <c r="N3647">
        <v>0</v>
      </c>
      <c r="O3647" t="s">
        <v>7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1</v>
      </c>
      <c r="W3647">
        <v>1</v>
      </c>
      <c r="X3647">
        <v>1</v>
      </c>
      <c r="Y3647">
        <v>0</v>
      </c>
      <c r="Z3647">
        <v>0</v>
      </c>
      <c r="AA3647" t="s">
        <v>5578</v>
      </c>
      <c r="AB3647" t="s">
        <v>1539</v>
      </c>
      <c r="AC3647" t="s">
        <v>5578</v>
      </c>
      <c r="AD3647" t="e">
        <f>VLOOKUP(AB3647,#REF!,2,FALSE)</f>
        <v>#REF!</v>
      </c>
      <c r="AE3647" t="e">
        <f>RIGHT(#REF!,(FIND("Complex",#REF!,1)-7))</f>
        <v>#REF!</v>
      </c>
    </row>
    <row r="3648" spans="1:31" x14ac:dyDescent="0.25">
      <c r="A3648">
        <v>169</v>
      </c>
      <c r="B3648" t="s">
        <v>260</v>
      </c>
      <c r="C3648">
        <v>67</v>
      </c>
      <c r="D3648">
        <v>72</v>
      </c>
      <c r="E3648">
        <v>169</v>
      </c>
      <c r="F3648">
        <v>88201</v>
      </c>
      <c r="G3648">
        <v>176400</v>
      </c>
      <c r="H3648">
        <f t="shared" si="112"/>
        <v>2.0000226757369615</v>
      </c>
      <c r="I3648">
        <f t="shared" si="113"/>
        <v>4</v>
      </c>
      <c r="J3648" t="s">
        <v>25</v>
      </c>
      <c r="K3648">
        <v>3</v>
      </c>
      <c r="L3648" t="e">
        <f t="array" ref="L3648">VLOOKUP(J3648:$J$3871&amp;K3648:$K$3871,CHOOSE({1,2},#REF!&amp;#REF!,#REF!),2,0)</f>
        <v>#N/A</v>
      </c>
      <c r="M3648">
        <v>-15</v>
      </c>
      <c r="N3648">
        <v>0</v>
      </c>
      <c r="O3648" t="s">
        <v>7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1</v>
      </c>
      <c r="W3648">
        <v>1</v>
      </c>
      <c r="X3648">
        <v>1</v>
      </c>
      <c r="Y3648">
        <v>0</v>
      </c>
      <c r="Z3648">
        <v>0</v>
      </c>
      <c r="AA3648" t="s">
        <v>5655</v>
      </c>
      <c r="AB3648" t="s">
        <v>7587</v>
      </c>
      <c r="AC3648" t="s">
        <v>5655</v>
      </c>
      <c r="AD3648" t="e">
        <f>VLOOKUP(AB3648,#REF!,2,FALSE)</f>
        <v>#REF!</v>
      </c>
      <c r="AE3648" t="e">
        <f>RIGHT(#REF!,(FIND("Complex",#REF!,1)-8))</f>
        <v>#REF!</v>
      </c>
    </row>
    <row r="3649" spans="1:31" x14ac:dyDescent="0.25">
      <c r="A3649">
        <v>887</v>
      </c>
      <c r="B3649" t="s">
        <v>260</v>
      </c>
      <c r="C3649">
        <v>67</v>
      </c>
      <c r="D3649">
        <v>393</v>
      </c>
      <c r="E3649">
        <v>887</v>
      </c>
      <c r="F3649">
        <v>617401</v>
      </c>
      <c r="G3649">
        <v>705600</v>
      </c>
      <c r="H3649">
        <f t="shared" si="112"/>
        <v>14.000022675736961</v>
      </c>
      <c r="I3649">
        <f t="shared" si="113"/>
        <v>16</v>
      </c>
      <c r="J3649" t="s">
        <v>25</v>
      </c>
      <c r="K3649">
        <v>3</v>
      </c>
      <c r="L3649" t="e">
        <f t="array" ref="L3649">VLOOKUP(J3649:$J$3871&amp;K3649:$K$3871,CHOOSE({1,2},#REF!&amp;#REF!,#REF!),2,0)</f>
        <v>#N/A</v>
      </c>
      <c r="M3649">
        <v>-15</v>
      </c>
      <c r="N3649">
        <v>0</v>
      </c>
      <c r="O3649" t="s">
        <v>7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1</v>
      </c>
      <c r="W3649">
        <v>1</v>
      </c>
      <c r="X3649">
        <v>1</v>
      </c>
      <c r="Y3649">
        <v>0</v>
      </c>
      <c r="Z3649">
        <v>0</v>
      </c>
      <c r="AA3649" t="s">
        <v>5938</v>
      </c>
      <c r="AB3649" t="s">
        <v>1540</v>
      </c>
      <c r="AC3649" t="s">
        <v>5938</v>
      </c>
      <c r="AD3649" t="e">
        <f>VLOOKUP(AB3649,#REF!,2,FALSE)</f>
        <v>#REF!</v>
      </c>
      <c r="AE3649" t="e">
        <f>RIGHT(#REF!,(FIND("Complex",#REF!,1)-7))</f>
        <v>#REF!</v>
      </c>
    </row>
    <row r="3650" spans="1:31" x14ac:dyDescent="0.25">
      <c r="A3650">
        <v>821</v>
      </c>
      <c r="B3650" t="s">
        <v>26</v>
      </c>
      <c r="C3650">
        <v>68</v>
      </c>
      <c r="D3650">
        <v>370</v>
      </c>
      <c r="E3650">
        <v>821</v>
      </c>
      <c r="F3650">
        <v>264601</v>
      </c>
      <c r="G3650">
        <v>352800</v>
      </c>
      <c r="H3650">
        <f t="shared" ref="H3650:H3713" si="114">F3650/44100</f>
        <v>6.000022675736961</v>
      </c>
      <c r="I3650">
        <f t="shared" ref="I3650:I3713" si="115">G3650/44100</f>
        <v>8</v>
      </c>
      <c r="J3650" t="s">
        <v>25</v>
      </c>
      <c r="K3650">
        <v>3</v>
      </c>
      <c r="L3650" t="e">
        <f t="array" ref="L3650">VLOOKUP(J3650:$J$3871&amp;K3650:$K$3871,CHOOSE({1,2},#REF!&amp;#REF!,#REF!),2,0)</f>
        <v>#N/A</v>
      </c>
      <c r="M3650">
        <v>-15</v>
      </c>
      <c r="N3650">
        <v>0</v>
      </c>
      <c r="O3650" t="s">
        <v>7</v>
      </c>
      <c r="P3650">
        <v>0</v>
      </c>
      <c r="Q3650">
        <v>0</v>
      </c>
      <c r="R3650">
        <v>0</v>
      </c>
      <c r="S3650">
        <v>1</v>
      </c>
      <c r="T3650">
        <v>0</v>
      </c>
      <c r="U3650">
        <v>0</v>
      </c>
      <c r="V3650">
        <v>0</v>
      </c>
      <c r="W3650">
        <v>1</v>
      </c>
      <c r="X3650">
        <v>1</v>
      </c>
      <c r="Y3650">
        <v>0</v>
      </c>
      <c r="Z3650">
        <v>0</v>
      </c>
      <c r="AA3650" t="s">
        <v>5130</v>
      </c>
      <c r="AB3650" t="s">
        <v>1545</v>
      </c>
      <c r="AC3650" t="s">
        <v>5130</v>
      </c>
      <c r="AD3650" t="e">
        <f>VLOOKUP(AB3650,#REF!,2,FALSE)</f>
        <v>#REF!</v>
      </c>
      <c r="AE3650" t="e">
        <f>RIGHT(#REF!,(FIND("Complex",#REF!,1)-8))</f>
        <v>#REF!</v>
      </c>
    </row>
    <row r="3651" spans="1:31" x14ac:dyDescent="0.25">
      <c r="A3651">
        <v>939</v>
      </c>
      <c r="B3651" t="s">
        <v>26</v>
      </c>
      <c r="C3651">
        <v>68</v>
      </c>
      <c r="D3651">
        <v>410</v>
      </c>
      <c r="E3651">
        <v>939</v>
      </c>
      <c r="F3651">
        <v>176401</v>
      </c>
      <c r="G3651">
        <v>264600</v>
      </c>
      <c r="H3651">
        <f t="shared" si="114"/>
        <v>4.000022675736961</v>
      </c>
      <c r="I3651">
        <f t="shared" si="115"/>
        <v>6</v>
      </c>
      <c r="J3651" t="s">
        <v>25</v>
      </c>
      <c r="K3651">
        <v>3</v>
      </c>
      <c r="L3651" t="e">
        <f t="array" ref="L3651">VLOOKUP(J3651:$J$3871&amp;K3651:$K$3871,CHOOSE({1,2},#REF!&amp;#REF!,#REF!),2,0)</f>
        <v>#N/A</v>
      </c>
      <c r="M3651">
        <v>-15</v>
      </c>
      <c r="N3651">
        <v>0</v>
      </c>
      <c r="O3651" t="s">
        <v>7</v>
      </c>
      <c r="P3651">
        <v>0</v>
      </c>
      <c r="Q3651">
        <v>0</v>
      </c>
      <c r="R3651">
        <v>0</v>
      </c>
      <c r="S3651">
        <v>1</v>
      </c>
      <c r="T3651">
        <v>0</v>
      </c>
      <c r="U3651">
        <v>0</v>
      </c>
      <c r="V3651">
        <v>0</v>
      </c>
      <c r="W3651">
        <v>1</v>
      </c>
      <c r="X3651">
        <v>1</v>
      </c>
      <c r="Y3651">
        <v>0</v>
      </c>
      <c r="Z3651">
        <v>0</v>
      </c>
      <c r="AA3651" t="s">
        <v>5274</v>
      </c>
      <c r="AB3651" t="s">
        <v>1546</v>
      </c>
      <c r="AC3651" t="s">
        <v>5274</v>
      </c>
      <c r="AD3651" t="e">
        <f>VLOOKUP(AB3651,#REF!,2,FALSE)</f>
        <v>#REF!</v>
      </c>
      <c r="AE3651" t="e">
        <f>RIGHT(#REF!,(FIND("Complex",#REF!,1)-8))</f>
        <v>#REF!</v>
      </c>
    </row>
    <row r="3652" spans="1:31" x14ac:dyDescent="0.25">
      <c r="A3652">
        <v>2271</v>
      </c>
      <c r="B3652" t="s">
        <v>26</v>
      </c>
      <c r="C3652">
        <v>68</v>
      </c>
      <c r="D3652">
        <v>931</v>
      </c>
      <c r="E3652">
        <v>2271</v>
      </c>
      <c r="F3652">
        <v>1411201</v>
      </c>
      <c r="G3652">
        <v>1499400</v>
      </c>
      <c r="H3652">
        <f t="shared" si="114"/>
        <v>32.000022675736965</v>
      </c>
      <c r="I3652">
        <f t="shared" si="115"/>
        <v>34</v>
      </c>
      <c r="J3652" t="s">
        <v>25</v>
      </c>
      <c r="K3652">
        <v>3</v>
      </c>
      <c r="L3652" t="e">
        <f t="array" ref="L3652">VLOOKUP(J3652:$J$3871&amp;K3652:$K$3871,CHOOSE({1,2},#REF!&amp;#REF!,#REF!),2,0)</f>
        <v>#N/A</v>
      </c>
      <c r="M3652">
        <v>-15</v>
      </c>
      <c r="N3652">
        <v>0</v>
      </c>
      <c r="O3652" t="s">
        <v>7</v>
      </c>
      <c r="P3652">
        <v>0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W3652">
        <v>1</v>
      </c>
      <c r="X3652">
        <v>1</v>
      </c>
      <c r="Y3652">
        <v>0</v>
      </c>
      <c r="Z3652">
        <v>0</v>
      </c>
      <c r="AA3652" t="s">
        <v>5360</v>
      </c>
      <c r="AB3652" t="s">
        <v>7398</v>
      </c>
      <c r="AC3652" t="s">
        <v>5360</v>
      </c>
      <c r="AD3652" t="e">
        <f>VLOOKUP(AB3652,#REF!,2,FALSE)</f>
        <v>#REF!</v>
      </c>
      <c r="AE3652" t="e">
        <f>RIGHT(#REF!,(FIND("Complex",#REF!,1)-8))</f>
        <v>#REF!</v>
      </c>
    </row>
    <row r="3653" spans="1:31" x14ac:dyDescent="0.25">
      <c r="A3653">
        <v>1409</v>
      </c>
      <c r="B3653" t="s">
        <v>26</v>
      </c>
      <c r="C3653">
        <v>68</v>
      </c>
      <c r="D3653">
        <v>618</v>
      </c>
      <c r="E3653">
        <v>1409</v>
      </c>
      <c r="F3653">
        <v>1058401</v>
      </c>
      <c r="G3653">
        <v>1146600</v>
      </c>
      <c r="H3653">
        <f t="shared" si="114"/>
        <v>24.000022675736961</v>
      </c>
      <c r="I3653">
        <f t="shared" si="115"/>
        <v>26</v>
      </c>
      <c r="J3653" t="s">
        <v>25</v>
      </c>
      <c r="K3653">
        <v>3</v>
      </c>
      <c r="L3653" t="e">
        <f t="array" ref="L3653">VLOOKUP(J3653:$J$3871&amp;K3653:$K$3871,CHOOSE({1,2},#REF!&amp;#REF!,#REF!),2,0)</f>
        <v>#N/A</v>
      </c>
      <c r="M3653">
        <v>-15</v>
      </c>
      <c r="N3653">
        <v>0</v>
      </c>
      <c r="O3653" t="s">
        <v>7</v>
      </c>
      <c r="P3653">
        <v>0</v>
      </c>
      <c r="Q3653">
        <v>0</v>
      </c>
      <c r="R3653">
        <v>0</v>
      </c>
      <c r="S3653">
        <v>1</v>
      </c>
      <c r="T3653">
        <v>0</v>
      </c>
      <c r="U3653">
        <v>0</v>
      </c>
      <c r="V3653">
        <v>0</v>
      </c>
      <c r="W3653">
        <v>1</v>
      </c>
      <c r="X3653">
        <v>1</v>
      </c>
      <c r="Y3653">
        <v>0</v>
      </c>
      <c r="Z3653">
        <v>0</v>
      </c>
      <c r="AA3653" t="s">
        <v>5524</v>
      </c>
      <c r="AB3653" t="s">
        <v>7507</v>
      </c>
      <c r="AC3653" t="s">
        <v>5524</v>
      </c>
      <c r="AD3653" t="e">
        <f>VLOOKUP(AB3653,#REF!,2,FALSE)</f>
        <v>#REF!</v>
      </c>
      <c r="AE3653" t="e">
        <f>RIGHT(#REF!,(FIND("Complex",#REF!,1)-8))</f>
        <v>#REF!</v>
      </c>
    </row>
    <row r="3654" spans="1:31" x14ac:dyDescent="0.25">
      <c r="A3654">
        <v>1671</v>
      </c>
      <c r="B3654" t="s">
        <v>26</v>
      </c>
      <c r="C3654">
        <v>68</v>
      </c>
      <c r="D3654">
        <v>730</v>
      </c>
      <c r="E3654">
        <v>1671</v>
      </c>
      <c r="F3654">
        <v>88201</v>
      </c>
      <c r="G3654">
        <v>176400</v>
      </c>
      <c r="H3654">
        <f t="shared" si="114"/>
        <v>2.0000226757369615</v>
      </c>
      <c r="I3654">
        <f t="shared" si="115"/>
        <v>4</v>
      </c>
      <c r="J3654" t="s">
        <v>25</v>
      </c>
      <c r="K3654">
        <v>3</v>
      </c>
      <c r="L3654" t="e">
        <f t="array" ref="L3654">VLOOKUP(J3654:$J$3871&amp;K3654:$K$3871,CHOOSE({1,2},#REF!&amp;#REF!,#REF!),2,0)</f>
        <v>#N/A</v>
      </c>
      <c r="M3654">
        <v>-15</v>
      </c>
      <c r="N3654">
        <v>0</v>
      </c>
      <c r="O3654" t="s">
        <v>7</v>
      </c>
      <c r="P3654">
        <v>0</v>
      </c>
      <c r="Q3654">
        <v>0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1</v>
      </c>
      <c r="X3654">
        <v>1</v>
      </c>
      <c r="Y3654">
        <v>0</v>
      </c>
      <c r="Z3654">
        <v>0</v>
      </c>
      <c r="AA3654" t="s">
        <v>5654</v>
      </c>
      <c r="AB3654" t="s">
        <v>1547</v>
      </c>
      <c r="AC3654" t="s">
        <v>5654</v>
      </c>
      <c r="AD3654" t="e">
        <f>VLOOKUP(AB3654,#REF!,2,FALSE)</f>
        <v>#REF!</v>
      </c>
      <c r="AE3654" t="e">
        <f>RIGHT(#REF!,(FIND("Complex",#REF!,1)-9))</f>
        <v>#REF!</v>
      </c>
    </row>
    <row r="3655" spans="1:31" x14ac:dyDescent="0.25">
      <c r="A3655">
        <v>2125</v>
      </c>
      <c r="B3655" t="s">
        <v>26</v>
      </c>
      <c r="C3655">
        <v>68</v>
      </c>
      <c r="D3655">
        <v>895</v>
      </c>
      <c r="E3655">
        <v>2125</v>
      </c>
      <c r="F3655">
        <v>705601</v>
      </c>
      <c r="G3655">
        <v>793800</v>
      </c>
      <c r="H3655">
        <f t="shared" si="114"/>
        <v>16.000022675736961</v>
      </c>
      <c r="I3655">
        <f t="shared" si="115"/>
        <v>18</v>
      </c>
      <c r="J3655" t="s">
        <v>25</v>
      </c>
      <c r="K3655">
        <v>3</v>
      </c>
      <c r="L3655" t="e">
        <f t="array" ref="L3655">VLOOKUP(J3655:$J$3871&amp;K3655:$K$3871,CHOOSE({1,2},#REF!&amp;#REF!,#REF!),2,0)</f>
        <v>#N/A</v>
      </c>
      <c r="M3655">
        <v>-15</v>
      </c>
      <c r="N3655">
        <v>0</v>
      </c>
      <c r="O3655" t="s">
        <v>7</v>
      </c>
      <c r="P3655">
        <v>0</v>
      </c>
      <c r="Q3655">
        <v>0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1</v>
      </c>
      <c r="X3655">
        <v>1</v>
      </c>
      <c r="Y3655">
        <v>0</v>
      </c>
      <c r="Z3655">
        <v>0</v>
      </c>
      <c r="AA3655" t="s">
        <v>5815</v>
      </c>
      <c r="AB3655" t="s">
        <v>223</v>
      </c>
      <c r="AC3655" t="s">
        <v>5815</v>
      </c>
      <c r="AD3655" t="e">
        <f>VLOOKUP(AB3655,#REF!,2,FALSE)</f>
        <v>#REF!</v>
      </c>
      <c r="AE3655" t="e">
        <f>RIGHT(#REF!,(FIND("Complex",#REF!,1)-8))</f>
        <v>#REF!</v>
      </c>
    </row>
    <row r="3656" spans="1:31" x14ac:dyDescent="0.25">
      <c r="A3656">
        <v>1265</v>
      </c>
      <c r="B3656" t="s">
        <v>26</v>
      </c>
      <c r="C3656">
        <v>68</v>
      </c>
      <c r="D3656">
        <v>553</v>
      </c>
      <c r="E3656">
        <v>1265</v>
      </c>
      <c r="F3656">
        <v>617401</v>
      </c>
      <c r="G3656">
        <v>705600</v>
      </c>
      <c r="H3656">
        <f t="shared" si="114"/>
        <v>14.000022675736961</v>
      </c>
      <c r="I3656">
        <f t="shared" si="115"/>
        <v>16</v>
      </c>
      <c r="J3656" t="s">
        <v>25</v>
      </c>
      <c r="K3656">
        <v>3</v>
      </c>
      <c r="L3656" t="e">
        <f t="array" ref="L3656">VLOOKUP(J3656:$J$3871&amp;K3656:$K$3871,CHOOSE({1,2},#REF!&amp;#REF!,#REF!),2,0)</f>
        <v>#N/A</v>
      </c>
      <c r="M3656">
        <v>-15</v>
      </c>
      <c r="N3656">
        <v>0</v>
      </c>
      <c r="O3656" t="s">
        <v>7</v>
      </c>
      <c r="P3656">
        <v>0</v>
      </c>
      <c r="Q3656">
        <v>0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1</v>
      </c>
      <c r="X3656">
        <v>1</v>
      </c>
      <c r="Y3656">
        <v>0</v>
      </c>
      <c r="Z3656">
        <v>0</v>
      </c>
      <c r="AA3656" t="s">
        <v>5937</v>
      </c>
      <c r="AB3656" t="s">
        <v>1548</v>
      </c>
      <c r="AC3656" t="s">
        <v>5937</v>
      </c>
      <c r="AD3656" t="e">
        <f>VLOOKUP(AB3656,#REF!,2,FALSE)</f>
        <v>#REF!</v>
      </c>
      <c r="AE3656" t="e">
        <f>RIGHT(#REF!,(FIND("Complex",#REF!,1)-8))</f>
        <v>#REF!</v>
      </c>
    </row>
    <row r="3657" spans="1:31" x14ac:dyDescent="0.25">
      <c r="A3657">
        <v>355</v>
      </c>
      <c r="B3657" t="s">
        <v>26</v>
      </c>
      <c r="C3657">
        <v>68</v>
      </c>
      <c r="D3657">
        <v>149</v>
      </c>
      <c r="E3657">
        <v>355</v>
      </c>
      <c r="F3657">
        <v>1</v>
      </c>
      <c r="G3657">
        <v>88200</v>
      </c>
      <c r="H3657">
        <f t="shared" si="114"/>
        <v>2.2675736961451248E-5</v>
      </c>
      <c r="I3657">
        <f t="shared" si="115"/>
        <v>2</v>
      </c>
      <c r="J3657" t="s">
        <v>25</v>
      </c>
      <c r="K3657">
        <v>3</v>
      </c>
      <c r="L3657" t="e">
        <f t="array" ref="L3657">VLOOKUP(J3657:$J$3871&amp;K3657:$K$3871,CHOOSE({1,2},#REF!&amp;#REF!,#REF!),2,0)</f>
        <v>#N/A</v>
      </c>
      <c r="M3657">
        <v>-15</v>
      </c>
      <c r="N3657">
        <v>0</v>
      </c>
      <c r="O3657" t="s">
        <v>7</v>
      </c>
      <c r="P3657">
        <v>0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1</v>
      </c>
      <c r="X3657">
        <v>1</v>
      </c>
      <c r="Y3657">
        <v>0</v>
      </c>
      <c r="Z3657">
        <v>0</v>
      </c>
      <c r="AA3657" t="s">
        <v>6146</v>
      </c>
      <c r="AB3657" t="s">
        <v>7875</v>
      </c>
      <c r="AC3657" t="s">
        <v>6146</v>
      </c>
      <c r="AD3657" t="e">
        <f>VLOOKUP(AB3657,#REF!,2,FALSE)</f>
        <v>#REF!</v>
      </c>
      <c r="AE3657" t="e">
        <f>RIGHT(#REF!,(FIND("Complex",#REF!,1)-8))</f>
        <v>#REF!</v>
      </c>
    </row>
    <row r="3658" spans="1:31" x14ac:dyDescent="0.25">
      <c r="A3658">
        <v>816</v>
      </c>
      <c r="B3658" t="s">
        <v>261</v>
      </c>
      <c r="C3658">
        <v>69</v>
      </c>
      <c r="D3658">
        <v>366</v>
      </c>
      <c r="E3658">
        <v>816</v>
      </c>
      <c r="F3658">
        <v>2646001</v>
      </c>
      <c r="G3658">
        <v>2734200</v>
      </c>
      <c r="H3658">
        <f t="shared" si="114"/>
        <v>60.000022675736965</v>
      </c>
      <c r="I3658">
        <f t="shared" si="115"/>
        <v>62</v>
      </c>
      <c r="J3658" t="s">
        <v>25</v>
      </c>
      <c r="K3658">
        <v>3</v>
      </c>
      <c r="L3658" t="e">
        <f t="array" ref="L3658">VLOOKUP(J3658:$J$3871&amp;K3658:$K$3871,CHOOSE({1,2},#REF!&amp;#REF!,#REF!),2,0)</f>
        <v>#N/A</v>
      </c>
      <c r="M3658">
        <v>-15</v>
      </c>
      <c r="N3658">
        <v>0</v>
      </c>
      <c r="O3658" t="s">
        <v>7</v>
      </c>
      <c r="P3658">
        <v>0</v>
      </c>
      <c r="Q3658">
        <v>0</v>
      </c>
      <c r="R3658">
        <v>0</v>
      </c>
      <c r="S3658">
        <v>1</v>
      </c>
      <c r="T3658">
        <v>0</v>
      </c>
      <c r="U3658">
        <v>0</v>
      </c>
      <c r="V3658">
        <v>0</v>
      </c>
      <c r="W3658">
        <v>1</v>
      </c>
      <c r="X3658">
        <v>1</v>
      </c>
      <c r="Y3658">
        <v>0</v>
      </c>
      <c r="Z3658">
        <v>0</v>
      </c>
      <c r="AA3658" t="s">
        <v>5111</v>
      </c>
      <c r="AB3658" t="s">
        <v>7271</v>
      </c>
      <c r="AC3658" t="s">
        <v>5111</v>
      </c>
      <c r="AD3658" t="e">
        <f>VLOOKUP(AB3658,#REF!,2,FALSE)</f>
        <v>#REF!</v>
      </c>
      <c r="AE3658" t="e">
        <f>RIGHT(#REF!,(FIND("Complex",#REF!,1)-7))</f>
        <v>#REF!</v>
      </c>
    </row>
    <row r="3659" spans="1:31" x14ac:dyDescent="0.25">
      <c r="A3659">
        <v>1847</v>
      </c>
      <c r="B3659" t="s">
        <v>261</v>
      </c>
      <c r="C3659">
        <v>69</v>
      </c>
      <c r="D3659">
        <v>804</v>
      </c>
      <c r="E3659">
        <v>1847</v>
      </c>
      <c r="F3659">
        <v>264601</v>
      </c>
      <c r="G3659">
        <v>352800</v>
      </c>
      <c r="H3659">
        <f t="shared" si="114"/>
        <v>6.000022675736961</v>
      </c>
      <c r="I3659">
        <f t="shared" si="115"/>
        <v>8</v>
      </c>
      <c r="J3659" t="s">
        <v>25</v>
      </c>
      <c r="K3659">
        <v>3</v>
      </c>
      <c r="L3659" t="e">
        <f t="array" ref="L3659">VLOOKUP(J3659:$J$3871&amp;K3659:$K$3871,CHOOSE({1,2},#REF!&amp;#REF!,#REF!),2,0)</f>
        <v>#N/A</v>
      </c>
      <c r="M3659">
        <v>-15</v>
      </c>
      <c r="N3659">
        <v>0</v>
      </c>
      <c r="O3659" t="s">
        <v>7</v>
      </c>
      <c r="P3659">
        <v>0</v>
      </c>
      <c r="Q3659">
        <v>0</v>
      </c>
      <c r="R3659">
        <v>0</v>
      </c>
      <c r="S3659">
        <v>1</v>
      </c>
      <c r="T3659">
        <v>0</v>
      </c>
      <c r="U3659">
        <v>0</v>
      </c>
      <c r="V3659">
        <v>0</v>
      </c>
      <c r="W3659">
        <v>1</v>
      </c>
      <c r="X3659">
        <v>1</v>
      </c>
      <c r="Y3659">
        <v>0</v>
      </c>
      <c r="Z3659">
        <v>0</v>
      </c>
      <c r="AA3659" t="s">
        <v>5129</v>
      </c>
      <c r="AB3659" t="s">
        <v>7281</v>
      </c>
      <c r="AC3659" t="s">
        <v>5129</v>
      </c>
      <c r="AD3659" t="e">
        <f>VLOOKUP(AB3659,#REF!,2,FALSE)</f>
        <v>#REF!</v>
      </c>
      <c r="AE3659" t="e">
        <f>RIGHT(#REF!,(FIND("Complex",#REF!,1)-9))</f>
        <v>#REF!</v>
      </c>
    </row>
    <row r="3660" spans="1:31" x14ac:dyDescent="0.25">
      <c r="A3660">
        <v>1088</v>
      </c>
      <c r="B3660" t="s">
        <v>261</v>
      </c>
      <c r="C3660">
        <v>69</v>
      </c>
      <c r="D3660">
        <v>483</v>
      </c>
      <c r="E3660">
        <v>1088</v>
      </c>
      <c r="F3660">
        <v>2557801</v>
      </c>
      <c r="G3660">
        <v>2646000</v>
      </c>
      <c r="H3660">
        <f t="shared" si="114"/>
        <v>58.000022675736965</v>
      </c>
      <c r="I3660">
        <f t="shared" si="115"/>
        <v>60</v>
      </c>
      <c r="J3660" t="s">
        <v>25</v>
      </c>
      <c r="K3660">
        <v>3</v>
      </c>
      <c r="L3660" t="e">
        <f t="array" ref="L3660">VLOOKUP(J3660:$J$3871&amp;K3660:$K$3871,CHOOSE({1,2},#REF!&amp;#REF!,#REF!),2,0)</f>
        <v>#N/A</v>
      </c>
      <c r="M3660">
        <v>-15</v>
      </c>
      <c r="N3660">
        <v>0</v>
      </c>
      <c r="O3660" t="s">
        <v>7</v>
      </c>
      <c r="P3660">
        <v>0</v>
      </c>
      <c r="Q3660">
        <v>0</v>
      </c>
      <c r="R3660">
        <v>0</v>
      </c>
      <c r="S3660">
        <v>1</v>
      </c>
      <c r="T3660">
        <v>0</v>
      </c>
      <c r="U3660">
        <v>0</v>
      </c>
      <c r="V3660">
        <v>0</v>
      </c>
      <c r="W3660">
        <v>1</v>
      </c>
      <c r="X3660">
        <v>1</v>
      </c>
      <c r="Y3660">
        <v>0</v>
      </c>
      <c r="Z3660">
        <v>0</v>
      </c>
      <c r="AA3660" t="s">
        <v>5141</v>
      </c>
      <c r="AB3660" t="s">
        <v>7287</v>
      </c>
      <c r="AC3660" t="s">
        <v>5141</v>
      </c>
      <c r="AD3660" t="e">
        <f>VLOOKUP(AB3660,#REF!,2,FALSE)</f>
        <v>#REF!</v>
      </c>
      <c r="AE3660" t="e">
        <f>RIGHT(#REF!,(FIND("Complex",#REF!,1)-8))</f>
        <v>#REF!</v>
      </c>
    </row>
    <row r="3661" spans="1:31" x14ac:dyDescent="0.25">
      <c r="A3661">
        <v>2106</v>
      </c>
      <c r="B3661" t="s">
        <v>261</v>
      </c>
      <c r="C3661">
        <v>69</v>
      </c>
      <c r="D3661">
        <v>889</v>
      </c>
      <c r="E3661">
        <v>2106</v>
      </c>
      <c r="F3661">
        <v>2469601</v>
      </c>
      <c r="G3661">
        <v>2557800</v>
      </c>
      <c r="H3661">
        <f t="shared" si="114"/>
        <v>56.000022675736965</v>
      </c>
      <c r="I3661">
        <f t="shared" si="115"/>
        <v>58</v>
      </c>
      <c r="J3661" t="s">
        <v>25</v>
      </c>
      <c r="K3661">
        <v>3</v>
      </c>
      <c r="L3661" t="e">
        <f t="array" ref="L3661">VLOOKUP(J3661:$J$3871&amp;K3661:$K$3871,CHOOSE({1,2},#REF!&amp;#REF!,#REF!),2,0)</f>
        <v>#N/A</v>
      </c>
      <c r="M3661">
        <v>-15</v>
      </c>
      <c r="N3661">
        <v>0</v>
      </c>
      <c r="O3661" t="s">
        <v>7</v>
      </c>
      <c r="P3661">
        <v>0</v>
      </c>
      <c r="Q3661">
        <v>0</v>
      </c>
      <c r="R3661">
        <v>0</v>
      </c>
      <c r="S3661">
        <v>1</v>
      </c>
      <c r="T3661">
        <v>0</v>
      </c>
      <c r="U3661">
        <v>0</v>
      </c>
      <c r="V3661">
        <v>0</v>
      </c>
      <c r="W3661">
        <v>1</v>
      </c>
      <c r="X3661">
        <v>1</v>
      </c>
      <c r="Y3661">
        <v>0</v>
      </c>
      <c r="Z3661">
        <v>0</v>
      </c>
      <c r="AA3661" t="s">
        <v>5152</v>
      </c>
      <c r="AB3661" t="s">
        <v>7292</v>
      </c>
      <c r="AC3661" t="s">
        <v>5152</v>
      </c>
      <c r="AD3661" t="e">
        <f>VLOOKUP(AB3661,#REF!,2,FALSE)</f>
        <v>#REF!</v>
      </c>
      <c r="AE3661" t="e">
        <f>RIGHT(#REF!,(FIND("Complex",#REF!,1)-8))</f>
        <v>#REF!</v>
      </c>
    </row>
    <row r="3662" spans="1:31" x14ac:dyDescent="0.25">
      <c r="A3662">
        <v>1636</v>
      </c>
      <c r="B3662" t="s">
        <v>261</v>
      </c>
      <c r="C3662">
        <v>69</v>
      </c>
      <c r="D3662">
        <v>711</v>
      </c>
      <c r="E3662">
        <v>1636</v>
      </c>
      <c r="F3662">
        <v>2381401</v>
      </c>
      <c r="G3662">
        <v>2469600</v>
      </c>
      <c r="H3662">
        <f t="shared" si="114"/>
        <v>54.000022675736965</v>
      </c>
      <c r="I3662">
        <f t="shared" si="115"/>
        <v>56</v>
      </c>
      <c r="J3662" t="s">
        <v>25</v>
      </c>
      <c r="K3662">
        <v>3</v>
      </c>
      <c r="L3662" t="e">
        <f t="array" ref="L3662">VLOOKUP(J3662:$J$3871&amp;K3662:$K$3871,CHOOSE({1,2},#REF!&amp;#REF!,#REF!),2,0)</f>
        <v>#N/A</v>
      </c>
      <c r="M3662">
        <v>-15</v>
      </c>
      <c r="N3662">
        <v>0</v>
      </c>
      <c r="O3662" t="s">
        <v>7</v>
      </c>
      <c r="P3662">
        <v>0</v>
      </c>
      <c r="Q3662">
        <v>0</v>
      </c>
      <c r="R3662">
        <v>0</v>
      </c>
      <c r="S3662">
        <v>1</v>
      </c>
      <c r="T3662">
        <v>0</v>
      </c>
      <c r="U3662">
        <v>0</v>
      </c>
      <c r="V3662">
        <v>0</v>
      </c>
      <c r="W3662">
        <v>1</v>
      </c>
      <c r="X3662">
        <v>1</v>
      </c>
      <c r="Y3662">
        <v>0</v>
      </c>
      <c r="Z3662">
        <v>0</v>
      </c>
      <c r="AA3662" t="s">
        <v>5165</v>
      </c>
      <c r="AB3662" t="s">
        <v>7302</v>
      </c>
      <c r="AC3662" t="s">
        <v>5165</v>
      </c>
      <c r="AD3662" t="e">
        <f>VLOOKUP(AB3662,#REF!,2,FALSE)</f>
        <v>#REF!</v>
      </c>
      <c r="AE3662" t="e">
        <f>RIGHT(#REF!,(FIND("Complex",#REF!,1)-8))</f>
        <v>#REF!</v>
      </c>
    </row>
    <row r="3663" spans="1:31" x14ac:dyDescent="0.25">
      <c r="A3663">
        <v>1955</v>
      </c>
      <c r="B3663" t="s">
        <v>261</v>
      </c>
      <c r="C3663">
        <v>69</v>
      </c>
      <c r="D3663">
        <v>845</v>
      </c>
      <c r="E3663">
        <v>1955</v>
      </c>
      <c r="F3663">
        <v>2116801</v>
      </c>
      <c r="G3663">
        <v>2205000</v>
      </c>
      <c r="H3663">
        <f t="shared" si="114"/>
        <v>48.000022675736965</v>
      </c>
      <c r="I3663">
        <f t="shared" si="115"/>
        <v>50</v>
      </c>
      <c r="J3663" t="s">
        <v>25</v>
      </c>
      <c r="K3663">
        <v>3</v>
      </c>
      <c r="L3663" t="e">
        <f t="array" ref="L3663">VLOOKUP(J3663:$J$3871&amp;K3663:$K$3871,CHOOSE({1,2},#REF!&amp;#REF!,#REF!),2,0)</f>
        <v>#N/A</v>
      </c>
      <c r="M3663">
        <v>-15</v>
      </c>
      <c r="N3663">
        <v>0</v>
      </c>
      <c r="O3663" t="s">
        <v>7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>
        <v>1</v>
      </c>
      <c r="X3663">
        <v>1</v>
      </c>
      <c r="Y3663">
        <v>0</v>
      </c>
      <c r="Z3663">
        <v>0</v>
      </c>
      <c r="AA3663" t="s">
        <v>5203</v>
      </c>
      <c r="AB3663" t="s">
        <v>1551</v>
      </c>
      <c r="AC3663" t="s">
        <v>5203</v>
      </c>
      <c r="AD3663" t="e">
        <f>VLOOKUP(AB3663,#REF!,2,FALSE)</f>
        <v>#REF!</v>
      </c>
      <c r="AE3663" t="e">
        <f>RIGHT(#REF!,(FIND("Complex",#REF!,1)-8))</f>
        <v>#REF!</v>
      </c>
    </row>
    <row r="3664" spans="1:31" x14ac:dyDescent="0.25">
      <c r="A3664">
        <v>2019</v>
      </c>
      <c r="B3664" t="s">
        <v>261</v>
      </c>
      <c r="C3664">
        <v>69</v>
      </c>
      <c r="D3664">
        <v>864</v>
      </c>
      <c r="E3664">
        <v>2019</v>
      </c>
      <c r="F3664">
        <v>176401</v>
      </c>
      <c r="G3664">
        <v>264600</v>
      </c>
      <c r="H3664">
        <f t="shared" si="114"/>
        <v>4.000022675736961</v>
      </c>
      <c r="I3664">
        <f t="shared" si="115"/>
        <v>6</v>
      </c>
      <c r="J3664" t="s">
        <v>25</v>
      </c>
      <c r="K3664">
        <v>3</v>
      </c>
      <c r="L3664" t="e">
        <f t="array" ref="L3664">VLOOKUP(J3664:$J$3871&amp;K3664:$K$3871,CHOOSE({1,2},#REF!&amp;#REF!,#REF!),2,0)</f>
        <v>#N/A</v>
      </c>
      <c r="M3664">
        <v>-15</v>
      </c>
      <c r="N3664">
        <v>0</v>
      </c>
      <c r="O3664" t="s">
        <v>7</v>
      </c>
      <c r="P3664">
        <v>0</v>
      </c>
      <c r="Q3664">
        <v>0</v>
      </c>
      <c r="R3664">
        <v>0</v>
      </c>
      <c r="S3664">
        <v>1</v>
      </c>
      <c r="T3664">
        <v>0</v>
      </c>
      <c r="U3664">
        <v>0</v>
      </c>
      <c r="V3664">
        <v>0</v>
      </c>
      <c r="W3664">
        <v>1</v>
      </c>
      <c r="X3664">
        <v>1</v>
      </c>
      <c r="Y3664">
        <v>0</v>
      </c>
      <c r="Z3664">
        <v>0</v>
      </c>
      <c r="AA3664" t="s">
        <v>5273</v>
      </c>
      <c r="AB3664" t="s">
        <v>7349</v>
      </c>
      <c r="AC3664" t="s">
        <v>5273</v>
      </c>
      <c r="AD3664" t="e">
        <f>VLOOKUP(AB3664,#REF!,2,FALSE)</f>
        <v>#REF!</v>
      </c>
      <c r="AE3664" t="e">
        <f>RIGHT(#REF!,(FIND("Complex",#REF!,1)-9))</f>
        <v>#REF!</v>
      </c>
    </row>
    <row r="3665" spans="1:31" x14ac:dyDescent="0.25">
      <c r="A3665">
        <v>1520</v>
      </c>
      <c r="B3665" t="s">
        <v>261</v>
      </c>
      <c r="C3665">
        <v>69</v>
      </c>
      <c r="D3665">
        <v>665</v>
      </c>
      <c r="E3665">
        <v>1520</v>
      </c>
      <c r="F3665">
        <v>1499401</v>
      </c>
      <c r="G3665">
        <v>1587600</v>
      </c>
      <c r="H3665">
        <f t="shared" si="114"/>
        <v>34.000022675736965</v>
      </c>
      <c r="I3665">
        <f t="shared" si="115"/>
        <v>36</v>
      </c>
      <c r="J3665" t="s">
        <v>25</v>
      </c>
      <c r="K3665">
        <v>3</v>
      </c>
      <c r="L3665" t="e">
        <f t="array" ref="L3665">VLOOKUP(J3665:$J$3871&amp;K3665:$K$3871,CHOOSE({1,2},#REF!&amp;#REF!,#REF!),2,0)</f>
        <v>#N/A</v>
      </c>
      <c r="M3665">
        <v>-15</v>
      </c>
      <c r="N3665">
        <v>0</v>
      </c>
      <c r="O3665" t="s">
        <v>7</v>
      </c>
      <c r="P3665">
        <v>0</v>
      </c>
      <c r="Q3665">
        <v>0</v>
      </c>
      <c r="R3665">
        <v>0</v>
      </c>
      <c r="S3665">
        <v>1</v>
      </c>
      <c r="T3665">
        <v>0</v>
      </c>
      <c r="U3665">
        <v>0</v>
      </c>
      <c r="V3665">
        <v>0</v>
      </c>
      <c r="W3665">
        <v>1</v>
      </c>
      <c r="X3665">
        <v>1</v>
      </c>
      <c r="Y3665">
        <v>0</v>
      </c>
      <c r="Z3665">
        <v>0</v>
      </c>
      <c r="AA3665" t="s">
        <v>5334</v>
      </c>
      <c r="AB3665" t="s">
        <v>7389</v>
      </c>
      <c r="AC3665" t="s">
        <v>5334</v>
      </c>
      <c r="AD3665" t="e">
        <f>VLOOKUP(AB3665,#REF!,2,FALSE)</f>
        <v>#REF!</v>
      </c>
      <c r="AE3665" t="e">
        <f>RIGHT(#REF!,(FIND("Complex",#REF!,1)-8))</f>
        <v>#REF!</v>
      </c>
    </row>
    <row r="3666" spans="1:31" x14ac:dyDescent="0.25">
      <c r="A3666">
        <v>1021</v>
      </c>
      <c r="B3666" t="s">
        <v>262</v>
      </c>
      <c r="C3666">
        <v>73</v>
      </c>
      <c r="D3666">
        <v>452</v>
      </c>
      <c r="E3666">
        <v>1021</v>
      </c>
      <c r="F3666">
        <v>88201</v>
      </c>
      <c r="G3666">
        <v>176400</v>
      </c>
      <c r="H3666">
        <f t="shared" si="114"/>
        <v>2.0000226757369615</v>
      </c>
      <c r="I3666">
        <f t="shared" si="115"/>
        <v>4</v>
      </c>
      <c r="J3666" t="s">
        <v>25</v>
      </c>
      <c r="K3666">
        <v>3</v>
      </c>
      <c r="L3666" t="e">
        <f t="array" ref="L3666">VLOOKUP(J3666:$J$3871&amp;K3666:$K$3871,CHOOSE({1,2},#REF!&amp;#REF!,#REF!),2,0)</f>
        <v>#N/A</v>
      </c>
      <c r="M3666">
        <v>-15</v>
      </c>
      <c r="N3666">
        <v>0</v>
      </c>
      <c r="O3666" t="s">
        <v>7</v>
      </c>
      <c r="P3666">
        <v>0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1</v>
      </c>
      <c r="X3666">
        <v>1</v>
      </c>
      <c r="Y3666">
        <v>0</v>
      </c>
      <c r="Z3666">
        <v>0</v>
      </c>
      <c r="AA3666" t="s">
        <v>5653</v>
      </c>
      <c r="AB3666" t="s">
        <v>1575</v>
      </c>
      <c r="AC3666" t="s">
        <v>5653</v>
      </c>
      <c r="AD3666" t="e">
        <f>VLOOKUP(AB3666,#REF!,2,FALSE)</f>
        <v>#REF!</v>
      </c>
      <c r="AE3666" t="e">
        <f>RIGHT(#REF!,(FIND("Complex",#REF!,1)-9))</f>
        <v>#REF!</v>
      </c>
    </row>
    <row r="3667" spans="1:31" x14ac:dyDescent="0.25">
      <c r="A3667">
        <v>403</v>
      </c>
      <c r="B3667" t="s">
        <v>264</v>
      </c>
      <c r="C3667">
        <v>74</v>
      </c>
      <c r="D3667">
        <v>171</v>
      </c>
      <c r="E3667">
        <v>403</v>
      </c>
      <c r="F3667">
        <v>3175201</v>
      </c>
      <c r="G3667">
        <v>3263400</v>
      </c>
      <c r="H3667">
        <f t="shared" si="114"/>
        <v>72.000022675736957</v>
      </c>
      <c r="I3667">
        <f t="shared" si="115"/>
        <v>74</v>
      </c>
      <c r="J3667" t="s">
        <v>25</v>
      </c>
      <c r="K3667">
        <v>3</v>
      </c>
      <c r="L3667" t="e">
        <f t="array" ref="L3667">VLOOKUP(J3667:$J$3871&amp;K3667:$K$3871,CHOOSE({1,2},#REF!&amp;#REF!,#REF!),2,0)</f>
        <v>#N/A</v>
      </c>
      <c r="M3667">
        <v>-15</v>
      </c>
      <c r="N3667">
        <v>0</v>
      </c>
      <c r="O3667" t="s">
        <v>7</v>
      </c>
      <c r="P3667">
        <v>0</v>
      </c>
      <c r="Q3667">
        <v>0</v>
      </c>
      <c r="R3667">
        <v>0</v>
      </c>
      <c r="S3667">
        <v>1</v>
      </c>
      <c r="T3667">
        <v>0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0</v>
      </c>
      <c r="AA3667" t="s">
        <v>5041</v>
      </c>
      <c r="AB3667" t="s">
        <v>7238</v>
      </c>
      <c r="AC3667" t="s">
        <v>5041</v>
      </c>
      <c r="AD3667" t="e">
        <f>VLOOKUP(AB3667,#REF!,2,FALSE)</f>
        <v>#REF!</v>
      </c>
      <c r="AE3667" t="e">
        <f>RIGHT(#REF!,(FIND("Complex",#REF!,1)-7))</f>
        <v>#REF!</v>
      </c>
    </row>
    <row r="3668" spans="1:31" x14ac:dyDescent="0.25">
      <c r="A3668">
        <v>87</v>
      </c>
      <c r="B3668" t="s">
        <v>264</v>
      </c>
      <c r="C3668">
        <v>74</v>
      </c>
      <c r="D3668">
        <v>41</v>
      </c>
      <c r="E3668">
        <v>87</v>
      </c>
      <c r="F3668">
        <v>2205001</v>
      </c>
      <c r="G3668">
        <v>2293200</v>
      </c>
      <c r="H3668">
        <f t="shared" si="114"/>
        <v>50.000022675736965</v>
      </c>
      <c r="I3668">
        <f t="shared" si="115"/>
        <v>52</v>
      </c>
      <c r="J3668" t="s">
        <v>25</v>
      </c>
      <c r="K3668">
        <v>3</v>
      </c>
      <c r="L3668" t="e">
        <f t="array" ref="L3668">VLOOKUP(J3668:$J$3871&amp;K3668:$K$3871,CHOOSE({1,2},#REF!&amp;#REF!,#REF!),2,0)</f>
        <v>#N/A</v>
      </c>
      <c r="M3668">
        <v>-15</v>
      </c>
      <c r="N3668">
        <v>0</v>
      </c>
      <c r="O3668" t="s">
        <v>7</v>
      </c>
      <c r="P3668">
        <v>0</v>
      </c>
      <c r="Q3668">
        <v>0</v>
      </c>
      <c r="R3668">
        <v>0</v>
      </c>
      <c r="S3668">
        <v>1</v>
      </c>
      <c r="T3668">
        <v>0</v>
      </c>
      <c r="U3668">
        <v>0</v>
      </c>
      <c r="V3668">
        <v>1</v>
      </c>
      <c r="W3668">
        <v>1</v>
      </c>
      <c r="X3668">
        <v>0</v>
      </c>
      <c r="Y3668">
        <v>0</v>
      </c>
      <c r="Z3668">
        <v>0</v>
      </c>
      <c r="AA3668" t="s">
        <v>5193</v>
      </c>
      <c r="AB3668" t="s">
        <v>7312</v>
      </c>
      <c r="AC3668" t="s">
        <v>5193</v>
      </c>
      <c r="AD3668" t="e">
        <f>VLOOKUP(AB3668,#REF!,2,FALSE)</f>
        <v>#REF!</v>
      </c>
      <c r="AE3668" t="e">
        <f>RIGHT(#REF!,(FIND("Complex",#REF!,1)-6))</f>
        <v>#REF!</v>
      </c>
    </row>
    <row r="3669" spans="1:31" x14ac:dyDescent="0.25">
      <c r="A3669">
        <v>1925</v>
      </c>
      <c r="B3669" t="s">
        <v>264</v>
      </c>
      <c r="C3669">
        <v>74</v>
      </c>
      <c r="D3669">
        <v>832</v>
      </c>
      <c r="E3669">
        <v>1925</v>
      </c>
      <c r="F3669">
        <v>793801</v>
      </c>
      <c r="G3669">
        <v>882000</v>
      </c>
      <c r="H3669">
        <f t="shared" si="114"/>
        <v>18.000022675736961</v>
      </c>
      <c r="I3669">
        <f t="shared" si="115"/>
        <v>20</v>
      </c>
      <c r="J3669" t="s">
        <v>25</v>
      </c>
      <c r="K3669">
        <v>3</v>
      </c>
      <c r="L3669" t="e">
        <f t="array" ref="L3669">VLOOKUP(J3669:$J$3871&amp;K3669:$K$3871,CHOOSE({1,2},#REF!&amp;#REF!,#REF!),2,0)</f>
        <v>#N/A</v>
      </c>
      <c r="M3669">
        <v>-15</v>
      </c>
      <c r="N3669">
        <v>0</v>
      </c>
      <c r="O3669" t="s">
        <v>7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1</v>
      </c>
      <c r="W3669">
        <v>1</v>
      </c>
      <c r="X3669">
        <v>1</v>
      </c>
      <c r="Y3669">
        <v>0</v>
      </c>
      <c r="Z3669">
        <v>0</v>
      </c>
      <c r="AA3669" t="s">
        <v>5710</v>
      </c>
      <c r="AB3669" t="s">
        <v>1579</v>
      </c>
      <c r="AC3669" t="s">
        <v>5710</v>
      </c>
      <c r="AD3669" t="e">
        <f>VLOOKUP(AB3669,#REF!,2,FALSE)</f>
        <v>#REF!</v>
      </c>
      <c r="AE3669" t="e">
        <f>RIGHT(#REF!,(FIND("Complex",#REF!,1)-8))</f>
        <v>#REF!</v>
      </c>
    </row>
    <row r="3670" spans="1:31" x14ac:dyDescent="0.25">
      <c r="A3670">
        <v>389</v>
      </c>
      <c r="B3670" t="s">
        <v>59</v>
      </c>
      <c r="C3670">
        <v>75</v>
      </c>
      <c r="D3670">
        <v>162</v>
      </c>
      <c r="E3670">
        <v>389</v>
      </c>
      <c r="F3670">
        <v>176401</v>
      </c>
      <c r="G3670">
        <v>264600</v>
      </c>
      <c r="H3670">
        <f t="shared" si="114"/>
        <v>4.000022675736961</v>
      </c>
      <c r="I3670">
        <f t="shared" si="115"/>
        <v>6</v>
      </c>
      <c r="J3670" t="s">
        <v>25</v>
      </c>
      <c r="K3670">
        <v>3</v>
      </c>
      <c r="L3670" t="e">
        <f t="array" ref="L3670">VLOOKUP(J3670:$J$3871&amp;K3670:$K$3871,CHOOSE({1,2},#REF!&amp;#REF!,#REF!),2,0)</f>
        <v>#N/A</v>
      </c>
      <c r="M3670">
        <v>-15</v>
      </c>
      <c r="N3670">
        <v>0</v>
      </c>
      <c r="O3670" t="s">
        <v>7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1</v>
      </c>
      <c r="Y3670">
        <v>0</v>
      </c>
      <c r="Z3670">
        <v>0</v>
      </c>
      <c r="AA3670" t="s">
        <v>5272</v>
      </c>
      <c r="AB3670" t="s">
        <v>1587</v>
      </c>
      <c r="AC3670" t="s">
        <v>5272</v>
      </c>
      <c r="AD3670" t="e">
        <f>VLOOKUP(AB3670,#REF!,2,FALSE)</f>
        <v>#REF!</v>
      </c>
      <c r="AE3670" t="e">
        <f>RIGHT(#REF!,(FIND("Complex",#REF!,1)-8))</f>
        <v>#REF!</v>
      </c>
    </row>
    <row r="3671" spans="1:31" x14ac:dyDescent="0.25">
      <c r="A3671">
        <v>1071</v>
      </c>
      <c r="B3671" t="s">
        <v>59</v>
      </c>
      <c r="C3671">
        <v>75</v>
      </c>
      <c r="D3671">
        <v>475</v>
      </c>
      <c r="E3671">
        <v>1071</v>
      </c>
      <c r="F3671">
        <v>1234801</v>
      </c>
      <c r="G3671">
        <v>1323000</v>
      </c>
      <c r="H3671">
        <f t="shared" si="114"/>
        <v>28.000022675736961</v>
      </c>
      <c r="I3671">
        <f t="shared" si="115"/>
        <v>30</v>
      </c>
      <c r="J3671" t="s">
        <v>25</v>
      </c>
      <c r="K3671">
        <v>3</v>
      </c>
      <c r="L3671" t="e">
        <f t="array" ref="L3671">VLOOKUP(J3671:$J$3871&amp;K3671:$K$3871,CHOOSE({1,2},#REF!&amp;#REF!,#REF!),2,0)</f>
        <v>#N/A</v>
      </c>
      <c r="M3671">
        <v>-15</v>
      </c>
      <c r="N3671">
        <v>0</v>
      </c>
      <c r="O3671" t="s">
        <v>7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1</v>
      </c>
      <c r="Y3671">
        <v>0</v>
      </c>
      <c r="Z3671">
        <v>0</v>
      </c>
      <c r="AA3671" t="s">
        <v>5409</v>
      </c>
      <c r="AB3671" t="s">
        <v>1588</v>
      </c>
      <c r="AC3671" t="s">
        <v>5409</v>
      </c>
      <c r="AD3671" t="e">
        <f>VLOOKUP(AB3671,#REF!,2,FALSE)</f>
        <v>#REF!</v>
      </c>
      <c r="AE3671" t="e">
        <f>RIGHT(#REF!,(FIND("Complex",#REF!,1)-8))</f>
        <v>#REF!</v>
      </c>
    </row>
    <row r="3672" spans="1:31" x14ac:dyDescent="0.25">
      <c r="A3672">
        <v>358</v>
      </c>
      <c r="B3672" t="s">
        <v>41</v>
      </c>
      <c r="C3672">
        <v>79</v>
      </c>
      <c r="D3672">
        <v>150</v>
      </c>
      <c r="E3672">
        <v>358</v>
      </c>
      <c r="F3672">
        <v>352801</v>
      </c>
      <c r="G3672">
        <v>441000</v>
      </c>
      <c r="H3672">
        <f t="shared" si="114"/>
        <v>8.000022675736961</v>
      </c>
      <c r="I3672">
        <f t="shared" si="115"/>
        <v>10</v>
      </c>
      <c r="J3672" t="s">
        <v>25</v>
      </c>
      <c r="K3672">
        <v>3</v>
      </c>
      <c r="L3672" t="e">
        <f t="array" ref="L3672">VLOOKUP(J3672:$J$3871&amp;K3672:$K$3871,CHOOSE({1,2},#REF!&amp;#REF!,#REF!),2,0)</f>
        <v>#N/A</v>
      </c>
      <c r="M3672">
        <v>-15</v>
      </c>
      <c r="N3672">
        <v>0</v>
      </c>
      <c r="O3672" t="s">
        <v>7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1</v>
      </c>
      <c r="Y3672">
        <v>0</v>
      </c>
      <c r="Z3672">
        <v>0</v>
      </c>
      <c r="AA3672" t="s">
        <v>4991</v>
      </c>
      <c r="AB3672" t="s">
        <v>209</v>
      </c>
      <c r="AC3672" t="s">
        <v>4991</v>
      </c>
      <c r="AD3672" t="e">
        <f>VLOOKUP(AB3672,#REF!,2,FALSE)</f>
        <v>#REF!</v>
      </c>
      <c r="AE3672" t="e">
        <f>RIGHT(#REF!,(FIND("Complex",#REF!,1)-8))</f>
        <v>#REF!</v>
      </c>
    </row>
    <row r="3673" spans="1:31" x14ac:dyDescent="0.25">
      <c r="A3673">
        <v>1366</v>
      </c>
      <c r="B3673" t="s">
        <v>41</v>
      </c>
      <c r="C3673">
        <v>79</v>
      </c>
      <c r="D3673">
        <v>597</v>
      </c>
      <c r="E3673">
        <v>1366</v>
      </c>
      <c r="F3673">
        <v>176401</v>
      </c>
      <c r="G3673">
        <v>264600</v>
      </c>
      <c r="H3673">
        <f t="shared" si="114"/>
        <v>4.000022675736961</v>
      </c>
      <c r="I3673">
        <f t="shared" si="115"/>
        <v>6</v>
      </c>
      <c r="J3673" t="s">
        <v>25</v>
      </c>
      <c r="K3673">
        <v>3</v>
      </c>
      <c r="L3673" t="e">
        <f t="array" ref="L3673">VLOOKUP(J3673:$J$3871&amp;K3673:$K$3871,CHOOSE({1,2},#REF!&amp;#REF!,#REF!),2,0)</f>
        <v>#N/A</v>
      </c>
      <c r="M3673">
        <v>-15</v>
      </c>
      <c r="N3673">
        <v>0</v>
      </c>
      <c r="O3673" t="s">
        <v>7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1</v>
      </c>
      <c r="Y3673">
        <v>0</v>
      </c>
      <c r="Z3673">
        <v>0</v>
      </c>
      <c r="AA3673" t="s">
        <v>5271</v>
      </c>
      <c r="AB3673" t="s">
        <v>1622</v>
      </c>
      <c r="AC3673" t="s">
        <v>5271</v>
      </c>
      <c r="AD3673" t="e">
        <f>VLOOKUP(AB3673,#REF!,2,FALSE)</f>
        <v>#REF!</v>
      </c>
      <c r="AE3673" t="e">
        <f>RIGHT(#REF!,(FIND("Complex",#REF!,1)-9))</f>
        <v>#REF!</v>
      </c>
    </row>
    <row r="3674" spans="1:31" x14ac:dyDescent="0.25">
      <c r="A3674">
        <v>1069</v>
      </c>
      <c r="B3674" t="s">
        <v>41</v>
      </c>
      <c r="C3674">
        <v>79</v>
      </c>
      <c r="D3674">
        <v>474</v>
      </c>
      <c r="E3674">
        <v>1069</v>
      </c>
      <c r="F3674">
        <v>1323001</v>
      </c>
      <c r="G3674">
        <v>1411200</v>
      </c>
      <c r="H3674">
        <f t="shared" si="114"/>
        <v>30.000022675736961</v>
      </c>
      <c r="I3674">
        <f t="shared" si="115"/>
        <v>32</v>
      </c>
      <c r="J3674" t="s">
        <v>25</v>
      </c>
      <c r="K3674">
        <v>3</v>
      </c>
      <c r="L3674" t="e">
        <f t="array" ref="L3674">VLOOKUP(J3674:$J$3871&amp;K3674:$K$3871,CHOOSE({1,2},#REF!&amp;#REF!,#REF!),2,0)</f>
        <v>#N/A</v>
      </c>
      <c r="M3674">
        <v>-15</v>
      </c>
      <c r="N3674">
        <v>0</v>
      </c>
      <c r="O3674" t="s">
        <v>7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1</v>
      </c>
      <c r="Y3674">
        <v>0</v>
      </c>
      <c r="Z3674">
        <v>0</v>
      </c>
      <c r="AA3674" t="s">
        <v>5379</v>
      </c>
      <c r="AB3674" t="s">
        <v>1623</v>
      </c>
      <c r="AC3674" t="s">
        <v>5379</v>
      </c>
      <c r="AD3674" t="e">
        <f>VLOOKUP(AB3674,#REF!,2,FALSE)</f>
        <v>#REF!</v>
      </c>
      <c r="AE3674" t="e">
        <f>RIGHT(#REF!,(FIND("Complex",#REF!,1)-8))</f>
        <v>#REF!</v>
      </c>
    </row>
    <row r="3675" spans="1:31" x14ac:dyDescent="0.25">
      <c r="A3675">
        <v>822</v>
      </c>
      <c r="B3675" t="s">
        <v>41</v>
      </c>
      <c r="C3675">
        <v>79</v>
      </c>
      <c r="D3675">
        <v>371</v>
      </c>
      <c r="E3675">
        <v>822</v>
      </c>
      <c r="F3675">
        <v>1234801</v>
      </c>
      <c r="G3675">
        <v>1323000</v>
      </c>
      <c r="H3675">
        <f t="shared" si="114"/>
        <v>28.000022675736961</v>
      </c>
      <c r="I3675">
        <f t="shared" si="115"/>
        <v>30</v>
      </c>
      <c r="J3675" t="s">
        <v>25</v>
      </c>
      <c r="K3675">
        <v>3</v>
      </c>
      <c r="L3675" t="e">
        <f t="array" ref="L3675">VLOOKUP(J3675:$J$3871&amp;K3675:$K$3871,CHOOSE({1,2},#REF!&amp;#REF!,#REF!),2,0)</f>
        <v>#N/A</v>
      </c>
      <c r="M3675">
        <v>-15</v>
      </c>
      <c r="N3675">
        <v>0</v>
      </c>
      <c r="O3675" t="s">
        <v>7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1</v>
      </c>
      <c r="Y3675">
        <v>0</v>
      </c>
      <c r="Z3675">
        <v>0</v>
      </c>
      <c r="AA3675" t="s">
        <v>5408</v>
      </c>
      <c r="AB3675" t="s">
        <v>1624</v>
      </c>
      <c r="AC3675" t="s">
        <v>5408</v>
      </c>
      <c r="AD3675" t="e">
        <f>VLOOKUP(AB3675,#REF!,2,FALSE)</f>
        <v>#REF!</v>
      </c>
      <c r="AE3675" t="e">
        <f>RIGHT(#REF!,(FIND("Complex",#REF!,1)-7))</f>
        <v>#REF!</v>
      </c>
    </row>
    <row r="3676" spans="1:31" x14ac:dyDescent="0.25">
      <c r="A3676">
        <v>623</v>
      </c>
      <c r="B3676" t="s">
        <v>41</v>
      </c>
      <c r="C3676">
        <v>79</v>
      </c>
      <c r="D3676">
        <v>267</v>
      </c>
      <c r="E3676">
        <v>623</v>
      </c>
      <c r="F3676">
        <v>882001</v>
      </c>
      <c r="G3676">
        <v>970200</v>
      </c>
      <c r="H3676">
        <f t="shared" si="114"/>
        <v>20.000022675736961</v>
      </c>
      <c r="I3676">
        <f t="shared" si="115"/>
        <v>22</v>
      </c>
      <c r="J3676" t="s">
        <v>25</v>
      </c>
      <c r="K3676">
        <v>3</v>
      </c>
      <c r="L3676" t="e">
        <f t="array" ref="L3676">VLOOKUP(J3676:$J$3871&amp;K3676:$K$3871,CHOOSE({1,2},#REF!&amp;#REF!,#REF!),2,0)</f>
        <v>#N/A</v>
      </c>
      <c r="M3676">
        <v>-15</v>
      </c>
      <c r="N3676">
        <v>0</v>
      </c>
      <c r="O3676" t="s">
        <v>7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1</v>
      </c>
      <c r="Y3676">
        <v>0</v>
      </c>
      <c r="Z3676">
        <v>0</v>
      </c>
      <c r="AA3676" t="s">
        <v>5640</v>
      </c>
      <c r="AB3676" t="s">
        <v>1625</v>
      </c>
      <c r="AC3676" t="s">
        <v>5640</v>
      </c>
      <c r="AD3676" t="e">
        <f>VLOOKUP(AB3676,#REF!,2,FALSE)</f>
        <v>#REF!</v>
      </c>
      <c r="AE3676" t="e">
        <f>RIGHT(#REF!,(FIND("Complex",#REF!,1)-7))</f>
        <v>#REF!</v>
      </c>
    </row>
    <row r="3677" spans="1:31" x14ac:dyDescent="0.25">
      <c r="A3677">
        <v>1270</v>
      </c>
      <c r="B3677" t="s">
        <v>41</v>
      </c>
      <c r="C3677">
        <v>79</v>
      </c>
      <c r="D3677">
        <v>554</v>
      </c>
      <c r="E3677">
        <v>1270</v>
      </c>
      <c r="F3677">
        <v>88201</v>
      </c>
      <c r="G3677">
        <v>176400</v>
      </c>
      <c r="H3677">
        <f t="shared" si="114"/>
        <v>2.0000226757369615</v>
      </c>
      <c r="I3677">
        <f t="shared" si="115"/>
        <v>4</v>
      </c>
      <c r="J3677" t="s">
        <v>25</v>
      </c>
      <c r="K3677">
        <v>3</v>
      </c>
      <c r="L3677" t="e">
        <f t="array" ref="L3677">VLOOKUP(J3677:$J$3871&amp;K3677:$K$3871,CHOOSE({1,2},#REF!&amp;#REF!,#REF!),2,0)</f>
        <v>#N/A</v>
      </c>
      <c r="M3677">
        <v>-15</v>
      </c>
      <c r="N3677">
        <v>0</v>
      </c>
      <c r="O3677" t="s">
        <v>7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1</v>
      </c>
      <c r="Y3677">
        <v>0</v>
      </c>
      <c r="Z3677">
        <v>0</v>
      </c>
      <c r="AA3677" t="s">
        <v>5651</v>
      </c>
      <c r="AB3677" t="s">
        <v>1626</v>
      </c>
      <c r="AC3677" t="s">
        <v>5651</v>
      </c>
      <c r="AD3677" t="e">
        <f>VLOOKUP(AB3677,#REF!,2,FALSE)</f>
        <v>#REF!</v>
      </c>
      <c r="AE3677" t="e">
        <f>RIGHT(#REF!,(FIND("Complex",#REF!,1)-9))</f>
        <v>#REF!</v>
      </c>
    </row>
    <row r="3678" spans="1:31" x14ac:dyDescent="0.25">
      <c r="A3678">
        <v>517</v>
      </c>
      <c r="B3678" t="s">
        <v>41</v>
      </c>
      <c r="C3678">
        <v>79</v>
      </c>
      <c r="D3678">
        <v>218</v>
      </c>
      <c r="E3678">
        <v>517</v>
      </c>
      <c r="F3678">
        <v>617401</v>
      </c>
      <c r="G3678">
        <v>705600</v>
      </c>
      <c r="H3678">
        <f t="shared" si="114"/>
        <v>14.000022675736961</v>
      </c>
      <c r="I3678">
        <f t="shared" si="115"/>
        <v>16</v>
      </c>
      <c r="J3678" t="s">
        <v>25</v>
      </c>
      <c r="K3678">
        <v>3</v>
      </c>
      <c r="L3678" t="e">
        <f t="array" ref="L3678">VLOOKUP(J3678:$J$3871&amp;K3678:$K$3871,CHOOSE({1,2},#REF!&amp;#REF!,#REF!),2,0)</f>
        <v>#N/A</v>
      </c>
      <c r="M3678">
        <v>-15</v>
      </c>
      <c r="N3678">
        <v>0</v>
      </c>
      <c r="O3678" t="s">
        <v>7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1</v>
      </c>
      <c r="Y3678">
        <v>0</v>
      </c>
      <c r="Z3678">
        <v>0</v>
      </c>
      <c r="AA3678" t="s">
        <v>5936</v>
      </c>
      <c r="AB3678" t="s">
        <v>1627</v>
      </c>
      <c r="AC3678" t="s">
        <v>5936</v>
      </c>
      <c r="AD3678" t="e">
        <f>VLOOKUP(AB3678,#REF!,2,FALSE)</f>
        <v>#REF!</v>
      </c>
      <c r="AE3678" t="e">
        <f>RIGHT(#REF!,(FIND("Complex",#REF!,1)-7))</f>
        <v>#REF!</v>
      </c>
    </row>
    <row r="3679" spans="1:31" x14ac:dyDescent="0.25">
      <c r="A3679">
        <v>918</v>
      </c>
      <c r="B3679" t="s">
        <v>41</v>
      </c>
      <c r="C3679">
        <v>79</v>
      </c>
      <c r="D3679">
        <v>404</v>
      </c>
      <c r="E3679">
        <v>918</v>
      </c>
      <c r="F3679">
        <v>529201</v>
      </c>
      <c r="G3679">
        <v>617400</v>
      </c>
      <c r="H3679">
        <f t="shared" si="114"/>
        <v>12.000022675736961</v>
      </c>
      <c r="I3679">
        <f t="shared" si="115"/>
        <v>14</v>
      </c>
      <c r="J3679" t="s">
        <v>25</v>
      </c>
      <c r="K3679">
        <v>3</v>
      </c>
      <c r="L3679" t="e">
        <f t="array" ref="L3679">VLOOKUP(J3679:$J$3871&amp;K3679:$K$3871,CHOOSE({1,2},#REF!&amp;#REF!,#REF!),2,0)</f>
        <v>#N/A</v>
      </c>
      <c r="M3679">
        <v>-15</v>
      </c>
      <c r="N3679">
        <v>0</v>
      </c>
      <c r="O3679" t="s">
        <v>7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1</v>
      </c>
      <c r="Y3679">
        <v>0</v>
      </c>
      <c r="Z3679">
        <v>0</v>
      </c>
      <c r="AA3679" t="s">
        <v>6029</v>
      </c>
      <c r="AB3679" t="s">
        <v>7811</v>
      </c>
      <c r="AC3679" t="s">
        <v>6029</v>
      </c>
      <c r="AD3679" t="e">
        <f>VLOOKUP(AB3679,#REF!,2,FALSE)</f>
        <v>#REF!</v>
      </c>
      <c r="AE3679" t="e">
        <f>RIGHT(#REF!,(FIND("Complex",#REF!,1)-7))</f>
        <v>#REF!</v>
      </c>
    </row>
    <row r="3680" spans="1:31" x14ac:dyDescent="0.25">
      <c r="A3680">
        <v>1448</v>
      </c>
      <c r="B3680" t="s">
        <v>84</v>
      </c>
      <c r="C3680">
        <v>80</v>
      </c>
      <c r="D3680">
        <v>632</v>
      </c>
      <c r="E3680">
        <v>1448</v>
      </c>
      <c r="F3680">
        <v>352801</v>
      </c>
      <c r="G3680">
        <v>441000</v>
      </c>
      <c r="H3680">
        <f t="shared" si="114"/>
        <v>8.000022675736961</v>
      </c>
      <c r="I3680">
        <f t="shared" si="115"/>
        <v>10</v>
      </c>
      <c r="J3680" t="s">
        <v>25</v>
      </c>
      <c r="K3680">
        <v>3</v>
      </c>
      <c r="L3680" t="e">
        <f t="array" ref="L3680">VLOOKUP(J3680:$J$3871&amp;K3680:$K$3871,CHOOSE({1,2},#REF!&amp;#REF!,#REF!),2,0)</f>
        <v>#N/A</v>
      </c>
      <c r="M3680">
        <v>-15</v>
      </c>
      <c r="N3680">
        <v>0</v>
      </c>
      <c r="O3680" t="s">
        <v>7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1</v>
      </c>
      <c r="Y3680">
        <v>0</v>
      </c>
      <c r="Z3680">
        <v>0</v>
      </c>
      <c r="AA3680" t="s">
        <v>4990</v>
      </c>
      <c r="AB3680" t="s">
        <v>7210</v>
      </c>
      <c r="AC3680" t="s">
        <v>4990</v>
      </c>
      <c r="AD3680" t="e">
        <f>VLOOKUP(AB3680,#REF!,2,FALSE)</f>
        <v>#REF!</v>
      </c>
      <c r="AE3680" t="e">
        <f>RIGHT(#REF!,(FIND("Complex",#REF!,1)-9))</f>
        <v>#REF!</v>
      </c>
    </row>
    <row r="3681" spans="1:31" x14ac:dyDescent="0.25">
      <c r="A3681">
        <v>1226</v>
      </c>
      <c r="B3681" t="s">
        <v>84</v>
      </c>
      <c r="C3681">
        <v>80</v>
      </c>
      <c r="D3681">
        <v>540</v>
      </c>
      <c r="E3681">
        <v>1226</v>
      </c>
      <c r="F3681">
        <v>264601</v>
      </c>
      <c r="G3681">
        <v>352800</v>
      </c>
      <c r="H3681">
        <f t="shared" si="114"/>
        <v>6.000022675736961</v>
      </c>
      <c r="I3681">
        <f t="shared" si="115"/>
        <v>8</v>
      </c>
      <c r="J3681" t="s">
        <v>25</v>
      </c>
      <c r="K3681">
        <v>3</v>
      </c>
      <c r="L3681" t="e">
        <f t="array" ref="L3681">VLOOKUP(J3681:$J$3871&amp;K3681:$K$3871,CHOOSE({1,2},#REF!&amp;#REF!,#REF!),2,0)</f>
        <v>#N/A</v>
      </c>
      <c r="M3681">
        <v>-15</v>
      </c>
      <c r="N3681">
        <v>0</v>
      </c>
      <c r="O3681" t="s">
        <v>7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1</v>
      </c>
      <c r="Y3681">
        <v>0</v>
      </c>
      <c r="Z3681">
        <v>0</v>
      </c>
      <c r="AA3681" t="s">
        <v>5127</v>
      </c>
      <c r="AB3681" t="s">
        <v>1635</v>
      </c>
      <c r="AC3681" t="s">
        <v>5127</v>
      </c>
      <c r="AD3681" t="e">
        <f>VLOOKUP(AB3681,#REF!,2,FALSE)</f>
        <v>#REF!</v>
      </c>
      <c r="AE3681" t="e">
        <f>RIGHT(#REF!,(FIND("Complex",#REF!,1)-9))</f>
        <v>#REF!</v>
      </c>
    </row>
    <row r="3682" spans="1:31" x14ac:dyDescent="0.25">
      <c r="A3682">
        <v>397</v>
      </c>
      <c r="B3682" t="s">
        <v>84</v>
      </c>
      <c r="C3682">
        <v>80</v>
      </c>
      <c r="D3682">
        <v>167</v>
      </c>
      <c r="E3682">
        <v>397</v>
      </c>
      <c r="F3682">
        <v>176401</v>
      </c>
      <c r="G3682">
        <v>264600</v>
      </c>
      <c r="H3682">
        <f t="shared" si="114"/>
        <v>4.000022675736961</v>
      </c>
      <c r="I3682">
        <f t="shared" si="115"/>
        <v>6</v>
      </c>
      <c r="J3682" t="s">
        <v>25</v>
      </c>
      <c r="K3682">
        <v>3</v>
      </c>
      <c r="L3682" t="e">
        <f t="array" ref="L3682">VLOOKUP(J3682:$J$3871&amp;K3682:$K$3871,CHOOSE({1,2},#REF!&amp;#REF!,#REF!),2,0)</f>
        <v>#N/A</v>
      </c>
      <c r="M3682">
        <v>-15</v>
      </c>
      <c r="N3682">
        <v>0</v>
      </c>
      <c r="O3682" t="s">
        <v>7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1</v>
      </c>
      <c r="Y3682">
        <v>0</v>
      </c>
      <c r="Z3682">
        <v>0</v>
      </c>
      <c r="AA3682" t="s">
        <v>5270</v>
      </c>
      <c r="AB3682" t="s">
        <v>1636</v>
      </c>
      <c r="AC3682" t="s">
        <v>5270</v>
      </c>
      <c r="AD3682" t="e">
        <f>VLOOKUP(AB3682,#REF!,2,FALSE)</f>
        <v>#REF!</v>
      </c>
      <c r="AE3682" t="e">
        <f>RIGHT(#REF!,(FIND("Complex",#REF!,1)-8))</f>
        <v>#REF!</v>
      </c>
    </row>
    <row r="3683" spans="1:31" x14ac:dyDescent="0.25">
      <c r="A3683">
        <v>237</v>
      </c>
      <c r="B3683" t="s">
        <v>84</v>
      </c>
      <c r="C3683">
        <v>80</v>
      </c>
      <c r="D3683">
        <v>102</v>
      </c>
      <c r="E3683">
        <v>237</v>
      </c>
      <c r="F3683">
        <v>1323001</v>
      </c>
      <c r="G3683">
        <v>1411200</v>
      </c>
      <c r="H3683">
        <f t="shared" si="114"/>
        <v>30.000022675736961</v>
      </c>
      <c r="I3683">
        <f t="shared" si="115"/>
        <v>32</v>
      </c>
      <c r="J3683" t="s">
        <v>25</v>
      </c>
      <c r="K3683">
        <v>3</v>
      </c>
      <c r="L3683" t="e">
        <f t="array" ref="L3683">VLOOKUP(J3683:$J$3871&amp;K3683:$K$3871,CHOOSE({1,2},#REF!&amp;#REF!,#REF!),2,0)</f>
        <v>#N/A</v>
      </c>
      <c r="M3683">
        <v>-15</v>
      </c>
      <c r="N3683">
        <v>0</v>
      </c>
      <c r="O3683" t="s">
        <v>7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1</v>
      </c>
      <c r="Y3683">
        <v>0</v>
      </c>
      <c r="Z3683">
        <v>0</v>
      </c>
      <c r="AA3683" t="s">
        <v>5378</v>
      </c>
      <c r="AB3683" t="s">
        <v>1637</v>
      </c>
      <c r="AC3683" t="s">
        <v>5378</v>
      </c>
      <c r="AD3683" t="e">
        <f>VLOOKUP(AB3683,#REF!,2,FALSE)</f>
        <v>#REF!</v>
      </c>
      <c r="AE3683" t="e">
        <f>RIGHT(#REF!,(FIND("Complex",#REF!,1)-7))</f>
        <v>#REF!</v>
      </c>
    </row>
    <row r="3684" spans="1:31" x14ac:dyDescent="0.25">
      <c r="A3684">
        <v>667</v>
      </c>
      <c r="B3684" t="s">
        <v>84</v>
      </c>
      <c r="C3684">
        <v>80</v>
      </c>
      <c r="D3684">
        <v>288</v>
      </c>
      <c r="E3684">
        <v>667</v>
      </c>
      <c r="F3684">
        <v>1234801</v>
      </c>
      <c r="G3684">
        <v>1323000</v>
      </c>
      <c r="H3684">
        <f t="shared" si="114"/>
        <v>28.000022675736961</v>
      </c>
      <c r="I3684">
        <f t="shared" si="115"/>
        <v>30</v>
      </c>
      <c r="J3684" t="s">
        <v>25</v>
      </c>
      <c r="K3684">
        <v>3</v>
      </c>
      <c r="L3684" t="e">
        <f t="array" ref="L3684">VLOOKUP(J3684:$J$3871&amp;K3684:$K$3871,CHOOSE({1,2},#REF!&amp;#REF!,#REF!),2,0)</f>
        <v>#N/A</v>
      </c>
      <c r="M3684">
        <v>-15</v>
      </c>
      <c r="N3684">
        <v>0</v>
      </c>
      <c r="O3684" t="s">
        <v>7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1</v>
      </c>
      <c r="Y3684">
        <v>0</v>
      </c>
      <c r="Z3684">
        <v>0</v>
      </c>
      <c r="AA3684" t="s">
        <v>5407</v>
      </c>
      <c r="AB3684" t="s">
        <v>1638</v>
      </c>
      <c r="AC3684" t="s">
        <v>5407</v>
      </c>
      <c r="AD3684" t="e">
        <f>VLOOKUP(AB3684,#REF!,2,FALSE)</f>
        <v>#REF!</v>
      </c>
      <c r="AE3684" t="e">
        <f>RIGHT(#REF!,(FIND("Complex",#REF!,1)-7))</f>
        <v>#REF!</v>
      </c>
    </row>
    <row r="3685" spans="1:31" x14ac:dyDescent="0.25">
      <c r="A3685">
        <v>938</v>
      </c>
      <c r="B3685" t="s">
        <v>84</v>
      </c>
      <c r="C3685">
        <v>80</v>
      </c>
      <c r="D3685">
        <v>409</v>
      </c>
      <c r="E3685">
        <v>938</v>
      </c>
      <c r="F3685">
        <v>1146601</v>
      </c>
      <c r="G3685">
        <v>1234800</v>
      </c>
      <c r="H3685">
        <f t="shared" si="114"/>
        <v>26.000022675736961</v>
      </c>
      <c r="I3685">
        <f t="shared" si="115"/>
        <v>28</v>
      </c>
      <c r="J3685" t="s">
        <v>25</v>
      </c>
      <c r="K3685">
        <v>3</v>
      </c>
      <c r="L3685" t="e">
        <f t="array" ref="L3685">VLOOKUP(J3685:$J$3871&amp;K3685:$K$3871,CHOOSE({1,2},#REF!&amp;#REF!,#REF!),2,0)</f>
        <v>#N/A</v>
      </c>
      <c r="M3685">
        <v>-15</v>
      </c>
      <c r="N3685">
        <v>0</v>
      </c>
      <c r="O3685" t="s">
        <v>7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1</v>
      </c>
      <c r="Y3685">
        <v>0</v>
      </c>
      <c r="Z3685">
        <v>0</v>
      </c>
      <c r="AA3685" t="s">
        <v>5461</v>
      </c>
      <c r="AB3685" t="s">
        <v>7462</v>
      </c>
      <c r="AC3685" t="s">
        <v>5461</v>
      </c>
      <c r="AD3685" t="e">
        <f>VLOOKUP(AB3685,#REF!,2,FALSE)</f>
        <v>#REF!</v>
      </c>
      <c r="AE3685" t="e">
        <f>RIGHT(#REF!,(FIND("Complex",#REF!,1)-7))</f>
        <v>#REF!</v>
      </c>
    </row>
    <row r="3686" spans="1:31" x14ac:dyDescent="0.25">
      <c r="A3686">
        <v>1095</v>
      </c>
      <c r="B3686" t="s">
        <v>84</v>
      </c>
      <c r="C3686">
        <v>80</v>
      </c>
      <c r="D3686">
        <v>486</v>
      </c>
      <c r="E3686">
        <v>1095</v>
      </c>
      <c r="F3686">
        <v>970201</v>
      </c>
      <c r="G3686">
        <v>1058400</v>
      </c>
      <c r="H3686">
        <f t="shared" si="114"/>
        <v>22.000022675736961</v>
      </c>
      <c r="I3686">
        <f t="shared" si="115"/>
        <v>24</v>
      </c>
      <c r="J3686" t="s">
        <v>25</v>
      </c>
      <c r="K3686">
        <v>3</v>
      </c>
      <c r="L3686" t="e">
        <f t="array" ref="L3686">VLOOKUP(J3686:$J$3871&amp;K3686:$K$3871,CHOOSE({1,2},#REF!&amp;#REF!,#REF!),2,0)</f>
        <v>#N/A</v>
      </c>
      <c r="M3686">
        <v>-15</v>
      </c>
      <c r="N3686">
        <v>0</v>
      </c>
      <c r="O3686" t="s">
        <v>7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1</v>
      </c>
      <c r="Y3686">
        <v>0</v>
      </c>
      <c r="Z3686">
        <v>0</v>
      </c>
      <c r="AA3686" t="s">
        <v>5576</v>
      </c>
      <c r="AB3686" t="s">
        <v>1639</v>
      </c>
      <c r="AC3686" t="s">
        <v>5576</v>
      </c>
      <c r="AD3686" t="e">
        <f>VLOOKUP(AB3686,#REF!,2,FALSE)</f>
        <v>#REF!</v>
      </c>
      <c r="AE3686" t="e">
        <f>RIGHT(#REF!,(FIND("Complex",#REF!,1)-8))</f>
        <v>#REF!</v>
      </c>
    </row>
    <row r="3687" spans="1:31" x14ac:dyDescent="0.25">
      <c r="A3687">
        <v>811</v>
      </c>
      <c r="B3687" t="s">
        <v>84</v>
      </c>
      <c r="C3687">
        <v>80</v>
      </c>
      <c r="D3687">
        <v>364</v>
      </c>
      <c r="E3687">
        <v>811</v>
      </c>
      <c r="F3687">
        <v>793801</v>
      </c>
      <c r="G3687">
        <v>882000</v>
      </c>
      <c r="H3687">
        <f t="shared" si="114"/>
        <v>18.000022675736961</v>
      </c>
      <c r="I3687">
        <f t="shared" si="115"/>
        <v>20</v>
      </c>
      <c r="J3687" t="s">
        <v>25</v>
      </c>
      <c r="K3687">
        <v>3</v>
      </c>
      <c r="L3687" t="e">
        <f t="array" ref="L3687">VLOOKUP(J3687:$J$3871&amp;K3687:$K$3871,CHOOSE({1,2},#REF!&amp;#REF!,#REF!),2,0)</f>
        <v>#N/A</v>
      </c>
      <c r="M3687">
        <v>-15</v>
      </c>
      <c r="N3687">
        <v>0</v>
      </c>
      <c r="O3687" t="s">
        <v>7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1</v>
      </c>
      <c r="Y3687">
        <v>0</v>
      </c>
      <c r="Z3687">
        <v>0</v>
      </c>
      <c r="AA3687" t="s">
        <v>5708</v>
      </c>
      <c r="AB3687" t="s">
        <v>221</v>
      </c>
      <c r="AC3687" t="s">
        <v>5708</v>
      </c>
      <c r="AD3687" t="e">
        <f>VLOOKUP(AB3687,#REF!,2,FALSE)</f>
        <v>#REF!</v>
      </c>
      <c r="AE3687" t="e">
        <f>RIGHT(#REF!,(FIND("Complex",#REF!,1)-7))</f>
        <v>#REF!</v>
      </c>
    </row>
    <row r="3688" spans="1:31" x14ac:dyDescent="0.25">
      <c r="A3688">
        <v>1645</v>
      </c>
      <c r="B3688" t="s">
        <v>84</v>
      </c>
      <c r="C3688">
        <v>80</v>
      </c>
      <c r="D3688">
        <v>720</v>
      </c>
      <c r="E3688">
        <v>1645</v>
      </c>
      <c r="F3688">
        <v>617401</v>
      </c>
      <c r="G3688">
        <v>705600</v>
      </c>
      <c r="H3688">
        <f t="shared" si="114"/>
        <v>14.000022675736961</v>
      </c>
      <c r="I3688">
        <f t="shared" si="115"/>
        <v>16</v>
      </c>
      <c r="J3688" t="s">
        <v>25</v>
      </c>
      <c r="K3688">
        <v>3</v>
      </c>
      <c r="L3688" t="e">
        <f t="array" ref="L3688">VLOOKUP(J3688:$J$3871&amp;K3688:$K$3871,CHOOSE({1,2},#REF!&amp;#REF!,#REF!),2,0)</f>
        <v>#N/A</v>
      </c>
      <c r="M3688">
        <v>-15</v>
      </c>
      <c r="N3688">
        <v>0</v>
      </c>
      <c r="O3688" t="s">
        <v>7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1</v>
      </c>
      <c r="Y3688">
        <v>0</v>
      </c>
      <c r="Z3688">
        <v>0</v>
      </c>
      <c r="AA3688" t="s">
        <v>5935</v>
      </c>
      <c r="AB3688" t="s">
        <v>7761</v>
      </c>
      <c r="AC3688" t="s">
        <v>5935</v>
      </c>
      <c r="AD3688" t="e">
        <f>VLOOKUP(AB3688,#REF!,2,FALSE)</f>
        <v>#REF!</v>
      </c>
      <c r="AE3688" t="e">
        <f>RIGHT(#REF!,(FIND("Complex",#REF!,1)-8))</f>
        <v>#REF!</v>
      </c>
    </row>
    <row r="3689" spans="1:31" x14ac:dyDescent="0.25">
      <c r="A3689">
        <v>1348</v>
      </c>
      <c r="B3689" t="s">
        <v>84</v>
      </c>
      <c r="C3689">
        <v>80</v>
      </c>
      <c r="D3689">
        <v>590</v>
      </c>
      <c r="E3689">
        <v>1348</v>
      </c>
      <c r="F3689">
        <v>1</v>
      </c>
      <c r="G3689">
        <v>88200</v>
      </c>
      <c r="H3689">
        <f t="shared" si="114"/>
        <v>2.2675736961451248E-5</v>
      </c>
      <c r="I3689">
        <f t="shared" si="115"/>
        <v>2</v>
      </c>
      <c r="J3689" t="s">
        <v>25</v>
      </c>
      <c r="K3689">
        <v>3</v>
      </c>
      <c r="L3689" t="e">
        <f t="array" ref="L3689">VLOOKUP(J3689:$J$3871&amp;K3689:$K$3871,CHOOSE({1,2},#REF!&amp;#REF!,#REF!),2,0)</f>
        <v>#N/A</v>
      </c>
      <c r="M3689">
        <v>-15</v>
      </c>
      <c r="N3689">
        <v>0</v>
      </c>
      <c r="O3689" t="s">
        <v>7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1</v>
      </c>
      <c r="Y3689">
        <v>0</v>
      </c>
      <c r="Z3689">
        <v>0</v>
      </c>
      <c r="AA3689" t="s">
        <v>6143</v>
      </c>
      <c r="AB3689" t="s">
        <v>7874</v>
      </c>
      <c r="AC3689" t="s">
        <v>6143</v>
      </c>
      <c r="AD3689" t="e">
        <f>VLOOKUP(AB3689,#REF!,2,FALSE)</f>
        <v>#REF!</v>
      </c>
      <c r="AE3689" t="e">
        <f>RIGHT(#REF!,(FIND("Complex",#REF!,1)-9))</f>
        <v>#REF!</v>
      </c>
    </row>
    <row r="3690" spans="1:31" x14ac:dyDescent="0.25">
      <c r="A3690">
        <v>1488</v>
      </c>
      <c r="B3690" t="s">
        <v>91</v>
      </c>
      <c r="C3690">
        <v>81</v>
      </c>
      <c r="D3690">
        <v>653</v>
      </c>
      <c r="E3690">
        <v>1488</v>
      </c>
      <c r="F3690">
        <v>352801</v>
      </c>
      <c r="G3690">
        <v>441000</v>
      </c>
      <c r="H3690">
        <f t="shared" si="114"/>
        <v>8.000022675736961</v>
      </c>
      <c r="I3690">
        <f t="shared" si="115"/>
        <v>10</v>
      </c>
      <c r="J3690" t="s">
        <v>25</v>
      </c>
      <c r="K3690">
        <v>3</v>
      </c>
      <c r="L3690" t="e">
        <f t="array" ref="L3690">VLOOKUP(J3690:$J$3871&amp;K3690:$K$3871,CHOOSE({1,2},#REF!&amp;#REF!,#REF!),2,0)</f>
        <v>#N/A</v>
      </c>
      <c r="M3690">
        <v>-15</v>
      </c>
      <c r="N3690">
        <v>0</v>
      </c>
      <c r="O3690" t="s">
        <v>7</v>
      </c>
      <c r="P3690">
        <v>0</v>
      </c>
      <c r="Q3690">
        <v>0</v>
      </c>
      <c r="R3690">
        <v>1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1</v>
      </c>
      <c r="Y3690">
        <v>0</v>
      </c>
      <c r="Z3690">
        <v>0</v>
      </c>
      <c r="AA3690" t="s">
        <v>4989</v>
      </c>
      <c r="AB3690" t="s">
        <v>7209</v>
      </c>
      <c r="AC3690" t="s">
        <v>4989</v>
      </c>
      <c r="AD3690" t="e">
        <f>VLOOKUP(AB3690,#REF!,2,FALSE)</f>
        <v>#REF!</v>
      </c>
      <c r="AE3690" t="e">
        <f>RIGHT(#REF!,(FIND("Complex",#REF!,1)-9))</f>
        <v>#REF!</v>
      </c>
    </row>
    <row r="3691" spans="1:31" x14ac:dyDescent="0.25">
      <c r="A3691">
        <v>88</v>
      </c>
      <c r="B3691" t="s">
        <v>91</v>
      </c>
      <c r="C3691">
        <v>81</v>
      </c>
      <c r="D3691">
        <v>42</v>
      </c>
      <c r="E3691">
        <v>88</v>
      </c>
      <c r="F3691">
        <v>264601</v>
      </c>
      <c r="G3691">
        <v>352800</v>
      </c>
      <c r="H3691">
        <f t="shared" si="114"/>
        <v>6.000022675736961</v>
      </c>
      <c r="I3691">
        <f t="shared" si="115"/>
        <v>8</v>
      </c>
      <c r="J3691" t="s">
        <v>25</v>
      </c>
      <c r="K3691">
        <v>3</v>
      </c>
      <c r="L3691" t="e">
        <f t="array" ref="L3691">VLOOKUP(J3691:$J$3871&amp;K3691:$K$3871,CHOOSE({1,2},#REF!&amp;#REF!,#REF!),2,0)</f>
        <v>#N/A</v>
      </c>
      <c r="M3691">
        <v>-15</v>
      </c>
      <c r="N3691">
        <v>0</v>
      </c>
      <c r="O3691" t="s">
        <v>7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1</v>
      </c>
      <c r="Y3691">
        <v>0</v>
      </c>
      <c r="Z3691">
        <v>0</v>
      </c>
      <c r="AA3691" t="s">
        <v>5126</v>
      </c>
      <c r="AB3691" t="s">
        <v>7280</v>
      </c>
      <c r="AC3691" t="s">
        <v>5126</v>
      </c>
      <c r="AD3691" t="e">
        <f>VLOOKUP(AB3691,#REF!,2,FALSE)</f>
        <v>#REF!</v>
      </c>
      <c r="AE3691" t="e">
        <f>RIGHT(#REF!,(FIND("Complex",#REF!,1)-7))</f>
        <v>#REF!</v>
      </c>
    </row>
    <row r="3692" spans="1:31" x14ac:dyDescent="0.25">
      <c r="A3692">
        <v>1108</v>
      </c>
      <c r="B3692" t="s">
        <v>91</v>
      </c>
      <c r="C3692">
        <v>81</v>
      </c>
      <c r="D3692">
        <v>493</v>
      </c>
      <c r="E3692">
        <v>1108</v>
      </c>
      <c r="F3692">
        <v>2205001</v>
      </c>
      <c r="G3692">
        <v>2293200</v>
      </c>
      <c r="H3692">
        <f t="shared" si="114"/>
        <v>50.000022675736965</v>
      </c>
      <c r="I3692">
        <f t="shared" si="115"/>
        <v>52</v>
      </c>
      <c r="J3692" t="s">
        <v>25</v>
      </c>
      <c r="K3692">
        <v>3</v>
      </c>
      <c r="L3692" t="e">
        <f t="array" ref="L3692">VLOOKUP(J3692:$J$3871&amp;K3692:$K$3871,CHOOSE({1,2},#REF!&amp;#REF!,#REF!),2,0)</f>
        <v>#N/A</v>
      </c>
      <c r="M3692">
        <v>-15</v>
      </c>
      <c r="N3692">
        <v>0</v>
      </c>
      <c r="O3692" t="s">
        <v>7</v>
      </c>
      <c r="P3692">
        <v>0</v>
      </c>
      <c r="Q3692">
        <v>0</v>
      </c>
      <c r="R3692">
        <v>1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1</v>
      </c>
      <c r="Y3692">
        <v>0</v>
      </c>
      <c r="Z3692">
        <v>0</v>
      </c>
      <c r="AA3692" t="s">
        <v>5192</v>
      </c>
      <c r="AB3692" t="s">
        <v>7311</v>
      </c>
      <c r="AC3692" t="s">
        <v>5192</v>
      </c>
      <c r="AD3692" t="e">
        <f>VLOOKUP(AB3692,#REF!,2,FALSE)</f>
        <v>#REF!</v>
      </c>
      <c r="AE3692" t="e">
        <f>RIGHT(#REF!,(FIND("Complex",#REF!,1)-8))</f>
        <v>#REF!</v>
      </c>
    </row>
    <row r="3693" spans="1:31" x14ac:dyDescent="0.25">
      <c r="A3693">
        <v>603</v>
      </c>
      <c r="B3693" t="s">
        <v>91</v>
      </c>
      <c r="C3693">
        <v>81</v>
      </c>
      <c r="D3693">
        <v>258</v>
      </c>
      <c r="E3693">
        <v>603</v>
      </c>
      <c r="F3693">
        <v>176401</v>
      </c>
      <c r="G3693">
        <v>264600</v>
      </c>
      <c r="H3693">
        <f t="shared" si="114"/>
        <v>4.000022675736961</v>
      </c>
      <c r="I3693">
        <f t="shared" si="115"/>
        <v>6</v>
      </c>
      <c r="J3693" t="s">
        <v>25</v>
      </c>
      <c r="K3693">
        <v>3</v>
      </c>
      <c r="L3693" t="e">
        <f t="array" ref="L3693">VLOOKUP(J3693:$J$3871&amp;K3693:$K$3871,CHOOSE({1,2},#REF!&amp;#REF!,#REF!),2,0)</f>
        <v>#N/A</v>
      </c>
      <c r="M3693">
        <v>-15</v>
      </c>
      <c r="N3693">
        <v>0</v>
      </c>
      <c r="O3693" t="s">
        <v>7</v>
      </c>
      <c r="P3693">
        <v>0</v>
      </c>
      <c r="Q3693">
        <v>0</v>
      </c>
      <c r="R3693">
        <v>1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1</v>
      </c>
      <c r="Y3693">
        <v>0</v>
      </c>
      <c r="Z3693">
        <v>0</v>
      </c>
      <c r="AA3693" t="s">
        <v>5269</v>
      </c>
      <c r="AB3693" t="s">
        <v>1661</v>
      </c>
      <c r="AC3693" t="s">
        <v>5269</v>
      </c>
      <c r="AD3693" t="e">
        <f>VLOOKUP(AB3693,#REF!,2,FALSE)</f>
        <v>#REF!</v>
      </c>
      <c r="AE3693" t="e">
        <f>RIGHT(#REF!,(FIND("Complex",#REF!,1)-8))</f>
        <v>#REF!</v>
      </c>
    </row>
    <row r="3694" spans="1:31" x14ac:dyDescent="0.25">
      <c r="A3694">
        <v>747</v>
      </c>
      <c r="B3694" t="s">
        <v>93</v>
      </c>
      <c r="C3694">
        <v>82</v>
      </c>
      <c r="D3694">
        <v>331</v>
      </c>
      <c r="E3694">
        <v>747</v>
      </c>
      <c r="F3694">
        <v>352801</v>
      </c>
      <c r="G3694">
        <v>441000</v>
      </c>
      <c r="H3694">
        <f t="shared" si="114"/>
        <v>8.000022675736961</v>
      </c>
      <c r="I3694">
        <f t="shared" si="115"/>
        <v>10</v>
      </c>
      <c r="J3694" t="s">
        <v>25</v>
      </c>
      <c r="K3694">
        <v>3</v>
      </c>
      <c r="L3694" t="e">
        <f t="array" ref="L3694">VLOOKUP(J3694:$J$3871&amp;K3694:$K$3871,CHOOSE({1,2},#REF!&amp;#REF!,#REF!),2,0)</f>
        <v>#N/A</v>
      </c>
      <c r="M3694">
        <v>-15</v>
      </c>
      <c r="N3694">
        <v>0</v>
      </c>
      <c r="O3694" t="s">
        <v>7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1</v>
      </c>
      <c r="Y3694">
        <v>0</v>
      </c>
      <c r="Z3694">
        <v>0</v>
      </c>
      <c r="AA3694" t="s">
        <v>4988</v>
      </c>
      <c r="AB3694" t="s">
        <v>1664</v>
      </c>
      <c r="AC3694" t="s">
        <v>4988</v>
      </c>
      <c r="AD3694" t="e">
        <f>VLOOKUP(AB3694,#REF!,2,FALSE)</f>
        <v>#REF!</v>
      </c>
      <c r="AE3694" t="e">
        <f>RIGHT(#REF!,(FIND("Complex",#REF!,1)-8))</f>
        <v>#REF!</v>
      </c>
    </row>
    <row r="3695" spans="1:31" x14ac:dyDescent="0.25">
      <c r="A3695">
        <v>230</v>
      </c>
      <c r="B3695" t="s">
        <v>93</v>
      </c>
      <c r="C3695">
        <v>82</v>
      </c>
      <c r="D3695">
        <v>96</v>
      </c>
      <c r="E3695">
        <v>230</v>
      </c>
      <c r="F3695">
        <v>88201</v>
      </c>
      <c r="G3695">
        <v>176400</v>
      </c>
      <c r="H3695">
        <f t="shared" si="114"/>
        <v>2.0000226757369615</v>
      </c>
      <c r="I3695">
        <f t="shared" si="115"/>
        <v>4</v>
      </c>
      <c r="J3695" t="s">
        <v>25</v>
      </c>
      <c r="K3695">
        <v>3</v>
      </c>
      <c r="L3695" t="e">
        <f t="array" ref="L3695">VLOOKUP(J3695:$J$3871&amp;K3695:$K$3871,CHOOSE({1,2},#REF!&amp;#REF!,#REF!),2,0)</f>
        <v>#N/A</v>
      </c>
      <c r="M3695">
        <v>-15</v>
      </c>
      <c r="N3695">
        <v>0</v>
      </c>
      <c r="O3695" t="s">
        <v>7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1</v>
      </c>
      <c r="Y3695">
        <v>0</v>
      </c>
      <c r="Z3695">
        <v>0</v>
      </c>
      <c r="AA3695" t="s">
        <v>5648</v>
      </c>
      <c r="AB3695" t="s">
        <v>1665</v>
      </c>
      <c r="AC3695" t="s">
        <v>5648</v>
      </c>
      <c r="AD3695" t="e">
        <f>VLOOKUP(AB3695,#REF!,2,FALSE)</f>
        <v>#REF!</v>
      </c>
      <c r="AE3695" t="e">
        <f>RIGHT(#REF!,(FIND("Complex",#REF!,1)-8))</f>
        <v>#REF!</v>
      </c>
    </row>
    <row r="3696" spans="1:31" x14ac:dyDescent="0.25">
      <c r="A3696">
        <v>731</v>
      </c>
      <c r="B3696" t="s">
        <v>93</v>
      </c>
      <c r="C3696">
        <v>82</v>
      </c>
      <c r="D3696">
        <v>319</v>
      </c>
      <c r="E3696">
        <v>731</v>
      </c>
      <c r="F3696">
        <v>617401</v>
      </c>
      <c r="G3696">
        <v>705600</v>
      </c>
      <c r="H3696">
        <f t="shared" si="114"/>
        <v>14.000022675736961</v>
      </c>
      <c r="I3696">
        <f t="shared" si="115"/>
        <v>16</v>
      </c>
      <c r="J3696" t="s">
        <v>25</v>
      </c>
      <c r="K3696">
        <v>3</v>
      </c>
      <c r="L3696" t="e">
        <f t="array" ref="L3696">VLOOKUP(J3696:$J$3871&amp;K3696:$K$3871,CHOOSE({1,2},#REF!&amp;#REF!,#REF!),2,0)</f>
        <v>#N/A</v>
      </c>
      <c r="M3696">
        <v>-15</v>
      </c>
      <c r="N3696">
        <v>0</v>
      </c>
      <c r="O3696" t="s">
        <v>7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1</v>
      </c>
      <c r="Y3696">
        <v>0</v>
      </c>
      <c r="Z3696">
        <v>0</v>
      </c>
      <c r="AA3696" t="s">
        <v>5934</v>
      </c>
      <c r="AB3696" t="s">
        <v>1666</v>
      </c>
      <c r="AC3696" t="s">
        <v>5934</v>
      </c>
      <c r="AD3696" t="e">
        <f>VLOOKUP(AB3696,#REF!,2,FALSE)</f>
        <v>#REF!</v>
      </c>
      <c r="AE3696" t="e">
        <f>RIGHT(#REF!,(FIND("Complex",#REF!,1)-7))</f>
        <v>#REF!</v>
      </c>
    </row>
    <row r="3697" spans="1:31" x14ac:dyDescent="0.25">
      <c r="A3697">
        <v>66</v>
      </c>
      <c r="B3697" t="s">
        <v>93</v>
      </c>
      <c r="C3697">
        <v>82</v>
      </c>
      <c r="D3697">
        <v>34</v>
      </c>
      <c r="E3697">
        <v>66</v>
      </c>
      <c r="F3697">
        <v>529201</v>
      </c>
      <c r="G3697">
        <v>617400</v>
      </c>
      <c r="H3697">
        <f t="shared" si="114"/>
        <v>12.000022675736961</v>
      </c>
      <c r="I3697">
        <f t="shared" si="115"/>
        <v>14</v>
      </c>
      <c r="J3697" t="s">
        <v>25</v>
      </c>
      <c r="K3697">
        <v>3</v>
      </c>
      <c r="L3697" t="e">
        <f t="array" ref="L3697">VLOOKUP(J3697:$J$3871&amp;K3697:$K$3871,CHOOSE({1,2},#REF!&amp;#REF!,#REF!),2,0)</f>
        <v>#N/A</v>
      </c>
      <c r="M3697">
        <v>-15</v>
      </c>
      <c r="N3697">
        <v>0</v>
      </c>
      <c r="O3697" t="s">
        <v>7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1</v>
      </c>
      <c r="Y3697">
        <v>0</v>
      </c>
      <c r="Z3697">
        <v>0</v>
      </c>
      <c r="AA3697" t="s">
        <v>6027</v>
      </c>
      <c r="AB3697" t="s">
        <v>1667</v>
      </c>
      <c r="AC3697" t="s">
        <v>6027</v>
      </c>
      <c r="AD3697" t="e">
        <f>VLOOKUP(AB3697,#REF!,2,FALSE)</f>
        <v>#REF!</v>
      </c>
      <c r="AE3697" t="e">
        <f>RIGHT(#REF!,(FIND("Complex",#REF!,1)-6))</f>
        <v>#REF!</v>
      </c>
    </row>
    <row r="3698" spans="1:31" x14ac:dyDescent="0.25">
      <c r="A3698">
        <v>626</v>
      </c>
      <c r="B3698" t="s">
        <v>93</v>
      </c>
      <c r="C3698">
        <v>82</v>
      </c>
      <c r="D3698">
        <v>268</v>
      </c>
      <c r="E3698">
        <v>626</v>
      </c>
      <c r="F3698">
        <v>441001</v>
      </c>
      <c r="G3698">
        <v>529200</v>
      </c>
      <c r="H3698">
        <f t="shared" si="114"/>
        <v>10.000022675736961</v>
      </c>
      <c r="I3698">
        <f t="shared" si="115"/>
        <v>12</v>
      </c>
      <c r="J3698" t="s">
        <v>25</v>
      </c>
      <c r="K3698">
        <v>3</v>
      </c>
      <c r="L3698" t="e">
        <f t="array" ref="L3698">VLOOKUP(J3698:$J$3871&amp;K3698:$K$3871,CHOOSE({1,2},#REF!&amp;#REF!,#REF!),2,0)</f>
        <v>#N/A</v>
      </c>
      <c r="M3698">
        <v>-15</v>
      </c>
      <c r="N3698">
        <v>0</v>
      </c>
      <c r="O3698" t="s">
        <v>7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1</v>
      </c>
      <c r="Y3698">
        <v>0</v>
      </c>
      <c r="Z3698">
        <v>0</v>
      </c>
      <c r="AA3698" t="s">
        <v>6132</v>
      </c>
      <c r="AB3698" t="s">
        <v>231</v>
      </c>
      <c r="AC3698" t="s">
        <v>6132</v>
      </c>
      <c r="AD3698" t="e">
        <f>VLOOKUP(AB3698,#REF!,2,FALSE)</f>
        <v>#REF!</v>
      </c>
      <c r="AE3698" t="e">
        <f>RIGHT(#REF!,(FIND("Complex",#REF!,1)-7))</f>
        <v>#REF!</v>
      </c>
    </row>
    <row r="3699" spans="1:31" x14ac:dyDescent="0.25">
      <c r="A3699">
        <v>217</v>
      </c>
      <c r="B3699" t="s">
        <v>93</v>
      </c>
      <c r="C3699">
        <v>82</v>
      </c>
      <c r="D3699">
        <v>90</v>
      </c>
      <c r="E3699">
        <v>217</v>
      </c>
      <c r="F3699">
        <v>1</v>
      </c>
      <c r="G3699">
        <v>88200</v>
      </c>
      <c r="H3699">
        <f t="shared" si="114"/>
        <v>2.2675736961451248E-5</v>
      </c>
      <c r="I3699">
        <f t="shared" si="115"/>
        <v>2</v>
      </c>
      <c r="J3699" t="s">
        <v>25</v>
      </c>
      <c r="K3699">
        <v>3</v>
      </c>
      <c r="L3699" t="e">
        <f t="array" ref="L3699">VLOOKUP(J3699:$J$3871&amp;K3699:$K$3871,CHOOSE({1,2},#REF!&amp;#REF!,#REF!),2,0)</f>
        <v>#N/A</v>
      </c>
      <c r="M3699">
        <v>-15</v>
      </c>
      <c r="N3699">
        <v>0</v>
      </c>
      <c r="O3699" t="s">
        <v>7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1</v>
      </c>
      <c r="Y3699">
        <v>0</v>
      </c>
      <c r="Z3699">
        <v>0</v>
      </c>
      <c r="AA3699" t="s">
        <v>6142</v>
      </c>
      <c r="AB3699" t="s">
        <v>1668</v>
      </c>
      <c r="AC3699" t="s">
        <v>6142</v>
      </c>
      <c r="AD3699" t="e">
        <f>VLOOKUP(AB3699,#REF!,2,FALSE)</f>
        <v>#REF!</v>
      </c>
      <c r="AE3699" t="e">
        <f>RIGHT(#REF!,(FIND("Complex",#REF!,1)-8))</f>
        <v>#REF!</v>
      </c>
    </row>
    <row r="3700" spans="1:31" x14ac:dyDescent="0.25">
      <c r="A3700">
        <v>1621</v>
      </c>
      <c r="B3700" t="s">
        <v>57</v>
      </c>
      <c r="C3700">
        <v>84</v>
      </c>
      <c r="D3700">
        <v>704</v>
      </c>
      <c r="E3700">
        <v>1621</v>
      </c>
      <c r="F3700">
        <v>5203801</v>
      </c>
      <c r="G3700">
        <v>5292000</v>
      </c>
      <c r="H3700">
        <f t="shared" si="114"/>
        <v>118.00002267573696</v>
      </c>
      <c r="I3700">
        <f t="shared" si="115"/>
        <v>120</v>
      </c>
      <c r="J3700" t="s">
        <v>25</v>
      </c>
      <c r="K3700">
        <v>3</v>
      </c>
      <c r="L3700" t="e">
        <f t="array" ref="L3700">VLOOKUP(J3700:$J$3871&amp;K3700:$K$3871,CHOOSE({1,2},#REF!&amp;#REF!,#REF!),2,0)</f>
        <v>#N/A</v>
      </c>
      <c r="M3700">
        <v>-15</v>
      </c>
      <c r="N3700">
        <v>0</v>
      </c>
      <c r="O3700" t="s">
        <v>7</v>
      </c>
      <c r="P3700">
        <v>0</v>
      </c>
      <c r="Q3700">
        <v>0</v>
      </c>
      <c r="R3700">
        <v>0</v>
      </c>
      <c r="S3700">
        <v>1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1</v>
      </c>
      <c r="Z3700">
        <v>0</v>
      </c>
      <c r="AA3700" t="s">
        <v>6043</v>
      </c>
      <c r="AB3700" t="s">
        <v>7818</v>
      </c>
      <c r="AC3700" t="s">
        <v>6043</v>
      </c>
      <c r="AD3700" t="e">
        <f>VLOOKUP(AB3700,#REF!,2,FALSE)</f>
        <v>#REF!</v>
      </c>
      <c r="AE3700" t="e">
        <f>RIGHT(#REF!,(FIND("Complex",#REF!,1)-7))</f>
        <v>#REF!</v>
      </c>
    </row>
    <row r="3701" spans="1:31" x14ac:dyDescent="0.25">
      <c r="A3701">
        <v>2134</v>
      </c>
      <c r="B3701" t="s">
        <v>57</v>
      </c>
      <c r="C3701">
        <v>84</v>
      </c>
      <c r="D3701">
        <v>898</v>
      </c>
      <c r="E3701">
        <v>2134</v>
      </c>
      <c r="F3701">
        <v>5115601</v>
      </c>
      <c r="G3701">
        <v>5203800</v>
      </c>
      <c r="H3701">
        <f t="shared" si="114"/>
        <v>116.00002267573696</v>
      </c>
      <c r="I3701">
        <f t="shared" si="115"/>
        <v>118</v>
      </c>
      <c r="J3701" t="s">
        <v>25</v>
      </c>
      <c r="K3701">
        <v>3</v>
      </c>
      <c r="L3701" t="e">
        <f t="array" ref="L3701">VLOOKUP(J3701:$J$3871&amp;K3701:$K$3871,CHOOSE({1,2},#REF!&amp;#REF!,#REF!),2,0)</f>
        <v>#N/A</v>
      </c>
      <c r="M3701">
        <v>-15</v>
      </c>
      <c r="N3701">
        <v>0</v>
      </c>
      <c r="O3701" t="s">
        <v>7</v>
      </c>
      <c r="P3701">
        <v>0</v>
      </c>
      <c r="Q3701">
        <v>0</v>
      </c>
      <c r="R3701">
        <v>0</v>
      </c>
      <c r="S3701">
        <v>1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1</v>
      </c>
      <c r="Z3701">
        <v>0</v>
      </c>
      <c r="AA3701" t="s">
        <v>6053</v>
      </c>
      <c r="AB3701" t="s">
        <v>7824</v>
      </c>
      <c r="AC3701" t="s">
        <v>6053</v>
      </c>
      <c r="AD3701" t="e">
        <f>VLOOKUP(AB3701,#REF!,2,FALSE)</f>
        <v>#REF!</v>
      </c>
      <c r="AE3701" t="e">
        <f>RIGHT(#REF!,(FIND("Complex",#REF!,1)-7))</f>
        <v>#REF!</v>
      </c>
    </row>
    <row r="3702" spans="1:31" x14ac:dyDescent="0.25">
      <c r="A3702">
        <v>1196</v>
      </c>
      <c r="B3702" t="s">
        <v>57</v>
      </c>
      <c r="C3702">
        <v>84</v>
      </c>
      <c r="D3702">
        <v>527</v>
      </c>
      <c r="E3702">
        <v>1196</v>
      </c>
      <c r="F3702">
        <v>4762801</v>
      </c>
      <c r="G3702">
        <v>4851000</v>
      </c>
      <c r="H3702">
        <f t="shared" si="114"/>
        <v>108.00002267573696</v>
      </c>
      <c r="I3702">
        <f t="shared" si="115"/>
        <v>110</v>
      </c>
      <c r="J3702" t="s">
        <v>25</v>
      </c>
      <c r="K3702">
        <v>3</v>
      </c>
      <c r="L3702" t="e">
        <f t="array" ref="L3702">VLOOKUP(J3702:$J$3871&amp;K3702:$K$3871,CHOOSE({1,2},#REF!&amp;#REF!,#REF!),2,0)</f>
        <v>#N/A</v>
      </c>
      <c r="M3702">
        <v>-15</v>
      </c>
      <c r="N3702">
        <v>0</v>
      </c>
      <c r="O3702" t="s">
        <v>7</v>
      </c>
      <c r="P3702">
        <v>0</v>
      </c>
      <c r="Q3702">
        <v>0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1</v>
      </c>
      <c r="Z3702">
        <v>0</v>
      </c>
      <c r="AA3702" t="s">
        <v>6086</v>
      </c>
      <c r="AB3702" t="s">
        <v>7844</v>
      </c>
      <c r="AC3702" t="s">
        <v>6086</v>
      </c>
      <c r="AD3702" t="e">
        <f>VLOOKUP(AB3702,#REF!,2,FALSE)</f>
        <v>#REF!</v>
      </c>
      <c r="AE3702" t="e">
        <f>RIGHT(#REF!,(FIND("Complex",#REF!,1)-7))</f>
        <v>#REF!</v>
      </c>
    </row>
    <row r="3703" spans="1:31" x14ac:dyDescent="0.25">
      <c r="A3703">
        <v>490</v>
      </c>
      <c r="B3703" t="s">
        <v>57</v>
      </c>
      <c r="C3703">
        <v>84</v>
      </c>
      <c r="D3703">
        <v>202</v>
      </c>
      <c r="E3703">
        <v>490</v>
      </c>
      <c r="F3703">
        <v>4674601</v>
      </c>
      <c r="G3703">
        <v>4762800</v>
      </c>
      <c r="H3703">
        <f t="shared" si="114"/>
        <v>106.00002267573696</v>
      </c>
      <c r="I3703">
        <f t="shared" si="115"/>
        <v>108</v>
      </c>
      <c r="J3703" t="s">
        <v>25</v>
      </c>
      <c r="K3703">
        <v>3</v>
      </c>
      <c r="L3703" t="e">
        <f t="array" ref="L3703">VLOOKUP(J3703:$J$3871&amp;K3703:$K$3871,CHOOSE({1,2},#REF!&amp;#REF!,#REF!),2,0)</f>
        <v>#N/A</v>
      </c>
      <c r="M3703">
        <v>-15</v>
      </c>
      <c r="N3703">
        <v>0</v>
      </c>
      <c r="O3703" t="s">
        <v>7</v>
      </c>
      <c r="P3703">
        <v>0</v>
      </c>
      <c r="Q3703">
        <v>0</v>
      </c>
      <c r="R3703">
        <v>0</v>
      </c>
      <c r="S3703">
        <v>1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1</v>
      </c>
      <c r="Z3703">
        <v>0</v>
      </c>
      <c r="AA3703" t="s">
        <v>6092</v>
      </c>
      <c r="AB3703" t="s">
        <v>7848</v>
      </c>
      <c r="AC3703" t="s">
        <v>6092</v>
      </c>
      <c r="AD3703" t="e">
        <f>VLOOKUP(AB3703,#REF!,2,FALSE)</f>
        <v>#REF!</v>
      </c>
      <c r="AE3703" t="e">
        <f>RIGHT(#REF!,(FIND("Complex",#REF!,1)-6))</f>
        <v>#REF!</v>
      </c>
    </row>
    <row r="3704" spans="1:31" x14ac:dyDescent="0.25">
      <c r="A3704">
        <v>1048</v>
      </c>
      <c r="B3704" t="s">
        <v>265</v>
      </c>
      <c r="C3704">
        <v>85</v>
      </c>
      <c r="D3704">
        <v>464</v>
      </c>
      <c r="E3704">
        <v>1048</v>
      </c>
      <c r="F3704">
        <v>5556601</v>
      </c>
      <c r="G3704">
        <v>5644800</v>
      </c>
      <c r="H3704">
        <f t="shared" si="114"/>
        <v>126.00002267573696</v>
      </c>
      <c r="I3704">
        <f t="shared" si="115"/>
        <v>128</v>
      </c>
      <c r="J3704" t="s">
        <v>25</v>
      </c>
      <c r="K3704">
        <v>3</v>
      </c>
      <c r="L3704" t="e">
        <f t="array" ref="L3704">VLOOKUP(J3704:$J$3871&amp;K3704:$K$3871,CHOOSE({1,2},#REF!&amp;#REF!,#REF!),2,0)</f>
        <v>#N/A</v>
      </c>
      <c r="M3704">
        <v>-15</v>
      </c>
      <c r="N3704">
        <v>0</v>
      </c>
      <c r="O3704" t="s">
        <v>7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1</v>
      </c>
      <c r="Y3704">
        <v>1</v>
      </c>
      <c r="Z3704">
        <v>0</v>
      </c>
      <c r="AA3704" t="s">
        <v>5988</v>
      </c>
      <c r="AB3704" t="s">
        <v>1742</v>
      </c>
      <c r="AC3704" t="s">
        <v>5988</v>
      </c>
      <c r="AD3704" t="e">
        <f>VLOOKUP(AB3704,#REF!,2,FALSE)</f>
        <v>#REF!</v>
      </c>
      <c r="AE3704" t="e">
        <f>RIGHT(#REF!,(FIND("Complex",#REF!,1)-7))</f>
        <v>#REF!</v>
      </c>
    </row>
    <row r="3705" spans="1:31" x14ac:dyDescent="0.25">
      <c r="A3705">
        <v>633</v>
      </c>
      <c r="B3705" t="s">
        <v>265</v>
      </c>
      <c r="C3705">
        <v>85</v>
      </c>
      <c r="D3705">
        <v>273</v>
      </c>
      <c r="E3705">
        <v>633</v>
      </c>
      <c r="F3705">
        <v>5468401</v>
      </c>
      <c r="G3705">
        <v>5556600</v>
      </c>
      <c r="H3705">
        <f t="shared" si="114"/>
        <v>124.00002267573696</v>
      </c>
      <c r="I3705">
        <f t="shared" si="115"/>
        <v>126</v>
      </c>
      <c r="J3705" t="s">
        <v>25</v>
      </c>
      <c r="K3705">
        <v>3</v>
      </c>
      <c r="L3705" t="e">
        <f t="array" ref="L3705">VLOOKUP(J3705:$J$3871&amp;K3705:$K$3871,CHOOSE({1,2},#REF!&amp;#REF!,#REF!),2,0)</f>
        <v>#N/A</v>
      </c>
      <c r="M3705">
        <v>-15</v>
      </c>
      <c r="N3705">
        <v>0</v>
      </c>
      <c r="O3705" t="s">
        <v>7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1</v>
      </c>
      <c r="Y3705">
        <v>1</v>
      </c>
      <c r="Z3705">
        <v>0</v>
      </c>
      <c r="AA3705" t="s">
        <v>5998</v>
      </c>
      <c r="AB3705" t="s">
        <v>7796</v>
      </c>
      <c r="AC3705" t="s">
        <v>5998</v>
      </c>
      <c r="AD3705" t="e">
        <f>VLOOKUP(AB3705,#REF!,2,FALSE)</f>
        <v>#REF!</v>
      </c>
      <c r="AE3705" t="e">
        <f>RIGHT(#REF!,(FIND("Complex",#REF!,1)-6))</f>
        <v>#REF!</v>
      </c>
    </row>
    <row r="3706" spans="1:31" x14ac:dyDescent="0.25">
      <c r="A3706">
        <v>1613</v>
      </c>
      <c r="B3706" t="s">
        <v>265</v>
      </c>
      <c r="C3706">
        <v>85</v>
      </c>
      <c r="D3706">
        <v>698</v>
      </c>
      <c r="E3706">
        <v>1613</v>
      </c>
      <c r="F3706">
        <v>441001</v>
      </c>
      <c r="G3706">
        <v>529200</v>
      </c>
      <c r="H3706">
        <f t="shared" si="114"/>
        <v>10.000022675736961</v>
      </c>
      <c r="I3706">
        <f t="shared" si="115"/>
        <v>12</v>
      </c>
      <c r="J3706" t="s">
        <v>25</v>
      </c>
      <c r="K3706">
        <v>3</v>
      </c>
      <c r="L3706" t="e">
        <f t="array" ref="L3706">VLOOKUP(J3706:$J$3871&amp;K3706:$K$3871,CHOOSE({1,2},#REF!&amp;#REF!,#REF!),2,0)</f>
        <v>#N/A</v>
      </c>
      <c r="M3706">
        <v>-15</v>
      </c>
      <c r="N3706">
        <v>0</v>
      </c>
      <c r="O3706" t="s">
        <v>7</v>
      </c>
      <c r="P3706">
        <v>0</v>
      </c>
      <c r="Q3706">
        <v>0</v>
      </c>
      <c r="R3706">
        <v>0</v>
      </c>
      <c r="S3706">
        <v>1</v>
      </c>
      <c r="T3706">
        <v>0</v>
      </c>
      <c r="U3706">
        <v>0</v>
      </c>
      <c r="V3706">
        <v>0</v>
      </c>
      <c r="W3706">
        <v>1</v>
      </c>
      <c r="X3706">
        <v>1</v>
      </c>
      <c r="Y3706">
        <v>0</v>
      </c>
      <c r="Z3706">
        <v>0</v>
      </c>
      <c r="AA3706" t="s">
        <v>6130</v>
      </c>
      <c r="AB3706" t="s">
        <v>7869</v>
      </c>
      <c r="AC3706" t="s">
        <v>6130</v>
      </c>
      <c r="AD3706" t="e">
        <f>VLOOKUP(AB3706,#REF!,2,FALSE)</f>
        <v>#REF!</v>
      </c>
      <c r="AE3706" t="e">
        <f>RIGHT(#REF!,(FIND("Complex",#REF!,1)-8))</f>
        <v>#REF!</v>
      </c>
    </row>
    <row r="3707" spans="1:31" x14ac:dyDescent="0.25">
      <c r="A3707">
        <v>1492</v>
      </c>
      <c r="B3707" t="s">
        <v>77</v>
      </c>
      <c r="C3707">
        <v>87</v>
      </c>
      <c r="D3707">
        <v>654</v>
      </c>
      <c r="E3707">
        <v>1492</v>
      </c>
      <c r="F3707">
        <v>2205001</v>
      </c>
      <c r="G3707">
        <v>2293200</v>
      </c>
      <c r="H3707">
        <f t="shared" si="114"/>
        <v>50.000022675736965</v>
      </c>
      <c r="I3707">
        <f t="shared" si="115"/>
        <v>52</v>
      </c>
      <c r="J3707" t="s">
        <v>25</v>
      </c>
      <c r="K3707">
        <v>3</v>
      </c>
      <c r="L3707" t="e">
        <f t="array" ref="L3707">VLOOKUP(J3707:$J$3871&amp;K3707:$K$3871,CHOOSE({1,2},#REF!&amp;#REF!,#REF!),2,0)</f>
        <v>#N/A</v>
      </c>
      <c r="M3707">
        <v>-15</v>
      </c>
      <c r="N3707">
        <v>0</v>
      </c>
      <c r="O3707" t="s">
        <v>7</v>
      </c>
      <c r="P3707">
        <v>0</v>
      </c>
      <c r="Q3707">
        <v>1</v>
      </c>
      <c r="R3707">
        <v>0</v>
      </c>
      <c r="S3707">
        <v>0</v>
      </c>
      <c r="T3707">
        <v>1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 t="s">
        <v>5191</v>
      </c>
      <c r="AB3707" t="s">
        <v>7310</v>
      </c>
      <c r="AC3707" t="s">
        <v>5191</v>
      </c>
      <c r="AD3707" t="e">
        <f>VLOOKUP(AB3707,#REF!,2,FALSE)</f>
        <v>#REF!</v>
      </c>
      <c r="AE3707" t="e">
        <f>RIGHT(#REF!,(FIND("Complex",#REF!,1)-8))</f>
        <v>#REF!</v>
      </c>
    </row>
    <row r="3708" spans="1:31" x14ac:dyDescent="0.25">
      <c r="A3708">
        <v>404</v>
      </c>
      <c r="B3708" t="s">
        <v>77</v>
      </c>
      <c r="C3708">
        <v>87</v>
      </c>
      <c r="D3708">
        <v>172</v>
      </c>
      <c r="E3708">
        <v>404</v>
      </c>
      <c r="F3708">
        <v>6791401</v>
      </c>
      <c r="G3708">
        <v>6879600</v>
      </c>
      <c r="H3708">
        <f t="shared" si="114"/>
        <v>154.00002267573697</v>
      </c>
      <c r="I3708">
        <f t="shared" si="115"/>
        <v>156</v>
      </c>
      <c r="J3708" t="s">
        <v>25</v>
      </c>
      <c r="K3708">
        <v>3</v>
      </c>
      <c r="L3708" t="e">
        <f t="array" ref="L3708">VLOOKUP(J3708:$J$3871&amp;K3708:$K$3871,CHOOSE({1,2},#REF!&amp;#REF!,#REF!),2,0)</f>
        <v>#N/A</v>
      </c>
      <c r="M3708">
        <v>-15</v>
      </c>
      <c r="N3708">
        <v>0</v>
      </c>
      <c r="O3708" t="s">
        <v>7</v>
      </c>
      <c r="P3708">
        <v>0</v>
      </c>
      <c r="Q3708">
        <v>1</v>
      </c>
      <c r="R3708">
        <v>0</v>
      </c>
      <c r="S3708">
        <v>1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 t="s">
        <v>5854</v>
      </c>
      <c r="AB3708" t="s">
        <v>7713</v>
      </c>
      <c r="AC3708" t="s">
        <v>5854</v>
      </c>
      <c r="AD3708" t="e">
        <f>VLOOKUP(AB3708,#REF!,2,FALSE)</f>
        <v>#REF!</v>
      </c>
      <c r="AE3708" t="e">
        <f>RIGHT(#REF!,(FIND("Complex",#REF!,1)-6))</f>
        <v>#REF!</v>
      </c>
    </row>
    <row r="3709" spans="1:31" x14ac:dyDescent="0.25">
      <c r="A3709">
        <v>104</v>
      </c>
      <c r="B3709" t="s">
        <v>267</v>
      </c>
      <c r="C3709">
        <v>89</v>
      </c>
      <c r="D3709">
        <v>49</v>
      </c>
      <c r="E3709">
        <v>104</v>
      </c>
      <c r="F3709">
        <v>3969001</v>
      </c>
      <c r="G3709">
        <v>4057200</v>
      </c>
      <c r="H3709">
        <f t="shared" si="114"/>
        <v>90.000022675736957</v>
      </c>
      <c r="I3709">
        <f t="shared" si="115"/>
        <v>92</v>
      </c>
      <c r="J3709" t="s">
        <v>25</v>
      </c>
      <c r="K3709">
        <v>3</v>
      </c>
      <c r="L3709" t="e">
        <f t="array" ref="L3709">VLOOKUP(J3709:$J$3871&amp;K3709:$K$3871,CHOOSE({1,2},#REF!&amp;#REF!,#REF!),2,0)</f>
        <v>#N/A</v>
      </c>
      <c r="M3709">
        <v>-15</v>
      </c>
      <c r="N3709">
        <v>0</v>
      </c>
      <c r="O3709" t="s">
        <v>7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0</v>
      </c>
      <c r="Z3709">
        <v>0</v>
      </c>
      <c r="AA3709" t="s">
        <v>4925</v>
      </c>
      <c r="AB3709" t="s">
        <v>7176</v>
      </c>
      <c r="AC3709" t="s">
        <v>4925</v>
      </c>
      <c r="AD3709" t="e">
        <f>VLOOKUP(AB3709,#REF!,2,FALSE)</f>
        <v>#REF!</v>
      </c>
      <c r="AE3709" t="e">
        <f>RIGHT(#REF!,(FIND("Complex",#REF!,1)-7))</f>
        <v>#REF!</v>
      </c>
    </row>
    <row r="3710" spans="1:31" x14ac:dyDescent="0.25">
      <c r="A3710">
        <v>2198</v>
      </c>
      <c r="B3710" t="s">
        <v>267</v>
      </c>
      <c r="C3710">
        <v>89</v>
      </c>
      <c r="D3710">
        <v>912</v>
      </c>
      <c r="E3710">
        <v>2198</v>
      </c>
      <c r="F3710">
        <v>529201</v>
      </c>
      <c r="G3710">
        <v>617400</v>
      </c>
      <c r="H3710">
        <f t="shared" si="114"/>
        <v>12.000022675736961</v>
      </c>
      <c r="I3710">
        <f t="shared" si="115"/>
        <v>14</v>
      </c>
      <c r="J3710" t="s">
        <v>25</v>
      </c>
      <c r="K3710">
        <v>3</v>
      </c>
      <c r="L3710" t="e">
        <f t="array" ref="L3710">VLOOKUP(J3710:$J$3871&amp;K3710:$K$3871,CHOOSE({1,2},#REF!&amp;#REF!,#REF!),2,0)</f>
        <v>#N/A</v>
      </c>
      <c r="M3710">
        <v>-15</v>
      </c>
      <c r="N3710">
        <v>0</v>
      </c>
      <c r="O3710" t="s">
        <v>7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1</v>
      </c>
      <c r="X3710">
        <v>0</v>
      </c>
      <c r="Y3710">
        <v>0</v>
      </c>
      <c r="Z3710">
        <v>0</v>
      </c>
      <c r="AA3710" t="s">
        <v>6025</v>
      </c>
      <c r="AB3710" t="s">
        <v>7810</v>
      </c>
      <c r="AC3710" t="s">
        <v>6025</v>
      </c>
      <c r="AD3710" t="e">
        <f>VLOOKUP(AB3710,#REF!,2,FALSE)</f>
        <v>#REF!</v>
      </c>
      <c r="AE3710" t="e">
        <f>RIGHT(#REF!,(FIND("Complex",#REF!,1)-8))</f>
        <v>#REF!</v>
      </c>
    </row>
    <row r="3711" spans="1:31" x14ac:dyDescent="0.25">
      <c r="A3711">
        <v>1802</v>
      </c>
      <c r="B3711" t="s">
        <v>268</v>
      </c>
      <c r="C3711">
        <v>92</v>
      </c>
      <c r="D3711">
        <v>783</v>
      </c>
      <c r="E3711">
        <v>1802</v>
      </c>
      <c r="F3711">
        <v>4321801</v>
      </c>
      <c r="G3711">
        <v>4410000</v>
      </c>
      <c r="H3711">
        <f t="shared" si="114"/>
        <v>98.000022675736957</v>
      </c>
      <c r="I3711">
        <f t="shared" si="115"/>
        <v>100</v>
      </c>
      <c r="J3711" t="s">
        <v>25</v>
      </c>
      <c r="K3711">
        <v>3</v>
      </c>
      <c r="L3711" t="e">
        <f t="array" ref="L3711">VLOOKUP(J3711:$J$3871&amp;K3711:$K$3871,CHOOSE({1,2},#REF!&amp;#REF!,#REF!),2,0)</f>
        <v>#N/A</v>
      </c>
      <c r="M3711">
        <v>-15</v>
      </c>
      <c r="N3711">
        <v>0</v>
      </c>
      <c r="O3711" t="s">
        <v>7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1</v>
      </c>
      <c r="Y3711">
        <v>0</v>
      </c>
      <c r="Z3711">
        <v>0</v>
      </c>
      <c r="AA3711" t="s">
        <v>4882</v>
      </c>
      <c r="AB3711" t="s">
        <v>7149</v>
      </c>
      <c r="AC3711" t="s">
        <v>4882</v>
      </c>
      <c r="AD3711" t="e">
        <f>VLOOKUP(AB3711,#REF!,2,FALSE)</f>
        <v>#REF!</v>
      </c>
      <c r="AE3711" t="e">
        <f>RIGHT(#REF!,(FIND("Complex",#REF!,1)-8))</f>
        <v>#REF!</v>
      </c>
    </row>
    <row r="3712" spans="1:31" x14ac:dyDescent="0.25">
      <c r="A3712">
        <v>658</v>
      </c>
      <c r="B3712" t="s">
        <v>268</v>
      </c>
      <c r="C3712">
        <v>92</v>
      </c>
      <c r="D3712">
        <v>285</v>
      </c>
      <c r="E3712">
        <v>658</v>
      </c>
      <c r="F3712">
        <v>3439801</v>
      </c>
      <c r="G3712">
        <v>3528000</v>
      </c>
      <c r="H3712">
        <f t="shared" si="114"/>
        <v>78.000022675736957</v>
      </c>
      <c r="I3712">
        <f t="shared" si="115"/>
        <v>80</v>
      </c>
      <c r="J3712" t="s">
        <v>25</v>
      </c>
      <c r="K3712">
        <v>3</v>
      </c>
      <c r="L3712" t="e">
        <f t="array" ref="L3712">VLOOKUP(J3712:$J$3871&amp;K3712:$K$3871,CHOOSE({1,2},#REF!&amp;#REF!,#REF!),2,0)</f>
        <v>#N/A</v>
      </c>
      <c r="M3712">
        <v>-15</v>
      </c>
      <c r="N3712">
        <v>0</v>
      </c>
      <c r="O3712" t="s">
        <v>7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1</v>
      </c>
      <c r="Y3712">
        <v>0</v>
      </c>
      <c r="Z3712">
        <v>0</v>
      </c>
      <c r="AA3712" t="s">
        <v>5002</v>
      </c>
      <c r="AB3712" t="s">
        <v>7218</v>
      </c>
      <c r="AC3712" t="s">
        <v>5002</v>
      </c>
      <c r="AD3712" t="e">
        <f>VLOOKUP(AB3712,#REF!,2,FALSE)</f>
        <v>#REF!</v>
      </c>
      <c r="AE3712" t="e">
        <f>RIGHT(#REF!,(FIND("Complex",#REF!,1)-7))</f>
        <v>#REF!</v>
      </c>
    </row>
    <row r="3713" spans="1:31" x14ac:dyDescent="0.25">
      <c r="A3713">
        <v>2282</v>
      </c>
      <c r="B3713" t="s">
        <v>268</v>
      </c>
      <c r="C3713">
        <v>92</v>
      </c>
      <c r="D3713">
        <v>935</v>
      </c>
      <c r="E3713">
        <v>2282</v>
      </c>
      <c r="F3713">
        <v>1764001</v>
      </c>
      <c r="G3713">
        <v>1852200</v>
      </c>
      <c r="H3713">
        <f t="shared" si="114"/>
        <v>40.000022675736965</v>
      </c>
      <c r="I3713">
        <f t="shared" si="115"/>
        <v>42</v>
      </c>
      <c r="J3713" t="s">
        <v>25</v>
      </c>
      <c r="K3713">
        <v>3</v>
      </c>
      <c r="L3713" t="e">
        <f t="array" ref="L3713">VLOOKUP(J3713:$J$3871&amp;K3713:$K$3871,CHOOSE({1,2},#REF!&amp;#REF!,#REF!),2,0)</f>
        <v>#N/A</v>
      </c>
      <c r="M3713">
        <v>-15</v>
      </c>
      <c r="N3713">
        <v>0</v>
      </c>
      <c r="O3713" t="s">
        <v>7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1</v>
      </c>
      <c r="Y3713">
        <v>0</v>
      </c>
      <c r="Z3713">
        <v>0</v>
      </c>
      <c r="AA3713" t="s">
        <v>5254</v>
      </c>
      <c r="AB3713" t="s">
        <v>7339</v>
      </c>
      <c r="AC3713" t="s">
        <v>5254</v>
      </c>
      <c r="AD3713" t="e">
        <f>VLOOKUP(AB3713,#REF!,2,FALSE)</f>
        <v>#REF!</v>
      </c>
      <c r="AE3713" t="e">
        <f>RIGHT(#REF!,(FIND("Complex",#REF!,1)-8))</f>
        <v>#REF!</v>
      </c>
    </row>
    <row r="3714" spans="1:31" x14ac:dyDescent="0.25">
      <c r="A3714">
        <v>443</v>
      </c>
      <c r="B3714" t="s">
        <v>268</v>
      </c>
      <c r="C3714">
        <v>92</v>
      </c>
      <c r="D3714">
        <v>186</v>
      </c>
      <c r="E3714">
        <v>443</v>
      </c>
      <c r="F3714">
        <v>9172801</v>
      </c>
      <c r="G3714">
        <v>9261000</v>
      </c>
      <c r="H3714">
        <f t="shared" ref="H3714:H3777" si="116">F3714/44100</f>
        <v>208.00002267573697</v>
      </c>
      <c r="I3714">
        <f t="shared" ref="I3714:I3777" si="117">G3714/44100</f>
        <v>210</v>
      </c>
      <c r="J3714" t="s">
        <v>25</v>
      </c>
      <c r="K3714">
        <v>3</v>
      </c>
      <c r="L3714" t="e">
        <f t="array" ref="L3714">VLOOKUP(J3714:$J$3871&amp;K3714:$K$3871,CHOOSE({1,2},#REF!&amp;#REF!,#REF!),2,0)</f>
        <v>#N/A</v>
      </c>
      <c r="M3714">
        <v>-15</v>
      </c>
      <c r="N3714">
        <v>0</v>
      </c>
      <c r="O3714" t="s">
        <v>7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1</v>
      </c>
      <c r="Y3714">
        <v>0</v>
      </c>
      <c r="Z3714">
        <v>0</v>
      </c>
      <c r="AA3714" t="s">
        <v>5610</v>
      </c>
      <c r="AB3714" t="s">
        <v>7559</v>
      </c>
      <c r="AC3714" t="s">
        <v>5610</v>
      </c>
      <c r="AD3714" t="e">
        <f>VLOOKUP(AB3714,#REF!,2,FALSE)</f>
        <v>#REF!</v>
      </c>
      <c r="AE3714" t="e">
        <f>RIGHT(#REF!,(FIND("Complex",#REF!,1)-6))</f>
        <v>#REF!</v>
      </c>
    </row>
    <row r="3715" spans="1:31" x14ac:dyDescent="0.25">
      <c r="A3715">
        <v>1371</v>
      </c>
      <c r="B3715" t="s">
        <v>268</v>
      </c>
      <c r="C3715">
        <v>92</v>
      </c>
      <c r="D3715">
        <v>600</v>
      </c>
      <c r="E3715">
        <v>1371</v>
      </c>
      <c r="F3715">
        <v>8820001</v>
      </c>
      <c r="G3715">
        <v>8908200</v>
      </c>
      <c r="H3715">
        <f t="shared" si="116"/>
        <v>200.00002267573697</v>
      </c>
      <c r="I3715">
        <f t="shared" si="117"/>
        <v>202</v>
      </c>
      <c r="J3715" t="s">
        <v>25</v>
      </c>
      <c r="K3715">
        <v>3</v>
      </c>
      <c r="L3715" t="e">
        <f t="array" ref="L3715">VLOOKUP(J3715:$J$3871&amp;K3715:$K$3871,CHOOSE({1,2},#REF!&amp;#REF!,#REF!),2,0)</f>
        <v>#N/A</v>
      </c>
      <c r="M3715">
        <v>-15</v>
      </c>
      <c r="N3715">
        <v>0</v>
      </c>
      <c r="O3715" t="s">
        <v>7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1</v>
      </c>
      <c r="Y3715">
        <v>0</v>
      </c>
      <c r="Z3715">
        <v>0</v>
      </c>
      <c r="AA3715" t="s">
        <v>5632</v>
      </c>
      <c r="AB3715" t="s">
        <v>7576</v>
      </c>
      <c r="AC3715" t="s">
        <v>5632</v>
      </c>
      <c r="AD3715" t="e">
        <f>VLOOKUP(AB3715,#REF!,2,FALSE)</f>
        <v>#REF!</v>
      </c>
      <c r="AE3715" t="e">
        <f>RIGHT(#REF!,(FIND("Complex",#REF!,1)-7))</f>
        <v>#REF!</v>
      </c>
    </row>
    <row r="3716" spans="1:31" x14ac:dyDescent="0.25">
      <c r="A3716">
        <v>2035</v>
      </c>
      <c r="B3716" t="s">
        <v>268</v>
      </c>
      <c r="C3716">
        <v>92</v>
      </c>
      <c r="D3716">
        <v>868</v>
      </c>
      <c r="E3716">
        <v>2035</v>
      </c>
      <c r="F3716">
        <v>882001</v>
      </c>
      <c r="G3716">
        <v>970200</v>
      </c>
      <c r="H3716">
        <f t="shared" si="116"/>
        <v>20.000022675736961</v>
      </c>
      <c r="I3716">
        <f t="shared" si="117"/>
        <v>22</v>
      </c>
      <c r="J3716" t="s">
        <v>25</v>
      </c>
      <c r="K3716">
        <v>3</v>
      </c>
      <c r="L3716" t="e">
        <f t="array" ref="L3716">VLOOKUP(J3716:$J$3871&amp;K3716:$K$3871,CHOOSE({1,2},#REF!&amp;#REF!,#REF!),2,0)</f>
        <v>#N/A</v>
      </c>
      <c r="M3716">
        <v>-15</v>
      </c>
      <c r="N3716">
        <v>0</v>
      </c>
      <c r="O3716" t="s">
        <v>7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1</v>
      </c>
      <c r="Y3716">
        <v>0</v>
      </c>
      <c r="Z3716">
        <v>0</v>
      </c>
      <c r="AA3716" t="s">
        <v>5638</v>
      </c>
      <c r="AB3716" t="s">
        <v>7582</v>
      </c>
      <c r="AC3716" t="s">
        <v>5638</v>
      </c>
      <c r="AD3716" t="e">
        <f>VLOOKUP(AB3716,#REF!,2,FALSE)</f>
        <v>#REF!</v>
      </c>
      <c r="AE3716" t="e">
        <f>RIGHT(#REF!,(FIND("Complex",#REF!,1)-8))</f>
        <v>#REF!</v>
      </c>
    </row>
    <row r="3717" spans="1:31" x14ac:dyDescent="0.25">
      <c r="A3717">
        <v>1969</v>
      </c>
      <c r="B3717" t="s">
        <v>268</v>
      </c>
      <c r="C3717">
        <v>92</v>
      </c>
      <c r="D3717">
        <v>851</v>
      </c>
      <c r="E3717">
        <v>1969</v>
      </c>
      <c r="F3717">
        <v>7938001</v>
      </c>
      <c r="G3717">
        <v>8026200</v>
      </c>
      <c r="H3717">
        <f t="shared" si="116"/>
        <v>180.00002267573697</v>
      </c>
      <c r="I3717">
        <f t="shared" si="117"/>
        <v>182</v>
      </c>
      <c r="J3717" t="s">
        <v>25</v>
      </c>
      <c r="K3717">
        <v>3</v>
      </c>
      <c r="L3717" t="e">
        <f t="array" ref="L3717">VLOOKUP(J3717:$J$3871&amp;K3717:$K$3871,CHOOSE({1,2},#REF!&amp;#REF!,#REF!),2,0)</f>
        <v>#N/A</v>
      </c>
      <c r="M3717">
        <v>-15</v>
      </c>
      <c r="N3717">
        <v>0</v>
      </c>
      <c r="O3717" t="s">
        <v>7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1</v>
      </c>
      <c r="Y3717">
        <v>0</v>
      </c>
      <c r="Z3717">
        <v>0</v>
      </c>
      <c r="AA3717" t="s">
        <v>5701</v>
      </c>
      <c r="AB3717" t="s">
        <v>7623</v>
      </c>
      <c r="AC3717" t="s">
        <v>5701</v>
      </c>
      <c r="AD3717" t="e">
        <f>VLOOKUP(AB3717,#REF!,2,FALSE)</f>
        <v>#REF!</v>
      </c>
      <c r="AE3717" t="e">
        <f>RIGHT(#REF!,(FIND("Complex",#REF!,1)-7))</f>
        <v>#REF!</v>
      </c>
    </row>
    <row r="3718" spans="1:31" x14ac:dyDescent="0.25">
      <c r="A3718">
        <v>900</v>
      </c>
      <c r="B3718" t="s">
        <v>268</v>
      </c>
      <c r="C3718">
        <v>92</v>
      </c>
      <c r="D3718">
        <v>400</v>
      </c>
      <c r="E3718">
        <v>900</v>
      </c>
      <c r="F3718">
        <v>7497001</v>
      </c>
      <c r="G3718">
        <v>7585200</v>
      </c>
      <c r="H3718">
        <f t="shared" si="116"/>
        <v>170.00002267573697</v>
      </c>
      <c r="I3718">
        <f t="shared" si="117"/>
        <v>172</v>
      </c>
      <c r="J3718" t="s">
        <v>25</v>
      </c>
      <c r="K3718">
        <v>3</v>
      </c>
      <c r="L3718" t="e">
        <f t="array" ref="L3718">VLOOKUP(J3718:$J$3871&amp;K3718:$K$3871,CHOOSE({1,2},#REF!&amp;#REF!,#REF!),2,0)</f>
        <v>#N/A</v>
      </c>
      <c r="M3718">
        <v>-15</v>
      </c>
      <c r="N3718">
        <v>0</v>
      </c>
      <c r="O3718" t="s">
        <v>7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1</v>
      </c>
      <c r="Y3718">
        <v>0</v>
      </c>
      <c r="Z3718">
        <v>0</v>
      </c>
      <c r="AA3718" t="s">
        <v>5753</v>
      </c>
      <c r="AB3718" t="s">
        <v>7652</v>
      </c>
      <c r="AC3718" t="s">
        <v>5753</v>
      </c>
      <c r="AD3718" t="e">
        <f>VLOOKUP(AB3718,#REF!,2,FALSE)</f>
        <v>#REF!</v>
      </c>
      <c r="AE3718" t="e">
        <f>RIGHT(#REF!,(FIND("Complex",#REF!,1)-6))</f>
        <v>#REF!</v>
      </c>
    </row>
    <row r="3719" spans="1:31" x14ac:dyDescent="0.25">
      <c r="A3719">
        <v>239</v>
      </c>
      <c r="B3719" t="s">
        <v>268</v>
      </c>
      <c r="C3719">
        <v>92</v>
      </c>
      <c r="D3719">
        <v>103</v>
      </c>
      <c r="E3719">
        <v>239</v>
      </c>
      <c r="F3719">
        <v>6879601</v>
      </c>
      <c r="G3719">
        <v>6967800</v>
      </c>
      <c r="H3719">
        <f t="shared" si="116"/>
        <v>156.00002267573697</v>
      </c>
      <c r="I3719">
        <f t="shared" si="117"/>
        <v>158</v>
      </c>
      <c r="J3719" t="s">
        <v>25</v>
      </c>
      <c r="K3719">
        <v>3</v>
      </c>
      <c r="L3719" t="e">
        <f t="array" ref="L3719">VLOOKUP(J3719:$J$3871&amp;K3719:$K$3871,CHOOSE({1,2},#REF!&amp;#REF!,#REF!),2,0)</f>
        <v>#N/A</v>
      </c>
      <c r="M3719">
        <v>-15</v>
      </c>
      <c r="N3719">
        <v>0</v>
      </c>
      <c r="O3719" t="s">
        <v>7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1</v>
      </c>
      <c r="Y3719">
        <v>0</v>
      </c>
      <c r="Z3719">
        <v>0</v>
      </c>
      <c r="AA3719" t="s">
        <v>5838</v>
      </c>
      <c r="AB3719" t="s">
        <v>7701</v>
      </c>
      <c r="AC3719" t="s">
        <v>5838</v>
      </c>
      <c r="AD3719" t="e">
        <f>VLOOKUP(AB3719,#REF!,2,FALSE)</f>
        <v>#REF!</v>
      </c>
      <c r="AE3719" t="e">
        <f>RIGHT(#REF!,(FIND("Complex",#REF!,1)-6))</f>
        <v>#REF!</v>
      </c>
    </row>
    <row r="3720" spans="1:31" x14ac:dyDescent="0.25">
      <c r="A3720">
        <v>763</v>
      </c>
      <c r="B3720" t="s">
        <v>268</v>
      </c>
      <c r="C3720">
        <v>92</v>
      </c>
      <c r="D3720">
        <v>341</v>
      </c>
      <c r="E3720">
        <v>763</v>
      </c>
      <c r="F3720">
        <v>6791401</v>
      </c>
      <c r="G3720">
        <v>6879600</v>
      </c>
      <c r="H3720">
        <f t="shared" si="116"/>
        <v>154.00002267573697</v>
      </c>
      <c r="I3720">
        <f t="shared" si="117"/>
        <v>156</v>
      </c>
      <c r="J3720" t="s">
        <v>25</v>
      </c>
      <c r="K3720">
        <v>3</v>
      </c>
      <c r="L3720" t="e">
        <f t="array" ref="L3720">VLOOKUP(J3720:$J$3871&amp;K3720:$K$3871,CHOOSE({1,2},#REF!&amp;#REF!,#REF!),2,0)</f>
        <v>#N/A</v>
      </c>
      <c r="M3720">
        <v>-15</v>
      </c>
      <c r="N3720">
        <v>0</v>
      </c>
      <c r="O3720" t="s">
        <v>7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1</v>
      </c>
      <c r="Y3720">
        <v>0</v>
      </c>
      <c r="Z3720">
        <v>0</v>
      </c>
      <c r="AA3720" t="s">
        <v>5853</v>
      </c>
      <c r="AB3720" t="s">
        <v>7712</v>
      </c>
      <c r="AC3720" t="s">
        <v>5853</v>
      </c>
      <c r="AD3720" t="e">
        <f>VLOOKUP(AB3720,#REF!,2,FALSE)</f>
        <v>#REF!</v>
      </c>
      <c r="AE3720" t="e">
        <f>RIGHT(#REF!,(FIND("Complex",#REF!,1)-6))</f>
        <v>#REF!</v>
      </c>
    </row>
    <row r="3721" spans="1:31" x14ac:dyDescent="0.25">
      <c r="A3721">
        <v>351</v>
      </c>
      <c r="B3721" t="s">
        <v>268</v>
      </c>
      <c r="C3721">
        <v>92</v>
      </c>
      <c r="D3721">
        <v>148</v>
      </c>
      <c r="E3721">
        <v>351</v>
      </c>
      <c r="F3721">
        <v>5292001</v>
      </c>
      <c r="G3721">
        <v>5380200</v>
      </c>
      <c r="H3721">
        <f t="shared" si="116"/>
        <v>120.00002267573696</v>
      </c>
      <c r="I3721">
        <f t="shared" si="117"/>
        <v>122</v>
      </c>
      <c r="J3721" t="s">
        <v>25</v>
      </c>
      <c r="K3721">
        <v>3</v>
      </c>
      <c r="L3721" t="e">
        <f t="array" ref="L3721">VLOOKUP(J3721:$J$3871&amp;K3721:$K$3871,CHOOSE({1,2},#REF!&amp;#REF!,#REF!),2,0)</f>
        <v>#N/A</v>
      </c>
      <c r="M3721">
        <v>-15</v>
      </c>
      <c r="N3721">
        <v>0</v>
      </c>
      <c r="O3721" t="s">
        <v>7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1</v>
      </c>
      <c r="Y3721">
        <v>0</v>
      </c>
      <c r="Z3721">
        <v>0</v>
      </c>
      <c r="AA3721" t="s">
        <v>6014</v>
      </c>
      <c r="AB3721" t="s">
        <v>7803</v>
      </c>
      <c r="AC3721" t="s">
        <v>6014</v>
      </c>
      <c r="AD3721" t="e">
        <f>VLOOKUP(AB3721,#REF!,2,FALSE)</f>
        <v>#REF!</v>
      </c>
      <c r="AE3721" t="e">
        <f>RIGHT(#REF!,(FIND("Complex",#REF!,1)-6))</f>
        <v>#REF!</v>
      </c>
    </row>
    <row r="3722" spans="1:31" x14ac:dyDescent="0.25">
      <c r="A3722">
        <v>1344</v>
      </c>
      <c r="B3722" t="s">
        <v>268</v>
      </c>
      <c r="C3722">
        <v>92</v>
      </c>
      <c r="D3722">
        <v>587</v>
      </c>
      <c r="E3722">
        <v>1344</v>
      </c>
      <c r="F3722">
        <v>5027401</v>
      </c>
      <c r="G3722">
        <v>5115600</v>
      </c>
      <c r="H3722">
        <f t="shared" si="116"/>
        <v>114.00002267573696</v>
      </c>
      <c r="I3722">
        <f t="shared" si="117"/>
        <v>116</v>
      </c>
      <c r="J3722" t="s">
        <v>25</v>
      </c>
      <c r="K3722">
        <v>3</v>
      </c>
      <c r="L3722" t="e">
        <f t="array" ref="L3722">VLOOKUP(J3722:$J$3871&amp;K3722:$K$3871,CHOOSE({1,2},#REF!&amp;#REF!,#REF!),2,0)</f>
        <v>#N/A</v>
      </c>
      <c r="M3722">
        <v>-15</v>
      </c>
      <c r="N3722">
        <v>0</v>
      </c>
      <c r="O3722" t="s">
        <v>7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1</v>
      </c>
      <c r="Y3722">
        <v>0</v>
      </c>
      <c r="Z3722">
        <v>0</v>
      </c>
      <c r="AA3722" t="s">
        <v>6057</v>
      </c>
      <c r="AB3722" t="s">
        <v>7826</v>
      </c>
      <c r="AC3722" t="s">
        <v>6057</v>
      </c>
      <c r="AD3722" t="e">
        <f>VLOOKUP(AB3722,#REF!,2,FALSE)</f>
        <v>#REF!</v>
      </c>
      <c r="AE3722" t="e">
        <f>RIGHT(#REF!,(FIND("Complex",#REF!,1)-7))</f>
        <v>#REF!</v>
      </c>
    </row>
    <row r="3723" spans="1:31" x14ac:dyDescent="0.25">
      <c r="A3723">
        <v>582</v>
      </c>
      <c r="B3723" t="s">
        <v>76</v>
      </c>
      <c r="C3723">
        <v>93</v>
      </c>
      <c r="D3723">
        <v>248</v>
      </c>
      <c r="E3723">
        <v>582</v>
      </c>
      <c r="F3723">
        <v>7144201</v>
      </c>
      <c r="G3723">
        <v>7232400</v>
      </c>
      <c r="H3723">
        <f t="shared" si="116"/>
        <v>162.00002267573697</v>
      </c>
      <c r="I3723">
        <f t="shared" si="117"/>
        <v>164</v>
      </c>
      <c r="J3723" t="s">
        <v>25</v>
      </c>
      <c r="K3723">
        <v>3</v>
      </c>
      <c r="L3723" t="e">
        <f t="array" ref="L3723">VLOOKUP(J3723:$J$3871&amp;K3723:$K$3871,CHOOSE({1,2},#REF!&amp;#REF!,#REF!),2,0)</f>
        <v>#N/A</v>
      </c>
      <c r="M3723">
        <v>-15</v>
      </c>
      <c r="N3723">
        <v>0</v>
      </c>
      <c r="O3723" t="s">
        <v>7</v>
      </c>
      <c r="P3723">
        <v>1</v>
      </c>
      <c r="Q3723">
        <v>1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 t="s">
        <v>5785</v>
      </c>
      <c r="AB3723" t="s">
        <v>1834</v>
      </c>
      <c r="AC3723" t="s">
        <v>5785</v>
      </c>
      <c r="AD3723" t="e">
        <f>VLOOKUP(AB3723,#REF!,2,FALSE)</f>
        <v>#REF!</v>
      </c>
      <c r="AE3723" t="e">
        <f>RIGHT(#REF!,(FIND("Complex",#REF!,1)-6))</f>
        <v>#REF!</v>
      </c>
    </row>
    <row r="3724" spans="1:31" x14ac:dyDescent="0.25">
      <c r="A3724">
        <v>1840</v>
      </c>
      <c r="B3724" t="s">
        <v>58</v>
      </c>
      <c r="C3724">
        <v>94</v>
      </c>
      <c r="D3724">
        <v>801</v>
      </c>
      <c r="E3724">
        <v>1840</v>
      </c>
      <c r="F3724">
        <v>352801</v>
      </c>
      <c r="G3724">
        <v>441000</v>
      </c>
      <c r="H3724">
        <f t="shared" si="116"/>
        <v>8.000022675736961</v>
      </c>
      <c r="I3724">
        <f t="shared" si="117"/>
        <v>10</v>
      </c>
      <c r="J3724" t="s">
        <v>25</v>
      </c>
      <c r="K3724">
        <v>3</v>
      </c>
      <c r="L3724" t="e">
        <f t="array" ref="L3724">VLOOKUP(J3724:$J$3871&amp;K3724:$K$3871,CHOOSE({1,2},#REF!&amp;#REF!,#REF!),2,0)</f>
        <v>#N/A</v>
      </c>
      <c r="M3724">
        <v>-15</v>
      </c>
      <c r="N3724">
        <v>0</v>
      </c>
      <c r="O3724" t="s">
        <v>7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1</v>
      </c>
      <c r="Y3724">
        <v>0</v>
      </c>
      <c r="Z3724">
        <v>0</v>
      </c>
      <c r="AA3724" t="s">
        <v>4986</v>
      </c>
      <c r="AB3724" t="s">
        <v>7208</v>
      </c>
      <c r="AC3724" t="s">
        <v>4986</v>
      </c>
      <c r="AD3724" t="e">
        <f>VLOOKUP(AB3724,#REF!,2,FALSE)</f>
        <v>#REF!</v>
      </c>
      <c r="AE3724" t="e">
        <f>RIGHT(#REF!,(FIND("Complex",#REF!,1)-9))</f>
        <v>#REF!</v>
      </c>
    </row>
    <row r="3725" spans="1:31" x14ac:dyDescent="0.25">
      <c r="A3725">
        <v>2182</v>
      </c>
      <c r="B3725" t="s">
        <v>58</v>
      </c>
      <c r="C3725">
        <v>94</v>
      </c>
      <c r="D3725">
        <v>908</v>
      </c>
      <c r="E3725">
        <v>2182</v>
      </c>
      <c r="F3725">
        <v>176401</v>
      </c>
      <c r="G3725">
        <v>264600</v>
      </c>
      <c r="H3725">
        <f t="shared" si="116"/>
        <v>4.000022675736961</v>
      </c>
      <c r="I3725">
        <f t="shared" si="117"/>
        <v>6</v>
      </c>
      <c r="J3725" t="s">
        <v>25</v>
      </c>
      <c r="K3725">
        <v>3</v>
      </c>
      <c r="L3725" t="e">
        <f t="array" ref="L3725">VLOOKUP(J3725:$J$3871&amp;K3725:$K$3871,CHOOSE({1,2},#REF!&amp;#REF!,#REF!),2,0)</f>
        <v>#N/A</v>
      </c>
      <c r="M3725">
        <v>-15</v>
      </c>
      <c r="N3725">
        <v>0</v>
      </c>
      <c r="O3725" t="s">
        <v>7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1</v>
      </c>
      <c r="Y3725">
        <v>0</v>
      </c>
      <c r="Z3725">
        <v>0</v>
      </c>
      <c r="AA3725" t="s">
        <v>5265</v>
      </c>
      <c r="AB3725" t="s">
        <v>7346</v>
      </c>
      <c r="AC3725" t="s">
        <v>5265</v>
      </c>
      <c r="AD3725" t="e">
        <f>VLOOKUP(AB3725,#REF!,2,FALSE)</f>
        <v>#REF!</v>
      </c>
      <c r="AE3725" t="e">
        <f>RIGHT(#REF!,(FIND("Complex",#REF!,1)-9))</f>
        <v>#REF!</v>
      </c>
    </row>
    <row r="3726" spans="1:31" x14ac:dyDescent="0.25">
      <c r="A3726">
        <v>2016</v>
      </c>
      <c r="B3726" t="s">
        <v>58</v>
      </c>
      <c r="C3726">
        <v>94</v>
      </c>
      <c r="D3726">
        <v>863</v>
      </c>
      <c r="E3726">
        <v>2016</v>
      </c>
      <c r="F3726">
        <v>1323001</v>
      </c>
      <c r="G3726">
        <v>1411200</v>
      </c>
      <c r="H3726">
        <f t="shared" si="116"/>
        <v>30.000022675736961</v>
      </c>
      <c r="I3726">
        <f t="shared" si="117"/>
        <v>32</v>
      </c>
      <c r="J3726" t="s">
        <v>25</v>
      </c>
      <c r="K3726">
        <v>3</v>
      </c>
      <c r="L3726" t="e">
        <f t="array" ref="L3726">VLOOKUP(J3726:$J$3871&amp;K3726:$K$3871,CHOOSE({1,2},#REF!&amp;#REF!,#REF!),2,0)</f>
        <v>#N/A</v>
      </c>
      <c r="M3726">
        <v>-15</v>
      </c>
      <c r="N3726">
        <v>0</v>
      </c>
      <c r="O3726" t="s">
        <v>7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1</v>
      </c>
      <c r="Y3726">
        <v>0</v>
      </c>
      <c r="Z3726">
        <v>0</v>
      </c>
      <c r="AA3726" t="s">
        <v>5375</v>
      </c>
      <c r="AB3726" t="s">
        <v>7407</v>
      </c>
      <c r="AC3726" t="s">
        <v>5375</v>
      </c>
      <c r="AD3726" t="e">
        <f>VLOOKUP(AB3726,#REF!,2,FALSE)</f>
        <v>#REF!</v>
      </c>
      <c r="AE3726" t="e">
        <f>RIGHT(#REF!,(FIND("Complex",#REF!,1)-8))</f>
        <v>#REF!</v>
      </c>
    </row>
    <row r="3727" spans="1:31" x14ac:dyDescent="0.25">
      <c r="A3727">
        <v>2117</v>
      </c>
      <c r="B3727" t="s">
        <v>58</v>
      </c>
      <c r="C3727">
        <v>94</v>
      </c>
      <c r="D3727">
        <v>891</v>
      </c>
      <c r="E3727">
        <v>2117</v>
      </c>
      <c r="F3727">
        <v>1234801</v>
      </c>
      <c r="G3727">
        <v>1323000</v>
      </c>
      <c r="H3727">
        <f t="shared" si="116"/>
        <v>28.000022675736961</v>
      </c>
      <c r="I3727">
        <f t="shared" si="117"/>
        <v>30</v>
      </c>
      <c r="J3727" t="s">
        <v>25</v>
      </c>
      <c r="K3727">
        <v>3</v>
      </c>
      <c r="L3727" t="e">
        <f t="array" ref="L3727">VLOOKUP(J3727:$J$3871&amp;K3727:$K$3871,CHOOSE({1,2},#REF!&amp;#REF!,#REF!),2,0)</f>
        <v>#N/A</v>
      </c>
      <c r="M3727">
        <v>-15</v>
      </c>
      <c r="N3727">
        <v>0</v>
      </c>
      <c r="O3727" t="s">
        <v>7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1</v>
      </c>
      <c r="Y3727">
        <v>0</v>
      </c>
      <c r="Z3727">
        <v>0</v>
      </c>
      <c r="AA3727" t="s">
        <v>5404</v>
      </c>
      <c r="AB3727" t="s">
        <v>7425</v>
      </c>
      <c r="AC3727" t="s">
        <v>5404</v>
      </c>
      <c r="AD3727" t="e">
        <f>VLOOKUP(AB3727,#REF!,2,FALSE)</f>
        <v>#REF!</v>
      </c>
      <c r="AE3727" t="e">
        <f>RIGHT(#REF!,(FIND("Complex",#REF!,1)-8))</f>
        <v>#REF!</v>
      </c>
    </row>
    <row r="3728" spans="1:31" x14ac:dyDescent="0.25">
      <c r="A3728">
        <v>202</v>
      </c>
      <c r="B3728" t="s">
        <v>58</v>
      </c>
      <c r="C3728">
        <v>94</v>
      </c>
      <c r="D3728">
        <v>82</v>
      </c>
      <c r="E3728">
        <v>202</v>
      </c>
      <c r="F3728">
        <v>10319401</v>
      </c>
      <c r="G3728">
        <v>10407600</v>
      </c>
      <c r="H3728">
        <f t="shared" si="116"/>
        <v>234.00002267573697</v>
      </c>
      <c r="I3728">
        <f t="shared" si="117"/>
        <v>236</v>
      </c>
      <c r="J3728" t="s">
        <v>25</v>
      </c>
      <c r="K3728">
        <v>3</v>
      </c>
      <c r="L3728" t="e">
        <f t="array" ref="L3728">VLOOKUP(J3728:$J$3871&amp;K3728:$K$3871,CHOOSE({1,2},#REF!&amp;#REF!,#REF!),2,0)</f>
        <v>#N/A</v>
      </c>
      <c r="M3728">
        <v>-15</v>
      </c>
      <c r="N3728">
        <v>0</v>
      </c>
      <c r="O3728" t="s">
        <v>7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1</v>
      </c>
      <c r="Y3728">
        <v>0</v>
      </c>
      <c r="Z3728">
        <v>0</v>
      </c>
      <c r="AA3728" t="s">
        <v>5539</v>
      </c>
      <c r="AB3728" t="s">
        <v>7516</v>
      </c>
      <c r="AC3728" t="s">
        <v>5539</v>
      </c>
      <c r="AD3728" t="e">
        <f>VLOOKUP(AB3728,#REF!,2,FALSE)</f>
        <v>#REF!</v>
      </c>
      <c r="AE3728" t="e">
        <f>RIGHT(#REF!,(FIND("Complex",#REF!,1)-6))</f>
        <v>#REF!</v>
      </c>
    </row>
    <row r="3729" spans="1:31" x14ac:dyDescent="0.25">
      <c r="A3729">
        <v>219</v>
      </c>
      <c r="B3729" t="s">
        <v>58</v>
      </c>
      <c r="C3729">
        <v>94</v>
      </c>
      <c r="D3729">
        <v>92</v>
      </c>
      <c r="E3729">
        <v>219</v>
      </c>
      <c r="F3729">
        <v>8467201</v>
      </c>
      <c r="G3729">
        <v>8555400</v>
      </c>
      <c r="H3729">
        <f t="shared" si="116"/>
        <v>192.00002267573697</v>
      </c>
      <c r="I3729">
        <f t="shared" si="117"/>
        <v>194</v>
      </c>
      <c r="J3729" t="s">
        <v>25</v>
      </c>
      <c r="K3729">
        <v>3</v>
      </c>
      <c r="L3729" t="e">
        <f t="array" ref="L3729">VLOOKUP(J3729:$J$3871&amp;K3729:$K$3871,CHOOSE({1,2},#REF!&amp;#REF!,#REF!),2,0)</f>
        <v>#N/A</v>
      </c>
      <c r="M3729">
        <v>-15</v>
      </c>
      <c r="N3729">
        <v>0</v>
      </c>
      <c r="O3729" t="s">
        <v>7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1</v>
      </c>
      <c r="Y3729">
        <v>0</v>
      </c>
      <c r="Z3729">
        <v>0</v>
      </c>
      <c r="AA3729" t="s">
        <v>5673</v>
      </c>
      <c r="AB3729" t="s">
        <v>7602</v>
      </c>
      <c r="AC3729" t="s">
        <v>5673</v>
      </c>
      <c r="AD3729" t="e">
        <f>VLOOKUP(AB3729,#REF!,2,FALSE)</f>
        <v>#REF!</v>
      </c>
      <c r="AE3729" t="e">
        <f>RIGHT(#REF!,(FIND("Complex",#REF!,1)-6))</f>
        <v>#REF!</v>
      </c>
    </row>
    <row r="3730" spans="1:31" x14ac:dyDescent="0.25">
      <c r="A3730">
        <v>1606</v>
      </c>
      <c r="B3730" t="s">
        <v>270</v>
      </c>
      <c r="C3730">
        <v>95</v>
      </c>
      <c r="D3730">
        <v>694</v>
      </c>
      <c r="E3730">
        <v>1606</v>
      </c>
      <c r="F3730">
        <v>1146601</v>
      </c>
      <c r="G3730">
        <v>1234800</v>
      </c>
      <c r="H3730">
        <f t="shared" si="116"/>
        <v>26.000022675736961</v>
      </c>
      <c r="I3730">
        <f t="shared" si="117"/>
        <v>28</v>
      </c>
      <c r="J3730" t="s">
        <v>25</v>
      </c>
      <c r="K3730">
        <v>3</v>
      </c>
      <c r="L3730" t="e">
        <f t="array" ref="L3730">VLOOKUP(J3730:$J$3871&amp;K3730:$K$3871,CHOOSE({1,2},#REF!&amp;#REF!,#REF!),2,0)</f>
        <v>#N/A</v>
      </c>
      <c r="M3730">
        <v>-15</v>
      </c>
      <c r="N3730">
        <v>0</v>
      </c>
      <c r="O3730" t="s">
        <v>7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1</v>
      </c>
      <c r="Y3730">
        <v>0</v>
      </c>
      <c r="Z3730">
        <v>0</v>
      </c>
      <c r="AA3730" t="s">
        <v>5457</v>
      </c>
      <c r="AB3730" t="s">
        <v>7459</v>
      </c>
      <c r="AC3730" t="s">
        <v>5457</v>
      </c>
      <c r="AD3730" t="e">
        <f>VLOOKUP(AB3730,#REF!,2,FALSE)</f>
        <v>#REF!</v>
      </c>
      <c r="AE3730" t="e">
        <f>RIGHT(#REF!,(FIND("Complex",#REF!,1)-8))</f>
        <v>#REF!</v>
      </c>
    </row>
    <row r="3731" spans="1:31" x14ac:dyDescent="0.25">
      <c r="A3731">
        <v>895</v>
      </c>
      <c r="B3731" t="s">
        <v>270</v>
      </c>
      <c r="C3731">
        <v>95</v>
      </c>
      <c r="D3731">
        <v>397</v>
      </c>
      <c r="E3731">
        <v>895</v>
      </c>
      <c r="F3731">
        <v>5468401</v>
      </c>
      <c r="G3731">
        <v>5556600</v>
      </c>
      <c r="H3731">
        <f t="shared" si="116"/>
        <v>124.00002267573696</v>
      </c>
      <c r="I3731">
        <f t="shared" si="117"/>
        <v>126</v>
      </c>
      <c r="J3731" t="s">
        <v>25</v>
      </c>
      <c r="K3731">
        <v>3</v>
      </c>
      <c r="L3731" t="e">
        <f t="array" ref="L3731">VLOOKUP(J3731:$J$3871&amp;K3731:$K$3871,CHOOSE({1,2},#REF!&amp;#REF!,#REF!),2,0)</f>
        <v>#N/A</v>
      </c>
      <c r="M3731">
        <v>-15</v>
      </c>
      <c r="N3731">
        <v>0</v>
      </c>
      <c r="O3731" t="s">
        <v>7</v>
      </c>
      <c r="P3731">
        <v>0</v>
      </c>
      <c r="Q3731">
        <v>0</v>
      </c>
      <c r="R3731">
        <v>0</v>
      </c>
      <c r="S3731">
        <v>1</v>
      </c>
      <c r="T3731">
        <v>0</v>
      </c>
      <c r="U3731">
        <v>0</v>
      </c>
      <c r="V3731">
        <v>0</v>
      </c>
      <c r="W3731">
        <v>1</v>
      </c>
      <c r="X3731">
        <v>1</v>
      </c>
      <c r="Y3731">
        <v>0</v>
      </c>
      <c r="Z3731">
        <v>0</v>
      </c>
      <c r="AA3731" t="s">
        <v>5996</v>
      </c>
      <c r="AB3731" t="s">
        <v>7795</v>
      </c>
      <c r="AC3731" t="s">
        <v>5996</v>
      </c>
      <c r="AD3731" t="e">
        <f>VLOOKUP(AB3731,#REF!,2,FALSE)</f>
        <v>#REF!</v>
      </c>
      <c r="AE3731" t="e">
        <f>RIGHT(#REF!,(FIND("Complex",#REF!,1)-6))</f>
        <v>#REF!</v>
      </c>
    </row>
    <row r="3732" spans="1:31" x14ac:dyDescent="0.25">
      <c r="A3732">
        <v>406</v>
      </c>
      <c r="B3732" t="s">
        <v>270</v>
      </c>
      <c r="C3732">
        <v>95</v>
      </c>
      <c r="D3732">
        <v>174</v>
      </c>
      <c r="E3732">
        <v>406</v>
      </c>
      <c r="F3732">
        <v>4410001</v>
      </c>
      <c r="G3732">
        <v>4498200</v>
      </c>
      <c r="H3732">
        <f t="shared" si="116"/>
        <v>100.00002267573696</v>
      </c>
      <c r="I3732">
        <f t="shared" si="117"/>
        <v>102</v>
      </c>
      <c r="J3732" t="s">
        <v>25</v>
      </c>
      <c r="K3732">
        <v>3</v>
      </c>
      <c r="L3732" t="e">
        <f t="array" ref="L3732">VLOOKUP(J3732:$J$3871&amp;K3732:$K$3871,CHOOSE({1,2},#REF!&amp;#REF!,#REF!),2,0)</f>
        <v>#N/A</v>
      </c>
      <c r="M3732">
        <v>-15</v>
      </c>
      <c r="N3732">
        <v>0</v>
      </c>
      <c r="O3732" t="s">
        <v>7</v>
      </c>
      <c r="P3732">
        <v>0</v>
      </c>
      <c r="Q3732">
        <v>1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1</v>
      </c>
      <c r="Y3732">
        <v>0</v>
      </c>
      <c r="Z3732">
        <v>0</v>
      </c>
      <c r="AA3732" t="s">
        <v>6120</v>
      </c>
      <c r="AB3732" t="s">
        <v>7862</v>
      </c>
      <c r="AC3732" t="s">
        <v>6120</v>
      </c>
      <c r="AD3732" t="e">
        <f>VLOOKUP(AB3732,#REF!,2,FALSE)</f>
        <v>#REF!</v>
      </c>
      <c r="AE3732" t="e">
        <f>RIGHT(#REF!,(FIND("Complex",#REF!,1)-6))</f>
        <v>#REF!</v>
      </c>
    </row>
    <row r="3733" spans="1:31" x14ac:dyDescent="0.25">
      <c r="A3733">
        <v>1609</v>
      </c>
      <c r="B3733" t="s">
        <v>83</v>
      </c>
      <c r="C3733">
        <v>97</v>
      </c>
      <c r="D3733">
        <v>696</v>
      </c>
      <c r="E3733">
        <v>1609</v>
      </c>
      <c r="F3733">
        <v>6438601</v>
      </c>
      <c r="G3733">
        <v>6526800</v>
      </c>
      <c r="H3733">
        <f t="shared" si="116"/>
        <v>146.00002267573697</v>
      </c>
      <c r="I3733">
        <f t="shared" si="117"/>
        <v>148</v>
      </c>
      <c r="J3733" t="s">
        <v>25</v>
      </c>
      <c r="K3733">
        <v>3</v>
      </c>
      <c r="L3733" t="e">
        <f t="array" ref="L3733">VLOOKUP(J3733:$J$3871&amp;K3733:$K$3871,CHOOSE({1,2},#REF!&amp;#REF!,#REF!),2,0)</f>
        <v>#N/A</v>
      </c>
      <c r="M3733">
        <v>-15</v>
      </c>
      <c r="N3733">
        <v>0</v>
      </c>
      <c r="O3733" t="s">
        <v>7</v>
      </c>
      <c r="P3733">
        <v>0</v>
      </c>
      <c r="Q3733">
        <v>0</v>
      </c>
      <c r="R3733">
        <v>1</v>
      </c>
      <c r="S3733">
        <v>1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 t="s">
        <v>5897</v>
      </c>
      <c r="AB3733" t="s">
        <v>7739</v>
      </c>
      <c r="AC3733" t="s">
        <v>5897</v>
      </c>
      <c r="AD3733" t="e">
        <f>VLOOKUP(AB3733,#REF!,2,FALSE)</f>
        <v>#REF!</v>
      </c>
      <c r="AE3733" t="e">
        <f>RIGHT(#REF!,(FIND("Complex",#REF!,1)-7))</f>
        <v>#REF!</v>
      </c>
    </row>
    <row r="3734" spans="1:31" x14ac:dyDescent="0.25">
      <c r="A3734">
        <v>1349</v>
      </c>
      <c r="B3734" t="s">
        <v>272</v>
      </c>
      <c r="C3734">
        <v>98</v>
      </c>
      <c r="D3734">
        <v>591</v>
      </c>
      <c r="E3734">
        <v>1349</v>
      </c>
      <c r="F3734">
        <v>2381401</v>
      </c>
      <c r="G3734">
        <v>2469600</v>
      </c>
      <c r="H3734">
        <f t="shared" si="116"/>
        <v>54.000022675736965</v>
      </c>
      <c r="I3734">
        <f t="shared" si="117"/>
        <v>56</v>
      </c>
      <c r="J3734" t="s">
        <v>25</v>
      </c>
      <c r="K3734">
        <v>3</v>
      </c>
      <c r="L3734" t="e">
        <f t="array" ref="L3734">VLOOKUP(J3734:$J$3871&amp;K3734:$K$3871,CHOOSE({1,2},#REF!&amp;#REF!,#REF!),2,0)</f>
        <v>#N/A</v>
      </c>
      <c r="M3734">
        <v>-15</v>
      </c>
      <c r="N3734">
        <v>0</v>
      </c>
      <c r="O3734" t="s">
        <v>7</v>
      </c>
      <c r="P3734">
        <v>0</v>
      </c>
      <c r="Q3734">
        <v>0</v>
      </c>
      <c r="R3734">
        <v>0</v>
      </c>
      <c r="S3734">
        <v>1</v>
      </c>
      <c r="T3734">
        <v>0</v>
      </c>
      <c r="U3734">
        <v>0</v>
      </c>
      <c r="V3734">
        <v>0</v>
      </c>
      <c r="W3734">
        <v>1</v>
      </c>
      <c r="X3734">
        <v>1</v>
      </c>
      <c r="Y3734">
        <v>0</v>
      </c>
      <c r="Z3734">
        <v>0</v>
      </c>
      <c r="AA3734" t="s">
        <v>5163</v>
      </c>
      <c r="AB3734" t="s">
        <v>7301</v>
      </c>
      <c r="AC3734" t="s">
        <v>5163</v>
      </c>
      <c r="AD3734" t="e">
        <f>VLOOKUP(AB3734,#REF!,2,FALSE)</f>
        <v>#REF!</v>
      </c>
      <c r="AE3734" t="e">
        <f>RIGHT(#REF!,(FIND("Complex",#REF!,1)-8))</f>
        <v>#REF!</v>
      </c>
    </row>
    <row r="3735" spans="1:31" x14ac:dyDescent="0.25">
      <c r="A3735">
        <v>2102</v>
      </c>
      <c r="B3735" t="s">
        <v>272</v>
      </c>
      <c r="C3735">
        <v>98</v>
      </c>
      <c r="D3735">
        <v>888</v>
      </c>
      <c r="E3735">
        <v>2102</v>
      </c>
      <c r="F3735">
        <v>2116801</v>
      </c>
      <c r="G3735">
        <v>2205000</v>
      </c>
      <c r="H3735">
        <f t="shared" si="116"/>
        <v>48.000022675736965</v>
      </c>
      <c r="I3735">
        <f t="shared" si="117"/>
        <v>50</v>
      </c>
      <c r="J3735" t="s">
        <v>25</v>
      </c>
      <c r="K3735">
        <v>3</v>
      </c>
      <c r="L3735" t="e">
        <f t="array" ref="L3735">VLOOKUP(J3735:$J$3871&amp;K3735:$K$3871,CHOOSE({1,2},#REF!&amp;#REF!,#REF!),2,0)</f>
        <v>#N/A</v>
      </c>
      <c r="M3735">
        <v>-15</v>
      </c>
      <c r="N3735">
        <v>0</v>
      </c>
      <c r="O3735" t="s">
        <v>7</v>
      </c>
      <c r="P3735">
        <v>0</v>
      </c>
      <c r="Q3735">
        <v>0</v>
      </c>
      <c r="R3735">
        <v>0</v>
      </c>
      <c r="S3735">
        <v>1</v>
      </c>
      <c r="T3735">
        <v>0</v>
      </c>
      <c r="U3735">
        <v>0</v>
      </c>
      <c r="V3735">
        <v>0</v>
      </c>
      <c r="W3735">
        <v>1</v>
      </c>
      <c r="X3735">
        <v>1</v>
      </c>
      <c r="Y3735">
        <v>0</v>
      </c>
      <c r="Z3735">
        <v>0</v>
      </c>
      <c r="AA3735" t="s">
        <v>5200</v>
      </c>
      <c r="AB3735" t="s">
        <v>7314</v>
      </c>
      <c r="AC3735" t="s">
        <v>5200</v>
      </c>
      <c r="AD3735" t="e">
        <f>VLOOKUP(AB3735,#REF!,2,FALSE)</f>
        <v>#REF!</v>
      </c>
      <c r="AE3735" t="e">
        <f>RIGHT(#REF!,(FIND("Complex",#REF!,1)-8))</f>
        <v>#REF!</v>
      </c>
    </row>
    <row r="3736" spans="1:31" x14ac:dyDescent="0.25">
      <c r="A3736">
        <v>48</v>
      </c>
      <c r="B3736" t="s">
        <v>272</v>
      </c>
      <c r="C3736">
        <v>98</v>
      </c>
      <c r="D3736">
        <v>24</v>
      </c>
      <c r="E3736">
        <v>48</v>
      </c>
      <c r="F3736">
        <v>2028601</v>
      </c>
      <c r="G3736">
        <v>2116800</v>
      </c>
      <c r="H3736">
        <f t="shared" si="116"/>
        <v>46.000022675736965</v>
      </c>
      <c r="I3736">
        <f t="shared" si="117"/>
        <v>48</v>
      </c>
      <c r="J3736" t="s">
        <v>25</v>
      </c>
      <c r="K3736">
        <v>3</v>
      </c>
      <c r="L3736" t="e">
        <f t="array" ref="L3736">VLOOKUP(J3736:$J$3871&amp;K3736:$K$3871,CHOOSE({1,2},#REF!&amp;#REF!,#REF!),2,0)</f>
        <v>#N/A</v>
      </c>
      <c r="M3736">
        <v>-15</v>
      </c>
      <c r="N3736">
        <v>0</v>
      </c>
      <c r="O3736" t="s">
        <v>7</v>
      </c>
      <c r="P3736">
        <v>0</v>
      </c>
      <c r="Q3736">
        <v>0</v>
      </c>
      <c r="R3736">
        <v>0</v>
      </c>
      <c r="S3736">
        <v>1</v>
      </c>
      <c r="T3736">
        <v>0</v>
      </c>
      <c r="U3736">
        <v>0</v>
      </c>
      <c r="V3736">
        <v>0</v>
      </c>
      <c r="W3736">
        <v>1</v>
      </c>
      <c r="X3736">
        <v>1</v>
      </c>
      <c r="Y3736">
        <v>0</v>
      </c>
      <c r="Z3736">
        <v>0</v>
      </c>
      <c r="AA3736" t="s">
        <v>5213</v>
      </c>
      <c r="AB3736" t="s">
        <v>7320</v>
      </c>
      <c r="AC3736" t="s">
        <v>5213</v>
      </c>
      <c r="AD3736" t="e">
        <f>VLOOKUP(AB3736,#REF!,2,FALSE)</f>
        <v>#REF!</v>
      </c>
      <c r="AE3736" t="e">
        <f>RIGHT(#REF!,(FIND("Complex",#REF!,1)-6))</f>
        <v>#REF!</v>
      </c>
    </row>
    <row r="3737" spans="1:31" x14ac:dyDescent="0.25">
      <c r="A3737">
        <v>465</v>
      </c>
      <c r="B3737" t="s">
        <v>272</v>
      </c>
      <c r="C3737">
        <v>98</v>
      </c>
      <c r="D3737">
        <v>194</v>
      </c>
      <c r="E3737">
        <v>465</v>
      </c>
      <c r="F3737">
        <v>17199001</v>
      </c>
      <c r="G3737">
        <v>17287200</v>
      </c>
      <c r="H3737">
        <f t="shared" si="116"/>
        <v>390.00002267573694</v>
      </c>
      <c r="I3737">
        <f t="shared" si="117"/>
        <v>392</v>
      </c>
      <c r="J3737" t="s">
        <v>25</v>
      </c>
      <c r="K3737">
        <v>3</v>
      </c>
      <c r="L3737" t="e">
        <f t="array" ref="L3737">VLOOKUP(J3737:$J$3871&amp;K3737:$K$3871,CHOOSE({1,2},#REF!&amp;#REF!,#REF!),2,0)</f>
        <v>#N/A</v>
      </c>
      <c r="M3737">
        <v>-15</v>
      </c>
      <c r="N3737">
        <v>0</v>
      </c>
      <c r="O3737" t="s">
        <v>7</v>
      </c>
      <c r="P3737">
        <v>0</v>
      </c>
      <c r="Q3737">
        <v>0</v>
      </c>
      <c r="R3737">
        <v>0</v>
      </c>
      <c r="S3737">
        <v>1</v>
      </c>
      <c r="T3737">
        <v>0</v>
      </c>
      <c r="U3737">
        <v>0</v>
      </c>
      <c r="V3737">
        <v>0</v>
      </c>
      <c r="W3737">
        <v>1</v>
      </c>
      <c r="X3737">
        <v>1</v>
      </c>
      <c r="Y3737">
        <v>0</v>
      </c>
      <c r="Z3737">
        <v>0</v>
      </c>
      <c r="AA3737" t="s">
        <v>5284</v>
      </c>
      <c r="AB3737" t="s">
        <v>1900</v>
      </c>
      <c r="AC3737" t="s">
        <v>5284</v>
      </c>
      <c r="AD3737" t="e">
        <f>VLOOKUP(AB3737,#REF!,2,FALSE)</f>
        <v>#REF!</v>
      </c>
      <c r="AE3737" t="e">
        <f>RIGHT(#REF!,(FIND("Complex",#REF!,1)-6))</f>
        <v>#REF!</v>
      </c>
    </row>
    <row r="3738" spans="1:31" x14ac:dyDescent="0.25">
      <c r="A3738">
        <v>734</v>
      </c>
      <c r="B3738" t="s">
        <v>272</v>
      </c>
      <c r="C3738">
        <v>98</v>
      </c>
      <c r="D3738">
        <v>322</v>
      </c>
      <c r="E3738">
        <v>734</v>
      </c>
      <c r="F3738">
        <v>16846201</v>
      </c>
      <c r="G3738">
        <v>16934400</v>
      </c>
      <c r="H3738">
        <f t="shared" si="116"/>
        <v>382.00002267573694</v>
      </c>
      <c r="I3738">
        <f t="shared" si="117"/>
        <v>384</v>
      </c>
      <c r="J3738" t="s">
        <v>25</v>
      </c>
      <c r="K3738">
        <v>3</v>
      </c>
      <c r="L3738" t="e">
        <f t="array" ref="L3738">VLOOKUP(J3738:$J$3871&amp;K3738:$K$3871,CHOOSE({1,2},#REF!&amp;#REF!,#REF!),2,0)</f>
        <v>#N/A</v>
      </c>
      <c r="M3738">
        <v>-15</v>
      </c>
      <c r="N3738">
        <v>0</v>
      </c>
      <c r="O3738" t="s">
        <v>7</v>
      </c>
      <c r="P3738">
        <v>0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1</v>
      </c>
      <c r="X3738">
        <v>1</v>
      </c>
      <c r="Y3738">
        <v>0</v>
      </c>
      <c r="Z3738">
        <v>0</v>
      </c>
      <c r="AA3738" t="s">
        <v>5286</v>
      </c>
      <c r="AB3738" t="s">
        <v>7358</v>
      </c>
      <c r="AC3738" t="s">
        <v>5286</v>
      </c>
      <c r="AD3738" t="e">
        <f>VLOOKUP(AB3738,#REF!,2,FALSE)</f>
        <v>#REF!</v>
      </c>
      <c r="AE3738" t="e">
        <f>RIGHT(#REF!,(FIND("Complex",#REF!,1)-6))</f>
        <v>#REF!</v>
      </c>
    </row>
    <row r="3739" spans="1:31" x14ac:dyDescent="0.25">
      <c r="A3739">
        <v>629</v>
      </c>
      <c r="B3739" t="s">
        <v>272</v>
      </c>
      <c r="C3739">
        <v>98</v>
      </c>
      <c r="D3739">
        <v>270</v>
      </c>
      <c r="E3739">
        <v>629</v>
      </c>
      <c r="F3739">
        <v>16405201</v>
      </c>
      <c r="G3739">
        <v>16493400</v>
      </c>
      <c r="H3739">
        <f t="shared" si="116"/>
        <v>372.00002267573694</v>
      </c>
      <c r="I3739">
        <f t="shared" si="117"/>
        <v>374</v>
      </c>
      <c r="J3739" t="s">
        <v>25</v>
      </c>
      <c r="K3739">
        <v>3</v>
      </c>
      <c r="L3739" t="e">
        <f t="array" ref="L3739">VLOOKUP(J3739:$J$3871&amp;K3739:$K$3871,CHOOSE({1,2},#REF!&amp;#REF!,#REF!),2,0)</f>
        <v>#N/A</v>
      </c>
      <c r="M3739">
        <v>-15</v>
      </c>
      <c r="N3739">
        <v>0</v>
      </c>
      <c r="O3739" t="s">
        <v>7</v>
      </c>
      <c r="P3739">
        <v>0</v>
      </c>
      <c r="Q3739">
        <v>0</v>
      </c>
      <c r="R3739">
        <v>0</v>
      </c>
      <c r="S3739">
        <v>1</v>
      </c>
      <c r="T3739">
        <v>0</v>
      </c>
      <c r="U3739">
        <v>0</v>
      </c>
      <c r="V3739">
        <v>0</v>
      </c>
      <c r="W3739">
        <v>1</v>
      </c>
      <c r="X3739">
        <v>1</v>
      </c>
      <c r="Y3739">
        <v>0</v>
      </c>
      <c r="Z3739">
        <v>0</v>
      </c>
      <c r="AA3739" t="s">
        <v>5302</v>
      </c>
      <c r="AB3739" t="s">
        <v>7363</v>
      </c>
      <c r="AC3739" t="s">
        <v>5302</v>
      </c>
      <c r="AD3739" t="e">
        <f>VLOOKUP(AB3739,#REF!,2,FALSE)</f>
        <v>#REF!</v>
      </c>
      <c r="AE3739" t="e">
        <f>RIGHT(#REF!,(FIND("Complex",#REF!,1)-6))</f>
        <v>#REF!</v>
      </c>
    </row>
    <row r="3740" spans="1:31" x14ac:dyDescent="0.25">
      <c r="A3740">
        <v>1583</v>
      </c>
      <c r="B3740" t="s">
        <v>272</v>
      </c>
      <c r="C3740">
        <v>98</v>
      </c>
      <c r="D3740">
        <v>685</v>
      </c>
      <c r="E3740">
        <v>1583</v>
      </c>
      <c r="F3740">
        <v>16317001</v>
      </c>
      <c r="G3740">
        <v>16405200</v>
      </c>
      <c r="H3740">
        <f t="shared" si="116"/>
        <v>370.00002267573694</v>
      </c>
      <c r="I3740">
        <f t="shared" si="117"/>
        <v>372</v>
      </c>
      <c r="J3740" t="s">
        <v>25</v>
      </c>
      <c r="K3740">
        <v>3</v>
      </c>
      <c r="L3740" t="e">
        <f t="array" ref="L3740">VLOOKUP(J3740:$J$3871&amp;K3740:$K$3871,CHOOSE({1,2},#REF!&amp;#REF!,#REF!),2,0)</f>
        <v>#N/A</v>
      </c>
      <c r="M3740">
        <v>-15</v>
      </c>
      <c r="N3740">
        <v>0</v>
      </c>
      <c r="O3740" t="s">
        <v>7</v>
      </c>
      <c r="P3740">
        <v>0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1</v>
      </c>
      <c r="X3740">
        <v>1</v>
      </c>
      <c r="Y3740">
        <v>0</v>
      </c>
      <c r="Z3740">
        <v>0</v>
      </c>
      <c r="AA3740" t="s">
        <v>5304</v>
      </c>
      <c r="AB3740" t="s">
        <v>7365</v>
      </c>
      <c r="AC3740" t="s">
        <v>5304</v>
      </c>
      <c r="AD3740" t="e">
        <f>VLOOKUP(AB3740,#REF!,2,FALSE)</f>
        <v>#REF!</v>
      </c>
      <c r="AE3740" t="e">
        <f>RIGHT(#REF!,(FIND("Complex",#REF!,1)-7))</f>
        <v>#REF!</v>
      </c>
    </row>
    <row r="3741" spans="1:31" x14ac:dyDescent="0.25">
      <c r="A3741">
        <v>1693</v>
      </c>
      <c r="B3741" t="s">
        <v>272</v>
      </c>
      <c r="C3741">
        <v>98</v>
      </c>
      <c r="D3741">
        <v>741</v>
      </c>
      <c r="E3741">
        <v>1693</v>
      </c>
      <c r="F3741">
        <v>15435001</v>
      </c>
      <c r="G3741">
        <v>15523200</v>
      </c>
      <c r="H3741">
        <f t="shared" si="116"/>
        <v>350.00002267573694</v>
      </c>
      <c r="I3741">
        <f t="shared" si="117"/>
        <v>352</v>
      </c>
      <c r="J3741" t="s">
        <v>25</v>
      </c>
      <c r="K3741">
        <v>3</v>
      </c>
      <c r="L3741" t="e">
        <f t="array" ref="L3741">VLOOKUP(J3741:$J$3871&amp;K3741:$K$3871,CHOOSE({1,2},#REF!&amp;#REF!,#REF!),2,0)</f>
        <v>#N/A</v>
      </c>
      <c r="M3741">
        <v>-15</v>
      </c>
      <c r="N3741">
        <v>0</v>
      </c>
      <c r="O3741" t="s">
        <v>7</v>
      </c>
      <c r="P3741">
        <v>0</v>
      </c>
      <c r="Q3741">
        <v>0</v>
      </c>
      <c r="R3741">
        <v>0</v>
      </c>
      <c r="S3741">
        <v>1</v>
      </c>
      <c r="T3741">
        <v>0</v>
      </c>
      <c r="U3741">
        <v>0</v>
      </c>
      <c r="V3741">
        <v>0</v>
      </c>
      <c r="W3741">
        <v>1</v>
      </c>
      <c r="X3741">
        <v>1</v>
      </c>
      <c r="Y3741">
        <v>0</v>
      </c>
      <c r="Z3741">
        <v>0</v>
      </c>
      <c r="AA3741" t="s">
        <v>5324</v>
      </c>
      <c r="AB3741" t="s">
        <v>7380</v>
      </c>
      <c r="AC3741" t="s">
        <v>5324</v>
      </c>
      <c r="AD3741" t="e">
        <f>VLOOKUP(AB3741,#REF!,2,FALSE)</f>
        <v>#REF!</v>
      </c>
      <c r="AE3741" t="e">
        <f>RIGHT(#REF!,(FIND("Complex",#REF!,1)-7))</f>
        <v>#REF!</v>
      </c>
    </row>
    <row r="3742" spans="1:31" x14ac:dyDescent="0.25">
      <c r="A3742">
        <v>1013</v>
      </c>
      <c r="B3742" t="s">
        <v>272</v>
      </c>
      <c r="C3742">
        <v>98</v>
      </c>
      <c r="D3742">
        <v>449</v>
      </c>
      <c r="E3742">
        <v>1013</v>
      </c>
      <c r="F3742">
        <v>14729401</v>
      </c>
      <c r="G3742">
        <v>14817600</v>
      </c>
      <c r="H3742">
        <f t="shared" si="116"/>
        <v>334.00002267573694</v>
      </c>
      <c r="I3742">
        <f t="shared" si="117"/>
        <v>336</v>
      </c>
      <c r="J3742" t="s">
        <v>25</v>
      </c>
      <c r="K3742">
        <v>3</v>
      </c>
      <c r="L3742" t="e">
        <f t="array" ref="L3742">VLOOKUP(J3742:$J$3871&amp;K3742:$K$3871,CHOOSE({1,2},#REF!&amp;#REF!,#REF!),2,0)</f>
        <v>#N/A</v>
      </c>
      <c r="M3742">
        <v>-15</v>
      </c>
      <c r="N3742">
        <v>0</v>
      </c>
      <c r="O3742" t="s">
        <v>7</v>
      </c>
      <c r="P3742">
        <v>0</v>
      </c>
      <c r="Q3742">
        <v>0</v>
      </c>
      <c r="R3742">
        <v>0</v>
      </c>
      <c r="S3742">
        <v>1</v>
      </c>
      <c r="T3742">
        <v>0</v>
      </c>
      <c r="U3742">
        <v>0</v>
      </c>
      <c r="V3742">
        <v>0</v>
      </c>
      <c r="W3742">
        <v>1</v>
      </c>
      <c r="X3742">
        <v>1</v>
      </c>
      <c r="Y3742">
        <v>0</v>
      </c>
      <c r="Z3742">
        <v>0</v>
      </c>
      <c r="AA3742" t="s">
        <v>5347</v>
      </c>
      <c r="AB3742" t="s">
        <v>1901</v>
      </c>
      <c r="AC3742" t="s">
        <v>5347</v>
      </c>
      <c r="AD3742" t="e">
        <f>VLOOKUP(AB3742,#REF!,2,FALSE)</f>
        <v>#REF!</v>
      </c>
      <c r="AE3742" t="e">
        <f>RIGHT(#REF!,(FIND("Complex",#REF!,1)-7))</f>
        <v>#REF!</v>
      </c>
    </row>
    <row r="3743" spans="1:31" x14ac:dyDescent="0.25">
      <c r="A3743">
        <v>865</v>
      </c>
      <c r="B3743" t="s">
        <v>272</v>
      </c>
      <c r="C3743">
        <v>98</v>
      </c>
      <c r="D3743">
        <v>386</v>
      </c>
      <c r="E3743">
        <v>865</v>
      </c>
      <c r="F3743">
        <v>14200201</v>
      </c>
      <c r="G3743">
        <v>14288400</v>
      </c>
      <c r="H3743">
        <f t="shared" si="116"/>
        <v>322.00002267573694</v>
      </c>
      <c r="I3743">
        <f t="shared" si="117"/>
        <v>324</v>
      </c>
      <c r="J3743" t="s">
        <v>25</v>
      </c>
      <c r="K3743">
        <v>3</v>
      </c>
      <c r="L3743" t="e">
        <f t="array" ref="L3743">VLOOKUP(J3743:$J$3871&amp;K3743:$K$3871,CHOOSE({1,2},#REF!&amp;#REF!,#REF!),2,0)</f>
        <v>#N/A</v>
      </c>
      <c r="M3743">
        <v>-15</v>
      </c>
      <c r="N3743">
        <v>0</v>
      </c>
      <c r="O3743" t="s">
        <v>7</v>
      </c>
      <c r="P3743">
        <v>0</v>
      </c>
      <c r="Q3743">
        <v>0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1</v>
      </c>
      <c r="X3743">
        <v>1</v>
      </c>
      <c r="Y3743">
        <v>0</v>
      </c>
      <c r="Z3743">
        <v>0</v>
      </c>
      <c r="AA3743" t="s">
        <v>5356</v>
      </c>
      <c r="AB3743" t="s">
        <v>1902</v>
      </c>
      <c r="AC3743" t="s">
        <v>5356</v>
      </c>
      <c r="AD3743" t="e">
        <f>VLOOKUP(AB3743,#REF!,2,FALSE)</f>
        <v>#REF!</v>
      </c>
      <c r="AE3743" t="e">
        <f>RIGHT(#REF!,(FIND("Complex",#REF!,1)-6))</f>
        <v>#REF!</v>
      </c>
    </row>
    <row r="3744" spans="1:31" x14ac:dyDescent="0.25">
      <c r="A3744">
        <v>2187</v>
      </c>
      <c r="B3744" t="s">
        <v>272</v>
      </c>
      <c r="C3744">
        <v>98</v>
      </c>
      <c r="D3744">
        <v>909</v>
      </c>
      <c r="E3744">
        <v>2187</v>
      </c>
      <c r="F3744">
        <v>13318201</v>
      </c>
      <c r="G3744">
        <v>13406400</v>
      </c>
      <c r="H3744">
        <f t="shared" si="116"/>
        <v>302.00002267573694</v>
      </c>
      <c r="I3744">
        <f t="shared" si="117"/>
        <v>304</v>
      </c>
      <c r="J3744" t="s">
        <v>25</v>
      </c>
      <c r="K3744">
        <v>3</v>
      </c>
      <c r="L3744" t="e">
        <f t="array" ref="L3744">VLOOKUP(J3744:$J$3871&amp;K3744:$K$3871,CHOOSE({1,2},#REF!&amp;#REF!,#REF!),2,0)</f>
        <v>#N/A</v>
      </c>
      <c r="M3744">
        <v>-15</v>
      </c>
      <c r="N3744">
        <v>0</v>
      </c>
      <c r="O3744" t="s">
        <v>7</v>
      </c>
      <c r="P3744">
        <v>0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1</v>
      </c>
      <c r="X3744">
        <v>1</v>
      </c>
      <c r="Y3744">
        <v>0</v>
      </c>
      <c r="Z3744">
        <v>0</v>
      </c>
      <c r="AA3744" t="s">
        <v>5371</v>
      </c>
      <c r="AB3744" t="s">
        <v>7404</v>
      </c>
      <c r="AC3744" t="s">
        <v>5371</v>
      </c>
      <c r="AD3744" t="e">
        <f>VLOOKUP(AB3744,#REF!,2,FALSE)</f>
        <v>#REF!</v>
      </c>
      <c r="AE3744" t="e">
        <f>RIGHT(#REF!,(FIND("Complex",#REF!,1)-7))</f>
        <v>#REF!</v>
      </c>
    </row>
    <row r="3745" spans="1:31" x14ac:dyDescent="0.25">
      <c r="A3745">
        <v>1781</v>
      </c>
      <c r="B3745" t="s">
        <v>272</v>
      </c>
      <c r="C3745">
        <v>98</v>
      </c>
      <c r="D3745">
        <v>774</v>
      </c>
      <c r="E3745">
        <v>1781</v>
      </c>
      <c r="F3745">
        <v>12965401</v>
      </c>
      <c r="G3745">
        <v>13053600</v>
      </c>
      <c r="H3745">
        <f t="shared" si="116"/>
        <v>294.00002267573694</v>
      </c>
      <c r="I3745">
        <f t="shared" si="117"/>
        <v>296</v>
      </c>
      <c r="J3745" t="s">
        <v>25</v>
      </c>
      <c r="K3745">
        <v>3</v>
      </c>
      <c r="L3745" t="e">
        <f t="array" ref="L3745">VLOOKUP(J3745:$J$3871&amp;K3745:$K$3871,CHOOSE({1,2},#REF!&amp;#REF!,#REF!),2,0)</f>
        <v>#N/A</v>
      </c>
      <c r="M3745">
        <v>-15</v>
      </c>
      <c r="N3745">
        <v>0</v>
      </c>
      <c r="O3745" t="s">
        <v>7</v>
      </c>
      <c r="P3745">
        <v>0</v>
      </c>
      <c r="Q3745">
        <v>0</v>
      </c>
      <c r="R3745">
        <v>0</v>
      </c>
      <c r="S3745">
        <v>1</v>
      </c>
      <c r="T3745">
        <v>0</v>
      </c>
      <c r="U3745">
        <v>0</v>
      </c>
      <c r="V3745">
        <v>0</v>
      </c>
      <c r="W3745">
        <v>1</v>
      </c>
      <c r="X3745">
        <v>1</v>
      </c>
      <c r="Y3745">
        <v>0</v>
      </c>
      <c r="Z3745">
        <v>0</v>
      </c>
      <c r="AA3745" t="s">
        <v>5391</v>
      </c>
      <c r="AB3745" t="s">
        <v>7414</v>
      </c>
      <c r="AC3745" t="s">
        <v>5391</v>
      </c>
      <c r="AD3745" t="e">
        <f>VLOOKUP(AB3745,#REF!,2,FALSE)</f>
        <v>#REF!</v>
      </c>
      <c r="AE3745" t="e">
        <f>RIGHT(#REF!,(FIND("Complex",#REF!,1)-7))</f>
        <v>#REF!</v>
      </c>
    </row>
    <row r="3746" spans="1:31" x14ac:dyDescent="0.25">
      <c r="A3746">
        <v>2043</v>
      </c>
      <c r="B3746" t="s">
        <v>272</v>
      </c>
      <c r="C3746">
        <v>98</v>
      </c>
      <c r="D3746">
        <v>871</v>
      </c>
      <c r="E3746">
        <v>2043</v>
      </c>
      <c r="F3746">
        <v>12789001</v>
      </c>
      <c r="G3746">
        <v>12877200</v>
      </c>
      <c r="H3746">
        <f t="shared" si="116"/>
        <v>290.00002267573694</v>
      </c>
      <c r="I3746">
        <f t="shared" si="117"/>
        <v>292</v>
      </c>
      <c r="J3746" t="s">
        <v>25</v>
      </c>
      <c r="K3746">
        <v>3</v>
      </c>
      <c r="L3746" t="e">
        <f t="array" ref="L3746">VLOOKUP(J3746:$J$3871&amp;K3746:$K$3871,CHOOSE({1,2},#REF!&amp;#REF!,#REF!),2,0)</f>
        <v>#N/A</v>
      </c>
      <c r="M3746">
        <v>-15</v>
      </c>
      <c r="N3746">
        <v>0</v>
      </c>
      <c r="O3746" t="s">
        <v>7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1</v>
      </c>
      <c r="X3746">
        <v>1</v>
      </c>
      <c r="Y3746">
        <v>0</v>
      </c>
      <c r="Z3746">
        <v>0</v>
      </c>
      <c r="AA3746" t="s">
        <v>5396</v>
      </c>
      <c r="AB3746" t="s">
        <v>7419</v>
      </c>
      <c r="AC3746" t="s">
        <v>5396</v>
      </c>
      <c r="AD3746" t="e">
        <f>VLOOKUP(AB3746,#REF!,2,FALSE)</f>
        <v>#REF!</v>
      </c>
      <c r="AE3746" t="e">
        <f>RIGHT(#REF!,(FIND("Complex",#REF!,1)-7))</f>
        <v>#REF!</v>
      </c>
    </row>
    <row r="3747" spans="1:31" x14ac:dyDescent="0.25">
      <c r="A3747">
        <v>424</v>
      </c>
      <c r="B3747" t="s">
        <v>272</v>
      </c>
      <c r="C3747">
        <v>98</v>
      </c>
      <c r="D3747">
        <v>179</v>
      </c>
      <c r="E3747">
        <v>424</v>
      </c>
      <c r="F3747">
        <v>11466001</v>
      </c>
      <c r="G3747">
        <v>11554200</v>
      </c>
      <c r="H3747">
        <f t="shared" si="116"/>
        <v>260.00002267573694</v>
      </c>
      <c r="I3747">
        <f t="shared" si="117"/>
        <v>262</v>
      </c>
      <c r="J3747" t="s">
        <v>25</v>
      </c>
      <c r="K3747">
        <v>3</v>
      </c>
      <c r="L3747" t="e">
        <f t="array" ref="L3747">VLOOKUP(J3747:$J$3871&amp;K3747:$K$3871,CHOOSE({1,2},#REF!&amp;#REF!,#REF!),2,0)</f>
        <v>#N/A</v>
      </c>
      <c r="M3747">
        <v>-15</v>
      </c>
      <c r="N3747">
        <v>0</v>
      </c>
      <c r="O3747" t="s">
        <v>7</v>
      </c>
      <c r="P3747">
        <v>0</v>
      </c>
      <c r="Q3747">
        <v>0</v>
      </c>
      <c r="R3747">
        <v>0</v>
      </c>
      <c r="S3747">
        <v>1</v>
      </c>
      <c r="T3747">
        <v>0</v>
      </c>
      <c r="U3747">
        <v>0</v>
      </c>
      <c r="V3747">
        <v>0</v>
      </c>
      <c r="W3747">
        <v>1</v>
      </c>
      <c r="X3747">
        <v>1</v>
      </c>
      <c r="Y3747">
        <v>0</v>
      </c>
      <c r="Z3747">
        <v>0</v>
      </c>
      <c r="AA3747" t="s">
        <v>5450</v>
      </c>
      <c r="AB3747" t="s">
        <v>7454</v>
      </c>
      <c r="AC3747" t="s">
        <v>5450</v>
      </c>
      <c r="AD3747" t="e">
        <f>VLOOKUP(AB3747,#REF!,2,FALSE)</f>
        <v>#REF!</v>
      </c>
      <c r="AE3747" t="e">
        <f>RIGHT(#REF!,(FIND("Complex",#REF!,1)-6))</f>
        <v>#REF!</v>
      </c>
    </row>
    <row r="3748" spans="1:31" x14ac:dyDescent="0.25">
      <c r="A3748">
        <v>1961</v>
      </c>
      <c r="B3748" t="s">
        <v>272</v>
      </c>
      <c r="C3748">
        <v>98</v>
      </c>
      <c r="D3748">
        <v>847</v>
      </c>
      <c r="E3748">
        <v>1961</v>
      </c>
      <c r="F3748">
        <v>1146601</v>
      </c>
      <c r="G3748">
        <v>1234800</v>
      </c>
      <c r="H3748">
        <f t="shared" si="116"/>
        <v>26.000022675736961</v>
      </c>
      <c r="I3748">
        <f t="shared" si="117"/>
        <v>28</v>
      </c>
      <c r="J3748" t="s">
        <v>25</v>
      </c>
      <c r="K3748">
        <v>3</v>
      </c>
      <c r="L3748" t="e">
        <f t="array" ref="L3748">VLOOKUP(J3748:$J$3871&amp;K3748:$K$3871,CHOOSE({1,2},#REF!&amp;#REF!,#REF!),2,0)</f>
        <v>#N/A</v>
      </c>
      <c r="M3748">
        <v>-15</v>
      </c>
      <c r="N3748">
        <v>0</v>
      </c>
      <c r="O3748" t="s">
        <v>7</v>
      </c>
      <c r="P3748">
        <v>0</v>
      </c>
      <c r="Q3748">
        <v>0</v>
      </c>
      <c r="R3748">
        <v>0</v>
      </c>
      <c r="S3748">
        <v>1</v>
      </c>
      <c r="T3748">
        <v>0</v>
      </c>
      <c r="U3748">
        <v>0</v>
      </c>
      <c r="V3748">
        <v>0</v>
      </c>
      <c r="W3748">
        <v>1</v>
      </c>
      <c r="X3748">
        <v>1</v>
      </c>
      <c r="Y3748">
        <v>0</v>
      </c>
      <c r="Z3748">
        <v>0</v>
      </c>
      <c r="AA3748" t="s">
        <v>5456</v>
      </c>
      <c r="AB3748" t="s">
        <v>7458</v>
      </c>
      <c r="AC3748" t="s">
        <v>5456</v>
      </c>
      <c r="AD3748" t="e">
        <f>VLOOKUP(AB3748,#REF!,2,FALSE)</f>
        <v>#REF!</v>
      </c>
      <c r="AE3748" t="e">
        <f>RIGHT(#REF!,(FIND("Complex",#REF!,1)-8))</f>
        <v>#REF!</v>
      </c>
    </row>
    <row r="3749" spans="1:31" x14ac:dyDescent="0.25">
      <c r="A3749">
        <v>1320</v>
      </c>
      <c r="B3749" t="s">
        <v>272</v>
      </c>
      <c r="C3749">
        <v>98</v>
      </c>
      <c r="D3749">
        <v>573</v>
      </c>
      <c r="E3749">
        <v>1320</v>
      </c>
      <c r="F3749">
        <v>11377801</v>
      </c>
      <c r="G3749">
        <v>11466000</v>
      </c>
      <c r="H3749">
        <f t="shared" si="116"/>
        <v>258.00002267573694</v>
      </c>
      <c r="I3749">
        <f t="shared" si="117"/>
        <v>260</v>
      </c>
      <c r="J3749" t="s">
        <v>25</v>
      </c>
      <c r="K3749">
        <v>3</v>
      </c>
      <c r="L3749" t="e">
        <f t="array" ref="L3749">VLOOKUP(J3749:$J$3871&amp;K3749:$K$3871,CHOOSE({1,2},#REF!&amp;#REF!,#REF!),2,0)</f>
        <v>#N/A</v>
      </c>
      <c r="M3749">
        <v>-15</v>
      </c>
      <c r="N3749">
        <v>0</v>
      </c>
      <c r="O3749" t="s">
        <v>7</v>
      </c>
      <c r="P3749">
        <v>0</v>
      </c>
      <c r="Q3749">
        <v>0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1</v>
      </c>
      <c r="X3749">
        <v>1</v>
      </c>
      <c r="Y3749">
        <v>0</v>
      </c>
      <c r="Z3749">
        <v>0</v>
      </c>
      <c r="AA3749" t="s">
        <v>5472</v>
      </c>
      <c r="AB3749" t="s">
        <v>7468</v>
      </c>
      <c r="AC3749" t="s">
        <v>5472</v>
      </c>
      <c r="AD3749" t="e">
        <f>VLOOKUP(AB3749,#REF!,2,FALSE)</f>
        <v>#REF!</v>
      </c>
      <c r="AE3749" t="e">
        <f>RIGHT(#REF!,(FIND("Complex",#REF!,1)-7))</f>
        <v>#REF!</v>
      </c>
    </row>
    <row r="3750" spans="1:31" x14ac:dyDescent="0.25">
      <c r="A3750">
        <v>121</v>
      </c>
      <c r="B3750" t="s">
        <v>272</v>
      </c>
      <c r="C3750">
        <v>98</v>
      </c>
      <c r="D3750">
        <v>56</v>
      </c>
      <c r="E3750">
        <v>121</v>
      </c>
      <c r="F3750">
        <v>10848601</v>
      </c>
      <c r="G3750">
        <v>10936800</v>
      </c>
      <c r="H3750">
        <f t="shared" si="116"/>
        <v>246.00002267573697</v>
      </c>
      <c r="I3750">
        <f t="shared" si="117"/>
        <v>248</v>
      </c>
      <c r="J3750" t="s">
        <v>25</v>
      </c>
      <c r="K3750">
        <v>3</v>
      </c>
      <c r="L3750" t="e">
        <f t="array" ref="L3750">VLOOKUP(J3750:$J$3871&amp;K3750:$K$3871,CHOOSE({1,2},#REF!&amp;#REF!,#REF!),2,0)</f>
        <v>#N/A</v>
      </c>
      <c r="M3750">
        <v>-15</v>
      </c>
      <c r="N3750">
        <v>0</v>
      </c>
      <c r="O3750" t="s">
        <v>7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0</v>
      </c>
      <c r="W3750">
        <v>1</v>
      </c>
      <c r="X3750">
        <v>1</v>
      </c>
      <c r="Y3750">
        <v>0</v>
      </c>
      <c r="Z3750">
        <v>0</v>
      </c>
      <c r="AA3750" t="s">
        <v>5495</v>
      </c>
      <c r="AB3750" t="s">
        <v>7485</v>
      </c>
      <c r="AC3750" t="s">
        <v>5495</v>
      </c>
      <c r="AD3750" t="e">
        <f>VLOOKUP(AB3750,#REF!,2,FALSE)</f>
        <v>#REF!</v>
      </c>
      <c r="AE3750" t="e">
        <f>RIGHT(#REF!,(FIND("Complex",#REF!,1)-6))</f>
        <v>#REF!</v>
      </c>
    </row>
    <row r="3751" spans="1:31" x14ac:dyDescent="0.25">
      <c r="A3751">
        <v>1098</v>
      </c>
      <c r="B3751" t="s">
        <v>272</v>
      </c>
      <c r="C3751">
        <v>98</v>
      </c>
      <c r="D3751">
        <v>487</v>
      </c>
      <c r="E3751">
        <v>1098</v>
      </c>
      <c r="F3751">
        <v>10760401</v>
      </c>
      <c r="G3751">
        <v>10848600</v>
      </c>
      <c r="H3751">
        <f t="shared" si="116"/>
        <v>244.00002267573697</v>
      </c>
      <c r="I3751">
        <f t="shared" si="117"/>
        <v>246</v>
      </c>
      <c r="J3751" t="s">
        <v>25</v>
      </c>
      <c r="K3751">
        <v>3</v>
      </c>
      <c r="L3751" t="e">
        <f t="array" ref="L3751">VLOOKUP(J3751:$J$3871&amp;K3751:$K$3871,CHOOSE({1,2},#REF!&amp;#REF!,#REF!),2,0)</f>
        <v>#N/A</v>
      </c>
      <c r="M3751">
        <v>-15</v>
      </c>
      <c r="N3751">
        <v>0</v>
      </c>
      <c r="O3751" t="s">
        <v>7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W3751">
        <v>1</v>
      </c>
      <c r="X3751">
        <v>1</v>
      </c>
      <c r="Y3751">
        <v>0</v>
      </c>
      <c r="Z3751">
        <v>0</v>
      </c>
      <c r="AA3751" t="s">
        <v>5502</v>
      </c>
      <c r="AB3751" t="s">
        <v>7492</v>
      </c>
      <c r="AC3751" t="s">
        <v>5502</v>
      </c>
      <c r="AD3751" t="e">
        <f>VLOOKUP(AB3751,#REF!,2,FALSE)</f>
        <v>#REF!</v>
      </c>
      <c r="AE3751" t="e">
        <f>RIGHT(#REF!,(FIND("Complex",#REF!,1)-7))</f>
        <v>#REF!</v>
      </c>
    </row>
    <row r="3752" spans="1:31" x14ac:dyDescent="0.25">
      <c r="A3752">
        <v>1528</v>
      </c>
      <c r="B3752" t="s">
        <v>272</v>
      </c>
      <c r="C3752">
        <v>98</v>
      </c>
      <c r="D3752">
        <v>668</v>
      </c>
      <c r="E3752">
        <v>1528</v>
      </c>
      <c r="F3752">
        <v>10407601</v>
      </c>
      <c r="G3752">
        <v>10495800</v>
      </c>
      <c r="H3752">
        <f t="shared" si="116"/>
        <v>236.00002267573697</v>
      </c>
      <c r="I3752">
        <f t="shared" si="117"/>
        <v>238</v>
      </c>
      <c r="J3752" t="s">
        <v>25</v>
      </c>
      <c r="K3752">
        <v>3</v>
      </c>
      <c r="L3752" t="e">
        <f t="array" ref="L3752">VLOOKUP(J3752:$J$3871&amp;K3752:$K$3871,CHOOSE({1,2},#REF!&amp;#REF!,#REF!),2,0)</f>
        <v>#N/A</v>
      </c>
      <c r="M3752">
        <v>-15</v>
      </c>
      <c r="N3752">
        <v>0</v>
      </c>
      <c r="O3752" t="s">
        <v>7</v>
      </c>
      <c r="P3752">
        <v>0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1</v>
      </c>
      <c r="X3752">
        <v>1</v>
      </c>
      <c r="Y3752">
        <v>0</v>
      </c>
      <c r="Z3752">
        <v>0</v>
      </c>
      <c r="AA3752" t="s">
        <v>5535</v>
      </c>
      <c r="AB3752" t="s">
        <v>7513</v>
      </c>
      <c r="AC3752" t="s">
        <v>5535</v>
      </c>
      <c r="AD3752" t="e">
        <f>VLOOKUP(AB3752,#REF!,2,FALSE)</f>
        <v>#REF!</v>
      </c>
      <c r="AE3752" t="e">
        <f>RIGHT(#REF!,(FIND("Complex",#REF!,1)-7))</f>
        <v>#REF!</v>
      </c>
    </row>
    <row r="3753" spans="1:31" x14ac:dyDescent="0.25">
      <c r="A3753">
        <v>299</v>
      </c>
      <c r="B3753" t="s">
        <v>272</v>
      </c>
      <c r="C3753">
        <v>98</v>
      </c>
      <c r="D3753">
        <v>126</v>
      </c>
      <c r="E3753">
        <v>299</v>
      </c>
      <c r="F3753">
        <v>9613801</v>
      </c>
      <c r="G3753">
        <v>9702000</v>
      </c>
      <c r="H3753">
        <f t="shared" si="116"/>
        <v>218.00002267573697</v>
      </c>
      <c r="I3753">
        <f t="shared" si="117"/>
        <v>220</v>
      </c>
      <c r="J3753" t="s">
        <v>25</v>
      </c>
      <c r="K3753">
        <v>3</v>
      </c>
      <c r="L3753" t="e">
        <f t="array" ref="L3753">VLOOKUP(J3753:$J$3871&amp;K3753:$K$3871,CHOOSE({1,2},#REF!&amp;#REF!,#REF!),2,0)</f>
        <v>#N/A</v>
      </c>
      <c r="M3753">
        <v>-15</v>
      </c>
      <c r="N3753">
        <v>0</v>
      </c>
      <c r="O3753" t="s">
        <v>7</v>
      </c>
      <c r="P3753">
        <v>0</v>
      </c>
      <c r="Q3753">
        <v>0</v>
      </c>
      <c r="R3753">
        <v>0</v>
      </c>
      <c r="S3753">
        <v>1</v>
      </c>
      <c r="T3753">
        <v>0</v>
      </c>
      <c r="U3753">
        <v>0</v>
      </c>
      <c r="V3753">
        <v>0</v>
      </c>
      <c r="W3753">
        <v>1</v>
      </c>
      <c r="X3753">
        <v>1</v>
      </c>
      <c r="Y3753">
        <v>0</v>
      </c>
      <c r="Z3753">
        <v>0</v>
      </c>
      <c r="AA3753" t="s">
        <v>5586</v>
      </c>
      <c r="AB3753" t="s">
        <v>7543</v>
      </c>
      <c r="AC3753" t="s">
        <v>5586</v>
      </c>
      <c r="AD3753" t="e">
        <f>VLOOKUP(AB3753,#REF!,2,FALSE)</f>
        <v>#REF!</v>
      </c>
      <c r="AE3753" t="e">
        <f>RIGHT(#REF!,(FIND("Complex",#REF!,1)-6))</f>
        <v>#REF!</v>
      </c>
    </row>
    <row r="3754" spans="1:31" x14ac:dyDescent="0.25">
      <c r="A3754">
        <v>1896</v>
      </c>
      <c r="B3754" t="s">
        <v>272</v>
      </c>
      <c r="C3754">
        <v>98</v>
      </c>
      <c r="D3754">
        <v>822</v>
      </c>
      <c r="E3754">
        <v>1896</v>
      </c>
      <c r="F3754">
        <v>9349201</v>
      </c>
      <c r="G3754">
        <v>9437400</v>
      </c>
      <c r="H3754">
        <f t="shared" si="116"/>
        <v>212.00002267573697</v>
      </c>
      <c r="I3754">
        <f t="shared" si="117"/>
        <v>214</v>
      </c>
      <c r="J3754" t="s">
        <v>25</v>
      </c>
      <c r="K3754">
        <v>3</v>
      </c>
      <c r="L3754" t="e">
        <f t="array" ref="L3754">VLOOKUP(J3754:$J$3871&amp;K3754:$K$3871,CHOOSE({1,2},#REF!&amp;#REF!,#REF!),2,0)</f>
        <v>#N/A</v>
      </c>
      <c r="M3754">
        <v>-15</v>
      </c>
      <c r="N3754">
        <v>0</v>
      </c>
      <c r="O3754" t="s">
        <v>7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1</v>
      </c>
      <c r="X3754">
        <v>1</v>
      </c>
      <c r="Y3754">
        <v>0</v>
      </c>
      <c r="Z3754">
        <v>0</v>
      </c>
      <c r="AA3754" t="s">
        <v>5600</v>
      </c>
      <c r="AB3754" t="s">
        <v>7553</v>
      </c>
      <c r="AC3754" t="s">
        <v>5600</v>
      </c>
      <c r="AD3754" t="e">
        <f>VLOOKUP(AB3754,#REF!,2,FALSE)</f>
        <v>#REF!</v>
      </c>
      <c r="AE3754" t="e">
        <f>RIGHT(#REF!,(FIND("Complex",#REF!,1)-7))</f>
        <v>#REF!</v>
      </c>
    </row>
    <row r="3755" spans="1:31" x14ac:dyDescent="0.25">
      <c r="A3755">
        <v>2240</v>
      </c>
      <c r="B3755" t="s">
        <v>272</v>
      </c>
      <c r="C3755">
        <v>98</v>
      </c>
      <c r="D3755">
        <v>924</v>
      </c>
      <c r="E3755">
        <v>2240</v>
      </c>
      <c r="F3755">
        <v>7849801</v>
      </c>
      <c r="G3755">
        <v>7938000</v>
      </c>
      <c r="H3755">
        <f t="shared" si="116"/>
        <v>178.00002267573697</v>
      </c>
      <c r="I3755">
        <f t="shared" si="117"/>
        <v>180</v>
      </c>
      <c r="J3755" t="s">
        <v>25</v>
      </c>
      <c r="K3755">
        <v>3</v>
      </c>
      <c r="L3755" t="e">
        <f t="array" ref="L3755">VLOOKUP(J3755:$J$3871&amp;K3755:$K$3871,CHOOSE({1,2},#REF!&amp;#REF!,#REF!),2,0)</f>
        <v>#N/A</v>
      </c>
      <c r="M3755">
        <v>-15</v>
      </c>
      <c r="N3755">
        <v>0</v>
      </c>
      <c r="O3755" t="s">
        <v>7</v>
      </c>
      <c r="P3755">
        <v>0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1</v>
      </c>
      <c r="X3755">
        <v>1</v>
      </c>
      <c r="Y3755">
        <v>0</v>
      </c>
      <c r="Z3755">
        <v>0</v>
      </c>
      <c r="AA3755" t="s">
        <v>5717</v>
      </c>
      <c r="AB3755" t="s">
        <v>7629</v>
      </c>
      <c r="AC3755" t="s">
        <v>5717</v>
      </c>
      <c r="AD3755" t="e">
        <f>VLOOKUP(AB3755,#REF!,2,FALSE)</f>
        <v>#REF!</v>
      </c>
      <c r="AE3755" t="e">
        <f>RIGHT(#REF!,(FIND("Complex",#REF!,1)-7))</f>
        <v>#REF!</v>
      </c>
    </row>
    <row r="3756" spans="1:31" x14ac:dyDescent="0.25">
      <c r="A3756">
        <v>1178</v>
      </c>
      <c r="B3756" t="s">
        <v>272</v>
      </c>
      <c r="C3756">
        <v>98</v>
      </c>
      <c r="D3756">
        <v>523</v>
      </c>
      <c r="E3756">
        <v>1178</v>
      </c>
      <c r="F3756">
        <v>7144201</v>
      </c>
      <c r="G3756">
        <v>7232400</v>
      </c>
      <c r="H3756">
        <f t="shared" si="116"/>
        <v>162.00002267573697</v>
      </c>
      <c r="I3756">
        <f t="shared" si="117"/>
        <v>164</v>
      </c>
      <c r="J3756" t="s">
        <v>25</v>
      </c>
      <c r="K3756">
        <v>3</v>
      </c>
      <c r="L3756" t="e">
        <f t="array" ref="L3756">VLOOKUP(J3756:$J$3871&amp;K3756:$K$3871,CHOOSE({1,2},#REF!&amp;#REF!,#REF!),2,0)</f>
        <v>#N/A</v>
      </c>
      <c r="M3756">
        <v>-15</v>
      </c>
      <c r="N3756">
        <v>0</v>
      </c>
      <c r="O3756" t="s">
        <v>7</v>
      </c>
      <c r="P3756">
        <v>0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1</v>
      </c>
      <c r="X3756">
        <v>1</v>
      </c>
      <c r="Y3756">
        <v>0</v>
      </c>
      <c r="Z3756">
        <v>0</v>
      </c>
      <c r="AA3756" t="s">
        <v>5784</v>
      </c>
      <c r="AB3756" t="s">
        <v>7671</v>
      </c>
      <c r="AC3756" t="s">
        <v>5784</v>
      </c>
      <c r="AD3756" t="e">
        <f>VLOOKUP(AB3756,#REF!,2,FALSE)</f>
        <v>#REF!</v>
      </c>
      <c r="AE3756" t="e">
        <f>RIGHT(#REF!,(FIND("Complex",#REF!,1)-7))</f>
        <v>#REF!</v>
      </c>
    </row>
    <row r="3757" spans="1:31" x14ac:dyDescent="0.25">
      <c r="A3757">
        <v>797</v>
      </c>
      <c r="B3757" t="s">
        <v>272</v>
      </c>
      <c r="C3757">
        <v>98</v>
      </c>
      <c r="D3757">
        <v>358</v>
      </c>
      <c r="E3757">
        <v>797</v>
      </c>
      <c r="F3757">
        <v>5997601</v>
      </c>
      <c r="G3757">
        <v>6085800</v>
      </c>
      <c r="H3757">
        <f t="shared" si="116"/>
        <v>136.00002267573697</v>
      </c>
      <c r="I3757">
        <f t="shared" si="117"/>
        <v>138</v>
      </c>
      <c r="J3757" t="s">
        <v>25</v>
      </c>
      <c r="K3757">
        <v>3</v>
      </c>
      <c r="L3757" t="e">
        <f t="array" ref="L3757">VLOOKUP(J3757:$J$3871&amp;K3757:$K$3871,CHOOSE({1,2},#REF!&amp;#REF!,#REF!),2,0)</f>
        <v>#N/A</v>
      </c>
      <c r="M3757">
        <v>-15</v>
      </c>
      <c r="N3757">
        <v>0</v>
      </c>
      <c r="O3757" t="s">
        <v>7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1</v>
      </c>
      <c r="X3757">
        <v>1</v>
      </c>
      <c r="Y3757">
        <v>0</v>
      </c>
      <c r="Z3757">
        <v>0</v>
      </c>
      <c r="AA3757" t="s">
        <v>5957</v>
      </c>
      <c r="AB3757" t="s">
        <v>1903</v>
      </c>
      <c r="AC3757" t="s">
        <v>5957</v>
      </c>
      <c r="AD3757" t="e">
        <f>VLOOKUP(AB3757,#REF!,2,FALSE)</f>
        <v>#REF!</v>
      </c>
      <c r="AE3757" t="e">
        <f>RIGHT(#REF!,(FIND("Complex",#REF!,1)-6))</f>
        <v>#REF!</v>
      </c>
    </row>
    <row r="3758" spans="1:31" x14ac:dyDescent="0.25">
      <c r="A3758">
        <v>2167</v>
      </c>
      <c r="B3758" t="s">
        <v>273</v>
      </c>
      <c r="C3758">
        <v>99</v>
      </c>
      <c r="D3758">
        <v>904</v>
      </c>
      <c r="E3758">
        <v>2167</v>
      </c>
      <c r="F3758">
        <v>4321801</v>
      </c>
      <c r="G3758">
        <v>4410000</v>
      </c>
      <c r="H3758">
        <f t="shared" si="116"/>
        <v>98.000022675736957</v>
      </c>
      <c r="I3758">
        <f t="shared" si="117"/>
        <v>100</v>
      </c>
      <c r="J3758" t="s">
        <v>25</v>
      </c>
      <c r="K3758">
        <v>3</v>
      </c>
      <c r="L3758" t="e">
        <f t="array" ref="L3758">VLOOKUP(J3758:$J$3871&amp;K3758:$K$3871,CHOOSE({1,2},#REF!&amp;#REF!,#REF!),2,0)</f>
        <v>#N/A</v>
      </c>
      <c r="M3758">
        <v>-15</v>
      </c>
      <c r="N3758">
        <v>0</v>
      </c>
      <c r="O3758" t="s">
        <v>7</v>
      </c>
      <c r="P3758">
        <v>0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1</v>
      </c>
      <c r="X3758">
        <v>1</v>
      </c>
      <c r="Y3758">
        <v>0</v>
      </c>
      <c r="Z3758">
        <v>0</v>
      </c>
      <c r="AA3758" t="s">
        <v>4881</v>
      </c>
      <c r="AB3758" t="s">
        <v>7148</v>
      </c>
      <c r="AC3758" t="s">
        <v>4881</v>
      </c>
      <c r="AD3758" t="e">
        <f>VLOOKUP(AB3758,#REF!,2,FALSE)</f>
        <v>#REF!</v>
      </c>
      <c r="AE3758" t="e">
        <f>RIGHT(#REF!,(FIND("Complex",#REF!,1)-8))</f>
        <v>#REF!</v>
      </c>
    </row>
    <row r="3759" spans="1:31" x14ac:dyDescent="0.25">
      <c r="A3759">
        <v>1689</v>
      </c>
      <c r="B3759" t="s">
        <v>273</v>
      </c>
      <c r="C3759">
        <v>99</v>
      </c>
      <c r="D3759">
        <v>738</v>
      </c>
      <c r="E3759">
        <v>1689</v>
      </c>
      <c r="F3759">
        <v>3880801</v>
      </c>
      <c r="G3759">
        <v>3969000</v>
      </c>
      <c r="H3759">
        <f t="shared" si="116"/>
        <v>88.000022675736957</v>
      </c>
      <c r="I3759">
        <f t="shared" si="117"/>
        <v>90</v>
      </c>
      <c r="J3759" t="s">
        <v>25</v>
      </c>
      <c r="K3759">
        <v>3</v>
      </c>
      <c r="L3759" t="e">
        <f t="array" ref="L3759">VLOOKUP(J3759:$J$3871&amp;K3759:$K$3871,CHOOSE({1,2},#REF!&amp;#REF!,#REF!),2,0)</f>
        <v>#N/A</v>
      </c>
      <c r="M3759">
        <v>-15</v>
      </c>
      <c r="N3759">
        <v>0</v>
      </c>
      <c r="O3759" t="s">
        <v>7</v>
      </c>
      <c r="P3759">
        <v>0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1</v>
      </c>
      <c r="X3759">
        <v>1</v>
      </c>
      <c r="Y3759">
        <v>0</v>
      </c>
      <c r="Z3759">
        <v>0</v>
      </c>
      <c r="AA3759" t="s">
        <v>4935</v>
      </c>
      <c r="AB3759" t="s">
        <v>7183</v>
      </c>
      <c r="AC3759" t="s">
        <v>4935</v>
      </c>
      <c r="AD3759" t="e">
        <f>VLOOKUP(AB3759,#REF!,2,FALSE)</f>
        <v>#REF!</v>
      </c>
      <c r="AE3759" t="e">
        <f>RIGHT(#REF!,(FIND("Complex",#REF!,1)-8))</f>
        <v>#REF!</v>
      </c>
    </row>
    <row r="3760" spans="1:31" x14ac:dyDescent="0.25">
      <c r="A3760">
        <v>207</v>
      </c>
      <c r="B3760" t="s">
        <v>273</v>
      </c>
      <c r="C3760">
        <v>99</v>
      </c>
      <c r="D3760">
        <v>84</v>
      </c>
      <c r="E3760">
        <v>207</v>
      </c>
      <c r="F3760">
        <v>3351601</v>
      </c>
      <c r="G3760">
        <v>3439800</v>
      </c>
      <c r="H3760">
        <f t="shared" si="116"/>
        <v>76.000022675736957</v>
      </c>
      <c r="I3760">
        <f t="shared" si="117"/>
        <v>78</v>
      </c>
      <c r="J3760" t="s">
        <v>25</v>
      </c>
      <c r="K3760">
        <v>3</v>
      </c>
      <c r="L3760" t="e">
        <f t="array" ref="L3760">VLOOKUP(J3760:$J$3871&amp;K3760:$K$3871,CHOOSE({1,2},#REF!&amp;#REF!,#REF!),2,0)</f>
        <v>#N/A</v>
      </c>
      <c r="M3760">
        <v>-15</v>
      </c>
      <c r="N3760">
        <v>0</v>
      </c>
      <c r="O3760" t="s">
        <v>7</v>
      </c>
      <c r="P3760">
        <v>0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1</v>
      </c>
      <c r="X3760">
        <v>1</v>
      </c>
      <c r="Y3760">
        <v>0</v>
      </c>
      <c r="Z3760">
        <v>0</v>
      </c>
      <c r="AA3760" t="s">
        <v>5013</v>
      </c>
      <c r="AB3760" t="s">
        <v>7224</v>
      </c>
      <c r="AC3760" t="s">
        <v>5013</v>
      </c>
      <c r="AD3760" t="e">
        <f>VLOOKUP(AB3760,#REF!,2,FALSE)</f>
        <v>#REF!</v>
      </c>
      <c r="AE3760" t="e">
        <f>RIGHT(#REF!,(FIND("Complex",#REF!,1)-7))</f>
        <v>#REF!</v>
      </c>
    </row>
    <row r="3761" spans="1:31" x14ac:dyDescent="0.25">
      <c r="A3761">
        <v>1550</v>
      </c>
      <c r="B3761" t="s">
        <v>273</v>
      </c>
      <c r="C3761">
        <v>99</v>
      </c>
      <c r="D3761">
        <v>675</v>
      </c>
      <c r="E3761">
        <v>1550</v>
      </c>
      <c r="F3761">
        <v>3263401</v>
      </c>
      <c r="G3761">
        <v>3351600</v>
      </c>
      <c r="H3761">
        <f t="shared" si="116"/>
        <v>74.000022675736957</v>
      </c>
      <c r="I3761">
        <f t="shared" si="117"/>
        <v>76</v>
      </c>
      <c r="J3761" t="s">
        <v>25</v>
      </c>
      <c r="K3761">
        <v>3</v>
      </c>
      <c r="L3761" t="e">
        <f t="array" ref="L3761">VLOOKUP(J3761:$J$3871&amp;K3761:$K$3871,CHOOSE({1,2},#REF!&amp;#REF!,#REF!),2,0)</f>
        <v>#N/A</v>
      </c>
      <c r="M3761">
        <v>-15</v>
      </c>
      <c r="N3761">
        <v>0</v>
      </c>
      <c r="O3761" t="s">
        <v>7</v>
      </c>
      <c r="P3761">
        <v>0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1</v>
      </c>
      <c r="X3761">
        <v>1</v>
      </c>
      <c r="Y3761">
        <v>0</v>
      </c>
      <c r="Z3761">
        <v>0</v>
      </c>
      <c r="AA3761" t="s">
        <v>5027</v>
      </c>
      <c r="AB3761" t="s">
        <v>1904</v>
      </c>
      <c r="AC3761" t="s">
        <v>5027</v>
      </c>
      <c r="AD3761" t="e">
        <f>VLOOKUP(AB3761,#REF!,2,FALSE)</f>
        <v>#REF!</v>
      </c>
      <c r="AE3761" t="e">
        <f>RIGHT(#REF!,(FIND("Complex",#REF!,1)-8))</f>
        <v>#REF!</v>
      </c>
    </row>
    <row r="3762" spans="1:31" x14ac:dyDescent="0.25">
      <c r="A3762">
        <v>2088</v>
      </c>
      <c r="B3762" t="s">
        <v>273</v>
      </c>
      <c r="C3762">
        <v>99</v>
      </c>
      <c r="D3762">
        <v>883</v>
      </c>
      <c r="E3762">
        <v>2088</v>
      </c>
      <c r="F3762">
        <v>2646001</v>
      </c>
      <c r="G3762">
        <v>2734200</v>
      </c>
      <c r="H3762">
        <f t="shared" si="116"/>
        <v>60.000022675736965</v>
      </c>
      <c r="I3762">
        <f t="shared" si="117"/>
        <v>62</v>
      </c>
      <c r="J3762" t="s">
        <v>25</v>
      </c>
      <c r="K3762">
        <v>3</v>
      </c>
      <c r="L3762" t="e">
        <f t="array" ref="L3762">VLOOKUP(J3762:$J$3871&amp;K3762:$K$3871,CHOOSE({1,2},#REF!&amp;#REF!,#REF!),2,0)</f>
        <v>#N/A</v>
      </c>
      <c r="M3762">
        <v>-15</v>
      </c>
      <c r="N3762">
        <v>0</v>
      </c>
      <c r="O3762" t="s">
        <v>7</v>
      </c>
      <c r="P3762">
        <v>0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1</v>
      </c>
      <c r="X3762">
        <v>1</v>
      </c>
      <c r="Y3762">
        <v>0</v>
      </c>
      <c r="Z3762">
        <v>0</v>
      </c>
      <c r="AA3762" t="s">
        <v>5106</v>
      </c>
      <c r="AB3762" t="s">
        <v>7267</v>
      </c>
      <c r="AC3762" t="s">
        <v>5106</v>
      </c>
      <c r="AD3762" t="e">
        <f>VLOOKUP(AB3762,#REF!,2,FALSE)</f>
        <v>#REF!</v>
      </c>
      <c r="AE3762" t="e">
        <f>RIGHT(#REF!,(FIND("Complex",#REF!,1)-8))</f>
        <v>#REF!</v>
      </c>
    </row>
    <row r="3763" spans="1:31" x14ac:dyDescent="0.25">
      <c r="A3763">
        <v>1464</v>
      </c>
      <c r="B3763" t="s">
        <v>273</v>
      </c>
      <c r="C3763">
        <v>99</v>
      </c>
      <c r="D3763">
        <v>641</v>
      </c>
      <c r="E3763">
        <v>1464</v>
      </c>
      <c r="F3763">
        <v>2557801</v>
      </c>
      <c r="G3763">
        <v>2646000</v>
      </c>
      <c r="H3763">
        <f t="shared" si="116"/>
        <v>58.000022675736965</v>
      </c>
      <c r="I3763">
        <f t="shared" si="117"/>
        <v>60</v>
      </c>
      <c r="J3763" t="s">
        <v>25</v>
      </c>
      <c r="K3763">
        <v>3</v>
      </c>
      <c r="L3763" t="e">
        <f t="array" ref="L3763">VLOOKUP(J3763:$J$3871&amp;K3763:$K$3871,CHOOSE({1,2},#REF!&amp;#REF!,#REF!),2,0)</f>
        <v>#N/A</v>
      </c>
      <c r="M3763">
        <v>-15</v>
      </c>
      <c r="N3763">
        <v>0</v>
      </c>
      <c r="O3763" t="s">
        <v>7</v>
      </c>
      <c r="P3763">
        <v>0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1</v>
      </c>
      <c r="X3763">
        <v>1</v>
      </c>
      <c r="Y3763">
        <v>0</v>
      </c>
      <c r="Z3763">
        <v>0</v>
      </c>
      <c r="AA3763" t="s">
        <v>5137</v>
      </c>
      <c r="AB3763" t="s">
        <v>7285</v>
      </c>
      <c r="AC3763" t="s">
        <v>5137</v>
      </c>
      <c r="AD3763" t="e">
        <f>VLOOKUP(AB3763,#REF!,2,FALSE)</f>
        <v>#REF!</v>
      </c>
      <c r="AE3763" t="e">
        <f>RIGHT(#REF!,(FIND("Complex",#REF!,1)-8))</f>
        <v>#REF!</v>
      </c>
    </row>
    <row r="3764" spans="1:31" x14ac:dyDescent="0.25">
      <c r="A3764">
        <v>2044</v>
      </c>
      <c r="B3764" t="s">
        <v>273</v>
      </c>
      <c r="C3764">
        <v>99</v>
      </c>
      <c r="D3764">
        <v>872</v>
      </c>
      <c r="E3764">
        <v>2044</v>
      </c>
      <c r="F3764">
        <v>14641201</v>
      </c>
      <c r="G3764">
        <v>14729400</v>
      </c>
      <c r="H3764">
        <f t="shared" si="116"/>
        <v>332.00002267573694</v>
      </c>
      <c r="I3764">
        <f t="shared" si="117"/>
        <v>334</v>
      </c>
      <c r="J3764" t="s">
        <v>25</v>
      </c>
      <c r="K3764">
        <v>3</v>
      </c>
      <c r="L3764" t="e">
        <f t="array" ref="L3764">VLOOKUP(J3764:$J$3871&amp;K3764:$K$3871,CHOOSE({1,2},#REF!&amp;#REF!,#REF!),2,0)</f>
        <v>#N/A</v>
      </c>
      <c r="M3764">
        <v>-15</v>
      </c>
      <c r="N3764">
        <v>0</v>
      </c>
      <c r="O3764" t="s">
        <v>7</v>
      </c>
      <c r="P3764">
        <v>0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1</v>
      </c>
      <c r="X3764">
        <v>1</v>
      </c>
      <c r="Y3764">
        <v>0</v>
      </c>
      <c r="Z3764">
        <v>0</v>
      </c>
      <c r="AA3764" t="s">
        <v>5349</v>
      </c>
      <c r="AB3764" t="s">
        <v>7395</v>
      </c>
      <c r="AC3764" t="s">
        <v>5349</v>
      </c>
      <c r="AD3764" t="e">
        <f>VLOOKUP(AB3764,#REF!,2,FALSE)</f>
        <v>#REF!</v>
      </c>
      <c r="AE3764" t="e">
        <f>RIGHT(#REF!,(FIND("Complex",#REF!,1)-7))</f>
        <v>#REF!</v>
      </c>
    </row>
    <row r="3765" spans="1:31" x14ac:dyDescent="0.25">
      <c r="A3765">
        <v>1954</v>
      </c>
      <c r="B3765" t="s">
        <v>273</v>
      </c>
      <c r="C3765">
        <v>99</v>
      </c>
      <c r="D3765">
        <v>844</v>
      </c>
      <c r="E3765">
        <v>1954</v>
      </c>
      <c r="F3765">
        <v>14553001</v>
      </c>
      <c r="G3765">
        <v>14641200</v>
      </c>
      <c r="H3765">
        <f t="shared" si="116"/>
        <v>330.00002267573694</v>
      </c>
      <c r="I3765">
        <f t="shared" si="117"/>
        <v>332</v>
      </c>
      <c r="J3765" t="s">
        <v>25</v>
      </c>
      <c r="K3765">
        <v>3</v>
      </c>
      <c r="L3765" t="e">
        <f t="array" ref="L3765">VLOOKUP(J3765:$J$3871&amp;K3765:$K$3871,CHOOSE({1,2},#REF!&amp;#REF!,#REF!),2,0)</f>
        <v>#N/A</v>
      </c>
      <c r="M3765">
        <v>-15</v>
      </c>
      <c r="N3765">
        <v>0</v>
      </c>
      <c r="O3765" t="s">
        <v>7</v>
      </c>
      <c r="P3765">
        <v>0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1</v>
      </c>
      <c r="X3765">
        <v>1</v>
      </c>
      <c r="Y3765">
        <v>0</v>
      </c>
      <c r="Z3765">
        <v>0</v>
      </c>
      <c r="AA3765" t="s">
        <v>5351</v>
      </c>
      <c r="AB3765" t="s">
        <v>1905</v>
      </c>
      <c r="AC3765" t="s">
        <v>5351</v>
      </c>
      <c r="AD3765" t="e">
        <f>VLOOKUP(AB3765,#REF!,2,FALSE)</f>
        <v>#REF!</v>
      </c>
      <c r="AE3765" t="e">
        <f>RIGHT(#REF!,(FIND("Complex",#REF!,1)-7))</f>
        <v>#REF!</v>
      </c>
    </row>
    <row r="3766" spans="1:31" x14ac:dyDescent="0.25">
      <c r="A3766">
        <v>65</v>
      </c>
      <c r="B3766" t="s">
        <v>273</v>
      </c>
      <c r="C3766">
        <v>99</v>
      </c>
      <c r="D3766">
        <v>33</v>
      </c>
      <c r="E3766">
        <v>65</v>
      </c>
      <c r="F3766">
        <v>11818801</v>
      </c>
      <c r="G3766">
        <v>11907000</v>
      </c>
      <c r="H3766">
        <f t="shared" si="116"/>
        <v>268.00002267573694</v>
      </c>
      <c r="I3766">
        <f t="shared" si="117"/>
        <v>270</v>
      </c>
      <c r="J3766" t="s">
        <v>25</v>
      </c>
      <c r="K3766">
        <v>3</v>
      </c>
      <c r="L3766" t="e">
        <f t="array" ref="L3766">VLOOKUP(J3766:$J$3871&amp;K3766:$K$3871,CHOOSE({1,2},#REF!&amp;#REF!,#REF!),2,0)</f>
        <v>#N/A</v>
      </c>
      <c r="M3766">
        <v>-15</v>
      </c>
      <c r="N3766">
        <v>0</v>
      </c>
      <c r="O3766" t="s">
        <v>7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1</v>
      </c>
      <c r="X3766">
        <v>1</v>
      </c>
      <c r="Y3766">
        <v>0</v>
      </c>
      <c r="Z3766">
        <v>0</v>
      </c>
      <c r="AA3766" t="s">
        <v>5438</v>
      </c>
      <c r="AB3766" t="s">
        <v>7444</v>
      </c>
      <c r="AC3766" t="s">
        <v>5438</v>
      </c>
      <c r="AD3766" t="e">
        <f>VLOOKUP(AB3766,#REF!,2,FALSE)</f>
        <v>#REF!</v>
      </c>
      <c r="AE3766" t="e">
        <f>RIGHT(#REF!,(FIND("Complex",#REF!,1)-5))</f>
        <v>#REF!</v>
      </c>
    </row>
    <row r="3767" spans="1:31" x14ac:dyDescent="0.25">
      <c r="A3767">
        <v>744</v>
      </c>
      <c r="B3767" t="s">
        <v>273</v>
      </c>
      <c r="C3767">
        <v>99</v>
      </c>
      <c r="D3767">
        <v>329</v>
      </c>
      <c r="E3767">
        <v>744</v>
      </c>
      <c r="F3767">
        <v>11730601</v>
      </c>
      <c r="G3767">
        <v>11818800</v>
      </c>
      <c r="H3767">
        <f t="shared" si="116"/>
        <v>266.00002267573694</v>
      </c>
      <c r="I3767">
        <f t="shared" si="117"/>
        <v>268</v>
      </c>
      <c r="J3767" t="s">
        <v>25</v>
      </c>
      <c r="K3767">
        <v>3</v>
      </c>
      <c r="L3767" t="e">
        <f t="array" ref="L3767">VLOOKUP(J3767:$J$3871&amp;K3767:$K$3871,CHOOSE({1,2},#REF!&amp;#REF!,#REF!),2,0)</f>
        <v>#N/A</v>
      </c>
      <c r="M3767">
        <v>-15</v>
      </c>
      <c r="N3767">
        <v>0</v>
      </c>
      <c r="O3767" t="s">
        <v>7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1</v>
      </c>
      <c r="X3767">
        <v>1</v>
      </c>
      <c r="Y3767">
        <v>0</v>
      </c>
      <c r="Z3767">
        <v>0</v>
      </c>
      <c r="AA3767" t="s">
        <v>5442</v>
      </c>
      <c r="AB3767" t="s">
        <v>7447</v>
      </c>
      <c r="AC3767" t="s">
        <v>5442</v>
      </c>
      <c r="AD3767" t="e">
        <f>VLOOKUP(AB3767,#REF!,2,FALSE)</f>
        <v>#REF!</v>
      </c>
      <c r="AE3767" t="e">
        <f>RIGHT(#REF!,(FIND("Complex",#REF!,1)-6))</f>
        <v>#REF!</v>
      </c>
    </row>
    <row r="3768" spans="1:31" x14ac:dyDescent="0.25">
      <c r="A3768">
        <v>1436</v>
      </c>
      <c r="B3768" t="s">
        <v>273</v>
      </c>
      <c r="C3768">
        <v>99</v>
      </c>
      <c r="D3768">
        <v>628</v>
      </c>
      <c r="E3768">
        <v>1436</v>
      </c>
      <c r="F3768">
        <v>1146601</v>
      </c>
      <c r="G3768">
        <v>1234800</v>
      </c>
      <c r="H3768">
        <f t="shared" si="116"/>
        <v>26.000022675736961</v>
      </c>
      <c r="I3768">
        <f t="shared" si="117"/>
        <v>28</v>
      </c>
      <c r="J3768" t="s">
        <v>25</v>
      </c>
      <c r="K3768">
        <v>3</v>
      </c>
      <c r="L3768" t="e">
        <f t="array" ref="L3768">VLOOKUP(J3768:$J$3871&amp;K3768:$K$3871,CHOOSE({1,2},#REF!&amp;#REF!,#REF!),2,0)</f>
        <v>#N/A</v>
      </c>
      <c r="M3768">
        <v>-15</v>
      </c>
      <c r="N3768">
        <v>0</v>
      </c>
      <c r="O3768" t="s">
        <v>7</v>
      </c>
      <c r="P3768">
        <v>0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1</v>
      </c>
      <c r="X3768">
        <v>1</v>
      </c>
      <c r="Y3768">
        <v>0</v>
      </c>
      <c r="Z3768">
        <v>0</v>
      </c>
      <c r="AA3768" t="s">
        <v>5455</v>
      </c>
      <c r="AB3768" t="s">
        <v>1906</v>
      </c>
      <c r="AC3768" t="s">
        <v>5455</v>
      </c>
      <c r="AD3768" t="e">
        <f>VLOOKUP(AB3768,#REF!,2,FALSE)</f>
        <v>#REF!</v>
      </c>
      <c r="AE3768" t="e">
        <f>RIGHT(#REF!,(FIND("Complex",#REF!,1)-8))</f>
        <v>#REF!</v>
      </c>
    </row>
    <row r="3769" spans="1:31" x14ac:dyDescent="0.25">
      <c r="A3769">
        <v>272</v>
      </c>
      <c r="B3769" t="s">
        <v>273</v>
      </c>
      <c r="C3769">
        <v>99</v>
      </c>
      <c r="D3769">
        <v>116</v>
      </c>
      <c r="E3769">
        <v>272</v>
      </c>
      <c r="F3769">
        <v>11025001</v>
      </c>
      <c r="G3769">
        <v>11113200</v>
      </c>
      <c r="H3769">
        <f t="shared" si="116"/>
        <v>250.00002267573697</v>
      </c>
      <c r="I3769">
        <f t="shared" si="117"/>
        <v>252</v>
      </c>
      <c r="J3769" t="s">
        <v>25</v>
      </c>
      <c r="K3769">
        <v>3</v>
      </c>
      <c r="L3769" t="e">
        <f t="array" ref="L3769">VLOOKUP(J3769:$J$3871&amp;K3769:$K$3871,CHOOSE({1,2},#REF!&amp;#REF!,#REF!),2,0)</f>
        <v>#N/A</v>
      </c>
      <c r="M3769">
        <v>-15</v>
      </c>
      <c r="N3769">
        <v>0</v>
      </c>
      <c r="O3769" t="s">
        <v>7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1</v>
      </c>
      <c r="X3769">
        <v>1</v>
      </c>
      <c r="Y3769">
        <v>0</v>
      </c>
      <c r="Z3769">
        <v>0</v>
      </c>
      <c r="AA3769" t="s">
        <v>5486</v>
      </c>
      <c r="AB3769" t="s">
        <v>7478</v>
      </c>
      <c r="AC3769" t="s">
        <v>5486</v>
      </c>
      <c r="AD3769" t="e">
        <f>VLOOKUP(AB3769,#REF!,2,FALSE)</f>
        <v>#REF!</v>
      </c>
      <c r="AE3769" t="e">
        <f>RIGHT(#REF!,(FIND("Complex",#REF!,1)-6))</f>
        <v>#REF!</v>
      </c>
    </row>
    <row r="3770" spans="1:31" x14ac:dyDescent="0.25">
      <c r="A3770">
        <v>1018</v>
      </c>
      <c r="B3770" t="s">
        <v>273</v>
      </c>
      <c r="C3770">
        <v>99</v>
      </c>
      <c r="D3770">
        <v>451</v>
      </c>
      <c r="E3770">
        <v>1018</v>
      </c>
      <c r="F3770">
        <v>10848601</v>
      </c>
      <c r="G3770">
        <v>10936800</v>
      </c>
      <c r="H3770">
        <f t="shared" si="116"/>
        <v>246.00002267573697</v>
      </c>
      <c r="I3770">
        <f t="shared" si="117"/>
        <v>248</v>
      </c>
      <c r="J3770" t="s">
        <v>25</v>
      </c>
      <c r="K3770">
        <v>3</v>
      </c>
      <c r="L3770" t="e">
        <f t="array" ref="L3770">VLOOKUP(J3770:$J$3871&amp;K3770:$K$3871,CHOOSE({1,2},#REF!&amp;#REF!,#REF!),2,0)</f>
        <v>#N/A</v>
      </c>
      <c r="M3770">
        <v>-15</v>
      </c>
      <c r="N3770">
        <v>0</v>
      </c>
      <c r="O3770" t="s">
        <v>7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1</v>
      </c>
      <c r="X3770">
        <v>1</v>
      </c>
      <c r="Y3770">
        <v>0</v>
      </c>
      <c r="Z3770">
        <v>0</v>
      </c>
      <c r="AA3770" t="s">
        <v>5494</v>
      </c>
      <c r="AB3770" t="s">
        <v>7484</v>
      </c>
      <c r="AC3770" t="s">
        <v>5494</v>
      </c>
      <c r="AD3770" t="e">
        <f>VLOOKUP(AB3770,#REF!,2,FALSE)</f>
        <v>#REF!</v>
      </c>
      <c r="AE3770" t="e">
        <f>RIGHT(#REF!,(FIND("Complex",#REF!,1)-7))</f>
        <v>#REF!</v>
      </c>
    </row>
    <row r="3771" spans="1:31" x14ac:dyDescent="0.25">
      <c r="A3771">
        <v>1898</v>
      </c>
      <c r="B3771" t="s">
        <v>273</v>
      </c>
      <c r="C3771">
        <v>99</v>
      </c>
      <c r="D3771">
        <v>823</v>
      </c>
      <c r="E3771">
        <v>1898</v>
      </c>
      <c r="F3771">
        <v>1058401</v>
      </c>
      <c r="G3771">
        <v>1146600</v>
      </c>
      <c r="H3771">
        <f t="shared" si="116"/>
        <v>24.000022675736961</v>
      </c>
      <c r="I3771">
        <f t="shared" si="117"/>
        <v>26</v>
      </c>
      <c r="J3771" t="s">
        <v>25</v>
      </c>
      <c r="K3771">
        <v>3</v>
      </c>
      <c r="L3771" t="e">
        <f t="array" ref="L3771">VLOOKUP(J3771:$J$3871&amp;K3771:$K$3871,CHOOSE({1,2},#REF!&amp;#REF!,#REF!),2,0)</f>
        <v>#N/A</v>
      </c>
      <c r="M3771">
        <v>-15</v>
      </c>
      <c r="N3771">
        <v>0</v>
      </c>
      <c r="O3771" t="s">
        <v>7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1</v>
      </c>
      <c r="X3771">
        <v>1</v>
      </c>
      <c r="Y3771">
        <v>0</v>
      </c>
      <c r="Z3771">
        <v>0</v>
      </c>
      <c r="AA3771" t="s">
        <v>5516</v>
      </c>
      <c r="AB3771" t="s">
        <v>7502</v>
      </c>
      <c r="AC3771" t="s">
        <v>5516</v>
      </c>
      <c r="AD3771" t="e">
        <f>VLOOKUP(AB3771,#REF!,2,FALSE)</f>
        <v>#REF!</v>
      </c>
      <c r="AE3771" t="e">
        <f>RIGHT(#REF!,(FIND("Complex",#REF!,1)-8))</f>
        <v>#REF!</v>
      </c>
    </row>
    <row r="3772" spans="1:31" x14ac:dyDescent="0.25">
      <c r="A3772">
        <v>876</v>
      </c>
      <c r="B3772" t="s">
        <v>273</v>
      </c>
      <c r="C3772">
        <v>99</v>
      </c>
      <c r="D3772">
        <v>387</v>
      </c>
      <c r="E3772">
        <v>876</v>
      </c>
      <c r="F3772">
        <v>10319401</v>
      </c>
      <c r="G3772">
        <v>10407600</v>
      </c>
      <c r="H3772">
        <f t="shared" si="116"/>
        <v>234.00002267573697</v>
      </c>
      <c r="I3772">
        <f t="shared" si="117"/>
        <v>236</v>
      </c>
      <c r="J3772" t="s">
        <v>25</v>
      </c>
      <c r="K3772">
        <v>3</v>
      </c>
      <c r="L3772" t="e">
        <f t="array" ref="L3772">VLOOKUP(J3772:$J$3871&amp;K3772:$K$3871,CHOOSE({1,2},#REF!&amp;#REF!,#REF!),2,0)</f>
        <v>#N/A</v>
      </c>
      <c r="M3772">
        <v>-15</v>
      </c>
      <c r="N3772">
        <v>0</v>
      </c>
      <c r="O3772" t="s">
        <v>7</v>
      </c>
      <c r="P3772">
        <v>0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1</v>
      </c>
      <c r="X3772">
        <v>1</v>
      </c>
      <c r="Y3772">
        <v>0</v>
      </c>
      <c r="Z3772">
        <v>0</v>
      </c>
      <c r="AA3772" t="s">
        <v>5538</v>
      </c>
      <c r="AB3772" t="s">
        <v>7515</v>
      </c>
      <c r="AC3772" t="s">
        <v>5538</v>
      </c>
      <c r="AD3772" t="e">
        <f>VLOOKUP(AB3772,#REF!,2,FALSE)</f>
        <v>#REF!</v>
      </c>
      <c r="AE3772" t="e">
        <f>RIGHT(#REF!,(FIND("Complex",#REF!,1)-6))</f>
        <v>#REF!</v>
      </c>
    </row>
    <row r="3773" spans="1:31" x14ac:dyDescent="0.25">
      <c r="A3773">
        <v>1774</v>
      </c>
      <c r="B3773" t="s">
        <v>273</v>
      </c>
      <c r="C3773">
        <v>99</v>
      </c>
      <c r="D3773">
        <v>772</v>
      </c>
      <c r="E3773">
        <v>1774</v>
      </c>
      <c r="F3773">
        <v>882001</v>
      </c>
      <c r="G3773">
        <v>970200</v>
      </c>
      <c r="H3773">
        <f t="shared" si="116"/>
        <v>20.000022675736961</v>
      </c>
      <c r="I3773">
        <f t="shared" si="117"/>
        <v>22</v>
      </c>
      <c r="J3773" t="s">
        <v>25</v>
      </c>
      <c r="K3773">
        <v>3</v>
      </c>
      <c r="L3773" t="e">
        <f t="array" ref="L3773">VLOOKUP(J3773:$J$3871&amp;K3773:$K$3871,CHOOSE({1,2},#REF!&amp;#REF!,#REF!),2,0)</f>
        <v>#N/A</v>
      </c>
      <c r="M3773">
        <v>-15</v>
      </c>
      <c r="N3773">
        <v>0</v>
      </c>
      <c r="O3773" t="s">
        <v>7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1</v>
      </c>
      <c r="X3773">
        <v>1</v>
      </c>
      <c r="Y3773">
        <v>0</v>
      </c>
      <c r="Z3773">
        <v>0</v>
      </c>
      <c r="AA3773" t="s">
        <v>5636</v>
      </c>
      <c r="AB3773" t="s">
        <v>7580</v>
      </c>
      <c r="AC3773" t="s">
        <v>5636</v>
      </c>
      <c r="AD3773" t="e">
        <f>VLOOKUP(AB3773,#REF!,2,FALSE)</f>
        <v>#REF!</v>
      </c>
      <c r="AE3773" t="e">
        <f>RIGHT(#REF!,(FIND("Complex",#REF!,1)-8))</f>
        <v>#REF!</v>
      </c>
    </row>
    <row r="3774" spans="1:31" x14ac:dyDescent="0.25">
      <c r="A3774">
        <v>2281</v>
      </c>
      <c r="B3774" t="s">
        <v>273</v>
      </c>
      <c r="C3774">
        <v>99</v>
      </c>
      <c r="D3774">
        <v>934</v>
      </c>
      <c r="E3774">
        <v>2281</v>
      </c>
      <c r="F3774">
        <v>8555401</v>
      </c>
      <c r="G3774">
        <v>8643600</v>
      </c>
      <c r="H3774">
        <f t="shared" si="116"/>
        <v>194.00002267573697</v>
      </c>
      <c r="I3774">
        <f t="shared" si="117"/>
        <v>196</v>
      </c>
      <c r="J3774" t="s">
        <v>25</v>
      </c>
      <c r="K3774">
        <v>3</v>
      </c>
      <c r="L3774" t="e">
        <f t="array" ref="L3774">VLOOKUP(J3774:$J$3871&amp;K3774:$K$3871,CHOOSE({1,2},#REF!&amp;#REF!,#REF!),2,0)</f>
        <v>#N/A</v>
      </c>
      <c r="M3774">
        <v>-15</v>
      </c>
      <c r="N3774">
        <v>0</v>
      </c>
      <c r="O3774" t="s">
        <v>7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1</v>
      </c>
      <c r="X3774">
        <v>1</v>
      </c>
      <c r="Y3774">
        <v>0</v>
      </c>
      <c r="Z3774">
        <v>0</v>
      </c>
      <c r="AA3774" t="s">
        <v>5667</v>
      </c>
      <c r="AB3774" t="s">
        <v>7597</v>
      </c>
      <c r="AC3774" t="s">
        <v>5667</v>
      </c>
      <c r="AD3774" t="e">
        <f>VLOOKUP(AB3774,#REF!,2,FALSE)</f>
        <v>#REF!</v>
      </c>
      <c r="AE3774" t="e">
        <f>RIGHT(#REF!,(FIND("Complex",#REF!,1)-7))</f>
        <v>#REF!</v>
      </c>
    </row>
    <row r="3775" spans="1:31" x14ac:dyDescent="0.25">
      <c r="A3775">
        <v>1134</v>
      </c>
      <c r="B3775" t="s">
        <v>273</v>
      </c>
      <c r="C3775">
        <v>99</v>
      </c>
      <c r="D3775">
        <v>504</v>
      </c>
      <c r="E3775">
        <v>1134</v>
      </c>
      <c r="F3775">
        <v>8379001</v>
      </c>
      <c r="G3775">
        <v>8467200</v>
      </c>
      <c r="H3775">
        <f t="shared" si="116"/>
        <v>190.00002267573697</v>
      </c>
      <c r="I3775">
        <f t="shared" si="117"/>
        <v>192</v>
      </c>
      <c r="J3775" t="s">
        <v>25</v>
      </c>
      <c r="K3775">
        <v>3</v>
      </c>
      <c r="L3775" t="e">
        <f t="array" ref="L3775">VLOOKUP(J3775:$J$3871&amp;K3775:$K$3871,CHOOSE({1,2},#REF!&amp;#REF!,#REF!),2,0)</f>
        <v>#N/A</v>
      </c>
      <c r="M3775">
        <v>-15</v>
      </c>
      <c r="N3775">
        <v>0</v>
      </c>
      <c r="O3775" t="s">
        <v>7</v>
      </c>
      <c r="P3775">
        <v>0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1</v>
      </c>
      <c r="X3775">
        <v>1</v>
      </c>
      <c r="Y3775">
        <v>0</v>
      </c>
      <c r="Z3775">
        <v>0</v>
      </c>
      <c r="AA3775" t="s">
        <v>5676</v>
      </c>
      <c r="AB3775" t="s">
        <v>7605</v>
      </c>
      <c r="AC3775" t="s">
        <v>5676</v>
      </c>
      <c r="AD3775" t="e">
        <f>VLOOKUP(AB3775,#REF!,2,FALSE)</f>
        <v>#REF!</v>
      </c>
      <c r="AE3775" t="e">
        <f>RIGHT(#REF!,(FIND("Complex",#REF!,1)-7))</f>
        <v>#REF!</v>
      </c>
    </row>
    <row r="3776" spans="1:31" x14ac:dyDescent="0.25">
      <c r="A3776">
        <v>832</v>
      </c>
      <c r="B3776" t="s">
        <v>273</v>
      </c>
      <c r="C3776">
        <v>99</v>
      </c>
      <c r="D3776">
        <v>373</v>
      </c>
      <c r="E3776">
        <v>832</v>
      </c>
      <c r="F3776">
        <v>8202601</v>
      </c>
      <c r="G3776">
        <v>8290800</v>
      </c>
      <c r="H3776">
        <f t="shared" si="116"/>
        <v>186.00002267573697</v>
      </c>
      <c r="I3776">
        <f t="shared" si="117"/>
        <v>188</v>
      </c>
      <c r="J3776" t="s">
        <v>25</v>
      </c>
      <c r="K3776">
        <v>3</v>
      </c>
      <c r="L3776" t="e">
        <f t="array" ref="L3776">VLOOKUP(J3776:$J$3871&amp;K3776:$K$3871,CHOOSE({1,2},#REF!&amp;#REF!,#REF!),2,0)</f>
        <v>#N/A</v>
      </c>
      <c r="M3776">
        <v>-15</v>
      </c>
      <c r="N3776">
        <v>0</v>
      </c>
      <c r="O3776" t="s">
        <v>7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1</v>
      </c>
      <c r="X3776">
        <v>1</v>
      </c>
      <c r="Y3776">
        <v>0</v>
      </c>
      <c r="Z3776">
        <v>0</v>
      </c>
      <c r="AA3776" t="s">
        <v>5682</v>
      </c>
      <c r="AB3776" t="s">
        <v>7610</v>
      </c>
      <c r="AC3776" t="s">
        <v>5682</v>
      </c>
      <c r="AD3776" t="e">
        <f>VLOOKUP(AB3776,#REF!,2,FALSE)</f>
        <v>#REF!</v>
      </c>
      <c r="AE3776" t="e">
        <f>RIGHT(#REF!,(FIND("Complex",#REF!,1)-6))</f>
        <v>#REF!</v>
      </c>
    </row>
    <row r="3777" spans="1:31" x14ac:dyDescent="0.25">
      <c r="A3777">
        <v>340</v>
      </c>
      <c r="B3777" t="s">
        <v>273</v>
      </c>
      <c r="C3777">
        <v>99</v>
      </c>
      <c r="D3777">
        <v>142</v>
      </c>
      <c r="E3777">
        <v>340</v>
      </c>
      <c r="F3777">
        <v>6438601</v>
      </c>
      <c r="G3777">
        <v>6526800</v>
      </c>
      <c r="H3777">
        <f t="shared" si="116"/>
        <v>146.00002267573697</v>
      </c>
      <c r="I3777">
        <f t="shared" si="117"/>
        <v>148</v>
      </c>
      <c r="J3777" t="s">
        <v>25</v>
      </c>
      <c r="K3777">
        <v>3</v>
      </c>
      <c r="L3777" t="e">
        <f t="array" ref="L3777">VLOOKUP(J3777:$J$3871&amp;K3777:$K$3871,CHOOSE({1,2},#REF!&amp;#REF!,#REF!),2,0)</f>
        <v>#N/A</v>
      </c>
      <c r="M3777">
        <v>-15</v>
      </c>
      <c r="N3777">
        <v>0</v>
      </c>
      <c r="O3777" t="s">
        <v>7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1</v>
      </c>
      <c r="X3777">
        <v>1</v>
      </c>
      <c r="Y3777">
        <v>0</v>
      </c>
      <c r="Z3777">
        <v>0</v>
      </c>
      <c r="AA3777" t="s">
        <v>5896</v>
      </c>
      <c r="AB3777" t="s">
        <v>7738</v>
      </c>
      <c r="AC3777" t="s">
        <v>5896</v>
      </c>
      <c r="AD3777" t="e">
        <f>VLOOKUP(AB3777,#REF!,2,FALSE)</f>
        <v>#REF!</v>
      </c>
      <c r="AE3777" t="e">
        <f>RIGHT(#REF!,(FIND("Complex",#REF!,1)-6))</f>
        <v>#REF!</v>
      </c>
    </row>
    <row r="3778" spans="1:31" x14ac:dyDescent="0.25">
      <c r="A3778">
        <v>1299</v>
      </c>
      <c r="B3778" t="s">
        <v>273</v>
      </c>
      <c r="C3778">
        <v>99</v>
      </c>
      <c r="D3778">
        <v>564</v>
      </c>
      <c r="E3778">
        <v>1299</v>
      </c>
      <c r="F3778">
        <v>6262201</v>
      </c>
      <c r="G3778">
        <v>6350400</v>
      </c>
      <c r="H3778">
        <f t="shared" ref="H3778:H3841" si="118">F3778/44100</f>
        <v>142.00002267573697</v>
      </c>
      <c r="I3778">
        <f t="shared" ref="I3778:I3841" si="119">G3778/44100</f>
        <v>144</v>
      </c>
      <c r="J3778" t="s">
        <v>25</v>
      </c>
      <c r="K3778">
        <v>3</v>
      </c>
      <c r="L3778" t="e">
        <f t="array" ref="L3778">VLOOKUP(J3778:$J$3871&amp;K3778:$K$3871,CHOOSE({1,2},#REF!&amp;#REF!,#REF!),2,0)</f>
        <v>#N/A</v>
      </c>
      <c r="M3778">
        <v>-15</v>
      </c>
      <c r="N3778">
        <v>0</v>
      </c>
      <c r="O3778" t="s">
        <v>7</v>
      </c>
      <c r="P3778">
        <v>0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1</v>
      </c>
      <c r="X3778">
        <v>1</v>
      </c>
      <c r="Y3778">
        <v>0</v>
      </c>
      <c r="Z3778">
        <v>0</v>
      </c>
      <c r="AA3778" t="s">
        <v>5913</v>
      </c>
      <c r="AB3778" t="s">
        <v>7749</v>
      </c>
      <c r="AC3778" t="s">
        <v>5913</v>
      </c>
      <c r="AD3778" t="e">
        <f>VLOOKUP(AB3778,#REF!,2,FALSE)</f>
        <v>#REF!</v>
      </c>
      <c r="AE3778" t="e">
        <f>RIGHT(#REF!,(FIND("Complex",#REF!,1)-7))</f>
        <v>#REF!</v>
      </c>
    </row>
    <row r="3779" spans="1:31" x14ac:dyDescent="0.25">
      <c r="A3779">
        <v>510</v>
      </c>
      <c r="B3779" t="s">
        <v>273</v>
      </c>
      <c r="C3779">
        <v>99</v>
      </c>
      <c r="D3779">
        <v>211</v>
      </c>
      <c r="E3779">
        <v>510</v>
      </c>
      <c r="F3779">
        <v>5468401</v>
      </c>
      <c r="G3779">
        <v>5556600</v>
      </c>
      <c r="H3779">
        <f t="shared" si="118"/>
        <v>124.00002267573696</v>
      </c>
      <c r="I3779">
        <f t="shared" si="119"/>
        <v>126</v>
      </c>
      <c r="J3779" t="s">
        <v>25</v>
      </c>
      <c r="K3779">
        <v>3</v>
      </c>
      <c r="L3779" t="e">
        <f t="array" ref="L3779">VLOOKUP(J3779:$J$3871&amp;K3779:$K$3871,CHOOSE({1,2},#REF!&amp;#REF!,#REF!),2,0)</f>
        <v>#N/A</v>
      </c>
      <c r="M3779">
        <v>-15</v>
      </c>
      <c r="N3779">
        <v>0</v>
      </c>
      <c r="O3779" t="s">
        <v>7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1</v>
      </c>
      <c r="X3779">
        <v>1</v>
      </c>
      <c r="Y3779">
        <v>0</v>
      </c>
      <c r="Z3779">
        <v>0</v>
      </c>
      <c r="AA3779" t="s">
        <v>5995</v>
      </c>
      <c r="AB3779" t="s">
        <v>7794</v>
      </c>
      <c r="AC3779" t="s">
        <v>5995</v>
      </c>
      <c r="AD3779" t="e">
        <f>VLOOKUP(AB3779,#REF!,2,FALSE)</f>
        <v>#REF!</v>
      </c>
      <c r="AE3779" t="e">
        <f>RIGHT(#REF!,(FIND("Complex",#REF!,1)-6))</f>
        <v>#REF!</v>
      </c>
    </row>
    <row r="3780" spans="1:31" x14ac:dyDescent="0.25">
      <c r="A3780">
        <v>556</v>
      </c>
      <c r="B3780" t="s">
        <v>273</v>
      </c>
      <c r="C3780">
        <v>99</v>
      </c>
      <c r="D3780">
        <v>236</v>
      </c>
      <c r="E3780">
        <v>556</v>
      </c>
      <c r="F3780">
        <v>5203801</v>
      </c>
      <c r="G3780">
        <v>5292000</v>
      </c>
      <c r="H3780">
        <f t="shared" si="118"/>
        <v>118.00002267573696</v>
      </c>
      <c r="I3780">
        <f t="shared" si="119"/>
        <v>120</v>
      </c>
      <c r="J3780" t="s">
        <v>25</v>
      </c>
      <c r="K3780">
        <v>3</v>
      </c>
      <c r="L3780" t="e">
        <f t="array" ref="L3780">VLOOKUP(J3780:$J$3871&amp;K3780:$K$3871,CHOOSE({1,2},#REF!&amp;#REF!,#REF!),2,0)</f>
        <v>#N/A</v>
      </c>
      <c r="M3780">
        <v>-15</v>
      </c>
      <c r="N3780">
        <v>0</v>
      </c>
      <c r="O3780" t="s">
        <v>7</v>
      </c>
      <c r="P3780">
        <v>0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1</v>
      </c>
      <c r="X3780">
        <v>1</v>
      </c>
      <c r="Y3780">
        <v>0</v>
      </c>
      <c r="Z3780">
        <v>0</v>
      </c>
      <c r="AA3780" t="s">
        <v>6040</v>
      </c>
      <c r="AB3780" t="s">
        <v>7816</v>
      </c>
      <c r="AC3780" t="s">
        <v>6040</v>
      </c>
      <c r="AD3780" t="e">
        <f>VLOOKUP(AB3780,#REF!,2,FALSE)</f>
        <v>#REF!</v>
      </c>
      <c r="AE3780" t="e">
        <f>RIGHT(#REF!,(FIND("Complex",#REF!,1)-6))</f>
        <v>#REF!</v>
      </c>
    </row>
    <row r="3781" spans="1:31" x14ac:dyDescent="0.25">
      <c r="A3781">
        <v>1165</v>
      </c>
      <c r="B3781" t="s">
        <v>273</v>
      </c>
      <c r="C3781">
        <v>99</v>
      </c>
      <c r="D3781">
        <v>519</v>
      </c>
      <c r="E3781">
        <v>1165</v>
      </c>
      <c r="F3781">
        <v>5115601</v>
      </c>
      <c r="G3781">
        <v>5203800</v>
      </c>
      <c r="H3781">
        <f t="shared" si="118"/>
        <v>116.00002267573696</v>
      </c>
      <c r="I3781">
        <f t="shared" si="119"/>
        <v>118</v>
      </c>
      <c r="J3781" t="s">
        <v>25</v>
      </c>
      <c r="K3781">
        <v>3</v>
      </c>
      <c r="L3781" t="e">
        <f t="array" ref="L3781">VLOOKUP(J3781:$J$3871&amp;K3781:$K$3871,CHOOSE({1,2},#REF!&amp;#REF!,#REF!),2,0)</f>
        <v>#N/A</v>
      </c>
      <c r="M3781">
        <v>-15</v>
      </c>
      <c r="N3781">
        <v>0</v>
      </c>
      <c r="O3781" t="s">
        <v>7</v>
      </c>
      <c r="P3781">
        <v>0</v>
      </c>
      <c r="Q3781">
        <v>0</v>
      </c>
      <c r="R3781">
        <v>0</v>
      </c>
      <c r="S3781">
        <v>1</v>
      </c>
      <c r="T3781">
        <v>0</v>
      </c>
      <c r="U3781">
        <v>0</v>
      </c>
      <c r="V3781">
        <v>0</v>
      </c>
      <c r="W3781">
        <v>1</v>
      </c>
      <c r="X3781">
        <v>1</v>
      </c>
      <c r="Y3781">
        <v>0</v>
      </c>
      <c r="Z3781">
        <v>0</v>
      </c>
      <c r="AA3781" t="s">
        <v>6052</v>
      </c>
      <c r="AB3781" t="s">
        <v>7823</v>
      </c>
      <c r="AC3781" t="s">
        <v>6052</v>
      </c>
      <c r="AD3781" t="e">
        <f>VLOOKUP(AB3781,#REF!,2,FALSE)</f>
        <v>#REF!</v>
      </c>
      <c r="AE3781" t="e">
        <f>RIGHT(#REF!,(FIND("Complex",#REF!,1)-7))</f>
        <v>#REF!</v>
      </c>
    </row>
    <row r="3782" spans="1:31" x14ac:dyDescent="0.25">
      <c r="A3782">
        <v>1163</v>
      </c>
      <c r="B3782" t="s">
        <v>70</v>
      </c>
      <c r="C3782">
        <v>100</v>
      </c>
      <c r="D3782">
        <v>518</v>
      </c>
      <c r="E3782">
        <v>1163</v>
      </c>
      <c r="F3782">
        <v>4233601</v>
      </c>
      <c r="G3782">
        <v>4321800</v>
      </c>
      <c r="H3782">
        <f t="shared" si="118"/>
        <v>96.000022675736957</v>
      </c>
      <c r="I3782">
        <f t="shared" si="119"/>
        <v>98</v>
      </c>
      <c r="J3782" t="s">
        <v>25</v>
      </c>
      <c r="K3782">
        <v>3</v>
      </c>
      <c r="L3782" t="e">
        <f t="array" ref="L3782">VLOOKUP(J3782:$J$3871&amp;K3782:$K$3871,CHOOSE({1,2},#REF!&amp;#REF!,#REF!),2,0)</f>
        <v>#N/A</v>
      </c>
      <c r="M3782">
        <v>-15</v>
      </c>
      <c r="N3782">
        <v>0</v>
      </c>
      <c r="O3782" t="s">
        <v>7</v>
      </c>
      <c r="P3782">
        <v>0</v>
      </c>
      <c r="Q3782">
        <v>0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1</v>
      </c>
      <c r="X3782">
        <v>1</v>
      </c>
      <c r="Y3782">
        <v>0</v>
      </c>
      <c r="Z3782">
        <v>0</v>
      </c>
      <c r="AA3782" t="s">
        <v>4902</v>
      </c>
      <c r="AB3782" t="s">
        <v>7160</v>
      </c>
      <c r="AC3782" t="s">
        <v>4902</v>
      </c>
      <c r="AD3782" t="e">
        <f>VLOOKUP(AB3782,#REF!,2,FALSE)</f>
        <v>#REF!</v>
      </c>
      <c r="AE3782" t="e">
        <f>RIGHT(#REF!,(FIND("Complex",#REF!,1)-7))</f>
        <v>#REF!</v>
      </c>
    </row>
    <row r="3783" spans="1:31" x14ac:dyDescent="0.25">
      <c r="A3783">
        <v>1592</v>
      </c>
      <c r="B3783" t="s">
        <v>70</v>
      </c>
      <c r="C3783">
        <v>100</v>
      </c>
      <c r="D3783">
        <v>688</v>
      </c>
      <c r="E3783">
        <v>1592</v>
      </c>
      <c r="F3783">
        <v>4057201</v>
      </c>
      <c r="G3783">
        <v>4145400</v>
      </c>
      <c r="H3783">
        <f t="shared" si="118"/>
        <v>92.000022675736957</v>
      </c>
      <c r="I3783">
        <f t="shared" si="119"/>
        <v>94</v>
      </c>
      <c r="J3783" t="s">
        <v>25</v>
      </c>
      <c r="K3783">
        <v>3</v>
      </c>
      <c r="L3783" t="e">
        <f t="array" ref="L3783">VLOOKUP(J3783:$J$3871&amp;K3783:$K$3871,CHOOSE({1,2},#REF!&amp;#REF!,#REF!),2,0)</f>
        <v>#N/A</v>
      </c>
      <c r="M3783">
        <v>-15</v>
      </c>
      <c r="N3783">
        <v>0</v>
      </c>
      <c r="O3783" t="s">
        <v>7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0</v>
      </c>
      <c r="Z3783">
        <v>0</v>
      </c>
      <c r="AA3783" t="s">
        <v>4922</v>
      </c>
      <c r="AB3783" t="s">
        <v>7173</v>
      </c>
      <c r="AC3783" t="s">
        <v>4922</v>
      </c>
      <c r="AD3783" t="e">
        <f>VLOOKUP(AB3783,#REF!,2,FALSE)</f>
        <v>#REF!</v>
      </c>
      <c r="AE3783" t="e">
        <f>RIGHT(#REF!,(FIND("Complex",#REF!,1)-7))</f>
        <v>#REF!</v>
      </c>
    </row>
    <row r="3784" spans="1:31" x14ac:dyDescent="0.25">
      <c r="A3784">
        <v>165</v>
      </c>
      <c r="B3784" t="s">
        <v>70</v>
      </c>
      <c r="C3784">
        <v>100</v>
      </c>
      <c r="D3784">
        <v>70</v>
      </c>
      <c r="E3784">
        <v>165</v>
      </c>
      <c r="F3784">
        <v>3969001</v>
      </c>
      <c r="G3784">
        <v>4057200</v>
      </c>
      <c r="H3784">
        <f t="shared" si="118"/>
        <v>90.000022675736957</v>
      </c>
      <c r="I3784">
        <f t="shared" si="119"/>
        <v>92</v>
      </c>
      <c r="J3784" t="s">
        <v>25</v>
      </c>
      <c r="K3784">
        <v>3</v>
      </c>
      <c r="L3784" t="e">
        <f t="array" ref="L3784">VLOOKUP(J3784:$J$3871&amp;K3784:$K$3871,CHOOSE({1,2},#REF!&amp;#REF!,#REF!),2,0)</f>
        <v>#N/A</v>
      </c>
      <c r="M3784">
        <v>-15</v>
      </c>
      <c r="N3784">
        <v>0</v>
      </c>
      <c r="O3784" t="s">
        <v>7</v>
      </c>
      <c r="P3784">
        <v>0</v>
      </c>
      <c r="Q3784">
        <v>0</v>
      </c>
      <c r="R3784">
        <v>0</v>
      </c>
      <c r="S3784">
        <v>1</v>
      </c>
      <c r="T3784">
        <v>0</v>
      </c>
      <c r="U3784">
        <v>0</v>
      </c>
      <c r="V3784">
        <v>0</v>
      </c>
      <c r="W3784">
        <v>1</v>
      </c>
      <c r="X3784">
        <v>1</v>
      </c>
      <c r="Y3784">
        <v>0</v>
      </c>
      <c r="Z3784">
        <v>0</v>
      </c>
      <c r="AA3784" t="s">
        <v>4934</v>
      </c>
      <c r="AB3784" t="s">
        <v>7182</v>
      </c>
      <c r="AC3784" t="s">
        <v>4934</v>
      </c>
      <c r="AD3784" t="e">
        <f>VLOOKUP(AB3784,#REF!,2,FALSE)</f>
        <v>#REF!</v>
      </c>
      <c r="AE3784" t="e">
        <f>RIGHT(#REF!,(FIND("Complex",#REF!,1)-6))</f>
        <v>#REF!</v>
      </c>
    </row>
    <row r="3785" spans="1:31" x14ac:dyDescent="0.25">
      <c r="A3785">
        <v>508</v>
      </c>
      <c r="B3785" t="s">
        <v>70</v>
      </c>
      <c r="C3785">
        <v>100</v>
      </c>
      <c r="D3785">
        <v>209</v>
      </c>
      <c r="E3785">
        <v>508</v>
      </c>
      <c r="F3785">
        <v>3351601</v>
      </c>
      <c r="G3785">
        <v>3439800</v>
      </c>
      <c r="H3785">
        <f t="shared" si="118"/>
        <v>76.000022675736957</v>
      </c>
      <c r="I3785">
        <f t="shared" si="119"/>
        <v>78</v>
      </c>
      <c r="J3785" t="s">
        <v>25</v>
      </c>
      <c r="K3785">
        <v>3</v>
      </c>
      <c r="L3785" t="e">
        <f t="array" ref="L3785">VLOOKUP(J3785:$J$3871&amp;K3785:$K$3871,CHOOSE({1,2},#REF!&amp;#REF!,#REF!),2,0)</f>
        <v>#N/A</v>
      </c>
      <c r="M3785">
        <v>-15</v>
      </c>
      <c r="N3785">
        <v>0</v>
      </c>
      <c r="O3785" t="s">
        <v>7</v>
      </c>
      <c r="P3785">
        <v>0</v>
      </c>
      <c r="Q3785">
        <v>0</v>
      </c>
      <c r="R3785">
        <v>0</v>
      </c>
      <c r="S3785">
        <v>1</v>
      </c>
      <c r="T3785">
        <v>0</v>
      </c>
      <c r="U3785">
        <v>0</v>
      </c>
      <c r="V3785">
        <v>0</v>
      </c>
      <c r="W3785">
        <v>1</v>
      </c>
      <c r="X3785">
        <v>1</v>
      </c>
      <c r="Y3785">
        <v>0</v>
      </c>
      <c r="Z3785">
        <v>0</v>
      </c>
      <c r="AA3785" t="s">
        <v>5025</v>
      </c>
      <c r="AB3785" t="s">
        <v>1907</v>
      </c>
      <c r="AC3785" t="s">
        <v>5025</v>
      </c>
      <c r="AD3785" t="e">
        <f>VLOOKUP(AB3785,#REF!,2,FALSE)</f>
        <v>#REF!</v>
      </c>
      <c r="AE3785" t="e">
        <f>RIGHT(#REF!,(FIND("Complex",#REF!,1)-6))</f>
        <v>#REF!</v>
      </c>
    </row>
    <row r="3786" spans="1:31" x14ac:dyDescent="0.25">
      <c r="A3786">
        <v>2241</v>
      </c>
      <c r="B3786" t="s">
        <v>70</v>
      </c>
      <c r="C3786">
        <v>100</v>
      </c>
      <c r="D3786">
        <v>925</v>
      </c>
      <c r="E3786">
        <v>2241</v>
      </c>
      <c r="F3786">
        <v>3175201</v>
      </c>
      <c r="G3786">
        <v>3263400</v>
      </c>
      <c r="H3786">
        <f t="shared" si="118"/>
        <v>72.000022675736957</v>
      </c>
      <c r="I3786">
        <f t="shared" si="119"/>
        <v>74</v>
      </c>
      <c r="J3786" t="s">
        <v>25</v>
      </c>
      <c r="K3786">
        <v>3</v>
      </c>
      <c r="L3786" t="e">
        <f t="array" ref="L3786">VLOOKUP(J3786:$J$3871&amp;K3786:$K$3871,CHOOSE({1,2},#REF!&amp;#REF!,#REF!),2,0)</f>
        <v>#N/A</v>
      </c>
      <c r="M3786">
        <v>-15</v>
      </c>
      <c r="N3786">
        <v>0</v>
      </c>
      <c r="O3786" t="s">
        <v>7</v>
      </c>
      <c r="P3786">
        <v>0</v>
      </c>
      <c r="Q3786">
        <v>0</v>
      </c>
      <c r="R3786">
        <v>0</v>
      </c>
      <c r="S3786">
        <v>1</v>
      </c>
      <c r="T3786">
        <v>0</v>
      </c>
      <c r="U3786">
        <v>0</v>
      </c>
      <c r="V3786">
        <v>0</v>
      </c>
      <c r="W3786">
        <v>1</v>
      </c>
      <c r="X3786">
        <v>1</v>
      </c>
      <c r="Y3786">
        <v>0</v>
      </c>
      <c r="Z3786">
        <v>0</v>
      </c>
      <c r="AA3786" t="s">
        <v>5050</v>
      </c>
      <c r="AB3786" t="s">
        <v>7243</v>
      </c>
      <c r="AC3786" t="s">
        <v>5050</v>
      </c>
      <c r="AD3786" t="e">
        <f>VLOOKUP(AB3786,#REF!,2,FALSE)</f>
        <v>#REF!</v>
      </c>
      <c r="AE3786" t="e">
        <f>RIGHT(#REF!,(FIND("Complex",#REF!,1)-7))</f>
        <v>#REF!</v>
      </c>
    </row>
    <row r="3787" spans="1:31" x14ac:dyDescent="0.25">
      <c r="A3787">
        <v>1851</v>
      </c>
      <c r="B3787" t="s">
        <v>70</v>
      </c>
      <c r="C3787">
        <v>100</v>
      </c>
      <c r="D3787">
        <v>806</v>
      </c>
      <c r="E3787">
        <v>1851</v>
      </c>
      <c r="F3787">
        <v>13230001</v>
      </c>
      <c r="G3787">
        <v>13318200</v>
      </c>
      <c r="H3787">
        <f t="shared" si="118"/>
        <v>300.00002267573694</v>
      </c>
      <c r="I3787">
        <f t="shared" si="119"/>
        <v>302</v>
      </c>
      <c r="J3787" t="s">
        <v>25</v>
      </c>
      <c r="K3787">
        <v>3</v>
      </c>
      <c r="L3787" t="e">
        <f t="array" ref="L3787">VLOOKUP(J3787:$J$3871&amp;K3787:$K$3871,CHOOSE({1,2},#REF!&amp;#REF!,#REF!),2,0)</f>
        <v>#N/A</v>
      </c>
      <c r="M3787">
        <v>-15</v>
      </c>
      <c r="N3787">
        <v>0</v>
      </c>
      <c r="O3787" t="s">
        <v>7</v>
      </c>
      <c r="P3787">
        <v>0</v>
      </c>
      <c r="Q3787">
        <v>0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1</v>
      </c>
      <c r="X3787">
        <v>1</v>
      </c>
      <c r="Y3787">
        <v>0</v>
      </c>
      <c r="Z3787">
        <v>0</v>
      </c>
      <c r="AA3787" t="s">
        <v>5374</v>
      </c>
      <c r="AB3787" t="s">
        <v>7406</v>
      </c>
      <c r="AC3787" t="s">
        <v>5374</v>
      </c>
      <c r="AD3787" t="e">
        <f>VLOOKUP(AB3787,#REF!,2,FALSE)</f>
        <v>#REF!</v>
      </c>
      <c r="AE3787" t="e">
        <f>RIGHT(#REF!,(FIND("Complex",#REF!,1)-6))</f>
        <v>#REF!</v>
      </c>
    </row>
    <row r="3788" spans="1:31" x14ac:dyDescent="0.25">
      <c r="A3788">
        <v>775</v>
      </c>
      <c r="B3788" t="s">
        <v>70</v>
      </c>
      <c r="C3788">
        <v>100</v>
      </c>
      <c r="D3788">
        <v>347</v>
      </c>
      <c r="E3788">
        <v>775</v>
      </c>
      <c r="F3788">
        <v>1234801</v>
      </c>
      <c r="G3788">
        <v>1323000</v>
      </c>
      <c r="H3788">
        <f t="shared" si="118"/>
        <v>28.000022675736961</v>
      </c>
      <c r="I3788">
        <f t="shared" si="119"/>
        <v>30</v>
      </c>
      <c r="J3788" t="s">
        <v>25</v>
      </c>
      <c r="K3788">
        <v>3</v>
      </c>
      <c r="L3788" t="e">
        <f t="array" ref="L3788">VLOOKUP(J3788:$J$3871&amp;K3788:$K$3871,CHOOSE({1,2},#REF!&amp;#REF!,#REF!),2,0)</f>
        <v>#N/A</v>
      </c>
      <c r="M3788">
        <v>-15</v>
      </c>
      <c r="N3788">
        <v>0</v>
      </c>
      <c r="O3788" t="s">
        <v>7</v>
      </c>
      <c r="P3788">
        <v>0</v>
      </c>
      <c r="Q3788">
        <v>0</v>
      </c>
      <c r="R3788">
        <v>0</v>
      </c>
      <c r="S3788">
        <v>1</v>
      </c>
      <c r="T3788">
        <v>0</v>
      </c>
      <c r="U3788">
        <v>0</v>
      </c>
      <c r="V3788">
        <v>0</v>
      </c>
      <c r="W3788">
        <v>1</v>
      </c>
      <c r="X3788">
        <v>1</v>
      </c>
      <c r="Y3788">
        <v>0</v>
      </c>
      <c r="Z3788">
        <v>0</v>
      </c>
      <c r="AA3788" t="s">
        <v>5422</v>
      </c>
      <c r="AB3788" t="s">
        <v>7433</v>
      </c>
      <c r="AC3788" t="s">
        <v>5422</v>
      </c>
      <c r="AD3788" t="e">
        <f>VLOOKUP(AB3788,#REF!,2,FALSE)</f>
        <v>#REF!</v>
      </c>
      <c r="AE3788" t="e">
        <f>RIGHT(#REF!,(FIND("Complex",#REF!,1)-6))</f>
        <v>#REF!</v>
      </c>
    </row>
    <row r="3789" spans="1:31" x14ac:dyDescent="0.25">
      <c r="A3789">
        <v>2181</v>
      </c>
      <c r="B3789" t="s">
        <v>70</v>
      </c>
      <c r="C3789">
        <v>100</v>
      </c>
      <c r="D3789">
        <v>907</v>
      </c>
      <c r="E3789">
        <v>2181</v>
      </c>
      <c r="F3789">
        <v>12259801</v>
      </c>
      <c r="G3789">
        <v>12348000</v>
      </c>
      <c r="H3789">
        <f t="shared" si="118"/>
        <v>278.00002267573694</v>
      </c>
      <c r="I3789">
        <f t="shared" si="119"/>
        <v>280</v>
      </c>
      <c r="J3789" t="s">
        <v>25</v>
      </c>
      <c r="K3789">
        <v>3</v>
      </c>
      <c r="L3789" t="e">
        <f t="array" ref="L3789">VLOOKUP(J3789:$J$3871&amp;K3789:$K$3871,CHOOSE({1,2},#REF!&amp;#REF!,#REF!),2,0)</f>
        <v>#N/A</v>
      </c>
      <c r="M3789">
        <v>-15</v>
      </c>
      <c r="N3789">
        <v>0</v>
      </c>
      <c r="O3789" t="s">
        <v>7</v>
      </c>
      <c r="P3789">
        <v>0</v>
      </c>
      <c r="Q3789">
        <v>0</v>
      </c>
      <c r="R3789">
        <v>0</v>
      </c>
      <c r="S3789">
        <v>1</v>
      </c>
      <c r="T3789">
        <v>0</v>
      </c>
      <c r="U3789">
        <v>0</v>
      </c>
      <c r="V3789">
        <v>0</v>
      </c>
      <c r="W3789">
        <v>1</v>
      </c>
      <c r="X3789">
        <v>1</v>
      </c>
      <c r="Y3789">
        <v>0</v>
      </c>
      <c r="Z3789">
        <v>0</v>
      </c>
      <c r="AA3789" t="s">
        <v>5426</v>
      </c>
      <c r="AB3789" t="s">
        <v>1908</v>
      </c>
      <c r="AC3789" t="s">
        <v>5426</v>
      </c>
      <c r="AD3789" t="e">
        <f>VLOOKUP(AB3789,#REF!,2,FALSE)</f>
        <v>#REF!</v>
      </c>
      <c r="AE3789" t="e">
        <f>RIGHT(#REF!,(FIND("Complex",#REF!,1)-6))</f>
        <v>#REF!</v>
      </c>
    </row>
    <row r="3790" spans="1:31" x14ac:dyDescent="0.25">
      <c r="A3790">
        <v>1651</v>
      </c>
      <c r="B3790" t="s">
        <v>70</v>
      </c>
      <c r="C3790">
        <v>100</v>
      </c>
      <c r="D3790">
        <v>721</v>
      </c>
      <c r="E3790">
        <v>1651</v>
      </c>
      <c r="F3790">
        <v>12083401</v>
      </c>
      <c r="G3790">
        <v>12171600</v>
      </c>
      <c r="H3790">
        <f t="shared" si="118"/>
        <v>274.00002267573694</v>
      </c>
      <c r="I3790">
        <f t="shared" si="119"/>
        <v>276</v>
      </c>
      <c r="J3790" t="s">
        <v>25</v>
      </c>
      <c r="K3790">
        <v>3</v>
      </c>
      <c r="L3790" t="e">
        <f t="array" ref="L3790">VLOOKUP(J3790:$J$3871&amp;K3790:$K$3871,CHOOSE({1,2},#REF!&amp;#REF!,#REF!),2,0)</f>
        <v>#N/A</v>
      </c>
      <c r="M3790">
        <v>-15</v>
      </c>
      <c r="N3790">
        <v>0</v>
      </c>
      <c r="O3790" t="s">
        <v>7</v>
      </c>
      <c r="P3790">
        <v>0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W3790">
        <v>1</v>
      </c>
      <c r="X3790">
        <v>1</v>
      </c>
      <c r="Y3790">
        <v>0</v>
      </c>
      <c r="Z3790">
        <v>0</v>
      </c>
      <c r="AA3790" t="s">
        <v>5431</v>
      </c>
      <c r="AB3790" t="s">
        <v>7440</v>
      </c>
      <c r="AC3790" t="s">
        <v>5431</v>
      </c>
      <c r="AD3790" t="e">
        <f>VLOOKUP(AB3790,#REF!,2,FALSE)</f>
        <v>#REF!</v>
      </c>
      <c r="AE3790" t="e">
        <f>RIGHT(#REF!,(FIND("Complex",#REF!,1)-6))</f>
        <v>#REF!</v>
      </c>
    </row>
    <row r="3791" spans="1:31" x14ac:dyDescent="0.25">
      <c r="A3791">
        <v>2133</v>
      </c>
      <c r="B3791" t="s">
        <v>70</v>
      </c>
      <c r="C3791">
        <v>100</v>
      </c>
      <c r="D3791">
        <v>897</v>
      </c>
      <c r="E3791">
        <v>2133</v>
      </c>
      <c r="F3791">
        <v>11995201</v>
      </c>
      <c r="G3791">
        <v>12083400</v>
      </c>
      <c r="H3791">
        <f t="shared" si="118"/>
        <v>272.00002267573694</v>
      </c>
      <c r="I3791">
        <f t="shared" si="119"/>
        <v>274</v>
      </c>
      <c r="J3791" t="s">
        <v>25</v>
      </c>
      <c r="K3791">
        <v>3</v>
      </c>
      <c r="L3791" t="e">
        <f t="array" ref="L3791">VLOOKUP(J3791:$J$3871&amp;K3791:$K$3871,CHOOSE({1,2},#REF!&amp;#REF!,#REF!),2,0)</f>
        <v>#N/A</v>
      </c>
      <c r="M3791">
        <v>-15</v>
      </c>
      <c r="N3791">
        <v>0</v>
      </c>
      <c r="O3791" t="s">
        <v>7</v>
      </c>
      <c r="P3791">
        <v>0</v>
      </c>
      <c r="Q3791">
        <v>0</v>
      </c>
      <c r="R3791">
        <v>0</v>
      </c>
      <c r="S3791">
        <v>1</v>
      </c>
      <c r="T3791">
        <v>0</v>
      </c>
      <c r="U3791">
        <v>0</v>
      </c>
      <c r="V3791">
        <v>0</v>
      </c>
      <c r="W3791">
        <v>1</v>
      </c>
      <c r="X3791">
        <v>1</v>
      </c>
      <c r="Y3791">
        <v>0</v>
      </c>
      <c r="Z3791">
        <v>0</v>
      </c>
      <c r="AA3791" t="s">
        <v>5434</v>
      </c>
      <c r="AB3791" t="s">
        <v>7442</v>
      </c>
      <c r="AC3791" t="s">
        <v>5434</v>
      </c>
      <c r="AD3791" t="e">
        <f>VLOOKUP(AB3791,#REF!,2,FALSE)</f>
        <v>#REF!</v>
      </c>
      <c r="AE3791" t="e">
        <f>RIGHT(#REF!,(FIND("Complex",#REF!,1)-6))</f>
        <v>#REF!</v>
      </c>
    </row>
    <row r="3792" spans="1:31" x14ac:dyDescent="0.25">
      <c r="A3792">
        <v>231</v>
      </c>
      <c r="B3792" t="s">
        <v>70</v>
      </c>
      <c r="C3792">
        <v>100</v>
      </c>
      <c r="D3792">
        <v>97</v>
      </c>
      <c r="E3792">
        <v>231</v>
      </c>
      <c r="F3792">
        <v>7320601</v>
      </c>
      <c r="G3792">
        <v>7408800</v>
      </c>
      <c r="H3792">
        <f t="shared" si="118"/>
        <v>166.00002267573697</v>
      </c>
      <c r="I3792">
        <f t="shared" si="119"/>
        <v>168</v>
      </c>
      <c r="J3792" t="s">
        <v>25</v>
      </c>
      <c r="K3792">
        <v>3</v>
      </c>
      <c r="L3792" t="e">
        <f t="array" ref="L3792">VLOOKUP(J3792:$J$3871&amp;K3792:$K$3871,CHOOSE({1,2},#REF!&amp;#REF!,#REF!),2,0)</f>
        <v>#N/A</v>
      </c>
      <c r="M3792">
        <v>-15</v>
      </c>
      <c r="N3792">
        <v>0</v>
      </c>
      <c r="O3792" t="s">
        <v>7</v>
      </c>
      <c r="P3792">
        <v>0</v>
      </c>
      <c r="Q3792">
        <v>0</v>
      </c>
      <c r="R3792">
        <v>0</v>
      </c>
      <c r="S3792">
        <v>1</v>
      </c>
      <c r="T3792">
        <v>0</v>
      </c>
      <c r="U3792">
        <v>0</v>
      </c>
      <c r="V3792">
        <v>0</v>
      </c>
      <c r="W3792">
        <v>1</v>
      </c>
      <c r="X3792">
        <v>1</v>
      </c>
      <c r="Y3792">
        <v>0</v>
      </c>
      <c r="Z3792">
        <v>0</v>
      </c>
      <c r="AA3792" t="s">
        <v>5773</v>
      </c>
      <c r="AB3792" t="s">
        <v>7663</v>
      </c>
      <c r="AC3792" t="s">
        <v>5773</v>
      </c>
      <c r="AD3792" t="e">
        <f>VLOOKUP(AB3792,#REF!,2,FALSE)</f>
        <v>#REF!</v>
      </c>
      <c r="AE3792" t="e">
        <f>RIGHT(#REF!,(FIND("Complex",#REF!,1)-5))</f>
        <v>#REF!</v>
      </c>
    </row>
    <row r="3793" spans="1:31" x14ac:dyDescent="0.25">
      <c r="A3793">
        <v>1963</v>
      </c>
      <c r="B3793" t="s">
        <v>70</v>
      </c>
      <c r="C3793">
        <v>100</v>
      </c>
      <c r="D3793">
        <v>849</v>
      </c>
      <c r="E3793">
        <v>1963</v>
      </c>
      <c r="F3793">
        <v>7144201</v>
      </c>
      <c r="G3793">
        <v>7232400</v>
      </c>
      <c r="H3793">
        <f t="shared" si="118"/>
        <v>162.00002267573697</v>
      </c>
      <c r="I3793">
        <f t="shared" si="119"/>
        <v>164</v>
      </c>
      <c r="J3793" t="s">
        <v>25</v>
      </c>
      <c r="K3793">
        <v>3</v>
      </c>
      <c r="L3793" t="e">
        <f t="array" ref="L3793">VLOOKUP(J3793:$J$3871&amp;K3793:$K$3871,CHOOSE({1,2},#REF!&amp;#REF!,#REF!),2,0)</f>
        <v>#N/A</v>
      </c>
      <c r="M3793">
        <v>-15</v>
      </c>
      <c r="N3793">
        <v>0</v>
      </c>
      <c r="O3793" t="s">
        <v>7</v>
      </c>
      <c r="P3793">
        <v>0</v>
      </c>
      <c r="Q3793">
        <v>0</v>
      </c>
      <c r="R3793">
        <v>0</v>
      </c>
      <c r="S3793">
        <v>1</v>
      </c>
      <c r="T3793">
        <v>0</v>
      </c>
      <c r="U3793">
        <v>0</v>
      </c>
      <c r="V3793">
        <v>0</v>
      </c>
      <c r="W3793">
        <v>1</v>
      </c>
      <c r="X3793">
        <v>1</v>
      </c>
      <c r="Y3793">
        <v>0</v>
      </c>
      <c r="Z3793">
        <v>0</v>
      </c>
      <c r="AA3793" t="s">
        <v>5796</v>
      </c>
      <c r="AB3793" t="s">
        <v>1909</v>
      </c>
      <c r="AC3793" t="s">
        <v>5796</v>
      </c>
      <c r="AD3793" t="e">
        <f>VLOOKUP(AB3793,#REF!,2,FALSE)</f>
        <v>#REF!</v>
      </c>
      <c r="AE3793" t="e">
        <f>RIGHT(#REF!,(FIND("Complex",#REF!,1)-6))</f>
        <v>#REF!</v>
      </c>
    </row>
    <row r="3794" spans="1:31" x14ac:dyDescent="0.25">
      <c r="A3794">
        <v>1304</v>
      </c>
      <c r="B3794" t="s">
        <v>70</v>
      </c>
      <c r="C3794">
        <v>100</v>
      </c>
      <c r="D3794">
        <v>565</v>
      </c>
      <c r="E3794">
        <v>1304</v>
      </c>
      <c r="F3794">
        <v>6879601</v>
      </c>
      <c r="G3794">
        <v>6967800</v>
      </c>
      <c r="H3794">
        <f t="shared" si="118"/>
        <v>156.00002267573697</v>
      </c>
      <c r="I3794">
        <f t="shared" si="119"/>
        <v>158</v>
      </c>
      <c r="J3794" t="s">
        <v>25</v>
      </c>
      <c r="K3794">
        <v>3</v>
      </c>
      <c r="L3794" t="e">
        <f t="array" ref="L3794">VLOOKUP(J3794:$J$3871&amp;K3794:$K$3871,CHOOSE({1,2},#REF!&amp;#REF!,#REF!),2,0)</f>
        <v>#N/A</v>
      </c>
      <c r="M3794">
        <v>-15</v>
      </c>
      <c r="N3794">
        <v>0</v>
      </c>
      <c r="O3794" t="s">
        <v>7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1</v>
      </c>
      <c r="X3794">
        <v>1</v>
      </c>
      <c r="Y3794">
        <v>0</v>
      </c>
      <c r="Z3794">
        <v>0</v>
      </c>
      <c r="AA3794" t="s">
        <v>5852</v>
      </c>
      <c r="AB3794" t="s">
        <v>7711</v>
      </c>
      <c r="AC3794" t="s">
        <v>5852</v>
      </c>
      <c r="AD3794" t="e">
        <f>VLOOKUP(AB3794,#REF!,2,FALSE)</f>
        <v>#REF!</v>
      </c>
      <c r="AE3794" t="e">
        <f>RIGHT(#REF!,(FIND("Complex",#REF!,1)-6))</f>
        <v>#REF!</v>
      </c>
    </row>
    <row r="3795" spans="1:31" x14ac:dyDescent="0.25">
      <c r="A3795">
        <v>951</v>
      </c>
      <c r="B3795" t="s">
        <v>70</v>
      </c>
      <c r="C3795">
        <v>100</v>
      </c>
      <c r="D3795">
        <v>418</v>
      </c>
      <c r="E3795">
        <v>951</v>
      </c>
      <c r="F3795">
        <v>6791401</v>
      </c>
      <c r="G3795">
        <v>6879600</v>
      </c>
      <c r="H3795">
        <f t="shared" si="118"/>
        <v>154.00002267573697</v>
      </c>
      <c r="I3795">
        <f t="shared" si="119"/>
        <v>156</v>
      </c>
      <c r="J3795" t="s">
        <v>25</v>
      </c>
      <c r="K3795">
        <v>3</v>
      </c>
      <c r="L3795" t="e">
        <f t="array" ref="L3795">VLOOKUP(J3795:$J$3871&amp;K3795:$K$3871,CHOOSE({1,2},#REF!&amp;#REF!,#REF!),2,0)</f>
        <v>#N/A</v>
      </c>
      <c r="M3795">
        <v>-15</v>
      </c>
      <c r="N3795">
        <v>0</v>
      </c>
      <c r="O3795" t="s">
        <v>7</v>
      </c>
      <c r="P3795">
        <v>0</v>
      </c>
      <c r="Q3795">
        <v>0</v>
      </c>
      <c r="R3795">
        <v>0</v>
      </c>
      <c r="S3795">
        <v>1</v>
      </c>
      <c r="T3795">
        <v>0</v>
      </c>
      <c r="U3795">
        <v>0</v>
      </c>
      <c r="V3795">
        <v>0</v>
      </c>
      <c r="W3795">
        <v>1</v>
      </c>
      <c r="X3795">
        <v>1</v>
      </c>
      <c r="Y3795">
        <v>0</v>
      </c>
      <c r="Z3795">
        <v>0</v>
      </c>
      <c r="AA3795" t="s">
        <v>5865</v>
      </c>
      <c r="AB3795" t="s">
        <v>1910</v>
      </c>
      <c r="AC3795" t="s">
        <v>5865</v>
      </c>
      <c r="AD3795" t="e">
        <f>VLOOKUP(AB3795,#REF!,2,FALSE)</f>
        <v>#REF!</v>
      </c>
      <c r="AE3795" t="e">
        <f>RIGHT(#REF!,(FIND("Complex",#REF!,1)-5))</f>
        <v>#REF!</v>
      </c>
    </row>
    <row r="3796" spans="1:31" x14ac:dyDescent="0.25">
      <c r="A3796">
        <v>333</v>
      </c>
      <c r="B3796" t="s">
        <v>70</v>
      </c>
      <c r="C3796">
        <v>100</v>
      </c>
      <c r="D3796">
        <v>137</v>
      </c>
      <c r="E3796">
        <v>333</v>
      </c>
      <c r="F3796">
        <v>6526801</v>
      </c>
      <c r="G3796">
        <v>6615000</v>
      </c>
      <c r="H3796">
        <f t="shared" si="118"/>
        <v>148.00002267573697</v>
      </c>
      <c r="I3796">
        <f t="shared" si="119"/>
        <v>150</v>
      </c>
      <c r="J3796" t="s">
        <v>25</v>
      </c>
      <c r="K3796">
        <v>3</v>
      </c>
      <c r="L3796" t="e">
        <f t="array" ref="L3796">VLOOKUP(J3796:$J$3871&amp;K3796:$K$3871,CHOOSE({1,2},#REF!&amp;#REF!,#REF!),2,0)</f>
        <v>#N/A</v>
      </c>
      <c r="M3796">
        <v>-15</v>
      </c>
      <c r="N3796">
        <v>0</v>
      </c>
      <c r="O3796" t="s">
        <v>7</v>
      </c>
      <c r="P3796">
        <v>0</v>
      </c>
      <c r="Q3796">
        <v>0</v>
      </c>
      <c r="R3796">
        <v>0</v>
      </c>
      <c r="S3796">
        <v>1</v>
      </c>
      <c r="T3796">
        <v>0</v>
      </c>
      <c r="U3796">
        <v>0</v>
      </c>
      <c r="V3796">
        <v>0</v>
      </c>
      <c r="W3796">
        <v>1</v>
      </c>
      <c r="X3796">
        <v>1</v>
      </c>
      <c r="Y3796">
        <v>0</v>
      </c>
      <c r="Z3796">
        <v>0</v>
      </c>
      <c r="AA3796" t="s">
        <v>5895</v>
      </c>
      <c r="AB3796" t="s">
        <v>7737</v>
      </c>
      <c r="AC3796" t="s">
        <v>5895</v>
      </c>
      <c r="AD3796" t="e">
        <f>VLOOKUP(AB3796,#REF!,2,FALSE)</f>
        <v>#REF!</v>
      </c>
      <c r="AE3796" t="e">
        <f>RIGHT(#REF!,(FIND("Complex",#REF!,1)-5))</f>
        <v>#REF!</v>
      </c>
    </row>
    <row r="3797" spans="1:31" x14ac:dyDescent="0.25">
      <c r="A3797">
        <v>606</v>
      </c>
      <c r="B3797" t="s">
        <v>70</v>
      </c>
      <c r="C3797">
        <v>100</v>
      </c>
      <c r="D3797">
        <v>259</v>
      </c>
      <c r="E3797">
        <v>606</v>
      </c>
      <c r="F3797">
        <v>6262201</v>
      </c>
      <c r="G3797">
        <v>6350400</v>
      </c>
      <c r="H3797">
        <f t="shared" si="118"/>
        <v>142.00002267573697</v>
      </c>
      <c r="I3797">
        <f t="shared" si="119"/>
        <v>144</v>
      </c>
      <c r="J3797" t="s">
        <v>25</v>
      </c>
      <c r="K3797">
        <v>3</v>
      </c>
      <c r="L3797" t="e">
        <f t="array" ref="L3797">VLOOKUP(J3797:$J$3871&amp;K3797:$K$3871,CHOOSE({1,2},#REF!&amp;#REF!,#REF!),2,0)</f>
        <v>#N/A</v>
      </c>
      <c r="M3797">
        <v>-15</v>
      </c>
      <c r="N3797">
        <v>0</v>
      </c>
      <c r="O3797" t="s">
        <v>7</v>
      </c>
      <c r="P3797">
        <v>0</v>
      </c>
      <c r="Q3797">
        <v>0</v>
      </c>
      <c r="R3797">
        <v>0</v>
      </c>
      <c r="S3797">
        <v>1</v>
      </c>
      <c r="T3797">
        <v>0</v>
      </c>
      <c r="U3797">
        <v>0</v>
      </c>
      <c r="V3797">
        <v>0</v>
      </c>
      <c r="W3797">
        <v>1</v>
      </c>
      <c r="X3797">
        <v>1</v>
      </c>
      <c r="Y3797">
        <v>0</v>
      </c>
      <c r="Z3797">
        <v>0</v>
      </c>
      <c r="AA3797" t="s">
        <v>5922</v>
      </c>
      <c r="AB3797" t="s">
        <v>7754</v>
      </c>
      <c r="AC3797" t="s">
        <v>5922</v>
      </c>
      <c r="AD3797" t="e">
        <f>VLOOKUP(AB3797,#REF!,2,FALSE)</f>
        <v>#REF!</v>
      </c>
      <c r="AE3797" t="e">
        <f>RIGHT(#REF!,(FIND("Complex",#REF!,1)-5))</f>
        <v>#REF!</v>
      </c>
    </row>
    <row r="3798" spans="1:31" x14ac:dyDescent="0.25">
      <c r="A3798">
        <v>997</v>
      </c>
      <c r="B3798" t="s">
        <v>70</v>
      </c>
      <c r="C3798">
        <v>100</v>
      </c>
      <c r="D3798">
        <v>441</v>
      </c>
      <c r="E3798">
        <v>997</v>
      </c>
      <c r="F3798">
        <v>6085801</v>
      </c>
      <c r="G3798">
        <v>6174000</v>
      </c>
      <c r="H3798">
        <f t="shared" si="118"/>
        <v>138.00002267573697</v>
      </c>
      <c r="I3798">
        <f t="shared" si="119"/>
        <v>140</v>
      </c>
      <c r="J3798" t="s">
        <v>25</v>
      </c>
      <c r="K3798">
        <v>3</v>
      </c>
      <c r="L3798" t="e">
        <f t="array" ref="L3798">VLOOKUP(J3798:$J$3871&amp;K3798:$K$3871,CHOOSE({1,2},#REF!&amp;#REF!,#REF!),2,0)</f>
        <v>#N/A</v>
      </c>
      <c r="M3798">
        <v>-15</v>
      </c>
      <c r="N3798">
        <v>0</v>
      </c>
      <c r="O3798" t="s">
        <v>7</v>
      </c>
      <c r="P3798">
        <v>0</v>
      </c>
      <c r="Q3798">
        <v>0</v>
      </c>
      <c r="R3798">
        <v>0</v>
      </c>
      <c r="S3798">
        <v>1</v>
      </c>
      <c r="T3798">
        <v>0</v>
      </c>
      <c r="U3798">
        <v>0</v>
      </c>
      <c r="V3798">
        <v>0</v>
      </c>
      <c r="W3798">
        <v>1</v>
      </c>
      <c r="X3798">
        <v>1</v>
      </c>
      <c r="Y3798">
        <v>0</v>
      </c>
      <c r="Z3798">
        <v>0</v>
      </c>
      <c r="AA3798" t="s">
        <v>5956</v>
      </c>
      <c r="AB3798" t="s">
        <v>7772</v>
      </c>
      <c r="AC3798" t="s">
        <v>5956</v>
      </c>
      <c r="AD3798" t="e">
        <f>VLOOKUP(AB3798,#REF!,2,FALSE)</f>
        <v>#REF!</v>
      </c>
      <c r="AE3798" t="e">
        <f>RIGHT(#REF!,(FIND("Complex",#REF!,1)-5))</f>
        <v>#REF!</v>
      </c>
    </row>
    <row r="3799" spans="1:31" x14ac:dyDescent="0.25">
      <c r="A3799">
        <v>1435</v>
      </c>
      <c r="B3799" t="s">
        <v>70</v>
      </c>
      <c r="C3799">
        <v>100</v>
      </c>
      <c r="D3799">
        <v>627</v>
      </c>
      <c r="E3799">
        <v>1435</v>
      </c>
      <c r="F3799">
        <v>5909401</v>
      </c>
      <c r="G3799">
        <v>5997600</v>
      </c>
      <c r="H3799">
        <f t="shared" si="118"/>
        <v>134.00002267573697</v>
      </c>
      <c r="I3799">
        <f t="shared" si="119"/>
        <v>136</v>
      </c>
      <c r="J3799" t="s">
        <v>25</v>
      </c>
      <c r="K3799">
        <v>3</v>
      </c>
      <c r="L3799" t="e">
        <f t="array" ref="L3799">VLOOKUP(J3799:$J$3871&amp;K3799:$K$3871,CHOOSE({1,2},#REF!&amp;#REF!,#REF!),2,0)</f>
        <v>#N/A</v>
      </c>
      <c r="M3799">
        <v>-15</v>
      </c>
      <c r="N3799">
        <v>0</v>
      </c>
      <c r="O3799" t="s">
        <v>7</v>
      </c>
      <c r="P3799">
        <v>0</v>
      </c>
      <c r="Q3799">
        <v>0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1</v>
      </c>
      <c r="X3799">
        <v>1</v>
      </c>
      <c r="Y3799">
        <v>0</v>
      </c>
      <c r="Z3799">
        <v>0</v>
      </c>
      <c r="AA3799" t="s">
        <v>5967</v>
      </c>
      <c r="AB3799" t="s">
        <v>1911</v>
      </c>
      <c r="AC3799" t="s">
        <v>5967</v>
      </c>
      <c r="AD3799" t="e">
        <f>VLOOKUP(AB3799,#REF!,2,FALSE)</f>
        <v>#REF!</v>
      </c>
      <c r="AE3799" t="e">
        <f>RIGHT(#REF!,(FIND("Complex",#REF!,1)-6))</f>
        <v>#REF!</v>
      </c>
    </row>
    <row r="3800" spans="1:31" x14ac:dyDescent="0.25">
      <c r="A3800">
        <v>742</v>
      </c>
      <c r="B3800" t="s">
        <v>70</v>
      </c>
      <c r="C3800">
        <v>100</v>
      </c>
      <c r="D3800">
        <v>327</v>
      </c>
      <c r="E3800">
        <v>742</v>
      </c>
      <c r="F3800">
        <v>5468401</v>
      </c>
      <c r="G3800">
        <v>5556600</v>
      </c>
      <c r="H3800">
        <f t="shared" si="118"/>
        <v>124.00002267573696</v>
      </c>
      <c r="I3800">
        <f t="shared" si="119"/>
        <v>126</v>
      </c>
      <c r="J3800" t="s">
        <v>25</v>
      </c>
      <c r="K3800">
        <v>3</v>
      </c>
      <c r="L3800" t="e">
        <f t="array" ref="L3800">VLOOKUP(J3800:$J$3871&amp;K3800:$K$3871,CHOOSE({1,2},#REF!&amp;#REF!,#REF!),2,0)</f>
        <v>#N/A</v>
      </c>
      <c r="M3800">
        <v>-15</v>
      </c>
      <c r="N3800">
        <v>0</v>
      </c>
      <c r="O3800" t="s">
        <v>7</v>
      </c>
      <c r="P3800">
        <v>0</v>
      </c>
      <c r="Q3800">
        <v>0</v>
      </c>
      <c r="R3800">
        <v>0</v>
      </c>
      <c r="S3800">
        <v>1</v>
      </c>
      <c r="T3800">
        <v>0</v>
      </c>
      <c r="U3800">
        <v>0</v>
      </c>
      <c r="V3800">
        <v>0</v>
      </c>
      <c r="W3800">
        <v>1</v>
      </c>
      <c r="X3800">
        <v>1</v>
      </c>
      <c r="Y3800">
        <v>0</v>
      </c>
      <c r="Z3800">
        <v>0</v>
      </c>
      <c r="AA3800" t="s">
        <v>6004</v>
      </c>
      <c r="AB3800" t="s">
        <v>7799</v>
      </c>
      <c r="AC3800" t="s">
        <v>6004</v>
      </c>
      <c r="AD3800" t="e">
        <f>VLOOKUP(AB3800,#REF!,2,FALSE)</f>
        <v>#REF!</v>
      </c>
      <c r="AE3800" t="e">
        <f>RIGHT(#REF!,(FIND("Complex",#REF!,1)-5))</f>
        <v>#REF!</v>
      </c>
    </row>
    <row r="3801" spans="1:31" x14ac:dyDescent="0.25">
      <c r="A3801">
        <v>1148</v>
      </c>
      <c r="B3801" t="s">
        <v>70</v>
      </c>
      <c r="C3801">
        <v>100</v>
      </c>
      <c r="D3801">
        <v>511</v>
      </c>
      <c r="E3801">
        <v>1148</v>
      </c>
      <c r="F3801">
        <v>5380201</v>
      </c>
      <c r="G3801">
        <v>5468400</v>
      </c>
      <c r="H3801">
        <f t="shared" si="118"/>
        <v>122.00002267573696</v>
      </c>
      <c r="I3801">
        <f t="shared" si="119"/>
        <v>124</v>
      </c>
      <c r="J3801" t="s">
        <v>25</v>
      </c>
      <c r="K3801">
        <v>3</v>
      </c>
      <c r="L3801" t="e">
        <f t="array" ref="L3801">VLOOKUP(J3801:$J$3871&amp;K3801:$K$3871,CHOOSE({1,2},#REF!&amp;#REF!,#REF!),2,0)</f>
        <v>#N/A</v>
      </c>
      <c r="M3801">
        <v>-15</v>
      </c>
      <c r="N3801">
        <v>0</v>
      </c>
      <c r="O3801" t="s">
        <v>7</v>
      </c>
      <c r="P3801">
        <v>0</v>
      </c>
      <c r="Q3801">
        <v>0</v>
      </c>
      <c r="R3801">
        <v>0</v>
      </c>
      <c r="S3801">
        <v>1</v>
      </c>
      <c r="T3801">
        <v>0</v>
      </c>
      <c r="U3801">
        <v>0</v>
      </c>
      <c r="V3801">
        <v>0</v>
      </c>
      <c r="W3801">
        <v>1</v>
      </c>
      <c r="X3801">
        <v>1</v>
      </c>
      <c r="Y3801">
        <v>0</v>
      </c>
      <c r="Z3801">
        <v>0</v>
      </c>
      <c r="AA3801" t="s">
        <v>6013</v>
      </c>
      <c r="AB3801" t="s">
        <v>7802</v>
      </c>
      <c r="AC3801" t="s">
        <v>6013</v>
      </c>
      <c r="AD3801" t="e">
        <f>VLOOKUP(AB3801,#REF!,2,FALSE)</f>
        <v>#REF!</v>
      </c>
      <c r="AE3801" t="e">
        <f>RIGHT(#REF!,(FIND("Complex",#REF!,1)-6))</f>
        <v>#REF!</v>
      </c>
    </row>
    <row r="3802" spans="1:31" x14ac:dyDescent="0.25">
      <c r="A3802">
        <v>1771</v>
      </c>
      <c r="B3802" t="s">
        <v>70</v>
      </c>
      <c r="C3802">
        <v>100</v>
      </c>
      <c r="D3802">
        <v>771</v>
      </c>
      <c r="E3802">
        <v>1771</v>
      </c>
      <c r="F3802">
        <v>5292001</v>
      </c>
      <c r="G3802">
        <v>5380200</v>
      </c>
      <c r="H3802">
        <f t="shared" si="118"/>
        <v>120.00002267573696</v>
      </c>
      <c r="I3802">
        <f t="shared" si="119"/>
        <v>122</v>
      </c>
      <c r="J3802" t="s">
        <v>25</v>
      </c>
      <c r="K3802">
        <v>3</v>
      </c>
      <c r="L3802" t="e">
        <f t="array" ref="L3802">VLOOKUP(J3802:$J$3871&amp;K3802:$K$3871,CHOOSE({1,2},#REF!&amp;#REF!,#REF!),2,0)</f>
        <v>#N/A</v>
      </c>
      <c r="M3802">
        <v>-15</v>
      </c>
      <c r="N3802">
        <v>0</v>
      </c>
      <c r="O3802" t="s">
        <v>7</v>
      </c>
      <c r="P3802">
        <v>0</v>
      </c>
      <c r="Q3802">
        <v>0</v>
      </c>
      <c r="R3802">
        <v>0</v>
      </c>
      <c r="S3802">
        <v>1</v>
      </c>
      <c r="T3802">
        <v>0</v>
      </c>
      <c r="U3802">
        <v>0</v>
      </c>
      <c r="V3802">
        <v>0</v>
      </c>
      <c r="W3802">
        <v>1</v>
      </c>
      <c r="X3802">
        <v>1</v>
      </c>
      <c r="Y3802">
        <v>0</v>
      </c>
      <c r="Z3802">
        <v>0</v>
      </c>
      <c r="AA3802" t="s">
        <v>6022</v>
      </c>
      <c r="AB3802" t="s">
        <v>7807</v>
      </c>
      <c r="AC3802" t="s">
        <v>6022</v>
      </c>
      <c r="AD3802" t="e">
        <f>VLOOKUP(AB3802,#REF!,2,FALSE)</f>
        <v>#REF!</v>
      </c>
      <c r="AE3802" t="e">
        <f>RIGHT(#REF!,(FIND("Complex",#REF!,1)-6))</f>
        <v>#REF!</v>
      </c>
    </row>
    <row r="3803" spans="1:31" x14ac:dyDescent="0.25">
      <c r="A3803">
        <v>2075</v>
      </c>
      <c r="B3803" t="s">
        <v>70</v>
      </c>
      <c r="C3803">
        <v>100</v>
      </c>
      <c r="D3803">
        <v>877</v>
      </c>
      <c r="E3803">
        <v>2075</v>
      </c>
      <c r="F3803">
        <v>529201</v>
      </c>
      <c r="G3803">
        <v>617400</v>
      </c>
      <c r="H3803">
        <f t="shared" si="118"/>
        <v>12.000022675736961</v>
      </c>
      <c r="I3803">
        <f t="shared" si="119"/>
        <v>14</v>
      </c>
      <c r="J3803" t="s">
        <v>25</v>
      </c>
      <c r="K3803">
        <v>3</v>
      </c>
      <c r="L3803" t="e">
        <f t="array" ref="L3803">VLOOKUP(J3803:$J$3871&amp;K3803:$K$3871,CHOOSE({1,2},#REF!&amp;#REF!,#REF!),2,0)</f>
        <v>#N/A</v>
      </c>
      <c r="M3803">
        <v>-15</v>
      </c>
      <c r="N3803">
        <v>0</v>
      </c>
      <c r="O3803" t="s">
        <v>7</v>
      </c>
      <c r="P3803">
        <v>0</v>
      </c>
      <c r="Q3803">
        <v>0</v>
      </c>
      <c r="R3803">
        <v>0</v>
      </c>
      <c r="S3803">
        <v>1</v>
      </c>
      <c r="T3803">
        <v>0</v>
      </c>
      <c r="U3803">
        <v>0</v>
      </c>
      <c r="V3803">
        <v>0</v>
      </c>
      <c r="W3803">
        <v>1</v>
      </c>
      <c r="X3803">
        <v>1</v>
      </c>
      <c r="Y3803">
        <v>0</v>
      </c>
      <c r="Z3803">
        <v>0</v>
      </c>
      <c r="AA3803" t="s">
        <v>6039</v>
      </c>
      <c r="AB3803" t="s">
        <v>7815</v>
      </c>
      <c r="AC3803" t="s">
        <v>6039</v>
      </c>
      <c r="AD3803" t="e">
        <f>VLOOKUP(AB3803,#REF!,2,FALSE)</f>
        <v>#REF!</v>
      </c>
      <c r="AE3803" t="e">
        <f>RIGHT(#REF!,(FIND("Complex",#REF!,1)-7))</f>
        <v>#REF!</v>
      </c>
    </row>
    <row r="3804" spans="1:31" x14ac:dyDescent="0.25">
      <c r="A3804">
        <v>1463</v>
      </c>
      <c r="B3804" t="s">
        <v>70</v>
      </c>
      <c r="C3804">
        <v>100</v>
      </c>
      <c r="D3804">
        <v>640</v>
      </c>
      <c r="E3804">
        <v>1463</v>
      </c>
      <c r="F3804">
        <v>5027401</v>
      </c>
      <c r="G3804">
        <v>5115600</v>
      </c>
      <c r="H3804">
        <f t="shared" si="118"/>
        <v>114.00002267573696</v>
      </c>
      <c r="I3804">
        <f t="shared" si="119"/>
        <v>116</v>
      </c>
      <c r="J3804" t="s">
        <v>25</v>
      </c>
      <c r="K3804">
        <v>3</v>
      </c>
      <c r="L3804" t="e">
        <f t="array" ref="L3804">VLOOKUP(J3804:$J$3871&amp;K3804:$K$3871,CHOOSE({1,2},#REF!&amp;#REF!,#REF!),2,0)</f>
        <v>#N/A</v>
      </c>
      <c r="M3804">
        <v>-15</v>
      </c>
      <c r="N3804">
        <v>0</v>
      </c>
      <c r="O3804" t="s">
        <v>7</v>
      </c>
      <c r="P3804">
        <v>0</v>
      </c>
      <c r="Q3804">
        <v>0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1</v>
      </c>
      <c r="X3804">
        <v>1</v>
      </c>
      <c r="Y3804">
        <v>0</v>
      </c>
      <c r="Z3804">
        <v>0</v>
      </c>
      <c r="AA3804" t="s">
        <v>6063</v>
      </c>
      <c r="AB3804" t="s">
        <v>7830</v>
      </c>
      <c r="AC3804" t="s">
        <v>6063</v>
      </c>
      <c r="AD3804" t="e">
        <f>VLOOKUP(AB3804,#REF!,2,FALSE)</f>
        <v>#REF!</v>
      </c>
      <c r="AE3804" t="e">
        <f>RIGHT(#REF!,(FIND("Complex",#REF!,1)-6))</f>
        <v>#REF!</v>
      </c>
    </row>
    <row r="3805" spans="1:31" x14ac:dyDescent="0.25">
      <c r="A3805">
        <v>67</v>
      </c>
      <c r="B3805" t="s">
        <v>70</v>
      </c>
      <c r="C3805">
        <v>100</v>
      </c>
      <c r="D3805">
        <v>35</v>
      </c>
      <c r="E3805">
        <v>67</v>
      </c>
      <c r="F3805">
        <v>4674601</v>
      </c>
      <c r="G3805">
        <v>4762800</v>
      </c>
      <c r="H3805">
        <f t="shared" si="118"/>
        <v>106.00002267573696</v>
      </c>
      <c r="I3805">
        <f t="shared" si="119"/>
        <v>108</v>
      </c>
      <c r="J3805" t="s">
        <v>25</v>
      </c>
      <c r="K3805">
        <v>3</v>
      </c>
      <c r="L3805" t="e">
        <f t="array" ref="L3805">VLOOKUP(J3805:$J$3871&amp;K3805:$K$3871,CHOOSE({1,2},#REF!&amp;#REF!,#REF!),2,0)</f>
        <v>#N/A</v>
      </c>
      <c r="M3805">
        <v>-15</v>
      </c>
      <c r="N3805">
        <v>0</v>
      </c>
      <c r="O3805" t="s">
        <v>7</v>
      </c>
      <c r="P3805">
        <v>0</v>
      </c>
      <c r="Q3805">
        <v>0</v>
      </c>
      <c r="R3805">
        <v>0</v>
      </c>
      <c r="S3805">
        <v>1</v>
      </c>
      <c r="T3805">
        <v>0</v>
      </c>
      <c r="U3805">
        <v>0</v>
      </c>
      <c r="V3805">
        <v>0</v>
      </c>
      <c r="W3805">
        <v>1</v>
      </c>
      <c r="X3805">
        <v>1</v>
      </c>
      <c r="Y3805">
        <v>0</v>
      </c>
      <c r="Z3805">
        <v>0</v>
      </c>
      <c r="AA3805" t="s">
        <v>6097</v>
      </c>
      <c r="AB3805" t="s">
        <v>7851</v>
      </c>
      <c r="AC3805" t="s">
        <v>6097</v>
      </c>
      <c r="AD3805" t="e">
        <f>VLOOKUP(AB3805,#REF!,2,FALSE)</f>
        <v>#REF!</v>
      </c>
      <c r="AE3805" t="e">
        <f>RIGHT(#REF!,(FIND("Complex",#REF!,1)-4))</f>
        <v>#REF!</v>
      </c>
    </row>
    <row r="3806" spans="1:31" x14ac:dyDescent="0.25">
      <c r="A3806">
        <v>1249</v>
      </c>
      <c r="B3806" t="s">
        <v>55</v>
      </c>
      <c r="C3806">
        <v>102</v>
      </c>
      <c r="D3806">
        <v>547</v>
      </c>
      <c r="E3806">
        <v>1249</v>
      </c>
      <c r="F3806">
        <v>3351601</v>
      </c>
      <c r="G3806">
        <v>3439800</v>
      </c>
      <c r="H3806">
        <f t="shared" si="118"/>
        <v>76.000022675736957</v>
      </c>
      <c r="I3806">
        <f t="shared" si="119"/>
        <v>78</v>
      </c>
      <c r="J3806" t="s">
        <v>25</v>
      </c>
      <c r="K3806">
        <v>3</v>
      </c>
      <c r="L3806" t="e">
        <f t="array" ref="L3806">VLOOKUP(J3806:$J$3871&amp;K3806:$K$3871,CHOOSE({1,2},#REF!&amp;#REF!,#REF!),2,0)</f>
        <v>#N/A</v>
      </c>
      <c r="M3806">
        <v>-15</v>
      </c>
      <c r="N3806">
        <v>0</v>
      </c>
      <c r="O3806" t="s">
        <v>7</v>
      </c>
      <c r="P3806">
        <v>0</v>
      </c>
      <c r="Q3806">
        <v>0</v>
      </c>
      <c r="R3806">
        <v>1</v>
      </c>
      <c r="S3806">
        <v>1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 t="s">
        <v>5024</v>
      </c>
      <c r="AB3806" t="s">
        <v>7230</v>
      </c>
      <c r="AC3806" t="s">
        <v>5024</v>
      </c>
      <c r="AD3806" t="e">
        <f>VLOOKUP(AB3806,#REF!,2,FALSE)</f>
        <v>#REF!</v>
      </c>
      <c r="AE3806" t="e">
        <f>RIGHT(#REF!,(FIND("Complex",#REF!,1)-7))</f>
        <v>#REF!</v>
      </c>
    </row>
    <row r="3807" spans="1:31" x14ac:dyDescent="0.25">
      <c r="A3807">
        <v>16</v>
      </c>
      <c r="B3807" t="s">
        <v>95</v>
      </c>
      <c r="C3807">
        <v>103</v>
      </c>
      <c r="D3807">
        <v>5</v>
      </c>
      <c r="E3807">
        <v>16</v>
      </c>
      <c r="F3807">
        <v>3969001</v>
      </c>
      <c r="G3807">
        <v>4057200</v>
      </c>
      <c r="H3807">
        <f t="shared" si="118"/>
        <v>90.000022675736957</v>
      </c>
      <c r="I3807">
        <f t="shared" si="119"/>
        <v>92</v>
      </c>
      <c r="J3807" t="s">
        <v>25</v>
      </c>
      <c r="K3807">
        <v>3</v>
      </c>
      <c r="L3807" t="e">
        <f t="array" ref="L3807">VLOOKUP(J3807:$J$3871&amp;K3807:$K$3871,CHOOSE({1,2},#REF!&amp;#REF!,#REF!),2,0)</f>
        <v>#N/A</v>
      </c>
      <c r="M3807">
        <v>-15</v>
      </c>
      <c r="N3807">
        <v>0</v>
      </c>
      <c r="O3807" t="s">
        <v>7</v>
      </c>
      <c r="P3807">
        <v>0</v>
      </c>
      <c r="Q3807">
        <v>0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1</v>
      </c>
      <c r="X3807">
        <v>1</v>
      </c>
      <c r="Y3807">
        <v>0</v>
      </c>
      <c r="Z3807">
        <v>0</v>
      </c>
      <c r="AA3807" t="s">
        <v>4933</v>
      </c>
      <c r="AB3807" t="s">
        <v>7181</v>
      </c>
      <c r="AC3807" t="s">
        <v>4933</v>
      </c>
      <c r="AD3807" t="e">
        <f>VLOOKUP(AB3807,#REF!,2,FALSE)</f>
        <v>#REF!</v>
      </c>
      <c r="AE3807" t="e">
        <f>RIGHT(#REF!,(FIND("Complex",#REF!,1)-5))</f>
        <v>#REF!</v>
      </c>
    </row>
    <row r="3808" spans="1:31" x14ac:dyDescent="0.25">
      <c r="A3808">
        <v>1306</v>
      </c>
      <c r="B3808" t="s">
        <v>95</v>
      </c>
      <c r="C3808">
        <v>103</v>
      </c>
      <c r="D3808">
        <v>566</v>
      </c>
      <c r="E3808">
        <v>1306</v>
      </c>
      <c r="F3808">
        <v>4939201</v>
      </c>
      <c r="G3808">
        <v>5027400</v>
      </c>
      <c r="H3808">
        <f t="shared" si="118"/>
        <v>112.00002267573696</v>
      </c>
      <c r="I3808">
        <f t="shared" si="119"/>
        <v>114</v>
      </c>
      <c r="J3808" t="s">
        <v>25</v>
      </c>
      <c r="K3808">
        <v>3</v>
      </c>
      <c r="L3808" t="e">
        <f t="array" ref="L3808">VLOOKUP(J3808:$J$3871&amp;K3808:$K$3871,CHOOSE({1,2},#REF!&amp;#REF!,#REF!),2,0)</f>
        <v>#N/A</v>
      </c>
      <c r="M3808">
        <v>-15</v>
      </c>
      <c r="N3808">
        <v>0</v>
      </c>
      <c r="O3808" t="s">
        <v>7</v>
      </c>
      <c r="P3808">
        <v>0</v>
      </c>
      <c r="Q3808">
        <v>0</v>
      </c>
      <c r="R3808">
        <v>0</v>
      </c>
      <c r="S3808">
        <v>1</v>
      </c>
      <c r="T3808">
        <v>0</v>
      </c>
      <c r="U3808">
        <v>0</v>
      </c>
      <c r="V3808">
        <v>0</v>
      </c>
      <c r="W3808">
        <v>1</v>
      </c>
      <c r="X3808">
        <v>1</v>
      </c>
      <c r="Y3808">
        <v>0</v>
      </c>
      <c r="Z3808">
        <v>0</v>
      </c>
      <c r="AA3808" t="s">
        <v>6071</v>
      </c>
      <c r="AB3808" t="s">
        <v>2067</v>
      </c>
      <c r="AC3808" t="s">
        <v>6071</v>
      </c>
      <c r="AD3808" t="e">
        <f>VLOOKUP(AB3808,#REF!,2,FALSE)</f>
        <v>#REF!</v>
      </c>
      <c r="AE3808" t="e">
        <f>RIGHT(#REF!,(FIND("Complex",#REF!,1)-6))</f>
        <v>#REF!</v>
      </c>
    </row>
    <row r="3809" spans="1:31" x14ac:dyDescent="0.25">
      <c r="A3809">
        <v>1916</v>
      </c>
      <c r="B3809" t="s">
        <v>95</v>
      </c>
      <c r="C3809">
        <v>103</v>
      </c>
      <c r="D3809">
        <v>829</v>
      </c>
      <c r="E3809">
        <v>1916</v>
      </c>
      <c r="F3809">
        <v>4498201</v>
      </c>
      <c r="G3809">
        <v>4586400</v>
      </c>
      <c r="H3809">
        <f t="shared" si="118"/>
        <v>102.00002267573696</v>
      </c>
      <c r="I3809">
        <f t="shared" si="119"/>
        <v>104</v>
      </c>
      <c r="J3809" t="s">
        <v>25</v>
      </c>
      <c r="K3809">
        <v>3</v>
      </c>
      <c r="L3809" t="e">
        <f t="array" ref="L3809">VLOOKUP(J3809:$J$3871&amp;K3809:$K$3871,CHOOSE({1,2},#REF!&amp;#REF!,#REF!),2,0)</f>
        <v>#N/A</v>
      </c>
      <c r="M3809">
        <v>-15</v>
      </c>
      <c r="N3809">
        <v>0</v>
      </c>
      <c r="O3809" t="s">
        <v>7</v>
      </c>
      <c r="P3809">
        <v>0</v>
      </c>
      <c r="Q3809">
        <v>0</v>
      </c>
      <c r="R3809">
        <v>0</v>
      </c>
      <c r="S3809">
        <v>1</v>
      </c>
      <c r="T3809">
        <v>0</v>
      </c>
      <c r="U3809">
        <v>0</v>
      </c>
      <c r="V3809">
        <v>0</v>
      </c>
      <c r="W3809">
        <v>1</v>
      </c>
      <c r="X3809">
        <v>1</v>
      </c>
      <c r="Y3809">
        <v>0</v>
      </c>
      <c r="Z3809">
        <v>0</v>
      </c>
      <c r="AA3809" t="s">
        <v>6118</v>
      </c>
      <c r="AB3809" t="s">
        <v>7861</v>
      </c>
      <c r="AC3809" t="s">
        <v>6118</v>
      </c>
      <c r="AD3809" t="e">
        <f>VLOOKUP(AB3809,#REF!,2,FALSE)</f>
        <v>#REF!</v>
      </c>
      <c r="AE3809" t="e">
        <f>RIGHT(#REF!,(FIND("Complex",#REF!,1)-6))</f>
        <v>#REF!</v>
      </c>
    </row>
    <row r="3810" spans="1:31" x14ac:dyDescent="0.25">
      <c r="A3810">
        <v>492</v>
      </c>
      <c r="B3810" t="s">
        <v>275</v>
      </c>
      <c r="C3810">
        <v>106</v>
      </c>
      <c r="D3810">
        <v>203</v>
      </c>
      <c r="E3810">
        <v>492</v>
      </c>
      <c r="F3810">
        <v>3880801</v>
      </c>
      <c r="G3810">
        <v>3969000</v>
      </c>
      <c r="H3810">
        <f t="shared" si="118"/>
        <v>88.000022675736957</v>
      </c>
      <c r="I3810">
        <f t="shared" si="119"/>
        <v>90</v>
      </c>
      <c r="J3810" t="s">
        <v>25</v>
      </c>
      <c r="K3810">
        <v>3</v>
      </c>
      <c r="L3810" t="e">
        <f t="array" ref="L3810">VLOOKUP(J3810:$J$3871&amp;K3810:$K$3871,CHOOSE({1,2},#REF!&amp;#REF!,#REF!),2,0)</f>
        <v>#N/A</v>
      </c>
      <c r="M3810">
        <v>-15</v>
      </c>
      <c r="N3810">
        <v>0</v>
      </c>
      <c r="O3810" t="s">
        <v>7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1</v>
      </c>
      <c r="Y3810">
        <v>1</v>
      </c>
      <c r="Z3810">
        <v>0</v>
      </c>
      <c r="AA3810" t="s">
        <v>4942</v>
      </c>
      <c r="AB3810" t="s">
        <v>7186</v>
      </c>
      <c r="AC3810" t="s">
        <v>4942</v>
      </c>
      <c r="AD3810" t="e">
        <f>VLOOKUP(AB3810,#REF!,2,FALSE)</f>
        <v>#REF!</v>
      </c>
      <c r="AE3810" t="e">
        <f>RIGHT(#REF!,(FIND("Complex",#REF!,1)-6))</f>
        <v>#REF!</v>
      </c>
    </row>
    <row r="3811" spans="1:31" x14ac:dyDescent="0.25">
      <c r="A3811">
        <v>1521</v>
      </c>
      <c r="B3811" t="s">
        <v>275</v>
      </c>
      <c r="C3811">
        <v>106</v>
      </c>
      <c r="D3811">
        <v>666</v>
      </c>
      <c r="E3811">
        <v>1521</v>
      </c>
      <c r="F3811">
        <v>3704401</v>
      </c>
      <c r="G3811">
        <v>3792600</v>
      </c>
      <c r="H3811">
        <f t="shared" si="118"/>
        <v>84.000022675736957</v>
      </c>
      <c r="I3811">
        <f t="shared" si="119"/>
        <v>86</v>
      </c>
      <c r="J3811" t="s">
        <v>25</v>
      </c>
      <c r="K3811">
        <v>3</v>
      </c>
      <c r="L3811" t="e">
        <f t="array" ref="L3811">VLOOKUP(J3811:$J$3871&amp;K3811:$K$3871,CHOOSE({1,2},#REF!&amp;#REF!,#REF!),2,0)</f>
        <v>#N/A</v>
      </c>
      <c r="M3811">
        <v>-15</v>
      </c>
      <c r="N3811">
        <v>0</v>
      </c>
      <c r="O3811" t="s">
        <v>7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1</v>
      </c>
      <c r="Y3811">
        <v>1</v>
      </c>
      <c r="Z3811">
        <v>0</v>
      </c>
      <c r="AA3811" t="s">
        <v>4964</v>
      </c>
      <c r="AB3811" t="s">
        <v>7197</v>
      </c>
      <c r="AC3811" t="s">
        <v>4964</v>
      </c>
      <c r="AD3811" t="e">
        <f>VLOOKUP(AB3811,#REF!,2,FALSE)</f>
        <v>#REF!</v>
      </c>
      <c r="AE3811" t="e">
        <f>RIGHT(#REF!,(FIND("Complex",#REF!,1)-7))</f>
        <v>#REF!</v>
      </c>
    </row>
    <row r="3812" spans="1:31" x14ac:dyDescent="0.25">
      <c r="A3812">
        <v>975</v>
      </c>
      <c r="B3812" t="s">
        <v>275</v>
      </c>
      <c r="C3812">
        <v>106</v>
      </c>
      <c r="D3812">
        <v>430</v>
      </c>
      <c r="E3812">
        <v>975</v>
      </c>
      <c r="F3812">
        <v>3351601</v>
      </c>
      <c r="G3812">
        <v>3439800</v>
      </c>
      <c r="H3812">
        <f t="shared" si="118"/>
        <v>76.000022675736957</v>
      </c>
      <c r="I3812">
        <f t="shared" si="119"/>
        <v>78</v>
      </c>
      <c r="J3812" t="s">
        <v>25</v>
      </c>
      <c r="K3812">
        <v>3</v>
      </c>
      <c r="L3812" t="e">
        <f t="array" ref="L3812">VLOOKUP(J3812:$J$3871&amp;K3812:$K$3871,CHOOSE({1,2},#REF!&amp;#REF!,#REF!),2,0)</f>
        <v>#N/A</v>
      </c>
      <c r="M3812">
        <v>-15</v>
      </c>
      <c r="N3812">
        <v>0</v>
      </c>
      <c r="O3812" t="s">
        <v>7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1</v>
      </c>
      <c r="Y3812">
        <v>1</v>
      </c>
      <c r="Z3812">
        <v>0</v>
      </c>
      <c r="AA3812" t="s">
        <v>5023</v>
      </c>
      <c r="AB3812" t="s">
        <v>7229</v>
      </c>
      <c r="AC3812" t="s">
        <v>5023</v>
      </c>
      <c r="AD3812" t="e">
        <f>VLOOKUP(AB3812,#REF!,2,FALSE)</f>
        <v>#REF!</v>
      </c>
      <c r="AE3812" t="e">
        <f>RIGHT(#REF!,(FIND("Complex",#REF!,1)-6))</f>
        <v>#REF!</v>
      </c>
    </row>
    <row r="3813" spans="1:31" x14ac:dyDescent="0.25">
      <c r="A3813">
        <v>1336</v>
      </c>
      <c r="B3813" t="s">
        <v>275</v>
      </c>
      <c r="C3813">
        <v>106</v>
      </c>
      <c r="D3813">
        <v>582</v>
      </c>
      <c r="E3813">
        <v>1336</v>
      </c>
      <c r="F3813">
        <v>3263401</v>
      </c>
      <c r="G3813">
        <v>3351600</v>
      </c>
      <c r="H3813">
        <f t="shared" si="118"/>
        <v>74.000022675736957</v>
      </c>
      <c r="I3813">
        <f t="shared" si="119"/>
        <v>76</v>
      </c>
      <c r="J3813" t="s">
        <v>25</v>
      </c>
      <c r="K3813">
        <v>3</v>
      </c>
      <c r="L3813" t="e">
        <f t="array" ref="L3813">VLOOKUP(J3813:$J$3871&amp;K3813:$K$3871,CHOOSE({1,2},#REF!&amp;#REF!,#REF!),2,0)</f>
        <v>#N/A</v>
      </c>
      <c r="M3813">
        <v>-15</v>
      </c>
      <c r="N3813">
        <v>0</v>
      </c>
      <c r="O3813" t="s">
        <v>7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1</v>
      </c>
      <c r="Y3813">
        <v>1</v>
      </c>
      <c r="Z3813">
        <v>0</v>
      </c>
      <c r="AA3813" t="s">
        <v>5036</v>
      </c>
      <c r="AB3813" t="s">
        <v>7235</v>
      </c>
      <c r="AC3813" t="s">
        <v>5036</v>
      </c>
      <c r="AD3813" t="e">
        <f>VLOOKUP(AB3813,#REF!,2,FALSE)</f>
        <v>#REF!</v>
      </c>
      <c r="AE3813" t="e">
        <f>RIGHT(#REF!,(FIND("Complex",#REF!,1)-7))</f>
        <v>#REF!</v>
      </c>
    </row>
    <row r="3814" spans="1:31" x14ac:dyDescent="0.25">
      <c r="A3814">
        <v>2161</v>
      </c>
      <c r="B3814" t="s">
        <v>275</v>
      </c>
      <c r="C3814">
        <v>106</v>
      </c>
      <c r="D3814">
        <v>902</v>
      </c>
      <c r="E3814">
        <v>2161</v>
      </c>
      <c r="F3814">
        <v>15964201</v>
      </c>
      <c r="G3814">
        <v>16052400</v>
      </c>
      <c r="H3814">
        <f t="shared" si="118"/>
        <v>362.00002267573694</v>
      </c>
      <c r="I3814">
        <f t="shared" si="119"/>
        <v>364</v>
      </c>
      <c r="J3814" t="s">
        <v>25</v>
      </c>
      <c r="K3814">
        <v>3</v>
      </c>
      <c r="L3814" t="e">
        <f t="array" ref="L3814">VLOOKUP(J3814:$J$3871&amp;K3814:$K$3871,CHOOSE({1,2},#REF!&amp;#REF!,#REF!),2,0)</f>
        <v>#N/A</v>
      </c>
      <c r="M3814">
        <v>-15</v>
      </c>
      <c r="N3814">
        <v>0</v>
      </c>
      <c r="O3814" t="s">
        <v>7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1</v>
      </c>
      <c r="Y3814">
        <v>1</v>
      </c>
      <c r="Z3814">
        <v>0</v>
      </c>
      <c r="AA3814" t="s">
        <v>5308</v>
      </c>
      <c r="AB3814" t="s">
        <v>2150</v>
      </c>
      <c r="AC3814" t="s">
        <v>5308</v>
      </c>
      <c r="AD3814" t="e">
        <f>VLOOKUP(AB3814,#REF!,2,FALSE)</f>
        <v>#REF!</v>
      </c>
      <c r="AE3814" t="e">
        <f>RIGHT(#REF!,(FIND("Complex",#REF!,1)-6))</f>
        <v>#REF!</v>
      </c>
    </row>
    <row r="3815" spans="1:31" x14ac:dyDescent="0.25">
      <c r="A3815">
        <v>544</v>
      </c>
      <c r="B3815" t="s">
        <v>275</v>
      </c>
      <c r="C3815">
        <v>106</v>
      </c>
      <c r="D3815">
        <v>228</v>
      </c>
      <c r="E3815">
        <v>544</v>
      </c>
      <c r="F3815">
        <v>15435001</v>
      </c>
      <c r="G3815">
        <v>15523200</v>
      </c>
      <c r="H3815">
        <f t="shared" si="118"/>
        <v>350.00002267573694</v>
      </c>
      <c r="I3815">
        <f t="shared" si="119"/>
        <v>352</v>
      </c>
      <c r="J3815" t="s">
        <v>25</v>
      </c>
      <c r="K3815">
        <v>3</v>
      </c>
      <c r="L3815" t="e">
        <f t="array" ref="L3815">VLOOKUP(J3815:$J$3871&amp;K3815:$K$3871,CHOOSE({1,2},#REF!&amp;#REF!,#REF!),2,0)</f>
        <v>#N/A</v>
      </c>
      <c r="M3815">
        <v>-15</v>
      </c>
      <c r="N3815">
        <v>0</v>
      </c>
      <c r="O3815" t="s">
        <v>7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1</v>
      </c>
      <c r="Y3815">
        <v>1</v>
      </c>
      <c r="Z3815">
        <v>0</v>
      </c>
      <c r="AA3815" t="s">
        <v>5327</v>
      </c>
      <c r="AB3815" t="s">
        <v>7382</v>
      </c>
      <c r="AC3815" t="s">
        <v>5327</v>
      </c>
      <c r="AD3815" t="e">
        <f>VLOOKUP(AB3815,#REF!,2,FALSE)</f>
        <v>#REF!</v>
      </c>
      <c r="AE3815" t="e">
        <f>RIGHT(#REF!,(FIND("Complex",#REF!,1)-5))</f>
        <v>#REF!</v>
      </c>
    </row>
    <row r="3816" spans="1:31" x14ac:dyDescent="0.25">
      <c r="A3816">
        <v>2011</v>
      </c>
      <c r="B3816" t="s">
        <v>275</v>
      </c>
      <c r="C3816">
        <v>106</v>
      </c>
      <c r="D3816">
        <v>862</v>
      </c>
      <c r="E3816">
        <v>2011</v>
      </c>
      <c r="F3816">
        <v>14288401</v>
      </c>
      <c r="G3816">
        <v>14376600</v>
      </c>
      <c r="H3816">
        <f t="shared" si="118"/>
        <v>324.00002267573694</v>
      </c>
      <c r="I3816">
        <f t="shared" si="119"/>
        <v>326</v>
      </c>
      <c r="J3816" t="s">
        <v>25</v>
      </c>
      <c r="K3816">
        <v>3</v>
      </c>
      <c r="L3816" t="e">
        <f t="array" ref="L3816">VLOOKUP(J3816:$J$3871&amp;K3816:$K$3871,CHOOSE({1,2},#REF!&amp;#REF!,#REF!),2,0)</f>
        <v>#N/A</v>
      </c>
      <c r="M3816">
        <v>-15</v>
      </c>
      <c r="N3816">
        <v>0</v>
      </c>
      <c r="O3816" t="s">
        <v>7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1</v>
      </c>
      <c r="Y3816">
        <v>1</v>
      </c>
      <c r="Z3816">
        <v>0</v>
      </c>
      <c r="AA3816" t="s">
        <v>5355</v>
      </c>
      <c r="AB3816" t="s">
        <v>2151</v>
      </c>
      <c r="AC3816" t="s">
        <v>5355</v>
      </c>
      <c r="AD3816" t="e">
        <f>VLOOKUP(AB3816,#REF!,2,FALSE)</f>
        <v>#REF!</v>
      </c>
      <c r="AE3816" t="e">
        <f>RIGHT(#REF!,(FIND("Complex",#REF!,1)-6))</f>
        <v>#REF!</v>
      </c>
    </row>
    <row r="3817" spans="1:31" x14ac:dyDescent="0.25">
      <c r="A3817">
        <v>883</v>
      </c>
      <c r="B3817" t="s">
        <v>275</v>
      </c>
      <c r="C3817">
        <v>106</v>
      </c>
      <c r="D3817">
        <v>392</v>
      </c>
      <c r="E3817">
        <v>883</v>
      </c>
      <c r="F3817">
        <v>13230001</v>
      </c>
      <c r="G3817">
        <v>13318200</v>
      </c>
      <c r="H3817">
        <f t="shared" si="118"/>
        <v>300.00002267573694</v>
      </c>
      <c r="I3817">
        <f t="shared" si="119"/>
        <v>302</v>
      </c>
      <c r="J3817" t="s">
        <v>25</v>
      </c>
      <c r="K3817">
        <v>3</v>
      </c>
      <c r="L3817" t="e">
        <f t="array" ref="L3817">VLOOKUP(J3817:$J$3871&amp;K3817:$K$3871,CHOOSE({1,2},#REF!&amp;#REF!,#REF!),2,0)</f>
        <v>#N/A</v>
      </c>
      <c r="M3817">
        <v>-15</v>
      </c>
      <c r="N3817">
        <v>0</v>
      </c>
      <c r="O3817" t="s">
        <v>7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1</v>
      </c>
      <c r="Y3817">
        <v>1</v>
      </c>
      <c r="Z3817">
        <v>0</v>
      </c>
      <c r="AA3817" t="s">
        <v>5373</v>
      </c>
      <c r="AB3817" t="s">
        <v>7405</v>
      </c>
      <c r="AC3817" t="s">
        <v>5373</v>
      </c>
      <c r="AD3817" t="e">
        <f>VLOOKUP(AB3817,#REF!,2,FALSE)</f>
        <v>#REF!</v>
      </c>
      <c r="AE3817" t="e">
        <f>RIGHT(#REF!,(FIND("Complex",#REF!,1)-5))</f>
        <v>#REF!</v>
      </c>
    </row>
    <row r="3818" spans="1:31" x14ac:dyDescent="0.25">
      <c r="A3818">
        <v>245</v>
      </c>
      <c r="B3818" t="s">
        <v>275</v>
      </c>
      <c r="C3818">
        <v>106</v>
      </c>
      <c r="D3818">
        <v>106</v>
      </c>
      <c r="E3818">
        <v>245</v>
      </c>
      <c r="F3818">
        <v>12877201</v>
      </c>
      <c r="G3818">
        <v>12965400</v>
      </c>
      <c r="H3818">
        <f t="shared" si="118"/>
        <v>292.00002267573694</v>
      </c>
      <c r="I3818">
        <f t="shared" si="119"/>
        <v>294</v>
      </c>
      <c r="J3818" t="s">
        <v>25</v>
      </c>
      <c r="K3818">
        <v>3</v>
      </c>
      <c r="L3818" t="e">
        <f t="array" ref="L3818">VLOOKUP(J3818:$J$3871&amp;K3818:$K$3871,CHOOSE({1,2},#REF!&amp;#REF!,#REF!),2,0)</f>
        <v>#N/A</v>
      </c>
      <c r="M3818">
        <v>-15</v>
      </c>
      <c r="N3818">
        <v>0</v>
      </c>
      <c r="O3818" t="s">
        <v>7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1</v>
      </c>
      <c r="Y3818">
        <v>1</v>
      </c>
      <c r="Z3818">
        <v>0</v>
      </c>
      <c r="AA3818" t="s">
        <v>5395</v>
      </c>
      <c r="AB3818" t="s">
        <v>7418</v>
      </c>
      <c r="AC3818" t="s">
        <v>5395</v>
      </c>
      <c r="AD3818" t="e">
        <f>VLOOKUP(AB3818,#REF!,2,FALSE)</f>
        <v>#REF!</v>
      </c>
      <c r="AE3818" t="e">
        <f>RIGHT(#REF!,(FIND("Complex",#REF!,1)-5))</f>
        <v>#REF!</v>
      </c>
    </row>
    <row r="3819" spans="1:31" x14ac:dyDescent="0.25">
      <c r="A3819">
        <v>343</v>
      </c>
      <c r="B3819" t="s">
        <v>275</v>
      </c>
      <c r="C3819">
        <v>106</v>
      </c>
      <c r="D3819">
        <v>145</v>
      </c>
      <c r="E3819">
        <v>343</v>
      </c>
      <c r="F3819">
        <v>12524401</v>
      </c>
      <c r="G3819">
        <v>12612600</v>
      </c>
      <c r="H3819">
        <f t="shared" si="118"/>
        <v>284.00002267573694</v>
      </c>
      <c r="I3819">
        <f t="shared" si="119"/>
        <v>286</v>
      </c>
      <c r="J3819" t="s">
        <v>25</v>
      </c>
      <c r="K3819">
        <v>3</v>
      </c>
      <c r="L3819" t="e">
        <f t="array" ref="L3819">VLOOKUP(J3819:$J$3871&amp;K3819:$K$3871,CHOOSE({1,2},#REF!&amp;#REF!,#REF!),2,0)</f>
        <v>#N/A</v>
      </c>
      <c r="M3819">
        <v>-15</v>
      </c>
      <c r="N3819">
        <v>0</v>
      </c>
      <c r="O3819" t="s">
        <v>7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1</v>
      </c>
      <c r="Y3819">
        <v>1</v>
      </c>
      <c r="Z3819">
        <v>0</v>
      </c>
      <c r="AA3819" t="s">
        <v>5401</v>
      </c>
      <c r="AB3819" t="s">
        <v>2152</v>
      </c>
      <c r="AC3819" t="s">
        <v>5401</v>
      </c>
      <c r="AD3819" t="e">
        <f>VLOOKUP(AB3819,#REF!,2,FALSE)</f>
        <v>#REF!</v>
      </c>
      <c r="AE3819" t="e">
        <f>RIGHT(#REF!,(FIND("Complex",#REF!,1)-5))</f>
        <v>#REF!</v>
      </c>
    </row>
    <row r="3820" spans="1:31" x14ac:dyDescent="0.25">
      <c r="A3820">
        <v>2139</v>
      </c>
      <c r="B3820" t="s">
        <v>275</v>
      </c>
      <c r="C3820">
        <v>106</v>
      </c>
      <c r="D3820">
        <v>899</v>
      </c>
      <c r="E3820">
        <v>2139</v>
      </c>
      <c r="F3820">
        <v>12259801</v>
      </c>
      <c r="G3820">
        <v>12348000</v>
      </c>
      <c r="H3820">
        <f t="shared" si="118"/>
        <v>278.00002267573694</v>
      </c>
      <c r="I3820">
        <f t="shared" si="119"/>
        <v>280</v>
      </c>
      <c r="J3820" t="s">
        <v>25</v>
      </c>
      <c r="K3820">
        <v>3</v>
      </c>
      <c r="L3820" t="e">
        <f t="array" ref="L3820">VLOOKUP(J3820:$J$3871&amp;K3820:$K$3871,CHOOSE({1,2},#REF!&amp;#REF!,#REF!),2,0)</f>
        <v>#N/A</v>
      </c>
      <c r="M3820">
        <v>-15</v>
      </c>
      <c r="N3820">
        <v>0</v>
      </c>
      <c r="O3820" t="s">
        <v>7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1</v>
      </c>
      <c r="Y3820">
        <v>1</v>
      </c>
      <c r="Z3820">
        <v>0</v>
      </c>
      <c r="AA3820" t="s">
        <v>5424</v>
      </c>
      <c r="AB3820" t="s">
        <v>7435</v>
      </c>
      <c r="AC3820" t="s">
        <v>5424</v>
      </c>
      <c r="AD3820" t="e">
        <f>VLOOKUP(AB3820,#REF!,2,FALSE)</f>
        <v>#REF!</v>
      </c>
      <c r="AE3820" t="e">
        <f>RIGHT(#REF!,(FIND("Complex",#REF!,1)-6))</f>
        <v>#REF!</v>
      </c>
    </row>
    <row r="3821" spans="1:31" x14ac:dyDescent="0.25">
      <c r="A3821">
        <v>117</v>
      </c>
      <c r="B3821" t="s">
        <v>275</v>
      </c>
      <c r="C3821">
        <v>106</v>
      </c>
      <c r="D3821">
        <v>54</v>
      </c>
      <c r="E3821">
        <v>117</v>
      </c>
      <c r="F3821">
        <v>12171601</v>
      </c>
      <c r="G3821">
        <v>12259800</v>
      </c>
      <c r="H3821">
        <f t="shared" si="118"/>
        <v>276.00002267573694</v>
      </c>
      <c r="I3821">
        <f t="shared" si="119"/>
        <v>278</v>
      </c>
      <c r="J3821" t="s">
        <v>25</v>
      </c>
      <c r="K3821">
        <v>3</v>
      </c>
      <c r="L3821" t="e">
        <f t="array" ref="L3821">VLOOKUP(J3821:$J$3871&amp;K3821:$K$3871,CHOOSE({1,2},#REF!&amp;#REF!,#REF!),2,0)</f>
        <v>#N/A</v>
      </c>
      <c r="M3821">
        <v>-15</v>
      </c>
      <c r="N3821">
        <v>0</v>
      </c>
      <c r="O3821" t="s">
        <v>7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1</v>
      </c>
      <c r="Y3821">
        <v>1</v>
      </c>
      <c r="Z3821">
        <v>0</v>
      </c>
      <c r="AA3821" t="s">
        <v>5428</v>
      </c>
      <c r="AB3821" t="s">
        <v>7438</v>
      </c>
      <c r="AC3821" t="s">
        <v>5428</v>
      </c>
      <c r="AD3821" t="e">
        <f>VLOOKUP(AB3821,#REF!,2,FALSE)</f>
        <v>#REF!</v>
      </c>
      <c r="AE3821" t="e">
        <f>RIGHT(#REF!,(FIND("Complex",#REF!,1)-5))</f>
        <v>#REF!</v>
      </c>
    </row>
    <row r="3822" spans="1:31" x14ac:dyDescent="0.25">
      <c r="A3822">
        <v>1143</v>
      </c>
      <c r="B3822" t="s">
        <v>275</v>
      </c>
      <c r="C3822">
        <v>106</v>
      </c>
      <c r="D3822">
        <v>508</v>
      </c>
      <c r="E3822">
        <v>1143</v>
      </c>
      <c r="F3822">
        <v>11907001</v>
      </c>
      <c r="G3822">
        <v>11995200</v>
      </c>
      <c r="H3822">
        <f t="shared" si="118"/>
        <v>270.00002267573694</v>
      </c>
      <c r="I3822">
        <f t="shared" si="119"/>
        <v>272</v>
      </c>
      <c r="J3822" t="s">
        <v>25</v>
      </c>
      <c r="K3822">
        <v>3</v>
      </c>
      <c r="L3822" t="e">
        <f t="array" ref="L3822">VLOOKUP(J3822:$J$3871&amp;K3822:$K$3871,CHOOSE({1,2},#REF!&amp;#REF!,#REF!),2,0)</f>
        <v>#N/A</v>
      </c>
      <c r="M3822">
        <v>-15</v>
      </c>
      <c r="N3822">
        <v>0</v>
      </c>
      <c r="O3822" t="s">
        <v>7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1</v>
      </c>
      <c r="Y3822">
        <v>1</v>
      </c>
      <c r="Z3822">
        <v>0</v>
      </c>
      <c r="AA3822" t="s">
        <v>5437</v>
      </c>
      <c r="AB3822" t="s">
        <v>2153</v>
      </c>
      <c r="AC3822" t="s">
        <v>5437</v>
      </c>
      <c r="AD3822" t="e">
        <f>VLOOKUP(AB3822,#REF!,2,FALSE)</f>
        <v>#REF!</v>
      </c>
      <c r="AE3822" t="e">
        <f>RIGHT(#REF!,(FIND("Complex",#REF!,1)-6))</f>
        <v>#REF!</v>
      </c>
    </row>
    <row r="3823" spans="1:31" x14ac:dyDescent="0.25">
      <c r="A3823">
        <v>1643</v>
      </c>
      <c r="B3823" t="s">
        <v>275</v>
      </c>
      <c r="C3823">
        <v>106</v>
      </c>
      <c r="D3823">
        <v>718</v>
      </c>
      <c r="E3823">
        <v>1643</v>
      </c>
      <c r="F3823">
        <v>10584001</v>
      </c>
      <c r="G3823">
        <v>10672200</v>
      </c>
      <c r="H3823">
        <f t="shared" si="118"/>
        <v>240.00002267573697</v>
      </c>
      <c r="I3823">
        <f t="shared" si="119"/>
        <v>242</v>
      </c>
      <c r="J3823" t="s">
        <v>25</v>
      </c>
      <c r="K3823">
        <v>3</v>
      </c>
      <c r="L3823" t="e">
        <f t="array" ref="L3823">VLOOKUP(J3823:$J$3871&amp;K3823:$K$3871,CHOOSE({1,2},#REF!&amp;#REF!,#REF!),2,0)</f>
        <v>#N/A</v>
      </c>
      <c r="M3823">
        <v>-15</v>
      </c>
      <c r="N3823">
        <v>0</v>
      </c>
      <c r="O3823" t="s">
        <v>7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1</v>
      </c>
      <c r="Y3823">
        <v>1</v>
      </c>
      <c r="Z3823">
        <v>0</v>
      </c>
      <c r="AA3823" t="s">
        <v>5515</v>
      </c>
      <c r="AB3823" t="s">
        <v>7501</v>
      </c>
      <c r="AC3823" t="s">
        <v>5515</v>
      </c>
      <c r="AD3823" t="e">
        <f>VLOOKUP(AB3823,#REF!,2,FALSE)</f>
        <v>#REF!</v>
      </c>
      <c r="AE3823" t="e">
        <f>RIGHT(#REF!,(FIND("Complex",#REF!,1)-6))</f>
        <v>#REF!</v>
      </c>
    </row>
    <row r="3824" spans="1:31" x14ac:dyDescent="0.25">
      <c r="A3824">
        <v>1175</v>
      </c>
      <c r="B3824" t="s">
        <v>275</v>
      </c>
      <c r="C3824">
        <v>106</v>
      </c>
      <c r="D3824">
        <v>521</v>
      </c>
      <c r="E3824">
        <v>1175</v>
      </c>
      <c r="F3824">
        <v>8820001</v>
      </c>
      <c r="G3824">
        <v>8908200</v>
      </c>
      <c r="H3824">
        <f t="shared" si="118"/>
        <v>200.00002267573697</v>
      </c>
      <c r="I3824">
        <f t="shared" si="119"/>
        <v>202</v>
      </c>
      <c r="J3824" t="s">
        <v>25</v>
      </c>
      <c r="K3824">
        <v>3</v>
      </c>
      <c r="L3824" t="e">
        <f t="array" ref="L3824">VLOOKUP(J3824:$J$3871&amp;K3824:$K$3871,CHOOSE({1,2},#REF!&amp;#REF!,#REF!),2,0)</f>
        <v>#N/A</v>
      </c>
      <c r="M3824">
        <v>-15</v>
      </c>
      <c r="N3824">
        <v>0</v>
      </c>
      <c r="O3824" t="s">
        <v>7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1</v>
      </c>
      <c r="Y3824">
        <v>1</v>
      </c>
      <c r="Z3824">
        <v>0</v>
      </c>
      <c r="AA3824" t="s">
        <v>5635</v>
      </c>
      <c r="AB3824" t="s">
        <v>7579</v>
      </c>
      <c r="AC3824" t="s">
        <v>5635</v>
      </c>
      <c r="AD3824" t="e">
        <f>VLOOKUP(AB3824,#REF!,2,FALSE)</f>
        <v>#REF!</v>
      </c>
      <c r="AE3824" t="e">
        <f>RIGHT(#REF!,(FIND("Complex",#REF!,1)-6))</f>
        <v>#REF!</v>
      </c>
    </row>
    <row r="3825" spans="1:31" x14ac:dyDescent="0.25">
      <c r="A3825">
        <v>1998</v>
      </c>
      <c r="B3825" t="s">
        <v>275</v>
      </c>
      <c r="C3825">
        <v>106</v>
      </c>
      <c r="D3825">
        <v>861</v>
      </c>
      <c r="E3825">
        <v>1998</v>
      </c>
      <c r="F3825">
        <v>8643601</v>
      </c>
      <c r="G3825">
        <v>8731800</v>
      </c>
      <c r="H3825">
        <f t="shared" si="118"/>
        <v>196.00002267573697</v>
      </c>
      <c r="I3825">
        <f t="shared" si="119"/>
        <v>198</v>
      </c>
      <c r="J3825" t="s">
        <v>25</v>
      </c>
      <c r="K3825">
        <v>3</v>
      </c>
      <c r="L3825" t="e">
        <f t="array" ref="L3825">VLOOKUP(J3825:$J$3871&amp;K3825:$K$3871,CHOOSE({1,2},#REF!&amp;#REF!,#REF!),2,0)</f>
        <v>#N/A</v>
      </c>
      <c r="M3825">
        <v>-15</v>
      </c>
      <c r="N3825">
        <v>0</v>
      </c>
      <c r="O3825" t="s">
        <v>7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1</v>
      </c>
      <c r="Y3825">
        <v>1</v>
      </c>
      <c r="Z3825">
        <v>0</v>
      </c>
      <c r="AA3825" t="s">
        <v>5666</v>
      </c>
      <c r="AB3825" t="s">
        <v>7596</v>
      </c>
      <c r="AC3825" t="s">
        <v>5666</v>
      </c>
      <c r="AD3825" t="e">
        <f>VLOOKUP(AB3825,#REF!,2,FALSE)</f>
        <v>#REF!</v>
      </c>
      <c r="AE3825" t="e">
        <f>RIGHT(#REF!,(FIND("Complex",#REF!,1)-6))</f>
        <v>#REF!</v>
      </c>
    </row>
    <row r="3826" spans="1:31" x14ac:dyDescent="0.25">
      <c r="A3826">
        <v>1563</v>
      </c>
      <c r="B3826" t="s">
        <v>275</v>
      </c>
      <c r="C3826">
        <v>106</v>
      </c>
      <c r="D3826">
        <v>682</v>
      </c>
      <c r="E3826">
        <v>1563</v>
      </c>
      <c r="F3826">
        <v>7761601</v>
      </c>
      <c r="G3826">
        <v>7849800</v>
      </c>
      <c r="H3826">
        <f t="shared" si="118"/>
        <v>176.00002267573697</v>
      </c>
      <c r="I3826">
        <f t="shared" si="119"/>
        <v>178</v>
      </c>
      <c r="J3826" t="s">
        <v>25</v>
      </c>
      <c r="K3826">
        <v>3</v>
      </c>
      <c r="L3826" t="e">
        <f t="array" ref="L3826">VLOOKUP(J3826:$J$3871&amp;K3826:$K$3871,CHOOSE({1,2},#REF!&amp;#REF!,#REF!),2,0)</f>
        <v>#N/A</v>
      </c>
      <c r="M3826">
        <v>-15</v>
      </c>
      <c r="N3826">
        <v>0</v>
      </c>
      <c r="O3826" t="s">
        <v>7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1</v>
      </c>
      <c r="Y3826">
        <v>1</v>
      </c>
      <c r="Z3826">
        <v>0</v>
      </c>
      <c r="AA3826" t="s">
        <v>5733</v>
      </c>
      <c r="AB3826" t="s">
        <v>7639</v>
      </c>
      <c r="AC3826" t="s">
        <v>5733</v>
      </c>
      <c r="AD3826" t="e">
        <f>VLOOKUP(AB3826,#REF!,2,FALSE)</f>
        <v>#REF!</v>
      </c>
      <c r="AE3826" t="e">
        <f>RIGHT(#REF!,(FIND("Complex",#REF!,1)-6))</f>
        <v>#REF!</v>
      </c>
    </row>
    <row r="3827" spans="1:31" x14ac:dyDescent="0.25">
      <c r="A3827">
        <v>685</v>
      </c>
      <c r="B3827" t="s">
        <v>275</v>
      </c>
      <c r="C3827">
        <v>106</v>
      </c>
      <c r="D3827">
        <v>299</v>
      </c>
      <c r="E3827">
        <v>685</v>
      </c>
      <c r="F3827">
        <v>7673401</v>
      </c>
      <c r="G3827">
        <v>7761600</v>
      </c>
      <c r="H3827">
        <f t="shared" si="118"/>
        <v>174.00002267573697</v>
      </c>
      <c r="I3827">
        <f t="shared" si="119"/>
        <v>176</v>
      </c>
      <c r="J3827" t="s">
        <v>25</v>
      </c>
      <c r="K3827">
        <v>3</v>
      </c>
      <c r="L3827" t="e">
        <f t="array" ref="L3827">VLOOKUP(J3827:$J$3871&amp;K3827:$K$3871,CHOOSE({1,2},#REF!&amp;#REF!,#REF!),2,0)</f>
        <v>#N/A</v>
      </c>
      <c r="M3827">
        <v>-15</v>
      </c>
      <c r="N3827">
        <v>0</v>
      </c>
      <c r="O3827" t="s">
        <v>7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1</v>
      </c>
      <c r="Y3827">
        <v>1</v>
      </c>
      <c r="Z3827">
        <v>0</v>
      </c>
      <c r="AA3827" t="s">
        <v>5742</v>
      </c>
      <c r="AB3827" t="s">
        <v>7643</v>
      </c>
      <c r="AC3827" t="s">
        <v>5742</v>
      </c>
      <c r="AD3827" t="e">
        <f>VLOOKUP(AB3827,#REF!,2,FALSE)</f>
        <v>#REF!</v>
      </c>
      <c r="AE3827" t="e">
        <f>RIGHT(#REF!,(FIND("Complex",#REF!,1)-5))</f>
        <v>#REF!</v>
      </c>
    </row>
    <row r="3828" spans="1:31" x14ac:dyDescent="0.25">
      <c r="A3828">
        <v>2228</v>
      </c>
      <c r="B3828" t="s">
        <v>275</v>
      </c>
      <c r="C3828">
        <v>106</v>
      </c>
      <c r="D3828">
        <v>920</v>
      </c>
      <c r="E3828">
        <v>2228</v>
      </c>
      <c r="F3828">
        <v>7585201</v>
      </c>
      <c r="G3828">
        <v>7673400</v>
      </c>
      <c r="H3828">
        <f t="shared" si="118"/>
        <v>172.00002267573697</v>
      </c>
      <c r="I3828">
        <f t="shared" si="119"/>
        <v>174</v>
      </c>
      <c r="J3828" t="s">
        <v>25</v>
      </c>
      <c r="K3828">
        <v>3</v>
      </c>
      <c r="L3828" t="e">
        <f t="array" ref="L3828">VLOOKUP(J3828:$J$3871&amp;K3828:$K$3871,CHOOSE({1,2},#REF!&amp;#REF!,#REF!),2,0)</f>
        <v>#N/A</v>
      </c>
      <c r="M3828">
        <v>-15</v>
      </c>
      <c r="N3828">
        <v>0</v>
      </c>
      <c r="O3828" t="s">
        <v>7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1</v>
      </c>
      <c r="Y3828">
        <v>1</v>
      </c>
      <c r="Z3828">
        <v>0</v>
      </c>
      <c r="AA3828" t="s">
        <v>5752</v>
      </c>
      <c r="AB3828" t="s">
        <v>7651</v>
      </c>
      <c r="AC3828" t="s">
        <v>5752</v>
      </c>
      <c r="AD3828" t="e">
        <f>VLOOKUP(AB3828,#REF!,2,FALSE)</f>
        <v>#REF!</v>
      </c>
      <c r="AE3828" t="e">
        <f>RIGHT(#REF!,(FIND("Complex",#REF!,1)-6))</f>
        <v>#REF!</v>
      </c>
    </row>
    <row r="3829" spans="1:31" x14ac:dyDescent="0.25">
      <c r="A3829">
        <v>1829</v>
      </c>
      <c r="B3829" t="s">
        <v>275</v>
      </c>
      <c r="C3829">
        <v>106</v>
      </c>
      <c r="D3829">
        <v>793</v>
      </c>
      <c r="E3829">
        <v>1829</v>
      </c>
      <c r="F3829">
        <v>7056001</v>
      </c>
      <c r="G3829">
        <v>7144200</v>
      </c>
      <c r="H3829">
        <f t="shared" si="118"/>
        <v>160.00002267573697</v>
      </c>
      <c r="I3829">
        <f t="shared" si="119"/>
        <v>162</v>
      </c>
      <c r="J3829" t="s">
        <v>25</v>
      </c>
      <c r="K3829">
        <v>3</v>
      </c>
      <c r="L3829" t="e">
        <f t="array" ref="L3829">VLOOKUP(J3829:$J$3871&amp;K3829:$K$3871,CHOOSE({1,2},#REF!&amp;#REF!,#REF!),2,0)</f>
        <v>#N/A</v>
      </c>
      <c r="M3829">
        <v>-15</v>
      </c>
      <c r="N3829">
        <v>0</v>
      </c>
      <c r="O3829" t="s">
        <v>7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1</v>
      </c>
      <c r="Y3829">
        <v>1</v>
      </c>
      <c r="Z3829">
        <v>0</v>
      </c>
      <c r="AA3829" t="s">
        <v>5805</v>
      </c>
      <c r="AB3829" t="s">
        <v>7685</v>
      </c>
      <c r="AC3829" t="s">
        <v>5805</v>
      </c>
      <c r="AD3829" t="e">
        <f>VLOOKUP(AB3829,#REF!,2,FALSE)</f>
        <v>#REF!</v>
      </c>
      <c r="AE3829" t="e">
        <f>RIGHT(#REF!,(FIND("Complex",#REF!,1)-6))</f>
        <v>#REF!</v>
      </c>
    </row>
    <row r="3830" spans="1:31" x14ac:dyDescent="0.25">
      <c r="A3830">
        <v>1795</v>
      </c>
      <c r="B3830" t="s">
        <v>275</v>
      </c>
      <c r="C3830">
        <v>106</v>
      </c>
      <c r="D3830">
        <v>780</v>
      </c>
      <c r="E3830">
        <v>1795</v>
      </c>
      <c r="F3830">
        <v>6703201</v>
      </c>
      <c r="G3830">
        <v>6791400</v>
      </c>
      <c r="H3830">
        <f t="shared" si="118"/>
        <v>152.00002267573697</v>
      </c>
      <c r="I3830">
        <f t="shared" si="119"/>
        <v>154</v>
      </c>
      <c r="J3830" t="s">
        <v>25</v>
      </c>
      <c r="K3830">
        <v>3</v>
      </c>
      <c r="L3830" t="e">
        <f t="array" ref="L3830">VLOOKUP(J3830:$J$3871&amp;K3830:$K$3871,CHOOSE({1,2},#REF!&amp;#REF!,#REF!),2,0)</f>
        <v>#N/A</v>
      </c>
      <c r="M3830">
        <v>-15</v>
      </c>
      <c r="N3830">
        <v>0</v>
      </c>
      <c r="O3830" t="s">
        <v>7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1</v>
      </c>
      <c r="Y3830">
        <v>1</v>
      </c>
      <c r="Z3830">
        <v>0</v>
      </c>
      <c r="AA3830" t="s">
        <v>5874</v>
      </c>
      <c r="AB3830" t="s">
        <v>7724</v>
      </c>
      <c r="AC3830" t="s">
        <v>5874</v>
      </c>
      <c r="AD3830" t="e">
        <f>VLOOKUP(AB3830,#REF!,2,FALSE)</f>
        <v>#REF!</v>
      </c>
      <c r="AE3830" t="e">
        <f>RIGHT(#REF!,(FIND("Complex",#REF!,1)-6))</f>
        <v>#REF!</v>
      </c>
    </row>
    <row r="3831" spans="1:31" x14ac:dyDescent="0.25">
      <c r="A3831">
        <v>51</v>
      </c>
      <c r="B3831" t="s">
        <v>275</v>
      </c>
      <c r="C3831">
        <v>106</v>
      </c>
      <c r="D3831">
        <v>26</v>
      </c>
      <c r="E3831">
        <v>51</v>
      </c>
      <c r="F3831">
        <v>6526801</v>
      </c>
      <c r="G3831">
        <v>6615000</v>
      </c>
      <c r="H3831">
        <f t="shared" si="118"/>
        <v>148.00002267573697</v>
      </c>
      <c r="I3831">
        <f t="shared" si="119"/>
        <v>150</v>
      </c>
      <c r="J3831" t="s">
        <v>25</v>
      </c>
      <c r="K3831">
        <v>3</v>
      </c>
      <c r="L3831" t="e">
        <f t="array" ref="L3831">VLOOKUP(J3831:$J$3871&amp;K3831:$K$3871,CHOOSE({1,2},#REF!&amp;#REF!,#REF!),2,0)</f>
        <v>#N/A</v>
      </c>
      <c r="M3831">
        <v>-15</v>
      </c>
      <c r="N3831">
        <v>0</v>
      </c>
      <c r="O3831" t="s">
        <v>7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1</v>
      </c>
      <c r="Y3831">
        <v>1</v>
      </c>
      <c r="Z3831">
        <v>0</v>
      </c>
      <c r="AA3831" t="s">
        <v>5894</v>
      </c>
      <c r="AB3831" t="s">
        <v>7736</v>
      </c>
      <c r="AC3831" t="s">
        <v>5894</v>
      </c>
      <c r="AD3831" t="e">
        <f>VLOOKUP(AB3831,#REF!,2,FALSE)</f>
        <v>#REF!</v>
      </c>
      <c r="AE3831" t="e">
        <f>RIGHT(#REF!,(FIND("Complex",#REF!,1)-4))</f>
        <v>#REF!</v>
      </c>
    </row>
    <row r="3832" spans="1:31" x14ac:dyDescent="0.25">
      <c r="A3832">
        <v>1429</v>
      </c>
      <c r="B3832" t="s">
        <v>275</v>
      </c>
      <c r="C3832">
        <v>106</v>
      </c>
      <c r="D3832">
        <v>626</v>
      </c>
      <c r="E3832">
        <v>1429</v>
      </c>
      <c r="F3832">
        <v>4851001</v>
      </c>
      <c r="G3832">
        <v>4939200</v>
      </c>
      <c r="H3832">
        <f t="shared" si="118"/>
        <v>110.00002267573696</v>
      </c>
      <c r="I3832">
        <f t="shared" si="119"/>
        <v>112</v>
      </c>
      <c r="J3832" t="s">
        <v>25</v>
      </c>
      <c r="K3832">
        <v>3</v>
      </c>
      <c r="L3832" t="e">
        <f t="array" ref="L3832">VLOOKUP(J3832:$J$3871&amp;K3832:$K$3871,CHOOSE({1,2},#REF!&amp;#REF!,#REF!),2,0)</f>
        <v>#N/A</v>
      </c>
      <c r="M3832">
        <v>-15</v>
      </c>
      <c r="N3832">
        <v>0</v>
      </c>
      <c r="O3832" t="s">
        <v>7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1</v>
      </c>
      <c r="Y3832">
        <v>1</v>
      </c>
      <c r="Z3832">
        <v>0</v>
      </c>
      <c r="AA3832" t="s">
        <v>6080</v>
      </c>
      <c r="AB3832" t="s">
        <v>7839</v>
      </c>
      <c r="AC3832" t="s">
        <v>6080</v>
      </c>
      <c r="AD3832" t="e">
        <f>VLOOKUP(AB3832,#REF!,2,FALSE)</f>
        <v>#REF!</v>
      </c>
      <c r="AE3832" t="e">
        <f>RIGHT(#REF!,(FIND("Complex",#REF!,1)-6))</f>
        <v>#REF!</v>
      </c>
    </row>
    <row r="3833" spans="1:31" x14ac:dyDescent="0.25">
      <c r="A3833">
        <v>782</v>
      </c>
      <c r="B3833" t="s">
        <v>275</v>
      </c>
      <c r="C3833">
        <v>106</v>
      </c>
      <c r="D3833">
        <v>351</v>
      </c>
      <c r="E3833">
        <v>782</v>
      </c>
      <c r="F3833">
        <v>4498201</v>
      </c>
      <c r="G3833">
        <v>4586400</v>
      </c>
      <c r="H3833">
        <f t="shared" si="118"/>
        <v>102.00002267573696</v>
      </c>
      <c r="I3833">
        <f t="shared" si="119"/>
        <v>104</v>
      </c>
      <c r="J3833" t="s">
        <v>25</v>
      </c>
      <c r="K3833">
        <v>3</v>
      </c>
      <c r="L3833" t="e">
        <f t="array" ref="L3833">VLOOKUP(J3833:$J$3871&amp;K3833:$K$3871,CHOOSE({1,2},#REF!&amp;#REF!,#REF!),2,0)</f>
        <v>#N/A</v>
      </c>
      <c r="M3833">
        <v>-15</v>
      </c>
      <c r="N3833">
        <v>0</v>
      </c>
      <c r="O3833" t="s">
        <v>7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1</v>
      </c>
      <c r="Y3833">
        <v>1</v>
      </c>
      <c r="Z3833">
        <v>0</v>
      </c>
      <c r="AA3833" t="s">
        <v>6116</v>
      </c>
      <c r="AB3833" t="s">
        <v>7859</v>
      </c>
      <c r="AC3833" t="s">
        <v>6116</v>
      </c>
      <c r="AD3833" t="e">
        <f>VLOOKUP(AB3833,#REF!,2,FALSE)</f>
        <v>#REF!</v>
      </c>
      <c r="AE3833" t="e">
        <f>RIGHT(#REF!,(FIND("Complex",#REF!,1)-5))</f>
        <v>#REF!</v>
      </c>
    </row>
    <row r="3834" spans="1:31" x14ac:dyDescent="0.25">
      <c r="A3834">
        <v>779</v>
      </c>
      <c r="B3834" t="s">
        <v>279</v>
      </c>
      <c r="C3834">
        <v>109</v>
      </c>
      <c r="D3834">
        <v>350</v>
      </c>
      <c r="E3834">
        <v>779</v>
      </c>
      <c r="F3834">
        <v>16405201</v>
      </c>
      <c r="G3834">
        <v>16493400</v>
      </c>
      <c r="H3834">
        <f t="shared" si="118"/>
        <v>372.00002267573694</v>
      </c>
      <c r="I3834">
        <f t="shared" si="119"/>
        <v>374</v>
      </c>
      <c r="J3834" t="s">
        <v>25</v>
      </c>
      <c r="K3834">
        <v>3</v>
      </c>
      <c r="L3834" t="e">
        <f t="array" ref="L3834">VLOOKUP(J3834:$J$3871&amp;K3834:$K$3871,CHOOSE({1,2},#REF!&amp;#REF!,#REF!),2,0)</f>
        <v>#N/A</v>
      </c>
      <c r="M3834">
        <v>-15</v>
      </c>
      <c r="N3834">
        <v>0</v>
      </c>
      <c r="O3834" t="s">
        <v>7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1</v>
      </c>
      <c r="Z3834">
        <v>1</v>
      </c>
      <c r="AA3834" t="s">
        <v>5303</v>
      </c>
      <c r="AB3834" t="s">
        <v>7364</v>
      </c>
      <c r="AC3834" t="s">
        <v>5303</v>
      </c>
      <c r="AD3834" t="e">
        <f>VLOOKUP(AB3834,#REF!,2,FALSE)</f>
        <v>#REF!</v>
      </c>
      <c r="AE3834" t="e">
        <f>RIGHT(#REF!,(FIND("Complex",#REF!,1)-5))</f>
        <v>#REF!</v>
      </c>
    </row>
    <row r="3835" spans="1:31" x14ac:dyDescent="0.25">
      <c r="A3835">
        <v>1742</v>
      </c>
      <c r="B3835" t="s">
        <v>279</v>
      </c>
      <c r="C3835">
        <v>109</v>
      </c>
      <c r="D3835">
        <v>758</v>
      </c>
      <c r="E3835">
        <v>1742</v>
      </c>
      <c r="F3835">
        <v>16317001</v>
      </c>
      <c r="G3835">
        <v>16405200</v>
      </c>
      <c r="H3835">
        <f t="shared" si="118"/>
        <v>370.00002267573694</v>
      </c>
      <c r="I3835">
        <f t="shared" si="119"/>
        <v>372</v>
      </c>
      <c r="J3835" t="s">
        <v>25</v>
      </c>
      <c r="K3835">
        <v>3</v>
      </c>
      <c r="L3835" t="e">
        <f t="array" ref="L3835">VLOOKUP(J3835:$J$3871&amp;K3835:$K$3871,CHOOSE({1,2},#REF!&amp;#REF!,#REF!),2,0)</f>
        <v>#N/A</v>
      </c>
      <c r="M3835">
        <v>-15</v>
      </c>
      <c r="N3835">
        <v>0</v>
      </c>
      <c r="O3835" t="s">
        <v>7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1</v>
      </c>
      <c r="Z3835">
        <v>1</v>
      </c>
      <c r="AA3835" t="s">
        <v>5305</v>
      </c>
      <c r="AB3835" t="s">
        <v>7366</v>
      </c>
      <c r="AC3835" t="s">
        <v>5305</v>
      </c>
      <c r="AD3835" t="e">
        <f>VLOOKUP(AB3835,#REF!,2,FALSE)</f>
        <v>#REF!</v>
      </c>
      <c r="AE3835" t="e">
        <f>RIGHT(#REF!,(FIND("Complex",#REF!,1)-6))</f>
        <v>#REF!</v>
      </c>
    </row>
    <row r="3836" spans="1:31" x14ac:dyDescent="0.25">
      <c r="A3836">
        <v>1022</v>
      </c>
      <c r="B3836" t="s">
        <v>279</v>
      </c>
      <c r="C3836">
        <v>109</v>
      </c>
      <c r="D3836">
        <v>453</v>
      </c>
      <c r="E3836">
        <v>1022</v>
      </c>
      <c r="F3836">
        <v>15876001</v>
      </c>
      <c r="G3836">
        <v>15964200</v>
      </c>
      <c r="H3836">
        <f t="shared" si="118"/>
        <v>360.00002267573694</v>
      </c>
      <c r="I3836">
        <f t="shared" si="119"/>
        <v>362</v>
      </c>
      <c r="J3836" t="s">
        <v>25</v>
      </c>
      <c r="K3836">
        <v>3</v>
      </c>
      <c r="L3836" t="e">
        <f t="array" ref="L3836">VLOOKUP(J3836:$J$3871&amp;K3836:$K$3871,CHOOSE({1,2},#REF!&amp;#REF!,#REF!),2,0)</f>
        <v>#N/A</v>
      </c>
      <c r="M3836">
        <v>-15</v>
      </c>
      <c r="N3836">
        <v>0</v>
      </c>
      <c r="O3836" t="s">
        <v>7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1</v>
      </c>
      <c r="Y3836">
        <v>1</v>
      </c>
      <c r="Z3836">
        <v>0</v>
      </c>
      <c r="AA3836" t="s">
        <v>5311</v>
      </c>
      <c r="AB3836" t="s">
        <v>7370</v>
      </c>
      <c r="AC3836" t="s">
        <v>5311</v>
      </c>
      <c r="AD3836" t="e">
        <f>VLOOKUP(AB3836,#REF!,2,FALSE)</f>
        <v>#REF!</v>
      </c>
      <c r="AE3836" t="e">
        <f>RIGHT(#REF!,(FIND("Complex",#REF!,1)-6))</f>
        <v>#REF!</v>
      </c>
    </row>
    <row r="3837" spans="1:31" x14ac:dyDescent="0.25">
      <c r="A3837">
        <v>515</v>
      </c>
      <c r="B3837" t="s">
        <v>279</v>
      </c>
      <c r="C3837">
        <v>109</v>
      </c>
      <c r="D3837">
        <v>216</v>
      </c>
      <c r="E3837">
        <v>515</v>
      </c>
      <c r="F3837">
        <v>13671001</v>
      </c>
      <c r="G3837">
        <v>13759200</v>
      </c>
      <c r="H3837">
        <f t="shared" si="118"/>
        <v>310.00002267573694</v>
      </c>
      <c r="I3837">
        <f t="shared" si="119"/>
        <v>312</v>
      </c>
      <c r="J3837" t="s">
        <v>25</v>
      </c>
      <c r="K3837">
        <v>3</v>
      </c>
      <c r="L3837" t="e">
        <f t="array" ref="L3837">VLOOKUP(J3837:$J$3871&amp;K3837:$K$3871,CHOOSE({1,2},#REF!&amp;#REF!,#REF!),2,0)</f>
        <v>#N/A</v>
      </c>
      <c r="M3837">
        <v>-15</v>
      </c>
      <c r="N3837">
        <v>0</v>
      </c>
      <c r="O3837" t="s">
        <v>7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1</v>
      </c>
      <c r="Y3837">
        <v>0</v>
      </c>
      <c r="Z3837">
        <v>1</v>
      </c>
      <c r="AA3837" t="s">
        <v>5370</v>
      </c>
      <c r="AB3837" t="s">
        <v>7403</v>
      </c>
      <c r="AC3837" t="s">
        <v>5370</v>
      </c>
      <c r="AD3837" t="e">
        <f>VLOOKUP(AB3837,#REF!,2,FALSE)</f>
        <v>#REF!</v>
      </c>
      <c r="AE3837" t="e">
        <f>RIGHT(#REF!,(FIND("Complex",#REF!,1)-5))</f>
        <v>#REF!</v>
      </c>
    </row>
    <row r="3838" spans="1:31" x14ac:dyDescent="0.25">
      <c r="A3838">
        <v>1347</v>
      </c>
      <c r="B3838" t="s">
        <v>279</v>
      </c>
      <c r="C3838">
        <v>109</v>
      </c>
      <c r="D3838">
        <v>589</v>
      </c>
      <c r="E3838">
        <v>1347</v>
      </c>
      <c r="F3838">
        <v>13318201</v>
      </c>
      <c r="G3838">
        <v>13406400</v>
      </c>
      <c r="H3838">
        <f t="shared" si="118"/>
        <v>302.00002267573694</v>
      </c>
      <c r="I3838">
        <f t="shared" si="119"/>
        <v>304</v>
      </c>
      <c r="J3838" t="s">
        <v>25</v>
      </c>
      <c r="K3838">
        <v>3</v>
      </c>
      <c r="L3838" t="e">
        <f t="array" ref="L3838">VLOOKUP(J3838:$J$3871&amp;K3838:$K$3871,CHOOSE({1,2},#REF!&amp;#REF!,#REF!),2,0)</f>
        <v>#N/A</v>
      </c>
      <c r="M3838">
        <v>-15</v>
      </c>
      <c r="N3838">
        <v>0</v>
      </c>
      <c r="O3838" t="s">
        <v>7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1</v>
      </c>
      <c r="Y3838">
        <v>1</v>
      </c>
      <c r="Z3838">
        <v>0</v>
      </c>
      <c r="AA3838" t="s">
        <v>5372</v>
      </c>
      <c r="AB3838" t="s">
        <v>2168</v>
      </c>
      <c r="AC3838" t="s">
        <v>5372</v>
      </c>
      <c r="AD3838" t="e">
        <f>VLOOKUP(AB3838,#REF!,2,FALSE)</f>
        <v>#REF!</v>
      </c>
      <c r="AE3838" t="e">
        <f>RIGHT(#REF!,(FIND("Complex",#REF!,1)-6))</f>
        <v>#REF!</v>
      </c>
    </row>
    <row r="3839" spans="1:31" x14ac:dyDescent="0.25">
      <c r="A3839">
        <v>2124</v>
      </c>
      <c r="B3839" t="s">
        <v>279</v>
      </c>
      <c r="C3839">
        <v>109</v>
      </c>
      <c r="D3839">
        <v>894</v>
      </c>
      <c r="E3839">
        <v>2124</v>
      </c>
      <c r="F3839">
        <v>12612601</v>
      </c>
      <c r="G3839">
        <v>12700800</v>
      </c>
      <c r="H3839">
        <f t="shared" si="118"/>
        <v>286.00002267573694</v>
      </c>
      <c r="I3839">
        <f t="shared" si="119"/>
        <v>288</v>
      </c>
      <c r="J3839" t="s">
        <v>25</v>
      </c>
      <c r="K3839">
        <v>3</v>
      </c>
      <c r="L3839" t="e">
        <f t="array" ref="L3839">VLOOKUP(J3839:$J$3871&amp;K3839:$K$3871,CHOOSE({1,2},#REF!&amp;#REF!,#REF!),2,0)</f>
        <v>#N/A</v>
      </c>
      <c r="M3839">
        <v>-15</v>
      </c>
      <c r="N3839">
        <v>0</v>
      </c>
      <c r="O3839" t="s">
        <v>7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1</v>
      </c>
      <c r="Y3839">
        <v>0</v>
      </c>
      <c r="Z3839">
        <v>1</v>
      </c>
      <c r="AA3839" t="s">
        <v>5400</v>
      </c>
      <c r="AB3839" t="s">
        <v>7423</v>
      </c>
      <c r="AC3839" t="s">
        <v>5400</v>
      </c>
      <c r="AD3839" t="e">
        <f>VLOOKUP(AB3839,#REF!,2,FALSE)</f>
        <v>#REF!</v>
      </c>
      <c r="AE3839" t="e">
        <f>RIGHT(#REF!,(FIND("Complex",#REF!,1)-6))</f>
        <v>#REF!</v>
      </c>
    </row>
    <row r="3840" spans="1:31" x14ac:dyDescent="0.25">
      <c r="A3840">
        <v>1503</v>
      </c>
      <c r="B3840" t="s">
        <v>279</v>
      </c>
      <c r="C3840">
        <v>109</v>
      </c>
      <c r="D3840">
        <v>659</v>
      </c>
      <c r="E3840">
        <v>1503</v>
      </c>
      <c r="F3840">
        <v>12171601</v>
      </c>
      <c r="G3840">
        <v>12259800</v>
      </c>
      <c r="H3840">
        <f t="shared" si="118"/>
        <v>276.00002267573694</v>
      </c>
      <c r="I3840">
        <f t="shared" si="119"/>
        <v>278</v>
      </c>
      <c r="J3840" t="s">
        <v>25</v>
      </c>
      <c r="K3840">
        <v>3</v>
      </c>
      <c r="L3840" t="e">
        <f t="array" ref="L3840">VLOOKUP(J3840:$J$3871&amp;K3840:$K$3871,CHOOSE({1,2},#REF!&amp;#REF!,#REF!),2,0)</f>
        <v>#N/A</v>
      </c>
      <c r="M3840">
        <v>-15</v>
      </c>
      <c r="N3840">
        <v>0</v>
      </c>
      <c r="O3840" t="s">
        <v>7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1</v>
      </c>
      <c r="Y3840">
        <v>1</v>
      </c>
      <c r="Z3840">
        <v>0</v>
      </c>
      <c r="AA3840" t="s">
        <v>5427</v>
      </c>
      <c r="AB3840" t="s">
        <v>7437</v>
      </c>
      <c r="AC3840" t="s">
        <v>5427</v>
      </c>
      <c r="AD3840" t="e">
        <f>VLOOKUP(AB3840,#REF!,2,FALSE)</f>
        <v>#REF!</v>
      </c>
      <c r="AE3840" t="e">
        <f>RIGHT(#REF!,(FIND("Complex",#REF!,1)-6))</f>
        <v>#REF!</v>
      </c>
    </row>
    <row r="3841" spans="1:31" x14ac:dyDescent="0.25">
      <c r="A3841">
        <v>1217</v>
      </c>
      <c r="B3841" t="s">
        <v>279</v>
      </c>
      <c r="C3841">
        <v>109</v>
      </c>
      <c r="D3841">
        <v>537</v>
      </c>
      <c r="E3841">
        <v>1217</v>
      </c>
      <c r="F3841">
        <v>882001</v>
      </c>
      <c r="G3841">
        <v>970200</v>
      </c>
      <c r="H3841">
        <f t="shared" si="118"/>
        <v>20.000022675736961</v>
      </c>
      <c r="I3841">
        <f t="shared" si="119"/>
        <v>22</v>
      </c>
      <c r="J3841" t="s">
        <v>25</v>
      </c>
      <c r="K3841">
        <v>3</v>
      </c>
      <c r="L3841" t="e">
        <f t="array" ref="L3841">VLOOKUP(J3841:$J$3871&amp;K3841:$K$3871,CHOOSE({1,2},#REF!&amp;#REF!,#REF!),2,0)</f>
        <v>#N/A</v>
      </c>
      <c r="M3841">
        <v>-15</v>
      </c>
      <c r="N3841">
        <v>0</v>
      </c>
      <c r="O3841" t="s">
        <v>7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1</v>
      </c>
      <c r="Y3841">
        <v>1</v>
      </c>
      <c r="Z3841">
        <v>0</v>
      </c>
      <c r="AA3841" t="s">
        <v>5645</v>
      </c>
      <c r="AB3841" t="s">
        <v>7584</v>
      </c>
      <c r="AC3841" t="s">
        <v>5645</v>
      </c>
      <c r="AD3841" t="e">
        <f>VLOOKUP(AB3841,#REF!,2,FALSE)</f>
        <v>#REF!</v>
      </c>
      <c r="AE3841" t="e">
        <f>RIGHT(#REF!,(FIND("Complex",#REF!,1)-7))</f>
        <v>#REF!</v>
      </c>
    </row>
    <row r="3842" spans="1:31" x14ac:dyDescent="0.25">
      <c r="A3842">
        <v>2078</v>
      </c>
      <c r="B3842" t="s">
        <v>279</v>
      </c>
      <c r="C3842">
        <v>109</v>
      </c>
      <c r="D3842">
        <v>879</v>
      </c>
      <c r="E3842">
        <v>2078</v>
      </c>
      <c r="F3842">
        <v>705601</v>
      </c>
      <c r="G3842">
        <v>793800</v>
      </c>
      <c r="H3842">
        <f t="shared" ref="H3842:H3871" si="120">F3842/44100</f>
        <v>16.000022675736961</v>
      </c>
      <c r="I3842">
        <f t="shared" ref="I3842:I3871" si="121">G3842/44100</f>
        <v>18</v>
      </c>
      <c r="J3842" t="s">
        <v>25</v>
      </c>
      <c r="K3842">
        <v>3</v>
      </c>
      <c r="L3842" t="e">
        <f t="array" ref="L3842">VLOOKUP(J3842:$J$3871&amp;K3842:$K$3871,CHOOSE({1,2},#REF!&amp;#REF!,#REF!),2,0)</f>
        <v>#N/A</v>
      </c>
      <c r="M3842">
        <v>-15</v>
      </c>
      <c r="N3842">
        <v>0</v>
      </c>
      <c r="O3842" t="s">
        <v>7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1</v>
      </c>
      <c r="Y3842">
        <v>1</v>
      </c>
      <c r="Z3842">
        <v>0</v>
      </c>
      <c r="AA3842" t="s">
        <v>5827</v>
      </c>
      <c r="AB3842" t="s">
        <v>7693</v>
      </c>
      <c r="AC3842" t="s">
        <v>5827</v>
      </c>
      <c r="AD3842" t="e">
        <f>VLOOKUP(AB3842,#REF!,2,FALSE)</f>
        <v>#REF!</v>
      </c>
      <c r="AE3842" t="e">
        <f>RIGHT(#REF!,(FIND("Complex",#REF!,1)-7))</f>
        <v>#REF!</v>
      </c>
    </row>
    <row r="3843" spans="1:31" x14ac:dyDescent="0.25">
      <c r="A3843">
        <v>362</v>
      </c>
      <c r="B3843" t="s">
        <v>279</v>
      </c>
      <c r="C3843">
        <v>109</v>
      </c>
      <c r="D3843">
        <v>151</v>
      </c>
      <c r="E3843">
        <v>362</v>
      </c>
      <c r="F3843">
        <v>6791401</v>
      </c>
      <c r="G3843">
        <v>6879600</v>
      </c>
      <c r="H3843">
        <f t="shared" si="120"/>
        <v>154.00002267573697</v>
      </c>
      <c r="I3843">
        <f t="shared" si="121"/>
        <v>156</v>
      </c>
      <c r="J3843" t="s">
        <v>25</v>
      </c>
      <c r="K3843">
        <v>3</v>
      </c>
      <c r="L3843" t="e">
        <f t="array" ref="L3843">VLOOKUP(J3843:$J$3871&amp;K3843:$K$3871,CHOOSE({1,2},#REF!&amp;#REF!,#REF!),2,0)</f>
        <v>#N/A</v>
      </c>
      <c r="M3843">
        <v>-15</v>
      </c>
      <c r="N3843">
        <v>0</v>
      </c>
      <c r="O3843" t="s">
        <v>7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1</v>
      </c>
      <c r="Z3843">
        <v>1</v>
      </c>
      <c r="AA3843" t="s">
        <v>5864</v>
      </c>
      <c r="AB3843" t="s">
        <v>7718</v>
      </c>
      <c r="AC3843" t="s">
        <v>5864</v>
      </c>
      <c r="AD3843" t="e">
        <f>VLOOKUP(AB3843,#REF!,2,FALSE)</f>
        <v>#REF!</v>
      </c>
      <c r="AE3843" t="e">
        <f>RIGHT(#REF!,(FIND("Complex",#REF!,1)-5))</f>
        <v>#REF!</v>
      </c>
    </row>
    <row r="3844" spans="1:31" x14ac:dyDescent="0.25">
      <c r="A3844">
        <v>705</v>
      </c>
      <c r="B3844" t="s">
        <v>279</v>
      </c>
      <c r="C3844">
        <v>109</v>
      </c>
      <c r="D3844">
        <v>309</v>
      </c>
      <c r="E3844">
        <v>705</v>
      </c>
      <c r="F3844">
        <v>6350401</v>
      </c>
      <c r="G3844">
        <v>6438600</v>
      </c>
      <c r="H3844">
        <f t="shared" si="120"/>
        <v>144.00002267573697</v>
      </c>
      <c r="I3844">
        <f t="shared" si="121"/>
        <v>146</v>
      </c>
      <c r="J3844" t="s">
        <v>25</v>
      </c>
      <c r="K3844">
        <v>3</v>
      </c>
      <c r="L3844" t="e">
        <f t="array" ref="L3844">VLOOKUP(J3844:$J$3871&amp;K3844:$K$3871,CHOOSE({1,2},#REF!&amp;#REF!,#REF!),2,0)</f>
        <v>#N/A</v>
      </c>
      <c r="M3844">
        <v>-15</v>
      </c>
      <c r="N3844">
        <v>0</v>
      </c>
      <c r="O3844" t="s">
        <v>7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1</v>
      </c>
      <c r="Y3844">
        <v>1</v>
      </c>
      <c r="Z3844">
        <v>0</v>
      </c>
      <c r="AA3844" t="s">
        <v>5911</v>
      </c>
      <c r="AB3844" t="s">
        <v>7748</v>
      </c>
      <c r="AC3844" t="s">
        <v>5911</v>
      </c>
      <c r="AD3844" t="e">
        <f>VLOOKUP(AB3844,#REF!,2,FALSE)</f>
        <v>#REF!</v>
      </c>
      <c r="AE3844" t="e">
        <f>RIGHT(#REF!,(FIND("Complex",#REF!,1)-5))</f>
        <v>#REF!</v>
      </c>
    </row>
    <row r="3845" spans="1:31" x14ac:dyDescent="0.25">
      <c r="A3845">
        <v>1995</v>
      </c>
      <c r="B3845" t="s">
        <v>67</v>
      </c>
      <c r="C3845">
        <v>110</v>
      </c>
      <c r="D3845">
        <v>859</v>
      </c>
      <c r="E3845">
        <v>1995</v>
      </c>
      <c r="F3845">
        <v>3616201</v>
      </c>
      <c r="G3845">
        <v>3704400</v>
      </c>
      <c r="H3845">
        <f t="shared" si="120"/>
        <v>82.000022675736957</v>
      </c>
      <c r="I3845">
        <f t="shared" si="121"/>
        <v>84</v>
      </c>
      <c r="J3845" t="s">
        <v>25</v>
      </c>
      <c r="K3845">
        <v>3</v>
      </c>
      <c r="L3845" t="e">
        <f t="array" ref="L3845">VLOOKUP(J3845:$J$3871&amp;K3845:$K$3871,CHOOSE({1,2},#REF!&amp;#REF!,#REF!),2,0)</f>
        <v>#N/A</v>
      </c>
      <c r="M3845">
        <v>-15</v>
      </c>
      <c r="N3845">
        <v>0</v>
      </c>
      <c r="O3845" t="s">
        <v>7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1</v>
      </c>
      <c r="Y3845">
        <v>0</v>
      </c>
      <c r="Z3845">
        <v>0</v>
      </c>
      <c r="AA3845" t="s">
        <v>4972</v>
      </c>
      <c r="AB3845" t="s">
        <v>7201</v>
      </c>
      <c r="AC3845" t="s">
        <v>4972</v>
      </c>
      <c r="AD3845" t="e">
        <f>VLOOKUP(AB3845,#REF!,2,FALSE)</f>
        <v>#REF!</v>
      </c>
      <c r="AE3845" t="e">
        <f>RIGHT(#REF!,(FIND("Complex",#REF!,1)-7))</f>
        <v>#REF!</v>
      </c>
    </row>
    <row r="3846" spans="1:31" x14ac:dyDescent="0.25">
      <c r="A3846">
        <v>974</v>
      </c>
      <c r="B3846" t="s">
        <v>67</v>
      </c>
      <c r="C3846">
        <v>110</v>
      </c>
      <c r="D3846">
        <v>429</v>
      </c>
      <c r="E3846">
        <v>974</v>
      </c>
      <c r="F3846">
        <v>7144201</v>
      </c>
      <c r="G3846">
        <v>7232400</v>
      </c>
      <c r="H3846">
        <f t="shared" si="120"/>
        <v>162.00002267573697</v>
      </c>
      <c r="I3846">
        <f t="shared" si="121"/>
        <v>164</v>
      </c>
      <c r="J3846" t="s">
        <v>25</v>
      </c>
      <c r="K3846">
        <v>3</v>
      </c>
      <c r="L3846" t="e">
        <f t="array" ref="L3846">VLOOKUP(J3846:$J$3871&amp;K3846:$K$3871,CHOOSE({1,2},#REF!&amp;#REF!,#REF!),2,0)</f>
        <v>#N/A</v>
      </c>
      <c r="M3846">
        <v>-15</v>
      </c>
      <c r="N3846">
        <v>0</v>
      </c>
      <c r="O3846" t="s">
        <v>7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1</v>
      </c>
      <c r="Y3846">
        <v>0</v>
      </c>
      <c r="Z3846">
        <v>0</v>
      </c>
      <c r="AA3846" t="s">
        <v>5795</v>
      </c>
      <c r="AB3846" t="s">
        <v>7678</v>
      </c>
      <c r="AC3846" t="s">
        <v>5795</v>
      </c>
      <c r="AD3846" t="e">
        <f>VLOOKUP(AB3846,#REF!,2,FALSE)</f>
        <v>#REF!</v>
      </c>
      <c r="AE3846" t="e">
        <f>RIGHT(#REF!,(FIND("Complex",#REF!,1)-5))</f>
        <v>#REF!</v>
      </c>
    </row>
    <row r="3847" spans="1:31" x14ac:dyDescent="0.25">
      <c r="A3847">
        <v>772</v>
      </c>
      <c r="B3847" t="s">
        <v>67</v>
      </c>
      <c r="C3847">
        <v>110</v>
      </c>
      <c r="D3847">
        <v>345</v>
      </c>
      <c r="E3847">
        <v>772</v>
      </c>
      <c r="F3847">
        <v>6791401</v>
      </c>
      <c r="G3847">
        <v>6879600</v>
      </c>
      <c r="H3847">
        <f t="shared" si="120"/>
        <v>154.00002267573697</v>
      </c>
      <c r="I3847">
        <f t="shared" si="121"/>
        <v>156</v>
      </c>
      <c r="J3847" t="s">
        <v>25</v>
      </c>
      <c r="K3847">
        <v>3</v>
      </c>
      <c r="L3847" t="e">
        <f t="array" ref="L3847">VLOOKUP(J3847:$J$3871&amp;K3847:$K$3871,CHOOSE({1,2},#REF!&amp;#REF!,#REF!),2,0)</f>
        <v>#N/A</v>
      </c>
      <c r="M3847">
        <v>-15</v>
      </c>
      <c r="N3847">
        <v>0</v>
      </c>
      <c r="O3847" t="s">
        <v>7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1</v>
      </c>
      <c r="Y3847">
        <v>0</v>
      </c>
      <c r="Z3847">
        <v>0</v>
      </c>
      <c r="AA3847" t="s">
        <v>5863</v>
      </c>
      <c r="AB3847" t="s">
        <v>2180</v>
      </c>
      <c r="AC3847" t="s">
        <v>5863</v>
      </c>
      <c r="AD3847" t="e">
        <f>VLOOKUP(AB3847,#REF!,2,FALSE)</f>
        <v>#REF!</v>
      </c>
      <c r="AE3847" t="e">
        <f>RIGHT(#REF!,(FIND("Complex",#REF!,1)-5))</f>
        <v>#REF!</v>
      </c>
    </row>
    <row r="3848" spans="1:31" x14ac:dyDescent="0.25">
      <c r="A3848">
        <v>439</v>
      </c>
      <c r="B3848" t="s">
        <v>67</v>
      </c>
      <c r="C3848">
        <v>110</v>
      </c>
      <c r="D3848">
        <v>183</v>
      </c>
      <c r="E3848">
        <v>439</v>
      </c>
      <c r="F3848">
        <v>6703201</v>
      </c>
      <c r="G3848">
        <v>6791400</v>
      </c>
      <c r="H3848">
        <f t="shared" si="120"/>
        <v>152.00002267573697</v>
      </c>
      <c r="I3848">
        <f t="shared" si="121"/>
        <v>154</v>
      </c>
      <c r="J3848" t="s">
        <v>25</v>
      </c>
      <c r="K3848">
        <v>3</v>
      </c>
      <c r="L3848" t="e">
        <f t="array" ref="L3848">VLOOKUP(J3848:$J$3871&amp;K3848:$K$3871,CHOOSE({1,2},#REF!&amp;#REF!,#REF!),2,0)</f>
        <v>#N/A</v>
      </c>
      <c r="M3848">
        <v>-15</v>
      </c>
      <c r="N3848">
        <v>0</v>
      </c>
      <c r="O3848" t="s">
        <v>7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1</v>
      </c>
      <c r="Y3848">
        <v>0</v>
      </c>
      <c r="Z3848">
        <v>0</v>
      </c>
      <c r="AA3848" t="s">
        <v>5873</v>
      </c>
      <c r="AB3848" t="s">
        <v>7723</v>
      </c>
      <c r="AC3848" t="s">
        <v>5873</v>
      </c>
      <c r="AD3848" t="e">
        <f>VLOOKUP(AB3848,#REF!,2,FALSE)</f>
        <v>#REF!</v>
      </c>
      <c r="AE3848" t="e">
        <f>RIGHT(#REF!,(FIND("Complex",#REF!,1)-5))</f>
        <v>#REF!</v>
      </c>
    </row>
    <row r="3849" spans="1:31" x14ac:dyDescent="0.25">
      <c r="A3849">
        <v>792</v>
      </c>
      <c r="B3849" t="s">
        <v>90</v>
      </c>
      <c r="C3849">
        <v>111</v>
      </c>
      <c r="D3849">
        <v>354</v>
      </c>
      <c r="E3849">
        <v>792</v>
      </c>
      <c r="F3849">
        <v>8908201</v>
      </c>
      <c r="G3849">
        <v>8996400</v>
      </c>
      <c r="H3849">
        <f t="shared" si="120"/>
        <v>202.00002267573697</v>
      </c>
      <c r="I3849">
        <f t="shared" si="121"/>
        <v>204</v>
      </c>
      <c r="J3849" t="s">
        <v>25</v>
      </c>
      <c r="K3849">
        <v>3</v>
      </c>
      <c r="L3849" t="e">
        <f t="array" ref="L3849">VLOOKUP(J3849:$J$3871&amp;K3849:$K$3871,CHOOSE({1,2},#REF!&amp;#REF!,#REF!),2,0)</f>
        <v>#N/A</v>
      </c>
      <c r="M3849">
        <v>-15</v>
      </c>
      <c r="N3849">
        <v>0</v>
      </c>
      <c r="O3849" t="s">
        <v>7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1</v>
      </c>
      <c r="Y3849">
        <v>0</v>
      </c>
      <c r="Z3849">
        <v>0</v>
      </c>
      <c r="AA3849" t="s">
        <v>5631</v>
      </c>
      <c r="AB3849" t="s">
        <v>7575</v>
      </c>
      <c r="AC3849" t="s">
        <v>5631</v>
      </c>
      <c r="AD3849" t="e">
        <f>VLOOKUP(AB3849,#REF!,2,FALSE)</f>
        <v>#REF!</v>
      </c>
      <c r="AE3849" t="e">
        <f>RIGHT(#REF!,(FIND("Complex",#REF!,1)-5))</f>
        <v>#REF!</v>
      </c>
    </row>
    <row r="3850" spans="1:31" x14ac:dyDescent="0.25">
      <c r="A3850">
        <v>1091</v>
      </c>
      <c r="B3850" t="s">
        <v>281</v>
      </c>
      <c r="C3850">
        <v>112</v>
      </c>
      <c r="D3850">
        <v>484</v>
      </c>
      <c r="E3850">
        <v>1091</v>
      </c>
      <c r="F3850">
        <v>3175201</v>
      </c>
      <c r="G3850">
        <v>3263400</v>
      </c>
      <c r="H3850">
        <f t="shared" si="120"/>
        <v>72.000022675736957</v>
      </c>
      <c r="I3850">
        <f t="shared" si="121"/>
        <v>74</v>
      </c>
      <c r="J3850" t="s">
        <v>25</v>
      </c>
      <c r="K3850">
        <v>3</v>
      </c>
      <c r="L3850" t="e">
        <f t="array" ref="L3850">VLOOKUP(J3850:$J$3871&amp;K3850:$K$3871,CHOOSE({1,2},#REF!&amp;#REF!,#REF!),2,0)</f>
        <v>#N/A</v>
      </c>
      <c r="M3850">
        <v>-15</v>
      </c>
      <c r="N3850">
        <v>0</v>
      </c>
      <c r="O3850" t="s">
        <v>7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1</v>
      </c>
      <c r="Y3850">
        <v>0</v>
      </c>
      <c r="Z3850">
        <v>0</v>
      </c>
      <c r="AA3850" t="s">
        <v>5048</v>
      </c>
      <c r="AB3850" t="s">
        <v>7241</v>
      </c>
      <c r="AC3850" t="s">
        <v>5048</v>
      </c>
      <c r="AD3850" t="e">
        <f>VLOOKUP(AB3850,#REF!,2,FALSE)</f>
        <v>#REF!</v>
      </c>
      <c r="AE3850" t="e">
        <f>RIGHT(#REF!,(FIND("Complex",#REF!,1)-7))</f>
        <v>#REF!</v>
      </c>
    </row>
    <row r="3851" spans="1:31" x14ac:dyDescent="0.25">
      <c r="A3851">
        <v>2218</v>
      </c>
      <c r="B3851" t="s">
        <v>281</v>
      </c>
      <c r="C3851">
        <v>112</v>
      </c>
      <c r="D3851">
        <v>919</v>
      </c>
      <c r="E3851">
        <v>2218</v>
      </c>
      <c r="F3851">
        <v>1852201</v>
      </c>
      <c r="G3851">
        <v>1940400</v>
      </c>
      <c r="H3851">
        <f t="shared" si="120"/>
        <v>42.000022675736965</v>
      </c>
      <c r="I3851">
        <f t="shared" si="121"/>
        <v>44</v>
      </c>
      <c r="J3851" t="s">
        <v>25</v>
      </c>
      <c r="K3851">
        <v>3</v>
      </c>
      <c r="L3851" t="e">
        <f t="array" ref="L3851">VLOOKUP(J3851:$J$3871&amp;K3851:$K$3871,CHOOSE({1,2},#REF!&amp;#REF!,#REF!),2,0)</f>
        <v>#N/A</v>
      </c>
      <c r="M3851">
        <v>-15</v>
      </c>
      <c r="N3851">
        <v>0</v>
      </c>
      <c r="O3851" t="s">
        <v>7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1</v>
      </c>
      <c r="Y3851">
        <v>0</v>
      </c>
      <c r="Z3851">
        <v>0</v>
      </c>
      <c r="AA3851" t="s">
        <v>5252</v>
      </c>
      <c r="AB3851" t="s">
        <v>7338</v>
      </c>
      <c r="AC3851" t="s">
        <v>5252</v>
      </c>
      <c r="AD3851" t="e">
        <f>VLOOKUP(AB3851,#REF!,2,FALSE)</f>
        <v>#REF!</v>
      </c>
      <c r="AE3851" t="e">
        <f>RIGHT(#REF!,(FIND("Complex",#REF!,1)-7))</f>
        <v>#REF!</v>
      </c>
    </row>
    <row r="3852" spans="1:31" x14ac:dyDescent="0.25">
      <c r="A3852">
        <v>1756</v>
      </c>
      <c r="B3852" t="s">
        <v>281</v>
      </c>
      <c r="C3852">
        <v>112</v>
      </c>
      <c r="D3852">
        <v>766</v>
      </c>
      <c r="E3852">
        <v>1756</v>
      </c>
      <c r="F3852">
        <v>9084601</v>
      </c>
      <c r="G3852">
        <v>9172800</v>
      </c>
      <c r="H3852">
        <f t="shared" si="120"/>
        <v>206.00002267573697</v>
      </c>
      <c r="I3852">
        <f t="shared" si="121"/>
        <v>208</v>
      </c>
      <c r="J3852" t="s">
        <v>25</v>
      </c>
      <c r="K3852">
        <v>3</v>
      </c>
      <c r="L3852" t="e">
        <f t="array" ref="L3852">VLOOKUP(J3852:$J$3871&amp;K3852:$K$3871,CHOOSE({1,2},#REF!&amp;#REF!,#REF!),2,0)</f>
        <v>#N/A</v>
      </c>
      <c r="M3852">
        <v>-15</v>
      </c>
      <c r="N3852">
        <v>0</v>
      </c>
      <c r="O3852" t="s">
        <v>7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1</v>
      </c>
      <c r="Y3852">
        <v>0</v>
      </c>
      <c r="Z3852">
        <v>0</v>
      </c>
      <c r="AA3852" t="s">
        <v>5619</v>
      </c>
      <c r="AB3852" t="s">
        <v>7567</v>
      </c>
      <c r="AC3852" t="s">
        <v>5619</v>
      </c>
      <c r="AD3852" t="e">
        <f>VLOOKUP(AB3852,#REF!,2,FALSE)</f>
        <v>#REF!</v>
      </c>
      <c r="AE3852" t="e">
        <f>RIGHT(#REF!,(FIND("Complex",#REF!,1)-6))</f>
        <v>#REF!</v>
      </c>
    </row>
    <row r="3853" spans="1:31" x14ac:dyDescent="0.25">
      <c r="A3853">
        <v>2293</v>
      </c>
      <c r="B3853" t="s">
        <v>281</v>
      </c>
      <c r="C3853">
        <v>112</v>
      </c>
      <c r="D3853">
        <v>939</v>
      </c>
      <c r="E3853">
        <v>2293</v>
      </c>
      <c r="F3853">
        <v>8290801</v>
      </c>
      <c r="G3853">
        <v>8379000</v>
      </c>
      <c r="H3853">
        <f t="shared" si="120"/>
        <v>188.00002267573697</v>
      </c>
      <c r="I3853">
        <f t="shared" si="121"/>
        <v>190</v>
      </c>
      <c r="J3853" t="s">
        <v>25</v>
      </c>
      <c r="K3853">
        <v>3</v>
      </c>
      <c r="L3853" t="e">
        <f t="array" ref="L3853">VLOOKUP(J3853:$J$3871&amp;K3853:$K$3871,CHOOSE({1,2},#REF!&amp;#REF!,#REF!),2,0)</f>
        <v>#N/A</v>
      </c>
      <c r="M3853">
        <v>-15</v>
      </c>
      <c r="N3853">
        <v>0</v>
      </c>
      <c r="O3853" t="s">
        <v>7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1</v>
      </c>
      <c r="Y3853">
        <v>0</v>
      </c>
      <c r="Z3853">
        <v>0</v>
      </c>
      <c r="AA3853" t="s">
        <v>5681</v>
      </c>
      <c r="AB3853" t="s">
        <v>7609</v>
      </c>
      <c r="AC3853" t="s">
        <v>5681</v>
      </c>
      <c r="AD3853" t="e">
        <f>VLOOKUP(AB3853,#REF!,2,FALSE)</f>
        <v>#REF!</v>
      </c>
      <c r="AE3853" t="e">
        <f>RIGHT(#REF!,(FIND("Complex",#REF!,1)-6))</f>
        <v>#REF!</v>
      </c>
    </row>
    <row r="3854" spans="1:31" x14ac:dyDescent="0.25">
      <c r="A3854">
        <v>1280</v>
      </c>
      <c r="B3854" t="s">
        <v>281</v>
      </c>
      <c r="C3854">
        <v>112</v>
      </c>
      <c r="D3854">
        <v>555</v>
      </c>
      <c r="E3854">
        <v>1280</v>
      </c>
      <c r="F3854">
        <v>8026201</v>
      </c>
      <c r="G3854">
        <v>8114400</v>
      </c>
      <c r="H3854">
        <f t="shared" si="120"/>
        <v>182.00002267573697</v>
      </c>
      <c r="I3854">
        <f t="shared" si="121"/>
        <v>184</v>
      </c>
      <c r="J3854" t="s">
        <v>25</v>
      </c>
      <c r="K3854">
        <v>3</v>
      </c>
      <c r="L3854" t="e">
        <f t="array" ref="L3854">VLOOKUP(J3854:$J$3871&amp;K3854:$K$3871,CHOOSE({1,2},#REF!&amp;#REF!,#REF!),2,0)</f>
        <v>#N/A</v>
      </c>
      <c r="M3854">
        <v>-15</v>
      </c>
      <c r="N3854">
        <v>0</v>
      </c>
      <c r="O3854" t="s">
        <v>7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1</v>
      </c>
      <c r="Y3854">
        <v>0</v>
      </c>
      <c r="Z3854">
        <v>0</v>
      </c>
      <c r="AA3854" t="s">
        <v>5700</v>
      </c>
      <c r="AB3854" t="s">
        <v>7622</v>
      </c>
      <c r="AC3854" t="s">
        <v>5700</v>
      </c>
      <c r="AD3854" t="e">
        <f>VLOOKUP(AB3854,#REF!,2,FALSE)</f>
        <v>#REF!</v>
      </c>
      <c r="AE3854" t="e">
        <f>RIGHT(#REF!,(FIND("Complex",#REF!,1)-6))</f>
        <v>#REF!</v>
      </c>
    </row>
    <row r="3855" spans="1:31" x14ac:dyDescent="0.25">
      <c r="A3855">
        <v>1442</v>
      </c>
      <c r="B3855" t="s">
        <v>281</v>
      </c>
      <c r="C3855">
        <v>112</v>
      </c>
      <c r="D3855">
        <v>629</v>
      </c>
      <c r="E3855">
        <v>1442</v>
      </c>
      <c r="F3855">
        <v>7144201</v>
      </c>
      <c r="G3855">
        <v>7232400</v>
      </c>
      <c r="H3855">
        <f t="shared" si="120"/>
        <v>162.00002267573697</v>
      </c>
      <c r="I3855">
        <f t="shared" si="121"/>
        <v>164</v>
      </c>
      <c r="J3855" t="s">
        <v>25</v>
      </c>
      <c r="K3855">
        <v>3</v>
      </c>
      <c r="L3855" t="e">
        <f t="array" ref="L3855">VLOOKUP(J3855:$J$3871&amp;K3855:$K$3871,CHOOSE({1,2},#REF!&amp;#REF!,#REF!),2,0)</f>
        <v>#N/A</v>
      </c>
      <c r="M3855">
        <v>-15</v>
      </c>
      <c r="N3855">
        <v>0</v>
      </c>
      <c r="O3855" t="s">
        <v>7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1</v>
      </c>
      <c r="Y3855">
        <v>0</v>
      </c>
      <c r="Z3855">
        <v>0</v>
      </c>
      <c r="AA3855" t="s">
        <v>5794</v>
      </c>
      <c r="AB3855" t="s">
        <v>2224</v>
      </c>
      <c r="AC3855" t="s">
        <v>5794</v>
      </c>
      <c r="AD3855" t="e">
        <f>VLOOKUP(AB3855,#REF!,2,FALSE)</f>
        <v>#REF!</v>
      </c>
      <c r="AE3855" t="e">
        <f>RIGHT(#REF!,(FIND("Complex",#REF!,1)-6))</f>
        <v>#REF!</v>
      </c>
    </row>
    <row r="3856" spans="1:31" x14ac:dyDescent="0.25">
      <c r="A3856">
        <v>1561</v>
      </c>
      <c r="B3856" t="s">
        <v>282</v>
      </c>
      <c r="C3856">
        <v>113</v>
      </c>
      <c r="D3856">
        <v>681</v>
      </c>
      <c r="E3856">
        <v>1561</v>
      </c>
      <c r="F3856">
        <v>2469601</v>
      </c>
      <c r="G3856">
        <v>2557800</v>
      </c>
      <c r="H3856">
        <f t="shared" si="120"/>
        <v>56.000022675736965</v>
      </c>
      <c r="I3856">
        <f t="shared" si="121"/>
        <v>58</v>
      </c>
      <c r="J3856" t="s">
        <v>25</v>
      </c>
      <c r="K3856">
        <v>3</v>
      </c>
      <c r="L3856" t="e">
        <f t="array" ref="L3856">VLOOKUP(J3856:$J$3871&amp;K3856:$K$3871,CHOOSE({1,2},#REF!&amp;#REF!,#REF!),2,0)</f>
        <v>#N/A</v>
      </c>
      <c r="M3856">
        <v>-15</v>
      </c>
      <c r="N3856">
        <v>0</v>
      </c>
      <c r="O3856" t="s">
        <v>7</v>
      </c>
      <c r="P3856">
        <v>1</v>
      </c>
      <c r="Q3856">
        <v>1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 t="s">
        <v>5161</v>
      </c>
      <c r="AB3856" t="s">
        <v>7299</v>
      </c>
      <c r="AC3856" t="s">
        <v>5161</v>
      </c>
      <c r="AD3856" t="e">
        <f>VLOOKUP(AB3856,#REF!,2,FALSE)</f>
        <v>#REF!</v>
      </c>
      <c r="AE3856" t="e">
        <f>RIGHT(#REF!,(FIND("Complex",#REF!,1)-7))</f>
        <v>#REF!</v>
      </c>
    </row>
    <row r="3857" spans="1:31" x14ac:dyDescent="0.25">
      <c r="A3857">
        <v>1114</v>
      </c>
      <c r="B3857" t="s">
        <v>282</v>
      </c>
      <c r="C3857">
        <v>113</v>
      </c>
      <c r="D3857">
        <v>498</v>
      </c>
      <c r="E3857">
        <v>1114</v>
      </c>
      <c r="F3857">
        <v>7585201</v>
      </c>
      <c r="G3857">
        <v>7673400</v>
      </c>
      <c r="H3857">
        <f t="shared" si="120"/>
        <v>172.00002267573697</v>
      </c>
      <c r="I3857">
        <f t="shared" si="121"/>
        <v>174</v>
      </c>
      <c r="J3857" t="s">
        <v>25</v>
      </c>
      <c r="K3857">
        <v>3</v>
      </c>
      <c r="L3857" t="e">
        <f t="array" ref="L3857">VLOOKUP(J3857:$J$3871&amp;K3857:$K$3871,CHOOSE({1,2},#REF!&amp;#REF!,#REF!),2,0)</f>
        <v>#N/A</v>
      </c>
      <c r="M3857">
        <v>-15</v>
      </c>
      <c r="N3857">
        <v>0</v>
      </c>
      <c r="O3857" t="s">
        <v>7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1</v>
      </c>
      <c r="Y3857">
        <v>0</v>
      </c>
      <c r="Z3857">
        <v>0</v>
      </c>
      <c r="AA3857" t="s">
        <v>5750</v>
      </c>
      <c r="AB3857" t="s">
        <v>2232</v>
      </c>
      <c r="AC3857" t="s">
        <v>5750</v>
      </c>
      <c r="AD3857" t="e">
        <f>VLOOKUP(AB3857,#REF!,2,FALSE)</f>
        <v>#REF!</v>
      </c>
      <c r="AE3857" t="e">
        <f>RIGHT(#REF!,(FIND("Complex",#REF!,1)-6))</f>
        <v>#REF!</v>
      </c>
    </row>
    <row r="3858" spans="1:31" x14ac:dyDescent="0.25">
      <c r="A3858">
        <v>953</v>
      </c>
      <c r="B3858" t="s">
        <v>284</v>
      </c>
      <c r="C3858">
        <v>114</v>
      </c>
      <c r="D3858">
        <v>420</v>
      </c>
      <c r="E3858">
        <v>953</v>
      </c>
      <c r="F3858">
        <v>3704401</v>
      </c>
      <c r="G3858">
        <v>3792600</v>
      </c>
      <c r="H3858">
        <f t="shared" si="120"/>
        <v>84.000022675736957</v>
      </c>
      <c r="I3858">
        <f t="shared" si="121"/>
        <v>86</v>
      </c>
      <c r="J3858" t="s">
        <v>25</v>
      </c>
      <c r="K3858">
        <v>3</v>
      </c>
      <c r="L3858" t="e">
        <f t="array" ref="L3858">VLOOKUP(J3858:$J$3871&amp;K3858:$K$3871,CHOOSE({1,2},#REF!&amp;#REF!,#REF!),2,0)</f>
        <v>#N/A</v>
      </c>
      <c r="M3858">
        <v>-15</v>
      </c>
      <c r="N3858">
        <v>0</v>
      </c>
      <c r="O3858" t="s">
        <v>7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1</v>
      </c>
      <c r="Y3858">
        <v>0</v>
      </c>
      <c r="Z3858">
        <v>0</v>
      </c>
      <c r="AA3858" t="s">
        <v>4962</v>
      </c>
      <c r="AB3858" t="s">
        <v>7195</v>
      </c>
      <c r="AC3858" t="s">
        <v>4962</v>
      </c>
      <c r="AD3858" t="e">
        <f>VLOOKUP(AB3858,#REF!,2,FALSE)</f>
        <v>#REF!</v>
      </c>
      <c r="AE3858" t="e">
        <f>RIGHT(#REF!,(FIND("Complex",#REF!,1)-6))</f>
        <v>#REF!</v>
      </c>
    </row>
    <row r="3859" spans="1:31" x14ac:dyDescent="0.25">
      <c r="A3859">
        <v>741</v>
      </c>
      <c r="B3859" t="s">
        <v>284</v>
      </c>
      <c r="C3859">
        <v>114</v>
      </c>
      <c r="D3859">
        <v>326</v>
      </c>
      <c r="E3859">
        <v>741</v>
      </c>
      <c r="F3859">
        <v>10848601</v>
      </c>
      <c r="G3859">
        <v>10936800</v>
      </c>
      <c r="H3859">
        <f t="shared" si="120"/>
        <v>246.00002267573697</v>
      </c>
      <c r="I3859">
        <f t="shared" si="121"/>
        <v>248</v>
      </c>
      <c r="J3859" t="s">
        <v>25</v>
      </c>
      <c r="K3859">
        <v>3</v>
      </c>
      <c r="L3859" t="e">
        <f t="array" ref="L3859">VLOOKUP(J3859:$J$3871&amp;K3859:$K$3871,CHOOSE({1,2},#REF!&amp;#REF!,#REF!),2,0)</f>
        <v>#N/A</v>
      </c>
      <c r="M3859">
        <v>-15</v>
      </c>
      <c r="N3859">
        <v>0</v>
      </c>
      <c r="O3859" t="s">
        <v>7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1</v>
      </c>
      <c r="Y3859">
        <v>0</v>
      </c>
      <c r="Z3859">
        <v>0</v>
      </c>
      <c r="AA3859" t="s">
        <v>5501</v>
      </c>
      <c r="AB3859" t="s">
        <v>7491</v>
      </c>
      <c r="AC3859" t="s">
        <v>5501</v>
      </c>
      <c r="AD3859" t="e">
        <f>VLOOKUP(AB3859,#REF!,2,FALSE)</f>
        <v>#REF!</v>
      </c>
      <c r="AE3859" t="e">
        <f>RIGHT(#REF!,(FIND("Complex",#REF!,1)-5))</f>
        <v>#REF!</v>
      </c>
    </row>
    <row r="3860" spans="1:31" x14ac:dyDescent="0.25">
      <c r="A3860">
        <v>1539</v>
      </c>
      <c r="B3860" t="s">
        <v>284</v>
      </c>
      <c r="C3860">
        <v>114</v>
      </c>
      <c r="D3860">
        <v>671</v>
      </c>
      <c r="E3860">
        <v>1539</v>
      </c>
      <c r="F3860">
        <v>10143001</v>
      </c>
      <c r="G3860">
        <v>10231200</v>
      </c>
      <c r="H3860">
        <f t="shared" si="120"/>
        <v>230.00002267573697</v>
      </c>
      <c r="I3860">
        <f t="shared" si="121"/>
        <v>232</v>
      </c>
      <c r="J3860" t="s">
        <v>25</v>
      </c>
      <c r="K3860">
        <v>3</v>
      </c>
      <c r="L3860" t="e">
        <f t="array" ref="L3860">VLOOKUP(J3860:$J$3871&amp;K3860:$K$3871,CHOOSE({1,2},#REF!&amp;#REF!,#REF!),2,0)</f>
        <v>#N/A</v>
      </c>
      <c r="M3860">
        <v>-15</v>
      </c>
      <c r="N3860">
        <v>0</v>
      </c>
      <c r="O3860" t="s">
        <v>7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1</v>
      </c>
      <c r="Y3860">
        <v>0</v>
      </c>
      <c r="Z3860">
        <v>0</v>
      </c>
      <c r="AA3860" t="s">
        <v>5548</v>
      </c>
      <c r="AB3860" t="s">
        <v>7523</v>
      </c>
      <c r="AC3860" t="s">
        <v>5548</v>
      </c>
      <c r="AD3860" t="e">
        <f>VLOOKUP(AB3860,#REF!,2,FALSE)</f>
        <v>#REF!</v>
      </c>
      <c r="AE3860" t="e">
        <f>RIGHT(#REF!,(FIND("Complex",#REF!,1)-6))</f>
        <v>#REF!</v>
      </c>
    </row>
    <row r="3861" spans="1:31" x14ac:dyDescent="0.25">
      <c r="A3861">
        <v>259</v>
      </c>
      <c r="B3861" t="s">
        <v>82</v>
      </c>
      <c r="C3861">
        <v>115</v>
      </c>
      <c r="D3861">
        <v>110</v>
      </c>
      <c r="E3861">
        <v>259</v>
      </c>
      <c r="F3861">
        <v>3880801</v>
      </c>
      <c r="G3861">
        <v>3969000</v>
      </c>
      <c r="H3861">
        <f t="shared" si="120"/>
        <v>88.000022675736957</v>
      </c>
      <c r="I3861">
        <f t="shared" si="121"/>
        <v>90</v>
      </c>
      <c r="J3861" t="s">
        <v>25</v>
      </c>
      <c r="K3861">
        <v>3</v>
      </c>
      <c r="L3861" t="e">
        <f t="array" ref="L3861">VLOOKUP(J3861:$J$3871&amp;K3861:$K$3871,CHOOSE({1,2},#REF!&amp;#REF!,#REF!),2,0)</f>
        <v>#N/A</v>
      </c>
      <c r="M3861">
        <v>-15</v>
      </c>
      <c r="N3861">
        <v>0</v>
      </c>
      <c r="O3861" t="s">
        <v>7</v>
      </c>
      <c r="P3861">
        <v>0</v>
      </c>
      <c r="Q3861">
        <v>0</v>
      </c>
      <c r="R3861">
        <v>1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1</v>
      </c>
      <c r="Y3861">
        <v>0</v>
      </c>
      <c r="Z3861">
        <v>0</v>
      </c>
      <c r="AA3861" t="s">
        <v>4941</v>
      </c>
      <c r="AB3861" t="s">
        <v>7185</v>
      </c>
      <c r="AC3861" t="s">
        <v>4941</v>
      </c>
      <c r="AD3861" t="e">
        <f>VLOOKUP(AB3861,#REF!,2,FALSE)</f>
        <v>#REF!</v>
      </c>
      <c r="AE3861" t="e">
        <f>RIGHT(#REF!,(FIND("Complex",#REF!,1)-6))</f>
        <v>#REF!</v>
      </c>
    </row>
    <row r="3862" spans="1:31" x14ac:dyDescent="0.25">
      <c r="A3862">
        <v>753</v>
      </c>
      <c r="B3862" t="s">
        <v>82</v>
      </c>
      <c r="C3862">
        <v>115</v>
      </c>
      <c r="D3862">
        <v>335</v>
      </c>
      <c r="E3862">
        <v>753</v>
      </c>
      <c r="F3862">
        <v>7056001</v>
      </c>
      <c r="G3862">
        <v>7144200</v>
      </c>
      <c r="H3862">
        <f t="shared" si="120"/>
        <v>160.00002267573697</v>
      </c>
      <c r="I3862">
        <f t="shared" si="121"/>
        <v>162</v>
      </c>
      <c r="J3862" t="s">
        <v>25</v>
      </c>
      <c r="K3862">
        <v>3</v>
      </c>
      <c r="L3862" t="e">
        <f t="array" ref="L3862">VLOOKUP(J3862:$J$3871&amp;K3862:$K$3871,CHOOSE({1,2},#REF!&amp;#REF!,#REF!),2,0)</f>
        <v>#N/A</v>
      </c>
      <c r="M3862">
        <v>-15</v>
      </c>
      <c r="N3862">
        <v>0</v>
      </c>
      <c r="O3862" t="s">
        <v>7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1</v>
      </c>
      <c r="Y3862">
        <v>0</v>
      </c>
      <c r="Z3862">
        <v>0</v>
      </c>
      <c r="AA3862" t="s">
        <v>5804</v>
      </c>
      <c r="AB3862" t="s">
        <v>7684</v>
      </c>
      <c r="AC3862" t="s">
        <v>5804</v>
      </c>
      <c r="AD3862" t="e">
        <f>VLOOKUP(AB3862,#REF!,2,FALSE)</f>
        <v>#REF!</v>
      </c>
      <c r="AE3862" t="e">
        <f>RIGHT(#REF!,(FIND("Complex",#REF!,1)-5))</f>
        <v>#REF!</v>
      </c>
    </row>
    <row r="3863" spans="1:31" x14ac:dyDescent="0.25">
      <c r="A3863">
        <v>736</v>
      </c>
      <c r="B3863" t="s">
        <v>82</v>
      </c>
      <c r="C3863">
        <v>115</v>
      </c>
      <c r="D3863">
        <v>323</v>
      </c>
      <c r="E3863">
        <v>736</v>
      </c>
      <c r="F3863">
        <v>6967801</v>
      </c>
      <c r="G3863">
        <v>7056000</v>
      </c>
      <c r="H3863">
        <f t="shared" si="120"/>
        <v>158.00002267573697</v>
      </c>
      <c r="I3863">
        <f t="shared" si="121"/>
        <v>160</v>
      </c>
      <c r="J3863" t="s">
        <v>25</v>
      </c>
      <c r="K3863">
        <v>3</v>
      </c>
      <c r="L3863" t="e">
        <f t="array" ref="L3863">VLOOKUP(J3863:$J$3871&amp;K3863:$K$3871,CHOOSE({1,2},#REF!&amp;#REF!,#REF!),2,0)</f>
        <v>#N/A</v>
      </c>
      <c r="M3863">
        <v>-15</v>
      </c>
      <c r="N3863">
        <v>0</v>
      </c>
      <c r="O3863" t="s">
        <v>7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1</v>
      </c>
      <c r="Y3863">
        <v>0</v>
      </c>
      <c r="Z3863">
        <v>0</v>
      </c>
      <c r="AA3863" t="s">
        <v>5837</v>
      </c>
      <c r="AB3863" t="s">
        <v>7700</v>
      </c>
      <c r="AC3863" t="s">
        <v>5837</v>
      </c>
      <c r="AD3863" t="e">
        <f>VLOOKUP(AB3863,#REF!,2,FALSE)</f>
        <v>#REF!</v>
      </c>
      <c r="AE3863" t="e">
        <f>RIGHT(#REF!,(FIND("Complex",#REF!,1)-5))</f>
        <v>#REF!</v>
      </c>
    </row>
    <row r="3864" spans="1:31" x14ac:dyDescent="0.25">
      <c r="A3864">
        <v>514</v>
      </c>
      <c r="B3864" t="s">
        <v>82</v>
      </c>
      <c r="C3864">
        <v>115</v>
      </c>
      <c r="D3864">
        <v>215</v>
      </c>
      <c r="E3864">
        <v>514</v>
      </c>
      <c r="F3864">
        <v>6879601</v>
      </c>
      <c r="G3864">
        <v>6967800</v>
      </c>
      <c r="H3864">
        <f t="shared" si="120"/>
        <v>156.00002267573697</v>
      </c>
      <c r="I3864">
        <f t="shared" si="121"/>
        <v>158</v>
      </c>
      <c r="J3864" t="s">
        <v>25</v>
      </c>
      <c r="K3864">
        <v>3</v>
      </c>
      <c r="L3864" t="e">
        <f t="array" ref="L3864">VLOOKUP(J3864:$J$3871&amp;K3864:$K$3871,CHOOSE({1,2},#REF!&amp;#REF!,#REF!),2,0)</f>
        <v>#N/A</v>
      </c>
      <c r="M3864">
        <v>-15</v>
      </c>
      <c r="N3864">
        <v>0</v>
      </c>
      <c r="O3864" t="s">
        <v>7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1</v>
      </c>
      <c r="Y3864">
        <v>0</v>
      </c>
      <c r="Z3864">
        <v>0</v>
      </c>
      <c r="AA3864" t="s">
        <v>5850</v>
      </c>
      <c r="AB3864" t="s">
        <v>7710</v>
      </c>
      <c r="AC3864" t="s">
        <v>5850</v>
      </c>
      <c r="AD3864" t="e">
        <f>VLOOKUP(AB3864,#REF!,2,FALSE)</f>
        <v>#REF!</v>
      </c>
      <c r="AE3864" t="e">
        <f>RIGHT(#REF!,(FIND("Complex",#REF!,1)-5))</f>
        <v>#REF!</v>
      </c>
    </row>
    <row r="3865" spans="1:31" x14ac:dyDescent="0.25">
      <c r="A3865">
        <v>2244</v>
      </c>
      <c r="B3865" t="s">
        <v>285</v>
      </c>
      <c r="C3865">
        <v>116</v>
      </c>
      <c r="D3865">
        <v>926</v>
      </c>
      <c r="E3865">
        <v>2244</v>
      </c>
      <c r="F3865">
        <v>2557801</v>
      </c>
      <c r="G3865">
        <v>2646000</v>
      </c>
      <c r="H3865">
        <f t="shared" si="120"/>
        <v>58.000022675736965</v>
      </c>
      <c r="I3865">
        <f t="shared" si="121"/>
        <v>60</v>
      </c>
      <c r="J3865" t="s">
        <v>25</v>
      </c>
      <c r="K3865">
        <v>3</v>
      </c>
      <c r="L3865" t="e">
        <f t="array" ref="L3865">VLOOKUP(J3865:$J$3871&amp;K3865:$K$3871,CHOOSE({1,2},#REF!&amp;#REF!,#REF!),2,0)</f>
        <v>#N/A</v>
      </c>
      <c r="M3865">
        <v>-15</v>
      </c>
      <c r="N3865">
        <v>0</v>
      </c>
      <c r="O3865" t="s">
        <v>7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1</v>
      </c>
      <c r="Y3865">
        <v>0</v>
      </c>
      <c r="Z3865">
        <v>0</v>
      </c>
      <c r="AA3865" t="s">
        <v>5147</v>
      </c>
      <c r="AB3865" t="s">
        <v>7289</v>
      </c>
      <c r="AC3865" t="s">
        <v>5147</v>
      </c>
      <c r="AD3865" t="e">
        <f>VLOOKUP(AB3865,#REF!,2,FALSE)</f>
        <v>#REF!</v>
      </c>
      <c r="AE3865" t="e">
        <f>RIGHT(#REF!,(FIND("Complex",#REF!,1)-7))</f>
        <v>#REF!</v>
      </c>
    </row>
    <row r="3866" spans="1:31" x14ac:dyDescent="0.25">
      <c r="A3866">
        <v>610</v>
      </c>
      <c r="B3866" t="s">
        <v>285</v>
      </c>
      <c r="C3866">
        <v>116</v>
      </c>
      <c r="D3866">
        <v>261</v>
      </c>
      <c r="E3866">
        <v>610</v>
      </c>
      <c r="F3866">
        <v>9525601</v>
      </c>
      <c r="G3866">
        <v>9613800</v>
      </c>
      <c r="H3866">
        <f t="shared" si="120"/>
        <v>216.00002267573697</v>
      </c>
      <c r="I3866">
        <f t="shared" si="121"/>
        <v>218</v>
      </c>
      <c r="J3866" t="s">
        <v>25</v>
      </c>
      <c r="K3866">
        <v>3</v>
      </c>
      <c r="L3866" t="e">
        <f t="array" ref="L3866">VLOOKUP(J3866:$J$3871&amp;K3866:$K$3871,CHOOSE({1,2},#REF!&amp;#REF!,#REF!),2,0)</f>
        <v>#N/A</v>
      </c>
      <c r="M3866">
        <v>-15</v>
      </c>
      <c r="N3866">
        <v>0</v>
      </c>
      <c r="O3866" t="s">
        <v>7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1</v>
      </c>
      <c r="Y3866">
        <v>0</v>
      </c>
      <c r="Z3866">
        <v>0</v>
      </c>
      <c r="AA3866" t="s">
        <v>5595</v>
      </c>
      <c r="AB3866" t="s">
        <v>7549</v>
      </c>
      <c r="AC3866" t="s">
        <v>5595</v>
      </c>
      <c r="AD3866" t="e">
        <f>VLOOKUP(AB3866,#REF!,2,FALSE)</f>
        <v>#REF!</v>
      </c>
      <c r="AE3866" t="e">
        <f>RIGHT(#REF!,(FIND("Complex",#REF!,1)-5))</f>
        <v>#REF!</v>
      </c>
    </row>
    <row r="3867" spans="1:31" x14ac:dyDescent="0.25">
      <c r="A3867">
        <v>32</v>
      </c>
      <c r="B3867" t="s">
        <v>285</v>
      </c>
      <c r="C3867">
        <v>116</v>
      </c>
      <c r="D3867">
        <v>14</v>
      </c>
      <c r="E3867">
        <v>32</v>
      </c>
      <c r="F3867">
        <v>8996401</v>
      </c>
      <c r="G3867">
        <v>9084600</v>
      </c>
      <c r="H3867">
        <f t="shared" si="120"/>
        <v>204.00002267573697</v>
      </c>
      <c r="I3867">
        <f t="shared" si="121"/>
        <v>206</v>
      </c>
      <c r="J3867" t="s">
        <v>25</v>
      </c>
      <c r="K3867">
        <v>3</v>
      </c>
      <c r="L3867" t="e">
        <f t="array" ref="L3867">VLOOKUP(J3867:$J$3871&amp;K3867:$K$3871,CHOOSE({1,2},#REF!&amp;#REF!,#REF!),2,0)</f>
        <v>#N/A</v>
      </c>
      <c r="M3867">
        <v>-15</v>
      </c>
      <c r="N3867">
        <v>0</v>
      </c>
      <c r="O3867" t="s">
        <v>7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1</v>
      </c>
      <c r="Y3867">
        <v>0</v>
      </c>
      <c r="Z3867">
        <v>0</v>
      </c>
      <c r="AA3867" t="s">
        <v>5626</v>
      </c>
      <c r="AB3867" t="s">
        <v>7572</v>
      </c>
      <c r="AC3867" t="s">
        <v>5626</v>
      </c>
      <c r="AD3867" t="e">
        <f>VLOOKUP(AB3867,#REF!,2,FALSE)</f>
        <v>#REF!</v>
      </c>
      <c r="AE3867" t="e">
        <f>RIGHT(#REF!,(FIND("Complex",#REF!,1)-4))</f>
        <v>#REF!</v>
      </c>
    </row>
    <row r="3868" spans="1:31" x14ac:dyDescent="0.25">
      <c r="A3868">
        <v>1930</v>
      </c>
      <c r="B3868" t="s">
        <v>285</v>
      </c>
      <c r="C3868">
        <v>116</v>
      </c>
      <c r="D3868">
        <v>835</v>
      </c>
      <c r="E3868">
        <v>1930</v>
      </c>
      <c r="F3868">
        <v>7408801</v>
      </c>
      <c r="G3868">
        <v>7497000</v>
      </c>
      <c r="H3868">
        <f t="shared" si="120"/>
        <v>168.00002267573697</v>
      </c>
      <c r="I3868">
        <f t="shared" si="121"/>
        <v>170</v>
      </c>
      <c r="J3868" t="s">
        <v>25</v>
      </c>
      <c r="K3868">
        <v>3</v>
      </c>
      <c r="L3868" t="e">
        <f t="array" ref="L3868">VLOOKUP(J3868:$J$3871&amp;K3868:$K$3871,CHOOSE({1,2},#REF!&amp;#REF!,#REF!),2,0)</f>
        <v>#N/A</v>
      </c>
      <c r="M3868">
        <v>-15</v>
      </c>
      <c r="N3868">
        <v>0</v>
      </c>
      <c r="O3868" t="s">
        <v>7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1</v>
      </c>
      <c r="Y3868">
        <v>0</v>
      </c>
      <c r="Z3868">
        <v>0</v>
      </c>
      <c r="AA3868" t="s">
        <v>5765</v>
      </c>
      <c r="AB3868" t="s">
        <v>7659</v>
      </c>
      <c r="AC3868" t="s">
        <v>5765</v>
      </c>
      <c r="AD3868" t="e">
        <f>VLOOKUP(AB3868,#REF!,2,FALSE)</f>
        <v>#REF!</v>
      </c>
      <c r="AE3868" t="e">
        <f>RIGHT(#REF!,(FIND("Complex",#REF!,1)-6))</f>
        <v>#REF!</v>
      </c>
    </row>
    <row r="3869" spans="1:31" x14ac:dyDescent="0.25">
      <c r="A3869">
        <v>1295</v>
      </c>
      <c r="B3869" t="s">
        <v>285</v>
      </c>
      <c r="C3869">
        <v>116</v>
      </c>
      <c r="D3869">
        <v>562</v>
      </c>
      <c r="E3869">
        <v>1295</v>
      </c>
      <c r="F3869">
        <v>6526801</v>
      </c>
      <c r="G3869">
        <v>6615000</v>
      </c>
      <c r="H3869">
        <f t="shared" si="120"/>
        <v>148.00002267573697</v>
      </c>
      <c r="I3869">
        <f t="shared" si="121"/>
        <v>150</v>
      </c>
      <c r="J3869" t="s">
        <v>25</v>
      </c>
      <c r="K3869">
        <v>3</v>
      </c>
      <c r="L3869" t="e">
        <f t="array" ref="L3869">VLOOKUP(J3869:$J$3871&amp;K3869:$K$3871,CHOOSE({1,2},#REF!&amp;#REF!,#REF!),2,0)</f>
        <v>#N/A</v>
      </c>
      <c r="M3869">
        <v>-15</v>
      </c>
      <c r="N3869">
        <v>0</v>
      </c>
      <c r="O3869" t="s">
        <v>7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1</v>
      </c>
      <c r="Y3869">
        <v>0</v>
      </c>
      <c r="Z3869">
        <v>0</v>
      </c>
      <c r="AA3869" t="s">
        <v>5892</v>
      </c>
      <c r="AB3869" t="s">
        <v>7735</v>
      </c>
      <c r="AC3869" t="s">
        <v>5892</v>
      </c>
      <c r="AD3869" t="e">
        <f>VLOOKUP(AB3869,#REF!,2,FALSE)</f>
        <v>#REF!</v>
      </c>
      <c r="AE3869" t="e">
        <f>RIGHT(#REF!,(FIND("Complex",#REF!,1)-6))</f>
        <v>#REF!</v>
      </c>
    </row>
    <row r="3870" spans="1:31" x14ac:dyDescent="0.25">
      <c r="A3870">
        <v>1356</v>
      </c>
      <c r="B3870" t="s">
        <v>285</v>
      </c>
      <c r="C3870">
        <v>116</v>
      </c>
      <c r="D3870">
        <v>593</v>
      </c>
      <c r="E3870">
        <v>1356</v>
      </c>
      <c r="F3870">
        <v>5644801</v>
      </c>
      <c r="G3870">
        <v>5733000</v>
      </c>
      <c r="H3870">
        <f t="shared" si="120"/>
        <v>128.00002267573697</v>
      </c>
      <c r="I3870">
        <f t="shared" si="121"/>
        <v>130</v>
      </c>
      <c r="J3870" t="s">
        <v>25</v>
      </c>
      <c r="K3870">
        <v>3</v>
      </c>
      <c r="L3870" t="e">
        <f t="array" ref="L3870">VLOOKUP(J3870:$J$3871&amp;K3870:$K$3871,CHOOSE({1,2},#REF!&amp;#REF!,#REF!),2,0)</f>
        <v>#N/A</v>
      </c>
      <c r="M3870">
        <v>-15</v>
      </c>
      <c r="N3870">
        <v>0</v>
      </c>
      <c r="O3870" t="s">
        <v>7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1</v>
      </c>
      <c r="Y3870">
        <v>0</v>
      </c>
      <c r="Z3870">
        <v>0</v>
      </c>
      <c r="AA3870" t="s">
        <v>5983</v>
      </c>
      <c r="AB3870" t="s">
        <v>7788</v>
      </c>
      <c r="AC3870" t="s">
        <v>5983</v>
      </c>
      <c r="AD3870" t="e">
        <f>VLOOKUP(AB3870,#REF!,2,FALSE)</f>
        <v>#REF!</v>
      </c>
      <c r="AE3870" t="e">
        <f>RIGHT(#REF!,(FIND("Complex",#REF!,1)-6))</f>
        <v>#REF!</v>
      </c>
    </row>
    <row r="3871" spans="1:31" x14ac:dyDescent="0.25">
      <c r="A3871">
        <v>959</v>
      </c>
      <c r="B3871" t="s">
        <v>44</v>
      </c>
      <c r="C3871">
        <v>117</v>
      </c>
      <c r="D3871">
        <v>423</v>
      </c>
      <c r="E3871">
        <v>959</v>
      </c>
      <c r="F3871">
        <v>793801</v>
      </c>
      <c r="G3871">
        <v>882000</v>
      </c>
      <c r="H3871">
        <f t="shared" si="120"/>
        <v>18.000022675736961</v>
      </c>
      <c r="I3871">
        <f t="shared" si="121"/>
        <v>20</v>
      </c>
      <c r="J3871" t="s">
        <v>25</v>
      </c>
      <c r="K3871">
        <v>3</v>
      </c>
      <c r="L3871" t="e">
        <f t="array" ref="L3871">VLOOKUP(J3871:$J$3871&amp;K3871:$K$3871,CHOOSE({1,2},#REF!&amp;#REF!,#REF!),2,0)</f>
        <v>#N/A</v>
      </c>
      <c r="M3871">
        <v>-15</v>
      </c>
      <c r="N3871">
        <v>0</v>
      </c>
      <c r="O3871" t="s">
        <v>7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1</v>
      </c>
      <c r="Y3871">
        <v>0</v>
      </c>
      <c r="Z3871">
        <v>0</v>
      </c>
      <c r="AA3871" t="s">
        <v>5715</v>
      </c>
      <c r="AB3871" t="s">
        <v>222</v>
      </c>
      <c r="AC3871" t="s">
        <v>5715</v>
      </c>
      <c r="AD3871" t="e">
        <f>VLOOKUP(AB3871,#REF!,2,FALSE)</f>
        <v>#REF!</v>
      </c>
      <c r="AE3871" t="e">
        <f>RIGHT(#REF!,(FIND("Complex",#REF!,1)-6))</f>
        <v>#REF!</v>
      </c>
    </row>
  </sheetData>
  <sortState xmlns:xlrd2="http://schemas.microsoft.com/office/spreadsheetml/2017/richdata2" ref="A2:AE3871">
    <sortCondition ref="L1:L3871"/>
  </sortState>
  <conditionalFormatting sqref="AA2583:AA1048576">
    <cfRule type="duplicateValues" dxfId="11" priority="12"/>
  </conditionalFormatting>
  <conditionalFormatting sqref="K1:L1048576">
    <cfRule type="cellIs" dxfId="10" priority="8" operator="equal">
      <formula>16</formula>
    </cfRule>
  </conditionalFormatting>
  <conditionalFormatting sqref="L1:L1048576">
    <cfRule type="cellIs" dxfId="9" priority="5" operator="equal">
      <formula>11</formula>
    </cfRule>
    <cfRule type="cellIs" dxfId="8" priority="6" operator="equal">
      <formula>12</formula>
    </cfRule>
    <cfRule type="cellIs" dxfId="7" priority="7" operator="equal">
      <formula>9</formula>
    </cfRule>
  </conditionalFormatting>
  <conditionalFormatting sqref="AA2583:AA1048576">
    <cfRule type="duplicateValues" dxfId="6" priority="13"/>
  </conditionalFormatting>
  <conditionalFormatting sqref="AA2583:AA1048576">
    <cfRule type="duplicateValues" dxfId="5" priority="14"/>
    <cfRule type="duplicateValues" dxfId="4" priority="15"/>
  </conditionalFormatting>
  <conditionalFormatting sqref="AC2583:AC1048576">
    <cfRule type="duplicateValues" dxfId="3" priority="1"/>
  </conditionalFormatting>
  <conditionalFormatting sqref="AC2583:AC1048576">
    <cfRule type="duplicateValues" dxfId="2" priority="2"/>
  </conditionalFormatting>
  <conditionalFormatting sqref="AC2583:AC1048576">
    <cfRule type="duplicateValues" dxfId="1" priority="3"/>
    <cfRule type="duplicateValues" dxfId="0" priority="4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9BA485-F52F-4772-AE3E-AB820AA5D1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StimSetAll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Hake Home PC</dc:creator>
  <cp:lastModifiedBy>Hake Home PC</cp:lastModifiedBy>
  <dcterms:created xsi:type="dcterms:W3CDTF">2021-05-07T10:12:13Z</dcterms:created>
  <dcterms:modified xsi:type="dcterms:W3CDTF">2021-08-24T18:49:57Z</dcterms:modified>
</cp:coreProperties>
</file>